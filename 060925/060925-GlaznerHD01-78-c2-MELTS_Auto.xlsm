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EED3EC4A-0065-4EC1-BF1A-52BDC0B6E502}" xr6:coauthVersionLast="47" xr6:coauthVersionMax="47" xr10:uidLastSave="{00000000-0000-0000-0000-000000000000}"/>
  <bookViews>
    <workbookView xWindow="-120" yWindow="-120" windowWidth="29040" windowHeight="15720" activeTab="1" xr2:uid="{777C9827-6F5F-4086-871F-397ABE50BF06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/>
  <c r="G3" i="13"/>
  <c r="C5" i="13"/>
  <c r="G6" i="13"/>
  <c r="C8" i="13"/>
  <c r="G9" i="13"/>
  <c r="I4" i="13"/>
  <c r="J10" i="13"/>
  <c r="D2" i="13"/>
  <c r="H3" i="13"/>
  <c r="D5" i="13"/>
  <c r="H6" i="13"/>
  <c r="D8" i="13"/>
  <c r="H9" i="13"/>
  <c r="I9" i="13"/>
  <c r="F8" i="13"/>
  <c r="C4" i="13"/>
  <c r="G8" i="13"/>
  <c r="H5" i="13"/>
  <c r="H8" i="13"/>
  <c r="E10" i="13"/>
  <c r="J5" i="13"/>
  <c r="F10" i="13"/>
  <c r="C6" i="13"/>
  <c r="D3" i="13"/>
  <c r="H10" i="13"/>
  <c r="I10" i="13"/>
  <c r="J4" i="13"/>
  <c r="E2" i="13"/>
  <c r="I3" i="13"/>
  <c r="E5" i="13"/>
  <c r="I6" i="13"/>
  <c r="E8" i="13"/>
  <c r="J6" i="13"/>
  <c r="G5" i="13"/>
  <c r="C10" i="13"/>
  <c r="D7" i="13"/>
  <c r="I8" i="13"/>
  <c r="J2" i="13"/>
  <c r="F7" i="13"/>
  <c r="G4" i="13"/>
  <c r="G10" i="13"/>
  <c r="D6" i="13"/>
  <c r="E6" i="13"/>
  <c r="F9" i="13"/>
  <c r="F2" i="13"/>
  <c r="F5" i="13"/>
  <c r="J9" i="13"/>
  <c r="C7" i="13"/>
  <c r="D4" i="13"/>
  <c r="D10" i="13"/>
  <c r="F4" i="13"/>
  <c r="J8" i="13"/>
  <c r="C3" i="13"/>
  <c r="H4" i="13"/>
  <c r="E3" i="13"/>
  <c r="F3" i="13"/>
  <c r="G2" i="13"/>
  <c r="G7" i="13"/>
  <c r="D9" i="13"/>
  <c r="I7" i="13"/>
  <c r="F6" i="13"/>
  <c r="H2" i="13"/>
  <c r="C9" i="13"/>
  <c r="H7" i="13"/>
  <c r="E9" i="13"/>
  <c r="J7" i="13"/>
  <c r="I2" i="13"/>
  <c r="E4" i="13"/>
  <c r="I5" i="13"/>
  <c r="E7" i="13"/>
  <c r="B10" i="13"/>
  <c r="B9" i="13"/>
  <c r="B8" i="13"/>
  <c r="B7" i="13"/>
  <c r="B6" i="13"/>
  <c r="B5" i="13"/>
  <c r="B4" i="13"/>
  <c r="B3" i="13"/>
  <c r="B2" i="13"/>
  <c r="E4" i="17" l="1"/>
  <c r="J4" i="17"/>
  <c r="H4" i="17"/>
  <c r="F3" i="17"/>
  <c r="I4" i="17"/>
  <c r="G4" i="17"/>
  <c r="J2" i="17"/>
  <c r="C4" i="17"/>
  <c r="E3" i="17"/>
  <c r="D3" i="17"/>
  <c r="F4" i="17"/>
  <c r="I2" i="17"/>
  <c r="D4" i="17"/>
  <c r="J3" i="17"/>
  <c r="E2" i="17"/>
  <c r="I3" i="17"/>
  <c r="C3" i="17"/>
  <c r="H2" i="17"/>
  <c r="G2" i="17"/>
  <c r="F2" i="17"/>
  <c r="D2" i="17"/>
  <c r="H3" i="17"/>
  <c r="C2" i="17"/>
  <c r="G3" i="17"/>
  <c r="B4" i="17"/>
  <c r="B3" i="17"/>
  <c r="B2" i="17"/>
  <c r="F6" i="17" l="1"/>
  <c r="F7" i="17"/>
  <c r="H6" i="17"/>
  <c r="H7" i="17"/>
  <c r="I6" i="17"/>
  <c r="I7" i="17"/>
  <c r="D7" i="17"/>
  <c r="D6" i="17"/>
  <c r="J6" i="17"/>
  <c r="J7" i="17"/>
  <c r="E6" i="17"/>
  <c r="E7" i="17"/>
  <c r="C7" i="17"/>
  <c r="C6" i="17"/>
  <c r="G6" i="17"/>
  <c r="G7" i="17"/>
  <c r="B6" i="17"/>
  <c r="B7" i="17"/>
  <c r="L7" i="17" l="1"/>
  <c r="L6" i="17"/>
  <c r="B13" i="17" s="1"/>
  <c r="M7" i="17"/>
  <c r="N7" i="17"/>
  <c r="M6" i="17"/>
  <c r="N6" i="17"/>
  <c r="P6" i="17" s="1" a="1"/>
  <c r="P7" i="17" a="1"/>
  <c r="P7" i="17" l="1"/>
  <c r="R7" i="17"/>
  <c r="Q7" i="17"/>
  <c r="R6" i="17"/>
  <c r="P6" i="17"/>
  <c r="Q6" i="17"/>
  <c r="B9" i="17" l="1"/>
  <c r="C9" i="17"/>
  <c r="D9" i="17"/>
  <c r="E9" i="17"/>
  <c r="F9" i="17"/>
  <c r="G9" i="17"/>
  <c r="H9" i="17"/>
  <c r="J9" i="17"/>
  <c r="I9" i="17"/>
  <c r="C14" i="17"/>
  <c r="G10" i="17"/>
  <c r="H10" i="17"/>
  <c r="I10" i="17"/>
  <c r="C10" i="17"/>
  <c r="E10" i="17"/>
  <c r="J10" i="17"/>
  <c r="D10" i="17"/>
  <c r="F10" i="17"/>
  <c r="B14" i="17"/>
  <c r="C13" i="17"/>
  <c r="B10" i="17"/>
</calcChain>
</file>

<file path=xl/sharedStrings.xml><?xml version="1.0" encoding="utf-8"?>
<sst xmlns="http://schemas.openxmlformats.org/spreadsheetml/2006/main" count="632" uniqueCount="150">
  <si>
    <t xml:space="preserve"> </t>
  </si>
  <si>
    <t>060925-GlaznerHD01-78-c2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</si>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</sst>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760</c:v>
                </c:pt>
                <c:pt idx="1">
                  <c:v>760</c:v>
                </c:pt>
                <c:pt idx="2">
                  <c:v>760</c:v>
                </c:pt>
                <c:pt idx="3">
                  <c:v>760</c:v>
                </c:pt>
                <c:pt idx="4">
                  <c:v>760</c:v>
                </c:pt>
                <c:pt idx="5">
                  <c:v>766</c:v>
                </c:pt>
                <c:pt idx="6">
                  <c:v>776</c:v>
                </c:pt>
                <c:pt idx="7">
                  <c:v>790</c:v>
                </c:pt>
                <c:pt idx="8">
                  <c:v>806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57-4D9D-A78A-53A82750454F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732</c:v>
                </c:pt>
                <c:pt idx="1">
                  <c:v>736</c:v>
                </c:pt>
                <c:pt idx="2">
                  <c:v>738</c:v>
                </c:pt>
                <c:pt idx="3">
                  <c:v>742</c:v>
                </c:pt>
                <c:pt idx="4">
                  <c:v>744</c:v>
                </c:pt>
                <c:pt idx="5">
                  <c:v>748</c:v>
                </c:pt>
                <c:pt idx="6">
                  <c:v>752</c:v>
                </c:pt>
                <c:pt idx="7">
                  <c:v>756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57-4D9D-A78A-53A82750454F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750</c:v>
                </c:pt>
                <c:pt idx="5">
                  <c:v>756</c:v>
                </c:pt>
                <c:pt idx="6">
                  <c:v>762</c:v>
                </c:pt>
                <c:pt idx="7">
                  <c:v>770</c:v>
                </c:pt>
                <c:pt idx="8">
                  <c:v>782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57-4D9D-A78A-53A82750454F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750</c:v>
                </c:pt>
                <c:pt idx="5">
                  <c:v>756</c:v>
                </c:pt>
                <c:pt idx="6">
                  <c:v>762</c:v>
                </c:pt>
                <c:pt idx="7">
                  <c:v>770</c:v>
                </c:pt>
                <c:pt idx="8">
                  <c:v>780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57-4D9D-A78A-53A82750454F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736</c:v>
                </c:pt>
                <c:pt idx="1">
                  <c:v>738</c:v>
                </c:pt>
                <c:pt idx="2">
                  <c:v>744</c:v>
                </c:pt>
                <c:pt idx="3">
                  <c:v>750</c:v>
                </c:pt>
                <c:pt idx="4">
                  <c:v>756</c:v>
                </c:pt>
                <c:pt idx="5">
                  <c:v>764</c:v>
                </c:pt>
                <c:pt idx="6">
                  <c:v>774</c:v>
                </c:pt>
                <c:pt idx="7">
                  <c:v>788</c:v>
                </c:pt>
                <c:pt idx="8">
                  <c:v>804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57-4D9D-A78A-53A82750454F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750</c:v>
                </c:pt>
                <c:pt idx="5">
                  <c:v>756</c:v>
                </c:pt>
                <c:pt idx="6">
                  <c:v>762</c:v>
                </c:pt>
                <c:pt idx="7">
                  <c:v>770</c:v>
                </c:pt>
                <c:pt idx="8">
                  <c:v>782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57-4D9D-A78A-53A82750454F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758</c:v>
                </c:pt>
                <c:pt idx="4">
                  <c:v>758</c:v>
                </c:pt>
                <c:pt idx="5">
                  <c:v>762</c:v>
                </c:pt>
                <c:pt idx="6">
                  <c:v>768</c:v>
                </c:pt>
                <c:pt idx="7">
                  <c:v>778</c:v>
                </c:pt>
                <c:pt idx="8">
                  <c:v>790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F57-4D9D-A78A-53A82750454F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760</c:v>
                </c:pt>
                <c:pt idx="1">
                  <c:v>760</c:v>
                </c:pt>
                <c:pt idx="2">
                  <c:v>760</c:v>
                </c:pt>
                <c:pt idx="3">
                  <c:v>760</c:v>
                </c:pt>
                <c:pt idx="4">
                  <c:v>760</c:v>
                </c:pt>
                <c:pt idx="5">
                  <c:v>766</c:v>
                </c:pt>
                <c:pt idx="6">
                  <c:v>776</c:v>
                </c:pt>
                <c:pt idx="7">
                  <c:v>790</c:v>
                </c:pt>
                <c:pt idx="8">
                  <c:v>806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F57-4D9D-A78A-53A827504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6371552"/>
        <c:axId val="1056368192"/>
      </c:scatterChart>
      <c:valAx>
        <c:axId val="1056371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056368192"/>
        <c:crosses val="autoZero"/>
        <c:crossBetween val="midCat"/>
      </c:valAx>
      <c:valAx>
        <c:axId val="1056368192"/>
        <c:scaling>
          <c:orientation val="minMax"/>
          <c:max val="3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056371552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758</c:v>
                </c:pt>
                <c:pt idx="4">
                  <c:v>758</c:v>
                </c:pt>
                <c:pt idx="5">
                  <c:v>762</c:v>
                </c:pt>
                <c:pt idx="6">
                  <c:v>768</c:v>
                </c:pt>
                <c:pt idx="7">
                  <c:v>778</c:v>
                </c:pt>
                <c:pt idx="8">
                  <c:v>790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9F-47E3-9B5E-54D2A8D67749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736</c:v>
                </c:pt>
                <c:pt idx="1">
                  <c:v>738</c:v>
                </c:pt>
                <c:pt idx="2">
                  <c:v>744</c:v>
                </c:pt>
                <c:pt idx="3">
                  <c:v>750</c:v>
                </c:pt>
                <c:pt idx="4">
                  <c:v>756</c:v>
                </c:pt>
                <c:pt idx="5">
                  <c:v>764</c:v>
                </c:pt>
                <c:pt idx="6">
                  <c:v>774</c:v>
                </c:pt>
                <c:pt idx="7">
                  <c:v>788</c:v>
                </c:pt>
                <c:pt idx="8">
                  <c:v>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9F-47E3-9B5E-54D2A8D67749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750</c:v>
                </c:pt>
                <c:pt idx="5">
                  <c:v>756</c:v>
                </c:pt>
                <c:pt idx="6">
                  <c:v>762</c:v>
                </c:pt>
                <c:pt idx="7">
                  <c:v>770</c:v>
                </c:pt>
                <c:pt idx="8">
                  <c:v>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9F-47E3-9B5E-54D2A8D67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619968"/>
        <c:axId val="1412620448"/>
      </c:scatterChart>
      <c:valAx>
        <c:axId val="14126199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2620448"/>
        <c:crosses val="autoZero"/>
        <c:crossBetween val="midCat"/>
      </c:valAx>
      <c:valAx>
        <c:axId val="141262044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261996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758</c:v>
                </c:pt>
                <c:pt idx="4">
                  <c:v>758</c:v>
                </c:pt>
                <c:pt idx="5">
                  <c:v>762</c:v>
                </c:pt>
                <c:pt idx="6">
                  <c:v>768</c:v>
                </c:pt>
                <c:pt idx="7">
                  <c:v>778</c:v>
                </c:pt>
                <c:pt idx="8">
                  <c:v>790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AF-4E0B-B1EB-F9D04B8B05E3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736</c:v>
                </c:pt>
                <c:pt idx="1">
                  <c:v>738</c:v>
                </c:pt>
                <c:pt idx="2">
                  <c:v>744</c:v>
                </c:pt>
                <c:pt idx="3">
                  <c:v>750</c:v>
                </c:pt>
                <c:pt idx="4">
                  <c:v>756</c:v>
                </c:pt>
                <c:pt idx="5">
                  <c:v>764</c:v>
                </c:pt>
                <c:pt idx="6">
                  <c:v>774</c:v>
                </c:pt>
                <c:pt idx="7">
                  <c:v>788</c:v>
                </c:pt>
                <c:pt idx="8">
                  <c:v>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AF-4E0B-B1EB-F9D04B8B0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7548608"/>
        <c:axId val="1627549088"/>
      </c:scatterChart>
      <c:valAx>
        <c:axId val="162754860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27549088"/>
        <c:crosses val="autoZero"/>
        <c:crossBetween val="midCat"/>
      </c:valAx>
      <c:valAx>
        <c:axId val="162754908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2754860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24</c:v>
                </c:pt>
                <c:pt idx="1">
                  <c:v>20</c:v>
                </c:pt>
                <c:pt idx="2">
                  <c:v>16</c:v>
                </c:pt>
                <c:pt idx="3">
                  <c:v>12</c:v>
                </c:pt>
                <c:pt idx="4">
                  <c:v>8</c:v>
                </c:pt>
                <c:pt idx="5">
                  <c:v>8</c:v>
                </c:pt>
                <c:pt idx="6">
                  <c:v>12</c:v>
                </c:pt>
                <c:pt idx="7">
                  <c:v>18</c:v>
                </c:pt>
                <c:pt idx="8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BB-49FD-B1B2-30E18ADEDAF5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BB-49FD-B1B2-30E18ADEDAF5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BB-49FD-B1B2-30E18ADED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9197760"/>
        <c:axId val="1629198240"/>
      </c:scatterChart>
      <c:valAx>
        <c:axId val="162919776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29198240"/>
        <c:crosses val="autoZero"/>
        <c:crossBetween val="midCat"/>
      </c:valAx>
      <c:valAx>
        <c:axId val="162919824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2919776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22</c:v>
                </c:pt>
                <c:pt idx="1">
                  <c:v>20</c:v>
                </c:pt>
                <c:pt idx="2">
                  <c:v>14</c:v>
                </c:pt>
                <c:pt idx="3">
                  <c:v>8</c:v>
                </c:pt>
                <c:pt idx="4">
                  <c:v>2</c:v>
                </c:pt>
                <c:pt idx="5">
                  <c:v>2</c:v>
                </c:pt>
                <c:pt idx="6">
                  <c:v>6</c:v>
                </c:pt>
                <c:pt idx="7">
                  <c:v>10</c:v>
                </c:pt>
                <c:pt idx="8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6E-44EF-BD0C-525197D0FBD2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41.20000000000033</c:v>
                </c:pt>
                <c:pt idx="1">
                  <c:v>26.000000000003041</c:v>
                </c:pt>
                <c:pt idx="2">
                  <c:v>14.514285714290679</c:v>
                </c:pt>
                <c:pt idx="3">
                  <c:v>6.7428571428633859</c:v>
                </c:pt>
                <c:pt idx="4">
                  <c:v>2.6857142857210903</c:v>
                </c:pt>
                <c:pt idx="5">
                  <c:v>2.3428571428638207</c:v>
                </c:pt>
                <c:pt idx="6">
                  <c:v>5.7142857142915631</c:v>
                </c:pt>
                <c:pt idx="7">
                  <c:v>12.800000000004331</c:v>
                </c:pt>
                <c:pt idx="8">
                  <c:v>23.600000000002112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6E-44EF-BD0C-525197D0FBD2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185.1923076923064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2.0341758241826398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6E-44EF-BD0C-525197D0F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3269088"/>
        <c:axId val="1413270528"/>
      </c:scatterChart>
      <c:valAx>
        <c:axId val="141326908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3270528"/>
        <c:crosses val="autoZero"/>
        <c:crossBetween val="midCat"/>
      </c:valAx>
      <c:valAx>
        <c:axId val="141327052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1326908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95B9B0B-56E6-4E75-846C-55DC56A53452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3C1373-285A-E0FB-6EFE-F51523FF17B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A45AC0-8B2C-324B-62F7-8F723677E0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03CB703-5114-00EA-4858-A3C151D143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3A7D28D-9BA2-3148-79CD-DBB4E9BAC7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D6B06B8-93AA-131E-E4FC-28D361C467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279DD-A03D-452D-B184-4B164FF39911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300</v>
      </c>
      <c r="C1">
        <f>Phase_Data!C1</f>
        <v>275</v>
      </c>
      <c r="D1">
        <f>Phase_Data!D1</f>
        <v>250</v>
      </c>
      <c r="E1">
        <f>Phase_Data!E1</f>
        <v>225</v>
      </c>
      <c r="F1">
        <f>Phase_Data!F1</f>
        <v>200</v>
      </c>
      <c r="G1">
        <f>Phase_Data!G1</f>
        <v>175</v>
      </c>
      <c r="H1">
        <f>Phase_Data!H1</f>
        <v>150</v>
      </c>
      <c r="I1">
        <f>Phase_Data!I1</f>
        <v>125</v>
      </c>
      <c r="J1">
        <f>Phase_Data!J1</f>
        <v>100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758</v>
      </c>
      <c r="C2">
        <f ca="1">IFERROR(VLOOKUP($A2,Phase_Data!$1:$1048576,COLUMN(),0),"-")</f>
        <v>758</v>
      </c>
      <c r="D2">
        <f ca="1">IFERROR(VLOOKUP($A2,Phase_Data!$1:$1048576,COLUMN(),0),"-")</f>
        <v>758</v>
      </c>
      <c r="E2">
        <f ca="1">IFERROR(VLOOKUP($A2,Phase_Data!$1:$1048576,COLUMN(),0),"-")</f>
        <v>758</v>
      </c>
      <c r="F2">
        <f ca="1">IFERROR(VLOOKUP($A2,Phase_Data!$1:$1048576,COLUMN(),0),"-")</f>
        <v>758</v>
      </c>
      <c r="G2">
        <f ca="1">IFERROR(VLOOKUP($A2,Phase_Data!$1:$1048576,COLUMN(),0),"-")</f>
        <v>762</v>
      </c>
      <c r="H2">
        <f ca="1">IFERROR(VLOOKUP($A2,Phase_Data!$1:$1048576,COLUMN(),0),"-")</f>
        <v>768</v>
      </c>
      <c r="I2">
        <f ca="1">IFERROR(VLOOKUP($A2,Phase_Data!$1:$1048576,COLUMN(),0),"-")</f>
        <v>778</v>
      </c>
      <c r="J2">
        <f ca="1">IFERROR(VLOOKUP($A2,Phase_Data!$1:$1048576,COLUMN(),0),"-")</f>
        <v>790</v>
      </c>
    </row>
    <row r="3" spans="1:18" x14ac:dyDescent="0.2">
      <c r="A3" t="s">
        <v>133</v>
      </c>
      <c r="B3">
        <f ca="1">IFERROR(VLOOKUP($A3,Phase_Data!$1:$1048576,COLUMN(),0),"-")</f>
        <v>736</v>
      </c>
      <c r="C3">
        <f ca="1">IFERROR(VLOOKUP($A3,Phase_Data!$1:$1048576,COLUMN(),0),"-")</f>
        <v>738</v>
      </c>
      <c r="D3">
        <f ca="1">IFERROR(VLOOKUP($A3,Phase_Data!$1:$1048576,COLUMN(),0),"-")</f>
        <v>744</v>
      </c>
      <c r="E3">
        <f ca="1">IFERROR(VLOOKUP($A3,Phase_Data!$1:$1048576,COLUMN(),0),"-")</f>
        <v>750</v>
      </c>
      <c r="F3">
        <f ca="1">IFERROR(VLOOKUP($A3,Phase_Data!$1:$1048576,COLUMN(),0),"-")</f>
        <v>756</v>
      </c>
      <c r="G3">
        <f ca="1">IFERROR(VLOOKUP($A3,Phase_Data!$1:$1048576,COLUMN(),0),"-")</f>
        <v>764</v>
      </c>
      <c r="H3">
        <f ca="1">IFERROR(VLOOKUP($A3,Phase_Data!$1:$1048576,COLUMN(),0),"-")</f>
        <v>774</v>
      </c>
      <c r="I3">
        <f ca="1">IFERROR(VLOOKUP($A3,Phase_Data!$1:$1048576,COLUMN(),0),"-")</f>
        <v>788</v>
      </c>
      <c r="J3">
        <f ca="1">IFERROR(VLOOKUP($A3,Phase_Data!$1:$1048576,COLUMN(),0),"-")</f>
        <v>804</v>
      </c>
    </row>
    <row r="4" spans="1:18" x14ac:dyDescent="0.2">
      <c r="A4" t="s">
        <v>134</v>
      </c>
      <c r="B4">
        <f ca="1">IFERROR(VLOOKUP($A4,Phase_Data!$1:$1048576,COLUMN(),0),"-")</f>
        <v>734</v>
      </c>
      <c r="C4">
        <f ca="1">IFERROR(VLOOKUP($A4,Phase_Data!$1:$1048576,COLUMN(),0),"-")</f>
        <v>738</v>
      </c>
      <c r="D4">
        <f ca="1">IFERROR(VLOOKUP($A4,Phase_Data!$1:$1048576,COLUMN(),0),"-")</f>
        <v>742</v>
      </c>
      <c r="E4">
        <f ca="1">IFERROR(VLOOKUP($A4,Phase_Data!$1:$1048576,COLUMN(),0),"-")</f>
        <v>746</v>
      </c>
      <c r="F4">
        <f ca="1">IFERROR(VLOOKUP($A4,Phase_Data!$1:$1048576,COLUMN(),0),"-")</f>
        <v>750</v>
      </c>
      <c r="G4">
        <f ca="1">IFERROR(VLOOKUP($A4,Phase_Data!$1:$1048576,COLUMN(),0),"-")</f>
        <v>756</v>
      </c>
      <c r="H4">
        <f ca="1">IFERROR(VLOOKUP($A4,Phase_Data!$1:$1048576,COLUMN(),0),"-")</f>
        <v>762</v>
      </c>
      <c r="I4">
        <f ca="1">IFERROR(VLOOKUP($A4,Phase_Data!$1:$1048576,COLUMN(),0),"-")</f>
        <v>770</v>
      </c>
      <c r="J4">
        <f ca="1">IFERROR(VLOOKUP($A4,Phase_Data!$1:$1048576,COLUMN(),0),"-")</f>
        <v>782</v>
      </c>
    </row>
    <row r="6" spans="1:18" x14ac:dyDescent="0.2">
      <c r="A6" t="s">
        <v>136</v>
      </c>
      <c r="B6">
        <f ca="1">IF(AND(B2&lt;&gt;0,B3&lt;&gt;0,B4&lt;&gt;0),MAX(B2:B4)-MIN(B2:B4),"-")</f>
        <v>24</v>
      </c>
      <c r="C6">
        <f t="shared" ref="C6:J6" ca="1" si="0">IF(AND(C2&lt;&gt;0,C3&lt;&gt;0,C4&lt;&gt;0),MAX(C2:C4)-MIN(C2:C4),"-")</f>
        <v>20</v>
      </c>
      <c r="D6">
        <f t="shared" ca="1" si="0"/>
        <v>16</v>
      </c>
      <c r="E6">
        <f t="shared" ca="1" si="0"/>
        <v>12</v>
      </c>
      <c r="F6">
        <f t="shared" ca="1" si="0"/>
        <v>8</v>
      </c>
      <c r="G6">
        <f t="shared" ca="1" si="0"/>
        <v>8</v>
      </c>
      <c r="H6">
        <f t="shared" ca="1" si="0"/>
        <v>12</v>
      </c>
      <c r="I6">
        <f t="shared" ca="1" si="0"/>
        <v>18</v>
      </c>
      <c r="J6">
        <f t="shared" ca="1" si="0"/>
        <v>22</v>
      </c>
      <c r="L6">
        <f ca="1">MIN(B6:J6)</f>
        <v>8</v>
      </c>
      <c r="M6" t="str">
        <f ca="1">IF(L6&lt;=5,INDEX(B$1:J$1,1,MATCH(L6,B6:J6,0)),"-")</f>
        <v>-</v>
      </c>
      <c r="N6" t="str">
        <f ca="1">IF(L6&lt;=5,MATCH(L6,B6:J6,0),"-")</f>
        <v>-</v>
      </c>
      <c r="P6" t="str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-</v>
      </c>
      <c r="Q6" t="str">
        <f ca="1"/>
        <v>-</v>
      </c>
      <c r="R6" t="str">
        <f ca="1"/>
        <v>-</v>
      </c>
    </row>
    <row r="7" spans="1:18" x14ac:dyDescent="0.2">
      <c r="A7" t="s">
        <v>137</v>
      </c>
      <c r="B7">
        <f ca="1">IF(AND(MAX(B2:B4)&lt;&gt;0,LARGE(B2:B4,2)&lt;&gt;0),MAX(B2:B4)-LARGE(B2:B4,2),"-")</f>
        <v>22</v>
      </c>
      <c r="C7">
        <f t="shared" ref="C7:J7" ca="1" si="1">IF(AND(MAX(C2:C4)&lt;&gt;0,LARGE(C2:C4,2)&lt;&gt;0),MAX(C2:C4)-LARGE(C2:C4,2),"-")</f>
        <v>20</v>
      </c>
      <c r="D7">
        <f t="shared" ca="1" si="1"/>
        <v>14</v>
      </c>
      <c r="E7">
        <f t="shared" ca="1" si="1"/>
        <v>8</v>
      </c>
      <c r="F7">
        <f t="shared" ca="1" si="1"/>
        <v>2</v>
      </c>
      <c r="G7">
        <f t="shared" ca="1" si="1"/>
        <v>2</v>
      </c>
      <c r="H7">
        <f t="shared" ca="1" si="1"/>
        <v>6</v>
      </c>
      <c r="I7">
        <f t="shared" ca="1" si="1"/>
        <v>10</v>
      </c>
      <c r="J7">
        <f t="shared" ca="1" si="1"/>
        <v>14</v>
      </c>
      <c r="L7">
        <f ca="1">MIN(B7:J7)</f>
        <v>2</v>
      </c>
      <c r="M7">
        <f ca="1">IF(L7&lt;=5,INDEX(B$1:J$1,1,MATCH(L7,B7:J7,0)),"-")</f>
        <v>200</v>
      </c>
      <c r="N7">
        <f ca="1">IF(L7&lt;=5,MATCH(L7,B7:J7,0),"-")</f>
        <v>5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103.94285714284342</v>
      </c>
      <c r="Q7">
        <f ca="1"/>
        <v>-1.1005714285712145</v>
      </c>
      <c r="R7">
        <f ca="1"/>
        <v>2.9714285714280142E-3</v>
      </c>
    </row>
    <row r="9" spans="1:18" x14ac:dyDescent="0.2">
      <c r="A9" t="s">
        <v>138</v>
      </c>
      <c r="B9" t="str">
        <f ca="1">IFERROR(IF($R6&gt;0,$R6*B$1^2+$Q6*B$1+$P6,"-"),"-")</f>
        <v>-</v>
      </c>
      <c r="C9" t="str">
        <f ca="1">IFERROR(IF($R6&gt;0,$R6*C$1^2+$Q6*C$1+$P6,"-"),"-")</f>
        <v>-</v>
      </c>
      <c r="D9" t="str">
        <f ca="1">IFERROR(IF($R6&gt;0,$R6*D$1^2+$Q6*D$1+$P6,"-"),"-")</f>
        <v>-</v>
      </c>
      <c r="E9" t="str">
        <f ca="1">IFERROR(IF($R6&gt;0,$R6*E$1^2+$Q6*E$1+$P6,"-"),"-")</f>
        <v>-</v>
      </c>
      <c r="F9" t="str">
        <f ca="1">IFERROR(IF($R6&gt;0,$R6*F$1^2+$Q6*F$1+$P6,"-"),"-")</f>
        <v>-</v>
      </c>
      <c r="G9" t="str">
        <f ca="1">IFERROR(IF($R6&gt;0,$R6*G$1^2+$Q6*G$1+$P6,"-"),"-")</f>
        <v>-</v>
      </c>
      <c r="H9" t="str">
        <f ca="1">IFERROR(IF($R6&gt;0,$R6*H$1^2+$Q6*H$1+$P6,"-"),"-")</f>
        <v>-</v>
      </c>
      <c r="I9" t="str">
        <f ca="1">IFERROR(IF($R6&gt;0,$R6*I$1^2+$Q6*I$1+$P6,"-"),"-")</f>
        <v>-</v>
      </c>
      <c r="J9" t="str">
        <f ca="1">IFERROR(IF($R6&gt;0,$R6*J$1^2+$Q6*J$1+$P6,"-"),"-")</f>
        <v>-</v>
      </c>
    </row>
    <row r="10" spans="1:18" x14ac:dyDescent="0.2">
      <c r="A10" t="s">
        <v>139</v>
      </c>
      <c r="B10">
        <f ca="1">IFERROR(IF($R7&gt;0,$R7*B$1^2+$Q7*B$1+$P7,"-"),"-")</f>
        <v>41.20000000000033</v>
      </c>
      <c r="C10">
        <f ca="1">IFERROR(IF($R7&gt;0,$R7*C$1^2+$Q7*C$1+$P7,"-"),"-")</f>
        <v>26.000000000003041</v>
      </c>
      <c r="D10">
        <f ca="1">IFERROR(IF($R7&gt;0,$R7*D$1^2+$Q7*D$1+$P7,"-"),"-")</f>
        <v>14.514285714290679</v>
      </c>
      <c r="E10">
        <f ca="1">IFERROR(IF($R7&gt;0,$R7*E$1^2+$Q7*E$1+$P7,"-"),"-")</f>
        <v>6.7428571428633859</v>
      </c>
      <c r="F10">
        <f ca="1">IFERROR(IF($R7&gt;0,$R7*F$1^2+$Q7*F$1+$P7,"-"),"-")</f>
        <v>2.6857142857210903</v>
      </c>
      <c r="G10">
        <f ca="1">IFERROR(IF($R7&gt;0,$R7*G$1^2+$Q7*G$1+$P7,"-"),"-")</f>
        <v>2.3428571428638207</v>
      </c>
      <c r="H10">
        <f ca="1">IFERROR(IF($R7&gt;0,$R7*H$1^2+$Q7*H$1+$P7,"-"),"-")</f>
        <v>5.7142857142915631</v>
      </c>
      <c r="I10">
        <f ca="1">IFERROR(IF($R7&gt;0,$R7*I$1^2+$Q7*I$1+$P7,"-"),"-")</f>
        <v>12.800000000004331</v>
      </c>
      <c r="J10">
        <f ca="1">IFERROR(IF($R7&gt;0,$R7*J$1^2+$Q7*J$1+$P7,"-"),"-")</f>
        <v>23.600000000002112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 t="str">
        <f ca="1">IFERROR(IF($L6&lt;=5,IF($R6&gt;0,-$Q6/(2*$R6),"-"),"-"),"-")</f>
        <v>-</v>
      </c>
      <c r="C13" s="2" t="str">
        <f ca="1">IFERROR(IF($R6&gt;0,$R6*B13^2+$Q6*B13+$P6,"-"),"-")</f>
        <v>-</v>
      </c>
    </row>
    <row r="14" spans="1:18" x14ac:dyDescent="0.2">
      <c r="A14" t="s">
        <v>141</v>
      </c>
      <c r="B14" s="2">
        <f ca="1">IFERROR(IF($L7&lt;=5,IF($R7&gt;0,-$Q7/(2*$R7),"-"),"-"),"-")</f>
        <v>185.1923076923064</v>
      </c>
      <c r="C14" s="2">
        <f ca="1">IFERROR(IF($R7&gt;0,$R7*B14^2+$Q7*B14+$P7,"-"),"-")</f>
        <v>2.0341758241826398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FAF3B-7782-498E-9B8A-DD4EF9042EFA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300</v>
      </c>
      <c r="B1">
        <v>300</v>
      </c>
      <c r="C1">
        <v>275</v>
      </c>
      <c r="D1">
        <v>250</v>
      </c>
      <c r="E1">
        <v>225</v>
      </c>
      <c r="F1">
        <v>200</v>
      </c>
      <c r="G1">
        <v>175</v>
      </c>
      <c r="H1">
        <v>150</v>
      </c>
      <c r="I1">
        <v>125</v>
      </c>
      <c r="J1">
        <v>100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760</v>
      </c>
      <c r="C2">
        <f t="shared" ref="C2:J10" ca="1" si="0">_xlfn.IFNA(INDEX(INDIRECT("'"&amp;$A2&amp;"'!$B:$B"),MATCH(C$1,INDIRECT("'"&amp;$A2&amp;"'!$c:$c"),0)),"")</f>
        <v>760</v>
      </c>
      <c r="D2">
        <f t="shared" ca="1" si="0"/>
        <v>760</v>
      </c>
      <c r="E2">
        <f t="shared" ca="1" si="0"/>
        <v>760</v>
      </c>
      <c r="F2">
        <f t="shared" ca="1" si="0"/>
        <v>760</v>
      </c>
      <c r="G2">
        <f t="shared" ca="1" si="0"/>
        <v>766</v>
      </c>
      <c r="H2">
        <f t="shared" ca="1" si="0"/>
        <v>776</v>
      </c>
      <c r="I2">
        <f t="shared" ca="1" si="0"/>
        <v>790</v>
      </c>
      <c r="J2">
        <f t="shared" ca="1" si="0"/>
        <v>806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732</v>
      </c>
      <c r="C3">
        <f t="shared" ca="1" si="0"/>
        <v>736</v>
      </c>
      <c r="D3">
        <f t="shared" ca="1" si="0"/>
        <v>738</v>
      </c>
      <c r="E3">
        <f t="shared" ca="1" si="0"/>
        <v>742</v>
      </c>
      <c r="F3">
        <f t="shared" ca="1" si="0"/>
        <v>744</v>
      </c>
      <c r="G3">
        <f t="shared" ca="1" si="0"/>
        <v>748</v>
      </c>
      <c r="H3">
        <f t="shared" ca="1" si="0"/>
        <v>752</v>
      </c>
      <c r="I3">
        <f t="shared" ca="1" si="0"/>
        <v>756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738</v>
      </c>
      <c r="D4">
        <f t="shared" ca="1" si="0"/>
        <v>742</v>
      </c>
      <c r="E4">
        <f t="shared" ca="1" si="0"/>
        <v>746</v>
      </c>
      <c r="F4">
        <f t="shared" ca="1" si="0"/>
        <v>750</v>
      </c>
      <c r="G4">
        <f t="shared" ca="1" si="0"/>
        <v>756</v>
      </c>
      <c r="H4">
        <f t="shared" ca="1" si="0"/>
        <v>762</v>
      </c>
      <c r="I4">
        <f t="shared" ca="1" si="0"/>
        <v>770</v>
      </c>
      <c r="J4">
        <f t="shared" ca="1" si="0"/>
        <v>782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734</v>
      </c>
      <c r="C5">
        <f t="shared" ca="1" si="0"/>
        <v>738</v>
      </c>
      <c r="D5">
        <f t="shared" ca="1" si="0"/>
        <v>742</v>
      </c>
      <c r="E5">
        <f t="shared" ca="1" si="0"/>
        <v>746</v>
      </c>
      <c r="F5">
        <f t="shared" ca="1" si="0"/>
        <v>750</v>
      </c>
      <c r="G5">
        <f t="shared" ca="1" si="0"/>
        <v>756</v>
      </c>
      <c r="H5">
        <f t="shared" ca="1" si="0"/>
        <v>762</v>
      </c>
      <c r="I5">
        <f t="shared" ca="1" si="0"/>
        <v>770</v>
      </c>
      <c r="J5">
        <f t="shared" ca="1" si="0"/>
        <v>780</v>
      </c>
    </row>
    <row r="6" spans="1:10" x14ac:dyDescent="0.2">
      <c r="A6" t="s">
        <v>133</v>
      </c>
      <c r="B6">
        <f ca="1">_xlfn.IFNA(INDEX(INDIRECT("'"&amp;$A6&amp;"'!$B:$B"),MATCH(B$1,INDIRECT("'"&amp;$A6&amp;"'!$c:$c"),0)),"")</f>
        <v>736</v>
      </c>
      <c r="C6">
        <f t="shared" ca="1" si="0"/>
        <v>738</v>
      </c>
      <c r="D6">
        <f t="shared" ca="1" si="0"/>
        <v>744</v>
      </c>
      <c r="E6">
        <f t="shared" ca="1" si="0"/>
        <v>750</v>
      </c>
      <c r="F6">
        <f t="shared" ca="1" si="0"/>
        <v>756</v>
      </c>
      <c r="G6">
        <f t="shared" ca="1" si="0"/>
        <v>764</v>
      </c>
      <c r="H6">
        <f t="shared" ca="1" si="0"/>
        <v>774</v>
      </c>
      <c r="I6">
        <f t="shared" ca="1" si="0"/>
        <v>788</v>
      </c>
      <c r="J6">
        <f t="shared" ca="1" si="0"/>
        <v>804</v>
      </c>
    </row>
    <row r="7" spans="1:10" x14ac:dyDescent="0.2">
      <c r="A7" t="s">
        <v>134</v>
      </c>
      <c r="B7">
        <f ca="1">_xlfn.IFNA(INDEX(INDIRECT("'"&amp;$A7&amp;"'!$B:$B"),MATCH(B$1,INDIRECT("'"&amp;$A7&amp;"'!$c:$c"),0)),"")</f>
        <v>734</v>
      </c>
      <c r="C7">
        <f t="shared" ca="1" si="0"/>
        <v>738</v>
      </c>
      <c r="D7">
        <f t="shared" ca="1" si="0"/>
        <v>742</v>
      </c>
      <c r="E7">
        <f t="shared" ca="1" si="0"/>
        <v>746</v>
      </c>
      <c r="F7">
        <f t="shared" ca="1" si="0"/>
        <v>750</v>
      </c>
      <c r="G7">
        <f t="shared" ca="1" si="0"/>
        <v>756</v>
      </c>
      <c r="H7">
        <f t="shared" ca="1" si="0"/>
        <v>762</v>
      </c>
      <c r="I7">
        <f t="shared" ca="1" si="0"/>
        <v>770</v>
      </c>
      <c r="J7">
        <f t="shared" ca="1" si="0"/>
        <v>782</v>
      </c>
    </row>
    <row r="8" spans="1:10" x14ac:dyDescent="0.2">
      <c r="A8" t="s">
        <v>96</v>
      </c>
      <c r="B8">
        <f ca="1">_xlfn.IFNA(INDEX(INDIRECT("'"&amp;$A8&amp;"'!$B:$B"),MATCH(B$1,INDIRECT("'"&amp;$A8&amp;"'!$c:$c"),0)),"")</f>
        <v>758</v>
      </c>
      <c r="C8">
        <f t="shared" ca="1" si="0"/>
        <v>758</v>
      </c>
      <c r="D8">
        <f t="shared" ca="1" si="0"/>
        <v>758</v>
      </c>
      <c r="E8">
        <f t="shared" ca="1" si="0"/>
        <v>758</v>
      </c>
      <c r="F8">
        <f t="shared" ca="1" si="0"/>
        <v>758</v>
      </c>
      <c r="G8">
        <f t="shared" ca="1" si="0"/>
        <v>762</v>
      </c>
      <c r="H8">
        <f t="shared" ca="1" si="0"/>
        <v>768</v>
      </c>
      <c r="I8">
        <f t="shared" ca="1" si="0"/>
        <v>778</v>
      </c>
      <c r="J8">
        <f t="shared" ca="1" si="0"/>
        <v>790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760</v>
      </c>
      <c r="C9">
        <f t="shared" ca="1" si="0"/>
        <v>760</v>
      </c>
      <c r="D9">
        <f t="shared" ca="1" si="0"/>
        <v>760</v>
      </c>
      <c r="E9">
        <f t="shared" ca="1" si="0"/>
        <v>760</v>
      </c>
      <c r="F9">
        <f t="shared" ca="1" si="0"/>
        <v>760</v>
      </c>
      <c r="G9">
        <f t="shared" ca="1" si="0"/>
        <v>766</v>
      </c>
      <c r="H9">
        <f t="shared" ca="1" si="0"/>
        <v>776</v>
      </c>
      <c r="I9">
        <f t="shared" ca="1" si="0"/>
        <v>790</v>
      </c>
      <c r="J9">
        <f t="shared" ca="1" si="0"/>
        <v>806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736</v>
      </c>
      <c r="C10">
        <f t="shared" ca="1" si="0"/>
        <v>738</v>
      </c>
      <c r="D10">
        <f t="shared" ca="1" si="0"/>
        <v>744</v>
      </c>
      <c r="E10">
        <f t="shared" ca="1" si="0"/>
        <v>750</v>
      </c>
      <c r="F10">
        <f t="shared" ca="1" si="0"/>
        <v>756</v>
      </c>
      <c r="G10">
        <f t="shared" ca="1" si="0"/>
        <v>764</v>
      </c>
      <c r="H10">
        <f t="shared" ca="1" si="0"/>
        <v>774</v>
      </c>
      <c r="I10">
        <f t="shared" ca="1" si="0"/>
        <v>788</v>
      </c>
      <c r="J10">
        <f t="shared" ca="1" si="0"/>
        <v>804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45D7-8265-4068-8F53-F26ECD17ED3B}">
  <sheetPr codeName="Sheet3"/>
  <dimension ref="A1:Q149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760</v>
      </c>
      <c r="C2">
        <v>300</v>
      </c>
      <c r="D2">
        <v>0.27825630353772701</v>
      </c>
      <c r="E2">
        <v>110.883237556862</v>
      </c>
      <c r="F2">
        <v>2.0032256075830901</v>
      </c>
      <c r="G2">
        <v>-1833.337175707223</v>
      </c>
      <c r="H2">
        <v>-1506.5621462511476</v>
      </c>
      <c r="I2">
        <v>316.292158643844</v>
      </c>
      <c r="J2">
        <v>160.06413620984</v>
      </c>
      <c r="K2">
        <v>55.352346304440303</v>
      </c>
      <c r="L2">
        <v>0.87910196219108128</v>
      </c>
      <c r="M2">
        <v>-0.87894646967925127</v>
      </c>
      <c r="N2">
        <v>48.652884574664803</v>
      </c>
      <c r="O2">
        <v>48.652880555532697</v>
      </c>
      <c r="P2">
        <v>48.6528764577575</v>
      </c>
      <c r="Q2" t="s">
        <v>51</v>
      </c>
    </row>
    <row r="3" spans="1:17" x14ac:dyDescent="0.2">
      <c r="A3">
        <v>2</v>
      </c>
      <c r="B3">
        <v>758</v>
      </c>
      <c r="C3">
        <v>300</v>
      </c>
      <c r="D3">
        <v>0.27672065169955901</v>
      </c>
      <c r="E3">
        <v>110.88332013740499</v>
      </c>
      <c r="F3">
        <v>2.0042975545678599</v>
      </c>
      <c r="G3">
        <v>-1832.706241628031</v>
      </c>
      <c r="H3">
        <v>-1506.9132191939989</v>
      </c>
      <c r="I3">
        <v>315.95329797144899</v>
      </c>
      <c r="J3">
        <v>160.058921073748</v>
      </c>
      <c r="K3">
        <v>55.3227837277445</v>
      </c>
      <c r="L3">
        <v>0.87772229617321562</v>
      </c>
      <c r="M3">
        <v>-0.87756655616957469</v>
      </c>
      <c r="N3">
        <v>48.5505569094733</v>
      </c>
      <c r="O3">
        <v>48.550552808453098</v>
      </c>
      <c r="P3">
        <v>48.550548708320598</v>
      </c>
      <c r="Q3" t="s">
        <v>51</v>
      </c>
    </row>
    <row r="4" spans="1:17" x14ac:dyDescent="0.2">
      <c r="A4">
        <v>3</v>
      </c>
      <c r="B4">
        <v>756</v>
      </c>
      <c r="C4">
        <v>300</v>
      </c>
      <c r="D4">
        <v>0.27517903123937498</v>
      </c>
      <c r="E4">
        <v>110.883413174003</v>
      </c>
      <c r="F4">
        <v>2.00538243094545</v>
      </c>
      <c r="G4">
        <v>-1832.0762173940066</v>
      </c>
      <c r="H4">
        <v>-1507.3098896133947</v>
      </c>
      <c r="I4">
        <v>315.56970659713801</v>
      </c>
      <c r="J4">
        <v>160.06812361106199</v>
      </c>
      <c r="K4">
        <v>55.292901475020201</v>
      </c>
      <c r="L4">
        <v>0.87398944297207515</v>
      </c>
      <c r="M4">
        <v>-0.87383286256829007</v>
      </c>
      <c r="N4">
        <v>48.317887798823897</v>
      </c>
      <c r="O4">
        <v>48.317883599486699</v>
      </c>
      <c r="P4">
        <v>48.3178794815787</v>
      </c>
      <c r="Q4" t="s">
        <v>51</v>
      </c>
    </row>
    <row r="5" spans="1:17" x14ac:dyDescent="0.2">
      <c r="A5">
        <v>4</v>
      </c>
      <c r="B5">
        <v>754</v>
      </c>
      <c r="C5">
        <v>300</v>
      </c>
      <c r="D5">
        <v>0.27363140729202201</v>
      </c>
      <c r="E5">
        <v>110.883506945305</v>
      </c>
      <c r="F5">
        <v>2.00647282114896</v>
      </c>
      <c r="G5">
        <v>-1831.446971942562</v>
      </c>
      <c r="H5">
        <v>-1507.7058395548511</v>
      </c>
      <c r="I5">
        <v>315.18608086210997</v>
      </c>
      <c r="J5">
        <v>160.07705948306401</v>
      </c>
      <c r="K5">
        <v>55.262900038591297</v>
      </c>
      <c r="L5">
        <v>0.87029701663032022</v>
      </c>
      <c r="M5">
        <v>-0.87013961404301332</v>
      </c>
      <c r="N5">
        <v>48.087573064799102</v>
      </c>
      <c r="O5">
        <v>48.087568766461899</v>
      </c>
      <c r="P5">
        <v>48.087564631388602</v>
      </c>
      <c r="Q5" t="s">
        <v>51</v>
      </c>
    </row>
    <row r="6" spans="1:17" x14ac:dyDescent="0.2">
      <c r="A6">
        <v>5</v>
      </c>
      <c r="B6">
        <v>752</v>
      </c>
      <c r="C6">
        <v>300</v>
      </c>
      <c r="D6">
        <v>0.27207774472028401</v>
      </c>
      <c r="E6">
        <v>110.883601458328</v>
      </c>
      <c r="F6">
        <v>2.0075686355584201</v>
      </c>
      <c r="G6">
        <v>-1830.8185054644598</v>
      </c>
      <c r="H6">
        <v>-1508.1010811181231</v>
      </c>
      <c r="I6">
        <v>314.80240895116202</v>
      </c>
      <c r="J6">
        <v>160.08572779672701</v>
      </c>
      <c r="K6">
        <v>55.232782329001097</v>
      </c>
      <c r="L6">
        <v>0.86664430760620725</v>
      </c>
      <c r="M6">
        <v>-0.86648610085417666</v>
      </c>
      <c r="N6">
        <v>47.859573712271199</v>
      </c>
      <c r="O6">
        <v>47.859569314271504</v>
      </c>
      <c r="P6">
        <v>47.859565162638098</v>
      </c>
      <c r="Q6" t="s">
        <v>51</v>
      </c>
    </row>
    <row r="7" spans="1:17" x14ac:dyDescent="0.2">
      <c r="A7">
        <v>6</v>
      </c>
      <c r="B7">
        <v>750</v>
      </c>
      <c r="C7">
        <v>300</v>
      </c>
      <c r="D7">
        <v>0.270518008112205</v>
      </c>
      <c r="E7">
        <v>110.883696720223</v>
      </c>
      <c r="F7">
        <v>2.0086697863021401</v>
      </c>
      <c r="G7">
        <v>-1830.1908181760473</v>
      </c>
      <c r="H7">
        <v>-1508.4956261318521</v>
      </c>
      <c r="I7">
        <v>314.41867924662398</v>
      </c>
      <c r="J7">
        <v>160.09412758043899</v>
      </c>
      <c r="K7">
        <v>55.202551198997298</v>
      </c>
      <c r="L7">
        <v>0.86303062245141926</v>
      </c>
      <c r="M7">
        <v>-0.8628716293603208</v>
      </c>
      <c r="N7">
        <v>47.633851599680703</v>
      </c>
      <c r="O7">
        <v>47.633847101376702</v>
      </c>
      <c r="P7">
        <v>47.633842933783498</v>
      </c>
      <c r="Q7" t="s">
        <v>51</v>
      </c>
    </row>
    <row r="8" spans="1:17" x14ac:dyDescent="0.2">
      <c r="A8">
        <v>7</v>
      </c>
      <c r="B8">
        <v>748</v>
      </c>
      <c r="C8">
        <v>300</v>
      </c>
      <c r="D8">
        <v>0.26895216177838999</v>
      </c>
      <c r="E8">
        <v>110.883792738184</v>
      </c>
      <c r="F8">
        <v>2.0097761872181099</v>
      </c>
      <c r="G8">
        <v>-1829.5639103173442</v>
      </c>
      <c r="H8">
        <v>-1508.8894861591916</v>
      </c>
      <c r="I8">
        <v>314.034880322915</v>
      </c>
      <c r="J8">
        <v>160.10225778490999</v>
      </c>
      <c r="K8">
        <v>55.172209444707903</v>
      </c>
      <c r="L8">
        <v>0.85945528338067989</v>
      </c>
      <c r="M8">
        <v>-0.85929552158756861</v>
      </c>
      <c r="N8">
        <v>47.410369416847303</v>
      </c>
      <c r="O8">
        <v>47.410364817618301</v>
      </c>
      <c r="P8">
        <v>47.410360634660698</v>
      </c>
      <c r="Q8" t="s">
        <v>51</v>
      </c>
    </row>
    <row r="9" spans="1:17" x14ac:dyDescent="0.2">
      <c r="A9">
        <v>8</v>
      </c>
      <c r="B9">
        <v>746</v>
      </c>
      <c r="C9">
        <v>300</v>
      </c>
      <c r="D9">
        <v>0.26738016974930101</v>
      </c>
      <c r="E9">
        <v>110.88388951943701</v>
      </c>
      <c r="F9">
        <v>2.0108877538121601</v>
      </c>
      <c r="G9">
        <v>-1828.9377821515125</v>
      </c>
      <c r="H9">
        <v>-1509.2826725050418</v>
      </c>
      <c r="I9">
        <v>313.65100094080901</v>
      </c>
      <c r="J9">
        <v>160.110117284642</v>
      </c>
      <c r="K9">
        <v>55.141759806944599</v>
      </c>
      <c r="L9">
        <v>0.85591762781680869</v>
      </c>
      <c r="M9">
        <v>-0.85575711477453176</v>
      </c>
      <c r="N9">
        <v>47.189090661489601</v>
      </c>
      <c r="O9">
        <v>47.189085960735902</v>
      </c>
      <c r="P9">
        <v>47.189081763004403</v>
      </c>
      <c r="Q9" t="s">
        <v>51</v>
      </c>
    </row>
    <row r="10" spans="1:17" x14ac:dyDescent="0.2">
      <c r="A10">
        <v>9</v>
      </c>
      <c r="B10">
        <v>744</v>
      </c>
      <c r="C10">
        <v>300</v>
      </c>
      <c r="D10">
        <v>0.26580199577250502</v>
      </c>
      <c r="E10">
        <v>110.88398707131699</v>
      </c>
      <c r="F10">
        <v>2.0120044032251099</v>
      </c>
      <c r="G10">
        <v>-1828.3124339657631</v>
      </c>
      <c r="H10">
        <v>-1509.6751962242158</v>
      </c>
      <c r="I10">
        <v>313.26703004213402</v>
      </c>
      <c r="J10">
        <v>160.11770487905599</v>
      </c>
      <c r="K10">
        <v>55.111204972303703</v>
      </c>
      <c r="L10">
        <v>0.85241700796140818</v>
      </c>
      <c r="M10">
        <v>-0.85225576094286404</v>
      </c>
      <c r="N10">
        <v>46.969979616945402</v>
      </c>
      <c r="O10">
        <v>46.969974814088403</v>
      </c>
      <c r="P10">
        <v>46.9699706021689</v>
      </c>
      <c r="Q10" t="s">
        <v>51</v>
      </c>
    </row>
    <row r="11" spans="1:17" x14ac:dyDescent="0.2">
      <c r="A11">
        <v>10</v>
      </c>
      <c r="B11">
        <v>742</v>
      </c>
      <c r="C11">
        <v>300</v>
      </c>
      <c r="D11">
        <v>0.264217603309855</v>
      </c>
      <c r="E11">
        <v>110.88408540118699</v>
      </c>
      <c r="F11">
        <v>2.0131260541948399</v>
      </c>
      <c r="G11">
        <v>-1827.6878660696252</v>
      </c>
      <c r="H11">
        <v>-1510.0670681266799</v>
      </c>
      <c r="I11">
        <v>312.88295674468498</v>
      </c>
      <c r="J11">
        <v>160.125019293576</v>
      </c>
      <c r="K11">
        <v>55.080547574322303</v>
      </c>
      <c r="L11">
        <v>0.84895279039468452</v>
      </c>
      <c r="M11">
        <v>-0.84879082649695081</v>
      </c>
      <c r="N11">
        <v>46.753001331508798</v>
      </c>
      <c r="O11">
        <v>46.752996425991697</v>
      </c>
      <c r="P11">
        <v>46.7529922004653</v>
      </c>
      <c r="Q11" t="s">
        <v>51</v>
      </c>
    </row>
    <row r="12" spans="1:17" x14ac:dyDescent="0.2">
      <c r="A12">
        <v>11</v>
      </c>
      <c r="B12">
        <v>740</v>
      </c>
      <c r="C12">
        <v>300</v>
      </c>
      <c r="D12">
        <v>0.26262695553471999</v>
      </c>
      <c r="E12">
        <v>110.884184516498</v>
      </c>
      <c r="F12">
        <v>2.0142526270258299</v>
      </c>
      <c r="G12">
        <v>-1827.0640787956399</v>
      </c>
      <c r="H12">
        <v>-1510.4582987849408</v>
      </c>
      <c r="I12">
        <v>312.49877033736499</v>
      </c>
      <c r="J12">
        <v>160.13205918064801</v>
      </c>
      <c r="K12">
        <v>55.049790194502798</v>
      </c>
      <c r="L12">
        <v>0.84552435568092976</v>
      </c>
      <c r="M12">
        <v>-0.84536169182926735</v>
      </c>
      <c r="N12">
        <v>46.538121597930797</v>
      </c>
      <c r="O12">
        <v>46.538116589217999</v>
      </c>
      <c r="P12">
        <v>46.538112350661301</v>
      </c>
      <c r="Q12" t="s">
        <v>51</v>
      </c>
    </row>
    <row r="13" spans="1:17" x14ac:dyDescent="0.2">
      <c r="A13">
        <v>12</v>
      </c>
      <c r="B13">
        <v>738</v>
      </c>
      <c r="C13">
        <v>300</v>
      </c>
      <c r="D13">
        <v>0.26103001532908299</v>
      </c>
      <c r="E13">
        <v>110.88428442472799</v>
      </c>
      <c r="F13">
        <v>2.0153840435569501</v>
      </c>
      <c r="G13">
        <v>-1826.4410724979471</v>
      </c>
      <c r="H13">
        <v>-1510.8488985394958</v>
      </c>
      <c r="I13">
        <v>312.11446027507702</v>
      </c>
      <c r="J13">
        <v>160.138823120761</v>
      </c>
      <c r="K13">
        <v>55.0189353633208</v>
      </c>
      <c r="L13">
        <v>0.84213109797747532</v>
      </c>
      <c r="M13">
        <v>-0.84196775092920706</v>
      </c>
      <c r="N13">
        <v>46.3253069330638</v>
      </c>
      <c r="O13">
        <v>46.325301820641698</v>
      </c>
      <c r="P13">
        <v>46.3252975696265</v>
      </c>
      <c r="Q13" t="s">
        <v>51</v>
      </c>
    </row>
    <row r="14" spans="1:17" x14ac:dyDescent="0.2">
      <c r="A14">
        <v>13</v>
      </c>
      <c r="B14">
        <v>736</v>
      </c>
      <c r="C14">
        <v>300</v>
      </c>
      <c r="D14">
        <v>0.25942674528068399</v>
      </c>
      <c r="E14">
        <v>110.884381565713</v>
      </c>
      <c r="F14">
        <v>2.01622138745071</v>
      </c>
      <c r="G14">
        <v>-1825.8187940910314</v>
      </c>
      <c r="H14">
        <v>-1511.3132867032016</v>
      </c>
      <c r="I14">
        <v>311.65624380531301</v>
      </c>
      <c r="J14">
        <v>160.14409337787001</v>
      </c>
      <c r="K14">
        <v>54.996133984033499</v>
      </c>
      <c r="L14">
        <v>0.83480931735446118</v>
      </c>
      <c r="M14">
        <v>-0.83464420846085829</v>
      </c>
      <c r="N14">
        <v>45.9033496533619</v>
      </c>
      <c r="O14">
        <v>45.903344406459802</v>
      </c>
      <c r="P14">
        <v>45.903340116158901</v>
      </c>
      <c r="Q14" t="s">
        <v>51</v>
      </c>
    </row>
    <row r="15" spans="1:17" x14ac:dyDescent="0.2">
      <c r="A15">
        <v>14</v>
      </c>
      <c r="B15">
        <v>734</v>
      </c>
      <c r="C15">
        <v>300</v>
      </c>
      <c r="D15">
        <v>0.25781710768008598</v>
      </c>
      <c r="E15">
        <v>110.890992139958</v>
      </c>
      <c r="F15">
        <v>1.9626767510130001</v>
      </c>
      <c r="G15">
        <v>-1825.3129809628126</v>
      </c>
      <c r="H15">
        <v>-1522.2645047176848</v>
      </c>
      <c r="I15">
        <v>300.90182899249498</v>
      </c>
      <c r="J15">
        <v>160.67562697629899</v>
      </c>
      <c r="K15">
        <v>56.499875531069598</v>
      </c>
      <c r="L15">
        <v>0.31003246506090137</v>
      </c>
      <c r="M15">
        <v>-0.30970172650030342</v>
      </c>
      <c r="N15">
        <v>17.500427169364499</v>
      </c>
      <c r="O15">
        <v>17.500417217917601</v>
      </c>
      <c r="P15">
        <v>17.500408630341798</v>
      </c>
      <c r="Q15" t="s">
        <v>51</v>
      </c>
    </row>
    <row r="16" spans="1:17" x14ac:dyDescent="0.2">
      <c r="A16">
        <v>15</v>
      </c>
      <c r="B16">
        <v>732</v>
      </c>
      <c r="C16">
        <v>300</v>
      </c>
      <c r="D16">
        <v>0.256201064517732</v>
      </c>
      <c r="E16">
        <v>110.891433082142</v>
      </c>
      <c r="F16">
        <v>1.95029262042354</v>
      </c>
      <c r="G16">
        <v>-1824.7220434073954</v>
      </c>
      <c r="H16">
        <v>-1525.3229844767391</v>
      </c>
      <c r="I16">
        <v>297.87045214723099</v>
      </c>
      <c r="J16">
        <v>160.90320330244799</v>
      </c>
      <c r="K16">
        <v>56.858869238842701</v>
      </c>
      <c r="L16">
        <v>0.17931000130900429</v>
      </c>
      <c r="M16">
        <v>-0.17893814953537848</v>
      </c>
      <c r="N16">
        <v>10.176829489098299</v>
      </c>
      <c r="O16">
        <v>10.176818236219299</v>
      </c>
      <c r="P16">
        <v>10.1768085585877</v>
      </c>
      <c r="Q16" t="s">
        <v>51</v>
      </c>
    </row>
    <row r="17" spans="1:17" x14ac:dyDescent="0.2">
      <c r="A17">
        <v>16</v>
      </c>
      <c r="B17">
        <v>730</v>
      </c>
      <c r="C17">
        <v>300</v>
      </c>
      <c r="D17">
        <v>0.25457857748093798</v>
      </c>
      <c r="E17">
        <v>110.891557014162</v>
      </c>
      <c r="F17">
        <v>1.9471364869396901</v>
      </c>
      <c r="G17">
        <v>-1824.1296629940364</v>
      </c>
      <c r="H17">
        <v>-1526.5694353611432</v>
      </c>
      <c r="I17">
        <v>296.63147523837603</v>
      </c>
      <c r="J17">
        <v>161.04456868590501</v>
      </c>
      <c r="K17">
        <v>56.951096010968399</v>
      </c>
      <c r="L17">
        <v>0.13564454518160546</v>
      </c>
      <c r="M17">
        <v>-0.1352593032409678</v>
      </c>
      <c r="N17">
        <v>7.7058605263593902</v>
      </c>
      <c r="O17">
        <v>7.7058487642386897</v>
      </c>
      <c r="P17">
        <v>7.7058387403339097</v>
      </c>
      <c r="Q17" t="s">
        <v>51</v>
      </c>
    </row>
    <row r="18" spans="1:17" x14ac:dyDescent="0.2">
      <c r="A18">
        <v>17</v>
      </c>
      <c r="B18">
        <v>728</v>
      </c>
      <c r="C18">
        <v>300</v>
      </c>
      <c r="D18">
        <v>0.25294960795086002</v>
      </c>
      <c r="E18">
        <v>110.89153490821199</v>
      </c>
      <c r="F18">
        <v>1.9461637343357601</v>
      </c>
      <c r="G18">
        <v>-1823.5368954334167</v>
      </c>
      <c r="H18">
        <v>-1527.385922827895</v>
      </c>
      <c r="I18">
        <v>295.816532416256</v>
      </c>
      <c r="J18">
        <v>161.16862537876099</v>
      </c>
      <c r="K18">
        <v>56.979550564927401</v>
      </c>
      <c r="L18">
        <v>0.11242760109162418</v>
      </c>
      <c r="M18">
        <v>-0.11203550140322104</v>
      </c>
      <c r="N18">
        <v>6.3864651689281304</v>
      </c>
      <c r="O18">
        <v>6.3864530895614298</v>
      </c>
      <c r="P18">
        <v>6.386442896778</v>
      </c>
      <c r="Q18" t="s">
        <v>51</v>
      </c>
    </row>
    <row r="19" spans="1:17" x14ac:dyDescent="0.2">
      <c r="A19">
        <v>18</v>
      </c>
      <c r="B19">
        <v>726</v>
      </c>
      <c r="C19">
        <v>300</v>
      </c>
      <c r="D19">
        <v>0.251314116999449</v>
      </c>
      <c r="E19">
        <v>110.891452221249</v>
      </c>
      <c r="F19">
        <v>1.9460874117144</v>
      </c>
      <c r="G19">
        <v>-1822.9445799774398</v>
      </c>
      <c r="H19">
        <v>-1528.0253054977131</v>
      </c>
      <c r="I19">
        <v>295.17599430895598</v>
      </c>
      <c r="J19">
        <v>161.289339793952</v>
      </c>
      <c r="K19">
        <v>56.981742728379999</v>
      </c>
      <c r="L19">
        <v>9.7607563819349416E-2</v>
      </c>
      <c r="M19">
        <v>-9.7211290785124624E-2</v>
      </c>
      <c r="N19">
        <v>5.5420190476559501</v>
      </c>
      <c r="O19">
        <v>5.5420067332077503</v>
      </c>
      <c r="P19">
        <v>5.5419964449337904</v>
      </c>
      <c r="Q19" t="s">
        <v>51</v>
      </c>
    </row>
    <row r="20" spans="1:17" x14ac:dyDescent="0.2">
      <c r="A20">
        <v>19</v>
      </c>
      <c r="B20">
        <v>724</v>
      </c>
      <c r="C20">
        <v>300</v>
      </c>
      <c r="D20">
        <v>0.249672065386352</v>
      </c>
      <c r="E20">
        <v>110.891337216826</v>
      </c>
      <c r="F20">
        <v>1.9464753931548999</v>
      </c>
      <c r="G20">
        <v>-1822.3529232879207</v>
      </c>
      <c r="H20">
        <v>-1528.5727698381124</v>
      </c>
      <c r="I20">
        <v>294.62570724553899</v>
      </c>
      <c r="J20">
        <v>161.41167644250299</v>
      </c>
      <c r="K20">
        <v>56.970325752277098</v>
      </c>
      <c r="L20">
        <v>8.7140985021415679E-2</v>
      </c>
      <c r="M20">
        <v>-8.6741931306064071E-2</v>
      </c>
      <c r="N20">
        <v>4.9444735864754099</v>
      </c>
      <c r="O20">
        <v>4.9444610820605996</v>
      </c>
      <c r="P20">
        <v>4.9444507366088004</v>
      </c>
      <c r="Q20" t="s">
        <v>51</v>
      </c>
    </row>
    <row r="21" spans="1:17" x14ac:dyDescent="0.2">
      <c r="A21">
        <v>20</v>
      </c>
      <c r="B21">
        <v>760</v>
      </c>
      <c r="C21">
        <v>275</v>
      </c>
      <c r="D21">
        <v>0.30487392924551299</v>
      </c>
      <c r="E21">
        <v>110.883532198243</v>
      </c>
      <c r="F21">
        <v>1.9726739299047999</v>
      </c>
      <c r="G21">
        <v>-1834.7362219139636</v>
      </c>
      <c r="H21">
        <v>-1507.5634189781933</v>
      </c>
      <c r="I21">
        <v>316.677399131946</v>
      </c>
      <c r="J21">
        <v>160.86687182276799</v>
      </c>
      <c r="K21">
        <v>56.209762048000599</v>
      </c>
      <c r="L21">
        <v>0.86205729177888157</v>
      </c>
      <c r="M21">
        <v>-0.86186494554364412</v>
      </c>
      <c r="N21">
        <v>48.446745621918701</v>
      </c>
      <c r="O21">
        <v>48.4467409686129</v>
      </c>
      <c r="P21">
        <v>48.446735190432697</v>
      </c>
      <c r="Q21" t="s">
        <v>51</v>
      </c>
    </row>
    <row r="22" spans="1:17" x14ac:dyDescent="0.2">
      <c r="A22">
        <v>21</v>
      </c>
      <c r="B22">
        <v>758</v>
      </c>
      <c r="C22">
        <v>275</v>
      </c>
      <c r="D22">
        <v>0.303389904475587</v>
      </c>
      <c r="E22">
        <v>110.883614997786</v>
      </c>
      <c r="F22">
        <v>1.97380583716552</v>
      </c>
      <c r="G22">
        <v>-1834.1045204385202</v>
      </c>
      <c r="H22">
        <v>-1507.9114119660703</v>
      </c>
      <c r="I22">
        <v>316.34152761347298</v>
      </c>
      <c r="J22">
        <v>160.863917855984</v>
      </c>
      <c r="K22">
        <v>56.177569703117499</v>
      </c>
      <c r="L22">
        <v>0.86095132308378508</v>
      </c>
      <c r="M22">
        <v>-0.86075878794493421</v>
      </c>
      <c r="N22">
        <v>48.356853552905001</v>
      </c>
      <c r="O22">
        <v>48.3568487874741</v>
      </c>
      <c r="P22">
        <v>48.356843008287498</v>
      </c>
      <c r="Q22" t="s">
        <v>51</v>
      </c>
    </row>
    <row r="23" spans="1:17" x14ac:dyDescent="0.2">
      <c r="A23">
        <v>22</v>
      </c>
      <c r="B23">
        <v>756</v>
      </c>
      <c r="C23">
        <v>275</v>
      </c>
      <c r="D23">
        <v>0.30190011174270298</v>
      </c>
      <c r="E23">
        <v>110.883708999899</v>
      </c>
      <c r="F23">
        <v>1.97494423750274</v>
      </c>
      <c r="G23">
        <v>-1833.473734789357</v>
      </c>
      <c r="H23">
        <v>-1508.3065065475428</v>
      </c>
      <c r="I23">
        <v>315.95948138168802</v>
      </c>
      <c r="J23">
        <v>160.87556564500801</v>
      </c>
      <c r="K23">
        <v>56.145235340977599</v>
      </c>
      <c r="L23">
        <v>0.85740783467420734</v>
      </c>
      <c r="M23">
        <v>-0.85721444377462319</v>
      </c>
      <c r="N23">
        <v>48.130023404865</v>
      </c>
      <c r="O23">
        <v>48.130018509671601</v>
      </c>
      <c r="P23">
        <v>48.130012709697098</v>
      </c>
      <c r="Q23" t="s">
        <v>51</v>
      </c>
    </row>
    <row r="24" spans="1:17" x14ac:dyDescent="0.2">
      <c r="A24">
        <v>23</v>
      </c>
      <c r="B24">
        <v>754</v>
      </c>
      <c r="C24">
        <v>275</v>
      </c>
      <c r="D24">
        <v>0.30040451735384299</v>
      </c>
      <c r="E24">
        <v>110.883803743987</v>
      </c>
      <c r="F24">
        <v>1.9760883579681401</v>
      </c>
      <c r="G24">
        <v>-1832.8437250005795</v>
      </c>
      <c r="H24">
        <v>-1508.7009246330954</v>
      </c>
      <c r="I24">
        <v>315.577361164406</v>
      </c>
      <c r="J24">
        <v>160.88699246997399</v>
      </c>
      <c r="K24">
        <v>56.112776180717198</v>
      </c>
      <c r="L24">
        <v>0.85390212203515914</v>
      </c>
      <c r="M24">
        <v>-0.85370789451752571</v>
      </c>
      <c r="N24">
        <v>47.905436507423602</v>
      </c>
      <c r="O24">
        <v>47.905431481397997</v>
      </c>
      <c r="P24">
        <v>47.9054256613882</v>
      </c>
      <c r="Q24" t="s">
        <v>51</v>
      </c>
    </row>
    <row r="25" spans="1:17" x14ac:dyDescent="0.2">
      <c r="A25">
        <v>24</v>
      </c>
      <c r="B25">
        <v>752</v>
      </c>
      <c r="C25">
        <v>275</v>
      </c>
      <c r="D25">
        <v>0.29890308735307097</v>
      </c>
      <c r="E25">
        <v>110.883899237167</v>
      </c>
      <c r="F25">
        <v>1.97723809674282</v>
      </c>
      <c r="G25">
        <v>-1832.2144913432812</v>
      </c>
      <c r="H25">
        <v>-1509.0946774259949</v>
      </c>
      <c r="I25">
        <v>315.19515586718501</v>
      </c>
      <c r="J25">
        <v>160.89819677652</v>
      </c>
      <c r="K25">
        <v>56.0801956121675</v>
      </c>
      <c r="L25">
        <v>0.85043352801233352</v>
      </c>
      <c r="M25">
        <v>-0.85023848283138359</v>
      </c>
      <c r="N25">
        <v>47.683056515322399</v>
      </c>
      <c r="O25">
        <v>47.6830513574237</v>
      </c>
      <c r="P25">
        <v>47.683045518126796</v>
      </c>
      <c r="Q25" t="s">
        <v>51</v>
      </c>
    </row>
    <row r="26" spans="1:17" x14ac:dyDescent="0.2">
      <c r="A26">
        <v>25</v>
      </c>
      <c r="B26">
        <v>750</v>
      </c>
      <c r="C26">
        <v>275</v>
      </c>
      <c r="D26">
        <v>0.29739578751893703</v>
      </c>
      <c r="E26">
        <v>110.88399548659901</v>
      </c>
      <c r="F26">
        <v>1.97839335354471</v>
      </c>
      <c r="G26">
        <v>-1831.5860341111943</v>
      </c>
      <c r="H26">
        <v>-1509.4877758791549</v>
      </c>
      <c r="I26">
        <v>314.812854575595</v>
      </c>
      <c r="J26">
        <v>160.90917694913799</v>
      </c>
      <c r="K26">
        <v>56.047496969157798</v>
      </c>
      <c r="L26">
        <v>0.84700141003705165</v>
      </c>
      <c r="M26">
        <v>-0.84680556596358969</v>
      </c>
      <c r="N26">
        <v>47.462847864683098</v>
      </c>
      <c r="O26">
        <v>47.462842573899103</v>
      </c>
      <c r="P26">
        <v>47.462836716059002</v>
      </c>
      <c r="Q26" t="s">
        <v>51</v>
      </c>
    </row>
    <row r="27" spans="1:17" x14ac:dyDescent="0.2">
      <c r="A27">
        <v>26</v>
      </c>
      <c r="B27">
        <v>748</v>
      </c>
      <c r="C27">
        <v>275</v>
      </c>
      <c r="D27">
        <v>0.29588258336189799</v>
      </c>
      <c r="E27">
        <v>110.884092499514</v>
      </c>
      <c r="F27">
        <v>1.9795540295879801</v>
      </c>
      <c r="G27">
        <v>-1830.9583536208493</v>
      </c>
      <c r="H27">
        <v>-1509.8802307016301</v>
      </c>
      <c r="I27">
        <v>314.43044655078</v>
      </c>
      <c r="J27">
        <v>160.91993131241799</v>
      </c>
      <c r="K27">
        <v>56.0146835308121</v>
      </c>
      <c r="L27">
        <v>0.84360513974983553</v>
      </c>
      <c r="M27">
        <v>-0.84340851537462169</v>
      </c>
      <c r="N27">
        <v>47.244775753601097</v>
      </c>
      <c r="O27">
        <v>47.244770328948697</v>
      </c>
      <c r="P27">
        <v>47.244764453305201</v>
      </c>
      <c r="Q27" t="s">
        <v>51</v>
      </c>
    </row>
    <row r="28" spans="1:17" x14ac:dyDescent="0.2">
      <c r="A28">
        <v>27</v>
      </c>
      <c r="B28">
        <v>746</v>
      </c>
      <c r="C28">
        <v>275</v>
      </c>
      <c r="D28">
        <v>0.29436344012167098</v>
      </c>
      <c r="E28">
        <v>110.88419028317099</v>
      </c>
      <c r="F28">
        <v>1.9807200275367101</v>
      </c>
      <c r="G28">
        <v>-1830.3314502104565</v>
      </c>
      <c r="H28">
        <v>-1510.2720523644759</v>
      </c>
      <c r="I28">
        <v>314.04792122433003</v>
      </c>
      <c r="J28">
        <v>160.93045813277001</v>
      </c>
      <c r="K28">
        <v>55.981758522970097</v>
      </c>
      <c r="L28">
        <v>0.84024410259443116</v>
      </c>
      <c r="M28">
        <v>-0.84004671633190942</v>
      </c>
      <c r="N28">
        <v>47.028806121139098</v>
      </c>
      <c r="O28">
        <v>47.028800561664802</v>
      </c>
      <c r="P28">
        <v>47.028794668953402</v>
      </c>
      <c r="Q28" t="s">
        <v>51</v>
      </c>
    </row>
    <row r="29" spans="1:17" x14ac:dyDescent="0.2">
      <c r="A29">
        <v>28</v>
      </c>
      <c r="B29">
        <v>744</v>
      </c>
      <c r="C29">
        <v>275</v>
      </c>
      <c r="D29">
        <v>0.29283832276459099</v>
      </c>
      <c r="E29">
        <v>110.88428884493599</v>
      </c>
      <c r="F29">
        <v>1.98189125146451</v>
      </c>
      <c r="G29">
        <v>-1829.7053242409527</v>
      </c>
      <c r="H29">
        <v>-1510.6632511079988</v>
      </c>
      <c r="I29">
        <v>313.66526819386598</v>
      </c>
      <c r="J29">
        <v>160.94075561998901</v>
      </c>
      <c r="K29">
        <v>55.948725119503301</v>
      </c>
      <c r="L29">
        <v>0.83691769744350264</v>
      </c>
      <c r="M29">
        <v>-0.8367195675353879</v>
      </c>
      <c r="N29">
        <v>46.814905627962901</v>
      </c>
      <c r="O29">
        <v>46.814899932743202</v>
      </c>
      <c r="P29">
        <v>46.814894023695302</v>
      </c>
      <c r="Q29" t="s">
        <v>51</v>
      </c>
    </row>
    <row r="30" spans="1:17" x14ac:dyDescent="0.2">
      <c r="A30">
        <v>29</v>
      </c>
      <c r="B30">
        <v>742</v>
      </c>
      <c r="C30">
        <v>275</v>
      </c>
      <c r="D30">
        <v>0.291307195980888</v>
      </c>
      <c r="E30">
        <v>110.884388192248</v>
      </c>
      <c r="F30">
        <v>1.98306760681181</v>
      </c>
      <c r="G30">
        <v>-1829.0799760950108</v>
      </c>
      <c r="H30">
        <v>-1511.0538369471974</v>
      </c>
      <c r="I30">
        <v>313.28247721833702</v>
      </c>
      <c r="J30">
        <v>160.950821928881</v>
      </c>
      <c r="K30">
        <v>55.915586443629898</v>
      </c>
      <c r="L30">
        <v>0.8336253362247682</v>
      </c>
      <c r="M30">
        <v>-0.83342648074348924</v>
      </c>
      <c r="N30">
        <v>46.603041636959396</v>
      </c>
      <c r="O30">
        <v>46.603035805101101</v>
      </c>
      <c r="P30">
        <v>46.603029880443898</v>
      </c>
      <c r="Q30" t="s">
        <v>51</v>
      </c>
    </row>
    <row r="31" spans="1:17" x14ac:dyDescent="0.2">
      <c r="A31">
        <v>30</v>
      </c>
      <c r="B31">
        <v>740</v>
      </c>
      <c r="C31">
        <v>275</v>
      </c>
      <c r="D31">
        <v>0.28977002418201098</v>
      </c>
      <c r="E31">
        <v>110.88448833254699</v>
      </c>
      <c r="F31">
        <v>1.98424900035298</v>
      </c>
      <c r="G31">
        <v>-1828.4554061756385</v>
      </c>
      <c r="H31">
        <v>-1511.4438196764891</v>
      </c>
      <c r="I31">
        <v>312.89953821356602</v>
      </c>
      <c r="J31">
        <v>160.96065516036501</v>
      </c>
      <c r="K31">
        <v>55.882345568939002</v>
      </c>
      <c r="L31">
        <v>0.83036644357566625</v>
      </c>
      <c r="M31">
        <v>-0.83016688042768427</v>
      </c>
      <c r="N31">
        <v>46.393182195171001</v>
      </c>
      <c r="O31">
        <v>46.393176225811096</v>
      </c>
      <c r="P31">
        <v>46.393170286267903</v>
      </c>
      <c r="Q31" t="s">
        <v>51</v>
      </c>
    </row>
    <row r="32" spans="1:17" x14ac:dyDescent="0.2">
      <c r="A32">
        <v>31</v>
      </c>
      <c r="B32">
        <v>738</v>
      </c>
      <c r="C32">
        <v>275</v>
      </c>
      <c r="D32">
        <v>0.28822677149780002</v>
      </c>
      <c r="E32">
        <v>110.89161778872899</v>
      </c>
      <c r="F32">
        <v>1.9344572517744401</v>
      </c>
      <c r="G32">
        <v>-1827.9530553004984</v>
      </c>
      <c r="H32">
        <v>-1521.7623388292907</v>
      </c>
      <c r="I32">
        <v>302.81901758048599</v>
      </c>
      <c r="J32">
        <v>161.15849890374599</v>
      </c>
      <c r="K32">
        <v>57.324408532166302</v>
      </c>
      <c r="L32">
        <v>0.34170093004119861</v>
      </c>
      <c r="M32">
        <v>-0.34133677198090179</v>
      </c>
      <c r="N32">
        <v>19.569712762314101</v>
      </c>
      <c r="O32">
        <v>19.569702216526501</v>
      </c>
      <c r="P32">
        <v>19.569691353015099</v>
      </c>
      <c r="Q32" t="s">
        <v>51</v>
      </c>
    </row>
    <row r="33" spans="1:17" x14ac:dyDescent="0.2">
      <c r="A33">
        <v>32</v>
      </c>
      <c r="B33">
        <v>736</v>
      </c>
      <c r="C33">
        <v>275</v>
      </c>
      <c r="D33">
        <v>0.28667740177377199</v>
      </c>
      <c r="E33">
        <v>110.89259634633</v>
      </c>
      <c r="F33">
        <v>1.92000904265751</v>
      </c>
      <c r="G33">
        <v>-1827.3675979156303</v>
      </c>
      <c r="H33">
        <v>-1525.3373960304755</v>
      </c>
      <c r="I33">
        <v>299.29706664662598</v>
      </c>
      <c r="J33">
        <v>161.28071398511</v>
      </c>
      <c r="K33">
        <v>57.756288581246302</v>
      </c>
      <c r="L33">
        <v>0.187623944960563</v>
      </c>
      <c r="M33">
        <v>-0.18720846750814241</v>
      </c>
      <c r="N33">
        <v>10.8156481919054</v>
      </c>
      <c r="O33">
        <v>10.815636023402799</v>
      </c>
      <c r="P33">
        <v>10.815623587269201</v>
      </c>
      <c r="Q33" t="s">
        <v>51</v>
      </c>
    </row>
    <row r="34" spans="1:17" x14ac:dyDescent="0.2">
      <c r="A34">
        <v>33</v>
      </c>
      <c r="B34">
        <v>734</v>
      </c>
      <c r="C34">
        <v>275</v>
      </c>
      <c r="D34">
        <v>0.28512187856823701</v>
      </c>
      <c r="E34">
        <v>110.892677998612</v>
      </c>
      <c r="F34">
        <v>1.9166323248869901</v>
      </c>
      <c r="G34">
        <v>-1826.7717963219736</v>
      </c>
      <c r="H34">
        <v>-1526.6860466661769</v>
      </c>
      <c r="I34">
        <v>297.96098151313203</v>
      </c>
      <c r="J34">
        <v>161.37775071071101</v>
      </c>
      <c r="K34">
        <v>57.858086059960002</v>
      </c>
      <c r="L34">
        <v>0.13956654327186532</v>
      </c>
      <c r="M34">
        <v>-0.13913549020538393</v>
      </c>
      <c r="N34">
        <v>8.0534050208942105</v>
      </c>
      <c r="O34">
        <v>8.0533922185783506</v>
      </c>
      <c r="P34">
        <v>8.0533793140578602</v>
      </c>
      <c r="Q34" t="s">
        <v>51</v>
      </c>
    </row>
    <row r="35" spans="1:17" x14ac:dyDescent="0.2">
      <c r="A35">
        <v>34</v>
      </c>
      <c r="B35">
        <v>732</v>
      </c>
      <c r="C35">
        <v>275</v>
      </c>
      <c r="D35">
        <v>0.28356016514948101</v>
      </c>
      <c r="E35">
        <v>110.892637428356</v>
      </c>
      <c r="F35">
        <v>1.91569028057863</v>
      </c>
      <c r="G35">
        <v>-1826.1761078384161</v>
      </c>
      <c r="H35">
        <v>-1527.5388931864907</v>
      </c>
      <c r="I35">
        <v>297.11284938810797</v>
      </c>
      <c r="J35">
        <v>161.47350467981599</v>
      </c>
      <c r="K35">
        <v>57.886516705018003</v>
      </c>
      <c r="L35">
        <v>0.11488589943112314</v>
      </c>
      <c r="M35">
        <v>-0.11444715117663846</v>
      </c>
      <c r="N35">
        <v>6.6282845349490804</v>
      </c>
      <c r="O35">
        <v>6.62827132232061</v>
      </c>
      <c r="P35">
        <v>6.6282581960336504</v>
      </c>
      <c r="Q35" t="s">
        <v>51</v>
      </c>
    </row>
    <row r="36" spans="1:17" x14ac:dyDescent="0.2">
      <c r="A36">
        <v>35</v>
      </c>
      <c r="B36">
        <v>730</v>
      </c>
      <c r="C36">
        <v>275</v>
      </c>
      <c r="D36">
        <v>0.28199222449285299</v>
      </c>
      <c r="E36">
        <v>110.89254836766</v>
      </c>
      <c r="F36">
        <v>1.9157038759394001</v>
      </c>
      <c r="G36">
        <v>-1825.5811129024989</v>
      </c>
      <c r="H36">
        <v>-1528.1963025503521</v>
      </c>
      <c r="I36">
        <v>296.45680819867999</v>
      </c>
      <c r="J36">
        <v>161.57223589051699</v>
      </c>
      <c r="K36">
        <v>57.886059406379999</v>
      </c>
      <c r="L36">
        <v>9.9387036996965897E-2</v>
      </c>
      <c r="M36">
        <v>-9.8943691339127837E-2</v>
      </c>
      <c r="N36">
        <v>5.73081842747309</v>
      </c>
      <c r="O36">
        <v>5.7308048955234003</v>
      </c>
      <c r="P36">
        <v>5.7307916451042198</v>
      </c>
      <c r="Q36" t="s">
        <v>51</v>
      </c>
    </row>
    <row r="37" spans="1:17" x14ac:dyDescent="0.2">
      <c r="A37">
        <v>36</v>
      </c>
      <c r="B37">
        <v>728</v>
      </c>
      <c r="C37">
        <v>275</v>
      </c>
      <c r="D37">
        <v>0.280418019277831</v>
      </c>
      <c r="E37">
        <v>110.892433808954</v>
      </c>
      <c r="F37">
        <v>1.9162016810762901</v>
      </c>
      <c r="G37">
        <v>-1824.9869101622755</v>
      </c>
      <c r="H37">
        <v>-1528.7544499535718</v>
      </c>
      <c r="I37">
        <v>295.89806369533102</v>
      </c>
      <c r="J37">
        <v>161.67551687087001</v>
      </c>
      <c r="K37">
        <v>57.870961550701097</v>
      </c>
      <c r="L37">
        <v>8.8545165444598617E-2</v>
      </c>
      <c r="M37">
        <v>-8.8098795499263083E-2</v>
      </c>
      <c r="N37">
        <v>5.10172759562409</v>
      </c>
      <c r="O37">
        <v>5.1017137931054704</v>
      </c>
      <c r="P37">
        <v>5.1017004684620604</v>
      </c>
      <c r="Q37" t="s">
        <v>51</v>
      </c>
    </row>
    <row r="38" spans="1:17" x14ac:dyDescent="0.2">
      <c r="A38">
        <v>37</v>
      </c>
      <c r="B38">
        <v>726</v>
      </c>
      <c r="C38">
        <v>275</v>
      </c>
      <c r="D38">
        <v>0.27883751188509998</v>
      </c>
      <c r="E38">
        <v>110.892303284256</v>
      </c>
      <c r="F38">
        <v>1.9169827522240701</v>
      </c>
      <c r="G38">
        <v>-1824.3935053105718</v>
      </c>
      <c r="H38">
        <v>-1529.2544647580858</v>
      </c>
      <c r="I38">
        <v>295.396050374737</v>
      </c>
      <c r="J38">
        <v>161.784196800659</v>
      </c>
      <c r="K38">
        <v>57.847314043696898</v>
      </c>
      <c r="L38">
        <v>8.043040224060384E-2</v>
      </c>
      <c r="M38">
        <v>-7.9981930875877474E-2</v>
      </c>
      <c r="N38">
        <v>4.6301054777724699</v>
      </c>
      <c r="O38">
        <v>4.6300914354437799</v>
      </c>
      <c r="P38">
        <v>4.6300780660725103</v>
      </c>
      <c r="Q38" t="s">
        <v>51</v>
      </c>
    </row>
    <row r="39" spans="1:17" x14ac:dyDescent="0.2">
      <c r="A39">
        <v>38</v>
      </c>
      <c r="B39">
        <v>760</v>
      </c>
      <c r="C39">
        <v>250</v>
      </c>
      <c r="D39">
        <v>0.33149155495329902</v>
      </c>
      <c r="E39">
        <v>110.88382965198301</v>
      </c>
      <c r="F39">
        <v>1.9385417904997999</v>
      </c>
      <c r="G39">
        <v>-1836.1583053788154</v>
      </c>
      <c r="H39">
        <v>-1508.5456797575914</v>
      </c>
      <c r="I39">
        <v>317.10333259039498</v>
      </c>
      <c r="J39">
        <v>161.682368588635</v>
      </c>
      <c r="K39">
        <v>57.1996075583154</v>
      </c>
      <c r="L39">
        <v>0.8436489247118184</v>
      </c>
      <c r="M39">
        <v>-0.8434105568324729</v>
      </c>
      <c r="N39">
        <v>48.244821112449699</v>
      </c>
      <c r="O39">
        <v>48.244816159444298</v>
      </c>
      <c r="P39">
        <v>48.244807911823202</v>
      </c>
      <c r="Q39" t="s">
        <v>51</v>
      </c>
    </row>
    <row r="40" spans="1:17" x14ac:dyDescent="0.2">
      <c r="A40">
        <v>39</v>
      </c>
      <c r="B40">
        <v>758</v>
      </c>
      <c r="C40">
        <v>250</v>
      </c>
      <c r="D40">
        <v>0.330059157251614</v>
      </c>
      <c r="E40">
        <v>110.88391377024899</v>
      </c>
      <c r="F40">
        <v>1.93975784907444</v>
      </c>
      <c r="G40">
        <v>-1835.5257767220414</v>
      </c>
      <c r="H40">
        <v>-1508.8957936721215</v>
      </c>
      <c r="I40">
        <v>316.76542818733799</v>
      </c>
      <c r="J40">
        <v>161.68395281176899</v>
      </c>
      <c r="K40">
        <v>57.1637917707911</v>
      </c>
      <c r="L40">
        <v>0.84256444565708877</v>
      </c>
      <c r="M40">
        <v>-0.8423258782681714</v>
      </c>
      <c r="N40">
        <v>48.1526013306839</v>
      </c>
      <c r="O40">
        <v>48.152596219102101</v>
      </c>
      <c r="P40">
        <v>48.152587968759597</v>
      </c>
      <c r="Q40" t="s">
        <v>51</v>
      </c>
    </row>
    <row r="41" spans="1:17" x14ac:dyDescent="0.2">
      <c r="A41">
        <v>40</v>
      </c>
      <c r="B41">
        <v>756</v>
      </c>
      <c r="C41">
        <v>250</v>
      </c>
      <c r="D41">
        <v>0.32862119224602798</v>
      </c>
      <c r="E41">
        <v>110.88400867904301</v>
      </c>
      <c r="F41">
        <v>1.9409697385823601</v>
      </c>
      <c r="G41">
        <v>-1834.8941572689084</v>
      </c>
      <c r="H41">
        <v>-1509.289198434265</v>
      </c>
      <c r="I41">
        <v>316.38503667687399</v>
      </c>
      <c r="J41">
        <v>161.69868780271699</v>
      </c>
      <c r="K41">
        <v>57.128149128193201</v>
      </c>
      <c r="L41">
        <v>0.83923341851542632</v>
      </c>
      <c r="M41">
        <v>-0.8389939780992588</v>
      </c>
      <c r="N41">
        <v>47.932231201365802</v>
      </c>
      <c r="O41">
        <v>47.932225914998497</v>
      </c>
      <c r="P41">
        <v>47.932217638899502</v>
      </c>
      <c r="Q41" t="s">
        <v>51</v>
      </c>
    </row>
    <row r="42" spans="1:17" x14ac:dyDescent="0.2">
      <c r="A42">
        <v>41</v>
      </c>
      <c r="B42">
        <v>754</v>
      </c>
      <c r="C42">
        <v>250</v>
      </c>
      <c r="D42">
        <v>0.32717762741566497</v>
      </c>
      <c r="E42">
        <v>110.884104336595</v>
      </c>
      <c r="F42">
        <v>1.94218779401654</v>
      </c>
      <c r="G42">
        <v>-1834.2633105332011</v>
      </c>
      <c r="H42">
        <v>-1509.6819772300544</v>
      </c>
      <c r="I42">
        <v>316.00452539147199</v>
      </c>
      <c r="J42">
        <v>161.713247059731</v>
      </c>
      <c r="K42">
        <v>57.092370098404103</v>
      </c>
      <c r="L42">
        <v>0.83593737720283401</v>
      </c>
      <c r="M42">
        <v>-0.83569708433930845</v>
      </c>
      <c r="N42">
        <v>47.713982981829297</v>
      </c>
      <c r="O42">
        <v>47.7139775189113</v>
      </c>
      <c r="P42">
        <v>47.713969218007698</v>
      </c>
      <c r="Q42" t="s">
        <v>51</v>
      </c>
    </row>
    <row r="43" spans="1:17" x14ac:dyDescent="0.2">
      <c r="A43">
        <v>42</v>
      </c>
      <c r="B43">
        <v>752</v>
      </c>
      <c r="C43">
        <v>250</v>
      </c>
      <c r="D43">
        <v>0.32572842998585799</v>
      </c>
      <c r="E43">
        <v>110.88420074995</v>
      </c>
      <c r="F43">
        <v>1.9434119028948</v>
      </c>
      <c r="G43">
        <v>-1833.6332368758387</v>
      </c>
      <c r="H43">
        <v>-1510.0741403541942</v>
      </c>
      <c r="I43">
        <v>315.62388394236001</v>
      </c>
      <c r="J43">
        <v>161.727627936087</v>
      </c>
      <c r="K43">
        <v>57.056458584401703</v>
      </c>
      <c r="L43">
        <v>0.83267571906155047</v>
      </c>
      <c r="M43">
        <v>-0.83243459416780852</v>
      </c>
      <c r="N43">
        <v>47.497823122295898</v>
      </c>
      <c r="O43">
        <v>47.497817481101698</v>
      </c>
      <c r="P43">
        <v>47.4978091563435</v>
      </c>
      <c r="Q43" t="s">
        <v>51</v>
      </c>
    </row>
    <row r="44" spans="1:17" x14ac:dyDescent="0.2">
      <c r="A44">
        <v>43</v>
      </c>
      <c r="B44">
        <v>750</v>
      </c>
      <c r="C44">
        <v>250</v>
      </c>
      <c r="D44">
        <v>0.324273566925672</v>
      </c>
      <c r="E44">
        <v>110.884297926305</v>
      </c>
      <c r="F44">
        <v>1.94464195408473</v>
      </c>
      <c r="G44">
        <v>-1833.0039366808012</v>
      </c>
      <c r="H44">
        <v>-1510.4656978753139</v>
      </c>
      <c r="I44">
        <v>315.24310210299097</v>
      </c>
      <c r="J44">
        <v>161.741827728608</v>
      </c>
      <c r="K44">
        <v>57.020418434042497</v>
      </c>
      <c r="L44">
        <v>0.82944785450714342</v>
      </c>
      <c r="M44">
        <v>-0.82920591784089215</v>
      </c>
      <c r="N44">
        <v>47.283718780731299</v>
      </c>
      <c r="O44">
        <v>47.283712959575602</v>
      </c>
      <c r="P44">
        <v>47.283704611910998</v>
      </c>
      <c r="Q44" t="s">
        <v>51</v>
      </c>
    </row>
    <row r="45" spans="1:17" x14ac:dyDescent="0.2">
      <c r="A45">
        <v>44</v>
      </c>
      <c r="B45">
        <v>748</v>
      </c>
      <c r="C45">
        <v>250</v>
      </c>
      <c r="D45">
        <v>0.32281300494540499</v>
      </c>
      <c r="E45">
        <v>110.88439587294199</v>
      </c>
      <c r="F45">
        <v>1.9458778377550701</v>
      </c>
      <c r="G45">
        <v>-1832.375410353724</v>
      </c>
      <c r="H45">
        <v>-1510.856659640818</v>
      </c>
      <c r="I45">
        <v>314.862169804502</v>
      </c>
      <c r="J45">
        <v>161.75584367961599</v>
      </c>
      <c r="K45">
        <v>56.984253441556199</v>
      </c>
      <c r="L45">
        <v>0.82625320666603252</v>
      </c>
      <c r="M45">
        <v>-0.82601047832868657</v>
      </c>
      <c r="N45">
        <v>47.071637804049601</v>
      </c>
      <c r="O45">
        <v>47.0716318012879</v>
      </c>
      <c r="P45">
        <v>47.071623431663198</v>
      </c>
      <c r="Q45" t="s">
        <v>51</v>
      </c>
    </row>
    <row r="46" spans="1:17" x14ac:dyDescent="0.2">
      <c r="A46">
        <v>45</v>
      </c>
      <c r="B46">
        <v>746</v>
      </c>
      <c r="C46">
        <v>250</v>
      </c>
      <c r="D46">
        <v>0.32134671049404001</v>
      </c>
      <c r="E46">
        <v>110.88449459714499</v>
      </c>
      <c r="F46">
        <v>1.9471194453329801</v>
      </c>
      <c r="G46">
        <v>-1831.7476583201994</v>
      </c>
      <c r="H46">
        <v>-1511.2470352809578</v>
      </c>
      <c r="I46">
        <v>314.48107713160601</v>
      </c>
      <c r="J46">
        <v>161.76967297858801</v>
      </c>
      <c r="K46">
        <v>56.947967348856103</v>
      </c>
      <c r="L46">
        <v>0.82309121104617378</v>
      </c>
      <c r="M46">
        <v>-0.82284771098584564</v>
      </c>
      <c r="N46">
        <v>46.861548711009</v>
      </c>
      <c r="O46">
        <v>46.861542525038899</v>
      </c>
      <c r="P46">
        <v>46.861534134398703</v>
      </c>
      <c r="Q46" t="s">
        <v>51</v>
      </c>
    </row>
    <row r="47" spans="1:17" x14ac:dyDescent="0.2">
      <c r="A47">
        <v>46</v>
      </c>
      <c r="B47">
        <v>744</v>
      </c>
      <c r="C47">
        <v>250</v>
      </c>
      <c r="D47">
        <v>0.31987464975667701</v>
      </c>
      <c r="E47">
        <v>110.88459228329199</v>
      </c>
      <c r="F47">
        <v>1.9456715005057199</v>
      </c>
      <c r="G47">
        <v>-1831.1208968897563</v>
      </c>
      <c r="H47">
        <v>-1512.0134054451496</v>
      </c>
      <c r="I47">
        <v>313.729892252149</v>
      </c>
      <c r="J47">
        <v>161.81378355354499</v>
      </c>
      <c r="K47">
        <v>56.990397533433097</v>
      </c>
      <c r="L47">
        <v>0.80152838806494286</v>
      </c>
      <c r="M47">
        <v>-0.80127634556690575</v>
      </c>
      <c r="N47">
        <v>45.667164780052403</v>
      </c>
      <c r="O47">
        <v>45.667158233046102</v>
      </c>
      <c r="P47">
        <v>45.667149552677202</v>
      </c>
      <c r="Q47" t="s">
        <v>51</v>
      </c>
    </row>
    <row r="48" spans="1:17" x14ac:dyDescent="0.2">
      <c r="A48">
        <v>47</v>
      </c>
      <c r="B48">
        <v>742</v>
      </c>
      <c r="C48">
        <v>250</v>
      </c>
      <c r="D48">
        <v>0.318396788651924</v>
      </c>
      <c r="E48">
        <v>110.892297428083</v>
      </c>
      <c r="F48">
        <v>1.9008243442164301</v>
      </c>
      <c r="G48">
        <v>-1830.6244197832598</v>
      </c>
      <c r="H48">
        <v>-1521.347636677529</v>
      </c>
      <c r="I48">
        <v>304.665799099205</v>
      </c>
      <c r="J48">
        <v>161.717385637273</v>
      </c>
      <c r="K48">
        <v>58.3390557709821</v>
      </c>
      <c r="L48">
        <v>0.36601928395463568</v>
      </c>
      <c r="M48">
        <v>-0.36560949656752484</v>
      </c>
      <c r="N48">
        <v>21.332775177102299</v>
      </c>
      <c r="O48">
        <v>21.332764622840401</v>
      </c>
      <c r="P48">
        <v>21.332750424124502</v>
      </c>
      <c r="Q48" t="s">
        <v>51</v>
      </c>
    </row>
    <row r="49" spans="1:17" x14ac:dyDescent="0.2">
      <c r="A49">
        <v>48</v>
      </c>
      <c r="B49">
        <v>740</v>
      </c>
      <c r="C49">
        <v>250</v>
      </c>
      <c r="D49">
        <v>0.31691309282929903</v>
      </c>
      <c r="E49">
        <v>110.893860471186</v>
      </c>
      <c r="F49">
        <v>1.8846306395149199</v>
      </c>
      <c r="G49">
        <v>-1830.0452655590334</v>
      </c>
      <c r="H49">
        <v>-1525.2995489248708</v>
      </c>
      <c r="I49">
        <v>300.79569353389002</v>
      </c>
      <c r="J49">
        <v>161.71602641688199</v>
      </c>
      <c r="K49">
        <v>58.841163963952397</v>
      </c>
      <c r="L49">
        <v>0.19559667860276789</v>
      </c>
      <c r="M49">
        <v>-0.19512592991860336</v>
      </c>
      <c r="N49">
        <v>11.485424073021701</v>
      </c>
      <c r="O49">
        <v>11.4854117101595</v>
      </c>
      <c r="P49">
        <v>11.4853953225398</v>
      </c>
      <c r="Q49" t="s">
        <v>51</v>
      </c>
    </row>
    <row r="50" spans="1:17" x14ac:dyDescent="0.2">
      <c r="A50">
        <v>49</v>
      </c>
      <c r="B50">
        <v>738</v>
      </c>
      <c r="C50">
        <v>250</v>
      </c>
      <c r="D50">
        <v>0.31542352766652099</v>
      </c>
      <c r="E50">
        <v>110.89373881154999</v>
      </c>
      <c r="F50">
        <v>1.88088792939398</v>
      </c>
      <c r="G50">
        <v>-1829.4433391711409</v>
      </c>
      <c r="H50">
        <v>-1526.7656776393694</v>
      </c>
      <c r="I50">
        <v>299.345628716541</v>
      </c>
      <c r="J50">
        <v>161.76614387346501</v>
      </c>
      <c r="K50">
        <v>58.958185162727801</v>
      </c>
      <c r="L50">
        <v>0.14254611633339903</v>
      </c>
      <c r="M50">
        <v>-0.1420569266074137</v>
      </c>
      <c r="N50">
        <v>8.3795505101578804</v>
      </c>
      <c r="O50">
        <v>8.3795373865497709</v>
      </c>
      <c r="P50">
        <v>8.37952034369121</v>
      </c>
      <c r="Q50" t="s">
        <v>51</v>
      </c>
    </row>
    <row r="51" spans="1:17" x14ac:dyDescent="0.2">
      <c r="A51">
        <v>50</v>
      </c>
      <c r="B51">
        <v>736</v>
      </c>
      <c r="C51">
        <v>250</v>
      </c>
      <c r="D51">
        <v>0.31392805826685999</v>
      </c>
      <c r="E51">
        <v>110.893674875928</v>
      </c>
      <c r="F51">
        <v>1.87996251170762</v>
      </c>
      <c r="G51">
        <v>-1828.8445335193132</v>
      </c>
      <c r="H51">
        <v>-1527.6496195961713</v>
      </c>
      <c r="I51">
        <v>298.46969978957202</v>
      </c>
      <c r="J51">
        <v>161.83640109024901</v>
      </c>
      <c r="K51">
        <v>58.987173512944501</v>
      </c>
      <c r="L51">
        <v>0.11670054139334482</v>
      </c>
      <c r="M51">
        <v>-0.11620270199757715</v>
      </c>
      <c r="N51">
        <v>6.8586570309674997</v>
      </c>
      <c r="O51">
        <v>6.8586433936586397</v>
      </c>
      <c r="P51">
        <v>6.8586260533505001</v>
      </c>
      <c r="Q51" t="s">
        <v>51</v>
      </c>
    </row>
    <row r="52" spans="1:17" x14ac:dyDescent="0.2">
      <c r="A52">
        <v>51</v>
      </c>
      <c r="B52">
        <v>734</v>
      </c>
      <c r="C52">
        <v>250</v>
      </c>
      <c r="D52">
        <v>0.31242664945638698</v>
      </c>
      <c r="E52">
        <v>110.893577003358</v>
      </c>
      <c r="F52">
        <v>1.8800626128358</v>
      </c>
      <c r="G52">
        <v>-1828.2466953930691</v>
      </c>
      <c r="H52">
        <v>-1528.3224356623721</v>
      </c>
      <c r="I52">
        <v>297.80083713913302</v>
      </c>
      <c r="J52">
        <v>161.91664628654999</v>
      </c>
      <c r="K52">
        <v>58.983980770774103</v>
      </c>
      <c r="L52">
        <v>0.10067784349020024</v>
      </c>
      <c r="M52">
        <v>-0.10017490206339424</v>
      </c>
      <c r="N52">
        <v>5.91292650293581</v>
      </c>
      <c r="O52">
        <v>5.9129124437696197</v>
      </c>
      <c r="P52">
        <v>5.9128949367422701</v>
      </c>
      <c r="Q52" t="s">
        <v>51</v>
      </c>
    </row>
    <row r="53" spans="1:17" x14ac:dyDescent="0.2">
      <c r="A53">
        <v>52</v>
      </c>
      <c r="B53">
        <v>732</v>
      </c>
      <c r="C53">
        <v>250</v>
      </c>
      <c r="D53">
        <v>0.31091926578122597</v>
      </c>
      <c r="E53">
        <v>110.893461312932</v>
      </c>
      <c r="F53">
        <v>1.88067370419764</v>
      </c>
      <c r="G53">
        <v>-1827.6497929300815</v>
      </c>
      <c r="H53">
        <v>-1528.8897869861896</v>
      </c>
      <c r="I53">
        <v>297.23514667925502</v>
      </c>
      <c r="J53">
        <v>162.00457284158099</v>
      </c>
      <c r="K53">
        <v>58.964753463303602</v>
      </c>
      <c r="L53">
        <v>8.9553626311039733E-2</v>
      </c>
      <c r="M53">
        <v>-8.9047355374615722E-2</v>
      </c>
      <c r="N53">
        <v>5.2548751675640402</v>
      </c>
      <c r="O53">
        <v>5.2548607344911202</v>
      </c>
      <c r="P53">
        <v>5.2548431265190398</v>
      </c>
      <c r="Q53" t="s">
        <v>51</v>
      </c>
    </row>
    <row r="54" spans="1:17" x14ac:dyDescent="0.2">
      <c r="A54">
        <v>53</v>
      </c>
      <c r="B54">
        <v>730</v>
      </c>
      <c r="C54">
        <v>250</v>
      </c>
      <c r="D54">
        <v>0.30940587150476501</v>
      </c>
      <c r="E54">
        <v>110.893334253118</v>
      </c>
      <c r="F54">
        <v>1.8815808797868701</v>
      </c>
      <c r="G54">
        <v>-1827.0537735534394</v>
      </c>
      <c r="H54">
        <v>-1529.3959769184064</v>
      </c>
      <c r="I54">
        <v>296.72903782380098</v>
      </c>
      <c r="J54">
        <v>162.099367958632</v>
      </c>
      <c r="K54">
        <v>58.936256976462602</v>
      </c>
      <c r="L54">
        <v>8.1269031035546793E-2</v>
      </c>
      <c r="M54">
        <v>-8.0760461191857091E-2</v>
      </c>
      <c r="N54">
        <v>4.7639375597193201</v>
      </c>
      <c r="O54">
        <v>4.7639227825025703</v>
      </c>
      <c r="P54">
        <v>4.7639051121337701</v>
      </c>
      <c r="Q54" t="s">
        <v>51</v>
      </c>
    </row>
    <row r="55" spans="1:17" x14ac:dyDescent="0.2">
      <c r="A55">
        <v>54</v>
      </c>
      <c r="B55">
        <v>760</v>
      </c>
      <c r="C55">
        <v>225</v>
      </c>
      <c r="D55">
        <v>0.35810918066108399</v>
      </c>
      <c r="E55">
        <v>110.884130504501</v>
      </c>
      <c r="F55">
        <v>1.8992098574286</v>
      </c>
      <c r="G55">
        <v>-1837.6074668831156</v>
      </c>
      <c r="H55">
        <v>-1509.4969995608169</v>
      </c>
      <c r="I55">
        <v>317.58541964366901</v>
      </c>
      <c r="J55">
        <v>162.51280990446901</v>
      </c>
      <c r="K55">
        <v>58.384348665202403</v>
      </c>
      <c r="L55">
        <v>0.82308304128710585</v>
      </c>
      <c r="M55">
        <v>-0.82278539700926479</v>
      </c>
      <c r="N55">
        <v>48.040663261403203</v>
      </c>
      <c r="O55">
        <v>48.040658944328399</v>
      </c>
      <c r="P55">
        <v>48.040646958303498</v>
      </c>
      <c r="Q55" t="s">
        <v>51</v>
      </c>
    </row>
    <row r="56" spans="1:17" x14ac:dyDescent="0.2">
      <c r="A56">
        <v>55</v>
      </c>
      <c r="B56">
        <v>758</v>
      </c>
      <c r="C56">
        <v>225</v>
      </c>
      <c r="D56">
        <v>0.356728410027642</v>
      </c>
      <c r="E56">
        <v>110.88421790471099</v>
      </c>
      <c r="F56">
        <v>1.90053349456431</v>
      </c>
      <c r="G56">
        <v>-1836.9740379605723</v>
      </c>
      <c r="H56">
        <v>-1509.8573334703974</v>
      </c>
      <c r="I56">
        <v>317.23766720385998</v>
      </c>
      <c r="J56">
        <v>162.52251098625501</v>
      </c>
      <c r="K56">
        <v>58.343732547650298</v>
      </c>
      <c r="L56">
        <v>0.82161699486144146</v>
      </c>
      <c r="M56">
        <v>-0.8213189819626886</v>
      </c>
      <c r="N56">
        <v>47.9216781540825</v>
      </c>
      <c r="O56">
        <v>47.921673609706602</v>
      </c>
      <c r="P56">
        <v>47.921661609954697</v>
      </c>
      <c r="Q56" t="s">
        <v>51</v>
      </c>
    </row>
    <row r="57" spans="1:17" x14ac:dyDescent="0.2">
      <c r="A57">
        <v>56</v>
      </c>
      <c r="B57">
        <v>756</v>
      </c>
      <c r="C57">
        <v>225</v>
      </c>
      <c r="D57">
        <v>0.35534227274935698</v>
      </c>
      <c r="E57">
        <v>110.88431365724399</v>
      </c>
      <c r="F57">
        <v>1.9018440866872199</v>
      </c>
      <c r="G57">
        <v>-1836.3414868327297</v>
      </c>
      <c r="H57">
        <v>-1510.2488497275658</v>
      </c>
      <c r="I57">
        <v>316.859122162495</v>
      </c>
      <c r="J57">
        <v>162.541486197994</v>
      </c>
      <c r="K57">
        <v>58.303577266625801</v>
      </c>
      <c r="L57">
        <v>0.81852904497716061</v>
      </c>
      <c r="M57">
        <v>-0.81823012659779715</v>
      </c>
      <c r="N57">
        <v>47.708601138879899</v>
      </c>
      <c r="O57">
        <v>47.708596355911297</v>
      </c>
      <c r="P57">
        <v>47.708584321043297</v>
      </c>
      <c r="Q57" t="s">
        <v>51</v>
      </c>
    </row>
    <row r="58" spans="1:17" x14ac:dyDescent="0.2">
      <c r="A58">
        <v>57</v>
      </c>
      <c r="B58">
        <v>754</v>
      </c>
      <c r="C58">
        <v>225</v>
      </c>
      <c r="D58">
        <v>0.35395073747748601</v>
      </c>
      <c r="E58">
        <v>110.88441016470099</v>
      </c>
      <c r="F58">
        <v>1.9031615724459401</v>
      </c>
      <c r="G58">
        <v>-1835.7097048929336</v>
      </c>
      <c r="H58">
        <v>-1510.6397979186543</v>
      </c>
      <c r="I58">
        <v>316.48040475004302</v>
      </c>
      <c r="J58">
        <v>162.56034053543601</v>
      </c>
      <c r="K58">
        <v>58.263266645402098</v>
      </c>
      <c r="L58">
        <v>0.8154731103693591</v>
      </c>
      <c r="M58">
        <v>-0.81517330911792285</v>
      </c>
      <c r="N58">
        <v>47.497511919609998</v>
      </c>
      <c r="O58">
        <v>47.497506894942703</v>
      </c>
      <c r="P58">
        <v>47.497494826169401</v>
      </c>
      <c r="Q58" t="s">
        <v>51</v>
      </c>
    </row>
    <row r="59" spans="1:17" x14ac:dyDescent="0.2">
      <c r="A59">
        <v>58</v>
      </c>
      <c r="B59">
        <v>752</v>
      </c>
      <c r="C59">
        <v>225</v>
      </c>
      <c r="D59">
        <v>0.35255377261864101</v>
      </c>
      <c r="E59">
        <v>110.88450743424499</v>
      </c>
      <c r="F59">
        <v>1.9044858301951799</v>
      </c>
      <c r="G59">
        <v>-1835.0786926086757</v>
      </c>
      <c r="H59">
        <v>-1511.0301874246434</v>
      </c>
      <c r="I59">
        <v>316.10150526490798</v>
      </c>
      <c r="J59">
        <v>162.57906977004299</v>
      </c>
      <c r="K59">
        <v>58.222805166726502</v>
      </c>
      <c r="L59">
        <v>0.81244864518865423</v>
      </c>
      <c r="M59">
        <v>-0.81214798356384321</v>
      </c>
      <c r="N59">
        <v>47.288379905016299</v>
      </c>
      <c r="O59">
        <v>47.288374635593399</v>
      </c>
      <c r="P59">
        <v>47.288362534130101</v>
      </c>
      <c r="Q59" t="s">
        <v>51</v>
      </c>
    </row>
    <row r="60" spans="1:17" x14ac:dyDescent="0.2">
      <c r="A60">
        <v>59</v>
      </c>
      <c r="B60">
        <v>750</v>
      </c>
      <c r="C60">
        <v>225</v>
      </c>
      <c r="D60">
        <v>0.35115134633240402</v>
      </c>
      <c r="E60">
        <v>110.88460444183001</v>
      </c>
      <c r="F60">
        <v>1.90411664981441</v>
      </c>
      <c r="G60">
        <v>-1834.4485298916902</v>
      </c>
      <c r="H60">
        <v>-1511.6529075738702</v>
      </c>
      <c r="I60">
        <v>315.49493130239199</v>
      </c>
      <c r="J60">
        <v>162.60550830869499</v>
      </c>
      <c r="K60">
        <v>58.234144663688298</v>
      </c>
      <c r="L60">
        <v>0.7982234820114561</v>
      </c>
      <c r="M60">
        <v>-0.79791682112770601</v>
      </c>
      <c r="N60">
        <v>46.468893674330303</v>
      </c>
      <c r="O60">
        <v>46.468888075046799</v>
      </c>
      <c r="P60">
        <v>46.468875730790202</v>
      </c>
      <c r="Q60" t="s">
        <v>51</v>
      </c>
    </row>
    <row r="61" spans="1:17" x14ac:dyDescent="0.2">
      <c r="A61">
        <v>60</v>
      </c>
      <c r="B61">
        <v>748</v>
      </c>
      <c r="C61">
        <v>225</v>
      </c>
      <c r="D61">
        <v>0.34974342652891699</v>
      </c>
      <c r="E61">
        <v>110.884698601632</v>
      </c>
      <c r="F61">
        <v>1.9013895081072001</v>
      </c>
      <c r="G61">
        <v>-1833.8199830836434</v>
      </c>
      <c r="H61">
        <v>-1512.6035110851979</v>
      </c>
      <c r="I61">
        <v>314.56654299571397</v>
      </c>
      <c r="J61">
        <v>162.65034202191401</v>
      </c>
      <c r="K61">
        <v>58.317718767689897</v>
      </c>
      <c r="L61">
        <v>0.7681133854669755</v>
      </c>
      <c r="M61">
        <v>-0.76779348638828471</v>
      </c>
      <c r="N61">
        <v>44.778968481858598</v>
      </c>
      <c r="O61">
        <v>44.778962423510002</v>
      </c>
      <c r="P61">
        <v>44.778949539525101</v>
      </c>
      <c r="Q61" t="s">
        <v>51</v>
      </c>
    </row>
    <row r="62" spans="1:17" x14ac:dyDescent="0.2">
      <c r="A62">
        <v>61</v>
      </c>
      <c r="B62">
        <v>746</v>
      </c>
      <c r="C62">
        <v>225</v>
      </c>
      <c r="D62">
        <v>0.34832998086640898</v>
      </c>
      <c r="E62">
        <v>110.893425726329</v>
      </c>
      <c r="F62">
        <v>1.8564240888061201</v>
      </c>
      <c r="G62">
        <v>-1833.3388365229507</v>
      </c>
      <c r="H62">
        <v>-1521.7331735433499</v>
      </c>
      <c r="I62">
        <v>305.755295200239</v>
      </c>
      <c r="J62">
        <v>162.28579252717799</v>
      </c>
      <c r="K62">
        <v>59.734963791406997</v>
      </c>
      <c r="L62">
        <v>0.34852701596967484</v>
      </c>
      <c r="M62">
        <v>-0.34804152243000319</v>
      </c>
      <c r="N62">
        <v>20.794863374219201</v>
      </c>
      <c r="O62">
        <v>20.794854048526801</v>
      </c>
      <c r="P62">
        <v>20.7948342808048</v>
      </c>
      <c r="Q62" t="s">
        <v>51</v>
      </c>
    </row>
    <row r="63" spans="1:17" x14ac:dyDescent="0.2">
      <c r="A63">
        <v>62</v>
      </c>
      <c r="B63">
        <v>744</v>
      </c>
      <c r="C63">
        <v>225</v>
      </c>
      <c r="D63">
        <v>0.34691097674876298</v>
      </c>
      <c r="E63">
        <v>110.894761076894</v>
      </c>
      <c r="F63">
        <v>1.8412631354923199</v>
      </c>
      <c r="G63">
        <v>-1832.7534383570351</v>
      </c>
      <c r="H63">
        <v>-1525.4254208445627</v>
      </c>
      <c r="I63">
        <v>302.15160991521799</v>
      </c>
      <c r="J63">
        <v>162.172741421377</v>
      </c>
      <c r="K63">
        <v>60.227546481151101</v>
      </c>
      <c r="L63">
        <v>0.19224697659550449</v>
      </c>
      <c r="M63">
        <v>-0.19170069544020679</v>
      </c>
      <c r="N63">
        <v>11.550867641157801</v>
      </c>
      <c r="O63">
        <v>11.5508567706304</v>
      </c>
      <c r="P63">
        <v>11.5508344031644</v>
      </c>
      <c r="Q63" t="s">
        <v>51</v>
      </c>
    </row>
    <row r="64" spans="1:17" x14ac:dyDescent="0.2">
      <c r="A64">
        <v>63</v>
      </c>
      <c r="B64">
        <v>742</v>
      </c>
      <c r="C64">
        <v>225</v>
      </c>
      <c r="D64">
        <v>0.345486381322956</v>
      </c>
      <c r="E64">
        <v>110.894741834615</v>
      </c>
      <c r="F64">
        <v>1.83774085964255</v>
      </c>
      <c r="G64">
        <v>-1832.1503644184406</v>
      </c>
      <c r="H64">
        <v>-1526.8504075732324</v>
      </c>
      <c r="I64">
        <v>300.74930731233201</v>
      </c>
      <c r="J64">
        <v>162.18578629869</v>
      </c>
      <c r="K64">
        <v>60.342970148786399</v>
      </c>
      <c r="L64">
        <v>0.14176064289200468</v>
      </c>
      <c r="M64">
        <v>-0.1411952418322486</v>
      </c>
      <c r="N64">
        <v>8.5255117125130209</v>
      </c>
      <c r="O64">
        <v>8.5255000538320296</v>
      </c>
      <c r="P64">
        <v>8.5254768706625992</v>
      </c>
      <c r="Q64" t="s">
        <v>51</v>
      </c>
    </row>
    <row r="65" spans="1:17" x14ac:dyDescent="0.2">
      <c r="A65">
        <v>64</v>
      </c>
      <c r="B65">
        <v>740</v>
      </c>
      <c r="C65">
        <v>225</v>
      </c>
      <c r="D65">
        <v>0.34405616147658602</v>
      </c>
      <c r="E65">
        <v>110.89464891976399</v>
      </c>
      <c r="F65">
        <v>1.8369287123810101</v>
      </c>
      <c r="G65">
        <v>-1831.5482772469747</v>
      </c>
      <c r="H65">
        <v>-1527.7348798749804</v>
      </c>
      <c r="I65">
        <v>299.87583877934298</v>
      </c>
      <c r="J65">
        <v>162.23500542568399</v>
      </c>
      <c r="K65">
        <v>60.369598543659897</v>
      </c>
      <c r="L65">
        <v>0.11624059579760507</v>
      </c>
      <c r="M65">
        <v>-0.1156658684066824</v>
      </c>
      <c r="N65">
        <v>6.98813919765501</v>
      </c>
      <c r="O65">
        <v>6.9881269314511698</v>
      </c>
      <c r="P65">
        <v>6.9881033577205001</v>
      </c>
      <c r="Q65" t="s">
        <v>51</v>
      </c>
    </row>
    <row r="66" spans="1:17" x14ac:dyDescent="0.2">
      <c r="A66">
        <v>65</v>
      </c>
      <c r="B66">
        <v>738</v>
      </c>
      <c r="C66">
        <v>225</v>
      </c>
      <c r="D66">
        <v>0.34262028383523802</v>
      </c>
      <c r="E66">
        <v>110.894539509586</v>
      </c>
      <c r="F66">
        <v>1.83716203529827</v>
      </c>
      <c r="G66">
        <v>-1830.9474376275762</v>
      </c>
      <c r="H66">
        <v>-1528.4091897218761</v>
      </c>
      <c r="I66">
        <v>299.20795384886497</v>
      </c>
      <c r="J66">
        <v>162.30123040252801</v>
      </c>
      <c r="K66">
        <v>60.361871941024603</v>
      </c>
      <c r="L66">
        <v>0.10038380074748393</v>
      </c>
      <c r="M66">
        <v>-9.9803540206235317E-2</v>
      </c>
      <c r="N66">
        <v>6.0297922514645297</v>
      </c>
      <c r="O66">
        <v>6.0297794485201202</v>
      </c>
      <c r="P66">
        <v>6.0297556501353302</v>
      </c>
      <c r="Q66" t="s">
        <v>51</v>
      </c>
    </row>
    <row r="67" spans="1:17" x14ac:dyDescent="0.2">
      <c r="A67">
        <v>66</v>
      </c>
      <c r="B67">
        <v>736</v>
      </c>
      <c r="C67">
        <v>225</v>
      </c>
      <c r="D67">
        <v>0.34117871475994799</v>
      </c>
      <c r="E67">
        <v>110.89442095003599</v>
      </c>
      <c r="F67">
        <v>1.8379183295163199</v>
      </c>
      <c r="G67">
        <v>-1830.3476728228031</v>
      </c>
      <c r="H67">
        <v>-1528.9781409832631</v>
      </c>
      <c r="I67">
        <v>298.64286996692402</v>
      </c>
      <c r="J67">
        <v>162.37830999232199</v>
      </c>
      <c r="K67">
        <v>60.336968824517903</v>
      </c>
      <c r="L67">
        <v>8.9361906785536155E-2</v>
      </c>
      <c r="M67">
        <v>-8.8778016364457535E-2</v>
      </c>
      <c r="N67">
        <v>5.3620670884342001</v>
      </c>
      <c r="O67">
        <v>5.3620537851348198</v>
      </c>
      <c r="P67">
        <v>5.3620298459456404</v>
      </c>
      <c r="Q67" t="s">
        <v>51</v>
      </c>
    </row>
    <row r="68" spans="1:17" x14ac:dyDescent="0.2">
      <c r="A68">
        <v>67</v>
      </c>
      <c r="B68">
        <v>734</v>
      </c>
      <c r="C68">
        <v>225</v>
      </c>
      <c r="D68">
        <v>0.33973142034453802</v>
      </c>
      <c r="E68">
        <v>110.894296034319</v>
      </c>
      <c r="F68">
        <v>1.83897856634145</v>
      </c>
      <c r="G68">
        <v>-1829.7488712989268</v>
      </c>
      <c r="H68">
        <v>-1529.4858606395562</v>
      </c>
      <c r="I68">
        <v>298.13728349856001</v>
      </c>
      <c r="J68">
        <v>162.46377490955999</v>
      </c>
      <c r="K68">
        <v>60.302114480288402</v>
      </c>
      <c r="L68">
        <v>8.1148228468621145E-2</v>
      </c>
      <c r="M68">
        <v>-8.0561818648680394E-2</v>
      </c>
      <c r="N68">
        <v>4.8635142087053298</v>
      </c>
      <c r="O68">
        <v>4.8635004272548201</v>
      </c>
      <c r="P68">
        <v>4.8634763965917198</v>
      </c>
      <c r="Q68" t="s">
        <v>51</v>
      </c>
    </row>
    <row r="69" spans="1:17" x14ac:dyDescent="0.2">
      <c r="A69">
        <v>68</v>
      </c>
      <c r="B69">
        <v>760</v>
      </c>
      <c r="C69">
        <v>200</v>
      </c>
      <c r="D69">
        <v>0.38472680636887402</v>
      </c>
      <c r="E69">
        <v>110.884435481483</v>
      </c>
      <c r="F69">
        <v>1.85220013436007</v>
      </c>
      <c r="G69">
        <v>-1839.0897598554839</v>
      </c>
      <c r="H69">
        <v>-1510.4009811262381</v>
      </c>
      <c r="I69">
        <v>318.14539415554702</v>
      </c>
      <c r="J69">
        <v>163.34418676756701</v>
      </c>
      <c r="K69">
        <v>59.866335945274798</v>
      </c>
      <c r="L69">
        <v>0.79920004453244875</v>
      </c>
      <c r="M69">
        <v>-0.79882372682194036</v>
      </c>
      <c r="N69">
        <v>47.826771497069799</v>
      </c>
      <c r="O69">
        <v>47.826770082171201</v>
      </c>
      <c r="P69">
        <v>47.826752270562501</v>
      </c>
      <c r="Q69" t="s">
        <v>51</v>
      </c>
    </row>
    <row r="70" spans="1:17" x14ac:dyDescent="0.2">
      <c r="A70">
        <v>69</v>
      </c>
      <c r="B70">
        <v>758</v>
      </c>
      <c r="C70">
        <v>200</v>
      </c>
      <c r="D70">
        <v>0.383397662803666</v>
      </c>
      <c r="E70">
        <v>110.884529365932</v>
      </c>
      <c r="F70">
        <v>1.8536425477793099</v>
      </c>
      <c r="G70">
        <v>-1838.455348164684</v>
      </c>
      <c r="H70">
        <v>-1510.7832939198245</v>
      </c>
      <c r="I70">
        <v>317.77646277503999</v>
      </c>
      <c r="J70">
        <v>163.36710648954201</v>
      </c>
      <c r="K70">
        <v>59.819801557087203</v>
      </c>
      <c r="L70">
        <v>0.79675810760493293</v>
      </c>
      <c r="M70">
        <v>-0.79638093069277938</v>
      </c>
      <c r="N70">
        <v>47.643459305798601</v>
      </c>
      <c r="O70">
        <v>47.6434575750649</v>
      </c>
      <c r="P70">
        <v>47.643439715184101</v>
      </c>
      <c r="Q70" t="s">
        <v>51</v>
      </c>
    </row>
    <row r="71" spans="1:17" x14ac:dyDescent="0.2">
      <c r="A71">
        <v>70</v>
      </c>
      <c r="B71">
        <v>756</v>
      </c>
      <c r="C71">
        <v>200</v>
      </c>
      <c r="D71">
        <v>0.38206335325268598</v>
      </c>
      <c r="E71">
        <v>110.88462478082801</v>
      </c>
      <c r="F71">
        <v>1.8533054638595501</v>
      </c>
      <c r="G71">
        <v>-1837.8218104003815</v>
      </c>
      <c r="H71">
        <v>-1511.4048274537126</v>
      </c>
      <c r="I71">
        <v>317.174549668932</v>
      </c>
      <c r="J71">
        <v>163.389151238181</v>
      </c>
      <c r="K71">
        <v>59.8307332186398</v>
      </c>
      <c r="L71">
        <v>0.78291388441931165</v>
      </c>
      <c r="M71">
        <v>-0.78253013584254083</v>
      </c>
      <c r="N71">
        <v>46.8235147605305</v>
      </c>
      <c r="O71">
        <v>46.823512687651601</v>
      </c>
      <c r="P71">
        <v>46.823494500036098</v>
      </c>
      <c r="Q71" t="s">
        <v>51</v>
      </c>
    </row>
    <row r="72" spans="1:17" x14ac:dyDescent="0.2">
      <c r="A72">
        <v>71</v>
      </c>
      <c r="B72">
        <v>754</v>
      </c>
      <c r="C72">
        <v>200</v>
      </c>
      <c r="D72">
        <v>0.38072384753930699</v>
      </c>
      <c r="E72">
        <v>110.88471750497</v>
      </c>
      <c r="F72">
        <v>1.8506308925178501</v>
      </c>
      <c r="G72">
        <v>-1837.1898603495965</v>
      </c>
      <c r="H72">
        <v>-1512.336416221026</v>
      </c>
      <c r="I72">
        <v>316.270041572119</v>
      </c>
      <c r="J72">
        <v>163.41383142164</v>
      </c>
      <c r="K72">
        <v>59.9172519778419</v>
      </c>
      <c r="L72">
        <v>0.75427657027630568</v>
      </c>
      <c r="M72">
        <v>-0.75387881367181864</v>
      </c>
      <c r="N72">
        <v>45.174646290803899</v>
      </c>
      <c r="O72">
        <v>45.174643829666998</v>
      </c>
      <c r="P72">
        <v>45.1746249484532</v>
      </c>
      <c r="Q72" t="s">
        <v>51</v>
      </c>
    </row>
    <row r="73" spans="1:17" x14ac:dyDescent="0.2">
      <c r="A73">
        <v>72</v>
      </c>
      <c r="B73">
        <v>752</v>
      </c>
      <c r="C73">
        <v>200</v>
      </c>
      <c r="D73">
        <v>0.37937911525142798</v>
      </c>
      <c r="E73">
        <v>110.884807484471</v>
      </c>
      <c r="F73">
        <v>1.8478734742963301</v>
      </c>
      <c r="G73">
        <v>-1836.5596921743902</v>
      </c>
      <c r="H73">
        <v>-1513.2872868788809</v>
      </c>
      <c r="I73">
        <v>315.344937757026</v>
      </c>
      <c r="J73">
        <v>163.44737849430899</v>
      </c>
      <c r="K73">
        <v>60.006709889429096</v>
      </c>
      <c r="L73">
        <v>0.72458421909540738</v>
      </c>
      <c r="M73">
        <v>-0.72417203266613406</v>
      </c>
      <c r="N73">
        <v>43.459620640360598</v>
      </c>
      <c r="O73">
        <v>43.459617763600498</v>
      </c>
      <c r="P73">
        <v>43.459598165897198</v>
      </c>
      <c r="Q73" t="s">
        <v>51</v>
      </c>
    </row>
    <row r="74" spans="1:17" x14ac:dyDescent="0.2">
      <c r="A74">
        <v>73</v>
      </c>
      <c r="B74">
        <v>750</v>
      </c>
      <c r="C74">
        <v>200</v>
      </c>
      <c r="D74">
        <v>0.37802912573913899</v>
      </c>
      <c r="E74">
        <v>110.894989182779</v>
      </c>
      <c r="F74">
        <v>1.79687981174333</v>
      </c>
      <c r="G74">
        <v>-1836.104565216222</v>
      </c>
      <c r="H74">
        <v>-1523.1072340445721</v>
      </c>
      <c r="I74">
        <v>305.92044773402102</v>
      </c>
      <c r="J74">
        <v>162.715132726512</v>
      </c>
      <c r="K74">
        <v>61.715306977147797</v>
      </c>
      <c r="L74">
        <v>0.28063353458477514</v>
      </c>
      <c r="M74">
        <v>-0.2800281259594124</v>
      </c>
      <c r="N74">
        <v>17.288655590751699</v>
      </c>
      <c r="O74">
        <v>17.288651064362501</v>
      </c>
      <c r="P74">
        <v>17.2886217545371</v>
      </c>
      <c r="Q74" t="s">
        <v>51</v>
      </c>
    </row>
    <row r="75" spans="1:17" x14ac:dyDescent="0.2">
      <c r="A75">
        <v>74</v>
      </c>
      <c r="B75">
        <v>748</v>
      </c>
      <c r="C75">
        <v>200</v>
      </c>
      <c r="D75">
        <v>0.37667384811242399</v>
      </c>
      <c r="E75">
        <v>110.895682529811</v>
      </c>
      <c r="F75">
        <v>1.7866313201477</v>
      </c>
      <c r="G75">
        <v>-1835.5070157078442</v>
      </c>
      <c r="H75">
        <v>-1525.7493570221491</v>
      </c>
      <c r="I75">
        <v>303.34745416252002</v>
      </c>
      <c r="J75">
        <v>162.576822947328</v>
      </c>
      <c r="K75">
        <v>62.069706983891599</v>
      </c>
      <c r="L75">
        <v>0.17515221285673391</v>
      </c>
      <c r="M75">
        <v>-0.17450159318756692</v>
      </c>
      <c r="N75">
        <v>10.8383938168247</v>
      </c>
      <c r="O75">
        <v>10.8383884222962</v>
      </c>
      <c r="P75">
        <v>10.8383567618472</v>
      </c>
      <c r="Q75" t="s">
        <v>51</v>
      </c>
    </row>
    <row r="76" spans="1:17" x14ac:dyDescent="0.2">
      <c r="A76">
        <v>75</v>
      </c>
      <c r="B76">
        <v>746</v>
      </c>
      <c r="C76">
        <v>200</v>
      </c>
      <c r="D76">
        <v>0.37531325123877901</v>
      </c>
      <c r="E76">
        <v>110.89572974440399</v>
      </c>
      <c r="F76">
        <v>1.78405056718417</v>
      </c>
      <c r="G76">
        <v>-1834.9023825517222</v>
      </c>
      <c r="H76">
        <v>-1526.9695296849418</v>
      </c>
      <c r="I76">
        <v>302.15239007183197</v>
      </c>
      <c r="J76">
        <v>162.57427462010099</v>
      </c>
      <c r="K76">
        <v>62.159521587683997</v>
      </c>
      <c r="L76">
        <v>0.13475597972321859</v>
      </c>
      <c r="M76">
        <v>-0.13408840892359067</v>
      </c>
      <c r="N76">
        <v>8.3421632477603698</v>
      </c>
      <c r="O76">
        <v>8.3421571483297594</v>
      </c>
      <c r="P76">
        <v>8.3421246006047607</v>
      </c>
      <c r="Q76" t="s">
        <v>51</v>
      </c>
    </row>
    <row r="77" spans="1:17" x14ac:dyDescent="0.2">
      <c r="A77">
        <v>76</v>
      </c>
      <c r="B77">
        <v>744</v>
      </c>
      <c r="C77">
        <v>200</v>
      </c>
      <c r="D77">
        <v>0.373947303740848</v>
      </c>
      <c r="E77">
        <v>110.895550401788</v>
      </c>
      <c r="F77">
        <v>1.7835371002268701</v>
      </c>
      <c r="G77">
        <v>-1834.2960530404175</v>
      </c>
      <c r="H77">
        <v>-1527.8114692575609</v>
      </c>
      <c r="I77">
        <v>301.32274611187</v>
      </c>
      <c r="J77">
        <v>162.609688448615</v>
      </c>
      <c r="K77">
        <v>62.177316293382297</v>
      </c>
      <c r="L77">
        <v>0.11164237551933796</v>
      </c>
      <c r="M77">
        <v>-0.11096538547054063</v>
      </c>
      <c r="N77">
        <v>6.9068918228104197</v>
      </c>
      <c r="O77">
        <v>6.9068850576092604</v>
      </c>
      <c r="P77">
        <v>6.9068520178076103</v>
      </c>
      <c r="Q77" t="s">
        <v>51</v>
      </c>
    </row>
    <row r="78" spans="1:17" x14ac:dyDescent="0.2">
      <c r="A78">
        <v>77</v>
      </c>
      <c r="B78">
        <v>742</v>
      </c>
      <c r="C78">
        <v>200</v>
      </c>
      <c r="D78">
        <v>0.37257597399398801</v>
      </c>
      <c r="E78">
        <v>110.895429888195</v>
      </c>
      <c r="F78">
        <v>1.7840153743385501</v>
      </c>
      <c r="G78">
        <v>-1833.6921086293421</v>
      </c>
      <c r="H78">
        <v>-1528.4609499757546</v>
      </c>
      <c r="I78">
        <v>300.68173531219702</v>
      </c>
      <c r="J78">
        <v>162.66888228131</v>
      </c>
      <c r="K78">
        <v>62.160579714348998</v>
      </c>
      <c r="L78">
        <v>9.7201856521526478E-2</v>
      </c>
      <c r="M78">
        <v>-9.6519189965745253E-2</v>
      </c>
      <c r="N78">
        <v>6.0070758147249101</v>
      </c>
      <c r="O78">
        <v>6.0070684030675396</v>
      </c>
      <c r="P78">
        <v>6.0070350681301097</v>
      </c>
      <c r="Q78" t="s">
        <v>51</v>
      </c>
    </row>
    <row r="79" spans="1:17" x14ac:dyDescent="0.2">
      <c r="A79">
        <v>78</v>
      </c>
      <c r="B79">
        <v>740</v>
      </c>
      <c r="C79">
        <v>200</v>
      </c>
      <c r="D79">
        <v>0.37119923012387401</v>
      </c>
      <c r="E79">
        <v>110.895308391002</v>
      </c>
      <c r="F79">
        <v>1.7849857428575999</v>
      </c>
      <c r="G79">
        <v>-1833.0893313038241</v>
      </c>
      <c r="H79">
        <v>-1529.0168137571907</v>
      </c>
      <c r="I79">
        <v>300.13173086294</v>
      </c>
      <c r="J79">
        <v>162.74131326275699</v>
      </c>
      <c r="K79">
        <v>62.126719406435498</v>
      </c>
      <c r="L79">
        <v>8.6988499688910259E-2</v>
      </c>
      <c r="M79">
        <v>-8.6301996563040786E-2</v>
      </c>
      <c r="N79">
        <v>5.3690498268955098</v>
      </c>
      <c r="O79">
        <v>5.3690417764421499</v>
      </c>
      <c r="P79">
        <v>5.3690082440094899</v>
      </c>
      <c r="Q79" t="s">
        <v>51</v>
      </c>
    </row>
    <row r="80" spans="1:17" x14ac:dyDescent="0.2">
      <c r="A80">
        <v>79</v>
      </c>
      <c r="B80">
        <v>738</v>
      </c>
      <c r="C80">
        <v>200</v>
      </c>
      <c r="D80">
        <v>0.36981704000395799</v>
      </c>
      <c r="E80">
        <v>110.89518527379001</v>
      </c>
      <c r="F80">
        <v>1.7862497471548899</v>
      </c>
      <c r="G80">
        <v>-1832.487570141305</v>
      </c>
      <c r="H80">
        <v>-1529.5169320163122</v>
      </c>
      <c r="I80">
        <v>299.63567647679599</v>
      </c>
      <c r="J80">
        <v>162.82336985677301</v>
      </c>
      <c r="K80">
        <v>62.082687737491199</v>
      </c>
      <c r="L80">
        <v>7.9290700269111669E-2</v>
      </c>
      <c r="M80">
        <v>-7.8601462811290171E-2</v>
      </c>
      <c r="N80">
        <v>4.8871696182935196</v>
      </c>
      <c r="O80">
        <v>4.8871609327464798</v>
      </c>
      <c r="P80">
        <v>4.8871272617610098</v>
      </c>
      <c r="Q80" t="s">
        <v>51</v>
      </c>
    </row>
    <row r="81" spans="1:17" x14ac:dyDescent="0.2">
      <c r="A81">
        <v>80</v>
      </c>
      <c r="B81">
        <v>766</v>
      </c>
      <c r="C81">
        <v>175</v>
      </c>
      <c r="D81">
        <v>0.41514747630275201</v>
      </c>
      <c r="E81">
        <v>110.884506454129</v>
      </c>
      <c r="F81">
        <v>1.7884566053069799</v>
      </c>
      <c r="G81">
        <v>-1842.5265162797293</v>
      </c>
      <c r="H81">
        <v>-1510.2459074096989</v>
      </c>
      <c r="I81">
        <v>319.76516607049098</v>
      </c>
      <c r="J81">
        <v>164.073940816853</v>
      </c>
      <c r="K81">
        <v>62.000110108959603</v>
      </c>
      <c r="L81">
        <v>0.76872982160958769</v>
      </c>
      <c r="M81">
        <v>-0.76824601101435064</v>
      </c>
      <c r="N81">
        <v>47.637607618531902</v>
      </c>
      <c r="O81">
        <v>47.637615314751898</v>
      </c>
      <c r="P81">
        <v>47.6375882176998</v>
      </c>
      <c r="Q81" t="s">
        <v>51</v>
      </c>
    </row>
    <row r="82" spans="1:17" x14ac:dyDescent="0.2">
      <c r="A82">
        <v>81</v>
      </c>
      <c r="B82">
        <v>764</v>
      </c>
      <c r="C82">
        <v>175</v>
      </c>
      <c r="D82">
        <v>0.41388468398978101</v>
      </c>
      <c r="E82">
        <v>110.884578431303</v>
      </c>
      <c r="F82">
        <v>1.78952965386843</v>
      </c>
      <c r="G82">
        <v>-1841.8884870503257</v>
      </c>
      <c r="H82">
        <v>-1510.6336675687737</v>
      </c>
      <c r="I82">
        <v>319.392754823156</v>
      </c>
      <c r="J82">
        <v>164.07865162481201</v>
      </c>
      <c r="K82">
        <v>61.962973450372097</v>
      </c>
      <c r="L82">
        <v>0.76664908899806916</v>
      </c>
      <c r="M82">
        <v>-0.76616373157044892</v>
      </c>
      <c r="N82">
        <v>47.480041153152797</v>
      </c>
      <c r="O82">
        <v>47.480048490305599</v>
      </c>
      <c r="P82">
        <v>47.480021276932</v>
      </c>
      <c r="Q82" t="s">
        <v>51</v>
      </c>
    </row>
    <row r="83" spans="1:17" x14ac:dyDescent="0.2">
      <c r="A83">
        <v>82</v>
      </c>
      <c r="B83">
        <v>762</v>
      </c>
      <c r="C83">
        <v>175</v>
      </c>
      <c r="D83">
        <v>0.41261701202724399</v>
      </c>
      <c r="E83">
        <v>110.884655959558</v>
      </c>
      <c r="F83">
        <v>1.78821753448306</v>
      </c>
      <c r="G83">
        <v>-1841.2515183793123</v>
      </c>
      <c r="H83">
        <v>-1511.330681918562</v>
      </c>
      <c r="I83">
        <v>318.72123332027297</v>
      </c>
      <c r="J83">
        <v>164.07363703471199</v>
      </c>
      <c r="K83">
        <v>62.0084826489596</v>
      </c>
      <c r="L83">
        <v>0.74995636467699534</v>
      </c>
      <c r="M83">
        <v>-0.74946140917921755</v>
      </c>
      <c r="N83">
        <v>46.479320771244403</v>
      </c>
      <c r="O83">
        <v>46.479327872491197</v>
      </c>
      <c r="P83">
        <v>46.479300065188198</v>
      </c>
      <c r="Q83" t="s">
        <v>51</v>
      </c>
    </row>
    <row r="84" spans="1:17" x14ac:dyDescent="0.2">
      <c r="A84">
        <v>83</v>
      </c>
      <c r="B84">
        <v>760</v>
      </c>
      <c r="C84">
        <v>175</v>
      </c>
      <c r="D84">
        <v>0.41134443207665999</v>
      </c>
      <c r="E84">
        <v>110.88474596425399</v>
      </c>
      <c r="F84">
        <v>1.78550302550488</v>
      </c>
      <c r="G84">
        <v>-1840.6164114501362</v>
      </c>
      <c r="H84">
        <v>-1512.2454641517431</v>
      </c>
      <c r="I84">
        <v>317.838172940768</v>
      </c>
      <c r="J84">
        <v>164.08071513989</v>
      </c>
      <c r="K84">
        <v>62.102804856855002</v>
      </c>
      <c r="L84">
        <v>0.72271049426506362</v>
      </c>
      <c r="M84">
        <v>-0.72220042063108558</v>
      </c>
      <c r="N84">
        <v>44.857199474506501</v>
      </c>
      <c r="O84">
        <v>44.857206403086501</v>
      </c>
      <c r="P84">
        <v>44.857177672552503</v>
      </c>
      <c r="Q84" t="s">
        <v>51</v>
      </c>
    </row>
    <row r="85" spans="1:17" x14ac:dyDescent="0.2">
      <c r="A85">
        <v>84</v>
      </c>
      <c r="B85">
        <v>758</v>
      </c>
      <c r="C85">
        <v>175</v>
      </c>
      <c r="D85">
        <v>0.41006691557969399</v>
      </c>
      <c r="E85">
        <v>110.884833309502</v>
      </c>
      <c r="F85">
        <v>1.78272295844746</v>
      </c>
      <c r="G85">
        <v>-1839.9830421794061</v>
      </c>
      <c r="H85">
        <v>-1513.1765948566181</v>
      </c>
      <c r="I85">
        <v>316.93752099177999</v>
      </c>
      <c r="J85">
        <v>164.094797098648</v>
      </c>
      <c r="K85">
        <v>62.199700062240403</v>
      </c>
      <c r="L85">
        <v>0.69456916693689763</v>
      </c>
      <c r="M85">
        <v>-0.69404357608954581</v>
      </c>
      <c r="N85">
        <v>43.176005585860203</v>
      </c>
      <c r="O85">
        <v>43.176012316747503</v>
      </c>
      <c r="P85">
        <v>43.1759826346239</v>
      </c>
      <c r="Q85" t="s">
        <v>51</v>
      </c>
    </row>
    <row r="86" spans="1:17" x14ac:dyDescent="0.2">
      <c r="A86">
        <v>85</v>
      </c>
      <c r="B86">
        <v>756</v>
      </c>
      <c r="C86">
        <v>175</v>
      </c>
      <c r="D86">
        <v>0.40878443375601398</v>
      </c>
      <c r="E86">
        <v>110.894635407317</v>
      </c>
      <c r="F86">
        <v>1.7429134925290499</v>
      </c>
      <c r="G86">
        <v>-1839.5128184944344</v>
      </c>
      <c r="H86">
        <v>-1520.228466153038</v>
      </c>
      <c r="I86">
        <v>310.24551949084997</v>
      </c>
      <c r="J86">
        <v>163.344052560715</v>
      </c>
      <c r="K86">
        <v>63.626012353833602</v>
      </c>
      <c r="L86">
        <v>0.3850300806762601</v>
      </c>
      <c r="M86">
        <v>-0.38435243846503025</v>
      </c>
      <c r="N86">
        <v>24.463576717849101</v>
      </c>
      <c r="O86">
        <v>24.4635851271909</v>
      </c>
      <c r="P86">
        <v>24.463546175377299</v>
      </c>
      <c r="Q86" t="s">
        <v>51</v>
      </c>
    </row>
    <row r="87" spans="1:17" x14ac:dyDescent="0.2">
      <c r="A87">
        <v>86</v>
      </c>
      <c r="B87">
        <v>754</v>
      </c>
      <c r="C87">
        <v>175</v>
      </c>
      <c r="D87">
        <v>0.40749695760112897</v>
      </c>
      <c r="E87">
        <v>110.89638934670199</v>
      </c>
      <c r="F87">
        <v>1.7210412701006801</v>
      </c>
      <c r="G87">
        <v>-1838.9261388581754</v>
      </c>
      <c r="H87">
        <v>-1524.6476565000003</v>
      </c>
      <c r="I87">
        <v>305.976735810619</v>
      </c>
      <c r="J87">
        <v>162.87031887279201</v>
      </c>
      <c r="K87">
        <v>64.435636305348297</v>
      </c>
      <c r="L87">
        <v>0.20089519582396698</v>
      </c>
      <c r="M87">
        <v>-0.20012823371092053</v>
      </c>
      <c r="N87">
        <v>12.9053722326793</v>
      </c>
      <c r="O87">
        <v>12.9053812584665</v>
      </c>
      <c r="P87">
        <v>12.905336656024399</v>
      </c>
      <c r="Q87" t="s">
        <v>51</v>
      </c>
    </row>
    <row r="88" spans="1:17" x14ac:dyDescent="0.2">
      <c r="A88">
        <v>87</v>
      </c>
      <c r="B88">
        <v>752</v>
      </c>
      <c r="C88">
        <v>175</v>
      </c>
      <c r="D88">
        <v>0.406204457884214</v>
      </c>
      <c r="E88">
        <v>110.89655621529199</v>
      </c>
      <c r="F88">
        <v>1.7162612728431501</v>
      </c>
      <c r="G88">
        <v>-1838.3185821104412</v>
      </c>
      <c r="H88">
        <v>-1526.2099862706455</v>
      </c>
      <c r="I88">
        <v>304.457228268368</v>
      </c>
      <c r="J88">
        <v>162.78599583968301</v>
      </c>
      <c r="K88">
        <v>64.615194650160504</v>
      </c>
      <c r="L88">
        <v>0.14617342233024219</v>
      </c>
      <c r="M88">
        <v>-0.14538011265596729</v>
      </c>
      <c r="N88">
        <v>9.4040663480229405</v>
      </c>
      <c r="O88">
        <v>9.4040750269460105</v>
      </c>
      <c r="P88">
        <v>9.4040287133916607</v>
      </c>
      <c r="Q88" t="s">
        <v>51</v>
      </c>
    </row>
    <row r="89" spans="1:17" x14ac:dyDescent="0.2">
      <c r="A89">
        <v>88</v>
      </c>
      <c r="B89">
        <v>750</v>
      </c>
      <c r="C89">
        <v>175</v>
      </c>
      <c r="D89">
        <v>0.40490690514587502</v>
      </c>
      <c r="E89">
        <v>110.89650892323699</v>
      </c>
      <c r="F89">
        <v>1.71508950031908</v>
      </c>
      <c r="G89">
        <v>-1837.7098743675501</v>
      </c>
      <c r="H89">
        <v>-1527.1543163210745</v>
      </c>
      <c r="I89">
        <v>303.53456907705799</v>
      </c>
      <c r="J89">
        <v>162.79170178187999</v>
      </c>
      <c r="K89">
        <v>64.659313057776501</v>
      </c>
      <c r="L89">
        <v>0.11896795170847461</v>
      </c>
      <c r="M89">
        <v>-0.11816164534152933</v>
      </c>
      <c r="N89">
        <v>7.65067858148588</v>
      </c>
      <c r="O89">
        <v>7.6506866955179902</v>
      </c>
      <c r="P89">
        <v>7.6506395223598602</v>
      </c>
      <c r="Q89" t="s">
        <v>51</v>
      </c>
    </row>
    <row r="90" spans="1:17" x14ac:dyDescent="0.2">
      <c r="A90">
        <v>89</v>
      </c>
      <c r="B90">
        <v>748</v>
      </c>
      <c r="C90">
        <v>175</v>
      </c>
      <c r="D90">
        <v>0.40360426969593199</v>
      </c>
      <c r="E90">
        <v>110.89635948364401</v>
      </c>
      <c r="F90">
        <v>1.71524439469472</v>
      </c>
      <c r="G90">
        <v>-1837.1011145640257</v>
      </c>
      <c r="H90">
        <v>-1527.8763610458934</v>
      </c>
      <c r="I90">
        <v>302.825888425252</v>
      </c>
      <c r="J90">
        <v>162.83140424543899</v>
      </c>
      <c r="K90">
        <v>64.653386903142405</v>
      </c>
      <c r="L90">
        <v>0.10170006348969669</v>
      </c>
      <c r="M90">
        <v>-0.10088560799365288</v>
      </c>
      <c r="N90">
        <v>6.53307849827761</v>
      </c>
      <c r="O90">
        <v>6.5330859586102301</v>
      </c>
      <c r="P90">
        <v>6.5330382377468998</v>
      </c>
      <c r="Q90" t="s">
        <v>51</v>
      </c>
    </row>
    <row r="91" spans="1:17" x14ac:dyDescent="0.2">
      <c r="A91">
        <v>90</v>
      </c>
      <c r="B91">
        <v>746</v>
      </c>
      <c r="C91">
        <v>175</v>
      </c>
      <c r="D91">
        <v>0.40229652161114798</v>
      </c>
      <c r="E91">
        <v>110.896234227045</v>
      </c>
      <c r="F91">
        <v>1.71612570629774</v>
      </c>
      <c r="G91">
        <v>-1836.4940237207666</v>
      </c>
      <c r="H91">
        <v>-1528.4704869719601</v>
      </c>
      <c r="I91">
        <v>302.241557940527</v>
      </c>
      <c r="J91">
        <v>162.89349931997299</v>
      </c>
      <c r="K91">
        <v>64.620111347370496</v>
      </c>
      <c r="L91">
        <v>9.0064731076280824E-2</v>
      </c>
      <c r="M91">
        <v>-8.9244855804695655E-2</v>
      </c>
      <c r="N91">
        <v>5.7775093025192703</v>
      </c>
      <c r="O91">
        <v>5.7775160554204499</v>
      </c>
      <c r="P91">
        <v>5.7774679626458703</v>
      </c>
      <c r="Q91" t="s">
        <v>51</v>
      </c>
    </row>
    <row r="92" spans="1:17" x14ac:dyDescent="0.2">
      <c r="A92">
        <v>91</v>
      </c>
      <c r="B92">
        <v>744</v>
      </c>
      <c r="C92">
        <v>175</v>
      </c>
      <c r="D92">
        <v>0.40098363073293403</v>
      </c>
      <c r="E92">
        <v>110.896113031044</v>
      </c>
      <c r="F92">
        <v>1.7174102147663699</v>
      </c>
      <c r="G92">
        <v>-1835.8880948128167</v>
      </c>
      <c r="H92">
        <v>-1528.9945952771561</v>
      </c>
      <c r="I92">
        <v>301.72489728478001</v>
      </c>
      <c r="J92">
        <v>162.96937670539299</v>
      </c>
      <c r="K92">
        <v>64.571709238453593</v>
      </c>
      <c r="L92">
        <v>8.1516999485183442E-2</v>
      </c>
      <c r="M92">
        <v>-8.0693213386030027E-2</v>
      </c>
      <c r="N92">
        <v>5.2209879086796196</v>
      </c>
      <c r="O92">
        <v>5.2209939192444699</v>
      </c>
      <c r="P92">
        <v>5.2209455521731201</v>
      </c>
      <c r="Q92" t="s">
        <v>51</v>
      </c>
    </row>
    <row r="93" spans="1:17" x14ac:dyDescent="0.2">
      <c r="A93">
        <v>92</v>
      </c>
      <c r="B93">
        <v>742</v>
      </c>
      <c r="C93">
        <v>175</v>
      </c>
      <c r="D93">
        <v>0.39966556666502401</v>
      </c>
      <c r="E93">
        <v>110.895993381273</v>
      </c>
      <c r="F93">
        <v>1.7189494586138701</v>
      </c>
      <c r="G93">
        <v>-1835.2831797068486</v>
      </c>
      <c r="H93">
        <v>-1529.4747555150452</v>
      </c>
      <c r="I93">
        <v>301.25048435102201</v>
      </c>
      <c r="J93">
        <v>163.05535093787</v>
      </c>
      <c r="K93">
        <v>64.513818498594901</v>
      </c>
      <c r="L93">
        <v>7.4906729079870005E-2</v>
      </c>
      <c r="M93">
        <v>-7.4079987957920354E-2</v>
      </c>
      <c r="N93">
        <v>4.7896505321535603</v>
      </c>
      <c r="O93">
        <v>4.7896557743993604</v>
      </c>
      <c r="P93">
        <v>4.7896071950915102</v>
      </c>
      <c r="Q93" t="s">
        <v>51</v>
      </c>
    </row>
    <row r="94" spans="1:17" x14ac:dyDescent="0.2">
      <c r="A94">
        <v>93</v>
      </c>
      <c r="B94">
        <v>776</v>
      </c>
      <c r="C94">
        <v>150</v>
      </c>
      <c r="D94">
        <v>0.447600915026452</v>
      </c>
      <c r="E94">
        <v>110.88443101585</v>
      </c>
      <c r="F94">
        <v>1.7014347826165901</v>
      </c>
      <c r="G94">
        <v>-1847.3219397404625</v>
      </c>
      <c r="H94">
        <v>-1509.321511202643</v>
      </c>
      <c r="I94">
        <v>322.16940546076302</v>
      </c>
      <c r="J94">
        <v>164.507360160898</v>
      </c>
      <c r="K94">
        <v>65.171132122574704</v>
      </c>
      <c r="L94">
        <v>0.72832660262314108</v>
      </c>
      <c r="M94">
        <v>-0.72769604054137027</v>
      </c>
      <c r="N94">
        <v>47.434909185530202</v>
      </c>
      <c r="O94">
        <v>47.434936958199103</v>
      </c>
      <c r="P94">
        <v>47.434894748467002</v>
      </c>
      <c r="Q94" t="s">
        <v>51</v>
      </c>
    </row>
    <row r="95" spans="1:17" x14ac:dyDescent="0.2">
      <c r="A95">
        <v>94</v>
      </c>
      <c r="B95">
        <v>774</v>
      </c>
      <c r="C95">
        <v>150</v>
      </c>
      <c r="D95">
        <v>0.44641216635630598</v>
      </c>
      <c r="E95">
        <v>110.884494909502</v>
      </c>
      <c r="F95">
        <v>1.70220966731107</v>
      </c>
      <c r="G95">
        <v>-1846.6790194484993</v>
      </c>
      <c r="H95">
        <v>-1509.7522881231423</v>
      </c>
      <c r="I95">
        <v>321.75939805868899</v>
      </c>
      <c r="J95">
        <v>164.50424933641099</v>
      </c>
      <c r="K95">
        <v>65.141502271376098</v>
      </c>
      <c r="L95">
        <v>0.72466838299032421</v>
      </c>
      <c r="M95">
        <v>-0.72403453501534887</v>
      </c>
      <c r="N95">
        <v>47.174835025722899</v>
      </c>
      <c r="O95">
        <v>47.174862592261803</v>
      </c>
      <c r="P95">
        <v>47.174820104951799</v>
      </c>
      <c r="Q95" t="s">
        <v>51</v>
      </c>
    </row>
    <row r="96" spans="1:17" x14ac:dyDescent="0.2">
      <c r="A96">
        <v>95</v>
      </c>
      <c r="B96">
        <v>772</v>
      </c>
      <c r="C96">
        <v>150</v>
      </c>
      <c r="D96">
        <v>0.44521886810505501</v>
      </c>
      <c r="E96">
        <v>110.884555027598</v>
      </c>
      <c r="F96">
        <v>1.7026322841588599</v>
      </c>
      <c r="G96">
        <v>-1846.0369112237681</v>
      </c>
      <c r="H96">
        <v>-1510.2144735003294</v>
      </c>
      <c r="I96">
        <v>321.318552618723</v>
      </c>
      <c r="J96">
        <v>164.49368776673799</v>
      </c>
      <c r="K96">
        <v>65.125368559763402</v>
      </c>
      <c r="L96">
        <v>0.7196508967887667</v>
      </c>
      <c r="M96">
        <v>-0.71901282083676499</v>
      </c>
      <c r="N96">
        <v>46.836132199706299</v>
      </c>
      <c r="O96">
        <v>46.836159592259797</v>
      </c>
      <c r="P96">
        <v>46.836116755440102</v>
      </c>
      <c r="Q96" t="s">
        <v>51</v>
      </c>
    </row>
    <row r="97" spans="1:17" x14ac:dyDescent="0.2">
      <c r="A97">
        <v>96</v>
      </c>
      <c r="B97">
        <v>770</v>
      </c>
      <c r="C97">
        <v>150</v>
      </c>
      <c r="D97">
        <v>0.44402099410439499</v>
      </c>
      <c r="E97">
        <v>110.884615281395</v>
      </c>
      <c r="F97">
        <v>1.7030728710301699</v>
      </c>
      <c r="G97">
        <v>-1845.3956871957685</v>
      </c>
      <c r="H97">
        <v>-1510.6762770693213</v>
      </c>
      <c r="I97">
        <v>320.87723041076202</v>
      </c>
      <c r="J97">
        <v>164.485883169609</v>
      </c>
      <c r="K97">
        <v>65.108555932972095</v>
      </c>
      <c r="L97">
        <v>0.71462861292111335</v>
      </c>
      <c r="M97">
        <v>-0.71398631263819479</v>
      </c>
      <c r="N97">
        <v>46.496793714067401</v>
      </c>
      <c r="O97">
        <v>46.496820916873602</v>
      </c>
      <c r="P97">
        <v>46.496777729003298</v>
      </c>
      <c r="Q97" t="s">
        <v>51</v>
      </c>
    </row>
    <row r="98" spans="1:17" x14ac:dyDescent="0.2">
      <c r="A98">
        <v>97</v>
      </c>
      <c r="B98">
        <v>768</v>
      </c>
      <c r="C98">
        <v>150</v>
      </c>
      <c r="D98">
        <v>0.442818517984921</v>
      </c>
      <c r="E98">
        <v>110.884699578829</v>
      </c>
      <c r="F98">
        <v>1.7006337643827201</v>
      </c>
      <c r="G98">
        <v>-1844.7560598464968</v>
      </c>
      <c r="H98">
        <v>-1511.5180630063433</v>
      </c>
      <c r="I98">
        <v>320.07084603658802</v>
      </c>
      <c r="J98">
        <v>164.468446305687</v>
      </c>
      <c r="K98">
        <v>65.201986401273501</v>
      </c>
      <c r="L98">
        <v>0.69161551764872853</v>
      </c>
      <c r="M98">
        <v>-0.69095829652160923</v>
      </c>
      <c r="N98">
        <v>45.062231760891002</v>
      </c>
      <c r="O98">
        <v>45.062259252071598</v>
      </c>
      <c r="P98">
        <v>45.062214929081897</v>
      </c>
      <c r="Q98" t="s">
        <v>51</v>
      </c>
    </row>
    <row r="99" spans="1:17" x14ac:dyDescent="0.2">
      <c r="A99">
        <v>98</v>
      </c>
      <c r="B99">
        <v>766</v>
      </c>
      <c r="C99">
        <v>150</v>
      </c>
      <c r="D99">
        <v>0.44161141317423203</v>
      </c>
      <c r="E99">
        <v>110.88478485736</v>
      </c>
      <c r="F99">
        <v>1.69779539660066</v>
      </c>
      <c r="G99">
        <v>-1844.1181590176011</v>
      </c>
      <c r="H99">
        <v>-1512.4187391640482</v>
      </c>
      <c r="I99">
        <v>319.20635787137201</v>
      </c>
      <c r="J99">
        <v>164.455076702805</v>
      </c>
      <c r="K99">
        <v>65.311041059113606</v>
      </c>
      <c r="L99">
        <v>0.66574030569829024</v>
      </c>
      <c r="M99">
        <v>-0.66506650405890333</v>
      </c>
      <c r="N99">
        <v>43.446793107347197</v>
      </c>
      <c r="O99">
        <v>43.4468209349304</v>
      </c>
      <c r="P99">
        <v>43.446775347816697</v>
      </c>
      <c r="Q99" t="s">
        <v>51</v>
      </c>
    </row>
    <row r="100" spans="1:17" x14ac:dyDescent="0.2">
      <c r="A100">
        <v>99</v>
      </c>
      <c r="B100">
        <v>764</v>
      </c>
      <c r="C100">
        <v>150</v>
      </c>
      <c r="D100">
        <v>0.44039965289495597</v>
      </c>
      <c r="E100">
        <v>110.88486674887901</v>
      </c>
      <c r="F100">
        <v>1.69482735572612</v>
      </c>
      <c r="G100">
        <v>-1843.4819527204022</v>
      </c>
      <c r="H100">
        <v>-1513.3430805692321</v>
      </c>
      <c r="I100">
        <v>318.31735626960699</v>
      </c>
      <c r="J100">
        <v>164.44543592733501</v>
      </c>
      <c r="K100">
        <v>65.425464354374796</v>
      </c>
      <c r="L100">
        <v>0.63860089199078962</v>
      </c>
      <c r="M100">
        <v>-0.63790984533979844</v>
      </c>
      <c r="N100">
        <v>41.746393635779398</v>
      </c>
      <c r="O100">
        <v>41.7464217991322</v>
      </c>
      <c r="P100">
        <v>41.746374890727097</v>
      </c>
      <c r="Q100" t="s">
        <v>51</v>
      </c>
    </row>
    <row r="101" spans="1:17" x14ac:dyDescent="0.2">
      <c r="A101">
        <v>100</v>
      </c>
      <c r="B101">
        <v>762</v>
      </c>
      <c r="C101">
        <v>150</v>
      </c>
      <c r="D101">
        <v>0.439183210162781</v>
      </c>
      <c r="E101">
        <v>110.896122156215</v>
      </c>
      <c r="F101">
        <v>1.6467413620492599</v>
      </c>
      <c r="G101">
        <v>-1843.0350388358124</v>
      </c>
      <c r="H101">
        <v>-1520.9740754947468</v>
      </c>
      <c r="I101">
        <v>311.12988078506999</v>
      </c>
      <c r="J101">
        <v>163.19909402852099</v>
      </c>
      <c r="K101">
        <v>67.342768398196895</v>
      </c>
      <c r="L101">
        <v>0.31369649603355898</v>
      </c>
      <c r="M101">
        <v>-0.31282536758828083</v>
      </c>
      <c r="N101">
        <v>21.0804857664961</v>
      </c>
      <c r="O101">
        <v>21.080521685487899</v>
      </c>
      <c r="P101">
        <v>21.080461020314701</v>
      </c>
      <c r="Q101" t="s">
        <v>51</v>
      </c>
    </row>
    <row r="102" spans="1:17" x14ac:dyDescent="0.2">
      <c r="A102">
        <v>101</v>
      </c>
      <c r="B102">
        <v>760</v>
      </c>
      <c r="C102">
        <v>150</v>
      </c>
      <c r="D102">
        <v>0.43796205778444602</v>
      </c>
      <c r="E102">
        <v>110.89723555570301</v>
      </c>
      <c r="F102">
        <v>1.62960870886716</v>
      </c>
      <c r="G102">
        <v>-1842.4347021371386</v>
      </c>
      <c r="H102">
        <v>-1524.2968302695449</v>
      </c>
      <c r="I102">
        <v>307.93542214282002</v>
      </c>
      <c r="J102">
        <v>162.70237256293001</v>
      </c>
      <c r="K102">
        <v>68.051449990589603</v>
      </c>
      <c r="L102">
        <v>0.18385908798703077</v>
      </c>
      <c r="M102">
        <v>-0.18291626463241123</v>
      </c>
      <c r="N102">
        <v>12.462900053326001</v>
      </c>
      <c r="O102">
        <v>12.4629386884121</v>
      </c>
      <c r="P102">
        <v>12.4628723027957</v>
      </c>
      <c r="Q102" t="s">
        <v>51</v>
      </c>
    </row>
    <row r="103" spans="1:17" x14ac:dyDescent="0.2">
      <c r="A103">
        <v>102</v>
      </c>
      <c r="B103">
        <v>758</v>
      </c>
      <c r="C103">
        <v>150</v>
      </c>
      <c r="D103">
        <v>0.43673616835572199</v>
      </c>
      <c r="E103">
        <v>110.897348265989</v>
      </c>
      <c r="F103">
        <v>1.6252068399287201</v>
      </c>
      <c r="G103">
        <v>-1841.822159244733</v>
      </c>
      <c r="H103">
        <v>-1525.7076641447024</v>
      </c>
      <c r="I103">
        <v>306.57060224544898</v>
      </c>
      <c r="J103">
        <v>162.58393470867799</v>
      </c>
      <c r="K103">
        <v>68.235836535645603</v>
      </c>
      <c r="L103">
        <v>0.13754214303083281</v>
      </c>
      <c r="M103">
        <v>-0.13657341275510496</v>
      </c>
      <c r="N103">
        <v>9.3347679849280105</v>
      </c>
      <c r="O103">
        <v>9.3348071177630008</v>
      </c>
      <c r="P103">
        <v>9.3347386095832299</v>
      </c>
      <c r="Q103" t="s">
        <v>51</v>
      </c>
    </row>
    <row r="104" spans="1:17" x14ac:dyDescent="0.2">
      <c r="A104">
        <v>103</v>
      </c>
      <c r="B104">
        <v>756</v>
      </c>
      <c r="C104">
        <v>150</v>
      </c>
      <c r="D104">
        <v>0.43550551425934297</v>
      </c>
      <c r="E104">
        <v>110.89729064566301</v>
      </c>
      <c r="F104">
        <v>1.6241391406063901</v>
      </c>
      <c r="G104">
        <v>-1841.2089995315866</v>
      </c>
      <c r="H104">
        <v>-1526.60663648728</v>
      </c>
      <c r="I104">
        <v>305.697162638343</v>
      </c>
      <c r="J104">
        <v>162.571701095116</v>
      </c>
      <c r="K104">
        <v>68.280658887549805</v>
      </c>
      <c r="L104">
        <v>0.1132281267332431</v>
      </c>
      <c r="M104">
        <v>-0.11224551595337139</v>
      </c>
      <c r="N104">
        <v>7.6799240104878699</v>
      </c>
      <c r="O104">
        <v>7.6799630330442996</v>
      </c>
      <c r="P104">
        <v>7.6798933627636199</v>
      </c>
      <c r="Q104" t="s">
        <v>51</v>
      </c>
    </row>
    <row r="105" spans="1:17" x14ac:dyDescent="0.2">
      <c r="A105">
        <v>104</v>
      </c>
      <c r="B105">
        <v>754</v>
      </c>
      <c r="C105">
        <v>150</v>
      </c>
      <c r="D105">
        <v>0.43427006766295001</v>
      </c>
      <c r="E105">
        <v>110.89718704750101</v>
      </c>
      <c r="F105">
        <v>1.6244385905593599</v>
      </c>
      <c r="G105">
        <v>-1840.5966112182243</v>
      </c>
      <c r="H105">
        <v>-1527.2945257830954</v>
      </c>
      <c r="I105">
        <v>305.026543597272</v>
      </c>
      <c r="J105">
        <v>162.60564580476699</v>
      </c>
      <c r="K105">
        <v>68.268008216496796</v>
      </c>
      <c r="L105">
        <v>9.7936464464618067E-2</v>
      </c>
      <c r="M105">
        <v>-9.6944905068036949E-2</v>
      </c>
      <c r="N105">
        <v>6.6340282509434001</v>
      </c>
      <c r="O105">
        <v>6.6340668997054699</v>
      </c>
      <c r="P105">
        <v>6.6339964629828501</v>
      </c>
      <c r="Q105" t="s">
        <v>51</v>
      </c>
    </row>
    <row r="106" spans="1:17" x14ac:dyDescent="0.2">
      <c r="A106">
        <v>105</v>
      </c>
      <c r="B106">
        <v>752</v>
      </c>
      <c r="C106">
        <v>150</v>
      </c>
      <c r="D106">
        <v>0.43302980051699702</v>
      </c>
      <c r="E106">
        <v>110.89705401251599</v>
      </c>
      <c r="F106">
        <v>1.6254067368326399</v>
      </c>
      <c r="G106">
        <v>-1839.9849850922988</v>
      </c>
      <c r="H106">
        <v>-1527.8840790786755</v>
      </c>
      <c r="I106">
        <v>304.44995921139201</v>
      </c>
      <c r="J106">
        <v>162.66251597715001</v>
      </c>
      <c r="K106">
        <v>68.227263674701106</v>
      </c>
      <c r="L106">
        <v>8.6919260838883725E-2</v>
      </c>
      <c r="M106">
        <v>-8.5921111145173965E-2</v>
      </c>
      <c r="N106">
        <v>5.87797654709009</v>
      </c>
      <c r="O106">
        <v>5.8780146832277502</v>
      </c>
      <c r="P106">
        <v>5.8779436696635399</v>
      </c>
      <c r="Q106" t="s">
        <v>51</v>
      </c>
    </row>
    <row r="107" spans="1:17" x14ac:dyDescent="0.2">
      <c r="A107">
        <v>106</v>
      </c>
      <c r="B107">
        <v>750</v>
      </c>
      <c r="C107">
        <v>150</v>
      </c>
      <c r="D107">
        <v>0.43178468455260599</v>
      </c>
      <c r="E107">
        <v>110.896934452892</v>
      </c>
      <c r="F107">
        <v>1.62681698517705</v>
      </c>
      <c r="G107">
        <v>-1839.3746573925839</v>
      </c>
      <c r="H107">
        <v>-1528.4043457193345</v>
      </c>
      <c r="I107">
        <v>303.94009804979498</v>
      </c>
      <c r="J107">
        <v>162.73723509330799</v>
      </c>
      <c r="K107">
        <v>68.168045615053302</v>
      </c>
      <c r="L107">
        <v>7.8835898214723171E-2</v>
      </c>
      <c r="M107">
        <v>-7.7832765458207692E-2</v>
      </c>
      <c r="N107">
        <v>5.3215129199080797</v>
      </c>
      <c r="O107">
        <v>5.3215504431995599</v>
      </c>
      <c r="P107">
        <v>5.3214789811901104</v>
      </c>
      <c r="Q107" t="s">
        <v>51</v>
      </c>
    </row>
    <row r="108" spans="1:17" x14ac:dyDescent="0.2">
      <c r="A108">
        <v>107</v>
      </c>
      <c r="B108">
        <v>748</v>
      </c>
      <c r="C108">
        <v>150</v>
      </c>
      <c r="D108">
        <v>0.43053469127944</v>
      </c>
      <c r="E108">
        <v>110.89681960062801</v>
      </c>
      <c r="F108">
        <v>1.62850496123079</v>
      </c>
      <c r="G108">
        <v>-1838.7653830342153</v>
      </c>
      <c r="H108">
        <v>-1528.882068972491</v>
      </c>
      <c r="I108">
        <v>303.47092685080798</v>
      </c>
      <c r="J108">
        <v>162.82423834480301</v>
      </c>
      <c r="K108">
        <v>68.097317626109103</v>
      </c>
      <c r="L108">
        <v>7.2561059588057031E-2</v>
      </c>
      <c r="M108">
        <v>-7.1553944633756375E-2</v>
      </c>
      <c r="N108">
        <v>4.8884092884119301</v>
      </c>
      <c r="O108">
        <v>4.88844612812305</v>
      </c>
      <c r="P108">
        <v>4.8883742971921604</v>
      </c>
      <c r="Q108" t="s">
        <v>51</v>
      </c>
    </row>
    <row r="109" spans="1:17" x14ac:dyDescent="0.2">
      <c r="A109">
        <v>108</v>
      </c>
      <c r="B109">
        <v>790</v>
      </c>
      <c r="C109">
        <v>125</v>
      </c>
      <c r="D109">
        <v>0.48166345294643498</v>
      </c>
      <c r="E109">
        <v>110.884225403667</v>
      </c>
      <c r="F109">
        <v>1.57958813241865</v>
      </c>
      <c r="G109">
        <v>-1853.5386687094699</v>
      </c>
      <c r="H109">
        <v>-1507.5932353593942</v>
      </c>
      <c r="I109">
        <v>325.40027087698297</v>
      </c>
      <c r="J109">
        <v>164.389459620976</v>
      </c>
      <c r="K109">
        <v>70.198188456811593</v>
      </c>
      <c r="L109">
        <v>0.67282493810792021</v>
      </c>
      <c r="M109">
        <v>-0.67199609299628882</v>
      </c>
      <c r="N109">
        <v>47.190416416212301</v>
      </c>
      <c r="O109">
        <v>47.190480895988699</v>
      </c>
      <c r="P109">
        <v>47.190412203055097</v>
      </c>
      <c r="Q109" t="s">
        <v>51</v>
      </c>
    </row>
    <row r="110" spans="1:17" x14ac:dyDescent="0.2">
      <c r="A110">
        <v>109</v>
      </c>
      <c r="B110">
        <v>788</v>
      </c>
      <c r="C110">
        <v>125</v>
      </c>
      <c r="D110">
        <v>0.48055458700466802</v>
      </c>
      <c r="E110">
        <v>110.884294642787</v>
      </c>
      <c r="F110">
        <v>1.58138213466681</v>
      </c>
      <c r="G110">
        <v>-1852.8893047296071</v>
      </c>
      <c r="H110">
        <v>-1507.9511252434575</v>
      </c>
      <c r="I110">
        <v>325.06436270415202</v>
      </c>
      <c r="J110">
        <v>164.41212257134799</v>
      </c>
      <c r="K110">
        <v>70.118595759999806</v>
      </c>
      <c r="L110">
        <v>0.67245448926951168</v>
      </c>
      <c r="M110">
        <v>-0.67162386403382257</v>
      </c>
      <c r="N110">
        <v>47.110779857065403</v>
      </c>
      <c r="O110">
        <v>47.110844294221998</v>
      </c>
      <c r="P110">
        <v>47.110775441295303</v>
      </c>
      <c r="Q110" t="s">
        <v>51</v>
      </c>
    </row>
    <row r="111" spans="1:17" x14ac:dyDescent="0.2">
      <c r="A111">
        <v>110</v>
      </c>
      <c r="B111">
        <v>786</v>
      </c>
      <c r="C111">
        <v>125</v>
      </c>
      <c r="D111">
        <v>0.47944153330501299</v>
      </c>
      <c r="E111">
        <v>110.884351644278</v>
      </c>
      <c r="F111">
        <v>1.5819912155114999</v>
      </c>
      <c r="G111">
        <v>-1852.2405258071271</v>
      </c>
      <c r="H111">
        <v>-1508.4067068317684</v>
      </c>
      <c r="I111">
        <v>324.63551802824998</v>
      </c>
      <c r="J111">
        <v>164.39439779782299</v>
      </c>
      <c r="K111">
        <v>70.091635501545198</v>
      </c>
      <c r="L111">
        <v>0.66814934829868666</v>
      </c>
      <c r="M111">
        <v>-0.66731391999365264</v>
      </c>
      <c r="N111">
        <v>46.790605660812602</v>
      </c>
      <c r="O111">
        <v>46.790670324741903</v>
      </c>
      <c r="P111">
        <v>46.790601014168601</v>
      </c>
      <c r="Q111" t="s">
        <v>51</v>
      </c>
    </row>
    <row r="112" spans="1:17" x14ac:dyDescent="0.2">
      <c r="A112">
        <v>111</v>
      </c>
      <c r="B112">
        <v>784</v>
      </c>
      <c r="C112">
        <v>125</v>
      </c>
      <c r="D112">
        <v>0.47832426807926898</v>
      </c>
      <c r="E112">
        <v>110.88440879877101</v>
      </c>
      <c r="F112">
        <v>1.5826187184243099</v>
      </c>
      <c r="G112">
        <v>-1851.5926072400791</v>
      </c>
      <c r="H112">
        <v>-1508.8618014449785</v>
      </c>
      <c r="I112">
        <v>324.20632522659798</v>
      </c>
      <c r="J112">
        <v>164.379238016204</v>
      </c>
      <c r="K112">
        <v>70.063880521500806</v>
      </c>
      <c r="L112">
        <v>0.66384218721565624</v>
      </c>
      <c r="M112">
        <v>-0.66300194369176557</v>
      </c>
      <c r="N112">
        <v>46.469993597295698</v>
      </c>
      <c r="O112">
        <v>46.470058478449701</v>
      </c>
      <c r="P112">
        <v>46.469988706773897</v>
      </c>
      <c r="Q112" t="s">
        <v>51</v>
      </c>
    </row>
    <row r="113" spans="1:17" x14ac:dyDescent="0.2">
      <c r="A113">
        <v>112</v>
      </c>
      <c r="B113">
        <v>782</v>
      </c>
      <c r="C113">
        <v>125</v>
      </c>
      <c r="D113">
        <v>0.47720276737904699</v>
      </c>
      <c r="E113">
        <v>110.884466120656</v>
      </c>
      <c r="F113">
        <v>1.5832662375208999</v>
      </c>
      <c r="G113">
        <v>-1850.9455498664227</v>
      </c>
      <c r="H113">
        <v>-1509.3163104478901</v>
      </c>
      <c r="I113">
        <v>323.77687657309298</v>
      </c>
      <c r="J113">
        <v>164.36669753918301</v>
      </c>
      <c r="K113">
        <v>70.035262227457196</v>
      </c>
      <c r="L113">
        <v>0.65953735028248661</v>
      </c>
      <c r="M113">
        <v>-0.65869228355291187</v>
      </c>
      <c r="N113">
        <v>46.149213370156097</v>
      </c>
      <c r="O113">
        <v>46.149278458142497</v>
      </c>
      <c r="P113">
        <v>46.149208222234201</v>
      </c>
      <c r="Q113" t="s">
        <v>51</v>
      </c>
    </row>
    <row r="114" spans="1:17" x14ac:dyDescent="0.2">
      <c r="A114">
        <v>113</v>
      </c>
      <c r="B114">
        <v>780</v>
      </c>
      <c r="C114">
        <v>125</v>
      </c>
      <c r="D114">
        <v>0.47607700707401701</v>
      </c>
      <c r="E114">
        <v>110.884523624868</v>
      </c>
      <c r="F114">
        <v>1.5839353040812501</v>
      </c>
      <c r="G114">
        <v>-1850.2993543510929</v>
      </c>
      <c r="H114">
        <v>-1509.7701386483861</v>
      </c>
      <c r="I114">
        <v>323.34726160942802</v>
      </c>
      <c r="J114">
        <v>164.356829725708</v>
      </c>
      <c r="K114">
        <v>70.005715094017404</v>
      </c>
      <c r="L114">
        <v>0.65523904500892549</v>
      </c>
      <c r="M114">
        <v>-0.65438915118068308</v>
      </c>
      <c r="N114">
        <v>45.8285277952982</v>
      </c>
      <c r="O114">
        <v>45.828593078873297</v>
      </c>
      <c r="P114">
        <v>45.8285223759217</v>
      </c>
      <c r="Q114" t="s">
        <v>51</v>
      </c>
    </row>
    <row r="115" spans="1:17" x14ac:dyDescent="0.2">
      <c r="A115">
        <v>114</v>
      </c>
      <c r="B115">
        <v>778</v>
      </c>
      <c r="C115">
        <v>125</v>
      </c>
      <c r="D115">
        <v>0.47494696285021398</v>
      </c>
      <c r="E115">
        <v>110.884589619728</v>
      </c>
      <c r="F115">
        <v>1.5834512562809</v>
      </c>
      <c r="G115">
        <v>-1849.6541971098654</v>
      </c>
      <c r="H115">
        <v>-1510.3560938973394</v>
      </c>
      <c r="I115">
        <v>322.791322361673</v>
      </c>
      <c r="J115">
        <v>164.33356590314401</v>
      </c>
      <c r="K115">
        <v>70.027156933246403</v>
      </c>
      <c r="L115">
        <v>0.64490434676059594</v>
      </c>
      <c r="M115">
        <v>-0.64404557354226533</v>
      </c>
      <c r="N115">
        <v>45.118342736924497</v>
      </c>
      <c r="O115">
        <v>45.118408560505799</v>
      </c>
      <c r="P115">
        <v>45.118337002957801</v>
      </c>
      <c r="Q115" t="s">
        <v>51</v>
      </c>
    </row>
    <row r="116" spans="1:17" x14ac:dyDescent="0.2">
      <c r="A116">
        <v>115</v>
      </c>
      <c r="B116">
        <v>776</v>
      </c>
      <c r="C116">
        <v>125</v>
      </c>
      <c r="D116">
        <v>0.47381261020826598</v>
      </c>
      <c r="E116">
        <v>110.88467182398099</v>
      </c>
      <c r="F116">
        <v>1.5804912907869999</v>
      </c>
      <c r="G116">
        <v>-1849.0107714959308</v>
      </c>
      <c r="H116">
        <v>-1511.2265129689342</v>
      </c>
      <c r="I116">
        <v>321.963820750747</v>
      </c>
      <c r="J116">
        <v>164.28022043332999</v>
      </c>
      <c r="K116">
        <v>70.158356752960003</v>
      </c>
      <c r="L116">
        <v>0.6215730599913073</v>
      </c>
      <c r="M116">
        <v>-0.62069670296709867</v>
      </c>
      <c r="N116">
        <v>43.565040851467302</v>
      </c>
      <c r="O116">
        <v>43.565107967510997</v>
      </c>
      <c r="P116">
        <v>43.565034720754497</v>
      </c>
      <c r="Q116" t="s">
        <v>51</v>
      </c>
    </row>
    <row r="117" spans="1:17" x14ac:dyDescent="0.2">
      <c r="A117">
        <v>116</v>
      </c>
      <c r="B117">
        <v>774</v>
      </c>
      <c r="C117">
        <v>125</v>
      </c>
      <c r="D117">
        <v>0.47267392446163797</v>
      </c>
      <c r="E117">
        <v>110.884751282452</v>
      </c>
      <c r="F117">
        <v>1.5774572703107601</v>
      </c>
      <c r="G117">
        <v>-1848.3689690488829</v>
      </c>
      <c r="H117">
        <v>-1512.1115078035998</v>
      </c>
      <c r="I117">
        <v>321.12079141086201</v>
      </c>
      <c r="J117">
        <v>164.229361004601</v>
      </c>
      <c r="K117">
        <v>70.293347001790707</v>
      </c>
      <c r="L117">
        <v>0.59747377317584027</v>
      </c>
      <c r="M117">
        <v>-0.5965793560164101</v>
      </c>
      <c r="N117">
        <v>41.953866070010299</v>
      </c>
      <c r="O117">
        <v>41.953934505789697</v>
      </c>
      <c r="P117">
        <v>41.953859513922303</v>
      </c>
      <c r="Q117" t="s">
        <v>51</v>
      </c>
    </row>
    <row r="118" spans="1:17" x14ac:dyDescent="0.2">
      <c r="A118">
        <v>117</v>
      </c>
      <c r="B118">
        <v>772</v>
      </c>
      <c r="C118">
        <v>125</v>
      </c>
      <c r="D118">
        <v>0.47153088073482102</v>
      </c>
      <c r="E118">
        <v>110.88482618710501</v>
      </c>
      <c r="F118">
        <v>1.57417072312937</v>
      </c>
      <c r="G118">
        <v>-1847.7288080899289</v>
      </c>
      <c r="H118">
        <v>-1513.0315157269943</v>
      </c>
      <c r="I118">
        <v>320.24261147089402</v>
      </c>
      <c r="J118">
        <v>164.175909175915</v>
      </c>
      <c r="K118">
        <v>70.440152747010799</v>
      </c>
      <c r="L118">
        <v>0.57159242976886016</v>
      </c>
      <c r="M118">
        <v>-0.57067886075357221</v>
      </c>
      <c r="N118">
        <v>40.217361594199097</v>
      </c>
      <c r="O118">
        <v>40.217431430264298</v>
      </c>
      <c r="P118">
        <v>40.217354577163199</v>
      </c>
      <c r="Q118" t="s">
        <v>51</v>
      </c>
    </row>
    <row r="119" spans="1:17" x14ac:dyDescent="0.2">
      <c r="A119">
        <v>118</v>
      </c>
      <c r="B119">
        <v>770</v>
      </c>
      <c r="C119">
        <v>125</v>
      </c>
      <c r="D119">
        <v>0.47038345396155901</v>
      </c>
      <c r="E119">
        <v>110.897016285814</v>
      </c>
      <c r="F119">
        <v>1.5225790739217</v>
      </c>
      <c r="G119">
        <v>-1847.2945804210995</v>
      </c>
      <c r="H119">
        <v>-1520.3623259136061</v>
      </c>
      <c r="I119">
        <v>313.41374507721002</v>
      </c>
      <c r="J119">
        <v>162.42332989200099</v>
      </c>
      <c r="K119">
        <v>72.834979926643399</v>
      </c>
      <c r="L119">
        <v>0.27638029490075733</v>
      </c>
      <c r="M119">
        <v>-0.27528177933530984</v>
      </c>
      <c r="N119">
        <v>20.073178372664199</v>
      </c>
      <c r="O119">
        <v>20.073264707578399</v>
      </c>
      <c r="P119">
        <v>20.073169358989301</v>
      </c>
      <c r="Q119" t="s">
        <v>51</v>
      </c>
    </row>
    <row r="120" spans="1:17" x14ac:dyDescent="0.2">
      <c r="A120">
        <v>119</v>
      </c>
      <c r="B120">
        <v>768</v>
      </c>
      <c r="C120">
        <v>125</v>
      </c>
      <c r="D120">
        <v>0.46923161888296799</v>
      </c>
      <c r="E120">
        <v>110.897978537079</v>
      </c>
      <c r="F120">
        <v>1.5063934620236901</v>
      </c>
      <c r="G120">
        <v>-1846.6866365418107</v>
      </c>
      <c r="H120">
        <v>-1523.2529938545745</v>
      </c>
      <c r="I120">
        <v>310.65582519938999</v>
      </c>
      <c r="J120">
        <v>161.80227430642199</v>
      </c>
      <c r="K120">
        <v>73.618202237879402</v>
      </c>
      <c r="L120">
        <v>0.17137994836477177</v>
      </c>
      <c r="M120">
        <v>-0.17021494192325859</v>
      </c>
      <c r="N120">
        <v>12.5554892301469</v>
      </c>
      <c r="O120">
        <v>12.5555814177168</v>
      </c>
      <c r="P120">
        <v>12.555479144117401</v>
      </c>
      <c r="Q120" t="s">
        <v>51</v>
      </c>
    </row>
    <row r="121" spans="1:17" x14ac:dyDescent="0.2">
      <c r="A121">
        <v>120</v>
      </c>
      <c r="B121">
        <v>766</v>
      </c>
      <c r="C121">
        <v>125</v>
      </c>
      <c r="D121">
        <v>0.46807535004571499</v>
      </c>
      <c r="E121">
        <v>110.89810045172101</v>
      </c>
      <c r="F121">
        <v>1.5016744576335801</v>
      </c>
      <c r="G121">
        <v>-1846.0687270333649</v>
      </c>
      <c r="H121">
        <v>-1524.6093712455479</v>
      </c>
      <c r="I121">
        <v>309.35396825848898</v>
      </c>
      <c r="J121">
        <v>161.61251777972899</v>
      </c>
      <c r="K121">
        <v>73.849628251972007</v>
      </c>
      <c r="L121">
        <v>0.12981663959804104</v>
      </c>
      <c r="M121">
        <v>-0.12862425921584625</v>
      </c>
      <c r="N121">
        <v>9.5239689805360399</v>
      </c>
      <c r="O121">
        <v>9.5240632956324394</v>
      </c>
      <c r="P121">
        <v>9.5239581461332392</v>
      </c>
      <c r="Q121" t="s">
        <v>51</v>
      </c>
    </row>
    <row r="122" spans="1:17" x14ac:dyDescent="0.2">
      <c r="A122">
        <v>121</v>
      </c>
      <c r="B122">
        <v>764</v>
      </c>
      <c r="C122">
        <v>125</v>
      </c>
      <c r="D122">
        <v>0.46691462180012799</v>
      </c>
      <c r="E122">
        <v>110.89805372313</v>
      </c>
      <c r="F122">
        <v>1.5003885260290399</v>
      </c>
      <c r="G122">
        <v>-1845.4501550217733</v>
      </c>
      <c r="H122">
        <v>-1525.4955083692964</v>
      </c>
      <c r="I122">
        <v>308.499781825855</v>
      </c>
      <c r="J122">
        <v>161.55961687883899</v>
      </c>
      <c r="K122">
        <v>73.912891094038599</v>
      </c>
      <c r="L122">
        <v>0.10734649527668953</v>
      </c>
      <c r="M122">
        <v>-0.10613846445031659</v>
      </c>
      <c r="N122">
        <v>7.8703566458558996</v>
      </c>
      <c r="O122">
        <v>7.8704519367856003</v>
      </c>
      <c r="P122">
        <v>7.8703451457626796</v>
      </c>
      <c r="Q122" t="s">
        <v>51</v>
      </c>
    </row>
    <row r="123" spans="1:17" x14ac:dyDescent="0.2">
      <c r="A123">
        <v>122</v>
      </c>
      <c r="B123">
        <v>762</v>
      </c>
      <c r="C123">
        <v>125</v>
      </c>
      <c r="D123">
        <v>0.46574940829831801</v>
      </c>
      <c r="E123">
        <v>110.89795870616901</v>
      </c>
      <c r="F123">
        <v>1.5005736315285101</v>
      </c>
      <c r="G123">
        <v>-1844.8322891121572</v>
      </c>
      <c r="H123">
        <v>-1526.1789132854917</v>
      </c>
      <c r="I123">
        <v>307.83879628842499</v>
      </c>
      <c r="J123">
        <v>161.56806868778</v>
      </c>
      <c r="K123">
        <v>73.903710138639894</v>
      </c>
      <c r="L123">
        <v>9.3049341874974906E-2</v>
      </c>
      <c r="M123">
        <v>-9.1830667298047369E-2</v>
      </c>
      <c r="N123">
        <v>6.8120924411806296</v>
      </c>
      <c r="O123">
        <v>6.8121881999383698</v>
      </c>
      <c r="P123">
        <v>6.8120802967770597</v>
      </c>
      <c r="Q123" t="s">
        <v>51</v>
      </c>
    </row>
    <row r="124" spans="1:17" x14ac:dyDescent="0.2">
      <c r="A124">
        <v>123</v>
      </c>
      <c r="B124">
        <v>760</v>
      </c>
      <c r="C124">
        <v>125</v>
      </c>
      <c r="D124">
        <v>0.464579683492232</v>
      </c>
      <c r="E124">
        <v>110.897847382327</v>
      </c>
      <c r="F124">
        <v>1.50153246489098</v>
      </c>
      <c r="G124">
        <v>-1844.2153693021769</v>
      </c>
      <c r="H124">
        <v>-1526.7559387843373</v>
      </c>
      <c r="I124">
        <v>307.27911841732401</v>
      </c>
      <c r="J124">
        <v>161.61042112455399</v>
      </c>
      <c r="K124">
        <v>73.856443317314103</v>
      </c>
      <c r="L124">
        <v>8.3026725539017507E-2</v>
      </c>
      <c r="M124">
        <v>-8.1800022572001113E-2</v>
      </c>
      <c r="N124">
        <v>6.0669645700250401</v>
      </c>
      <c r="O124">
        <v>6.06706051955637</v>
      </c>
      <c r="P124">
        <v>6.0669517801756196</v>
      </c>
      <c r="Q124" t="s">
        <v>51</v>
      </c>
    </row>
    <row r="125" spans="1:17" x14ac:dyDescent="0.2">
      <c r="A125">
        <v>124</v>
      </c>
      <c r="B125">
        <v>758</v>
      </c>
      <c r="C125">
        <v>125</v>
      </c>
      <c r="D125">
        <v>0.46340542113174599</v>
      </c>
      <c r="E125">
        <v>110.897730316002</v>
      </c>
      <c r="F125">
        <v>1.5029548342888299</v>
      </c>
      <c r="G125">
        <v>-1843.5994112322417</v>
      </c>
      <c r="H125">
        <v>-1527.2697980824719</v>
      </c>
      <c r="I125">
        <v>306.77945119947498</v>
      </c>
      <c r="J125">
        <v>161.674324080758</v>
      </c>
      <c r="K125">
        <v>73.786469018197195</v>
      </c>
      <c r="L125">
        <v>7.5539107413063619E-2</v>
      </c>
      <c r="M125">
        <v>-7.4305926791910934E-2</v>
      </c>
      <c r="N125">
        <v>5.5082768572310403</v>
      </c>
      <c r="O125">
        <v>5.5083728235392302</v>
      </c>
      <c r="P125">
        <v>5.5082634103183201</v>
      </c>
      <c r="Q125" t="s">
        <v>51</v>
      </c>
    </row>
    <row r="126" spans="1:17" x14ac:dyDescent="0.2">
      <c r="A126">
        <v>125</v>
      </c>
      <c r="B126">
        <v>756</v>
      </c>
      <c r="C126">
        <v>125</v>
      </c>
      <c r="D126">
        <v>0.46222659476266797</v>
      </c>
      <c r="E126">
        <v>110.897620936328</v>
      </c>
      <c r="F126">
        <v>1.5046508428499501</v>
      </c>
      <c r="G126">
        <v>-1842.9845508746787</v>
      </c>
      <c r="H126">
        <v>-1527.7515444579603</v>
      </c>
      <c r="I126">
        <v>306.31010687732402</v>
      </c>
      <c r="J126">
        <v>161.75085890326099</v>
      </c>
      <c r="K126">
        <v>73.703225876826806</v>
      </c>
      <c r="L126">
        <v>6.9430452050227118E-2</v>
      </c>
      <c r="M126">
        <v>-6.8191649176377211E-2</v>
      </c>
      <c r="N126">
        <v>5.0514249399672702</v>
      </c>
      <c r="O126">
        <v>5.0515208150307096</v>
      </c>
      <c r="P126">
        <v>5.0514108166959097</v>
      </c>
      <c r="Q126" t="s">
        <v>51</v>
      </c>
    </row>
    <row r="127" spans="1:17" x14ac:dyDescent="0.2">
      <c r="A127">
        <v>126</v>
      </c>
      <c r="B127">
        <v>754</v>
      </c>
      <c r="C127">
        <v>125</v>
      </c>
      <c r="D127">
        <v>0.46104317772477099</v>
      </c>
      <c r="E127">
        <v>110.89751533577</v>
      </c>
      <c r="F127">
        <v>1.5065814020141</v>
      </c>
      <c r="G127">
        <v>-1842.3706530752099</v>
      </c>
      <c r="H127">
        <v>-1528.2002959672147</v>
      </c>
      <c r="I127">
        <v>305.87199012941301</v>
      </c>
      <c r="J127">
        <v>161.840525492419</v>
      </c>
      <c r="K127">
        <v>73.608711210370103</v>
      </c>
      <c r="L127">
        <v>6.4611425475627204E-2</v>
      </c>
      <c r="M127">
        <v>-6.3367784887625761E-2</v>
      </c>
      <c r="N127">
        <v>4.6898558438570097</v>
      </c>
      <c r="O127">
        <v>4.6899515279972599</v>
      </c>
      <c r="P127">
        <v>4.6898410243186097</v>
      </c>
      <c r="Q127" t="s">
        <v>51</v>
      </c>
    </row>
    <row r="128" spans="1:17" x14ac:dyDescent="0.2">
      <c r="A128">
        <v>127</v>
      </c>
      <c r="B128">
        <v>806</v>
      </c>
      <c r="C128">
        <v>100</v>
      </c>
      <c r="D128">
        <v>0.51586943427697896</v>
      </c>
      <c r="E128">
        <v>110.883980431997</v>
      </c>
      <c r="F128">
        <v>1.41013026971086</v>
      </c>
      <c r="G128">
        <v>-1860.6219907045847</v>
      </c>
      <c r="H128">
        <v>-1505.3693047328813</v>
      </c>
      <c r="I128">
        <v>329.20061524287701</v>
      </c>
      <c r="J128">
        <v>163.57195920458901</v>
      </c>
      <c r="K128">
        <v>78.633855902358107</v>
      </c>
      <c r="L128">
        <v>0.59661153858121285</v>
      </c>
      <c r="M128">
        <v>-0.59551225319376133</v>
      </c>
      <c r="N128">
        <v>46.8600237043131</v>
      </c>
      <c r="O128">
        <v>46.860152235789499</v>
      </c>
      <c r="P128">
        <v>46.860028987181799</v>
      </c>
      <c r="Q128" t="s">
        <v>51</v>
      </c>
    </row>
    <row r="129" spans="1:17" x14ac:dyDescent="0.2">
      <c r="A129">
        <v>128</v>
      </c>
      <c r="B129">
        <v>804</v>
      </c>
      <c r="C129">
        <v>100</v>
      </c>
      <c r="D129">
        <v>0.514840551455232</v>
      </c>
      <c r="E129">
        <v>110.884043402884</v>
      </c>
      <c r="F129">
        <v>1.41179252924801</v>
      </c>
      <c r="G129">
        <v>-1859.9649290146272</v>
      </c>
      <c r="H129">
        <v>-1505.7416300104794</v>
      </c>
      <c r="I129">
        <v>328.85620638771002</v>
      </c>
      <c r="J129">
        <v>163.57968985965701</v>
      </c>
      <c r="K129">
        <v>78.541316167713205</v>
      </c>
      <c r="L129">
        <v>0.59583103367809509</v>
      </c>
      <c r="M129">
        <v>-0.59472876149737752</v>
      </c>
      <c r="N129">
        <v>46.743324642577399</v>
      </c>
      <c r="O129">
        <v>46.743453580513503</v>
      </c>
      <c r="P129">
        <v>46.7433301076519</v>
      </c>
      <c r="Q129" t="s">
        <v>51</v>
      </c>
    </row>
    <row r="130" spans="1:17" x14ac:dyDescent="0.2">
      <c r="A130">
        <v>129</v>
      </c>
      <c r="B130">
        <v>802</v>
      </c>
      <c r="C130">
        <v>100</v>
      </c>
      <c r="D130">
        <v>0.51380784076640695</v>
      </c>
      <c r="E130">
        <v>110.884096487983</v>
      </c>
      <c r="F130">
        <v>1.41252502335136</v>
      </c>
      <c r="G130">
        <v>-1859.3084916312696</v>
      </c>
      <c r="H130">
        <v>-1506.1901502987228</v>
      </c>
      <c r="I130">
        <v>328.44023811588801</v>
      </c>
      <c r="J130">
        <v>163.54666814884499</v>
      </c>
      <c r="K130">
        <v>78.500624523379699</v>
      </c>
      <c r="L130">
        <v>0.59227745483814331</v>
      </c>
      <c r="M130">
        <v>-0.59116987601554116</v>
      </c>
      <c r="N130">
        <v>46.439782532225898</v>
      </c>
      <c r="O130">
        <v>46.4399122274707</v>
      </c>
      <c r="P130">
        <v>46.439788193961498</v>
      </c>
      <c r="Q130" t="s">
        <v>51</v>
      </c>
    </row>
    <row r="131" spans="1:17" x14ac:dyDescent="0.2">
      <c r="A131">
        <v>130</v>
      </c>
      <c r="B131">
        <v>800</v>
      </c>
      <c r="C131">
        <v>100</v>
      </c>
      <c r="D131">
        <v>0.51277128080883805</v>
      </c>
      <c r="E131">
        <v>110.884149744075</v>
      </c>
      <c r="F131">
        <v>1.41327626337336</v>
      </c>
      <c r="G131">
        <v>-1858.6528889232475</v>
      </c>
      <c r="H131">
        <v>-1506.6379673380163</v>
      </c>
      <c r="I131">
        <v>328.02415247979201</v>
      </c>
      <c r="J131">
        <v>163.51588405828301</v>
      </c>
      <c r="K131">
        <v>78.458934475701597</v>
      </c>
      <c r="L131">
        <v>0.58872763362278813</v>
      </c>
      <c r="M131">
        <v>-0.58761472276850102</v>
      </c>
      <c r="N131">
        <v>46.136235014611501</v>
      </c>
      <c r="O131">
        <v>46.136365469682097</v>
      </c>
      <c r="P131">
        <v>46.136240871994801</v>
      </c>
      <c r="Q131" t="s">
        <v>51</v>
      </c>
    </row>
    <row r="132" spans="1:17" x14ac:dyDescent="0.2">
      <c r="A132">
        <v>131</v>
      </c>
      <c r="B132">
        <v>798</v>
      </c>
      <c r="C132">
        <v>100</v>
      </c>
      <c r="D132">
        <v>0.51173085002101004</v>
      </c>
      <c r="E132">
        <v>110.884203185708</v>
      </c>
      <c r="F132">
        <v>1.41404763206883</v>
      </c>
      <c r="G132">
        <v>-1857.9981212871105</v>
      </c>
      <c r="H132">
        <v>-1507.0850004106787</v>
      </c>
      <c r="I132">
        <v>327.60802453374998</v>
      </c>
      <c r="J132">
        <v>163.48739157298701</v>
      </c>
      <c r="K132">
        <v>78.416172603378897</v>
      </c>
      <c r="L132">
        <v>0.5851848936193782</v>
      </c>
      <c r="M132">
        <v>-0.58406662829067757</v>
      </c>
      <c r="N132">
        <v>45.832910110748998</v>
      </c>
      <c r="O132">
        <v>45.833041327554497</v>
      </c>
      <c r="P132">
        <v>45.832916162514202</v>
      </c>
      <c r="Q132" t="s">
        <v>51</v>
      </c>
    </row>
    <row r="133" spans="1:17" x14ac:dyDescent="0.2">
      <c r="A133">
        <v>132</v>
      </c>
      <c r="B133">
        <v>796</v>
      </c>
      <c r="C133">
        <v>100</v>
      </c>
      <c r="D133">
        <v>0.51068652668007097</v>
      </c>
      <c r="E133">
        <v>110.884256827824</v>
      </c>
      <c r="F133">
        <v>1.4148404578885201</v>
      </c>
      <c r="G133">
        <v>-1857.3441889785813</v>
      </c>
      <c r="H133">
        <v>-1507.5311724462724</v>
      </c>
      <c r="I133">
        <v>327.19192635104997</v>
      </c>
      <c r="J133">
        <v>163.46124361635901</v>
      </c>
      <c r="K133">
        <v>78.372268908188403</v>
      </c>
      <c r="L133">
        <v>0.58165243522728338</v>
      </c>
      <c r="M133">
        <v>-0.58052879584681905</v>
      </c>
      <c r="N133">
        <v>45.530028608049797</v>
      </c>
      <c r="O133">
        <v>45.530160587891899</v>
      </c>
      <c r="P133">
        <v>45.530034852663398</v>
      </c>
      <c r="Q133" t="s">
        <v>51</v>
      </c>
    </row>
    <row r="134" spans="1:17" x14ac:dyDescent="0.2">
      <c r="A134">
        <v>133</v>
      </c>
      <c r="B134">
        <v>794</v>
      </c>
      <c r="C134">
        <v>100</v>
      </c>
      <c r="D134">
        <v>0.50963828890034402</v>
      </c>
      <c r="E134">
        <v>110.88431068558501</v>
      </c>
      <c r="F134">
        <v>1.41565600594955</v>
      </c>
      <c r="G134">
        <v>-1856.6910921164106</v>
      </c>
      <c r="H134">
        <v>-1507.9764107217959</v>
      </c>
      <c r="I134">
        <v>326.77592634360298</v>
      </c>
      <c r="J134">
        <v>163.43749201801401</v>
      </c>
      <c r="K134">
        <v>78.327157317578099</v>
      </c>
      <c r="L134">
        <v>0.5781333063370927</v>
      </c>
      <c r="M134">
        <v>-0.57700427608614169</v>
      </c>
      <c r="N134">
        <v>45.227801976869102</v>
      </c>
      <c r="O134">
        <v>45.227934720446299</v>
      </c>
      <c r="P134">
        <v>45.227808412515003</v>
      </c>
      <c r="Q134" t="s">
        <v>51</v>
      </c>
    </row>
    <row r="135" spans="1:17" x14ac:dyDescent="0.2">
      <c r="A135">
        <v>134</v>
      </c>
      <c r="B135">
        <v>792</v>
      </c>
      <c r="C135">
        <v>100</v>
      </c>
      <c r="D135">
        <v>0.50858611463174297</v>
      </c>
      <c r="E135">
        <v>110.884364774226</v>
      </c>
      <c r="F135">
        <v>1.4164954705216199</v>
      </c>
      <c r="G135">
        <v>-1856.0388306878533</v>
      </c>
      <c r="H135">
        <v>-1508.4206474601151</v>
      </c>
      <c r="I135">
        <v>326.360088670984</v>
      </c>
      <c r="J135">
        <v>163.416187534382</v>
      </c>
      <c r="K135">
        <v>78.280776099758796</v>
      </c>
      <c r="L135">
        <v>0.5746303766861558</v>
      </c>
      <c r="M135">
        <v>-0.57349594137600513</v>
      </c>
      <c r="N135">
        <v>44.926430520694502</v>
      </c>
      <c r="O135">
        <v>44.926564028109198</v>
      </c>
      <c r="P135">
        <v>44.926437145258497</v>
      </c>
      <c r="Q135" t="s">
        <v>51</v>
      </c>
    </row>
    <row r="136" spans="1:17" x14ac:dyDescent="0.2">
      <c r="A136">
        <v>135</v>
      </c>
      <c r="B136">
        <v>790</v>
      </c>
      <c r="C136">
        <v>100</v>
      </c>
      <c r="D136">
        <v>0.507529981658283</v>
      </c>
      <c r="E136">
        <v>110.884429852103</v>
      </c>
      <c r="F136">
        <v>1.41558146652521</v>
      </c>
      <c r="G136">
        <v>-1855.3876568088904</v>
      </c>
      <c r="H136">
        <v>-1509.0440079605942</v>
      </c>
      <c r="I136">
        <v>325.77525009893998</v>
      </c>
      <c r="J136">
        <v>163.355184033462</v>
      </c>
      <c r="K136">
        <v>78.331365925754795</v>
      </c>
      <c r="L136">
        <v>0.5635487625810538</v>
      </c>
      <c r="M136">
        <v>-0.5624032582559999</v>
      </c>
      <c r="N136">
        <v>44.086764635360701</v>
      </c>
      <c r="O136">
        <v>44.086899733908503</v>
      </c>
      <c r="P136">
        <v>44.086771490447497</v>
      </c>
      <c r="Q136" t="s">
        <v>51</v>
      </c>
    </row>
    <row r="137" spans="1:17" x14ac:dyDescent="0.2">
      <c r="A137">
        <v>136</v>
      </c>
      <c r="B137">
        <v>788</v>
      </c>
      <c r="C137">
        <v>100</v>
      </c>
      <c r="D137">
        <v>0.50646986759647905</v>
      </c>
      <c r="E137">
        <v>110.884506391369</v>
      </c>
      <c r="F137">
        <v>1.41251716044465</v>
      </c>
      <c r="G137">
        <v>-1854.7381400243421</v>
      </c>
      <c r="H137">
        <v>-1509.8892097490791</v>
      </c>
      <c r="I137">
        <v>324.980741973504</v>
      </c>
      <c r="J137">
        <v>163.24527495956099</v>
      </c>
      <c r="K137">
        <v>78.501351697889305</v>
      </c>
      <c r="L137">
        <v>0.54305433325754771</v>
      </c>
      <c r="M137">
        <v>-0.54189074173196927</v>
      </c>
      <c r="N137">
        <v>42.572578544364397</v>
      </c>
      <c r="O137">
        <v>42.572716268946998</v>
      </c>
      <c r="P137">
        <v>42.572585685601602</v>
      </c>
      <c r="Q137" t="s">
        <v>51</v>
      </c>
    </row>
    <row r="138" spans="1:17" x14ac:dyDescent="0.2">
      <c r="A138">
        <v>137</v>
      </c>
      <c r="B138">
        <v>786</v>
      </c>
      <c r="C138">
        <v>100</v>
      </c>
      <c r="D138">
        <v>0.50540574989378495</v>
      </c>
      <c r="E138">
        <v>110.884579976862</v>
      </c>
      <c r="F138">
        <v>1.40934972532555</v>
      </c>
      <c r="G138">
        <v>-1854.0901775533589</v>
      </c>
      <c r="H138">
        <v>-1510.749943717861</v>
      </c>
      <c r="I138">
        <v>324.170038533769</v>
      </c>
      <c r="J138">
        <v>163.133801783992</v>
      </c>
      <c r="K138">
        <v>78.677831331927393</v>
      </c>
      <c r="L138">
        <v>0.52179944184725879</v>
      </c>
      <c r="M138">
        <v>-0.52061721427065732</v>
      </c>
      <c r="N138">
        <v>40.994945763940201</v>
      </c>
      <c r="O138">
        <v>40.995086206217998</v>
      </c>
      <c r="P138">
        <v>40.994953197780802</v>
      </c>
      <c r="Q138" t="s">
        <v>51</v>
      </c>
    </row>
    <row r="139" spans="1:17" x14ac:dyDescent="0.2">
      <c r="A139">
        <v>138</v>
      </c>
      <c r="B139">
        <v>784</v>
      </c>
      <c r="C139">
        <v>100</v>
      </c>
      <c r="D139">
        <v>0.50433760582698905</v>
      </c>
      <c r="E139">
        <v>110.884648582157</v>
      </c>
      <c r="F139">
        <v>1.4058743564151099</v>
      </c>
      <c r="G139">
        <v>-1853.443786043732</v>
      </c>
      <c r="H139">
        <v>-1511.6475381675314</v>
      </c>
      <c r="I139">
        <v>323.32289128479101</v>
      </c>
      <c r="J139">
        <v>163.01282822482401</v>
      </c>
      <c r="K139">
        <v>78.872374388352796</v>
      </c>
      <c r="L139">
        <v>0.49881140499770904</v>
      </c>
      <c r="M139">
        <v>-0.49760933525052986</v>
      </c>
      <c r="N139">
        <v>39.282071200121699</v>
      </c>
      <c r="O139">
        <v>39.282214550865397</v>
      </c>
      <c r="P139">
        <v>39.282078938370901</v>
      </c>
      <c r="Q139" t="s">
        <v>51</v>
      </c>
    </row>
    <row r="140" spans="1:17" x14ac:dyDescent="0.2">
      <c r="A140">
        <v>139</v>
      </c>
      <c r="B140">
        <v>782</v>
      </c>
      <c r="C140">
        <v>100</v>
      </c>
      <c r="D140">
        <v>0.50326541250059598</v>
      </c>
      <c r="E140">
        <v>110.89552721369699</v>
      </c>
      <c r="F140">
        <v>1.3706185524257199</v>
      </c>
      <c r="G140">
        <v>-1852.978341733987</v>
      </c>
      <c r="H140">
        <v>-1516.3769390322689</v>
      </c>
      <c r="I140">
        <v>319.01296071501599</v>
      </c>
      <c r="J140">
        <v>161.510964410795</v>
      </c>
      <c r="K140">
        <v>80.909109990838999</v>
      </c>
      <c r="L140">
        <v>0.32853483317876647</v>
      </c>
      <c r="M140">
        <v>-0.32721192038418284</v>
      </c>
      <c r="N140">
        <v>26.513119229871101</v>
      </c>
      <c r="O140">
        <v>26.513281064985701</v>
      </c>
      <c r="P140">
        <v>26.513128155746099</v>
      </c>
      <c r="Q140" t="s">
        <v>51</v>
      </c>
    </row>
    <row r="141" spans="1:17" x14ac:dyDescent="0.2">
      <c r="A141">
        <v>140</v>
      </c>
      <c r="B141">
        <v>780</v>
      </c>
      <c r="C141">
        <v>100</v>
      </c>
      <c r="D141">
        <v>0.50218914684517901</v>
      </c>
      <c r="E141">
        <v>110.898290375001</v>
      </c>
      <c r="F141">
        <v>1.3431012720761999</v>
      </c>
      <c r="G141">
        <v>-1852.389691449433</v>
      </c>
      <c r="H141">
        <v>-1520.3958351645772</v>
      </c>
      <c r="I141">
        <v>315.244235359264</v>
      </c>
      <c r="J141">
        <v>160.18194955962599</v>
      </c>
      <c r="K141">
        <v>82.568822381927802</v>
      </c>
      <c r="L141">
        <v>0.18908893568834806</v>
      </c>
      <c r="M141">
        <v>-0.18766725373898663</v>
      </c>
      <c r="N141">
        <v>15.537711189568</v>
      </c>
      <c r="O141">
        <v>15.5378887573247</v>
      </c>
      <c r="P141">
        <v>15.537721172367201</v>
      </c>
      <c r="Q141" t="s">
        <v>51</v>
      </c>
    </row>
    <row r="142" spans="1:17" x14ac:dyDescent="0.2">
      <c r="A142">
        <v>141</v>
      </c>
      <c r="B142">
        <v>778</v>
      </c>
      <c r="C142">
        <v>100</v>
      </c>
      <c r="D142">
        <v>0.501108785615755</v>
      </c>
      <c r="E142">
        <v>110.898732572939</v>
      </c>
      <c r="F142">
        <v>1.3341475841523001</v>
      </c>
      <c r="G142">
        <v>-1851.7683000371978</v>
      </c>
      <c r="H142">
        <v>-1522.1914531181433</v>
      </c>
      <c r="I142">
        <v>313.54483255953198</v>
      </c>
      <c r="J142">
        <v>159.695452559003</v>
      </c>
      <c r="K142">
        <v>83.123287026302606</v>
      </c>
      <c r="L142">
        <v>0.13495616981058403</v>
      </c>
      <c r="M142">
        <v>-0.13349433310041361</v>
      </c>
      <c r="N142">
        <v>11.1400516774794</v>
      </c>
      <c r="O142">
        <v>11.140235704533399</v>
      </c>
      <c r="P142">
        <v>11.140062197398301</v>
      </c>
      <c r="Q142" t="s">
        <v>51</v>
      </c>
    </row>
    <row r="143" spans="1:17" x14ac:dyDescent="0.2">
      <c r="A143">
        <v>142</v>
      </c>
      <c r="B143">
        <v>776</v>
      </c>
      <c r="C143">
        <v>100</v>
      </c>
      <c r="D143">
        <v>0.50002430539008103</v>
      </c>
      <c r="E143">
        <v>110.89879155542999</v>
      </c>
      <c r="F143">
        <v>1.3310410771794099</v>
      </c>
      <c r="G143">
        <v>-1851.1432488832327</v>
      </c>
      <c r="H143">
        <v>-1523.2552542560115</v>
      </c>
      <c r="I143">
        <v>312.53290352448801</v>
      </c>
      <c r="J143">
        <v>159.49604159734099</v>
      </c>
      <c r="K143">
        <v>83.317332167113705</v>
      </c>
      <c r="L143">
        <v>0.10798973649245923</v>
      </c>
      <c r="M143">
        <v>-0.10650628885935824</v>
      </c>
      <c r="N143">
        <v>8.9179672719030503</v>
      </c>
      <c r="O143">
        <v>8.9181547134965005</v>
      </c>
      <c r="P143">
        <v>8.9179781523336192</v>
      </c>
      <c r="Q143" t="s">
        <v>51</v>
      </c>
    </row>
    <row r="144" spans="1:17" x14ac:dyDescent="0.2">
      <c r="A144">
        <v>143</v>
      </c>
      <c r="B144">
        <v>774</v>
      </c>
      <c r="C144">
        <v>100</v>
      </c>
      <c r="D144">
        <v>0.49893568256697302</v>
      </c>
      <c r="E144">
        <v>110.898743058514</v>
      </c>
      <c r="F144">
        <v>1.33024291986179</v>
      </c>
      <c r="G144">
        <v>-1850.5181561511477</v>
      </c>
      <c r="H144">
        <v>-1524.0255870538833</v>
      </c>
      <c r="I144">
        <v>311.79728686399301</v>
      </c>
      <c r="J144">
        <v>159.41464832300301</v>
      </c>
      <c r="K144">
        <v>83.367286833623197</v>
      </c>
      <c r="L144">
        <v>9.1767267700095925E-2</v>
      </c>
      <c r="M144">
        <v>-9.0269501790077672E-2</v>
      </c>
      <c r="N144">
        <v>7.5699606108621298</v>
      </c>
      <c r="O144">
        <v>7.5701502477195604</v>
      </c>
      <c r="P144">
        <v>7.56997177596093</v>
      </c>
      <c r="Q144" t="s">
        <v>51</v>
      </c>
    </row>
    <row r="145" spans="1:17" x14ac:dyDescent="0.2">
      <c r="A145">
        <v>144</v>
      </c>
      <c r="B145">
        <v>772</v>
      </c>
      <c r="C145">
        <v>100</v>
      </c>
      <c r="D145">
        <v>0.49784289336458698</v>
      </c>
      <c r="E145">
        <v>110.898657343545</v>
      </c>
      <c r="F145">
        <v>1.3305832176427601</v>
      </c>
      <c r="G145">
        <v>-1849.8937772530332</v>
      </c>
      <c r="H145">
        <v>-1524.6507308682731</v>
      </c>
      <c r="I145">
        <v>311.19843650743098</v>
      </c>
      <c r="J145">
        <v>159.39345792360101</v>
      </c>
      <c r="K145">
        <v>83.345901160553396</v>
      </c>
      <c r="L145">
        <v>8.0824855688035033E-2</v>
      </c>
      <c r="M145">
        <v>-7.9316333397491376E-2</v>
      </c>
      <c r="N145">
        <v>6.6552725726522404</v>
      </c>
      <c r="O145">
        <v>6.65546380073308</v>
      </c>
      <c r="P145">
        <v>6.65528398017483</v>
      </c>
      <c r="Q145" t="s">
        <v>51</v>
      </c>
    </row>
    <row r="146" spans="1:17" x14ac:dyDescent="0.2">
      <c r="A146">
        <v>145</v>
      </c>
      <c r="B146">
        <v>770</v>
      </c>
      <c r="C146">
        <v>100</v>
      </c>
      <c r="D146">
        <v>0.49674591381872402</v>
      </c>
      <c r="E146">
        <v>110.898557183794</v>
      </c>
      <c r="F146">
        <v>1.33157388060571</v>
      </c>
      <c r="G146">
        <v>-1849.2702768336696</v>
      </c>
      <c r="H146">
        <v>-1525.1933419392169</v>
      </c>
      <c r="I146">
        <v>310.67724036621502</v>
      </c>
      <c r="J146">
        <v>159.407905003525</v>
      </c>
      <c r="K146">
        <v>83.283818343859394</v>
      </c>
      <c r="L146">
        <v>7.2873567511229448E-2</v>
      </c>
      <c r="M146">
        <v>-7.1356291476333891E-2</v>
      </c>
      <c r="N146">
        <v>5.9874667087809499</v>
      </c>
      <c r="O146">
        <v>5.9876591832692698</v>
      </c>
      <c r="P146">
        <v>5.9874783303017196</v>
      </c>
      <c r="Q146" t="s">
        <v>51</v>
      </c>
    </row>
    <row r="147" spans="1:17" x14ac:dyDescent="0.2">
      <c r="A147">
        <v>146</v>
      </c>
      <c r="B147">
        <v>768</v>
      </c>
      <c r="C147">
        <v>100</v>
      </c>
      <c r="D147">
        <v>0.49564471978101199</v>
      </c>
      <c r="E147">
        <v>110.89845117685699</v>
      </c>
      <c r="F147">
        <v>1.3329759813187101</v>
      </c>
      <c r="G147">
        <v>-1848.6476721559432</v>
      </c>
      <c r="H147">
        <v>-1525.6843546845364</v>
      </c>
      <c r="I147">
        <v>310.20445464698798</v>
      </c>
      <c r="J147">
        <v>159.44584319933901</v>
      </c>
      <c r="K147">
        <v>83.196136112779499</v>
      </c>
      <c r="L147">
        <v>6.6789418001554746E-2</v>
      </c>
      <c r="M147">
        <v>-6.5264626582969346E-2</v>
      </c>
      <c r="N147">
        <v>5.4744157389013104</v>
      </c>
      <c r="O147">
        <v>5.4746092425560704</v>
      </c>
      <c r="P147">
        <v>5.47442755248934</v>
      </c>
      <c r="Q147" t="s">
        <v>51</v>
      </c>
    </row>
    <row r="148" spans="1:17" x14ac:dyDescent="0.2">
      <c r="A148">
        <v>147</v>
      </c>
      <c r="B148">
        <v>766</v>
      </c>
      <c r="C148">
        <v>100</v>
      </c>
      <c r="D148">
        <v>0.49453928691719501</v>
      </c>
      <c r="E148">
        <v>110.898342870213</v>
      </c>
      <c r="F148">
        <v>1.33465862389718</v>
      </c>
      <c r="G148">
        <v>-1848.0259418513726</v>
      </c>
      <c r="H148">
        <v>-1526.140827791337</v>
      </c>
      <c r="I148">
        <v>309.76392445416599</v>
      </c>
      <c r="J148">
        <v>159.500593562902</v>
      </c>
      <c r="K148">
        <v>83.091167197790099</v>
      </c>
      <c r="L148">
        <v>6.1954940372820719E-2</v>
      </c>
      <c r="M148">
        <v>-6.0423452736554362E-2</v>
      </c>
      <c r="N148">
        <v>5.0652795457688802</v>
      </c>
      <c r="O148">
        <v>5.0654739314027903</v>
      </c>
      <c r="P148">
        <v>5.0652915327779802</v>
      </c>
      <c r="Q148" t="s">
        <v>51</v>
      </c>
    </row>
    <row r="149" spans="1:17" x14ac:dyDescent="0.2">
      <c r="A149">
        <v>148</v>
      </c>
      <c r="B149">
        <v>764</v>
      </c>
      <c r="C149">
        <v>100</v>
      </c>
      <c r="D149">
        <v>0.49342959070530001</v>
      </c>
      <c r="E149">
        <v>110.89823377984899</v>
      </c>
      <c r="F149">
        <v>1.3365439184185099</v>
      </c>
      <c r="G149">
        <v>-1847.4050565544301</v>
      </c>
      <c r="H149">
        <v>-1526.5729689243835</v>
      </c>
      <c r="I149">
        <v>309.34596732904402</v>
      </c>
      <c r="J149">
        <v>159.568192670586</v>
      </c>
      <c r="K149">
        <v>82.973879310357006</v>
      </c>
      <c r="L149">
        <v>5.8001725073703277E-2</v>
      </c>
      <c r="M149">
        <v>-5.6464110639069524E-2</v>
      </c>
      <c r="N149">
        <v>4.7296187846067204</v>
      </c>
      <c r="O149">
        <v>4.7298139467033096</v>
      </c>
      <c r="P149">
        <v>4.7296309280811997</v>
      </c>
      <c r="Q149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B6469-0595-43F8-BCA5-C92F5FEE8854}">
  <sheetPr codeName="Sheet4"/>
  <dimension ref="A1:AI149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760</v>
      </c>
      <c r="C2">
        <v>300</v>
      </c>
      <c r="D2">
        <v>0.27825630353772701</v>
      </c>
      <c r="E2">
        <v>107.013944983546</v>
      </c>
      <c r="F2">
        <v>2.19953979202494</v>
      </c>
      <c r="G2">
        <v>-1749.5622388074037</v>
      </c>
      <c r="H2">
        <v>-1457.3177540063862</v>
      </c>
      <c r="I2">
        <v>282.867429512672</v>
      </c>
      <c r="J2">
        <v>145.27599386968299</v>
      </c>
      <c r="K2">
        <v>48.652879739459799</v>
      </c>
      <c r="L2">
        <v>1.6212078738732128E-4</v>
      </c>
      <c r="M2">
        <v>1.7703293559335897E-5</v>
      </c>
      <c r="N2" s="1">
        <v>3.9806646822459397E-6</v>
      </c>
      <c r="O2" s="1">
        <v>1.08273570866068E-7</v>
      </c>
      <c r="P2" s="1">
        <v>-5.4135079420404E-7</v>
      </c>
      <c r="Q2">
        <v>71.738314115810596</v>
      </c>
      <c r="R2">
        <v>8.9707934806777398E-2</v>
      </c>
      <c r="S2">
        <v>12.1105711989153</v>
      </c>
      <c r="T2">
        <v>0.225782664419721</v>
      </c>
      <c r="V2">
        <v>0.57243812538121097</v>
      </c>
      <c r="W2">
        <v>2.5230356664406001E-2</v>
      </c>
      <c r="X2">
        <v>0.112134918508472</v>
      </c>
      <c r="AA2">
        <v>0.73822154684743702</v>
      </c>
      <c r="AB2">
        <v>3.31732467254227</v>
      </c>
      <c r="AC2">
        <v>4.3826063983727304</v>
      </c>
      <c r="AD2">
        <v>3.7378306169489901E-2</v>
      </c>
      <c r="AE2">
        <v>6.6502897615614103</v>
      </c>
    </row>
    <row r="3" spans="1:35" x14ac:dyDescent="0.2">
      <c r="A3">
        <v>2</v>
      </c>
      <c r="B3">
        <v>758</v>
      </c>
      <c r="C3">
        <v>300</v>
      </c>
      <c r="D3">
        <v>0.27672065169955901</v>
      </c>
      <c r="E3">
        <v>106.82954866752701</v>
      </c>
      <c r="F3">
        <v>2.2003776327237801</v>
      </c>
      <c r="G3">
        <v>-1745.9305644961048</v>
      </c>
      <c r="H3">
        <v>-1455.0247153962371</v>
      </c>
      <c r="I3">
        <v>282.11787722433002</v>
      </c>
      <c r="J3">
        <v>145.01546562259099</v>
      </c>
      <c r="K3">
        <v>48.550551995607101</v>
      </c>
      <c r="L3">
        <v>1.6207190201628587E-4</v>
      </c>
      <c r="M3">
        <v>1.7686166263887454E-5</v>
      </c>
      <c r="N3" s="1">
        <v>3.9837101201814903E-6</v>
      </c>
      <c r="O3" s="1">
        <v>1.07919065364836E-7</v>
      </c>
      <c r="P3" s="1">
        <v>-5.4046932416666999E-7</v>
      </c>
      <c r="Q3">
        <v>71.700123865887093</v>
      </c>
      <c r="R3">
        <v>8.9862777852567299E-2</v>
      </c>
      <c r="S3">
        <v>12.1314750100972</v>
      </c>
      <c r="T3">
        <v>0.226943937204379</v>
      </c>
      <c r="V3">
        <v>0.57273194650896597</v>
      </c>
      <c r="W3">
        <v>2.5273906271034301E-2</v>
      </c>
      <c r="X3">
        <v>0.112328472315711</v>
      </c>
      <c r="AA3">
        <v>0.73949577607841399</v>
      </c>
      <c r="AB3">
        <v>3.3230506393397001</v>
      </c>
      <c r="AC3">
        <v>4.3901711263388998</v>
      </c>
      <c r="AD3">
        <v>3.7442824105235098E-2</v>
      </c>
      <c r="AE3">
        <v>6.6510997180006397</v>
      </c>
    </row>
    <row r="4" spans="1:35" x14ac:dyDescent="0.2">
      <c r="A4">
        <v>3</v>
      </c>
      <c r="B4">
        <v>756</v>
      </c>
      <c r="C4">
        <v>300</v>
      </c>
      <c r="D4">
        <v>0.27517903123937498</v>
      </c>
      <c r="E4">
        <v>106.36426371126601</v>
      </c>
      <c r="F4">
        <v>2.20134363462377</v>
      </c>
      <c r="G4">
        <v>-1737.6455472366979</v>
      </c>
      <c r="H4">
        <v>-1448.7905994699845</v>
      </c>
      <c r="I4">
        <v>280.67332047487002</v>
      </c>
      <c r="J4">
        <v>144.40442603613999</v>
      </c>
      <c r="K4">
        <v>48.317882786821102</v>
      </c>
      <c r="L4">
        <v>1.6215866008525721E-4</v>
      </c>
      <c r="M4">
        <v>1.7670971915089247E-5</v>
      </c>
      <c r="N4" s="1">
        <v>3.9784052101106097E-6</v>
      </c>
      <c r="O4" s="1">
        <v>1.0733738734696801E-7</v>
      </c>
      <c r="P4" s="1">
        <v>-5.3886186499030199E-7</v>
      </c>
      <c r="Q4">
        <v>71.600874617140306</v>
      </c>
      <c r="R4">
        <v>9.0255877914596799E-2</v>
      </c>
      <c r="S4">
        <v>12.184543518471701</v>
      </c>
      <c r="T4">
        <v>0.22880973943680899</v>
      </c>
      <c r="V4">
        <v>0.57445175473461496</v>
      </c>
      <c r="W4">
        <v>2.5384465663479901E-2</v>
      </c>
      <c r="X4">
        <v>0.112819847393249</v>
      </c>
      <c r="AA4">
        <v>0.74273066200552895</v>
      </c>
      <c r="AB4">
        <v>3.3375871520501499</v>
      </c>
      <c r="AC4">
        <v>4.4093757022859199</v>
      </c>
      <c r="AD4">
        <v>3.7606615797746497E-2</v>
      </c>
      <c r="AE4">
        <v>6.6555600471057996</v>
      </c>
    </row>
    <row r="5" spans="1:35" x14ac:dyDescent="0.2">
      <c r="A5">
        <v>4</v>
      </c>
      <c r="B5">
        <v>754</v>
      </c>
      <c r="C5">
        <v>300</v>
      </c>
      <c r="D5">
        <v>0.27363140729202201</v>
      </c>
      <c r="E5">
        <v>105.903697856607</v>
      </c>
      <c r="F5">
        <v>2.20230929452803</v>
      </c>
      <c r="G5">
        <v>-1729.4442242139869</v>
      </c>
      <c r="H5">
        <v>-1442.6201423206019</v>
      </c>
      <c r="I5">
        <v>279.24264410590803</v>
      </c>
      <c r="J5">
        <v>143.79961234287299</v>
      </c>
      <c r="K5">
        <v>48.087567954120402</v>
      </c>
      <c r="L5">
        <v>1.6224568218136217E-4</v>
      </c>
      <c r="M5">
        <v>1.7655772998533834E-5</v>
      </c>
      <c r="N5" s="1">
        <v>3.97321650313568E-6</v>
      </c>
      <c r="O5" s="1">
        <v>1.06762010378368E-7</v>
      </c>
      <c r="P5" s="1">
        <v>-5.3727569701861001E-7</v>
      </c>
      <c r="Q5">
        <v>71.501711222812901</v>
      </c>
      <c r="R5">
        <v>9.0648392778487796E-2</v>
      </c>
      <c r="S5">
        <v>12.2375330250979</v>
      </c>
      <c r="T5">
        <v>0.23068858158314101</v>
      </c>
      <c r="V5">
        <v>0.57615476997649095</v>
      </c>
      <c r="W5">
        <v>2.5494860468948902E-2</v>
      </c>
      <c r="X5">
        <v>0.11331049097311501</v>
      </c>
      <c r="AA5">
        <v>0.745960732239627</v>
      </c>
      <c r="AB5">
        <v>3.3521020246211002</v>
      </c>
      <c r="AC5">
        <v>4.4285516888655101</v>
      </c>
      <c r="AD5">
        <v>3.7770163657699599E-2</v>
      </c>
      <c r="AE5">
        <v>6.6600740469249198</v>
      </c>
    </row>
    <row r="6" spans="1:35" x14ac:dyDescent="0.2">
      <c r="A6">
        <v>5</v>
      </c>
      <c r="B6">
        <v>752</v>
      </c>
      <c r="C6">
        <v>300</v>
      </c>
      <c r="D6">
        <v>0.27207774472028401</v>
      </c>
      <c r="E6">
        <v>105.44777232886101</v>
      </c>
      <c r="F6">
        <v>2.20327461422022</v>
      </c>
      <c r="G6">
        <v>-1721.3252105652177</v>
      </c>
      <c r="H6">
        <v>-1436.5122774137885</v>
      </c>
      <c r="I6">
        <v>277.82561883766101</v>
      </c>
      <c r="J6">
        <v>143.200921875544</v>
      </c>
      <c r="K6">
        <v>47.859568502395199</v>
      </c>
      <c r="L6">
        <v>1.623329741806584E-4</v>
      </c>
      <c r="M6">
        <v>1.764056956028499E-5</v>
      </c>
      <c r="N6" s="1">
        <v>3.9681425470722702E-6</v>
      </c>
      <c r="O6" s="1">
        <v>1.0619283514802799E-7</v>
      </c>
      <c r="P6" s="1">
        <v>-5.35710515056646E-7</v>
      </c>
      <c r="Q6">
        <v>71.4026313921308</v>
      </c>
      <c r="R6">
        <v>9.1040330089292396E-2</v>
      </c>
      <c r="S6">
        <v>12.290444562057001</v>
      </c>
      <c r="T6">
        <v>0.232580622851248</v>
      </c>
      <c r="V6">
        <v>0.57784091507562396</v>
      </c>
      <c r="W6">
        <v>2.56050928376125E-2</v>
      </c>
      <c r="X6">
        <v>0.11380041261162201</v>
      </c>
      <c r="AA6">
        <v>0.74918604969312097</v>
      </c>
      <c r="AB6">
        <v>3.3665955397602101</v>
      </c>
      <c r="AC6">
        <v>4.4476994595704102</v>
      </c>
      <c r="AD6">
        <v>3.79334708705341E-2</v>
      </c>
      <c r="AE6">
        <v>6.6646421524525099</v>
      </c>
    </row>
    <row r="7" spans="1:35" x14ac:dyDescent="0.2">
      <c r="A7">
        <v>6</v>
      </c>
      <c r="B7">
        <v>750</v>
      </c>
      <c r="C7">
        <v>300</v>
      </c>
      <c r="D7">
        <v>0.270518008112205</v>
      </c>
      <c r="E7">
        <v>104.99641006576</v>
      </c>
      <c r="F7">
        <v>2.2042395952302898</v>
      </c>
      <c r="G7">
        <v>-1713.2871516028301</v>
      </c>
      <c r="H7">
        <v>-1430.4659613759648</v>
      </c>
      <c r="I7">
        <v>276.42202045337001</v>
      </c>
      <c r="J7">
        <v>142.60825422520901</v>
      </c>
      <c r="K7">
        <v>47.633846290103797</v>
      </c>
      <c r="L7">
        <v>1.6242054214203171E-4</v>
      </c>
      <c r="M7">
        <v>1.7625361656785514E-5</v>
      </c>
      <c r="N7" s="1">
        <v>3.9631819325049398E-6</v>
      </c>
      <c r="O7" s="1">
        <v>1.05629764665334E-7</v>
      </c>
      <c r="P7" s="1">
        <v>-5.3416602181803995E-7</v>
      </c>
      <c r="Q7">
        <v>71.303632827008997</v>
      </c>
      <c r="R7">
        <v>9.1431697464585002E-2</v>
      </c>
      <c r="S7">
        <v>12.3432791577219</v>
      </c>
      <c r="T7">
        <v>0.234486024153684</v>
      </c>
      <c r="V7">
        <v>0.57951011110129302</v>
      </c>
      <c r="W7">
        <v>2.5715164911913401E-2</v>
      </c>
      <c r="X7">
        <v>0.114289621830739</v>
      </c>
      <c r="AA7">
        <v>0.75240667705229602</v>
      </c>
      <c r="AB7">
        <v>3.3810679791590399</v>
      </c>
      <c r="AC7">
        <v>4.4668193865508004</v>
      </c>
      <c r="AD7">
        <v>3.80965406102384E-2</v>
      </c>
      <c r="AE7">
        <v>6.6692648124343101</v>
      </c>
    </row>
    <row r="8" spans="1:35" x14ac:dyDescent="0.2">
      <c r="A8">
        <v>7</v>
      </c>
      <c r="B8">
        <v>748</v>
      </c>
      <c r="C8">
        <v>300</v>
      </c>
      <c r="D8">
        <v>0.26895216177838999</v>
      </c>
      <c r="E8">
        <v>104.54953567259901</v>
      </c>
      <c r="F8">
        <v>2.20520423882376</v>
      </c>
      <c r="G8">
        <v>-1705.3287220247271</v>
      </c>
      <c r="H8">
        <v>-1424.4801733877671</v>
      </c>
      <c r="I8">
        <v>275.03162966945098</v>
      </c>
      <c r="J8">
        <v>142.02151118278999</v>
      </c>
      <c r="K8">
        <v>47.410364007084098</v>
      </c>
      <c r="L8">
        <v>1.6250839231406886E-4</v>
      </c>
      <c r="M8">
        <v>1.7610149355299107E-5</v>
      </c>
      <c r="N8" s="1">
        <v>3.95833329211351E-6</v>
      </c>
      <c r="O8" s="1">
        <v>1.05072704205094E-7</v>
      </c>
      <c r="P8" s="1">
        <v>-5.3264192776623695E-7</v>
      </c>
      <c r="Q8">
        <v>71.204713221765203</v>
      </c>
      <c r="R8">
        <v>9.1822502493582397E-2</v>
      </c>
      <c r="S8">
        <v>12.3960378366373</v>
      </c>
      <c r="T8">
        <v>0.236404948120221</v>
      </c>
      <c r="V8">
        <v>0.58116227733251602</v>
      </c>
      <c r="W8">
        <v>2.5825078826318602E-2</v>
      </c>
      <c r="X8">
        <v>0.114778128116988</v>
      </c>
      <c r="AA8">
        <v>0.75562267677008299</v>
      </c>
      <c r="AB8">
        <v>3.3955196234604799</v>
      </c>
      <c r="AC8">
        <v>4.4859118405715499</v>
      </c>
      <c r="AD8">
        <v>3.8259376038986097E-2</v>
      </c>
      <c r="AE8">
        <v>6.6739424898666702</v>
      </c>
    </row>
    <row r="9" spans="1:35" x14ac:dyDescent="0.2">
      <c r="A9">
        <v>8</v>
      </c>
      <c r="B9">
        <v>746</v>
      </c>
      <c r="C9">
        <v>300</v>
      </c>
      <c r="D9">
        <v>0.26738016974930101</v>
      </c>
      <c r="E9">
        <v>104.107075374725</v>
      </c>
      <c r="F9">
        <v>2.2061685459981399</v>
      </c>
      <c r="G9">
        <v>-1697.4486250812083</v>
      </c>
      <c r="H9">
        <v>-1418.5539145399118</v>
      </c>
      <c r="I9">
        <v>273.65423199852398</v>
      </c>
      <c r="J9">
        <v>141.440596677185</v>
      </c>
      <c r="K9">
        <v>47.189085151073201</v>
      </c>
      <c r="L9">
        <v>1.6259653114092631E-4</v>
      </c>
      <c r="M9">
        <v>1.7594932734152296E-5</v>
      </c>
      <c r="N9" s="1">
        <v>3.9535952997997098E-6</v>
      </c>
      <c r="O9" s="1">
        <v>1.0452156124835701E-7</v>
      </c>
      <c r="P9" s="1">
        <v>-5.3113795093371502E-7</v>
      </c>
      <c r="Q9">
        <v>71.105870262085304</v>
      </c>
      <c r="R9">
        <v>9.2212752739865997E-2</v>
      </c>
      <c r="S9">
        <v>12.448721619885999</v>
      </c>
      <c r="T9">
        <v>0.23833755912103699</v>
      </c>
      <c r="V9">
        <v>0.58279733126075495</v>
      </c>
      <c r="W9">
        <v>2.59348367080857E-2</v>
      </c>
      <c r="X9">
        <v>0.115265940924844</v>
      </c>
      <c r="AA9">
        <v>0.758834111088456</v>
      </c>
      <c r="AB9">
        <v>3.4099507523594901</v>
      </c>
      <c r="AC9">
        <v>4.5049771911451497</v>
      </c>
      <c r="AD9">
        <v>3.8421980308270202E-2</v>
      </c>
      <c r="AE9">
        <v>6.6786756623726298</v>
      </c>
    </row>
    <row r="10" spans="1:35" x14ac:dyDescent="0.2">
      <c r="A10">
        <v>9</v>
      </c>
      <c r="B10">
        <v>744</v>
      </c>
      <c r="C10">
        <v>300</v>
      </c>
      <c r="D10">
        <v>0.26580199577250502</v>
      </c>
      <c r="E10">
        <v>103.668956972212</v>
      </c>
      <c r="F10">
        <v>2.2071325174724001</v>
      </c>
      <c r="G10">
        <v>-1689.6455917809378</v>
      </c>
      <c r="H10">
        <v>-1412.6862072185895</v>
      </c>
      <c r="I10">
        <v>272.28961762016303</v>
      </c>
      <c r="J10">
        <v>140.865416716526</v>
      </c>
      <c r="K10">
        <v>46.969974005427297</v>
      </c>
      <c r="L10">
        <v>1.6268496527204729E-4</v>
      </c>
      <c r="M10">
        <v>1.7579711883271585E-5</v>
      </c>
      <c r="N10" s="1">
        <v>3.9489666700121501E-6</v>
      </c>
      <c r="O10" s="1">
        <v>1.0397624542928199E-7</v>
      </c>
      <c r="P10" s="1">
        <v>-5.2965381677203205E-7</v>
      </c>
      <c r="Q10">
        <v>71.007101623879606</v>
      </c>
      <c r="R10">
        <v>9.2602455743559006E-2</v>
      </c>
      <c r="S10">
        <v>12.501331525385201</v>
      </c>
      <c r="T10">
        <v>0.24028402328814399</v>
      </c>
      <c r="V10">
        <v>0.58441518858915198</v>
      </c>
      <c r="W10">
        <v>2.6044440677874099E-2</v>
      </c>
      <c r="X10">
        <v>0.115753069679462</v>
      </c>
      <c r="AA10">
        <v>0.76204104205634204</v>
      </c>
      <c r="AB10">
        <v>3.4243616446835401</v>
      </c>
      <c r="AC10">
        <v>4.5240158066380101</v>
      </c>
      <c r="AD10">
        <v>3.8584356559807902E-2</v>
      </c>
      <c r="AE10">
        <v>6.6834648228191798</v>
      </c>
    </row>
    <row r="11" spans="1:35" x14ac:dyDescent="0.2">
      <c r="A11">
        <v>10</v>
      </c>
      <c r="B11">
        <v>742</v>
      </c>
      <c r="C11">
        <v>300</v>
      </c>
      <c r="D11">
        <v>0.264217603309855</v>
      </c>
      <c r="E11">
        <v>103.235109798175</v>
      </c>
      <c r="F11">
        <v>2.2080961536807902</v>
      </c>
      <c r="G11">
        <v>-1681.9183801575716</v>
      </c>
      <c r="H11">
        <v>-1406.8760945415745</v>
      </c>
      <c r="I11">
        <v>270.93758125990797</v>
      </c>
      <c r="J11">
        <v>140.29587933379901</v>
      </c>
      <c r="K11">
        <v>46.752995618459501</v>
      </c>
      <c r="L11">
        <v>1.627737015674657E-4</v>
      </c>
      <c r="M11">
        <v>1.7564486904458914E-5</v>
      </c>
      <c r="N11" s="1">
        <v>3.9444461570518498E-6</v>
      </c>
      <c r="O11" s="1">
        <v>1.0343666848263701E-7</v>
      </c>
      <c r="P11" s="1">
        <v>-5.2818925799465499E-7</v>
      </c>
      <c r="Q11">
        <v>70.908404972832301</v>
      </c>
      <c r="R11">
        <v>9.2991619021553798E-2</v>
      </c>
      <c r="S11">
        <v>12.553868567915099</v>
      </c>
      <c r="T11">
        <v>0.24224450853139701</v>
      </c>
      <c r="V11">
        <v>0.58601576322042304</v>
      </c>
      <c r="W11">
        <v>2.6153892849809901E-2</v>
      </c>
      <c r="X11">
        <v>0.116239523776957</v>
      </c>
      <c r="AA11">
        <v>0.76524353153150404</v>
      </c>
      <c r="AB11">
        <v>3.43875257840104</v>
      </c>
      <c r="AC11">
        <v>4.5430280542816703</v>
      </c>
      <c r="AD11">
        <v>3.87465079256381E-2</v>
      </c>
      <c r="AE11">
        <v>6.6883104797124604</v>
      </c>
    </row>
    <row r="12" spans="1:35" x14ac:dyDescent="0.2">
      <c r="A12">
        <v>11</v>
      </c>
      <c r="B12">
        <v>740</v>
      </c>
      <c r="C12">
        <v>300</v>
      </c>
      <c r="D12">
        <v>0.26262695553471999</v>
      </c>
      <c r="E12">
        <v>102.805464677122</v>
      </c>
      <c r="F12">
        <v>2.2090594547622202</v>
      </c>
      <c r="G12">
        <v>-1674.2657745392737</v>
      </c>
      <c r="H12">
        <v>-1401.1226397938065</v>
      </c>
      <c r="I12">
        <v>269.59792207024299</v>
      </c>
      <c r="J12">
        <v>139.731894532843</v>
      </c>
      <c r="K12">
        <v>46.538115782939599</v>
      </c>
      <c r="L12">
        <v>1.6286274710700709E-4</v>
      </c>
      <c r="M12">
        <v>1.7549257911907496E-5</v>
      </c>
      <c r="N12" s="1">
        <v>3.9400325544803597E-6</v>
      </c>
      <c r="O12" s="1">
        <v>1.0290274419469199E-7</v>
      </c>
      <c r="P12" s="1">
        <v>-5.2674401443949095E-7</v>
      </c>
      <c r="Q12">
        <v>70.809777963454096</v>
      </c>
      <c r="R12">
        <v>9.3380250068911E-2</v>
      </c>
      <c r="S12">
        <v>12.6063337593092</v>
      </c>
      <c r="T12">
        <v>0.24421918455765701</v>
      </c>
      <c r="V12">
        <v>0.587598967251455</v>
      </c>
      <c r="W12">
        <v>2.6263195331878798E-2</v>
      </c>
      <c r="X12">
        <v>0.116725312586156</v>
      </c>
      <c r="AA12">
        <v>0.76844164119204295</v>
      </c>
      <c r="AB12">
        <v>3.45312383067307</v>
      </c>
      <c r="AC12">
        <v>4.5620143002410201</v>
      </c>
      <c r="AD12">
        <v>3.89084375287021E-2</v>
      </c>
      <c r="AE12">
        <v>6.6932131578057303</v>
      </c>
    </row>
    <row r="13" spans="1:35" x14ac:dyDescent="0.2">
      <c r="A13">
        <v>12</v>
      </c>
      <c r="B13">
        <v>738</v>
      </c>
      <c r="C13">
        <v>300</v>
      </c>
      <c r="D13">
        <v>0.26103001532908299</v>
      </c>
      <c r="E13">
        <v>102.379953883638</v>
      </c>
      <c r="F13">
        <v>2.2100224205527299</v>
      </c>
      <c r="G13">
        <v>-1666.6865848247824</v>
      </c>
      <c r="H13">
        <v>-1395.4249258672551</v>
      </c>
      <c r="I13">
        <v>268.27044351236401</v>
      </c>
      <c r="J13">
        <v>139.17337423473401</v>
      </c>
      <c r="K13">
        <v>46.3253010157392</v>
      </c>
      <c r="L13">
        <v>1.6295210919847519E-4</v>
      </c>
      <c r="M13">
        <v>1.7534025032606967E-5</v>
      </c>
      <c r="N13" s="1">
        <v>3.9357246944725701E-6</v>
      </c>
      <c r="O13" s="1">
        <v>1.02374388353583E-7</v>
      </c>
      <c r="P13" s="1">
        <v>-5.2531783292541501E-7</v>
      </c>
      <c r="Q13">
        <v>70.711218237992</v>
      </c>
      <c r="R13">
        <v>9.3768356361161598E-2</v>
      </c>
      <c r="S13">
        <v>12.6587281087634</v>
      </c>
      <c r="T13">
        <v>0.24620822289296401</v>
      </c>
      <c r="V13">
        <v>0.58916471097353096</v>
      </c>
      <c r="W13">
        <v>2.6372350226574099E-2</v>
      </c>
      <c r="X13">
        <v>0.11721044545147</v>
      </c>
      <c r="AA13">
        <v>0.77163543255535305</v>
      </c>
      <c r="AB13">
        <v>3.4674756779385798</v>
      </c>
      <c r="AC13">
        <v>4.5809749097269696</v>
      </c>
      <c r="AD13">
        <v>3.90701484838058E-2</v>
      </c>
      <c r="AE13">
        <v>6.69817339863401</v>
      </c>
    </row>
    <row r="14" spans="1:35" x14ac:dyDescent="0.2">
      <c r="A14">
        <v>13</v>
      </c>
      <c r="B14">
        <v>736</v>
      </c>
      <c r="C14">
        <v>300</v>
      </c>
      <c r="D14">
        <v>0.25942674528068399</v>
      </c>
      <c r="E14">
        <v>101.490284333581</v>
      </c>
      <c r="F14">
        <v>2.2109562480379599</v>
      </c>
      <c r="G14">
        <v>-1651.6002479993219</v>
      </c>
      <c r="H14">
        <v>-1383.4017438658157</v>
      </c>
      <c r="I14">
        <v>265.76673847644599</v>
      </c>
      <c r="J14">
        <v>137.99615753793401</v>
      </c>
      <c r="K14">
        <v>45.903343597886902</v>
      </c>
      <c r="L14">
        <v>1.6312495448487442E-4</v>
      </c>
      <c r="M14">
        <v>1.7525252596714445E-5</v>
      </c>
      <c r="N14" s="1">
        <v>3.9161684033123304E-6</v>
      </c>
      <c r="O14" s="1">
        <v>1.0144842285533E-7</v>
      </c>
      <c r="P14" s="1">
        <v>-5.21822311646142E-7</v>
      </c>
      <c r="Q14">
        <v>70.603103347429695</v>
      </c>
      <c r="R14">
        <v>9.4590335055587602E-2</v>
      </c>
      <c r="S14">
        <v>12.7146114253311</v>
      </c>
      <c r="T14">
        <v>0.24932183783961301</v>
      </c>
      <c r="V14">
        <v>0.59346973675456804</v>
      </c>
      <c r="W14">
        <v>2.6603531734381101E-2</v>
      </c>
      <c r="X14">
        <v>0.118237918819506</v>
      </c>
      <c r="AA14">
        <v>0.77767546563539103</v>
      </c>
      <c r="AB14">
        <v>3.4866650139989899</v>
      </c>
      <c r="AC14">
        <v>4.58848922519139</v>
      </c>
      <c r="AD14">
        <v>3.9412639606481503E-2</v>
      </c>
      <c r="AE14">
        <v>6.7078195226031401</v>
      </c>
    </row>
    <row r="15" spans="1:35" x14ac:dyDescent="0.2">
      <c r="A15">
        <v>14</v>
      </c>
      <c r="B15">
        <v>734</v>
      </c>
      <c r="C15">
        <v>300</v>
      </c>
      <c r="D15">
        <v>0.25781710768008598</v>
      </c>
      <c r="E15">
        <v>38.767065896167097</v>
      </c>
      <c r="F15">
        <v>2.21520829950805</v>
      </c>
      <c r="G15">
        <v>-630.99692070907793</v>
      </c>
      <c r="H15">
        <v>-528.95376171098883</v>
      </c>
      <c r="I15">
        <v>101.318730078031</v>
      </c>
      <c r="J15">
        <v>52.796378717471597</v>
      </c>
      <c r="K15">
        <v>17.500415606413299</v>
      </c>
      <c r="L15">
        <v>1.6316019284475075E-4</v>
      </c>
      <c r="M15">
        <v>1.7544860948533298E-5</v>
      </c>
      <c r="N15" s="1">
        <v>1.4972563014005799E-6</v>
      </c>
      <c r="O15" s="1">
        <v>3.86269456727313E-8</v>
      </c>
      <c r="P15" s="1">
        <v>-1.97800547722024E-7</v>
      </c>
      <c r="Q15">
        <v>70.072474815506595</v>
      </c>
      <c r="R15">
        <v>0.13924887817332199</v>
      </c>
      <c r="S15">
        <v>13.3117860803978</v>
      </c>
      <c r="T15">
        <v>0.24314653180399101</v>
      </c>
      <c r="V15">
        <v>0.58552877215350896</v>
      </c>
      <c r="W15">
        <v>6.9646746215736202E-2</v>
      </c>
      <c r="X15">
        <v>0.131578261866068</v>
      </c>
      <c r="AA15">
        <v>0.74591128838434395</v>
      </c>
      <c r="AB15">
        <v>3.3443743058069999</v>
      </c>
      <c r="AC15">
        <v>4.5546190645403</v>
      </c>
      <c r="AD15">
        <v>0.103180364763931</v>
      </c>
      <c r="AE15">
        <v>6.69850489038721</v>
      </c>
    </row>
    <row r="16" spans="1:35" x14ac:dyDescent="0.2">
      <c r="A16">
        <v>15</v>
      </c>
      <c r="B16">
        <v>732</v>
      </c>
      <c r="C16">
        <v>300</v>
      </c>
      <c r="D16">
        <v>0.256201064517732</v>
      </c>
      <c r="E16">
        <v>22.596419861206702</v>
      </c>
      <c r="F16">
        <v>2.2203819848704902</v>
      </c>
      <c r="G16">
        <v>-367.81544709558187</v>
      </c>
      <c r="H16">
        <v>-308.66118432128337</v>
      </c>
      <c r="I16">
        <v>58.851179201411099</v>
      </c>
      <c r="J16">
        <v>30.8125005343257</v>
      </c>
      <c r="K16">
        <v>10.176816428514</v>
      </c>
      <c r="L16">
        <v>1.6253663328863075E-4</v>
      </c>
      <c r="M16">
        <v>1.7528076056901471E-5</v>
      </c>
      <c r="N16" s="1">
        <v>8.6931815004700002E-7</v>
      </c>
      <c r="O16" s="1">
        <v>2.2341324287630802E-8</v>
      </c>
      <c r="P16" s="1">
        <v>-1.13724691702413E-7</v>
      </c>
      <c r="Q16">
        <v>69.5273324174577</v>
      </c>
      <c r="R16">
        <v>0.132742262126953</v>
      </c>
      <c r="S16">
        <v>14.007540626044699</v>
      </c>
      <c r="T16">
        <v>0.23580975491880701</v>
      </c>
      <c r="V16">
        <v>0.57620074118231701</v>
      </c>
      <c r="W16">
        <v>0.11843533826873399</v>
      </c>
      <c r="X16">
        <v>0.12833516257928301</v>
      </c>
      <c r="AA16">
        <v>0.75894978322499795</v>
      </c>
      <c r="AB16">
        <v>3.0866993729386798</v>
      </c>
      <c r="AC16">
        <v>4.5938173960182596</v>
      </c>
      <c r="AD16">
        <v>0.177019192622625</v>
      </c>
      <c r="AE16">
        <v>6.6571179526167201</v>
      </c>
    </row>
    <row r="17" spans="1:31" x14ac:dyDescent="0.2">
      <c r="A17">
        <v>16</v>
      </c>
      <c r="B17">
        <v>730</v>
      </c>
      <c r="C17">
        <v>300</v>
      </c>
      <c r="D17">
        <v>0.25457857748093798</v>
      </c>
      <c r="E17">
        <v>17.141823196936301</v>
      </c>
      <c r="F17">
        <v>2.22452164157909</v>
      </c>
      <c r="G17">
        <v>-279.03364950529624</v>
      </c>
      <c r="H17">
        <v>-234.37654387700627</v>
      </c>
      <c r="I17">
        <v>44.516877464277499</v>
      </c>
      <c r="J17">
        <v>23.3982943623766</v>
      </c>
      <c r="K17">
        <v>7.7058469005354597</v>
      </c>
      <c r="L17">
        <v>1.6208010477326455E-4</v>
      </c>
      <c r="M17">
        <v>1.7513409992286726E-5</v>
      </c>
      <c r="N17" s="1">
        <v>6.5804083107323805E-7</v>
      </c>
      <c r="O17" s="1">
        <v>1.6845768749705099E-8</v>
      </c>
      <c r="P17" s="1">
        <v>-8.5388442487032694E-8</v>
      </c>
      <c r="Q17">
        <v>69.097356234537997</v>
      </c>
      <c r="R17">
        <v>0.13263806167238901</v>
      </c>
      <c r="S17">
        <v>14.5451468125648</v>
      </c>
      <c r="T17">
        <v>0.22807462716919399</v>
      </c>
      <c r="V17">
        <v>0.56278568072014501</v>
      </c>
      <c r="W17">
        <v>0.15528567985715599</v>
      </c>
      <c r="X17">
        <v>0.12669106990564999</v>
      </c>
      <c r="AA17">
        <v>0.77930219441486104</v>
      </c>
      <c r="AB17">
        <v>2.8907197979030399</v>
      </c>
      <c r="AC17">
        <v>4.6211829593007696</v>
      </c>
      <c r="AD17">
        <v>0.233347407334555</v>
      </c>
      <c r="AE17">
        <v>6.6274694746192804</v>
      </c>
    </row>
    <row r="18" spans="1:31" x14ac:dyDescent="0.2">
      <c r="A18">
        <v>17</v>
      </c>
      <c r="B18">
        <v>728</v>
      </c>
      <c r="C18">
        <v>300</v>
      </c>
      <c r="D18">
        <v>0.25294960795086002</v>
      </c>
      <c r="E18">
        <v>14.2292629967069</v>
      </c>
      <c r="F18">
        <v>2.2280391008719498</v>
      </c>
      <c r="G18">
        <v>-231.62391563254815</v>
      </c>
      <c r="H18">
        <v>-194.71893376083793</v>
      </c>
      <c r="I18">
        <v>36.862589893332903</v>
      </c>
      <c r="J18">
        <v>19.440783454765</v>
      </c>
      <c r="K18">
        <v>6.3864512032747802</v>
      </c>
      <c r="L18">
        <v>1.6177268946638158E-4</v>
      </c>
      <c r="M18">
        <v>1.7504937044576766E-5</v>
      </c>
      <c r="N18" s="1">
        <v>5.4585295585774903E-7</v>
      </c>
      <c r="O18" s="1">
        <v>1.39184537179374E-8</v>
      </c>
      <c r="P18" s="1">
        <v>-7.0321095507522196E-8</v>
      </c>
      <c r="Q18">
        <v>68.721379291613303</v>
      </c>
      <c r="R18">
        <v>0.13215516239549899</v>
      </c>
      <c r="S18">
        <v>15.0042084520432</v>
      </c>
      <c r="T18">
        <v>0.22157113555711</v>
      </c>
      <c r="V18">
        <v>0.55081497531396695</v>
      </c>
      <c r="W18">
        <v>0.186229678197945</v>
      </c>
      <c r="X18">
        <v>0.12502597988591599</v>
      </c>
      <c r="AA18">
        <v>0.80046186757480797</v>
      </c>
      <c r="AB18">
        <v>2.7316108683032501</v>
      </c>
      <c r="AC18">
        <v>4.6377030215491404</v>
      </c>
      <c r="AD18">
        <v>0.28111083482802202</v>
      </c>
      <c r="AE18">
        <v>6.6077287327377201</v>
      </c>
    </row>
    <row r="19" spans="1:31" x14ac:dyDescent="0.2">
      <c r="A19">
        <v>18</v>
      </c>
      <c r="B19">
        <v>726</v>
      </c>
      <c r="C19">
        <v>300</v>
      </c>
      <c r="D19">
        <v>0.251314116999449</v>
      </c>
      <c r="E19">
        <v>12.3650258707303</v>
      </c>
      <c r="F19">
        <v>2.23114671168543</v>
      </c>
      <c r="G19">
        <v>-201.27677166893923</v>
      </c>
      <c r="H19">
        <v>-169.34020270200293</v>
      </c>
      <c r="I19">
        <v>31.963738144358899</v>
      </c>
      <c r="J19">
        <v>16.908698241772601</v>
      </c>
      <c r="K19">
        <v>5.5420048381263296</v>
      </c>
      <c r="L19">
        <v>1.6156807423617291E-4</v>
      </c>
      <c r="M19">
        <v>1.7501040796979263E-5</v>
      </c>
      <c r="N19" s="1">
        <v>4.7448850243203501E-7</v>
      </c>
      <c r="O19" s="1">
        <v>1.2050277800242501E-8</v>
      </c>
      <c r="P19" s="1">
        <v>-6.0723511326345801E-8</v>
      </c>
      <c r="Q19">
        <v>68.379436757699196</v>
      </c>
      <c r="R19">
        <v>0.131406956211642</v>
      </c>
      <c r="S19">
        <v>15.4132632050695</v>
      </c>
      <c r="T19">
        <v>0.21588378123198701</v>
      </c>
      <c r="V19">
        <v>0.53985520589463798</v>
      </c>
      <c r="W19">
        <v>0.21345446532555701</v>
      </c>
      <c r="X19">
        <v>0.123347945006805</v>
      </c>
      <c r="AA19">
        <v>0.82158205921711203</v>
      </c>
      <c r="AB19">
        <v>2.5969080470693902</v>
      </c>
      <c r="AC19">
        <v>4.6466097395935897</v>
      </c>
      <c r="AD19">
        <v>0.323493055478283</v>
      </c>
      <c r="AE19">
        <v>6.5947587822021099</v>
      </c>
    </row>
    <row r="20" spans="1:31" x14ac:dyDescent="0.2">
      <c r="A20">
        <v>19</v>
      </c>
      <c r="B20">
        <v>724</v>
      </c>
      <c r="C20">
        <v>300</v>
      </c>
      <c r="D20">
        <v>0.249672065386352</v>
      </c>
      <c r="E20">
        <v>11.0457282694671</v>
      </c>
      <c r="F20">
        <v>2.2339608550507899</v>
      </c>
      <c r="G20">
        <v>-179.79943444043971</v>
      </c>
      <c r="H20">
        <v>-151.38326322392203</v>
      </c>
      <c r="I20">
        <v>28.497388774525</v>
      </c>
      <c r="J20">
        <v>15.117494066736301</v>
      </c>
      <c r="K20">
        <v>4.9444591853495101</v>
      </c>
      <c r="L20">
        <v>1.614389242942771E-4</v>
      </c>
      <c r="M20">
        <v>1.7500618423784738E-5</v>
      </c>
      <c r="N20" s="1">
        <v>4.24311929738148E-7</v>
      </c>
      <c r="O20" s="1">
        <v>1.07324029168938E-8</v>
      </c>
      <c r="P20" s="1">
        <v>-5.3966439363810298E-8</v>
      </c>
      <c r="Q20">
        <v>68.061323886271794</v>
      </c>
      <c r="R20">
        <v>0.1304655306135</v>
      </c>
      <c r="S20">
        <v>15.787027035267901</v>
      </c>
      <c r="T20">
        <v>0.21078539941001401</v>
      </c>
      <c r="V20">
        <v>0.52965170724974597</v>
      </c>
      <c r="W20">
        <v>0.23808297558782099</v>
      </c>
      <c r="X20">
        <v>0.121661588891738</v>
      </c>
      <c r="AA20">
        <v>0.84252022497199996</v>
      </c>
      <c r="AB20">
        <v>2.47971197499486</v>
      </c>
      <c r="AC20">
        <v>4.6498960405721999</v>
      </c>
      <c r="AD20">
        <v>0.36213094351109798</v>
      </c>
      <c r="AE20">
        <v>6.5867426926572099</v>
      </c>
    </row>
    <row r="21" spans="1:31" x14ac:dyDescent="0.2">
      <c r="A21">
        <v>20</v>
      </c>
      <c r="B21">
        <v>760</v>
      </c>
      <c r="C21">
        <v>275</v>
      </c>
      <c r="D21">
        <v>0.30487392924551299</v>
      </c>
      <c r="E21">
        <v>106.59881655864901</v>
      </c>
      <c r="F21">
        <v>2.2003300355247202</v>
      </c>
      <c r="G21">
        <v>-1741.7772306863033</v>
      </c>
      <c r="H21">
        <v>-1453.0687912534972</v>
      </c>
      <c r="I21">
        <v>279.44484289096999</v>
      </c>
      <c r="J21">
        <v>144.345690768639</v>
      </c>
      <c r="K21">
        <v>48.446739733400101</v>
      </c>
      <c r="L21">
        <v>1.5801742987775838E-4</v>
      </c>
      <c r="M21">
        <v>1.7701535313355982E-5</v>
      </c>
      <c r="N21" s="1">
        <v>3.77769003073497E-6</v>
      </c>
      <c r="O21" s="1">
        <v>1.0451919415104E-7</v>
      </c>
      <c r="P21" s="1">
        <v>-5.2604791405642995E-7</v>
      </c>
      <c r="Q21">
        <v>72.017685072312602</v>
      </c>
      <c r="R21">
        <v>9.0057284967307194E-2</v>
      </c>
      <c r="S21">
        <v>12.1577334705869</v>
      </c>
      <c r="T21">
        <v>0.22942073849571001</v>
      </c>
      <c r="V21">
        <v>0.57218496953012798</v>
      </c>
      <c r="W21">
        <v>2.5328611397055001E-2</v>
      </c>
      <c r="X21">
        <v>0.11257160620913501</v>
      </c>
      <c r="AA21">
        <v>0.74109640754346295</v>
      </c>
      <c r="AB21">
        <v>3.33024335035353</v>
      </c>
      <c r="AC21">
        <v>4.3996736093402804</v>
      </c>
      <c r="AD21">
        <v>3.7523868736377197E-2</v>
      </c>
      <c r="AE21">
        <v>6.2864810105273898</v>
      </c>
    </row>
    <row r="22" spans="1:31" x14ac:dyDescent="0.2">
      <c r="A22">
        <v>21</v>
      </c>
      <c r="B22">
        <v>758</v>
      </c>
      <c r="C22">
        <v>275</v>
      </c>
      <c r="D22">
        <v>0.303389904475587</v>
      </c>
      <c r="E22">
        <v>106.441000757712</v>
      </c>
      <c r="F22">
        <v>2.2011567364967699</v>
      </c>
      <c r="G22">
        <v>-1738.5909397210662</v>
      </c>
      <c r="H22">
        <v>-1451.1449902171685</v>
      </c>
      <c r="I22">
        <v>278.76249770052499</v>
      </c>
      <c r="J22">
        <v>144.11848547375499</v>
      </c>
      <c r="K22">
        <v>48.356847557851601</v>
      </c>
      <c r="L22">
        <v>1.579520800480784E-4</v>
      </c>
      <c r="M22">
        <v>1.7683876305371786E-5</v>
      </c>
      <c r="N22" s="1">
        <v>3.78089858460363E-6</v>
      </c>
      <c r="O22" s="1">
        <v>1.04192813133667E-7</v>
      </c>
      <c r="P22" s="1">
        <v>-5.2521347739793803E-7</v>
      </c>
      <c r="Q22">
        <v>71.985556864898697</v>
      </c>
      <c r="R22">
        <v>9.0190809290229504E-2</v>
      </c>
      <c r="S22">
        <v>12.175759254181999</v>
      </c>
      <c r="T22">
        <v>0.230537315245571</v>
      </c>
      <c r="V22">
        <v>0.572334690517316</v>
      </c>
      <c r="W22">
        <v>2.53661651128766E-2</v>
      </c>
      <c r="X22">
        <v>0.11273851161279</v>
      </c>
      <c r="AA22">
        <v>0.74219520145084095</v>
      </c>
      <c r="AB22">
        <v>3.3351809685449099</v>
      </c>
      <c r="AC22">
        <v>4.40619682886632</v>
      </c>
      <c r="AD22">
        <v>3.7579503870927101E-2</v>
      </c>
      <c r="AE22">
        <v>6.2863638864074103</v>
      </c>
    </row>
    <row r="23" spans="1:31" x14ac:dyDescent="0.2">
      <c r="A23">
        <v>22</v>
      </c>
      <c r="B23">
        <v>756</v>
      </c>
      <c r="C23">
        <v>275</v>
      </c>
      <c r="D23">
        <v>0.30190011174270298</v>
      </c>
      <c r="E23">
        <v>105.988620396698</v>
      </c>
      <c r="F23">
        <v>2.2021313596654299</v>
      </c>
      <c r="G23">
        <v>-1730.5241016582277</v>
      </c>
      <c r="H23">
        <v>-1445.0841659727566</v>
      </c>
      <c r="I23">
        <v>277.355036375135</v>
      </c>
      <c r="J23">
        <v>143.524228481687</v>
      </c>
      <c r="K23">
        <v>48.130017281440303</v>
      </c>
      <c r="L23">
        <v>1.5802528031519858E-4</v>
      </c>
      <c r="M23">
        <v>1.7667946043841026E-5</v>
      </c>
      <c r="N23" s="1">
        <v>3.77562122760742E-6</v>
      </c>
      <c r="O23" s="1">
        <v>1.0363157833070199E-7</v>
      </c>
      <c r="P23" s="1">
        <v>-5.2362328949228003E-7</v>
      </c>
      <c r="Q23">
        <v>71.889467013297704</v>
      </c>
      <c r="R23">
        <v>9.0575761473908806E-2</v>
      </c>
      <c r="S23">
        <v>12.2277277989794</v>
      </c>
      <c r="T23">
        <v>0.23240652837825199</v>
      </c>
      <c r="V23">
        <v>0.57398098437909895</v>
      </c>
      <c r="W23">
        <v>2.5474432914536198E-2</v>
      </c>
      <c r="X23">
        <v>0.11321970184239</v>
      </c>
      <c r="AA23">
        <v>0.74536303712903096</v>
      </c>
      <c r="AB23">
        <v>3.3494161795038599</v>
      </c>
      <c r="AC23">
        <v>4.4250033470064301</v>
      </c>
      <c r="AD23">
        <v>3.7739900614125702E-2</v>
      </c>
      <c r="AE23">
        <v>6.2896253144811496</v>
      </c>
    </row>
    <row r="24" spans="1:31" x14ac:dyDescent="0.2">
      <c r="A24">
        <v>23</v>
      </c>
      <c r="B24">
        <v>754</v>
      </c>
      <c r="C24">
        <v>275</v>
      </c>
      <c r="D24">
        <v>0.30040451735384299</v>
      </c>
      <c r="E24">
        <v>105.540742320063</v>
      </c>
      <c r="F24">
        <v>2.2031060311708099</v>
      </c>
      <c r="G24">
        <v>-1722.5371274210916</v>
      </c>
      <c r="H24">
        <v>-1439.0841136174311</v>
      </c>
      <c r="I24">
        <v>275.96068130619699</v>
      </c>
      <c r="J24">
        <v>142.935881642109</v>
      </c>
      <c r="K24">
        <v>47.905430254745902</v>
      </c>
      <c r="L24">
        <v>1.5809847673920358E-4</v>
      </c>
      <c r="M24">
        <v>1.7651995820459111E-5</v>
      </c>
      <c r="N24" s="1">
        <v>3.77044188988028E-6</v>
      </c>
      <c r="O24" s="1">
        <v>1.0307609217626E-7</v>
      </c>
      <c r="P24" s="1">
        <v>-5.2205206625382202E-7</v>
      </c>
      <c r="Q24">
        <v>71.793481832698006</v>
      </c>
      <c r="R24">
        <v>9.0960133394618795E-2</v>
      </c>
      <c r="S24">
        <v>12.2796180082756</v>
      </c>
      <c r="T24">
        <v>0.23428878860671201</v>
      </c>
      <c r="V24">
        <v>0.57561052146355096</v>
      </c>
      <c r="W24">
        <v>2.5582537517235701E-2</v>
      </c>
      <c r="X24">
        <v>0.113700166743279</v>
      </c>
      <c r="AA24">
        <v>0.748526097726538</v>
      </c>
      <c r="AB24">
        <v>3.36362993282177</v>
      </c>
      <c r="AC24">
        <v>4.4437815168827397</v>
      </c>
      <c r="AD24">
        <v>3.79000555810875E-2</v>
      </c>
      <c r="AE24">
        <v>6.29292040828875</v>
      </c>
    </row>
    <row r="25" spans="1:31" x14ac:dyDescent="0.2">
      <c r="A25">
        <v>24</v>
      </c>
      <c r="B25">
        <v>752</v>
      </c>
      <c r="C25">
        <v>275</v>
      </c>
      <c r="D25">
        <v>0.29890308735307097</v>
      </c>
      <c r="E25">
        <v>105.09729335622799</v>
      </c>
      <c r="F25">
        <v>2.2040807596013501</v>
      </c>
      <c r="G25">
        <v>-1714.6287285347883</v>
      </c>
      <c r="H25">
        <v>-1433.143842444983</v>
      </c>
      <c r="I25">
        <v>274.57921873853098</v>
      </c>
      <c r="J25">
        <v>142.35334946226899</v>
      </c>
      <c r="K25">
        <v>47.683050132535399</v>
      </c>
      <c r="L25">
        <v>1.5817166928716803E-4</v>
      </c>
      <c r="M25">
        <v>1.7636025353538755E-5</v>
      </c>
      <c r="N25" s="1">
        <v>3.7653591175924401E-6</v>
      </c>
      <c r="O25" s="1">
        <v>1.0252626174567E-7</v>
      </c>
      <c r="P25" s="1">
        <v>-5.2049950855775198E-7</v>
      </c>
      <c r="Q25">
        <v>71.697599640893003</v>
      </c>
      <c r="R25">
        <v>9.1343931831439601E-2</v>
      </c>
      <c r="S25">
        <v>12.331430797247</v>
      </c>
      <c r="T25">
        <v>0.23618425270134499</v>
      </c>
      <c r="V25">
        <v>0.57722321931767695</v>
      </c>
      <c r="W25">
        <v>2.5690480827591299E-2</v>
      </c>
      <c r="X25">
        <v>0.114179914789307</v>
      </c>
      <c r="AA25">
        <v>0.75168443902953896</v>
      </c>
      <c r="AB25">
        <v>3.3778224791833602</v>
      </c>
      <c r="AC25">
        <v>4.4625316696815398</v>
      </c>
      <c r="AD25">
        <v>3.8059971596428502E-2</v>
      </c>
      <c r="AE25">
        <v>6.2962492029016799</v>
      </c>
    </row>
    <row r="26" spans="1:31" x14ac:dyDescent="0.2">
      <c r="A26">
        <v>25</v>
      </c>
      <c r="B26">
        <v>750</v>
      </c>
      <c r="C26">
        <v>275</v>
      </c>
      <c r="D26">
        <v>0.29739578751893703</v>
      </c>
      <c r="E26">
        <v>104.658201904943</v>
      </c>
      <c r="F26">
        <v>2.2050555534816598</v>
      </c>
      <c r="G26">
        <v>-1706.7976441970509</v>
      </c>
      <c r="H26">
        <v>-1427.2623830224009</v>
      </c>
      <c r="I26">
        <v>273.21043950021999</v>
      </c>
      <c r="J26">
        <v>141.776538507895</v>
      </c>
      <c r="K26">
        <v>47.4628413509555</v>
      </c>
      <c r="L26">
        <v>1.5824485794462673E-4</v>
      </c>
      <c r="M26">
        <v>1.7620034362862962E-5</v>
      </c>
      <c r="N26" s="1">
        <v>3.7603714898169301E-6</v>
      </c>
      <c r="O26" s="1">
        <v>1.0198199612708799E-7</v>
      </c>
      <c r="P26" s="1">
        <v>-5.1896532386116698E-7</v>
      </c>
      <c r="Q26">
        <v>71.601818763101903</v>
      </c>
      <c r="R26">
        <v>9.1727163521492405E-2</v>
      </c>
      <c r="S26">
        <v>12.383167075404801</v>
      </c>
      <c r="T26">
        <v>0.23809307905198099</v>
      </c>
      <c r="V26">
        <v>0.57881899366860201</v>
      </c>
      <c r="W26">
        <v>2.5798264740418499E-2</v>
      </c>
      <c r="X26">
        <v>0.114658954401875</v>
      </c>
      <c r="AA26">
        <v>0.75483811647892896</v>
      </c>
      <c r="AB26">
        <v>3.3919940677217499</v>
      </c>
      <c r="AC26">
        <v>4.4812541345392702</v>
      </c>
      <c r="AD26">
        <v>3.8219651467282803E-2</v>
      </c>
      <c r="AE26">
        <v>6.2996117359015704</v>
      </c>
    </row>
    <row r="27" spans="1:31" x14ac:dyDescent="0.2">
      <c r="A27">
        <v>26</v>
      </c>
      <c r="B27">
        <v>748</v>
      </c>
      <c r="C27">
        <v>275</v>
      </c>
      <c r="D27">
        <v>0.29588258336189799</v>
      </c>
      <c r="E27">
        <v>104.223397898203</v>
      </c>
      <c r="F27">
        <v>2.20603042126571</v>
      </c>
      <c r="G27">
        <v>-1699.0426405880996</v>
      </c>
      <c r="H27">
        <v>-1421.438786661884</v>
      </c>
      <c r="I27">
        <v>271.85413888871898</v>
      </c>
      <c r="J27">
        <v>141.205357352156</v>
      </c>
      <c r="K27">
        <v>47.2447691081275</v>
      </c>
      <c r="L27">
        <v>1.58318042717882E-4</v>
      </c>
      <c r="M27">
        <v>1.7604022569925542E-5</v>
      </c>
      <c r="N27" s="1">
        <v>3.75547761788488E-6</v>
      </c>
      <c r="O27" s="1">
        <v>1.01443206373267E-7</v>
      </c>
      <c r="P27" s="1">
        <v>-5.17449226056712E-7</v>
      </c>
      <c r="Q27">
        <v>71.506137532273598</v>
      </c>
      <c r="R27">
        <v>9.2109835157903802E-2</v>
      </c>
      <c r="S27">
        <v>12.434827746321201</v>
      </c>
      <c r="T27">
        <v>0.24001542767534201</v>
      </c>
      <c r="V27">
        <v>0.58039775839914898</v>
      </c>
      <c r="W27">
        <v>2.5905891138158801E-2</v>
      </c>
      <c r="X27">
        <v>0.115137293947391</v>
      </c>
      <c r="AA27">
        <v>0.75798718515355901</v>
      </c>
      <c r="AB27">
        <v>3.4061449459431801</v>
      </c>
      <c r="AC27">
        <v>4.4999492384430404</v>
      </c>
      <c r="AD27">
        <v>3.8379097982452599E-2</v>
      </c>
      <c r="AE27">
        <v>6.3030080475649104</v>
      </c>
    </row>
    <row r="28" spans="1:31" x14ac:dyDescent="0.2">
      <c r="A28">
        <v>27</v>
      </c>
      <c r="B28">
        <v>746</v>
      </c>
      <c r="C28">
        <v>275</v>
      </c>
      <c r="D28">
        <v>0.29436344012167098</v>
      </c>
      <c r="E28">
        <v>103.79281275794099</v>
      </c>
      <c r="F28">
        <v>2.2070053713391302</v>
      </c>
      <c r="G28">
        <v>-1691.3625101272512</v>
      </c>
      <c r="H28">
        <v>-1415.6721248473793</v>
      </c>
      <c r="I28">
        <v>270.51011654797799</v>
      </c>
      <c r="J28">
        <v>140.63971652035599</v>
      </c>
      <c r="K28">
        <v>47.0287993431402</v>
      </c>
      <c r="L28">
        <v>1.583912236342937E-4</v>
      </c>
      <c r="M28">
        <v>1.7587989697881584E-5</v>
      </c>
      <c r="N28" s="1">
        <v>3.7506761444927299E-6</v>
      </c>
      <c r="O28" s="1">
        <v>1.0090980544769999E-7</v>
      </c>
      <c r="P28" s="1">
        <v>-5.1595093529631596E-7</v>
      </c>
      <c r="Q28">
        <v>71.410554288633705</v>
      </c>
      <c r="R28">
        <v>9.2491953391692902E-2</v>
      </c>
      <c r="S28">
        <v>12.4864137078831</v>
      </c>
      <c r="T28">
        <v>0.241951460234411</v>
      </c>
      <c r="V28">
        <v>0.58195942554690705</v>
      </c>
      <c r="W28">
        <v>2.6013361891411901E-2</v>
      </c>
      <c r="X28">
        <v>0.115614941739629</v>
      </c>
      <c r="AA28">
        <v>0.76113169978577999</v>
      </c>
      <c r="AB28">
        <v>3.4202753597968298</v>
      </c>
      <c r="AC28">
        <v>4.51861730632291</v>
      </c>
      <c r="AD28">
        <v>3.8538313913197397E-2</v>
      </c>
      <c r="AE28">
        <v>6.3064381808603001</v>
      </c>
    </row>
    <row r="29" spans="1:31" x14ac:dyDescent="0.2">
      <c r="A29">
        <v>28</v>
      </c>
      <c r="B29">
        <v>744</v>
      </c>
      <c r="C29">
        <v>275</v>
      </c>
      <c r="D29">
        <v>0.29283832276459099</v>
      </c>
      <c r="E29">
        <v>103.366379356999</v>
      </c>
      <c r="F29">
        <v>2.20798041201693</v>
      </c>
      <c r="G29">
        <v>-1683.7560707859047</v>
      </c>
      <c r="H29">
        <v>-1409.9614887063267</v>
      </c>
      <c r="I29">
        <v>269.178176355088</v>
      </c>
      <c r="J29">
        <v>140.07952843898201</v>
      </c>
      <c r="K29">
        <v>46.814898716686102</v>
      </c>
      <c r="L29">
        <v>1.5846440074383783E-4</v>
      </c>
      <c r="M29">
        <v>1.7571935471652993E-5</v>
      </c>
      <c r="N29" s="1">
        <v>3.74596574296928E-6</v>
      </c>
      <c r="O29" s="1">
        <v>1.00381708175908E-7</v>
      </c>
      <c r="P29" s="1">
        <v>-5.1447017783775596E-7</v>
      </c>
      <c r="Q29">
        <v>71.315067379539002</v>
      </c>
      <c r="R29">
        <v>9.2873524831941598E-2</v>
      </c>
      <c r="S29">
        <v>12.5379258523171</v>
      </c>
      <c r="T29">
        <v>0.243901340052394</v>
      </c>
      <c r="V29">
        <v>0.58350390529281004</v>
      </c>
      <c r="W29">
        <v>2.61206788589817E-2</v>
      </c>
      <c r="X29">
        <v>0.116091906039941</v>
      </c>
      <c r="AA29">
        <v>0.76427171476282396</v>
      </c>
      <c r="AB29">
        <v>3.4343855536810199</v>
      </c>
      <c r="AC29">
        <v>4.5372586610600303</v>
      </c>
      <c r="AD29">
        <v>3.8697302013300301E-2</v>
      </c>
      <c r="AE29">
        <v>6.3099021815506404</v>
      </c>
    </row>
    <row r="30" spans="1:31" x14ac:dyDescent="0.2">
      <c r="A30">
        <v>29</v>
      </c>
      <c r="B30">
        <v>742</v>
      </c>
      <c r="C30">
        <v>275</v>
      </c>
      <c r="D30">
        <v>0.291307195980888</v>
      </c>
      <c r="E30">
        <v>102.944031980134</v>
      </c>
      <c r="F30">
        <v>2.2089555515450101</v>
      </c>
      <c r="G30">
        <v>-1676.2221654015627</v>
      </c>
      <c r="H30">
        <v>-1404.3059884812324</v>
      </c>
      <c r="I30">
        <v>267.85812630678203</v>
      </c>
      <c r="J30">
        <v>139.52470738469</v>
      </c>
      <c r="K30">
        <v>46.603034591678998</v>
      </c>
      <c r="L30">
        <v>1.5853757411930051E-4</v>
      </c>
      <c r="M30">
        <v>1.7555859617892419E-5</v>
      </c>
      <c r="N30" s="1">
        <v>3.7413451164651802E-6</v>
      </c>
      <c r="O30" s="1">
        <v>9.9858831195633896E-8</v>
      </c>
      <c r="P30" s="1">
        <v>-5.1300668588221997E-7</v>
      </c>
      <c r="Q30">
        <v>71.219675159171103</v>
      </c>
      <c r="R30">
        <v>9.3254556047045398E-2</v>
      </c>
      <c r="S30">
        <v>12.589365066356899</v>
      </c>
      <c r="T30">
        <v>0.24586523213016001</v>
      </c>
      <c r="V30">
        <v>0.58503110595642605</v>
      </c>
      <c r="W30">
        <v>2.62278438882293E-2</v>
      </c>
      <c r="X30">
        <v>0.116568195058823</v>
      </c>
      <c r="AA30">
        <v>0.76740728413711101</v>
      </c>
      <c r="AB30">
        <v>3.4484757704895199</v>
      </c>
      <c r="AC30">
        <v>4.5558736235478303</v>
      </c>
      <c r="AD30">
        <v>3.8856065019592101E-2</v>
      </c>
      <c r="AE30">
        <v>6.3134000981971603</v>
      </c>
    </row>
    <row r="31" spans="1:31" x14ac:dyDescent="0.2">
      <c r="A31">
        <v>30</v>
      </c>
      <c r="B31">
        <v>740</v>
      </c>
      <c r="C31">
        <v>275</v>
      </c>
      <c r="D31">
        <v>0.28977002418201098</v>
      </c>
      <c r="E31">
        <v>102.52570628739301</v>
      </c>
      <c r="F31">
        <v>2.2099307980932199</v>
      </c>
      <c r="G31">
        <v>-1668.7596610342064</v>
      </c>
      <c r="H31">
        <v>-1398.7047530337948</v>
      </c>
      <c r="I31">
        <v>266.54977841426398</v>
      </c>
      <c r="J31">
        <v>138.97516943673301</v>
      </c>
      <c r="K31">
        <v>46.393175015188397</v>
      </c>
      <c r="L31">
        <v>1.5861074386081439E-4</v>
      </c>
      <c r="M31">
        <v>1.7539761865309063E-5</v>
      </c>
      <c r="N31" s="1">
        <v>3.7368129973699598E-6</v>
      </c>
      <c r="O31" s="1">
        <v>9.9341092913710195E-8</v>
      </c>
      <c r="P31" s="1">
        <v>-5.1156019744705503E-7</v>
      </c>
      <c r="Q31">
        <v>71.124375988214794</v>
      </c>
      <c r="R31">
        <v>9.3635053564909101E-2</v>
      </c>
      <c r="S31">
        <v>12.640732231268901</v>
      </c>
      <c r="T31">
        <v>0.24784330316025399</v>
      </c>
      <c r="V31">
        <v>0.58654093398528095</v>
      </c>
      <c r="W31">
        <v>2.6334858815128301E-2</v>
      </c>
      <c r="X31">
        <v>0.117043816956154</v>
      </c>
      <c r="AA31">
        <v>0.77053846162786199</v>
      </c>
      <c r="AB31">
        <v>3.4625462516188401</v>
      </c>
      <c r="AC31">
        <v>4.5744625127017597</v>
      </c>
      <c r="AD31">
        <v>3.9014605652034601E-2</v>
      </c>
      <c r="AE31">
        <v>6.3169319824339203</v>
      </c>
    </row>
    <row r="32" spans="1:31" x14ac:dyDescent="0.2">
      <c r="A32">
        <v>31</v>
      </c>
      <c r="B32">
        <v>738</v>
      </c>
      <c r="C32">
        <v>275</v>
      </c>
      <c r="D32">
        <v>0.28822677149780002</v>
      </c>
      <c r="E32">
        <v>43.344886056061</v>
      </c>
      <c r="F32">
        <v>2.2148978282004701</v>
      </c>
      <c r="G32">
        <v>-705.23549170496131</v>
      </c>
      <c r="H32">
        <v>-591.6639553019387</v>
      </c>
      <c r="I32">
        <v>112.319177573082</v>
      </c>
      <c r="J32">
        <v>58.7938493809609</v>
      </c>
      <c r="K32">
        <v>19.569700012427699</v>
      </c>
      <c r="L32">
        <v>1.5786938931448223E-4</v>
      </c>
      <c r="M32">
        <v>1.7488705184370678E-5</v>
      </c>
      <c r="N32" s="1">
        <v>1.57014260524811E-6</v>
      </c>
      <c r="O32" s="1">
        <v>4.1594679203653802E-8</v>
      </c>
      <c r="P32" s="1">
        <v>-2.13383038353564E-7</v>
      </c>
      <c r="Q32">
        <v>70.701842508537396</v>
      </c>
      <c r="R32">
        <v>0.13514444468360301</v>
      </c>
      <c r="S32">
        <v>13.120794431647001</v>
      </c>
      <c r="T32">
        <v>0.24495637263707501</v>
      </c>
      <c r="V32">
        <v>0.58496865280065802</v>
      </c>
      <c r="W32">
        <v>6.2291085423715802E-2</v>
      </c>
      <c r="X32">
        <v>0.13800138289778399</v>
      </c>
      <c r="AA32">
        <v>0.73879054503847696</v>
      </c>
      <c r="AB32">
        <v>3.27121154274744</v>
      </c>
      <c r="AC32">
        <v>4.6458562511066397</v>
      </c>
      <c r="AD32">
        <v>9.2283089516541794E-2</v>
      </c>
      <c r="AE32">
        <v>6.2638596929635897</v>
      </c>
    </row>
    <row r="33" spans="1:31" x14ac:dyDescent="0.2">
      <c r="A33">
        <v>32</v>
      </c>
      <c r="B33">
        <v>736</v>
      </c>
      <c r="C33">
        <v>275</v>
      </c>
      <c r="D33">
        <v>0.28667740177377199</v>
      </c>
      <c r="E33">
        <v>24.014089878475101</v>
      </c>
      <c r="F33">
        <v>2.22031283245457</v>
      </c>
      <c r="G33">
        <v>-390.75403535992746</v>
      </c>
      <c r="H33">
        <v>-328.19319658903487</v>
      </c>
      <c r="I33">
        <v>61.993597355093499</v>
      </c>
      <c r="J33">
        <v>32.612296999927601</v>
      </c>
      <c r="K33">
        <v>10.815633512295401</v>
      </c>
      <c r="L33">
        <v>1.5707683840993601E-4</v>
      </c>
      <c r="M33">
        <v>1.7458175243670118E-5</v>
      </c>
      <c r="N33" s="1">
        <v>8.6496127071559597E-7</v>
      </c>
      <c r="O33" s="1">
        <v>2.2830221094524001E-8</v>
      </c>
      <c r="P33" s="1">
        <v>-1.16349267024633E-7</v>
      </c>
      <c r="Q33">
        <v>70.156223100877696</v>
      </c>
      <c r="R33">
        <v>0.14369489145730299</v>
      </c>
      <c r="S33">
        <v>13.823663657535</v>
      </c>
      <c r="T33">
        <v>0.23203224275763401</v>
      </c>
      <c r="V33">
        <v>0.56237476463793601</v>
      </c>
      <c r="W33">
        <v>0.111790573242807</v>
      </c>
      <c r="X33">
        <v>0.13823223634263501</v>
      </c>
      <c r="AA33">
        <v>0.75459448137266305</v>
      </c>
      <c r="AB33">
        <v>2.9966704361719501</v>
      </c>
      <c r="AC33">
        <v>4.7000755298197001</v>
      </c>
      <c r="AD33">
        <v>0.16656887769786299</v>
      </c>
      <c r="AE33">
        <v>6.2140792080866802</v>
      </c>
    </row>
    <row r="34" spans="1:31" x14ac:dyDescent="0.2">
      <c r="A34">
        <v>33</v>
      </c>
      <c r="B34">
        <v>734</v>
      </c>
      <c r="C34">
        <v>275</v>
      </c>
      <c r="D34">
        <v>0.28512187856823701</v>
      </c>
      <c r="E34">
        <v>17.914611787475</v>
      </c>
      <c r="F34">
        <v>2.2244809478574301</v>
      </c>
      <c r="G34">
        <v>-291.50915836178757</v>
      </c>
      <c r="H34">
        <v>-245.06674879965291</v>
      </c>
      <c r="I34">
        <v>46.112703730461902</v>
      </c>
      <c r="J34">
        <v>24.3537434304789</v>
      </c>
      <c r="K34">
        <v>8.0533896254449502</v>
      </c>
      <c r="L34">
        <v>1.5659249353975675E-4</v>
      </c>
      <c r="M34">
        <v>1.7441467175665365E-5</v>
      </c>
      <c r="N34" s="1">
        <v>6.4364263092537102E-7</v>
      </c>
      <c r="O34" s="1">
        <v>1.6923982836109102E-8</v>
      </c>
      <c r="P34" s="1">
        <v>-8.5856937111854706E-8</v>
      </c>
      <c r="Q34">
        <v>69.720580789408601</v>
      </c>
      <c r="R34">
        <v>0.14365561863534901</v>
      </c>
      <c r="S34">
        <v>14.3673802201561</v>
      </c>
      <c r="T34">
        <v>0.224222296101911</v>
      </c>
      <c r="V34">
        <v>0.54899054664254099</v>
      </c>
      <c r="W34">
        <v>0.14901290872259301</v>
      </c>
      <c r="X34">
        <v>0.13658762941375799</v>
      </c>
      <c r="AA34">
        <v>0.77499365233973705</v>
      </c>
      <c r="AB34">
        <v>2.7957715334307198</v>
      </c>
      <c r="AC34">
        <v>4.7312113720860296</v>
      </c>
      <c r="AD34">
        <v>0.22328142230742501</v>
      </c>
      <c r="AE34">
        <v>6.1843120107551801</v>
      </c>
    </row>
    <row r="35" spans="1:31" x14ac:dyDescent="0.2">
      <c r="A35">
        <v>34</v>
      </c>
      <c r="B35">
        <v>732</v>
      </c>
      <c r="C35">
        <v>275</v>
      </c>
      <c r="D35">
        <v>0.28356016514948101</v>
      </c>
      <c r="E35">
        <v>14.7676729182438</v>
      </c>
      <c r="F35">
        <v>2.2279834437168899</v>
      </c>
      <c r="G35">
        <v>-240.30178887417068</v>
      </c>
      <c r="H35">
        <v>-202.18774470778354</v>
      </c>
      <c r="I35">
        <v>37.918762539309697</v>
      </c>
      <c r="J35">
        <v>20.094350043989799</v>
      </c>
      <c r="K35">
        <v>6.6282686973684299</v>
      </c>
      <c r="L35">
        <v>1.5626695785820786E-4</v>
      </c>
      <c r="M35">
        <v>1.7431694083642052E-5</v>
      </c>
      <c r="N35" s="1">
        <v>5.3009614096332601E-7</v>
      </c>
      <c r="O35" s="1">
        <v>1.3884229255575201E-8</v>
      </c>
      <c r="P35" s="1">
        <v>-7.0190519848354397E-8</v>
      </c>
      <c r="Q35">
        <v>69.343869107809496</v>
      </c>
      <c r="R35">
        <v>0.14315945772356201</v>
      </c>
      <c r="S35">
        <v>14.827122800861799</v>
      </c>
      <c r="T35">
        <v>0.21773440212162901</v>
      </c>
      <c r="V35">
        <v>0.53717170150141302</v>
      </c>
      <c r="W35">
        <v>0.179923149741368</v>
      </c>
      <c r="X35">
        <v>0.13491301316948501</v>
      </c>
      <c r="AA35">
        <v>0.79544233975393297</v>
      </c>
      <c r="AB35">
        <v>2.63562271713465</v>
      </c>
      <c r="AC35">
        <v>4.7495557255341403</v>
      </c>
      <c r="AD35">
        <v>0.27086190370931901</v>
      </c>
      <c r="AE35">
        <v>6.1646236809390702</v>
      </c>
    </row>
    <row r="36" spans="1:31" x14ac:dyDescent="0.2">
      <c r="A36">
        <v>35</v>
      </c>
      <c r="B36">
        <v>730</v>
      </c>
      <c r="C36">
        <v>275</v>
      </c>
      <c r="D36">
        <v>0.28199222449285299</v>
      </c>
      <c r="E36">
        <v>12.7857995408715</v>
      </c>
      <c r="F36">
        <v>2.2310662563386199</v>
      </c>
      <c r="G36">
        <v>-208.05067316434153</v>
      </c>
      <c r="H36">
        <v>-175.18898700246535</v>
      </c>
      <c r="I36">
        <v>32.7584968966517</v>
      </c>
      <c r="J36">
        <v>17.4128616509701</v>
      </c>
      <c r="K36">
        <v>5.7308022585820204</v>
      </c>
      <c r="L36">
        <v>1.5604404125896704E-4</v>
      </c>
      <c r="M36">
        <v>1.7426600267249598E-5</v>
      </c>
      <c r="N36" s="1">
        <v>4.5901548432106802E-7</v>
      </c>
      <c r="O36" s="1">
        <v>1.19751529638792E-8</v>
      </c>
      <c r="P36" s="1">
        <v>-6.0369280942387694E-8</v>
      </c>
      <c r="Q36">
        <v>69.003512377605404</v>
      </c>
      <c r="R36">
        <v>0.142364556020313</v>
      </c>
      <c r="S36">
        <v>15.234808445686101</v>
      </c>
      <c r="T36">
        <v>0.212088370792296</v>
      </c>
      <c r="V36">
        <v>0.52639210207256404</v>
      </c>
      <c r="W36">
        <v>0.206956132693082</v>
      </c>
      <c r="X36">
        <v>0.13322072853248801</v>
      </c>
      <c r="AA36">
        <v>0.815603423031667</v>
      </c>
      <c r="AB36">
        <v>2.50126756529622</v>
      </c>
      <c r="AC36">
        <v>4.75951484923353</v>
      </c>
      <c r="AD36">
        <v>0.31284707594584499</v>
      </c>
      <c r="AE36">
        <v>6.1514243730904203</v>
      </c>
    </row>
    <row r="37" spans="1:31" x14ac:dyDescent="0.2">
      <c r="A37">
        <v>36</v>
      </c>
      <c r="B37">
        <v>728</v>
      </c>
      <c r="C37">
        <v>275</v>
      </c>
      <c r="D37">
        <v>0.280418019277831</v>
      </c>
      <c r="E37">
        <v>11.3964839808737</v>
      </c>
      <c r="F37">
        <v>2.2338551980438899</v>
      </c>
      <c r="G37">
        <v>-185.44107196716681</v>
      </c>
      <c r="H37">
        <v>-156.26626651177841</v>
      </c>
      <c r="I37">
        <v>29.141292968474598</v>
      </c>
      <c r="J37">
        <v>15.5338032182676</v>
      </c>
      <c r="K37">
        <v>5.1017111542651703</v>
      </c>
      <c r="L37">
        <v>1.5589401173148301E-4</v>
      </c>
      <c r="M37">
        <v>1.7424908108278476E-5</v>
      </c>
      <c r="N37" s="1">
        <v>4.0949502731155203E-7</v>
      </c>
      <c r="O37" s="1">
        <v>1.0640763612535001E-8</v>
      </c>
      <c r="P37" s="1">
        <v>-5.3517379173377202E-8</v>
      </c>
      <c r="Q37">
        <v>68.688352231557303</v>
      </c>
      <c r="R37">
        <v>0.14135920271001001</v>
      </c>
      <c r="S37">
        <v>15.606249748550001</v>
      </c>
      <c r="T37">
        <v>0.20703805520434099</v>
      </c>
      <c r="V37">
        <v>0.51637074411321304</v>
      </c>
      <c r="W37">
        <v>0.23131420525784699</v>
      </c>
      <c r="X37">
        <v>0.13151707277101901</v>
      </c>
      <c r="AA37">
        <v>0.83549141189845</v>
      </c>
      <c r="AB37">
        <v>2.3850067300070901</v>
      </c>
      <c r="AC37">
        <v>4.7634853171068201</v>
      </c>
      <c r="AD37">
        <v>0.35098544487092098</v>
      </c>
      <c r="AE37">
        <v>6.1428298359529103</v>
      </c>
    </row>
    <row r="38" spans="1:31" x14ac:dyDescent="0.2">
      <c r="A38">
        <v>37</v>
      </c>
      <c r="B38">
        <v>726</v>
      </c>
      <c r="C38">
        <v>275</v>
      </c>
      <c r="D38">
        <v>0.27883751188509998</v>
      </c>
      <c r="E38">
        <v>10.3548435664871</v>
      </c>
      <c r="F38">
        <v>2.23642439969796</v>
      </c>
      <c r="G38">
        <v>-168.48862694670964</v>
      </c>
      <c r="H38">
        <v>-142.08158221810172</v>
      </c>
      <c r="I38">
        <v>26.429509811948101</v>
      </c>
      <c r="J38">
        <v>14.125494052701301</v>
      </c>
      <c r="K38">
        <v>4.6300888006254999</v>
      </c>
      <c r="L38">
        <v>1.5579914874867847E-4</v>
      </c>
      <c r="M38">
        <v>1.7425833090864533E-5</v>
      </c>
      <c r="N38" s="1">
        <v>3.7260033061764999E-7</v>
      </c>
      <c r="O38" s="1">
        <v>9.6432990949207108E-9</v>
      </c>
      <c r="P38" s="1">
        <v>-4.8405380877872098E-8</v>
      </c>
      <c r="Q38">
        <v>68.391900002398302</v>
      </c>
      <c r="R38">
        <v>0.140198107765303</v>
      </c>
      <c r="S38">
        <v>15.950634023434199</v>
      </c>
      <c r="T38">
        <v>0.20243797502823799</v>
      </c>
      <c r="V38">
        <v>0.50693777982008903</v>
      </c>
      <c r="W38">
        <v>0.253695318908357</v>
      </c>
      <c r="X38">
        <v>0.12980573972259901</v>
      </c>
      <c r="AA38">
        <v>0.85516603337850505</v>
      </c>
      <c r="AB38">
        <v>2.2822867382131</v>
      </c>
      <c r="AC38">
        <v>4.7629244575905796</v>
      </c>
      <c r="AD38">
        <v>0.38629265370424198</v>
      </c>
      <c r="AE38">
        <v>6.1377211700363299</v>
      </c>
    </row>
    <row r="39" spans="1:31" x14ac:dyDescent="0.2">
      <c r="A39">
        <v>38</v>
      </c>
      <c r="B39">
        <v>760</v>
      </c>
      <c r="C39">
        <v>250</v>
      </c>
      <c r="D39">
        <v>0.33149155495329902</v>
      </c>
      <c r="E39">
        <v>106.196383478097</v>
      </c>
      <c r="F39">
        <v>2.2011978931874001</v>
      </c>
      <c r="G39">
        <v>-1734.2439948503709</v>
      </c>
      <c r="H39">
        <v>-1448.9911450187417</v>
      </c>
      <c r="I39">
        <v>276.10013050537498</v>
      </c>
      <c r="J39">
        <v>143.43586524164601</v>
      </c>
      <c r="K39">
        <v>48.244814247174297</v>
      </c>
      <c r="L39">
        <v>1.5382378851652525E-4</v>
      </c>
      <c r="M39">
        <v>1.7667113183393161E-5</v>
      </c>
      <c r="N39" s="1">
        <v>3.5782825927427802E-6</v>
      </c>
      <c r="O39" s="1">
        <v>1.0068140602674101E-7</v>
      </c>
      <c r="P39" s="1">
        <v>-5.0930496485289902E-7</v>
      </c>
      <c r="Q39">
        <v>72.290597368459601</v>
      </c>
      <c r="R39">
        <v>9.03985586475263E-2</v>
      </c>
      <c r="S39">
        <v>12.203805417416399</v>
      </c>
      <c r="T39">
        <v>0.23308582700622099</v>
      </c>
      <c r="V39">
        <v>0.57183767789073603</v>
      </c>
      <c r="W39">
        <v>2.5424594619616599E-2</v>
      </c>
      <c r="X39">
        <v>0.11299819830940901</v>
      </c>
      <c r="AA39">
        <v>0.74390480553693294</v>
      </c>
      <c r="AB39">
        <v>3.3428633666533001</v>
      </c>
      <c r="AC39">
        <v>4.4163462505926496</v>
      </c>
      <c r="AD39">
        <v>3.7666066103135297E-2</v>
      </c>
      <c r="AE39">
        <v>5.9310718687643096</v>
      </c>
    </row>
    <row r="40" spans="1:31" x14ac:dyDescent="0.2">
      <c r="A40">
        <v>39</v>
      </c>
      <c r="B40">
        <v>758</v>
      </c>
      <c r="C40">
        <v>250</v>
      </c>
      <c r="D40">
        <v>0.330059157251614</v>
      </c>
      <c r="E40">
        <v>106.03304951037001</v>
      </c>
      <c r="F40">
        <v>2.20202153212148</v>
      </c>
      <c r="G40">
        <v>-1730.9721235980987</v>
      </c>
      <c r="H40">
        <v>-1446.9859219298605</v>
      </c>
      <c r="I40">
        <v>275.40726535250701</v>
      </c>
      <c r="J40">
        <v>143.202262715622</v>
      </c>
      <c r="K40">
        <v>48.152594315558403</v>
      </c>
      <c r="L40">
        <v>1.5376119716175709E-4</v>
      </c>
      <c r="M40">
        <v>1.7649456873733564E-5</v>
      </c>
      <c r="N40" s="1">
        <v>3.5808811650924198E-6</v>
      </c>
      <c r="O40" s="1">
        <v>1.0036077097449E-7</v>
      </c>
      <c r="P40" s="1">
        <v>-5.0845923324012401E-7</v>
      </c>
      <c r="Q40">
        <v>72.257361398548397</v>
      </c>
      <c r="R40">
        <v>9.0537809148468706E-2</v>
      </c>
      <c r="S40">
        <v>12.222604235044299</v>
      </c>
      <c r="T40">
        <v>0.23423669834304001</v>
      </c>
      <c r="V40">
        <v>0.57200604781175002</v>
      </c>
      <c r="W40">
        <v>2.5463758823006399E-2</v>
      </c>
      <c r="X40">
        <v>0.11317226143558801</v>
      </c>
      <c r="AA40">
        <v>0.74505072111760196</v>
      </c>
      <c r="AB40">
        <v>3.3480127341360499</v>
      </c>
      <c r="AC40">
        <v>4.4231492177740499</v>
      </c>
      <c r="AD40">
        <v>3.7724087145193597E-2</v>
      </c>
      <c r="AE40">
        <v>5.93068103067246</v>
      </c>
    </row>
    <row r="41" spans="1:31" x14ac:dyDescent="0.2">
      <c r="A41">
        <v>40</v>
      </c>
      <c r="B41">
        <v>756</v>
      </c>
      <c r="C41">
        <v>250</v>
      </c>
      <c r="D41">
        <v>0.32862119224602798</v>
      </c>
      <c r="E41">
        <v>105.5944846949</v>
      </c>
      <c r="F41">
        <v>2.2029957270941001</v>
      </c>
      <c r="G41">
        <v>-1723.1401306556713</v>
      </c>
      <c r="H41">
        <v>-1441.1110991530618</v>
      </c>
      <c r="I41">
        <v>274.040743820248</v>
      </c>
      <c r="J41">
        <v>142.626265490706</v>
      </c>
      <c r="K41">
        <v>47.932224014881101</v>
      </c>
      <c r="L41">
        <v>1.5382523713659097E-4</v>
      </c>
      <c r="M41">
        <v>1.7633136316347379E-5</v>
      </c>
      <c r="N41" s="1">
        <v>3.5758180281554698E-6</v>
      </c>
      <c r="O41" s="1">
        <v>9.9824757323860401E-8</v>
      </c>
      <c r="P41" s="1">
        <v>-5.0691891383123903E-7</v>
      </c>
      <c r="Q41">
        <v>72.164282918995596</v>
      </c>
      <c r="R41">
        <v>9.0913839181448006E-2</v>
      </c>
      <c r="S41">
        <v>12.273368289496799</v>
      </c>
      <c r="T41">
        <v>0.23610666080904499</v>
      </c>
      <c r="V41">
        <v>0.57357452798727204</v>
      </c>
      <c r="W41">
        <v>2.55695172697817E-2</v>
      </c>
      <c r="X41">
        <v>0.11364229897681299</v>
      </c>
      <c r="AA41">
        <v>0.74814513493065704</v>
      </c>
      <c r="AB41">
        <v>3.36191801139725</v>
      </c>
      <c r="AC41">
        <v>4.4415198516768601</v>
      </c>
      <c r="AD41">
        <v>3.78807663256008E-2</v>
      </c>
      <c r="AE41">
        <v>5.93307818295267</v>
      </c>
    </row>
    <row r="42" spans="1:31" x14ac:dyDescent="0.2">
      <c r="A42">
        <v>41</v>
      </c>
      <c r="B42">
        <v>754</v>
      </c>
      <c r="C42">
        <v>250</v>
      </c>
      <c r="D42">
        <v>0.32717762741566497</v>
      </c>
      <c r="E42">
        <v>105.160183305552</v>
      </c>
      <c r="F42">
        <v>2.2039702609901801</v>
      </c>
      <c r="G42">
        <v>-1715.3838092874059</v>
      </c>
      <c r="H42">
        <v>-1435.2938487811934</v>
      </c>
      <c r="I42">
        <v>272.68652144887398</v>
      </c>
      <c r="J42">
        <v>142.055839620173</v>
      </c>
      <c r="K42">
        <v>47.713975622478202</v>
      </c>
      <c r="L42">
        <v>1.5388908575802366E-4</v>
      </c>
      <c r="M42">
        <v>1.7616784353775728E-5</v>
      </c>
      <c r="N42" s="1">
        <v>3.5708371551766301E-6</v>
      </c>
      <c r="O42" s="1">
        <v>9.9293950606408906E-8</v>
      </c>
      <c r="P42" s="1">
        <v>-5.0539534752684795E-7</v>
      </c>
      <c r="Q42">
        <v>72.071319438827501</v>
      </c>
      <c r="R42">
        <v>9.1289304547011396E-2</v>
      </c>
      <c r="S42">
        <v>12.3240561138494</v>
      </c>
      <c r="T42">
        <v>0.23798967860515099</v>
      </c>
      <c r="V42">
        <v>0.57512637881246598</v>
      </c>
      <c r="W42">
        <v>2.5675116903845899E-2</v>
      </c>
      <c r="X42">
        <v>0.114111630683772</v>
      </c>
      <c r="AA42">
        <v>0.75123490200143195</v>
      </c>
      <c r="AB42">
        <v>3.3758024077279298</v>
      </c>
      <c r="AC42">
        <v>4.4598628992235199</v>
      </c>
      <c r="AD42">
        <v>3.8037210227916299E-2</v>
      </c>
      <c r="AE42">
        <v>5.93549491858988</v>
      </c>
    </row>
    <row r="43" spans="1:31" x14ac:dyDescent="0.2">
      <c r="A43">
        <v>42</v>
      </c>
      <c r="B43">
        <v>752</v>
      </c>
      <c r="C43">
        <v>250</v>
      </c>
      <c r="D43">
        <v>0.32572842998585799</v>
      </c>
      <c r="E43">
        <v>104.73007795779699</v>
      </c>
      <c r="F43">
        <v>2.2049451466336301</v>
      </c>
      <c r="G43">
        <v>-1707.7019711757296</v>
      </c>
      <c r="H43">
        <v>-1429.5332584130576</v>
      </c>
      <c r="I43">
        <v>271.34440107561898</v>
      </c>
      <c r="J43">
        <v>141.49089714676501</v>
      </c>
      <c r="K43">
        <v>47.4978155886064</v>
      </c>
      <c r="L43">
        <v>1.539527391465472E-4</v>
      </c>
      <c r="M43">
        <v>1.7600400483133145E-5</v>
      </c>
      <c r="N43" s="1">
        <v>3.5659371597334999E-6</v>
      </c>
      <c r="O43" s="1">
        <v>9.8768265583360402E-8</v>
      </c>
      <c r="P43" s="1">
        <v>-5.0388825127409902E-7</v>
      </c>
      <c r="Q43">
        <v>71.978469687639802</v>
      </c>
      <c r="R43">
        <v>9.1664211344029106E-2</v>
      </c>
      <c r="S43">
        <v>12.3746685314476</v>
      </c>
      <c r="T43">
        <v>0.23988590642659999</v>
      </c>
      <c r="V43">
        <v>0.57666151382095998</v>
      </c>
      <c r="W43">
        <v>2.5780559440506799E-2</v>
      </c>
      <c r="X43">
        <v>0.11458026418004599</v>
      </c>
      <c r="AA43">
        <v>0.75432007251855204</v>
      </c>
      <c r="AB43">
        <v>3.3896661486592898</v>
      </c>
      <c r="AC43">
        <v>4.4781786583694103</v>
      </c>
      <c r="AD43">
        <v>3.8193421393338998E-2</v>
      </c>
      <c r="AE43">
        <v>5.9379310247597301</v>
      </c>
    </row>
    <row r="44" spans="1:31" x14ac:dyDescent="0.2">
      <c r="A44">
        <v>43</v>
      </c>
      <c r="B44">
        <v>750</v>
      </c>
      <c r="C44">
        <v>250</v>
      </c>
      <c r="D44">
        <v>0.324273566925672</v>
      </c>
      <c r="E44">
        <v>104.304102692242</v>
      </c>
      <c r="F44">
        <v>2.20592039687899</v>
      </c>
      <c r="G44">
        <v>-1700.0934530991281</v>
      </c>
      <c r="H44">
        <v>-1423.8284349567625</v>
      </c>
      <c r="I44">
        <v>270.014189651923</v>
      </c>
      <c r="J44">
        <v>140.93135197058601</v>
      </c>
      <c r="K44">
        <v>47.283711071267597</v>
      </c>
      <c r="L44">
        <v>1.5401619335029534E-4</v>
      </c>
      <c r="M44">
        <v>1.7583984198149805E-5</v>
      </c>
      <c r="N44" s="1">
        <v>3.5611166810381499E-6</v>
      </c>
      <c r="O44" s="1">
        <v>9.8247618757064401E-8</v>
      </c>
      <c r="P44" s="1">
        <v>-5.0239734752505503E-7</v>
      </c>
      <c r="Q44">
        <v>71.885732410851901</v>
      </c>
      <c r="R44">
        <v>9.2038565619281004E-2</v>
      </c>
      <c r="S44">
        <v>12.425206358606999</v>
      </c>
      <c r="T44">
        <v>0.24179550051522</v>
      </c>
      <c r="V44">
        <v>0.57817984470404804</v>
      </c>
      <c r="W44">
        <v>2.5885846580421201E-2</v>
      </c>
      <c r="X44">
        <v>0.115048207024112</v>
      </c>
      <c r="AA44">
        <v>0.75740069624197803</v>
      </c>
      <c r="AB44">
        <v>3.4035094577962002</v>
      </c>
      <c r="AC44">
        <v>4.4964674245249201</v>
      </c>
      <c r="AD44">
        <v>3.8349402341360098E-2</v>
      </c>
      <c r="AE44">
        <v>5.9403862851934504</v>
      </c>
    </row>
    <row r="45" spans="1:31" x14ac:dyDescent="0.2">
      <c r="A45">
        <v>44</v>
      </c>
      <c r="B45">
        <v>748</v>
      </c>
      <c r="C45">
        <v>250</v>
      </c>
      <c r="D45">
        <v>0.32281300494540499</v>
      </c>
      <c r="E45">
        <v>103.88219293688699</v>
      </c>
      <c r="F45">
        <v>2.20689602461503</v>
      </c>
      <c r="G45">
        <v>-1692.5571162673057</v>
      </c>
      <c r="H45">
        <v>-1418.1785041183452</v>
      </c>
      <c r="I45">
        <v>268.69569813343799</v>
      </c>
      <c r="J45">
        <v>140.377119799718</v>
      </c>
      <c r="K45">
        <v>47.071629917412302</v>
      </c>
      <c r="L45">
        <v>1.5407944434290654E-4</v>
      </c>
      <c r="M45">
        <v>1.756753498902148E-5</v>
      </c>
      <c r="N45" s="1">
        <v>3.5563743831231199E-6</v>
      </c>
      <c r="O45" s="1">
        <v>9.7731928323107304E-8</v>
      </c>
      <c r="P45" s="1">
        <v>-5.0092236407557002E-7</v>
      </c>
      <c r="Q45">
        <v>71.793106369657707</v>
      </c>
      <c r="R45">
        <v>9.24123733682881E-2</v>
      </c>
      <c r="S45">
        <v>12.4756704047236</v>
      </c>
      <c r="T45">
        <v>0.243718618674481</v>
      </c>
      <c r="V45">
        <v>0.57968128130457997</v>
      </c>
      <c r="W45">
        <v>2.59909800098292E-2</v>
      </c>
      <c r="X45">
        <v>0.11551546671037299</v>
      </c>
      <c r="AA45">
        <v>0.76047682250984405</v>
      </c>
      <c r="AB45">
        <v>3.4173325568480002</v>
      </c>
      <c r="AC45">
        <v>4.5147294905961397</v>
      </c>
      <c r="AD45">
        <v>3.8505155570111901E-2</v>
      </c>
      <c r="AE45">
        <v>5.9428604800269804</v>
      </c>
    </row>
    <row r="46" spans="1:31" x14ac:dyDescent="0.2">
      <c r="A46">
        <v>45</v>
      </c>
      <c r="B46">
        <v>746</v>
      </c>
      <c r="C46">
        <v>250</v>
      </c>
      <c r="D46">
        <v>0.32134671049404001</v>
      </c>
      <c r="E46">
        <v>103.464285472763</v>
      </c>
      <c r="F46">
        <v>2.20787204276338</v>
      </c>
      <c r="G46">
        <v>-1685.0918457143207</v>
      </c>
      <c r="H46">
        <v>-1412.58260993719</v>
      </c>
      <c r="I46">
        <v>267.38874137970799</v>
      </c>
      <c r="J46">
        <v>139.82811810528699</v>
      </c>
      <c r="K46">
        <v>46.861540645836698</v>
      </c>
      <c r="L46">
        <v>1.5414248802259856E-4</v>
      </c>
      <c r="M46">
        <v>1.7551052342425419E-5</v>
      </c>
      <c r="N46" s="1">
        <v>3.55170895418776E-6</v>
      </c>
      <c r="O46" s="1">
        <v>9.7221114127578604E-8</v>
      </c>
      <c r="P46" s="1">
        <v>-4.9946303392724304E-7</v>
      </c>
      <c r="Q46">
        <v>71.700590341349098</v>
      </c>
      <c r="R46">
        <v>9.2785640534166797E-2</v>
      </c>
      <c r="S46">
        <v>12.526061472117499</v>
      </c>
      <c r="T46">
        <v>0.24565542027839399</v>
      </c>
      <c r="V46">
        <v>0.58116573159935803</v>
      </c>
      <c r="W46">
        <v>2.6095961400232501E-2</v>
      </c>
      <c r="X46">
        <v>0.11598205066772201</v>
      </c>
      <c r="AA46">
        <v>0.76354850022905296</v>
      </c>
      <c r="AB46">
        <v>3.4311356655862202</v>
      </c>
      <c r="AC46">
        <v>4.5329651469291399</v>
      </c>
      <c r="AD46">
        <v>3.8660683555894103E-2</v>
      </c>
      <c r="AE46">
        <v>5.94535338575308</v>
      </c>
    </row>
    <row r="47" spans="1:31" x14ac:dyDescent="0.2">
      <c r="A47">
        <v>46</v>
      </c>
      <c r="B47">
        <v>744</v>
      </c>
      <c r="C47">
        <v>250</v>
      </c>
      <c r="D47">
        <v>0.31987464975667701</v>
      </c>
      <c r="E47">
        <v>100.907028420462</v>
      </c>
      <c r="F47">
        <v>2.2096192668662198</v>
      </c>
      <c r="G47">
        <v>-1642.094199431431</v>
      </c>
      <c r="H47">
        <v>-1377.3199711560035</v>
      </c>
      <c r="I47">
        <v>260.30991326296697</v>
      </c>
      <c r="J47">
        <v>136.31246409872901</v>
      </c>
      <c r="K47">
        <v>45.667156298638197</v>
      </c>
      <c r="L47">
        <v>1.5374357969045251E-4</v>
      </c>
      <c r="M47">
        <v>1.7492917070926663E-5</v>
      </c>
      <c r="N47" s="1">
        <v>3.4569768971462098E-6</v>
      </c>
      <c r="O47" s="1">
        <v>9.4293143340289503E-8</v>
      </c>
      <c r="P47" s="1">
        <v>-4.8561251174268402E-7</v>
      </c>
      <c r="Q47">
        <v>71.628180176995798</v>
      </c>
      <c r="R47">
        <v>9.5137079649186704E-2</v>
      </c>
      <c r="S47">
        <v>12.553975058721599</v>
      </c>
      <c r="T47">
        <v>0.25284724706038098</v>
      </c>
      <c r="V47">
        <v>0.59502459735027802</v>
      </c>
      <c r="W47">
        <v>2.67573036513311E-2</v>
      </c>
      <c r="X47">
        <v>0.11892134956150199</v>
      </c>
      <c r="AA47">
        <v>0.74161093619367702</v>
      </c>
      <c r="AB47">
        <v>3.4021473947745902</v>
      </c>
      <c r="AC47">
        <v>4.6259218951841801</v>
      </c>
      <c r="AD47">
        <v>3.9640449853815901E-2</v>
      </c>
      <c r="AE47">
        <v>5.9198365110035596</v>
      </c>
    </row>
    <row r="48" spans="1:31" x14ac:dyDescent="0.2">
      <c r="A48">
        <v>47</v>
      </c>
      <c r="B48">
        <v>742</v>
      </c>
      <c r="C48">
        <v>250</v>
      </c>
      <c r="D48">
        <v>0.318396788651924</v>
      </c>
      <c r="E48">
        <v>47.240033390923699</v>
      </c>
      <c r="F48">
        <v>2.2144359251529702</v>
      </c>
      <c r="G48">
        <v>-768.40885239199815</v>
      </c>
      <c r="H48">
        <v>-645.13510271616462</v>
      </c>
      <c r="I48">
        <v>121.434024209065</v>
      </c>
      <c r="J48">
        <v>63.8410680975853</v>
      </c>
      <c r="K48">
        <v>21.332761474080701</v>
      </c>
      <c r="L48">
        <v>1.5280768827987627E-4</v>
      </c>
      <c r="M48">
        <v>1.7419768044288993E-5</v>
      </c>
      <c r="N48" s="1">
        <v>1.6055670363541701E-6</v>
      </c>
      <c r="O48" s="1">
        <v>4.3649375926534698E-8</v>
      </c>
      <c r="P48" s="1">
        <v>-2.2405120083518E-7</v>
      </c>
      <c r="Q48">
        <v>71.267204845028303</v>
      </c>
      <c r="R48">
        <v>0.131528404237272</v>
      </c>
      <c r="S48">
        <v>12.9665376552294</v>
      </c>
      <c r="T48">
        <v>0.24646607344146201</v>
      </c>
      <c r="V48">
        <v>0.58408645009109394</v>
      </c>
      <c r="W48">
        <v>5.71549130301435E-2</v>
      </c>
      <c r="X48">
        <v>0.14491191830964001</v>
      </c>
      <c r="AA48">
        <v>0.73039666756050503</v>
      </c>
      <c r="AB48">
        <v>3.1984768659756999</v>
      </c>
      <c r="AC48">
        <v>4.7290824039961699</v>
      </c>
      <c r="AD48">
        <v>8.4673945229783901E-2</v>
      </c>
      <c r="AE48">
        <v>5.8594798578704204</v>
      </c>
    </row>
    <row r="49" spans="1:31" x14ac:dyDescent="0.2">
      <c r="A49">
        <v>48</v>
      </c>
      <c r="B49">
        <v>740</v>
      </c>
      <c r="C49">
        <v>250</v>
      </c>
      <c r="D49">
        <v>0.31691309282929903</v>
      </c>
      <c r="E49">
        <v>25.497745177830801</v>
      </c>
      <c r="F49">
        <v>2.22001212050538</v>
      </c>
      <c r="G49">
        <v>-414.7999038913984</v>
      </c>
      <c r="H49">
        <v>-348.65881638752757</v>
      </c>
      <c r="I49">
        <v>65.282621037231195</v>
      </c>
      <c r="J49">
        <v>34.496161745614401</v>
      </c>
      <c r="K49">
        <v>11.4854080940902</v>
      </c>
      <c r="L49">
        <v>1.5186078908278484E-4</v>
      </c>
      <c r="M49">
        <v>1.7373519860458065E-5</v>
      </c>
      <c r="N49" s="1">
        <v>8.6008295831524496E-7</v>
      </c>
      <c r="O49" s="1">
        <v>2.33019463228268E-8</v>
      </c>
      <c r="P49" s="1">
        <v>-1.1876993830604E-7</v>
      </c>
      <c r="Q49">
        <v>70.734736399103596</v>
      </c>
      <c r="R49">
        <v>0.16256827570539301</v>
      </c>
      <c r="S49">
        <v>13.653575264155799</v>
      </c>
      <c r="T49">
        <v>0.22656598734584699</v>
      </c>
      <c r="V49">
        <v>0.54466369829849504</v>
      </c>
      <c r="W49">
        <v>0.105891716352504</v>
      </c>
      <c r="X49">
        <v>0.15002524477368501</v>
      </c>
      <c r="AA49">
        <v>0.75051623690411395</v>
      </c>
      <c r="AB49">
        <v>2.9123838096645498</v>
      </c>
      <c r="AC49">
        <v>4.8000618840950198</v>
      </c>
      <c r="AD49">
        <v>0.15687661681840601</v>
      </c>
      <c r="AE49">
        <v>5.8021348667824801</v>
      </c>
    </row>
    <row r="50" spans="1:31" x14ac:dyDescent="0.2">
      <c r="A50">
        <v>49</v>
      </c>
      <c r="B50">
        <v>738</v>
      </c>
      <c r="C50">
        <v>250</v>
      </c>
      <c r="D50">
        <v>0.31542352766652099</v>
      </c>
      <c r="E50">
        <v>18.637444565875501</v>
      </c>
      <c r="F50">
        <v>2.2241625078407599</v>
      </c>
      <c r="G50">
        <v>-303.19469271025753</v>
      </c>
      <c r="H50">
        <v>-255.08477591142119</v>
      </c>
      <c r="I50">
        <v>47.579406417283501</v>
      </c>
      <c r="J50">
        <v>25.2414646441161</v>
      </c>
      <c r="K50">
        <v>8.3795336447645106</v>
      </c>
      <c r="L50">
        <v>1.5138888696835604E-4</v>
      </c>
      <c r="M50">
        <v>1.735875642944484E-5</v>
      </c>
      <c r="N50" s="1">
        <v>6.2716411543305498E-7</v>
      </c>
      <c r="O50" s="1">
        <v>1.6927744951955599E-8</v>
      </c>
      <c r="P50" s="1">
        <v>-8.5861579699616603E-8</v>
      </c>
      <c r="Q50">
        <v>70.287548578263298</v>
      </c>
      <c r="R50">
        <v>0.15495629036281999</v>
      </c>
      <c r="S50">
        <v>14.2090336022885</v>
      </c>
      <c r="T50">
        <v>0.220881130913645</v>
      </c>
      <c r="V50">
        <v>0.53674105217486801</v>
      </c>
      <c r="W50">
        <v>0.143678438040931</v>
      </c>
      <c r="X50">
        <v>0.146734064557342</v>
      </c>
      <c r="AA50">
        <v>0.77159327856738402</v>
      </c>
      <c r="AB50">
        <v>2.70632077027336</v>
      </c>
      <c r="AC50">
        <v>4.8328539308201899</v>
      </c>
      <c r="AD50">
        <v>0.214621698047535</v>
      </c>
      <c r="AE50">
        <v>5.7750371656900699</v>
      </c>
    </row>
    <row r="51" spans="1:31" x14ac:dyDescent="0.2">
      <c r="A51">
        <v>50</v>
      </c>
      <c r="B51">
        <v>736</v>
      </c>
      <c r="C51">
        <v>250</v>
      </c>
      <c r="D51">
        <v>0.31392805826685999</v>
      </c>
      <c r="E51">
        <v>15.278474788140599</v>
      </c>
      <c r="F51">
        <v>2.2276246699665401</v>
      </c>
      <c r="G51">
        <v>-248.55021973433452</v>
      </c>
      <c r="H51">
        <v>-209.28577933040108</v>
      </c>
      <c r="I51">
        <v>38.9084282851246</v>
      </c>
      <c r="J51">
        <v>20.711480652268701</v>
      </c>
      <c r="K51">
        <v>6.8586396057330701</v>
      </c>
      <c r="L51">
        <v>1.5105488614904647E-4</v>
      </c>
      <c r="M51">
        <v>1.7348270240542492E-5</v>
      </c>
      <c r="N51" s="1">
        <v>5.1360157087971701E-7</v>
      </c>
      <c r="O51" s="1">
        <v>1.38096533117396E-8</v>
      </c>
      <c r="P51" s="1">
        <v>-6.9787561973897199E-8</v>
      </c>
      <c r="Q51">
        <v>69.911371998347704</v>
      </c>
      <c r="R51">
        <v>0.15442962252373199</v>
      </c>
      <c r="S51">
        <v>14.6672125583144</v>
      </c>
      <c r="T51">
        <v>0.214430007358863</v>
      </c>
      <c r="V51">
        <v>0.52509071471485602</v>
      </c>
      <c r="W51">
        <v>0.174422320887716</v>
      </c>
      <c r="X51">
        <v>0.14505260861812599</v>
      </c>
      <c r="AA51">
        <v>0.79139719685406396</v>
      </c>
      <c r="AB51">
        <v>2.54601562491351</v>
      </c>
      <c r="AC51">
        <v>4.8527917155310201</v>
      </c>
      <c r="AD51">
        <v>0.26180623756365301</v>
      </c>
      <c r="AE51">
        <v>5.7559793943722397</v>
      </c>
    </row>
    <row r="52" spans="1:31" x14ac:dyDescent="0.2">
      <c r="A52">
        <v>51</v>
      </c>
      <c r="B52">
        <v>734</v>
      </c>
      <c r="C52">
        <v>250</v>
      </c>
      <c r="D52">
        <v>0.31242664945638698</v>
      </c>
      <c r="E52">
        <v>13.1896988060656</v>
      </c>
      <c r="F52">
        <v>2.2306616949348901</v>
      </c>
      <c r="G52">
        <v>-214.56766981885875</v>
      </c>
      <c r="H52">
        <v>-180.81178192716916</v>
      </c>
      <c r="I52">
        <v>33.516246727587301</v>
      </c>
      <c r="J52">
        <v>17.8954903035781</v>
      </c>
      <c r="K52">
        <v>5.9129086387304399</v>
      </c>
      <c r="L52">
        <v>1.508228170552608E-4</v>
      </c>
      <c r="M52">
        <v>1.7342562817998391E-5</v>
      </c>
      <c r="N52" s="1">
        <v>4.4339782096598098E-7</v>
      </c>
      <c r="O52" s="1">
        <v>1.1875837968455201E-8</v>
      </c>
      <c r="P52" s="1">
        <v>-5.9835963033568702E-8</v>
      </c>
      <c r="Q52">
        <v>69.573302953081395</v>
      </c>
      <c r="R52">
        <v>0.15357055919898499</v>
      </c>
      <c r="S52">
        <v>15.0720326839626</v>
      </c>
      <c r="T52">
        <v>0.208838963716519</v>
      </c>
      <c r="V52">
        <v>0.51450226443851299</v>
      </c>
      <c r="W52">
        <v>0.20118715861287501</v>
      </c>
      <c r="X52">
        <v>0.143349179758581</v>
      </c>
      <c r="AA52">
        <v>0.81062884076941399</v>
      </c>
      <c r="AB52">
        <v>2.41262052998285</v>
      </c>
      <c r="AC52">
        <v>4.8635950395570804</v>
      </c>
      <c r="AD52">
        <v>0.30326697059631802</v>
      </c>
      <c r="AE52">
        <v>5.7431048563247797</v>
      </c>
    </row>
    <row r="53" spans="1:31" x14ac:dyDescent="0.2">
      <c r="A53">
        <v>52</v>
      </c>
      <c r="B53">
        <v>732</v>
      </c>
      <c r="C53">
        <v>250</v>
      </c>
      <c r="D53">
        <v>0.31091926578122597</v>
      </c>
      <c r="E53">
        <v>11.7362314414864</v>
      </c>
      <c r="F53">
        <v>2.2334064665870401</v>
      </c>
      <c r="G53">
        <v>-190.91972493972861</v>
      </c>
      <c r="H53">
        <v>-161.00237161916829</v>
      </c>
      <c r="I53">
        <v>29.764068368462699</v>
      </c>
      <c r="J53">
        <v>15.9366677731542</v>
      </c>
      <c r="K53">
        <v>5.2548569268813203</v>
      </c>
      <c r="L53">
        <v>1.5066110250474705E-4</v>
      </c>
      <c r="M53">
        <v>1.7340192060381792E-5</v>
      </c>
      <c r="N53" s="1">
        <v>3.9483799853127198E-7</v>
      </c>
      <c r="O53" s="1">
        <v>1.05338528461774E-8</v>
      </c>
      <c r="P53" s="1">
        <v>-5.2942292897914698E-8</v>
      </c>
      <c r="Q53">
        <v>69.261441118365596</v>
      </c>
      <c r="R53">
        <v>0.15248450403639799</v>
      </c>
      <c r="S53">
        <v>15.4400672136577</v>
      </c>
      <c r="T53">
        <v>0.20384654512140499</v>
      </c>
      <c r="V53">
        <v>0.50467134429347604</v>
      </c>
      <c r="W53">
        <v>0.22522897991884</v>
      </c>
      <c r="X53">
        <v>0.14163167434974799</v>
      </c>
      <c r="AA53">
        <v>0.82948919599913895</v>
      </c>
      <c r="AB53">
        <v>2.2977469209124401</v>
      </c>
      <c r="AC53">
        <v>4.8680649898236599</v>
      </c>
      <c r="AD53">
        <v>0.34082490788764103</v>
      </c>
      <c r="AE53">
        <v>5.7345026056338204</v>
      </c>
    </row>
    <row r="54" spans="1:31" x14ac:dyDescent="0.2">
      <c r="A54">
        <v>53</v>
      </c>
      <c r="B54">
        <v>730</v>
      </c>
      <c r="C54">
        <v>250</v>
      </c>
      <c r="D54">
        <v>0.30940587150476501</v>
      </c>
      <c r="E54">
        <v>10.651814010532799</v>
      </c>
      <c r="F54">
        <v>2.2359351730141999</v>
      </c>
      <c r="G54">
        <v>-173.2752444602836</v>
      </c>
      <c r="H54">
        <v>-146.22570648833022</v>
      </c>
      <c r="I54">
        <v>26.964599483580098</v>
      </c>
      <c r="J54">
        <v>14.475702763234301</v>
      </c>
      <c r="K54">
        <v>4.7639189807875599</v>
      </c>
      <c r="L54">
        <v>1.5055167461065904E-4</v>
      </c>
      <c r="M54">
        <v>1.7340325603594064E-5</v>
      </c>
      <c r="N54" s="1">
        <v>3.58825555372915E-7</v>
      </c>
      <c r="O54" s="1">
        <v>9.5353570043310303E-9</v>
      </c>
      <c r="P54" s="1">
        <v>-4.7822425278958902E-8</v>
      </c>
      <c r="Q54">
        <v>68.968957127427302</v>
      </c>
      <c r="R54">
        <v>0.15123364585587901</v>
      </c>
      <c r="S54">
        <v>15.780803454492199</v>
      </c>
      <c r="T54">
        <v>0.199302227477827</v>
      </c>
      <c r="V54">
        <v>0.49542086257151602</v>
      </c>
      <c r="W54">
        <v>0.24726667382380099</v>
      </c>
      <c r="X54">
        <v>0.13990455939926699</v>
      </c>
      <c r="AA54">
        <v>0.84810357173842899</v>
      </c>
      <c r="AB54">
        <v>2.1965777308310601</v>
      </c>
      <c r="AC54">
        <v>4.8678271373026503</v>
      </c>
      <c r="AD54">
        <v>0.37552289178508003</v>
      </c>
      <c r="AE54">
        <v>5.7290801172948704</v>
      </c>
    </row>
    <row r="55" spans="1:31" x14ac:dyDescent="0.2">
      <c r="A55">
        <v>54</v>
      </c>
      <c r="B55">
        <v>760</v>
      </c>
      <c r="C55">
        <v>225</v>
      </c>
      <c r="D55">
        <v>0.35810918066108399</v>
      </c>
      <c r="E55">
        <v>105.800819760256</v>
      </c>
      <c r="F55">
        <v>2.2023183864034901</v>
      </c>
      <c r="G55">
        <v>-1726.8359243789901</v>
      </c>
      <c r="H55">
        <v>-1445.0109849322582</v>
      </c>
      <c r="I55">
        <v>272.78220921137398</v>
      </c>
      <c r="J55">
        <v>142.53225435998201</v>
      </c>
      <c r="K55">
        <v>48.040655889467203</v>
      </c>
      <c r="L55">
        <v>1.4944444134227641E-4</v>
      </c>
      <c r="M55">
        <v>1.759286363934151E-5</v>
      </c>
      <c r="N55" s="1">
        <v>3.3792736733066002E-6</v>
      </c>
      <c r="O55" s="1">
        <v>9.6683345777579806E-8</v>
      </c>
      <c r="P55" s="1">
        <v>-4.9067445938180297E-7</v>
      </c>
      <c r="Q55">
        <v>72.560874456338496</v>
      </c>
      <c r="R55">
        <v>9.0736537030180503E-2</v>
      </c>
      <c r="S55">
        <v>12.2494324990747</v>
      </c>
      <c r="T55">
        <v>0.23679548928348201</v>
      </c>
      <c r="V55">
        <v>0.57142178769165697</v>
      </c>
      <c r="W55">
        <v>2.5519651039738099E-2</v>
      </c>
      <c r="X55">
        <v>0.113420671287726</v>
      </c>
      <c r="AA55">
        <v>0.74668608597752495</v>
      </c>
      <c r="AB55">
        <v>3.3553615255952001</v>
      </c>
      <c r="AC55">
        <v>4.4328579028285704</v>
      </c>
      <c r="AD55">
        <v>3.7806890429241201E-2</v>
      </c>
      <c r="AE55">
        <v>5.5790865034233299</v>
      </c>
    </row>
    <row r="56" spans="1:31" x14ac:dyDescent="0.2">
      <c r="A56">
        <v>55</v>
      </c>
      <c r="B56">
        <v>758</v>
      </c>
      <c r="C56">
        <v>225</v>
      </c>
      <c r="D56">
        <v>0.356728410027642</v>
      </c>
      <c r="E56">
        <v>105.57926298863001</v>
      </c>
      <c r="F56">
        <v>2.20316323992061</v>
      </c>
      <c r="G56">
        <v>-1722.6058097317914</v>
      </c>
      <c r="H56">
        <v>-1442.1823519844907</v>
      </c>
      <c r="I56">
        <v>271.95214832691698</v>
      </c>
      <c r="J56">
        <v>142.22711887262699</v>
      </c>
      <c r="K56">
        <v>47.921670566923098</v>
      </c>
      <c r="L56">
        <v>1.4941200185967878E-4</v>
      </c>
      <c r="M56">
        <v>1.7575751480531794E-5</v>
      </c>
      <c r="N56" s="1">
        <v>3.3800159800866199E-6</v>
      </c>
      <c r="O56" s="1">
        <v>9.6331711244659805E-8</v>
      </c>
      <c r="P56" s="1">
        <v>-4.8971281420599899E-7</v>
      </c>
      <c r="Q56">
        <v>72.5149035809726</v>
      </c>
      <c r="R56">
        <v>9.0926946525794694E-2</v>
      </c>
      <c r="S56">
        <v>12.2751377809837</v>
      </c>
      <c r="T56">
        <v>0.238118655756686</v>
      </c>
      <c r="V56">
        <v>0.57187743669309898</v>
      </c>
      <c r="W56">
        <v>2.5573203710379199E-2</v>
      </c>
      <c r="X56">
        <v>0.113658683157247</v>
      </c>
      <c r="AA56">
        <v>0.74825299745184404</v>
      </c>
      <c r="AB56">
        <v>3.3624027100684</v>
      </c>
      <c r="AC56">
        <v>4.4421602000621201</v>
      </c>
      <c r="AD56">
        <v>3.7886227719078597E-2</v>
      </c>
      <c r="AE56">
        <v>5.5791015768989096</v>
      </c>
    </row>
    <row r="57" spans="1:31" x14ac:dyDescent="0.2">
      <c r="A57">
        <v>56</v>
      </c>
      <c r="B57">
        <v>756</v>
      </c>
      <c r="C57">
        <v>225</v>
      </c>
      <c r="D57">
        <v>0.35534227274935698</v>
      </c>
      <c r="E57">
        <v>105.155846509482</v>
      </c>
      <c r="F57">
        <v>2.2041280027803398</v>
      </c>
      <c r="G57">
        <v>-1715.032404924144</v>
      </c>
      <c r="H57">
        <v>-1436.5121361011711</v>
      </c>
      <c r="I57">
        <v>270.63136454644399</v>
      </c>
      <c r="J57">
        <v>141.67136529443101</v>
      </c>
      <c r="K57">
        <v>47.708593319823699</v>
      </c>
      <c r="L57">
        <v>1.4947091288338105E-4</v>
      </c>
      <c r="M57">
        <v>1.7559403297012769E-5</v>
      </c>
      <c r="N57" s="1">
        <v>3.3753417939666598E-6</v>
      </c>
      <c r="O57" s="1">
        <v>9.5825986307237196E-8</v>
      </c>
      <c r="P57" s="1">
        <v>-4.8825577277243202E-7</v>
      </c>
      <c r="Q57">
        <v>72.424783464645898</v>
      </c>
      <c r="R57">
        <v>9.1293069464610105E-2</v>
      </c>
      <c r="S57">
        <v>12.3245643777243</v>
      </c>
      <c r="T57">
        <v>0.23998631467512399</v>
      </c>
      <c r="V57">
        <v>0.57336233454111996</v>
      </c>
      <c r="W57">
        <v>2.5676175786920899E-2</v>
      </c>
      <c r="X57">
        <v>0.11411633683076799</v>
      </c>
      <c r="AA57">
        <v>0.75126588413584305</v>
      </c>
      <c r="AB57">
        <v>3.3759416312433301</v>
      </c>
      <c r="AC57">
        <v>4.4600468311354602</v>
      </c>
      <c r="AD57">
        <v>3.8038778943584102E-2</v>
      </c>
      <c r="AE57">
        <v>5.5809248008729204</v>
      </c>
    </row>
    <row r="58" spans="1:31" x14ac:dyDescent="0.2">
      <c r="A58">
        <v>57</v>
      </c>
      <c r="B58">
        <v>754</v>
      </c>
      <c r="C58">
        <v>225</v>
      </c>
      <c r="D58">
        <v>0.35395073747748601</v>
      </c>
      <c r="E58">
        <v>104.73642845407799</v>
      </c>
      <c r="F58">
        <v>2.2050933192137601</v>
      </c>
      <c r="G58">
        <v>-1707.5300404979212</v>
      </c>
      <c r="H58">
        <v>-1430.8959249000018</v>
      </c>
      <c r="I58">
        <v>269.3220226821</v>
      </c>
      <c r="J58">
        <v>141.120814713432</v>
      </c>
      <c r="K58">
        <v>47.497503865923498</v>
      </c>
      <c r="L58">
        <v>1.4952950981179174E-4</v>
      </c>
      <c r="M58">
        <v>1.75430155604996E-5</v>
      </c>
      <c r="N58" s="1">
        <v>3.37073589298154E-6</v>
      </c>
      <c r="O58" s="1">
        <v>9.5324923552898202E-8</v>
      </c>
      <c r="P58" s="1">
        <v>-4.8681331617972405E-7</v>
      </c>
      <c r="Q58">
        <v>72.334781702078502</v>
      </c>
      <c r="R58">
        <v>9.1658653457036901E-2</v>
      </c>
      <c r="S58">
        <v>12.3739182167023</v>
      </c>
      <c r="T58">
        <v>0.241867035567122</v>
      </c>
      <c r="V58">
        <v>0.57483081944086101</v>
      </c>
      <c r="W58">
        <v>2.5778996284790801E-2</v>
      </c>
      <c r="X58">
        <v>0.11457331682130199</v>
      </c>
      <c r="AA58">
        <v>0.75427433574018499</v>
      </c>
      <c r="AB58">
        <v>3.38946062262993</v>
      </c>
      <c r="AC58">
        <v>4.4779071324321</v>
      </c>
      <c r="AD58">
        <v>3.81911056070946E-2</v>
      </c>
      <c r="AE58">
        <v>5.5827580632386704</v>
      </c>
    </row>
    <row r="59" spans="1:31" x14ac:dyDescent="0.2">
      <c r="A59">
        <v>58</v>
      </c>
      <c r="B59">
        <v>752</v>
      </c>
      <c r="C59">
        <v>225</v>
      </c>
      <c r="D59">
        <v>0.35255377261864101</v>
      </c>
      <c r="E59">
        <v>104.320947476824</v>
      </c>
      <c r="F59">
        <v>2.2060592047520799</v>
      </c>
      <c r="G59">
        <v>-1700.0976330743135</v>
      </c>
      <c r="H59">
        <v>-1425.3328877288423</v>
      </c>
      <c r="I59">
        <v>268.02394317462898</v>
      </c>
      <c r="J59">
        <v>140.575387103699</v>
      </c>
      <c r="K59">
        <v>47.288371614010401</v>
      </c>
      <c r="L59">
        <v>1.4958778626992069E-4</v>
      </c>
      <c r="M59">
        <v>1.7526587615055408E-5</v>
      </c>
      <c r="N59" s="1">
        <v>3.3661970011243699E-6</v>
      </c>
      <c r="O59" s="1">
        <v>9.4828446315549098E-8</v>
      </c>
      <c r="P59" s="1">
        <v>-4.85385184388255E-7</v>
      </c>
      <c r="Q59">
        <v>72.244897298849807</v>
      </c>
      <c r="R59">
        <v>9.2023704080456001E-2</v>
      </c>
      <c r="S59">
        <v>12.4232000508648</v>
      </c>
      <c r="T59">
        <v>0.24376097137008301</v>
      </c>
      <c r="V59">
        <v>0.57628280199858495</v>
      </c>
      <c r="W59">
        <v>2.5881666772627099E-2</v>
      </c>
      <c r="X59">
        <v>0.115029630100579</v>
      </c>
      <c r="AA59">
        <v>0.75727839816206599</v>
      </c>
      <c r="AB59">
        <v>3.4029598904750902</v>
      </c>
      <c r="AC59">
        <v>4.4957413764303098</v>
      </c>
      <c r="AD59">
        <v>3.8343210033517698E-2</v>
      </c>
      <c r="AE59">
        <v>5.5846010008619604</v>
      </c>
    </row>
    <row r="60" spans="1:31" x14ac:dyDescent="0.2">
      <c r="A60">
        <v>59</v>
      </c>
      <c r="B60">
        <v>750</v>
      </c>
      <c r="C60">
        <v>225</v>
      </c>
      <c r="D60">
        <v>0.35115134633240402</v>
      </c>
      <c r="E60">
        <v>102.578452314722</v>
      </c>
      <c r="F60">
        <v>2.2074653242786502</v>
      </c>
      <c r="G60">
        <v>-1670.6190606184721</v>
      </c>
      <c r="H60">
        <v>-1401.3508615756084</v>
      </c>
      <c r="I60">
        <v>263.17568200445999</v>
      </c>
      <c r="J60">
        <v>138.196667543812</v>
      </c>
      <c r="K60">
        <v>46.4688850087567</v>
      </c>
      <c r="L60">
        <v>1.4938629814225375E-4</v>
      </c>
      <c r="M60">
        <v>1.7485625519945428E-5</v>
      </c>
      <c r="N60" s="1">
        <v>3.30945138431267E-6</v>
      </c>
      <c r="O60" s="1">
        <v>9.28912896992994E-8</v>
      </c>
      <c r="P60" s="1">
        <v>-4.7661395257618402E-7</v>
      </c>
      <c r="Q60">
        <v>72.165581999490101</v>
      </c>
      <c r="R60">
        <v>9.3586906249533294E-2</v>
      </c>
      <c r="S60">
        <v>12.4587405770814</v>
      </c>
      <c r="T60">
        <v>0.24884563432687001</v>
      </c>
      <c r="V60">
        <v>0.58522275170058402</v>
      </c>
      <c r="W60">
        <v>2.6321317382679701E-2</v>
      </c>
      <c r="X60">
        <v>0.116983632811929</v>
      </c>
      <c r="AA60">
        <v>0.74473384253717301</v>
      </c>
      <c r="AB60">
        <v>3.3903157495462999</v>
      </c>
      <c r="AC60">
        <v>4.5597315717889604</v>
      </c>
      <c r="AD60">
        <v>3.8994544270631003E-2</v>
      </c>
      <c r="AE60">
        <v>5.5709414728137698</v>
      </c>
    </row>
    <row r="61" spans="1:31" x14ac:dyDescent="0.2">
      <c r="A61">
        <v>60</v>
      </c>
      <c r="B61">
        <v>748</v>
      </c>
      <c r="C61">
        <v>225</v>
      </c>
      <c r="D61">
        <v>0.34974342652891699</v>
      </c>
      <c r="E61">
        <v>98.9427407688366</v>
      </c>
      <c r="F61">
        <v>2.2095810721987901</v>
      </c>
      <c r="G61">
        <v>-1609.7465681355593</v>
      </c>
      <c r="H61">
        <v>-1351.1117268663304</v>
      </c>
      <c r="I61">
        <v>253.27801132960701</v>
      </c>
      <c r="J61">
        <v>133.20744470651599</v>
      </c>
      <c r="K61">
        <v>44.778959239715398</v>
      </c>
      <c r="L61">
        <v>1.4879799413157317E-4</v>
      </c>
      <c r="M61">
        <v>1.7408385355809891E-5</v>
      </c>
      <c r="N61" s="1">
        <v>3.1783341513438899E-6</v>
      </c>
      <c r="O61" s="1">
        <v>8.89182131499543E-8</v>
      </c>
      <c r="P61" s="1">
        <v>-4.57377873673548E-7</v>
      </c>
      <c r="Q61">
        <v>72.098486302847704</v>
      </c>
      <c r="R61">
        <v>9.7025814379137806E-2</v>
      </c>
      <c r="S61">
        <v>12.4764157860641</v>
      </c>
      <c r="T61">
        <v>0.25893948288802698</v>
      </c>
      <c r="V61">
        <v>0.605872422154345</v>
      </c>
      <c r="W61">
        <v>2.7288510294130101E-2</v>
      </c>
      <c r="X61">
        <v>0.121282267973942</v>
      </c>
      <c r="AA61">
        <v>0.71385110295583398</v>
      </c>
      <c r="AB61">
        <v>3.3362647533155401</v>
      </c>
      <c r="AC61">
        <v>4.6899924522897898</v>
      </c>
      <c r="AD61">
        <v>4.0427422657961697E-2</v>
      </c>
      <c r="AE61">
        <v>5.5341536821794</v>
      </c>
    </row>
    <row r="62" spans="1:31" x14ac:dyDescent="0.2">
      <c r="A62">
        <v>61</v>
      </c>
      <c r="B62">
        <v>746</v>
      </c>
      <c r="C62">
        <v>225</v>
      </c>
      <c r="D62">
        <v>0.34832998086640898</v>
      </c>
      <c r="E62">
        <v>46.052959006235803</v>
      </c>
      <c r="F62">
        <v>2.2146329886000302</v>
      </c>
      <c r="G62">
        <v>-748.98732433589237</v>
      </c>
      <c r="H62">
        <v>-629.31383159639267</v>
      </c>
      <c r="I62">
        <v>117.42480767257</v>
      </c>
      <c r="J62">
        <v>62.026617126162797</v>
      </c>
      <c r="K62">
        <v>20.794849188690101</v>
      </c>
      <c r="L62">
        <v>1.4767553943013272E-4</v>
      </c>
      <c r="M62">
        <v>1.7319990982820534E-5</v>
      </c>
      <c r="N62" s="1">
        <v>1.46470994830362E-6</v>
      </c>
      <c r="O62" s="1">
        <v>4.0850472854078299E-8</v>
      </c>
      <c r="P62" s="1">
        <v>-2.0928717649267699E-7</v>
      </c>
      <c r="Q62">
        <v>71.733180477803302</v>
      </c>
      <c r="R62">
        <v>0.13340001643445901</v>
      </c>
      <c r="S62">
        <v>12.909865013141101</v>
      </c>
      <c r="T62">
        <v>0.24517016964379401</v>
      </c>
      <c r="V62">
        <v>0.57799515455027295</v>
      </c>
      <c r="W62">
        <v>5.8628154591190397E-2</v>
      </c>
      <c r="X62">
        <v>0.153307937487387</v>
      </c>
      <c r="AA62">
        <v>0.72429095931281695</v>
      </c>
      <c r="AB62">
        <v>3.0926726432231302</v>
      </c>
      <c r="AC62">
        <v>4.8177620335095499</v>
      </c>
      <c r="AD62">
        <v>8.6856525320206199E-2</v>
      </c>
      <c r="AE62">
        <v>5.4668709149826498</v>
      </c>
    </row>
    <row r="63" spans="1:31" x14ac:dyDescent="0.2">
      <c r="A63">
        <v>62</v>
      </c>
      <c r="B63">
        <v>744</v>
      </c>
      <c r="C63">
        <v>225</v>
      </c>
      <c r="D63">
        <v>0.34691097674876298</v>
      </c>
      <c r="E63">
        <v>25.6435480998876</v>
      </c>
      <c r="F63">
        <v>2.2200569839681399</v>
      </c>
      <c r="G63">
        <v>-417.09513682609435</v>
      </c>
      <c r="H63">
        <v>-350.8485760190203</v>
      </c>
      <c r="I63">
        <v>65.129588366587001</v>
      </c>
      <c r="J63">
        <v>34.574960517463197</v>
      </c>
      <c r="K63">
        <v>11.550851300245499</v>
      </c>
      <c r="L63">
        <v>1.4674750626655583E-4</v>
      </c>
      <c r="M63">
        <v>1.7271927202272949E-5</v>
      </c>
      <c r="N63" s="1">
        <v>8.0941504754723102E-7</v>
      </c>
      <c r="O63" s="1">
        <v>2.2498603297455499E-8</v>
      </c>
      <c r="P63" s="1">
        <v>-1.14456307333806E-7</v>
      </c>
      <c r="Q63">
        <v>71.213027002380798</v>
      </c>
      <c r="R63">
        <v>0.165026850305074</v>
      </c>
      <c r="S63">
        <v>13.571912260815299</v>
      </c>
      <c r="T63">
        <v>0.22567462918283501</v>
      </c>
      <c r="V63">
        <v>0.53941862123786799</v>
      </c>
      <c r="W63">
        <v>0.10528964203713</v>
      </c>
      <c r="X63">
        <v>0.15836719667972199</v>
      </c>
      <c r="AA63">
        <v>0.74975188923186298</v>
      </c>
      <c r="AB63">
        <v>2.8079705045232499</v>
      </c>
      <c r="AC63">
        <v>4.8944365775460499</v>
      </c>
      <c r="AD63">
        <v>0.15598465486964999</v>
      </c>
      <c r="AE63">
        <v>5.4131401711903502</v>
      </c>
    </row>
    <row r="64" spans="1:31" x14ac:dyDescent="0.2">
      <c r="A64">
        <v>63</v>
      </c>
      <c r="B64">
        <v>742</v>
      </c>
      <c r="C64">
        <v>225</v>
      </c>
      <c r="D64">
        <v>0.345486381322956</v>
      </c>
      <c r="E64">
        <v>18.9615821788205</v>
      </c>
      <c r="F64">
        <v>2.2241035251363299</v>
      </c>
      <c r="G64">
        <v>-308.41448382931713</v>
      </c>
      <c r="H64">
        <v>-259.66702900864442</v>
      </c>
      <c r="I64">
        <v>48.019952539696497</v>
      </c>
      <c r="J64">
        <v>25.591480108213101</v>
      </c>
      <c r="K64">
        <v>8.5254944136011908</v>
      </c>
      <c r="L64">
        <v>1.462530472471834E-4</v>
      </c>
      <c r="M64">
        <v>1.7252955005579202E-5</v>
      </c>
      <c r="N64" s="1">
        <v>5.9683187237857602E-7</v>
      </c>
      <c r="O64" s="1">
        <v>1.6528902354367298E-8</v>
      </c>
      <c r="P64" s="1">
        <v>-8.3671719117997602E-8</v>
      </c>
      <c r="Q64">
        <v>70.782191168012304</v>
      </c>
      <c r="R64">
        <v>0.16686769223456899</v>
      </c>
      <c r="S64">
        <v>14.104226289495999</v>
      </c>
      <c r="T64">
        <v>0.21748649568232001</v>
      </c>
      <c r="V64">
        <v>0.52513466732313197</v>
      </c>
      <c r="W64">
        <v>0.14164705329556199</v>
      </c>
      <c r="X64">
        <v>0.157105601733113</v>
      </c>
      <c r="AA64">
        <v>0.77063824396640201</v>
      </c>
      <c r="AB64">
        <v>2.6067097164594299</v>
      </c>
      <c r="AC64">
        <v>4.9312779267526601</v>
      </c>
      <c r="AD64">
        <v>0.21095286048763601</v>
      </c>
      <c r="AE64">
        <v>5.3857622845567299</v>
      </c>
    </row>
    <row r="65" spans="1:31" x14ac:dyDescent="0.2">
      <c r="A65">
        <v>64</v>
      </c>
      <c r="B65">
        <v>740</v>
      </c>
      <c r="C65">
        <v>225</v>
      </c>
      <c r="D65">
        <v>0.34405616147658602</v>
      </c>
      <c r="E65">
        <v>15.565769869677901</v>
      </c>
      <c r="F65">
        <v>2.2274613398355498</v>
      </c>
      <c r="G65">
        <v>-253.17924675998952</v>
      </c>
      <c r="H65">
        <v>-213.33696138942693</v>
      </c>
      <c r="I65">
        <v>39.325159522837303</v>
      </c>
      <c r="J65">
        <v>21.0276412799602</v>
      </c>
      <c r="K65">
        <v>6.9881212263047097</v>
      </c>
      <c r="L65">
        <v>1.4592820601145708E-4</v>
      </c>
      <c r="M65">
        <v>1.7242743557636912E-5</v>
      </c>
      <c r="N65" s="1">
        <v>4.89467396301685E-7</v>
      </c>
      <c r="O65" s="1">
        <v>1.35044969481951E-8</v>
      </c>
      <c r="P65" s="1">
        <v>-6.81020959433142E-8</v>
      </c>
      <c r="Q65">
        <v>70.411777676727297</v>
      </c>
      <c r="R65">
        <v>0.16625606686444599</v>
      </c>
      <c r="S65">
        <v>14.553431451208301</v>
      </c>
      <c r="T65">
        <v>0.21117190747697101</v>
      </c>
      <c r="V65">
        <v>0.51376093073631202</v>
      </c>
      <c r="W65">
        <v>0.17170629991388101</v>
      </c>
      <c r="X65">
        <v>0.15541456098485401</v>
      </c>
      <c r="AA65">
        <v>0.78974005458542995</v>
      </c>
      <c r="AB65">
        <v>2.4497571830399099</v>
      </c>
      <c r="AC65">
        <v>4.9516850534439802</v>
      </c>
      <c r="AD65">
        <v>0.25697411907552598</v>
      </c>
      <c r="AE65">
        <v>5.3683246959429898</v>
      </c>
    </row>
    <row r="66" spans="1:31" x14ac:dyDescent="0.2">
      <c r="A66">
        <v>65</v>
      </c>
      <c r="B66">
        <v>738</v>
      </c>
      <c r="C66">
        <v>225</v>
      </c>
      <c r="D66">
        <v>0.34262028383523802</v>
      </c>
      <c r="E66">
        <v>13.4488539929872</v>
      </c>
      <c r="F66">
        <v>2.2304077431388101</v>
      </c>
      <c r="G66">
        <v>-218.74437374717164</v>
      </c>
      <c r="H66">
        <v>-184.46171747114516</v>
      </c>
      <c r="I66">
        <v>33.904619765639602</v>
      </c>
      <c r="J66">
        <v>18.1835335188923</v>
      </c>
      <c r="K66">
        <v>6.02977371933836</v>
      </c>
      <c r="L66">
        <v>1.4570034317766149E-4</v>
      </c>
      <c r="M66">
        <v>1.7237218727024141E-5</v>
      </c>
      <c r="N66" s="1">
        <v>4.2292663318083302E-7</v>
      </c>
      <c r="O66" s="1">
        <v>1.1624049790150001E-8</v>
      </c>
      <c r="P66" s="1">
        <v>-5.8437832563552801E-8</v>
      </c>
      <c r="Q66">
        <v>70.079357080995607</v>
      </c>
      <c r="R66">
        <v>0.16529118529140399</v>
      </c>
      <c r="S66">
        <v>14.950512728209301</v>
      </c>
      <c r="T66">
        <v>0.20569956579231</v>
      </c>
      <c r="V66">
        <v>0.50343216187804896</v>
      </c>
      <c r="W66">
        <v>0.19787548637692401</v>
      </c>
      <c r="X66">
        <v>0.153699136236257</v>
      </c>
      <c r="AA66">
        <v>0.80800135372914395</v>
      </c>
      <c r="AB66">
        <v>2.3196006723560201</v>
      </c>
      <c r="AC66">
        <v>4.9625785147372303</v>
      </c>
      <c r="AD66">
        <v>0.29742311144715899</v>
      </c>
      <c r="AE66">
        <v>5.3565290029504498</v>
      </c>
    </row>
    <row r="67" spans="1:31" x14ac:dyDescent="0.2">
      <c r="A67">
        <v>66</v>
      </c>
      <c r="B67">
        <v>736</v>
      </c>
      <c r="C67">
        <v>225</v>
      </c>
      <c r="D67">
        <v>0.34117871475994799</v>
      </c>
      <c r="E67">
        <v>11.9738462502111</v>
      </c>
      <c r="F67">
        <v>2.2330732833720202</v>
      </c>
      <c r="G67">
        <v>-194.74979230142804</v>
      </c>
      <c r="H67">
        <v>-164.34663036409299</v>
      </c>
      <c r="I67">
        <v>30.127495354838299</v>
      </c>
      <c r="J67">
        <v>16.2024772808543</v>
      </c>
      <c r="K67">
        <v>5.3620480525073404</v>
      </c>
      <c r="L67">
        <v>1.4553834003325951E-4</v>
      </c>
      <c r="M67">
        <v>1.7234873677905197E-5</v>
      </c>
      <c r="N67" s="1">
        <v>3.7683192910394701E-7</v>
      </c>
      <c r="O67" s="1">
        <v>1.03171836517825E-8</v>
      </c>
      <c r="P67" s="1">
        <v>-5.1732846308915299E-8</v>
      </c>
      <c r="Q67">
        <v>69.773127844843003</v>
      </c>
      <c r="R67">
        <v>0.164090215536002</v>
      </c>
      <c r="S67">
        <v>15.311612277586701</v>
      </c>
      <c r="T67">
        <v>0.20081009948468501</v>
      </c>
      <c r="V67">
        <v>0.49383996970733501</v>
      </c>
      <c r="W67">
        <v>0.22137426741104099</v>
      </c>
      <c r="X67">
        <v>0.15196805175876299</v>
      </c>
      <c r="AA67">
        <v>0.82580733687988706</v>
      </c>
      <c r="AB67">
        <v>2.2077399126497101</v>
      </c>
      <c r="AC67">
        <v>4.9669943806635004</v>
      </c>
      <c r="AD67">
        <v>0.33406141321728799</v>
      </c>
      <c r="AE67">
        <v>5.3485742302619599</v>
      </c>
    </row>
    <row r="68" spans="1:31" x14ac:dyDescent="0.2">
      <c r="A68">
        <v>67</v>
      </c>
      <c r="B68">
        <v>734</v>
      </c>
      <c r="C68">
        <v>225</v>
      </c>
      <c r="D68">
        <v>0.33973142034453802</v>
      </c>
      <c r="E68">
        <v>10.872498329277899</v>
      </c>
      <c r="F68">
        <v>2.2355320592966201</v>
      </c>
      <c r="G68">
        <v>-176.83265945889596</v>
      </c>
      <c r="H68">
        <v>-149.33038362414536</v>
      </c>
      <c r="I68">
        <v>27.307030566202201</v>
      </c>
      <c r="J68">
        <v>14.7237388876491</v>
      </c>
      <c r="K68">
        <v>4.8634947032245996</v>
      </c>
      <c r="L68">
        <v>1.4542477334906551E-4</v>
      </c>
      <c r="M68">
        <v>1.7234872935914218E-5</v>
      </c>
      <c r="N68" s="1">
        <v>3.4261365245526801E-7</v>
      </c>
      <c r="O68" s="1">
        <v>9.3438744284398795E-9</v>
      </c>
      <c r="P68" s="1">
        <v>-4.6747837938602702E-8</v>
      </c>
      <c r="Q68">
        <v>69.486300046747203</v>
      </c>
      <c r="R68">
        <v>0.16272021412906301</v>
      </c>
      <c r="S68">
        <v>15.6459876502005</v>
      </c>
      <c r="T68">
        <v>0.196355632036669</v>
      </c>
      <c r="V68">
        <v>0.48480858554518202</v>
      </c>
      <c r="W68">
        <v>0.242902732308311</v>
      </c>
      <c r="X68">
        <v>0.150226208659302</v>
      </c>
      <c r="AA68">
        <v>0.843345636204196</v>
      </c>
      <c r="AB68">
        <v>2.10935361783898</v>
      </c>
      <c r="AC68">
        <v>4.9666478664210203</v>
      </c>
      <c r="AD68">
        <v>0.367900723352589</v>
      </c>
      <c r="AE68">
        <v>5.3434510865567999</v>
      </c>
    </row>
    <row r="69" spans="1:31" x14ac:dyDescent="0.2">
      <c r="A69">
        <v>68</v>
      </c>
      <c r="B69">
        <v>760</v>
      </c>
      <c r="C69">
        <v>200</v>
      </c>
      <c r="D69">
        <v>0.38472680636887402</v>
      </c>
      <c r="E69">
        <v>105.405745987977</v>
      </c>
      <c r="F69">
        <v>2.2039070796208899</v>
      </c>
      <c r="G69">
        <v>-1719.4131169510417</v>
      </c>
      <c r="H69">
        <v>-1441.0480530836423</v>
      </c>
      <c r="I69">
        <v>269.43334836896702</v>
      </c>
      <c r="J69">
        <v>141.618855052047</v>
      </c>
      <c r="K69">
        <v>47.826765004134899</v>
      </c>
      <c r="L69">
        <v>1.4476117446679329E-4</v>
      </c>
      <c r="M69">
        <v>1.7469086674996798E-5</v>
      </c>
      <c r="N69" s="1">
        <v>3.17707302585824E-6</v>
      </c>
      <c r="O69" s="1">
        <v>9.2431788140536995E-8</v>
      </c>
      <c r="P69" s="1">
        <v>-4.6957915691190599E-7</v>
      </c>
      <c r="Q69">
        <v>72.832841587952899</v>
      </c>
      <c r="R69">
        <v>9.1076628793035394E-2</v>
      </c>
      <c r="S69">
        <v>12.295344887060301</v>
      </c>
      <c r="T69">
        <v>0.240570932212539</v>
      </c>
      <c r="V69">
        <v>0.57096497927071399</v>
      </c>
      <c r="W69">
        <v>2.5615301848040999E-2</v>
      </c>
      <c r="X69">
        <v>0.113845785991295</v>
      </c>
      <c r="AA69">
        <v>0.74948475777601697</v>
      </c>
      <c r="AB69">
        <v>3.3679378355757699</v>
      </c>
      <c r="AC69">
        <v>4.4494728024930303</v>
      </c>
      <c r="AD69">
        <v>3.7948595330430497E-2</v>
      </c>
      <c r="AE69">
        <v>5.22489590569581</v>
      </c>
    </row>
    <row r="70" spans="1:31" x14ac:dyDescent="0.2">
      <c r="A70">
        <v>69</v>
      </c>
      <c r="B70">
        <v>758</v>
      </c>
      <c r="C70">
        <v>200</v>
      </c>
      <c r="D70">
        <v>0.383397662803666</v>
      </c>
      <c r="E70">
        <v>105.045304058884</v>
      </c>
      <c r="F70">
        <v>2.2048214082858499</v>
      </c>
      <c r="G70">
        <v>-1712.8887807525493</v>
      </c>
      <c r="H70">
        <v>-1436.257832781567</v>
      </c>
      <c r="I70">
        <v>268.27420644036403</v>
      </c>
      <c r="J70">
        <v>141.142776881863</v>
      </c>
      <c r="K70">
        <v>47.643452510084202</v>
      </c>
      <c r="L70">
        <v>1.4479737348639803E-4</v>
      </c>
      <c r="M70">
        <v>1.7453003895490915E-5</v>
      </c>
      <c r="N70" s="1">
        <v>3.1741668861797001E-6</v>
      </c>
      <c r="O70" s="1">
        <v>9.1995015239085703E-8</v>
      </c>
      <c r="P70" s="1">
        <v>-4.6834633669034401E-7</v>
      </c>
      <c r="Q70">
        <v>72.756340232421195</v>
      </c>
      <c r="R70">
        <v>9.1389140009711406E-2</v>
      </c>
      <c r="S70">
        <v>12.3375339013129</v>
      </c>
      <c r="T70">
        <v>0.24228846871978399</v>
      </c>
      <c r="V70">
        <v>0.57212144090292905</v>
      </c>
      <c r="W70">
        <v>2.5703195627730598E-2</v>
      </c>
      <c r="X70">
        <v>0.114236425012144</v>
      </c>
      <c r="AA70">
        <v>0.75205646466323905</v>
      </c>
      <c r="AB70">
        <v>3.3794942399423902</v>
      </c>
      <c r="AC70">
        <v>4.4647402775575999</v>
      </c>
      <c r="AD70">
        <v>3.8078808337376598E-2</v>
      </c>
      <c r="AE70">
        <v>5.2260174054929198</v>
      </c>
    </row>
    <row r="71" spans="1:31" x14ac:dyDescent="0.2">
      <c r="A71">
        <v>70</v>
      </c>
      <c r="B71">
        <v>756</v>
      </c>
      <c r="C71">
        <v>200</v>
      </c>
      <c r="D71">
        <v>0.38206335325268598</v>
      </c>
      <c r="E71">
        <v>103.30100636599801</v>
      </c>
      <c r="F71">
        <v>2.2061783013632099</v>
      </c>
      <c r="G71">
        <v>-1683.3710052261026</v>
      </c>
      <c r="H71">
        <v>-1412.2358279352302</v>
      </c>
      <c r="I71">
        <v>263.45545089721799</v>
      </c>
      <c r="J71">
        <v>138.76926257237</v>
      </c>
      <c r="K71">
        <v>46.823507557013002</v>
      </c>
      <c r="L71">
        <v>1.4461926866216532E-4</v>
      </c>
      <c r="M71">
        <v>1.7413703395497475E-5</v>
      </c>
      <c r="N71" s="1">
        <v>3.12118997615437E-6</v>
      </c>
      <c r="O71" s="1">
        <v>9.0135522402026302E-8</v>
      </c>
      <c r="P71" s="1">
        <v>-4.5998797040925998E-7</v>
      </c>
      <c r="Q71">
        <v>72.677689020924007</v>
      </c>
      <c r="R71">
        <v>9.2932298897331303E-2</v>
      </c>
      <c r="S71">
        <v>12.3720978510087</v>
      </c>
      <c r="T71">
        <v>0.2473015669824</v>
      </c>
      <c r="V71">
        <v>0.58095249443391805</v>
      </c>
      <c r="W71">
        <v>2.61372090648734E-2</v>
      </c>
      <c r="X71">
        <v>0.11616537362167099</v>
      </c>
      <c r="AA71">
        <v>0.73967356842339105</v>
      </c>
      <c r="AB71">
        <v>3.3664783516192101</v>
      </c>
      <c r="AC71">
        <v>4.52823882369972</v>
      </c>
      <c r="AD71">
        <v>3.8721791207216798E-2</v>
      </c>
      <c r="AE71">
        <v>5.2136116501174499</v>
      </c>
    </row>
    <row r="72" spans="1:31" x14ac:dyDescent="0.2">
      <c r="A72">
        <v>71</v>
      </c>
      <c r="B72">
        <v>754</v>
      </c>
      <c r="C72">
        <v>200</v>
      </c>
      <c r="D72">
        <v>0.38072384753930699</v>
      </c>
      <c r="E72">
        <v>99.753189428970103</v>
      </c>
      <c r="F72">
        <v>2.20816796041554</v>
      </c>
      <c r="G72">
        <v>-1623.937991620119</v>
      </c>
      <c r="H72">
        <v>-1363.179543724118</v>
      </c>
      <c r="I72">
        <v>253.86598636615901</v>
      </c>
      <c r="J72">
        <v>133.91828104891599</v>
      </c>
      <c r="K72">
        <v>45.174638531662197</v>
      </c>
      <c r="L72">
        <v>1.4410561187398865E-4</v>
      </c>
      <c r="M72">
        <v>1.7341449608792886E-5</v>
      </c>
      <c r="N72" s="1">
        <v>3.00223747225341E-6</v>
      </c>
      <c r="O72" s="1">
        <v>8.6418694745367503E-8</v>
      </c>
      <c r="P72" s="1">
        <v>-4.4215413505645098E-7</v>
      </c>
      <c r="Q72">
        <v>72.608089146897001</v>
      </c>
      <c r="R72">
        <v>9.6237524383477505E-2</v>
      </c>
      <c r="S72">
        <v>12.389954798110301</v>
      </c>
      <c r="T72">
        <v>0.25702486386819601</v>
      </c>
      <c r="V72">
        <v>0.60077979351076105</v>
      </c>
      <c r="W72">
        <v>2.7066803732851599E-2</v>
      </c>
      <c r="X72">
        <v>0.12029690547935699</v>
      </c>
      <c r="AA72">
        <v>0.70993784450789499</v>
      </c>
      <c r="AB72">
        <v>3.3140751676296998</v>
      </c>
      <c r="AC72">
        <v>4.65501765800835</v>
      </c>
      <c r="AD72">
        <v>4.0098968493108803E-2</v>
      </c>
      <c r="AE72">
        <v>5.1814205253789201</v>
      </c>
    </row>
    <row r="73" spans="1:31" x14ac:dyDescent="0.2">
      <c r="A73">
        <v>72</v>
      </c>
      <c r="B73">
        <v>752</v>
      </c>
      <c r="C73">
        <v>200</v>
      </c>
      <c r="D73">
        <v>0.37937911525142798</v>
      </c>
      <c r="E73">
        <v>96.059414482695402</v>
      </c>
      <c r="F73">
        <v>2.21031457512969</v>
      </c>
      <c r="G73">
        <v>-1562.1805931397867</v>
      </c>
      <c r="H73">
        <v>-1312.1283482356998</v>
      </c>
      <c r="I73">
        <v>243.917714387247</v>
      </c>
      <c r="J73">
        <v>128.874499137237</v>
      </c>
      <c r="K73">
        <v>43.459612293901202</v>
      </c>
      <c r="L73">
        <v>1.435508257176052E-4</v>
      </c>
      <c r="M73">
        <v>1.7265446834602605E-5</v>
      </c>
      <c r="N73" s="1">
        <v>2.8782872188932801E-6</v>
      </c>
      <c r="O73" s="1">
        <v>8.2585332737092499E-8</v>
      </c>
      <c r="P73" s="1">
        <v>-4.2359730808375201E-7</v>
      </c>
      <c r="Q73">
        <v>72.534631129646101</v>
      </c>
      <c r="R73">
        <v>9.9938148193997198E-2</v>
      </c>
      <c r="S73">
        <v>12.4090909113874</v>
      </c>
      <c r="T73">
        <v>0.26784318637743998</v>
      </c>
      <c r="V73">
        <v>0.62304032448660995</v>
      </c>
      <c r="W73">
        <v>2.8107604179559698E-2</v>
      </c>
      <c r="X73">
        <v>0.124922685242511</v>
      </c>
      <c r="AA73">
        <v>0.68426078412880598</v>
      </c>
      <c r="AB73">
        <v>3.2535270755937802</v>
      </c>
      <c r="AC73">
        <v>4.7862290446704003</v>
      </c>
      <c r="AD73">
        <v>4.1640895080822499E-2</v>
      </c>
      <c r="AE73">
        <v>5.14676821101245</v>
      </c>
    </row>
    <row r="74" spans="1:31" x14ac:dyDescent="0.2">
      <c r="A74">
        <v>73</v>
      </c>
      <c r="B74">
        <v>750</v>
      </c>
      <c r="C74">
        <v>200</v>
      </c>
      <c r="D74">
        <v>0.37802912573913899</v>
      </c>
      <c r="E74">
        <v>38.316445561192502</v>
      </c>
      <c r="F74">
        <v>2.2162783812371001</v>
      </c>
      <c r="G74">
        <v>-623.12141900252482</v>
      </c>
      <c r="H74">
        <v>-524.0357090139496</v>
      </c>
      <c r="I74">
        <v>96.843776561183901</v>
      </c>
      <c r="J74">
        <v>51.448108100315999</v>
      </c>
      <c r="K74">
        <v>17.2886429275209</v>
      </c>
      <c r="L74">
        <v>1.4219759546164315E-4</v>
      </c>
      <c r="M74">
        <v>1.7169833581431909E-5</v>
      </c>
      <c r="N74" s="1">
        <v>1.13380848318309E-6</v>
      </c>
      <c r="O74" s="1">
        <v>3.2437284041606701E-8</v>
      </c>
      <c r="P74" s="1">
        <v>-1.6523458299559599E-7</v>
      </c>
      <c r="Q74">
        <v>72.061079179412303</v>
      </c>
      <c r="R74">
        <v>0.14471698452378301</v>
      </c>
      <c r="S74">
        <v>13.0063737314891</v>
      </c>
      <c r="T74">
        <v>0.23928640463154499</v>
      </c>
      <c r="V74">
        <v>0.56346342430247298</v>
      </c>
      <c r="W74">
        <v>7.0465826369187801E-2</v>
      </c>
      <c r="X74">
        <v>0.163812677021972</v>
      </c>
      <c r="AA74">
        <v>0.728101505407726</v>
      </c>
      <c r="AB74">
        <v>2.91920377120839</v>
      </c>
      <c r="AC74">
        <v>4.9279465568045699</v>
      </c>
      <c r="AD74">
        <v>0.104393816843164</v>
      </c>
      <c r="AE74">
        <v>5.0711561219856902</v>
      </c>
    </row>
    <row r="75" spans="1:31" x14ac:dyDescent="0.2">
      <c r="A75">
        <v>74</v>
      </c>
      <c r="B75">
        <v>748</v>
      </c>
      <c r="C75">
        <v>200</v>
      </c>
      <c r="D75">
        <v>0.37667384811242399</v>
      </c>
      <c r="E75">
        <v>24.073323648813801</v>
      </c>
      <c r="F75">
        <v>2.22111831833872</v>
      </c>
      <c r="G75">
        <v>-391.51223876500626</v>
      </c>
      <c r="H75">
        <v>-329.59843779059975</v>
      </c>
      <c r="I75">
        <v>60.6314458937536</v>
      </c>
      <c r="J75">
        <v>32.3564260641486</v>
      </c>
      <c r="K75">
        <v>10.838379680205099</v>
      </c>
      <c r="L75">
        <v>1.4142741892022163E-4</v>
      </c>
      <c r="M75">
        <v>1.7129487482507243E-5</v>
      </c>
      <c r="N75" s="1">
        <v>7.0796925705034595E-7</v>
      </c>
      <c r="O75" s="1">
        <v>2.0186130093174099E-8</v>
      </c>
      <c r="P75" s="1">
        <v>-1.0216856242507499E-7</v>
      </c>
      <c r="Q75">
        <v>71.581587317994405</v>
      </c>
      <c r="R75">
        <v>0.17171393429497001</v>
      </c>
      <c r="S75">
        <v>13.603389193335</v>
      </c>
      <c r="T75">
        <v>0.22267659178210999</v>
      </c>
      <c r="V75">
        <v>0.53071487841649201</v>
      </c>
      <c r="W75">
        <v>0.112157342267622</v>
      </c>
      <c r="X75">
        <v>0.16768011496851501</v>
      </c>
      <c r="AA75">
        <v>0.75417805183771003</v>
      </c>
      <c r="AB75">
        <v>2.6645594869267502</v>
      </c>
      <c r="AC75">
        <v>4.9966064385160003</v>
      </c>
      <c r="AD75">
        <v>0.16615902558149701</v>
      </c>
      <c r="AE75">
        <v>5.0285776240788396</v>
      </c>
    </row>
    <row r="76" spans="1:31" x14ac:dyDescent="0.2">
      <c r="A76">
        <v>75</v>
      </c>
      <c r="B76">
        <v>746</v>
      </c>
      <c r="C76">
        <v>200</v>
      </c>
      <c r="D76">
        <v>0.37531325123877901</v>
      </c>
      <c r="E76">
        <v>18.560393659937301</v>
      </c>
      <c r="F76">
        <v>2.2248937795104098</v>
      </c>
      <c r="G76">
        <v>-301.85778020580102</v>
      </c>
      <c r="H76">
        <v>-254.34594752214406</v>
      </c>
      <c r="I76">
        <v>46.619077352359199</v>
      </c>
      <c r="J76">
        <v>24.969661505642598</v>
      </c>
      <c r="K76">
        <v>8.3421482098896504</v>
      </c>
      <c r="L76">
        <v>1.4095960550858537E-4</v>
      </c>
      <c r="M76">
        <v>1.7108044980443611E-5</v>
      </c>
      <c r="N76" s="1">
        <v>5.4431296173519096E-7</v>
      </c>
      <c r="O76" s="1">
        <v>1.5464251064525801E-8</v>
      </c>
      <c r="P76" s="1">
        <v>-7.7902681576481995E-8</v>
      </c>
      <c r="Q76">
        <v>71.184620311480799</v>
      </c>
      <c r="R76">
        <v>0.18696309676963199</v>
      </c>
      <c r="S76">
        <v>14.0859397130896</v>
      </c>
      <c r="T76">
        <v>0.21183211486615999</v>
      </c>
      <c r="V76">
        <v>0.50925530177865097</v>
      </c>
      <c r="W76">
        <v>0.14547105247164799</v>
      </c>
      <c r="X76">
        <v>0.169085813862382</v>
      </c>
      <c r="AA76">
        <v>0.77367699818397195</v>
      </c>
      <c r="AB76">
        <v>2.48084533389284</v>
      </c>
      <c r="AC76">
        <v>5.0336322074933602</v>
      </c>
      <c r="AD76">
        <v>0.215512670328141</v>
      </c>
      <c r="AE76">
        <v>5.0031653857827401</v>
      </c>
    </row>
    <row r="77" spans="1:31" x14ac:dyDescent="0.2">
      <c r="A77">
        <v>76</v>
      </c>
      <c r="B77">
        <v>744</v>
      </c>
      <c r="C77">
        <v>200</v>
      </c>
      <c r="D77">
        <v>0.373947303740848</v>
      </c>
      <c r="E77">
        <v>15.388641556884201</v>
      </c>
      <c r="F77">
        <v>2.22801762801575</v>
      </c>
      <c r="G77">
        <v>-250.26926649494618</v>
      </c>
      <c r="H77">
        <v>-211.04308399117016</v>
      </c>
      <c r="I77">
        <v>38.5647962481207</v>
      </c>
      <c r="J77">
        <v>20.721697929145201</v>
      </c>
      <c r="K77">
        <v>6.90687603337732</v>
      </c>
      <c r="L77">
        <v>1.4068876905104288E-4</v>
      </c>
      <c r="M77">
        <v>1.7102361824871839E-5</v>
      </c>
      <c r="N77" s="1">
        <v>4.5114791168145898E-7</v>
      </c>
      <c r="O77" s="1">
        <v>1.2769277496947699E-8</v>
      </c>
      <c r="P77" s="1">
        <v>-6.4083821354558799E-8</v>
      </c>
      <c r="Q77">
        <v>70.824272827883405</v>
      </c>
      <c r="R77">
        <v>0.179001398897847</v>
      </c>
      <c r="S77">
        <v>14.521303333767101</v>
      </c>
      <c r="T77">
        <v>0.20746842818161801</v>
      </c>
      <c r="V77">
        <v>0.50243858186642198</v>
      </c>
      <c r="W77">
        <v>0.17412992853067899</v>
      </c>
      <c r="X77">
        <v>0.16596819148422701</v>
      </c>
      <c r="AA77">
        <v>0.79211509516565004</v>
      </c>
      <c r="AB77">
        <v>2.3327218975211101</v>
      </c>
      <c r="AC77">
        <v>5.0504155243575299</v>
      </c>
      <c r="AD77">
        <v>0.25993197549032099</v>
      </c>
      <c r="AE77">
        <v>4.9902328168539496</v>
      </c>
    </row>
    <row r="78" spans="1:31" x14ac:dyDescent="0.2">
      <c r="A78">
        <v>77</v>
      </c>
      <c r="B78">
        <v>742</v>
      </c>
      <c r="C78">
        <v>200</v>
      </c>
      <c r="D78">
        <v>0.37257597399398801</v>
      </c>
      <c r="E78">
        <v>13.400562357030999</v>
      </c>
      <c r="F78">
        <v>2.230802391119</v>
      </c>
      <c r="G78">
        <v>-217.93292540484848</v>
      </c>
      <c r="H78">
        <v>-183.91126910601602</v>
      </c>
      <c r="I78">
        <v>33.513920404701203</v>
      </c>
      <c r="J78">
        <v>18.059767306506799</v>
      </c>
      <c r="K78">
        <v>6.0070593479636498</v>
      </c>
      <c r="L78">
        <v>1.4048321276142781E-4</v>
      </c>
      <c r="M78">
        <v>1.709808499940023E-5</v>
      </c>
      <c r="N78" s="1">
        <v>3.92978610150144E-7</v>
      </c>
      <c r="O78" s="1">
        <v>1.10808105341166E-8</v>
      </c>
      <c r="P78" s="1">
        <v>-5.5437923007935099E-8</v>
      </c>
      <c r="Q78">
        <v>70.503880015516302</v>
      </c>
      <c r="R78">
        <v>0.177854645147523</v>
      </c>
      <c r="S78">
        <v>14.902088296311801</v>
      </c>
      <c r="T78">
        <v>0.202233438536744</v>
      </c>
      <c r="V78">
        <v>0.49250251241812998</v>
      </c>
      <c r="W78">
        <v>0.19910195244394999</v>
      </c>
      <c r="X78">
        <v>0.16423478040143799</v>
      </c>
      <c r="AA78">
        <v>0.809243225034049</v>
      </c>
      <c r="AB78">
        <v>2.2100039601919601</v>
      </c>
      <c r="AC78">
        <v>5.0599073027780799</v>
      </c>
      <c r="AD78">
        <v>0.29849493576615699</v>
      </c>
      <c r="AE78">
        <v>4.9804549354537997</v>
      </c>
    </row>
    <row r="79" spans="1:31" x14ac:dyDescent="0.2">
      <c r="A79">
        <v>78</v>
      </c>
      <c r="B79">
        <v>740</v>
      </c>
      <c r="C79">
        <v>200</v>
      </c>
      <c r="D79">
        <v>0.37119923012387401</v>
      </c>
      <c r="E79">
        <v>11.9908498285101</v>
      </c>
      <c r="F79">
        <v>2.2333352130722299</v>
      </c>
      <c r="G79">
        <v>-195.0025334362193</v>
      </c>
      <c r="H79">
        <v>-164.67688562608444</v>
      </c>
      <c r="I79">
        <v>29.932041464871801</v>
      </c>
      <c r="J79">
        <v>16.172805147306999</v>
      </c>
      <c r="K79">
        <v>5.36903271767037</v>
      </c>
      <c r="L79">
        <v>1.403351516988317E-4</v>
      </c>
      <c r="M79">
        <v>1.7096630113306558E-5</v>
      </c>
      <c r="N79" s="1">
        <v>3.5196573856410101E-7</v>
      </c>
      <c r="O79" s="1">
        <v>9.8864985674638599E-9</v>
      </c>
      <c r="P79" s="1">
        <v>-4.9332373217476501E-8</v>
      </c>
      <c r="Q79">
        <v>70.207899597979903</v>
      </c>
      <c r="R79">
        <v>0.176480042670833</v>
      </c>
      <c r="S79">
        <v>15.249984943565901</v>
      </c>
      <c r="T79">
        <v>0.197531192261552</v>
      </c>
      <c r="V79">
        <v>0.48324223614961198</v>
      </c>
      <c r="W79">
        <v>0.22162739971613499</v>
      </c>
      <c r="X79">
        <v>0.16248623096593601</v>
      </c>
      <c r="AA79">
        <v>0.82590013288755304</v>
      </c>
      <c r="AB79">
        <v>2.1041465088348099</v>
      </c>
      <c r="AC79">
        <v>5.0632175548099703</v>
      </c>
      <c r="AD79">
        <v>0.333587698720199</v>
      </c>
      <c r="AE79">
        <v>4.9738964614374499</v>
      </c>
    </row>
    <row r="80" spans="1:31" x14ac:dyDescent="0.2">
      <c r="A80">
        <v>79</v>
      </c>
      <c r="B80">
        <v>738</v>
      </c>
      <c r="C80">
        <v>200</v>
      </c>
      <c r="D80">
        <v>0.36981704000395799</v>
      </c>
      <c r="E80">
        <v>10.926112385277801</v>
      </c>
      <c r="F80">
        <v>2.2356809525558199</v>
      </c>
      <c r="G80">
        <v>-177.68249050626213</v>
      </c>
      <c r="H80">
        <v>-150.15254947950075</v>
      </c>
      <c r="I80">
        <v>27.2263670343286</v>
      </c>
      <c r="J80">
        <v>14.748018698050601</v>
      </c>
      <c r="K80">
        <v>4.8871518866711199</v>
      </c>
      <c r="L80">
        <v>1.4022954226921997E-4</v>
      </c>
      <c r="M80">
        <v>1.7097249169582664E-5</v>
      </c>
      <c r="N80" s="1">
        <v>3.2116341525693601E-7</v>
      </c>
      <c r="O80" s="1">
        <v>8.9866171949296195E-9</v>
      </c>
      <c r="P80" s="1">
        <v>-4.4739615044504198E-8</v>
      </c>
      <c r="Q80">
        <v>69.930241123230601</v>
      </c>
      <c r="R80">
        <v>0.17494279835774801</v>
      </c>
      <c r="S80">
        <v>15.573138922775399</v>
      </c>
      <c r="T80">
        <v>0.19323033458572</v>
      </c>
      <c r="V80">
        <v>0.47449986549251999</v>
      </c>
      <c r="W80">
        <v>0.242321682091138</v>
      </c>
      <c r="X80">
        <v>0.160727167184159</v>
      </c>
      <c r="AA80">
        <v>0.84230207447738903</v>
      </c>
      <c r="AB80">
        <v>2.01080668415542</v>
      </c>
      <c r="AC80">
        <v>5.0619718600048396</v>
      </c>
      <c r="AD80">
        <v>0.36609544721336701</v>
      </c>
      <c r="AE80">
        <v>4.9697220404315301</v>
      </c>
    </row>
    <row r="81" spans="1:31" x14ac:dyDescent="0.2">
      <c r="A81">
        <v>80</v>
      </c>
      <c r="B81">
        <v>766</v>
      </c>
      <c r="C81">
        <v>175</v>
      </c>
      <c r="D81">
        <v>0.41514747630275201</v>
      </c>
      <c r="E81">
        <v>105.007031441121</v>
      </c>
      <c r="F81">
        <v>2.20428857605999</v>
      </c>
      <c r="G81">
        <v>-1713.483296036135</v>
      </c>
      <c r="H81">
        <v>-1436.2057261505163</v>
      </c>
      <c r="I81">
        <v>266.831131102938</v>
      </c>
      <c r="J81">
        <v>140.76418970147699</v>
      </c>
      <c r="K81">
        <v>47.637606337739101</v>
      </c>
      <c r="L81">
        <v>1.3993739318912251E-4</v>
      </c>
      <c r="M81">
        <v>1.7329191881203244E-5</v>
      </c>
      <c r="N81" s="1">
        <v>2.94910499389255E-6</v>
      </c>
      <c r="O81" s="1">
        <v>8.8254249516263703E-8</v>
      </c>
      <c r="P81" s="1">
        <v>-4.4616690319550401E-7</v>
      </c>
      <c r="Q81">
        <v>73.1093898631663</v>
      </c>
      <c r="R81">
        <v>9.1422449223153499E-2</v>
      </c>
      <c r="S81">
        <v>12.3420306451263</v>
      </c>
      <c r="T81">
        <v>0.24215899629535001</v>
      </c>
      <c r="V81">
        <v>0.57252592752418996</v>
      </c>
      <c r="W81">
        <v>2.5712563844011601E-2</v>
      </c>
      <c r="X81">
        <v>0.114278061528943</v>
      </c>
      <c r="AA81">
        <v>0.75233057173219697</v>
      </c>
      <c r="AB81">
        <v>3.3807259868978399</v>
      </c>
      <c r="AC81">
        <v>4.46636757142275</v>
      </c>
      <c r="AD81">
        <v>3.8092687176312902E-2</v>
      </c>
      <c r="AE81">
        <v>4.8649646760624998</v>
      </c>
    </row>
    <row r="82" spans="1:31" x14ac:dyDescent="0.2">
      <c r="A82">
        <v>81</v>
      </c>
      <c r="B82">
        <v>764</v>
      </c>
      <c r="C82">
        <v>175</v>
      </c>
      <c r="D82">
        <v>0.41388468398978101</v>
      </c>
      <c r="E82">
        <v>104.691661193082</v>
      </c>
      <c r="F82">
        <v>2.2049615427365699</v>
      </c>
      <c r="G82">
        <v>-1707.6935388627373</v>
      </c>
      <c r="H82">
        <v>-1432.1389886984819</v>
      </c>
      <c r="I82">
        <v>265.68437561033102</v>
      </c>
      <c r="J82">
        <v>140.281706311026</v>
      </c>
      <c r="K82">
        <v>47.480039521754897</v>
      </c>
      <c r="L82">
        <v>1.3968376444526326E-4</v>
      </c>
      <c r="M82">
        <v>1.730542967279633E-5</v>
      </c>
      <c r="N82" s="1">
        <v>2.9430056577213101E-6</v>
      </c>
      <c r="O82" s="1">
        <v>8.7750752922808306E-8</v>
      </c>
      <c r="P82" s="1">
        <v>-4.4385903898768998E-7</v>
      </c>
      <c r="Q82">
        <v>73.149510594092206</v>
      </c>
      <c r="R82">
        <v>9.1697847666155602E-2</v>
      </c>
      <c r="S82">
        <v>12.3173135519511</v>
      </c>
      <c r="T82">
        <v>0.243574688041861</v>
      </c>
      <c r="V82">
        <v>0.57363312154025703</v>
      </c>
      <c r="W82">
        <v>2.5790019656105799E-2</v>
      </c>
      <c r="X82">
        <v>0.11462230958269699</v>
      </c>
      <c r="AA82">
        <v>0.74555879812122905</v>
      </c>
      <c r="AB82">
        <v>3.3659176572879699</v>
      </c>
      <c r="AC82">
        <v>4.47580434372012</v>
      </c>
      <c r="AD82">
        <v>3.82074365275629E-2</v>
      </c>
      <c r="AE82">
        <v>4.8583696318125904</v>
      </c>
    </row>
    <row r="83" spans="1:31" x14ac:dyDescent="0.2">
      <c r="A83">
        <v>82</v>
      </c>
      <c r="B83">
        <v>762</v>
      </c>
      <c r="C83">
        <v>175</v>
      </c>
      <c r="D83">
        <v>0.41261701202724399</v>
      </c>
      <c r="E83">
        <v>102.544827180813</v>
      </c>
      <c r="F83">
        <v>2.2062463462187201</v>
      </c>
      <c r="G83">
        <v>-1671.4782661362267</v>
      </c>
      <c r="H83">
        <v>-1402.586487615006</v>
      </c>
      <c r="I83">
        <v>259.76117328041403</v>
      </c>
      <c r="J83">
        <v>137.31427756771399</v>
      </c>
      <c r="K83">
        <v>46.479318756296003</v>
      </c>
      <c r="L83">
        <v>1.3923857973929238E-4</v>
      </c>
      <c r="M83">
        <v>1.7254344188890843E-5</v>
      </c>
      <c r="N83" s="1">
        <v>2.8767554935450301E-6</v>
      </c>
      <c r="O83" s="1">
        <v>8.5487065971482999E-8</v>
      </c>
      <c r="P83" s="1">
        <v>-4.32977634041743E-7</v>
      </c>
      <c r="Q83">
        <v>73.158635460533404</v>
      </c>
      <c r="R83">
        <v>9.3617594021322401E-2</v>
      </c>
      <c r="S83">
        <v>12.297857693152199</v>
      </c>
      <c r="T83">
        <v>0.24942867826901</v>
      </c>
      <c r="V83">
        <v>0.58496344370201403</v>
      </c>
      <c r="W83">
        <v>2.6329948318496301E-2</v>
      </c>
      <c r="X83">
        <v>0.117021992526657</v>
      </c>
      <c r="AA83">
        <v>0.72256647396940599</v>
      </c>
      <c r="AB83">
        <v>3.32344707782647</v>
      </c>
      <c r="AC83">
        <v>4.5497829972260302</v>
      </c>
      <c r="AD83">
        <v>3.9007330842214999E-2</v>
      </c>
      <c r="AE83">
        <v>4.8373413096127003</v>
      </c>
    </row>
    <row r="84" spans="1:31" x14ac:dyDescent="0.2">
      <c r="A84">
        <v>83</v>
      </c>
      <c r="B84">
        <v>760</v>
      </c>
      <c r="C84">
        <v>175</v>
      </c>
      <c r="D84">
        <v>0.41134443207665999</v>
      </c>
      <c r="E84">
        <v>99.051734599158806</v>
      </c>
      <c r="F84">
        <v>2.2081570215836002</v>
      </c>
      <c r="G84">
        <v>-1612.9667853878411</v>
      </c>
      <c r="H84">
        <v>-1354.267381647333</v>
      </c>
      <c r="I84">
        <v>250.398687257907</v>
      </c>
      <c r="J84">
        <v>132.55800203719801</v>
      </c>
      <c r="K84">
        <v>44.857197033987497</v>
      </c>
      <c r="L84">
        <v>1.3878669149459033E-4</v>
      </c>
      <c r="M84">
        <v>1.7186358910245739E-5</v>
      </c>
      <c r="N84" s="1">
        <v>2.7686918829918801E-6</v>
      </c>
      <c r="O84" s="1">
        <v>8.2012336292235705E-8</v>
      </c>
      <c r="P84" s="1">
        <v>-4.1646677458818499E-7</v>
      </c>
      <c r="Q84">
        <v>73.085674767670298</v>
      </c>
      <c r="R84">
        <v>9.6919049816232297E-2</v>
      </c>
      <c r="S84">
        <v>12.316172470542201</v>
      </c>
      <c r="T84">
        <v>0.25913181324564799</v>
      </c>
      <c r="V84">
        <v>0.60477629256463605</v>
      </c>
      <c r="W84">
        <v>2.7258482760814599E-2</v>
      </c>
      <c r="X84">
        <v>0.121148812270297</v>
      </c>
      <c r="AA84">
        <v>0.69555766767046101</v>
      </c>
      <c r="AB84">
        <v>3.26971736180626</v>
      </c>
      <c r="AC84">
        <v>4.6744423557837802</v>
      </c>
      <c r="AD84">
        <v>4.0382937423425802E-2</v>
      </c>
      <c r="AE84">
        <v>4.8088179884458899</v>
      </c>
    </row>
    <row r="85" spans="1:31" x14ac:dyDescent="0.2">
      <c r="A85">
        <v>84</v>
      </c>
      <c r="B85">
        <v>758</v>
      </c>
      <c r="C85">
        <v>175</v>
      </c>
      <c r="D85">
        <v>0.41006691557969399</v>
      </c>
      <c r="E85">
        <v>95.428019436565904</v>
      </c>
      <c r="F85">
        <v>2.2102096881068598</v>
      </c>
      <c r="G85">
        <v>-1552.3825699514052</v>
      </c>
      <c r="H85">
        <v>-1304.1637178820145</v>
      </c>
      <c r="I85">
        <v>240.72041125868299</v>
      </c>
      <c r="J85">
        <v>127.630366076367</v>
      </c>
      <c r="K85">
        <v>43.176002688823502</v>
      </c>
      <c r="L85">
        <v>1.3830147536865971E-4</v>
      </c>
      <c r="M85">
        <v>1.7115212864900942E-5</v>
      </c>
      <c r="N85" s="1">
        <v>2.65653407961752E-6</v>
      </c>
      <c r="O85" s="1">
        <v>7.8441263161410104E-8</v>
      </c>
      <c r="P85" s="1">
        <v>-3.99349095528681E-7</v>
      </c>
      <c r="Q85">
        <v>73.008601096920898</v>
      </c>
      <c r="R85">
        <v>0.100599384296994</v>
      </c>
      <c r="S85">
        <v>12.335823946987</v>
      </c>
      <c r="T85">
        <v>0.26988547151974301</v>
      </c>
      <c r="V85">
        <v>0.62691959096776095</v>
      </c>
      <c r="W85">
        <v>2.82935768335284E-2</v>
      </c>
      <c r="X85">
        <v>0.12574923037125399</v>
      </c>
      <c r="AA85">
        <v>0.67242249509417495</v>
      </c>
      <c r="AB85">
        <v>3.2085639574631899</v>
      </c>
      <c r="AC85">
        <v>4.8028985962932902</v>
      </c>
      <c r="AD85">
        <v>4.1916410123740602E-2</v>
      </c>
      <c r="AE85">
        <v>4.7783262431282099</v>
      </c>
    </row>
    <row r="86" spans="1:31" x14ac:dyDescent="0.2">
      <c r="A86">
        <v>85</v>
      </c>
      <c r="B86">
        <v>756</v>
      </c>
      <c r="C86">
        <v>175</v>
      </c>
      <c r="D86">
        <v>0.40878443375601398</v>
      </c>
      <c r="E86">
        <v>54.172418167601201</v>
      </c>
      <c r="F86">
        <v>2.21441157193851</v>
      </c>
      <c r="G86">
        <v>-880.92779525017204</v>
      </c>
      <c r="H86">
        <v>-740.81625329007875</v>
      </c>
      <c r="I86">
        <v>136.14297426040201</v>
      </c>
      <c r="J86">
        <v>72.467181624069099</v>
      </c>
      <c r="K86">
        <v>24.463572559900499</v>
      </c>
      <c r="L86">
        <v>1.3721096445809157E-4</v>
      </c>
      <c r="M86">
        <v>1.7015144779171357E-5</v>
      </c>
      <c r="N86" s="1">
        <v>1.49263218006098E-6</v>
      </c>
      <c r="O86" s="1">
        <v>4.3948168963958201E-8</v>
      </c>
      <c r="P86" s="1">
        <v>-2.23149298461463E-7</v>
      </c>
      <c r="Q86">
        <v>72.739655755158594</v>
      </c>
      <c r="R86">
        <v>0.12592012083468901</v>
      </c>
      <c r="S86">
        <v>12.6458168953666</v>
      </c>
      <c r="T86">
        <v>0.25116029170717402</v>
      </c>
      <c r="V86">
        <v>0.58563562645267098</v>
      </c>
      <c r="W86">
        <v>4.9840861665915302E-2</v>
      </c>
      <c r="X86">
        <v>0.16968783303687901</v>
      </c>
      <c r="AA86">
        <v>0.70440165887142703</v>
      </c>
      <c r="AB86">
        <v>2.97438568333415</v>
      </c>
      <c r="AC86">
        <v>4.9609428719717998</v>
      </c>
      <c r="AD86">
        <v>7.3838313579081702E-2</v>
      </c>
      <c r="AE86">
        <v>4.71871408802091</v>
      </c>
    </row>
    <row r="87" spans="1:31" x14ac:dyDescent="0.2">
      <c r="A87">
        <v>86</v>
      </c>
      <c r="B87">
        <v>754</v>
      </c>
      <c r="C87">
        <v>175</v>
      </c>
      <c r="D87">
        <v>0.40749695760112897</v>
      </c>
      <c r="E87">
        <v>28.6474922943179</v>
      </c>
      <c r="F87">
        <v>2.21981230097074</v>
      </c>
      <c r="G87">
        <v>-465.8710437010148</v>
      </c>
      <c r="H87">
        <v>-392.21632498829484</v>
      </c>
      <c r="I87">
        <v>71.707850569751102</v>
      </c>
      <c r="J87">
        <v>38.360194122783298</v>
      </c>
      <c r="K87">
        <v>12.905366945570099</v>
      </c>
      <c r="L87">
        <v>1.3623541794856273E-4</v>
      </c>
      <c r="M87">
        <v>1.6957325367404166E-5</v>
      </c>
      <c r="N87" s="1">
        <v>7.8240568330425697E-7</v>
      </c>
      <c r="O87" s="1">
        <v>2.29651099392243E-8</v>
      </c>
      <c r="P87" s="1">
        <v>-1.1572780796317E-7</v>
      </c>
      <c r="Q87">
        <v>72.226172616135003</v>
      </c>
      <c r="R87">
        <v>0.16455382754593001</v>
      </c>
      <c r="S87">
        <v>13.2838826626956</v>
      </c>
      <c r="T87">
        <v>0.229568069403743</v>
      </c>
      <c r="V87">
        <v>0.54253083368448696</v>
      </c>
      <c r="W87">
        <v>9.4249087224110906E-2</v>
      </c>
      <c r="X87">
        <v>0.17587690195994601</v>
      </c>
      <c r="AA87">
        <v>0.744606673493034</v>
      </c>
      <c r="AB87">
        <v>2.66962610248462</v>
      </c>
      <c r="AC87">
        <v>5.0626092953965998</v>
      </c>
      <c r="AD87">
        <v>0.139628277368923</v>
      </c>
      <c r="AE87">
        <v>4.6666956526079604</v>
      </c>
    </row>
    <row r="88" spans="1:31" x14ac:dyDescent="0.2">
      <c r="A88">
        <v>87</v>
      </c>
      <c r="B88">
        <v>752</v>
      </c>
      <c r="C88">
        <v>175</v>
      </c>
      <c r="D88">
        <v>0.406204457884214</v>
      </c>
      <c r="E88">
        <v>20.912499170463899</v>
      </c>
      <c r="F88">
        <v>2.2237734153394699</v>
      </c>
      <c r="G88">
        <v>-340.08888161893356</v>
      </c>
      <c r="H88">
        <v>-286.58073105359614</v>
      </c>
      <c r="I88">
        <v>52.195435365885501</v>
      </c>
      <c r="J88">
        <v>28.029138083439101</v>
      </c>
      <c r="K88">
        <v>9.4040602456214994</v>
      </c>
      <c r="L88">
        <v>1.3570454288778933E-4</v>
      </c>
      <c r="M88">
        <v>1.6931168126719924E-5</v>
      </c>
      <c r="N88" s="1">
        <v>5.6904095361100296E-7</v>
      </c>
      <c r="O88" s="1">
        <v>1.6644668700770102E-8</v>
      </c>
      <c r="P88" s="1">
        <v>-8.3428607165341204E-8</v>
      </c>
      <c r="Q88">
        <v>71.810144896056499</v>
      </c>
      <c r="R88">
        <v>0.18425726597164299</v>
      </c>
      <c r="S88">
        <v>13.788680416002</v>
      </c>
      <c r="T88">
        <v>0.216975403316748</v>
      </c>
      <c r="V88">
        <v>0.51765550648435099</v>
      </c>
      <c r="W88">
        <v>0.12910938946085199</v>
      </c>
      <c r="X88">
        <v>0.17809151634443199</v>
      </c>
      <c r="AA88">
        <v>0.76630484972368795</v>
      </c>
      <c r="AB88">
        <v>2.4669632833850201</v>
      </c>
      <c r="AC88">
        <v>5.1116025801165001</v>
      </c>
      <c r="AD88">
        <v>0.19127316957145299</v>
      </c>
      <c r="AE88">
        <v>4.6389417235667096</v>
      </c>
    </row>
    <row r="89" spans="1:31" x14ac:dyDescent="0.2">
      <c r="A89">
        <v>88</v>
      </c>
      <c r="B89">
        <v>750</v>
      </c>
      <c r="C89">
        <v>175</v>
      </c>
      <c r="D89">
        <v>0.40490690514587502</v>
      </c>
      <c r="E89">
        <v>17.0384742109811</v>
      </c>
      <c r="F89">
        <v>2.2270559801593399</v>
      </c>
      <c r="G89">
        <v>-277.08721710148677</v>
      </c>
      <c r="H89">
        <v>-233.68084193228975</v>
      </c>
      <c r="I89">
        <v>42.424253696131501</v>
      </c>
      <c r="J89">
        <v>22.856663431020198</v>
      </c>
      <c r="K89">
        <v>7.6506717221190002</v>
      </c>
      <c r="L89">
        <v>1.3535375230236437E-4</v>
      </c>
      <c r="M89">
        <v>1.6916346714813176E-5</v>
      </c>
      <c r="N89" s="1">
        <v>4.6288495920013003E-7</v>
      </c>
      <c r="O89" s="1">
        <v>1.3490853576068999E-8</v>
      </c>
      <c r="P89" s="1">
        <v>-6.7337298295862294E-8</v>
      </c>
      <c r="Q89">
        <v>71.450968467453393</v>
      </c>
      <c r="R89">
        <v>0.197103009135807</v>
      </c>
      <c r="S89">
        <v>14.2176458942326</v>
      </c>
      <c r="T89">
        <v>0.20770986232276001</v>
      </c>
      <c r="V89">
        <v>0.499121230421602</v>
      </c>
      <c r="W89">
        <v>0.158464893426838</v>
      </c>
      <c r="X89">
        <v>0.17895477844885299</v>
      </c>
      <c r="AA89">
        <v>0.78379118602579201</v>
      </c>
      <c r="AB89">
        <v>2.3108476102170501</v>
      </c>
      <c r="AC89">
        <v>5.1395538121558797</v>
      </c>
      <c r="AD89">
        <v>0.23476280507654501</v>
      </c>
      <c r="AE89">
        <v>4.6210764510827902</v>
      </c>
    </row>
    <row r="90" spans="1:31" x14ac:dyDescent="0.2">
      <c r="A90">
        <v>89</v>
      </c>
      <c r="B90">
        <v>748</v>
      </c>
      <c r="C90">
        <v>175</v>
      </c>
      <c r="D90">
        <v>0.40360426969593199</v>
      </c>
      <c r="E90">
        <v>14.5678589841808</v>
      </c>
      <c r="F90">
        <v>2.2298639061205501</v>
      </c>
      <c r="G90">
        <v>-236.90448486033853</v>
      </c>
      <c r="H90">
        <v>-199.9417748542856</v>
      </c>
      <c r="I90">
        <v>36.197140484799398</v>
      </c>
      <c r="J90">
        <v>19.559191524941902</v>
      </c>
      <c r="K90">
        <v>6.5330708946832097</v>
      </c>
      <c r="L90">
        <v>1.3513305303632897E-4</v>
      </c>
      <c r="M90">
        <v>1.6912346890757659E-5</v>
      </c>
      <c r="N90" s="1">
        <v>3.9582617631321798E-7</v>
      </c>
      <c r="O90" s="1">
        <v>1.14934480401917E-8</v>
      </c>
      <c r="P90" s="1">
        <v>-5.7166569965253001E-8</v>
      </c>
      <c r="Q90">
        <v>71.121429978593099</v>
      </c>
      <c r="R90">
        <v>0.193102127654111</v>
      </c>
      <c r="S90">
        <v>14.6112220828731</v>
      </c>
      <c r="T90">
        <v>0.20285060974875899</v>
      </c>
      <c r="V90">
        <v>0.49045780195389499</v>
      </c>
      <c r="W90">
        <v>0.184275475883453</v>
      </c>
      <c r="X90">
        <v>0.17667491709053601</v>
      </c>
      <c r="AA90">
        <v>0.80041644939499801</v>
      </c>
      <c r="AB90">
        <v>2.18127631609214</v>
      </c>
      <c r="AC90">
        <v>5.1523337691143398</v>
      </c>
      <c r="AD90">
        <v>0.27457706752491401</v>
      </c>
      <c r="AE90">
        <v>4.6113834040765402</v>
      </c>
    </row>
    <row r="91" spans="1:31" x14ac:dyDescent="0.2">
      <c r="A91">
        <v>90</v>
      </c>
      <c r="B91">
        <v>746</v>
      </c>
      <c r="C91">
        <v>175</v>
      </c>
      <c r="D91">
        <v>0.40229652161114798</v>
      </c>
      <c r="E91">
        <v>12.897697046935599</v>
      </c>
      <c r="F91">
        <v>2.23240067641298</v>
      </c>
      <c r="G91">
        <v>-209.73952335076365</v>
      </c>
      <c r="H91">
        <v>-177.1406799253115</v>
      </c>
      <c r="I91">
        <v>31.986305671836501</v>
      </c>
      <c r="J91">
        <v>17.330681551549599</v>
      </c>
      <c r="K91">
        <v>5.7775009581432304</v>
      </c>
      <c r="L91">
        <v>1.3496964866871396E-4</v>
      </c>
      <c r="M91">
        <v>1.6910518666719043E-5</v>
      </c>
      <c r="N91" s="1">
        <v>3.5071352408085101E-7</v>
      </c>
      <c r="O91" s="1">
        <v>1.01452621813124E-8</v>
      </c>
      <c r="P91" s="1">
        <v>-5.0311704187260098E-8</v>
      </c>
      <c r="Q91">
        <v>70.821703888399497</v>
      </c>
      <c r="R91">
        <v>0.191663768473602</v>
      </c>
      <c r="S91">
        <v>14.964698634845499</v>
      </c>
      <c r="T91">
        <v>0.19800765244603299</v>
      </c>
      <c r="V91">
        <v>0.481090297373232</v>
      </c>
      <c r="W91">
        <v>0.20726548487184701</v>
      </c>
      <c r="X91">
        <v>0.17491267379940101</v>
      </c>
      <c r="AA91">
        <v>0.81614201647217199</v>
      </c>
      <c r="AB91">
        <v>2.0715256494923899</v>
      </c>
      <c r="AC91">
        <v>5.1583127538045597</v>
      </c>
      <c r="AD91">
        <v>0.310132885385353</v>
      </c>
      <c r="AE91">
        <v>4.6045442946363098</v>
      </c>
    </row>
    <row r="92" spans="1:31" x14ac:dyDescent="0.2">
      <c r="A92">
        <v>91</v>
      </c>
      <c r="B92">
        <v>744</v>
      </c>
      <c r="C92">
        <v>175</v>
      </c>
      <c r="D92">
        <v>0.40098363073293403</v>
      </c>
      <c r="E92">
        <v>11.6674990254315</v>
      </c>
      <c r="F92">
        <v>2.2347340272118599</v>
      </c>
      <c r="G92">
        <v>-189.72940889005343</v>
      </c>
      <c r="H92">
        <v>-160.34981447669449</v>
      </c>
      <c r="I92">
        <v>28.884229871070001</v>
      </c>
      <c r="J92">
        <v>15.6896700176774</v>
      </c>
      <c r="K92">
        <v>5.2209788204587202</v>
      </c>
      <c r="L92">
        <v>1.3485112567663244E-4</v>
      </c>
      <c r="M92">
        <v>1.6910912843879478E-5</v>
      </c>
      <c r="N92" s="1">
        <v>3.17668686576156E-7</v>
      </c>
      <c r="O92" s="1">
        <v>9.1545462353356693E-9</v>
      </c>
      <c r="P92" s="1">
        <v>-4.52823242806669E-8</v>
      </c>
      <c r="Q92">
        <v>70.542558507441896</v>
      </c>
      <c r="R92">
        <v>0.190030813286515</v>
      </c>
      <c r="S92">
        <v>15.2909414660525</v>
      </c>
      <c r="T92">
        <v>0.19360720782319199</v>
      </c>
      <c r="V92">
        <v>0.47228958782251101</v>
      </c>
      <c r="W92">
        <v>0.22822398503977001</v>
      </c>
      <c r="X92">
        <v>0.17313843254414099</v>
      </c>
      <c r="AA92">
        <v>0.83149886881679402</v>
      </c>
      <c r="AB92">
        <v>1.9757579480982399</v>
      </c>
      <c r="AC92">
        <v>5.1590022039349899</v>
      </c>
      <c r="AD92">
        <v>0.34283268344594803</v>
      </c>
      <c r="AE92">
        <v>4.6001182956933802</v>
      </c>
    </row>
    <row r="93" spans="1:31" x14ac:dyDescent="0.2">
      <c r="A93">
        <v>92</v>
      </c>
      <c r="B93">
        <v>742</v>
      </c>
      <c r="C93">
        <v>175</v>
      </c>
      <c r="D93">
        <v>0.39966556666502401</v>
      </c>
      <c r="E93">
        <v>10.714006680198599</v>
      </c>
      <c r="F93">
        <v>2.2369124040453801</v>
      </c>
      <c r="G93">
        <v>-174.21919157915588</v>
      </c>
      <c r="H93">
        <v>-147.33854420816209</v>
      </c>
      <c r="I93">
        <v>26.479483200505999</v>
      </c>
      <c r="J93">
        <v>14.418101838644599</v>
      </c>
      <c r="K93">
        <v>4.78964069438869</v>
      </c>
      <c r="L93">
        <v>1.3476653032377779E-4</v>
      </c>
      <c r="M93">
        <v>1.6912970879133548E-5</v>
      </c>
      <c r="N93" s="1">
        <v>2.9219658492230102E-7</v>
      </c>
      <c r="O93" s="1">
        <v>8.3884047023601601E-9</v>
      </c>
      <c r="P93" s="1">
        <v>-4.1399183536937502E-8</v>
      </c>
      <c r="Q93">
        <v>70.279291713893898</v>
      </c>
      <c r="R93">
        <v>0.18825730093784199</v>
      </c>
      <c r="S93">
        <v>15.5961136950138</v>
      </c>
      <c r="T93">
        <v>0.18954907757094699</v>
      </c>
      <c r="V93">
        <v>0.46393414169658198</v>
      </c>
      <c r="W93">
        <v>0.24761712963515201</v>
      </c>
      <c r="X93">
        <v>0.17135572958030801</v>
      </c>
      <c r="AA93">
        <v>0.84667092695873403</v>
      </c>
      <c r="AB93">
        <v>1.89063589901812</v>
      </c>
      <c r="AC93">
        <v>5.1557092811986696</v>
      </c>
      <c r="AD93">
        <v>0.37334305637349602</v>
      </c>
      <c r="AE93">
        <v>4.5975220481222596</v>
      </c>
    </row>
    <row r="94" spans="1:31" x14ac:dyDescent="0.2">
      <c r="A94">
        <v>93</v>
      </c>
      <c r="B94">
        <v>776</v>
      </c>
      <c r="C94">
        <v>150</v>
      </c>
      <c r="D94">
        <v>0.447600915026452</v>
      </c>
      <c r="E94">
        <v>104.588005473376</v>
      </c>
      <c r="F94">
        <v>2.2048736489890599</v>
      </c>
      <c r="G94">
        <v>-1708.0966294777211</v>
      </c>
      <c r="H94">
        <v>-1430.5726148783181</v>
      </c>
      <c r="I94">
        <v>264.522722775011</v>
      </c>
      <c r="J94">
        <v>139.89376369761601</v>
      </c>
      <c r="K94">
        <v>47.434920146707597</v>
      </c>
      <c r="L94">
        <v>1.3449917033840332E-4</v>
      </c>
      <c r="M94">
        <v>1.7122562142405402E-5</v>
      </c>
      <c r="N94" s="1">
        <v>2.6967271290430301E-6</v>
      </c>
      <c r="O94" s="1">
        <v>8.36586870302983E-8</v>
      </c>
      <c r="P94" s="1">
        <v>-4.1831049264969198E-7</v>
      </c>
      <c r="Q94">
        <v>73.402298526067298</v>
      </c>
      <c r="R94">
        <v>9.1788728129477401E-2</v>
      </c>
      <c r="S94">
        <v>12.391478297480001</v>
      </c>
      <c r="T94">
        <v>0.24240926332706</v>
      </c>
      <c r="V94">
        <v>0.57546752087084796</v>
      </c>
      <c r="W94">
        <v>2.5815579786415199E-2</v>
      </c>
      <c r="X94">
        <v>0.114735910161848</v>
      </c>
      <c r="AA94">
        <v>0.75534474189881995</v>
      </c>
      <c r="AB94">
        <v>3.3942706756212702</v>
      </c>
      <c r="AC94">
        <v>4.4842618221587802</v>
      </c>
      <c r="AD94">
        <v>3.8245303387281201E-2</v>
      </c>
      <c r="AE94">
        <v>4.4838836311107002</v>
      </c>
    </row>
    <row r="95" spans="1:31" x14ac:dyDescent="0.2">
      <c r="A95">
        <v>94</v>
      </c>
      <c r="B95">
        <v>774</v>
      </c>
      <c r="C95">
        <v>150</v>
      </c>
      <c r="D95">
        <v>0.44641216635630598</v>
      </c>
      <c r="E95">
        <v>104.043353765277</v>
      </c>
      <c r="F95">
        <v>2.2054837087780101</v>
      </c>
      <c r="G95">
        <v>-1698.4973017785198</v>
      </c>
      <c r="H95">
        <v>-1423.339918176961</v>
      </c>
      <c r="I95">
        <v>262.76787814693</v>
      </c>
      <c r="J95">
        <v>139.085403979267</v>
      </c>
      <c r="K95">
        <v>47.174845749790002</v>
      </c>
      <c r="L95">
        <v>1.3417486409588722E-4</v>
      </c>
      <c r="M95">
        <v>1.7096028525839989E-5</v>
      </c>
      <c r="N95" s="1">
        <v>2.6836568726415699E-6</v>
      </c>
      <c r="O95" s="1">
        <v>8.2958147412902805E-8</v>
      </c>
      <c r="P95" s="1">
        <v>-4.1487834809989299E-7</v>
      </c>
      <c r="Q95">
        <v>73.470353287136803</v>
      </c>
      <c r="R95">
        <v>9.2269228668442393E-2</v>
      </c>
      <c r="S95">
        <v>12.3478654337989</v>
      </c>
      <c r="T95">
        <v>0.24429118773384501</v>
      </c>
      <c r="V95">
        <v>0.57792847214333298</v>
      </c>
      <c r="W95">
        <v>2.5950720562999002E-2</v>
      </c>
      <c r="X95">
        <v>0.115336535835556</v>
      </c>
      <c r="AA95">
        <v>0.74358129055518896</v>
      </c>
      <c r="AB95">
        <v>3.36812021818622</v>
      </c>
      <c r="AC95">
        <v>4.50066603492676</v>
      </c>
      <c r="AD95">
        <v>3.8445511945182399E-2</v>
      </c>
      <c r="AE95">
        <v>4.4751920785066304</v>
      </c>
    </row>
    <row r="96" spans="1:31" x14ac:dyDescent="0.2">
      <c r="A96">
        <v>95</v>
      </c>
      <c r="B96">
        <v>772</v>
      </c>
      <c r="C96">
        <v>150</v>
      </c>
      <c r="D96">
        <v>0.44521886810505501</v>
      </c>
      <c r="E96">
        <v>103.325448864446</v>
      </c>
      <c r="F96">
        <v>2.2061050062167702</v>
      </c>
      <c r="G96">
        <v>-1686.0233290892677</v>
      </c>
      <c r="H96">
        <v>-1413.7165867919746</v>
      </c>
      <c r="I96">
        <v>260.54321609079301</v>
      </c>
      <c r="J96">
        <v>138.029029242045</v>
      </c>
      <c r="K96">
        <v>46.836142691882998</v>
      </c>
      <c r="L96">
        <v>1.3376994841508467E-4</v>
      </c>
      <c r="M96">
        <v>1.7065198910304823E-5</v>
      </c>
      <c r="N96" s="1">
        <v>2.6643967296464701E-6</v>
      </c>
      <c r="O96" s="1">
        <v>8.2075897641412599E-8</v>
      </c>
      <c r="P96" s="1">
        <v>-4.1041436178640399E-7</v>
      </c>
      <c r="Q96">
        <v>73.560040947251096</v>
      </c>
      <c r="R96">
        <v>9.2910314985366393E-2</v>
      </c>
      <c r="S96">
        <v>12.2905036188307</v>
      </c>
      <c r="T96">
        <v>0.246569256712629</v>
      </c>
      <c r="V96">
        <v>0.58142136603970096</v>
      </c>
      <c r="W96">
        <v>2.6131026089633601E-2</v>
      </c>
      <c r="X96">
        <v>0.116137893731713</v>
      </c>
      <c r="AA96">
        <v>0.72882778372891499</v>
      </c>
      <c r="AB96">
        <v>3.3330320479445201</v>
      </c>
      <c r="AC96">
        <v>4.5220362011015203</v>
      </c>
      <c r="AD96">
        <v>3.8712631243899398E-2</v>
      </c>
      <c r="AE96">
        <v>4.4636769123402296</v>
      </c>
    </row>
    <row r="97" spans="1:31" x14ac:dyDescent="0.2">
      <c r="A97">
        <v>96</v>
      </c>
      <c r="B97">
        <v>770</v>
      </c>
      <c r="C97">
        <v>150</v>
      </c>
      <c r="D97">
        <v>0.44402099410439499</v>
      </c>
      <c r="E97">
        <v>102.60610897453201</v>
      </c>
      <c r="F97">
        <v>2.2067346620946302</v>
      </c>
      <c r="G97">
        <v>-1673.5372280095939</v>
      </c>
      <c r="H97">
        <v>-1404.0726258228503</v>
      </c>
      <c r="I97">
        <v>258.318173020892</v>
      </c>
      <c r="J97">
        <v>136.97174537553801</v>
      </c>
      <c r="K97">
        <v>46.496803959719699</v>
      </c>
      <c r="L97">
        <v>1.3336060215158135E-4</v>
      </c>
      <c r="M97">
        <v>1.7034228288538416E-5</v>
      </c>
      <c r="N97" s="1">
        <v>2.6449831181085401E-6</v>
      </c>
      <c r="O97" s="1">
        <v>8.1194632644112105E-8</v>
      </c>
      <c r="P97" s="1">
        <v>-4.0594146630674998E-7</v>
      </c>
      <c r="Q97">
        <v>73.649986443696605</v>
      </c>
      <c r="R97">
        <v>9.3561680644013601E-2</v>
      </c>
      <c r="S97">
        <v>12.233139073020499</v>
      </c>
      <c r="T97">
        <v>0.248884004115593</v>
      </c>
      <c r="V97">
        <v>0.58497012976148499</v>
      </c>
      <c r="W97">
        <v>2.6314222681127899E-2</v>
      </c>
      <c r="X97">
        <v>0.116952100805023</v>
      </c>
      <c r="AA97">
        <v>0.714869661412184</v>
      </c>
      <c r="AB97">
        <v>3.29720135350891</v>
      </c>
      <c r="AC97">
        <v>4.5431362387728997</v>
      </c>
      <c r="AD97">
        <v>3.89840336016683E-2</v>
      </c>
      <c r="AE97">
        <v>4.4520010579798601</v>
      </c>
    </row>
    <row r="98" spans="1:31" x14ac:dyDescent="0.2">
      <c r="A98">
        <v>97</v>
      </c>
      <c r="B98">
        <v>768</v>
      </c>
      <c r="C98">
        <v>150</v>
      </c>
      <c r="D98">
        <v>0.442818517984921</v>
      </c>
      <c r="E98">
        <v>99.514666349817006</v>
      </c>
      <c r="F98">
        <v>2.2083824967400099</v>
      </c>
      <c r="G98">
        <v>-1621.6785809249172</v>
      </c>
      <c r="H98">
        <v>-1361.3282987290727</v>
      </c>
      <c r="I98">
        <v>250.06030081721499</v>
      </c>
      <c r="J98">
        <v>132.769903216796</v>
      </c>
      <c r="K98">
        <v>45.062241933505398</v>
      </c>
      <c r="L98">
        <v>1.3298042863177435E-4</v>
      </c>
      <c r="M98">
        <v>1.6975851419583517E-5</v>
      </c>
      <c r="N98" s="1">
        <v>2.5580091682106301E-6</v>
      </c>
      <c r="O98" s="1">
        <v>7.8272977445721705E-8</v>
      </c>
      <c r="P98" s="1">
        <v>-3.92267096289403E-7</v>
      </c>
      <c r="Q98">
        <v>73.594100777926798</v>
      </c>
      <c r="R98">
        <v>9.6468192600414504E-2</v>
      </c>
      <c r="S98">
        <v>12.242665334175101</v>
      </c>
      <c r="T98">
        <v>0.25746112172444202</v>
      </c>
      <c r="V98">
        <v>0.60238156284689404</v>
      </c>
      <c r="W98">
        <v>2.7131679168865299E-2</v>
      </c>
      <c r="X98">
        <v>0.120585240750528</v>
      </c>
      <c r="AA98">
        <v>0.690921828673143</v>
      </c>
      <c r="AB98">
        <v>3.2462507786666399</v>
      </c>
      <c r="AC98">
        <v>4.65261824542163</v>
      </c>
      <c r="AD98">
        <v>4.0195080250166999E-2</v>
      </c>
      <c r="AE98">
        <v>4.4292201577952399</v>
      </c>
    </row>
    <row r="99" spans="1:31" x14ac:dyDescent="0.2">
      <c r="A99">
        <v>98</v>
      </c>
      <c r="B99">
        <v>766</v>
      </c>
      <c r="C99">
        <v>150</v>
      </c>
      <c r="D99">
        <v>0.44161141317423203</v>
      </c>
      <c r="E99">
        <v>96.0293552567597</v>
      </c>
      <c r="F99">
        <v>2.2102743622731502</v>
      </c>
      <c r="G99">
        <v>-1563.3611890660013</v>
      </c>
      <c r="H99">
        <v>-1313.1157624588423</v>
      </c>
      <c r="I99">
        <v>240.81742444032</v>
      </c>
      <c r="J99">
        <v>128.04839203925599</v>
      </c>
      <c r="K99">
        <v>43.446803209533797</v>
      </c>
      <c r="L99">
        <v>1.3258006799589823E-4</v>
      </c>
      <c r="M99">
        <v>1.6911532087254927E-5</v>
      </c>
      <c r="N99" s="1">
        <v>2.4597511096317499E-6</v>
      </c>
      <c r="O99" s="1">
        <v>7.5030156391776099E-8</v>
      </c>
      <c r="P99" s="1">
        <v>-3.7701643008145301E-7</v>
      </c>
      <c r="Q99">
        <v>73.515632108315401</v>
      </c>
      <c r="R99">
        <v>9.9969430955066496E-2</v>
      </c>
      <c r="S99">
        <v>12.2620797089108</v>
      </c>
      <c r="T99">
        <v>0.26769184455628098</v>
      </c>
      <c r="V99">
        <v>0.62344696906224195</v>
      </c>
      <c r="W99">
        <v>2.81164024561107E-2</v>
      </c>
      <c r="X99">
        <v>0.124961788693847</v>
      </c>
      <c r="AA99">
        <v>0.66892224693254498</v>
      </c>
      <c r="AB99">
        <v>3.1873507786327702</v>
      </c>
      <c r="AC99">
        <v>4.77656964738122</v>
      </c>
      <c r="AD99">
        <v>4.1653929564602801E-2</v>
      </c>
      <c r="AE99">
        <v>4.4036051445389397</v>
      </c>
    </row>
    <row r="100" spans="1:31" x14ac:dyDescent="0.2">
      <c r="A100">
        <v>99</v>
      </c>
      <c r="B100">
        <v>764</v>
      </c>
      <c r="C100">
        <v>150</v>
      </c>
      <c r="D100">
        <v>0.44039965289495597</v>
      </c>
      <c r="E100">
        <v>92.356278289059105</v>
      </c>
      <c r="F100">
        <v>2.2123169953334001</v>
      </c>
      <c r="G100">
        <v>-1502.0394137634196</v>
      </c>
      <c r="H100">
        <v>-1262.3333008015147</v>
      </c>
      <c r="I100">
        <v>231.12000478417201</v>
      </c>
      <c r="J100">
        <v>123.080510421749</v>
      </c>
      <c r="K100">
        <v>41.746403650052301</v>
      </c>
      <c r="L100">
        <v>1.3215223934741373E-4</v>
      </c>
      <c r="M100">
        <v>1.6844458023625104E-5</v>
      </c>
      <c r="N100" s="1">
        <v>2.35637523642245E-6</v>
      </c>
      <c r="O100" s="1">
        <v>7.1654076497221997E-8</v>
      </c>
      <c r="P100" s="1">
        <v>-3.6098290230923901E-7</v>
      </c>
      <c r="Q100">
        <v>73.431710584319205</v>
      </c>
      <c r="R100">
        <v>0.10394528859157599</v>
      </c>
      <c r="S100">
        <v>12.283139370318001</v>
      </c>
      <c r="T100">
        <v>0.279223164302559</v>
      </c>
      <c r="V100">
        <v>0.64744556306040202</v>
      </c>
      <c r="W100">
        <v>2.92346124163789E-2</v>
      </c>
      <c r="X100">
        <v>0.129931610739487</v>
      </c>
      <c r="AA100">
        <v>0.65102324552317004</v>
      </c>
      <c r="AB100">
        <v>3.1210025514129902</v>
      </c>
      <c r="AC100">
        <v>4.9036995009970097</v>
      </c>
      <c r="AD100">
        <v>4.3310536913147298E-2</v>
      </c>
      <c r="AE100">
        <v>4.37633397140588</v>
      </c>
    </row>
    <row r="101" spans="1:31" x14ac:dyDescent="0.2">
      <c r="A101">
        <v>100</v>
      </c>
      <c r="B101">
        <v>762</v>
      </c>
      <c r="C101">
        <v>150</v>
      </c>
      <c r="D101">
        <v>0.439183210162781</v>
      </c>
      <c r="E101">
        <v>46.735993854431598</v>
      </c>
      <c r="F101">
        <v>2.2170250969131402</v>
      </c>
      <c r="G101">
        <v>-760.02795548279357</v>
      </c>
      <c r="H101">
        <v>-639.45755453515187</v>
      </c>
      <c r="I101">
        <v>116.47626039476501</v>
      </c>
      <c r="J101">
        <v>62.317781609332798</v>
      </c>
      <c r="K101">
        <v>21.080498330625101</v>
      </c>
      <c r="L101">
        <v>1.3096483210829811E-4</v>
      </c>
      <c r="M101">
        <v>1.6743293671143154E-5</v>
      </c>
      <c r="N101" s="1">
        <v>1.1784560727384E-6</v>
      </c>
      <c r="O101" s="1">
        <v>3.5738369208596799E-8</v>
      </c>
      <c r="P101" s="1">
        <v>-1.7918188194768401E-7</v>
      </c>
      <c r="Q101">
        <v>73.0878979788572</v>
      </c>
      <c r="R101">
        <v>0.13637346847434501</v>
      </c>
      <c r="S101">
        <v>12.700587061674799</v>
      </c>
      <c r="T101">
        <v>0.24867476181253301</v>
      </c>
      <c r="V101">
        <v>0.58060806862248904</v>
      </c>
      <c r="W101">
        <v>5.7771318791451101E-2</v>
      </c>
      <c r="X101">
        <v>0.18156615430940001</v>
      </c>
      <c r="AA101">
        <v>0.71192791689693202</v>
      </c>
      <c r="AB101">
        <v>2.8222371623212101</v>
      </c>
      <c r="AC101">
        <v>5.0715006463265802</v>
      </c>
      <c r="AD101">
        <v>8.5587138950252994E-2</v>
      </c>
      <c r="AE101">
        <v>4.3152683229626403</v>
      </c>
    </row>
    <row r="102" spans="1:31" x14ac:dyDescent="0.2">
      <c r="A102">
        <v>101</v>
      </c>
      <c r="B102">
        <v>760</v>
      </c>
      <c r="C102">
        <v>150</v>
      </c>
      <c r="D102">
        <v>0.43796205778444602</v>
      </c>
      <c r="E102">
        <v>27.690192472465402</v>
      </c>
      <c r="F102">
        <v>2.2218073651803198</v>
      </c>
      <c r="G102">
        <v>-450.30637053928967</v>
      </c>
      <c r="H102">
        <v>-379.26202436935858</v>
      </c>
      <c r="I102">
        <v>68.764793272933403</v>
      </c>
      <c r="J102">
        <v>36.957248771112397</v>
      </c>
      <c r="K102">
        <v>12.4629132599072</v>
      </c>
      <c r="L102">
        <v>1.3016880524531295E-4</v>
      </c>
      <c r="M102">
        <v>1.6695817989122755E-5</v>
      </c>
      <c r="N102" s="1">
        <v>6.9320966715934205E-7</v>
      </c>
      <c r="O102" s="1">
        <v>2.0956741116145999E-8</v>
      </c>
      <c r="P102" s="1">
        <v>-1.04336566254873E-7</v>
      </c>
      <c r="Q102">
        <v>72.6142350171624</v>
      </c>
      <c r="R102">
        <v>0.17056046136491701</v>
      </c>
      <c r="S102">
        <v>13.2763825253114</v>
      </c>
      <c r="T102">
        <v>0.22977159329180399</v>
      </c>
      <c r="V102">
        <v>0.54282913554045797</v>
      </c>
      <c r="W102">
        <v>9.7507447905409106E-2</v>
      </c>
      <c r="X102">
        <v>0.186556688817099</v>
      </c>
      <c r="AA102">
        <v>0.74992399155966805</v>
      </c>
      <c r="AB102">
        <v>2.5494360811555499</v>
      </c>
      <c r="AC102">
        <v>5.1636949438098902</v>
      </c>
      <c r="AD102">
        <v>0.144455478378297</v>
      </c>
      <c r="AE102">
        <v>4.2746466357030402</v>
      </c>
    </row>
    <row r="103" spans="1:31" x14ac:dyDescent="0.2">
      <c r="A103">
        <v>102</v>
      </c>
      <c r="B103">
        <v>758</v>
      </c>
      <c r="C103">
        <v>150</v>
      </c>
      <c r="D103">
        <v>0.43673616835572199</v>
      </c>
      <c r="E103">
        <v>20.774169797086898</v>
      </c>
      <c r="F103">
        <v>2.22545871999246</v>
      </c>
      <c r="G103">
        <v>-337.83781330908522</v>
      </c>
      <c r="H103">
        <v>-284.78386275474571</v>
      </c>
      <c r="I103">
        <v>51.4512442945638</v>
      </c>
      <c r="J103">
        <v>27.751942205574899</v>
      </c>
      <c r="K103">
        <v>9.3347810096236206</v>
      </c>
      <c r="L103">
        <v>1.2971043700720522E-4</v>
      </c>
      <c r="M103">
        <v>1.667356404898645E-5</v>
      </c>
      <c r="N103" s="1">
        <v>5.1847312773634599E-7</v>
      </c>
      <c r="O103" s="1">
        <v>1.5620363787713701E-8</v>
      </c>
      <c r="P103" s="1">
        <v>-7.7360978223382705E-8</v>
      </c>
      <c r="Q103">
        <v>72.219533069031797</v>
      </c>
      <c r="R103">
        <v>0.189865932953762</v>
      </c>
      <c r="S103">
        <v>13.7490130416575</v>
      </c>
      <c r="T103">
        <v>0.21778979668576701</v>
      </c>
      <c r="V103">
        <v>0.51901051391629205</v>
      </c>
      <c r="W103">
        <v>0.12996909269405199</v>
      </c>
      <c r="X103">
        <v>0.18856928461525499</v>
      </c>
      <c r="AA103">
        <v>0.77088108971755898</v>
      </c>
      <c r="AB103">
        <v>2.3604530453732702</v>
      </c>
      <c r="AC103">
        <v>5.2104777584827104</v>
      </c>
      <c r="AD103">
        <v>0.19254680399105001</v>
      </c>
      <c r="AE103">
        <v>4.2518905708808497</v>
      </c>
    </row>
    <row r="104" spans="1:31" x14ac:dyDescent="0.2">
      <c r="A104">
        <v>103</v>
      </c>
      <c r="B104">
        <v>756</v>
      </c>
      <c r="C104">
        <v>150</v>
      </c>
      <c r="D104">
        <v>0.43550551425934297</v>
      </c>
      <c r="E104">
        <v>17.114939496095701</v>
      </c>
      <c r="F104">
        <v>2.2285261385198898</v>
      </c>
      <c r="G104">
        <v>-278.32803848343383</v>
      </c>
      <c r="H104">
        <v>-234.80306265681523</v>
      </c>
      <c r="I104">
        <v>42.292159380672103</v>
      </c>
      <c r="J104">
        <v>22.883024952744901</v>
      </c>
      <c r="K104">
        <v>7.6799366183170799</v>
      </c>
      <c r="L104">
        <v>1.2940305747393891E-4</v>
      </c>
      <c r="M104">
        <v>1.6661272848026777E-5</v>
      </c>
      <c r="N104" s="1">
        <v>4.2662849187506803E-7</v>
      </c>
      <c r="O104" s="1">
        <v>1.2807468105347799E-8</v>
      </c>
      <c r="P104" s="1">
        <v>-6.3163165863085E-8</v>
      </c>
      <c r="Q104">
        <v>71.875000505374203</v>
      </c>
      <c r="R104">
        <v>0.20289587148003299</v>
      </c>
      <c r="S104">
        <v>14.156699750656699</v>
      </c>
      <c r="T104">
        <v>0.20875199840542499</v>
      </c>
      <c r="V104">
        <v>0.50081822786466301</v>
      </c>
      <c r="W104">
        <v>0.157756911767959</v>
      </c>
      <c r="X104">
        <v>0.189391373652506</v>
      </c>
      <c r="AA104">
        <v>0.78734820210631595</v>
      </c>
      <c r="AB104">
        <v>2.21309078283991</v>
      </c>
      <c r="AC104">
        <v>5.2373796156203403</v>
      </c>
      <c r="AD104">
        <v>0.23371394335975601</v>
      </c>
      <c r="AE104">
        <v>4.23715281687213</v>
      </c>
    </row>
    <row r="105" spans="1:31" x14ac:dyDescent="0.2">
      <c r="A105">
        <v>104</v>
      </c>
      <c r="B105">
        <v>754</v>
      </c>
      <c r="C105">
        <v>150</v>
      </c>
      <c r="D105">
        <v>0.43427006766295001</v>
      </c>
      <c r="E105">
        <v>14.802080674563401</v>
      </c>
      <c r="F105">
        <v>2.2312316374410499</v>
      </c>
      <c r="G105">
        <v>-240.71158473058512</v>
      </c>
      <c r="H105">
        <v>-203.21763903675736</v>
      </c>
      <c r="I105">
        <v>36.502892171374903</v>
      </c>
      <c r="J105">
        <v>19.806465761664501</v>
      </c>
      <c r="K105">
        <v>6.6340403327821198</v>
      </c>
      <c r="L105">
        <v>1.2918322634335796E-4</v>
      </c>
      <c r="M105">
        <v>1.6654365869617135E-5</v>
      </c>
      <c r="N105" s="1">
        <v>3.6892626983586098E-7</v>
      </c>
      <c r="O105" s="1">
        <v>1.10349202933873E-8</v>
      </c>
      <c r="P105" s="1">
        <v>-5.4229655560411598E-8</v>
      </c>
      <c r="Q105">
        <v>71.5641232220528</v>
      </c>
      <c r="R105">
        <v>0.212592909748582</v>
      </c>
      <c r="S105">
        <v>14.5208891582263</v>
      </c>
      <c r="T105">
        <v>0.20133656292434701</v>
      </c>
      <c r="V105">
        <v>0.48562329476763499</v>
      </c>
      <c r="W105">
        <v>0.18240678856988199</v>
      </c>
      <c r="X105">
        <v>0.18960417371233601</v>
      </c>
      <c r="AA105">
        <v>0.80209943621256896</v>
      </c>
      <c r="AB105">
        <v>2.0911912400218098</v>
      </c>
      <c r="AC105">
        <v>5.2528372049355498</v>
      </c>
      <c r="AD105">
        <v>0.27023227936255001</v>
      </c>
      <c r="AE105">
        <v>4.2270637294656002</v>
      </c>
    </row>
    <row r="106" spans="1:31" x14ac:dyDescent="0.2">
      <c r="A106">
        <v>105</v>
      </c>
      <c r="B106">
        <v>752</v>
      </c>
      <c r="C106">
        <v>150</v>
      </c>
      <c r="D106">
        <v>0.43302980051699702</v>
      </c>
      <c r="E106">
        <v>13.1292201730448</v>
      </c>
      <c r="F106">
        <v>2.2336248536485299</v>
      </c>
      <c r="G106">
        <v>-213.50228927407349</v>
      </c>
      <c r="H106">
        <v>-180.37131613059483</v>
      </c>
      <c r="I106">
        <v>32.318171139324598</v>
      </c>
      <c r="J106">
        <v>17.5819043371914</v>
      </c>
      <c r="K106">
        <v>5.8779880388592503</v>
      </c>
      <c r="L106">
        <v>1.2903944915906886E-4</v>
      </c>
      <c r="M106">
        <v>1.665454657543018E-5</v>
      </c>
      <c r="N106" s="1">
        <v>3.27570354706547E-7</v>
      </c>
      <c r="O106" s="1">
        <v>9.7613729327077805E-9</v>
      </c>
      <c r="P106" s="1">
        <v>-4.7823242038676698E-8</v>
      </c>
      <c r="Q106">
        <v>71.272976437636103</v>
      </c>
      <c r="R106">
        <v>0.20903705877331699</v>
      </c>
      <c r="S106">
        <v>14.8643486300122</v>
      </c>
      <c r="T106">
        <v>0.19695497385732599</v>
      </c>
      <c r="V106">
        <v>0.47731703405989301</v>
      </c>
      <c r="W106">
        <v>0.20460348946689599</v>
      </c>
      <c r="X106">
        <v>0.18747073793014701</v>
      </c>
      <c r="AA106">
        <v>0.81668434476270602</v>
      </c>
      <c r="AB106">
        <v>1.98597880710632</v>
      </c>
      <c r="AC106">
        <v>5.2580233569539701</v>
      </c>
      <c r="AD106">
        <v>0.30466394403276598</v>
      </c>
      <c r="AE106">
        <v>4.2219411854082001</v>
      </c>
    </row>
    <row r="107" spans="1:31" x14ac:dyDescent="0.2">
      <c r="A107">
        <v>106</v>
      </c>
      <c r="B107">
        <v>750</v>
      </c>
      <c r="C107">
        <v>150</v>
      </c>
      <c r="D107">
        <v>0.43178468455260599</v>
      </c>
      <c r="E107">
        <v>11.8980697103427</v>
      </c>
      <c r="F107">
        <v>2.2358388724221099</v>
      </c>
      <c r="G107">
        <v>-193.47643473943097</v>
      </c>
      <c r="H107">
        <v>-163.56217990434703</v>
      </c>
      <c r="I107">
        <v>29.2374088208805</v>
      </c>
      <c r="J107">
        <v>15.945137477663099</v>
      </c>
      <c r="K107">
        <v>5.3215237721730002</v>
      </c>
      <c r="L107">
        <v>1.2893286363092118E-4</v>
      </c>
      <c r="M107">
        <v>1.6656120428807912E-5</v>
      </c>
      <c r="N107" s="1">
        <v>2.9728228624300301E-7</v>
      </c>
      <c r="O107" s="1">
        <v>8.8255533704565304E-9</v>
      </c>
      <c r="P107" s="1">
        <v>-4.3122506510139598E-8</v>
      </c>
      <c r="Q107">
        <v>71.002492198573094</v>
      </c>
      <c r="R107">
        <v>0.20718642811648999</v>
      </c>
      <c r="S107">
        <v>15.180216946741</v>
      </c>
      <c r="T107">
        <v>0.19264418964779401</v>
      </c>
      <c r="V107">
        <v>0.46867513460938598</v>
      </c>
      <c r="W107">
        <v>0.224875584002309</v>
      </c>
      <c r="X107">
        <v>0.18566641082461999</v>
      </c>
      <c r="AA107">
        <v>0.83079112766079399</v>
      </c>
      <c r="AB107">
        <v>1.89427769540033</v>
      </c>
      <c r="AC107">
        <v>5.2584103781190104</v>
      </c>
      <c r="AD107">
        <v>0.33618898673259201</v>
      </c>
      <c r="AE107">
        <v>4.2185749195725304</v>
      </c>
    </row>
    <row r="108" spans="1:31" x14ac:dyDescent="0.2">
      <c r="A108">
        <v>107</v>
      </c>
      <c r="B108">
        <v>748</v>
      </c>
      <c r="C108">
        <v>150</v>
      </c>
      <c r="D108">
        <v>0.43053469127944</v>
      </c>
      <c r="E108">
        <v>10.939837578013201</v>
      </c>
      <c r="F108">
        <v>2.2379089319861998</v>
      </c>
      <c r="G108">
        <v>-177.88894417242696</v>
      </c>
      <c r="H108">
        <v>-150.48222302568848</v>
      </c>
      <c r="I108">
        <v>26.839074716484799</v>
      </c>
      <c r="J108">
        <v>14.6715151137654</v>
      </c>
      <c r="K108">
        <v>4.8884194623164703</v>
      </c>
      <c r="L108">
        <v>1.2885663529177313E-4</v>
      </c>
      <c r="M108">
        <v>1.6659187985321361E-5</v>
      </c>
      <c r="N108" s="1">
        <v>2.73835178579912E-7</v>
      </c>
      <c r="O108" s="1">
        <v>8.0987697810938107E-9</v>
      </c>
      <c r="P108" s="1">
        <v>-3.9477355841762901E-8</v>
      </c>
      <c r="Q108">
        <v>70.747362299828296</v>
      </c>
      <c r="R108">
        <v>0.20519614153084001</v>
      </c>
      <c r="S108">
        <v>15.476078430900399</v>
      </c>
      <c r="T108">
        <v>0.18866063660805399</v>
      </c>
      <c r="V108">
        <v>0.46046013373998901</v>
      </c>
      <c r="W108">
        <v>0.24364919179167499</v>
      </c>
      <c r="X108">
        <v>0.18385516913488401</v>
      </c>
      <c r="AA108">
        <v>0.84472442916563695</v>
      </c>
      <c r="AB108">
        <v>1.81273994307438</v>
      </c>
      <c r="AC108">
        <v>5.2548617030567204</v>
      </c>
      <c r="AD108">
        <v>0.36563614143893097</v>
      </c>
      <c r="AE108">
        <v>4.2167757797301499</v>
      </c>
    </row>
    <row r="109" spans="1:31" x14ac:dyDescent="0.2">
      <c r="A109">
        <v>108</v>
      </c>
      <c r="B109">
        <v>790</v>
      </c>
      <c r="C109">
        <v>125</v>
      </c>
      <c r="D109">
        <v>0.48166345294643498</v>
      </c>
      <c r="E109">
        <v>104.13096065047399</v>
      </c>
      <c r="F109">
        <v>2.2066110143786899</v>
      </c>
      <c r="G109">
        <v>-1702.8158368715183</v>
      </c>
      <c r="H109">
        <v>-1423.943764608427</v>
      </c>
      <c r="I109">
        <v>262.30736233183501</v>
      </c>
      <c r="J109">
        <v>138.95490189218299</v>
      </c>
      <c r="K109">
        <v>47.190447238746302</v>
      </c>
      <c r="L109">
        <v>1.2798581525681833E-4</v>
      </c>
      <c r="M109">
        <v>1.6802446198491119E-5</v>
      </c>
      <c r="N109" s="1">
        <v>2.4133028339064301E-6</v>
      </c>
      <c r="O109" s="1">
        <v>7.8251484458372104E-8</v>
      </c>
      <c r="P109" s="1">
        <v>-3.8375513966491301E-7</v>
      </c>
      <c r="Q109">
        <v>73.724471108747593</v>
      </c>
      <c r="R109">
        <v>9.2191601230140696E-2</v>
      </c>
      <c r="S109">
        <v>12.445866166069401</v>
      </c>
      <c r="T109">
        <v>0.241502401182943</v>
      </c>
      <c r="V109">
        <v>0.579766699096817</v>
      </c>
      <c r="W109">
        <v>2.5928887845976901E-2</v>
      </c>
      <c r="X109">
        <v>0.11523950153767699</v>
      </c>
      <c r="AA109">
        <v>0.75866005178969698</v>
      </c>
      <c r="AB109">
        <v>3.4091685871562301</v>
      </c>
      <c r="AC109">
        <v>4.5039438517641202</v>
      </c>
      <c r="AD109">
        <v>3.8413167179224501E-2</v>
      </c>
      <c r="AE109">
        <v>4.0648479763999799</v>
      </c>
    </row>
    <row r="110" spans="1:31" x14ac:dyDescent="0.2">
      <c r="A110">
        <v>109</v>
      </c>
      <c r="B110">
        <v>788</v>
      </c>
      <c r="C110">
        <v>125</v>
      </c>
      <c r="D110">
        <v>0.48055458700466802</v>
      </c>
      <c r="E110">
        <v>103.980506770085</v>
      </c>
      <c r="F110">
        <v>2.2071474735909198</v>
      </c>
      <c r="G110">
        <v>-1699.7878007259401</v>
      </c>
      <c r="H110">
        <v>-1422.1459590255915</v>
      </c>
      <c r="I110">
        <v>261.64240842514999</v>
      </c>
      <c r="J110">
        <v>138.71611517811499</v>
      </c>
      <c r="K110">
        <v>47.110810679502897</v>
      </c>
      <c r="L110">
        <v>1.278659142843E-4</v>
      </c>
      <c r="M110">
        <v>1.6788287467922512E-5</v>
      </c>
      <c r="N110" s="1">
        <v>2.4145562486788298E-6</v>
      </c>
      <c r="O110" s="1">
        <v>7.8006092935423701E-8</v>
      </c>
      <c r="P110" s="1">
        <v>-3.8285068767392098E-7</v>
      </c>
      <c r="Q110">
        <v>73.742754736948996</v>
      </c>
      <c r="R110">
        <v>9.2324997234596098E-2</v>
      </c>
      <c r="S110">
        <v>12.4335019029162</v>
      </c>
      <c r="T110">
        <v>0.24251647069558299</v>
      </c>
      <c r="V110">
        <v>0.58000754780474995</v>
      </c>
      <c r="W110">
        <v>2.5966405472229798E-2</v>
      </c>
      <c r="X110">
        <v>0.11540624654324801</v>
      </c>
      <c r="AA110">
        <v>0.75532492725355804</v>
      </c>
      <c r="AB110">
        <v>3.4018180928479098</v>
      </c>
      <c r="AC110">
        <v>4.5085152619520503</v>
      </c>
      <c r="AD110">
        <v>3.8468748847746599E-2</v>
      </c>
      <c r="AE110">
        <v>4.0633946614830201</v>
      </c>
    </row>
    <row r="111" spans="1:31" x14ac:dyDescent="0.2">
      <c r="A111">
        <v>110</v>
      </c>
      <c r="B111">
        <v>786</v>
      </c>
      <c r="C111">
        <v>125</v>
      </c>
      <c r="D111">
        <v>0.47944153330501299</v>
      </c>
      <c r="E111">
        <v>103.298076119971</v>
      </c>
      <c r="F111">
        <v>2.2076655417692002</v>
      </c>
      <c r="G111">
        <v>-1687.9019744701786</v>
      </c>
      <c r="H111">
        <v>-1413.0105081314825</v>
      </c>
      <c r="I111">
        <v>259.53969346994802</v>
      </c>
      <c r="J111">
        <v>137.71618895415099</v>
      </c>
      <c r="K111">
        <v>46.790636609379099</v>
      </c>
      <c r="L111">
        <v>1.2752521439121615E-4</v>
      </c>
      <c r="M111">
        <v>1.6762525466110717E-5</v>
      </c>
      <c r="N111" s="1">
        <v>2.3991915118808402E-6</v>
      </c>
      <c r="O111" s="1">
        <v>7.7240235646013898E-8</v>
      </c>
      <c r="P111" s="1">
        <v>-3.7905845943536898E-7</v>
      </c>
      <c r="Q111">
        <v>73.827080793863203</v>
      </c>
      <c r="R111">
        <v>9.2934935098409305E-2</v>
      </c>
      <c r="S111">
        <v>12.3779853219446</v>
      </c>
      <c r="T111">
        <v>0.244669411275864</v>
      </c>
      <c r="V111">
        <v>0.58334372927779299</v>
      </c>
      <c r="W111">
        <v>2.6137950496427E-2</v>
      </c>
      <c r="X111">
        <v>0.116168668873015</v>
      </c>
      <c r="AA111">
        <v>0.74074550908875503</v>
      </c>
      <c r="AB111">
        <v>3.36827462215693</v>
      </c>
      <c r="AC111">
        <v>4.5291320611988697</v>
      </c>
      <c r="AD111">
        <v>3.8722889624334601E-2</v>
      </c>
      <c r="AE111">
        <v>4.0548041071016403</v>
      </c>
    </row>
    <row r="112" spans="1:31" x14ac:dyDescent="0.2">
      <c r="A112">
        <v>111</v>
      </c>
      <c r="B112">
        <v>784</v>
      </c>
      <c r="C112">
        <v>125</v>
      </c>
      <c r="D112">
        <v>0.47832426807926898</v>
      </c>
      <c r="E112">
        <v>102.614697899158</v>
      </c>
      <c r="F112">
        <v>2.2081911649985799</v>
      </c>
      <c r="G112">
        <v>-1676.0111144998702</v>
      </c>
      <c r="H112">
        <v>-1403.8609937846527</v>
      </c>
      <c r="I112">
        <v>257.43756393626001</v>
      </c>
      <c r="J112">
        <v>136.71592237345101</v>
      </c>
      <c r="K112">
        <v>46.470024663477901</v>
      </c>
      <c r="L112">
        <v>1.2718084817169598E-4</v>
      </c>
      <c r="M112">
        <v>1.6736646978392817E-5</v>
      </c>
      <c r="N112" s="1">
        <v>2.38370259145808E-6</v>
      </c>
      <c r="O112" s="1">
        <v>7.6475267255726106E-8</v>
      </c>
      <c r="P112" s="1">
        <v>-3.7525880913576202E-7</v>
      </c>
      <c r="Q112">
        <v>73.911562192617396</v>
      </c>
      <c r="R112">
        <v>9.3553849463496805E-2</v>
      </c>
      <c r="S112">
        <v>12.3225011356583</v>
      </c>
      <c r="T112">
        <v>0.24685475524344599</v>
      </c>
      <c r="V112">
        <v>0.58672836316008203</v>
      </c>
      <c r="W112">
        <v>2.6312020161607701E-2</v>
      </c>
      <c r="X112">
        <v>0.11694231182937601</v>
      </c>
      <c r="AA112">
        <v>0.72690564940274405</v>
      </c>
      <c r="AB112">
        <v>3.3340518502447498</v>
      </c>
      <c r="AC112">
        <v>4.5495164835687198</v>
      </c>
      <c r="AD112">
        <v>3.8980770609787101E-2</v>
      </c>
      <c r="AE112">
        <v>4.0460906180402603</v>
      </c>
    </row>
    <row r="113" spans="1:31" x14ac:dyDescent="0.2">
      <c r="A113">
        <v>112</v>
      </c>
      <c r="B113">
        <v>782</v>
      </c>
      <c r="C113">
        <v>125</v>
      </c>
      <c r="D113">
        <v>0.47720276737904699</v>
      </c>
      <c r="E113">
        <v>101.930933496728</v>
      </c>
      <c r="F113">
        <v>2.2087237722336299</v>
      </c>
      <c r="G113">
        <v>-1664.1246919962841</v>
      </c>
      <c r="H113">
        <v>-1394.7051840385357</v>
      </c>
      <c r="I113">
        <v>255.33763726270899</v>
      </c>
      <c r="J113">
        <v>135.71610505010699</v>
      </c>
      <c r="K113">
        <v>46.1492445448024</v>
      </c>
      <c r="L113">
        <v>1.2683307811479423E-4</v>
      </c>
      <c r="M113">
        <v>1.6710677118901338E-5</v>
      </c>
      <c r="N113" s="1">
        <v>2.3681110194869199E-6</v>
      </c>
      <c r="O113" s="1">
        <v>7.5711862883608504E-8</v>
      </c>
      <c r="P113" s="1">
        <v>-3.7145543953139802E-7</v>
      </c>
      <c r="Q113">
        <v>73.996188960936493</v>
      </c>
      <c r="R113">
        <v>9.4181419424636106E-2</v>
      </c>
      <c r="S113">
        <v>12.2670572018401</v>
      </c>
      <c r="T113">
        <v>0.24907198436045799</v>
      </c>
      <c r="V113">
        <v>0.59015914127467495</v>
      </c>
      <c r="W113">
        <v>2.6488524213177999E-2</v>
      </c>
      <c r="X113">
        <v>0.117726774280801</v>
      </c>
      <c r="AA113">
        <v>0.71378737864417097</v>
      </c>
      <c r="AB113">
        <v>3.2992027521196898</v>
      </c>
      <c r="AC113">
        <v>4.5696273322254104</v>
      </c>
      <c r="AD113">
        <v>3.9242258093594398E-2</v>
      </c>
      <c r="AE113">
        <v>4.0372662725866597</v>
      </c>
    </row>
    <row r="114" spans="1:31" x14ac:dyDescent="0.2">
      <c r="A114">
        <v>113</v>
      </c>
      <c r="B114">
        <v>780</v>
      </c>
      <c r="C114">
        <v>125</v>
      </c>
      <c r="D114">
        <v>0.47607700707401701</v>
      </c>
      <c r="E114">
        <v>101.24732978488299</v>
      </c>
      <c r="F114">
        <v>2.2092627794234798</v>
      </c>
      <c r="G114">
        <v>-1652.2519201582877</v>
      </c>
      <c r="H114">
        <v>-1385.5506500396032</v>
      </c>
      <c r="I114">
        <v>253.241485181298</v>
      </c>
      <c r="J114">
        <v>134.717504640171</v>
      </c>
      <c r="K114">
        <v>45.828559068606502</v>
      </c>
      <c r="L114">
        <v>1.2648217180950271E-4</v>
      </c>
      <c r="M114">
        <v>1.6684641338813994E-5</v>
      </c>
      <c r="N114" s="1">
        <v>2.3524380329224998E-6</v>
      </c>
      <c r="O114" s="1">
        <v>7.4950678598142696E-8</v>
      </c>
      <c r="P114" s="1">
        <v>-3.6765196746233697E-7</v>
      </c>
      <c r="Q114">
        <v>74.080951399409997</v>
      </c>
      <c r="R114">
        <v>9.4817315383990006E-2</v>
      </c>
      <c r="S114">
        <v>12.2116611375184</v>
      </c>
      <c r="T114">
        <v>0.251320559743622</v>
      </c>
      <c r="V114">
        <v>0.59363369886670303</v>
      </c>
      <c r="W114">
        <v>2.6667369951746098E-2</v>
      </c>
      <c r="X114">
        <v>0.118521644229995</v>
      </c>
      <c r="AA114">
        <v>0.70137173957811705</v>
      </c>
      <c r="AB114">
        <v>3.2637816039791501</v>
      </c>
      <c r="AC114">
        <v>4.5894229201260801</v>
      </c>
      <c r="AD114">
        <v>3.9507214743324297E-2</v>
      </c>
      <c r="AE114">
        <v>4.0283433964687703</v>
      </c>
    </row>
    <row r="115" spans="1:31" x14ac:dyDescent="0.2">
      <c r="A115">
        <v>114</v>
      </c>
      <c r="B115">
        <v>778</v>
      </c>
      <c r="C115">
        <v>125</v>
      </c>
      <c r="D115">
        <v>0.47494696285021398</v>
      </c>
      <c r="E115">
        <v>99.719105627922701</v>
      </c>
      <c r="F115">
        <v>2.2101661959323402</v>
      </c>
      <c r="G115">
        <v>-1626.3594150563611</v>
      </c>
      <c r="H115">
        <v>-1364.6076352728526</v>
      </c>
      <c r="I115">
        <v>249.014678954961</v>
      </c>
      <c r="J115">
        <v>132.60356970355701</v>
      </c>
      <c r="K115">
        <v>45.118374270427701</v>
      </c>
      <c r="L115">
        <v>1.2614508371433313E-4</v>
      </c>
      <c r="M115">
        <v>1.6649076266044728E-5</v>
      </c>
      <c r="N115" s="1">
        <v>2.31498582155038E-6</v>
      </c>
      <c r="O115" s="1">
        <v>7.3510242926520099E-8</v>
      </c>
      <c r="P115" s="1">
        <v>-3.6086397597801302E-7</v>
      </c>
      <c r="Q115">
        <v>74.113742657544805</v>
      </c>
      <c r="R115">
        <v>9.6270418186663806E-2</v>
      </c>
      <c r="S115">
        <v>12.1799557442374</v>
      </c>
      <c r="T115">
        <v>0.25583267825986</v>
      </c>
      <c r="V115">
        <v>0.60213692958863596</v>
      </c>
      <c r="W115">
        <v>2.7076055114997201E-2</v>
      </c>
      <c r="X115">
        <v>0.120338022733344</v>
      </c>
      <c r="AA115">
        <v>0.68604597247167598</v>
      </c>
      <c r="AB115">
        <v>3.2222472649236402</v>
      </c>
      <c r="AC115">
        <v>4.6405101398651096</v>
      </c>
      <c r="AD115">
        <v>4.01126742444343E-2</v>
      </c>
      <c r="AE115">
        <v>4.0157314428293098</v>
      </c>
    </row>
    <row r="116" spans="1:31" x14ac:dyDescent="0.2">
      <c r="A116">
        <v>115</v>
      </c>
      <c r="B116">
        <v>776</v>
      </c>
      <c r="C116">
        <v>125</v>
      </c>
      <c r="D116">
        <v>0.47381261020826598</v>
      </c>
      <c r="E116">
        <v>96.361411746115607</v>
      </c>
      <c r="F116">
        <v>2.2118960236414802</v>
      </c>
      <c r="G116">
        <v>-1570.1319450440367</v>
      </c>
      <c r="H116">
        <v>-1318.149021820321</v>
      </c>
      <c r="I116">
        <v>240.17816634772399</v>
      </c>
      <c r="J116">
        <v>128.07381019633499</v>
      </c>
      <c r="K116">
        <v>43.5650730035102</v>
      </c>
      <c r="L116">
        <v>1.2582942334925698E-4</v>
      </c>
      <c r="M116">
        <v>1.6592160595203226E-5</v>
      </c>
      <c r="N116" s="1">
        <v>2.2304581071380802E-6</v>
      </c>
      <c r="O116" s="1">
        <v>7.06055447634675E-8</v>
      </c>
      <c r="P116" s="1">
        <v>-3.4758065669312901E-7</v>
      </c>
      <c r="Q116">
        <v>74.034189984654503</v>
      </c>
      <c r="R116">
        <v>9.9624941416315699E-2</v>
      </c>
      <c r="S116">
        <v>12.198952585814199</v>
      </c>
      <c r="T116">
        <v>0.26559858940042302</v>
      </c>
      <c r="V116">
        <v>0.62235210396392404</v>
      </c>
      <c r="W116">
        <v>2.8019514773336501E-2</v>
      </c>
      <c r="X116">
        <v>0.12453117677041201</v>
      </c>
      <c r="AA116">
        <v>0.66549280148031098</v>
      </c>
      <c r="AB116">
        <v>3.1650462061309699</v>
      </c>
      <c r="AC116">
        <v>4.7599213532851703</v>
      </c>
      <c r="AD116">
        <v>4.1510392256788202E-2</v>
      </c>
      <c r="AE116">
        <v>3.99476035005351</v>
      </c>
    </row>
    <row r="117" spans="1:31" x14ac:dyDescent="0.2">
      <c r="A117">
        <v>116</v>
      </c>
      <c r="B117">
        <v>774</v>
      </c>
      <c r="C117">
        <v>125</v>
      </c>
      <c r="D117">
        <v>0.47267392446163797</v>
      </c>
      <c r="E117">
        <v>92.8753350719807</v>
      </c>
      <c r="F117">
        <v>2.2137474137222002</v>
      </c>
      <c r="G117">
        <v>-1511.8680858623052</v>
      </c>
      <c r="H117">
        <v>-1269.9363538767695</v>
      </c>
      <c r="I117">
        <v>231.03827721485499</v>
      </c>
      <c r="J117">
        <v>123.377236446532</v>
      </c>
      <c r="K117">
        <v>41.9538988487487</v>
      </c>
      <c r="L117">
        <v>1.2549374309910621E-4</v>
      </c>
      <c r="M117">
        <v>1.6533150914143662E-5</v>
      </c>
      <c r="N117" s="1">
        <v>2.1427373328677901E-6</v>
      </c>
      <c r="O117" s="1">
        <v>6.76197080869396E-8</v>
      </c>
      <c r="P117" s="1">
        <v>-3.3379707623745199E-7</v>
      </c>
      <c r="Q117">
        <v>73.949878059012505</v>
      </c>
      <c r="R117">
        <v>0.103364364635239</v>
      </c>
      <c r="S117">
        <v>12.2194244257383</v>
      </c>
      <c r="T117">
        <v>0.27642175997857099</v>
      </c>
      <c r="V117">
        <v>0.64494372581249104</v>
      </c>
      <c r="W117">
        <v>2.9071227553658499E-2</v>
      </c>
      <c r="X117">
        <v>0.12920545579407</v>
      </c>
      <c r="AA117">
        <v>0.64850237187244897</v>
      </c>
      <c r="AB117">
        <v>3.1016791322895898</v>
      </c>
      <c r="AC117">
        <v>4.8818327040571496</v>
      </c>
      <c r="AD117">
        <v>4.3068485264670699E-2</v>
      </c>
      <c r="AE117">
        <v>3.9726082879912101</v>
      </c>
    </row>
    <row r="118" spans="1:31" x14ac:dyDescent="0.2">
      <c r="A118">
        <v>117</v>
      </c>
      <c r="B118">
        <v>772</v>
      </c>
      <c r="C118">
        <v>125</v>
      </c>
      <c r="D118">
        <v>0.47153088073482102</v>
      </c>
      <c r="E118">
        <v>89.112423805023198</v>
      </c>
      <c r="F118">
        <v>2.2157681702659699</v>
      </c>
      <c r="G118">
        <v>-1449.145686706571</v>
      </c>
      <c r="H118">
        <v>-1217.9297797529832</v>
      </c>
      <c r="I118">
        <v>221.227485962386</v>
      </c>
      <c r="J118">
        <v>118.317543895196</v>
      </c>
      <c r="K118">
        <v>40.217395032949902</v>
      </c>
      <c r="L118">
        <v>1.2513663565186074E-4</v>
      </c>
      <c r="M118">
        <v>1.6471837504954668E-5</v>
      </c>
      <c r="N118" s="1">
        <v>2.0484202851511398E-6</v>
      </c>
      <c r="O118" s="1">
        <v>6.4446421975937702E-8</v>
      </c>
      <c r="P118" s="1">
        <v>-3.1897609807012098E-7</v>
      </c>
      <c r="Q118">
        <v>73.858226222956304</v>
      </c>
      <c r="R118">
        <v>0.107729086361797</v>
      </c>
      <c r="S118">
        <v>12.2420019614321</v>
      </c>
      <c r="T118">
        <v>0.28893307678340502</v>
      </c>
      <c r="V118">
        <v>0.67142256177743798</v>
      </c>
      <c r="W118">
        <v>3.02988055392511E-2</v>
      </c>
      <c r="X118">
        <v>0.13466135795228201</v>
      </c>
      <c r="AA118">
        <v>0.63607794109382398</v>
      </c>
      <c r="AB118">
        <v>3.0306389123701001</v>
      </c>
      <c r="AC118">
        <v>5.0060272010909301</v>
      </c>
      <c r="AD118">
        <v>4.4887119317395002E-2</v>
      </c>
      <c r="AE118">
        <v>3.9490957533250799</v>
      </c>
    </row>
    <row r="119" spans="1:31" x14ac:dyDescent="0.2">
      <c r="A119">
        <v>118</v>
      </c>
      <c r="B119">
        <v>770</v>
      </c>
      <c r="C119">
        <v>125</v>
      </c>
      <c r="D119">
        <v>0.47038345396155901</v>
      </c>
      <c r="E119">
        <v>44.571321745561903</v>
      </c>
      <c r="F119">
        <v>2.2204370968507798</v>
      </c>
      <c r="G119">
        <v>-724.89641457194637</v>
      </c>
      <c r="H119">
        <v>-609.94139280797765</v>
      </c>
      <c r="I119">
        <v>110.19989624116199</v>
      </c>
      <c r="J119">
        <v>59.225296265532897</v>
      </c>
      <c r="K119">
        <v>20.073219731726201</v>
      </c>
      <c r="L119">
        <v>1.2400355613816465E-4</v>
      </c>
      <c r="M119">
        <v>1.6376949976135195E-5</v>
      </c>
      <c r="N119" s="1">
        <v>1.0125544514703399E-6</v>
      </c>
      <c r="O119" s="1">
        <v>3.1772929671126303E-8</v>
      </c>
      <c r="P119" s="1">
        <v>-1.56333207632469E-7</v>
      </c>
      <c r="Q119">
        <v>73.489201905916005</v>
      </c>
      <c r="R119">
        <v>0.14217411555224699</v>
      </c>
      <c r="S119">
        <v>12.692291502125601</v>
      </c>
      <c r="T119">
        <v>0.25134648534894499</v>
      </c>
      <c r="V119">
        <v>0.58872582341959301</v>
      </c>
      <c r="W119">
        <v>6.0577068264039503E-2</v>
      </c>
      <c r="X119">
        <v>0.19380656044077299</v>
      </c>
      <c r="AA119">
        <v>0.71690896897177903</v>
      </c>
      <c r="AB119">
        <v>2.7067317872117398</v>
      </c>
      <c r="AC119">
        <v>5.1745306772289004</v>
      </c>
      <c r="AD119">
        <v>8.9743804835539703E-2</v>
      </c>
      <c r="AE119">
        <v>3.89396130068475</v>
      </c>
    </row>
    <row r="120" spans="1:31" x14ac:dyDescent="0.2">
      <c r="A120">
        <v>119</v>
      </c>
      <c r="B120">
        <v>768</v>
      </c>
      <c r="C120">
        <v>125</v>
      </c>
      <c r="D120">
        <v>0.46923161888296799</v>
      </c>
      <c r="E120">
        <v>27.933193112974301</v>
      </c>
      <c r="F120">
        <v>2.2247715240038599</v>
      </c>
      <c r="G120">
        <v>-454.29120329189294</v>
      </c>
      <c r="H120">
        <v>-382.62075669109544</v>
      </c>
      <c r="I120">
        <v>68.837772271812398</v>
      </c>
      <c r="J120">
        <v>37.150408416016802</v>
      </c>
      <c r="K120">
        <v>12.555533371221699</v>
      </c>
      <c r="L120">
        <v>1.2332599805910927E-4</v>
      </c>
      <c r="M120">
        <v>1.6335599906810841E-5</v>
      </c>
      <c r="N120" s="1">
        <v>6.3061126998730304E-7</v>
      </c>
      <c r="O120" s="1">
        <v>1.9726468110077501E-8</v>
      </c>
      <c r="P120" s="1">
        <v>-9.6405031749766197E-8</v>
      </c>
      <c r="Q120">
        <v>73.046860345857993</v>
      </c>
      <c r="R120">
        <v>0.17499616954189201</v>
      </c>
      <c r="S120">
        <v>13.2196977998191</v>
      </c>
      <c r="T120">
        <v>0.23354660807258701</v>
      </c>
      <c r="V120">
        <v>0.55281933217337698</v>
      </c>
      <c r="W120">
        <v>9.6659196429109404E-2</v>
      </c>
      <c r="X120">
        <v>0.198241522110019</v>
      </c>
      <c r="AA120">
        <v>0.75541349856583395</v>
      </c>
      <c r="AB120">
        <v>2.4528483907840299</v>
      </c>
      <c r="AC120">
        <v>5.2648583758206504</v>
      </c>
      <c r="AD120">
        <v>0.14319880952446601</v>
      </c>
      <c r="AE120">
        <v>3.8608599513008102</v>
      </c>
    </row>
    <row r="121" spans="1:31" x14ac:dyDescent="0.2">
      <c r="A121">
        <v>120</v>
      </c>
      <c r="B121">
        <v>766</v>
      </c>
      <c r="C121">
        <v>125</v>
      </c>
      <c r="D121">
        <v>0.46807535004571499</v>
      </c>
      <c r="E121">
        <v>21.221175623171799</v>
      </c>
      <c r="F121">
        <v>2.2281755778115802</v>
      </c>
      <c r="G121">
        <v>-345.12905860485733</v>
      </c>
      <c r="H121">
        <v>-290.9228409780203</v>
      </c>
      <c r="I121">
        <v>52.163997138851002</v>
      </c>
      <c r="J121">
        <v>28.2484997623833</v>
      </c>
      <c r="K121">
        <v>9.5240141012650099</v>
      </c>
      <c r="L121">
        <v>1.2292207155921393E-4</v>
      </c>
      <c r="M121">
        <v>1.6316227049537182E-5</v>
      </c>
      <c r="N121" s="1">
        <v>4.7780120149809203E-7</v>
      </c>
      <c r="O121" s="1">
        <v>1.48955963105257E-8</v>
      </c>
      <c r="P121" s="1">
        <v>-7.2408833425086595E-8</v>
      </c>
      <c r="Q121">
        <v>72.668965583029106</v>
      </c>
      <c r="R121">
        <v>0.19491814542609601</v>
      </c>
      <c r="S121">
        <v>13.6668701962745</v>
      </c>
      <c r="T121">
        <v>0.22165752963087401</v>
      </c>
      <c r="V121">
        <v>0.52894999855478297</v>
      </c>
      <c r="W121">
        <v>0.12723140545762199</v>
      </c>
      <c r="X121">
        <v>0.20021412267673899</v>
      </c>
      <c r="AA121">
        <v>0.77619401759171802</v>
      </c>
      <c r="AB121">
        <v>2.2722909442888102</v>
      </c>
      <c r="AC121">
        <v>5.3123964743576</v>
      </c>
      <c r="AD121">
        <v>0.188490971048134</v>
      </c>
      <c r="AE121">
        <v>3.8418206116639499</v>
      </c>
    </row>
    <row r="122" spans="1:31" x14ac:dyDescent="0.2">
      <c r="A122">
        <v>121</v>
      </c>
      <c r="B122">
        <v>764</v>
      </c>
      <c r="C122">
        <v>125</v>
      </c>
      <c r="D122">
        <v>0.46691462180012799</v>
      </c>
      <c r="E122">
        <v>17.559336547211601</v>
      </c>
      <c r="F122">
        <v>2.2310596256561999</v>
      </c>
      <c r="G122">
        <v>-285.5718648051336</v>
      </c>
      <c r="H122">
        <v>-240.90276077385019</v>
      </c>
      <c r="I122">
        <v>43.069087433142201</v>
      </c>
      <c r="J122">
        <v>23.393381695460601</v>
      </c>
      <c r="K122">
        <v>7.8704021825714596</v>
      </c>
      <c r="L122">
        <v>1.2264954158123741E-4</v>
      </c>
      <c r="M122">
        <v>1.6306092210151277E-5</v>
      </c>
      <c r="N122" s="1">
        <v>3.9498184798645402E-7</v>
      </c>
      <c r="O122" s="1">
        <v>1.2270226169854399E-8</v>
      </c>
      <c r="P122" s="1">
        <v>-5.9386478948107199E-8</v>
      </c>
      <c r="Q122">
        <v>72.336401001064402</v>
      </c>
      <c r="R122">
        <v>0.20868848177591601</v>
      </c>
      <c r="S122">
        <v>14.057256894880201</v>
      </c>
      <c r="T122">
        <v>0.21255955581969699</v>
      </c>
      <c r="V122">
        <v>0.51048153608248603</v>
      </c>
      <c r="W122">
        <v>0.15376435167352001</v>
      </c>
      <c r="X122">
        <v>0.20106650706860699</v>
      </c>
      <c r="AA122">
        <v>0.79180118700750102</v>
      </c>
      <c r="AB122">
        <v>2.1306377048996099</v>
      </c>
      <c r="AC122">
        <v>5.3400009923375897</v>
      </c>
      <c r="AD122">
        <v>0.22779903951608499</v>
      </c>
      <c r="AE122">
        <v>3.8295427478742399</v>
      </c>
    </row>
    <row r="123" spans="1:31" x14ac:dyDescent="0.2">
      <c r="A123">
        <v>122</v>
      </c>
      <c r="B123">
        <v>762</v>
      </c>
      <c r="C123">
        <v>125</v>
      </c>
      <c r="D123">
        <v>0.46574940829831801</v>
      </c>
      <c r="E123">
        <v>15.215677504685701</v>
      </c>
      <c r="F123">
        <v>2.2336125886845801</v>
      </c>
      <c r="G123">
        <v>-247.4516542801025</v>
      </c>
      <c r="H123">
        <v>-208.89437069654608</v>
      </c>
      <c r="I123">
        <v>37.248015827229203</v>
      </c>
      <c r="J123">
        <v>20.2868336567043</v>
      </c>
      <c r="K123">
        <v>6.81213813969703</v>
      </c>
      <c r="L123">
        <v>1.2245465348147776E-4</v>
      </c>
      <c r="M123">
        <v>1.6300979405816779E-5</v>
      </c>
      <c r="N123" s="1">
        <v>3.4229329465959802E-7</v>
      </c>
      <c r="O123" s="1">
        <v>1.05951029428865E-8</v>
      </c>
      <c r="P123" s="1">
        <v>-5.1089225354989203E-8</v>
      </c>
      <c r="Q123">
        <v>72.035448371753006</v>
      </c>
      <c r="R123">
        <v>0.21903376742547601</v>
      </c>
      <c r="S123">
        <v>14.407888364289301</v>
      </c>
      <c r="T123">
        <v>0.20505607002460499</v>
      </c>
      <c r="V123">
        <v>0.49499873704750202</v>
      </c>
      <c r="W123">
        <v>0.17744855588372799</v>
      </c>
      <c r="X123">
        <v>0.20131604080941501</v>
      </c>
      <c r="AA123">
        <v>0.80541367753647497</v>
      </c>
      <c r="AB123">
        <v>2.0132563779924899</v>
      </c>
      <c r="AC123">
        <v>5.35600022855846</v>
      </c>
      <c r="AD123">
        <v>0.26288674945705098</v>
      </c>
      <c r="AE123">
        <v>3.8212530592223901</v>
      </c>
    </row>
    <row r="124" spans="1:31" x14ac:dyDescent="0.2">
      <c r="A124">
        <v>123</v>
      </c>
      <c r="B124">
        <v>760</v>
      </c>
      <c r="C124">
        <v>125</v>
      </c>
      <c r="D124">
        <v>0.464579683492232</v>
      </c>
      <c r="E124">
        <v>13.565437985756899</v>
      </c>
      <c r="F124">
        <v>2.2359345615288801</v>
      </c>
      <c r="G124">
        <v>-220.60819061307816</v>
      </c>
      <c r="H124">
        <v>-186.3606066720229</v>
      </c>
      <c r="I124">
        <v>33.148704390509799</v>
      </c>
      <c r="J124">
        <v>18.0999753494341</v>
      </c>
      <c r="K124">
        <v>6.0670102869563198</v>
      </c>
      <c r="L124">
        <v>1.2231163782325423E-4</v>
      </c>
      <c r="M124">
        <v>1.6299041413860809E-5</v>
      </c>
      <c r="N124" s="1">
        <v>3.0540604043499802E-7</v>
      </c>
      <c r="O124" s="1">
        <v>9.4187670606457293E-9</v>
      </c>
      <c r="P124" s="1">
        <v>-4.5270794914310501E-8</v>
      </c>
      <c r="Q124">
        <v>71.757679409170194</v>
      </c>
      <c r="R124">
        <v>0.22722987018108801</v>
      </c>
      <c r="S124">
        <v>14.7292705083561</v>
      </c>
      <c r="T124">
        <v>0.19858766719822901</v>
      </c>
      <c r="V124">
        <v>0.48141296772488001</v>
      </c>
      <c r="W124">
        <v>0.199035224873229</v>
      </c>
      <c r="X124">
        <v>0.20119780984807301</v>
      </c>
      <c r="AA124">
        <v>0.81813546797319703</v>
      </c>
      <c r="AB124">
        <v>1.9126422741873601</v>
      </c>
      <c r="AC124">
        <v>5.3643182290199398</v>
      </c>
      <c r="AD124">
        <v>0.29486699981181502</v>
      </c>
      <c r="AE124">
        <v>3.8156235716557201</v>
      </c>
    </row>
    <row r="125" spans="1:31" x14ac:dyDescent="0.2">
      <c r="A125">
        <v>124</v>
      </c>
      <c r="B125">
        <v>758</v>
      </c>
      <c r="C125">
        <v>125</v>
      </c>
      <c r="D125">
        <v>0.46340542113174599</v>
      </c>
      <c r="E125">
        <v>12.328094265904801</v>
      </c>
      <c r="F125">
        <v>2.2380850557338601</v>
      </c>
      <c r="G125">
        <v>-200.47950068191466</v>
      </c>
      <c r="H125">
        <v>-169.46820943219868</v>
      </c>
      <c r="I125">
        <v>30.0744714636241</v>
      </c>
      <c r="J125">
        <v>16.460673420328799</v>
      </c>
      <c r="K125">
        <v>5.50832249843267</v>
      </c>
      <c r="L125">
        <v>1.2220608817271081E-4</v>
      </c>
      <c r="M125">
        <v>1.6299310381739398E-5</v>
      </c>
      <c r="N125" s="1">
        <v>2.7790225696829699E-7</v>
      </c>
      <c r="O125" s="1">
        <v>8.5389190480842508E-9</v>
      </c>
      <c r="P125" s="1">
        <v>-4.0925051043244603E-8</v>
      </c>
      <c r="Q125">
        <v>71.497685528671795</v>
      </c>
      <c r="R125">
        <v>0.233960734400499</v>
      </c>
      <c r="S125">
        <v>15.0281588260533</v>
      </c>
      <c r="T125">
        <v>0.19285059985265099</v>
      </c>
      <c r="V125">
        <v>0.46914946627776</v>
      </c>
      <c r="W125">
        <v>0.21901195284223399</v>
      </c>
      <c r="X125">
        <v>0.20083502242269399</v>
      </c>
      <c r="AA125">
        <v>0.83043333390665897</v>
      </c>
      <c r="AB125">
        <v>1.82440856841467</v>
      </c>
      <c r="AC125">
        <v>5.3671301179500999</v>
      </c>
      <c r="AD125">
        <v>0.324462152358441</v>
      </c>
      <c r="AE125">
        <v>3.8119136968490399</v>
      </c>
    </row>
    <row r="126" spans="1:31" x14ac:dyDescent="0.2">
      <c r="A126">
        <v>125</v>
      </c>
      <c r="B126">
        <v>756</v>
      </c>
      <c r="C126">
        <v>125</v>
      </c>
      <c r="D126">
        <v>0.46222659476266797</v>
      </c>
      <c r="E126">
        <v>11.3154142717251</v>
      </c>
      <c r="F126">
        <v>2.24002385053761</v>
      </c>
      <c r="G126">
        <v>-184.00563506346938</v>
      </c>
      <c r="H126">
        <v>-155.64168317490879</v>
      </c>
      <c r="I126">
        <v>27.5605615202454</v>
      </c>
      <c r="J126">
        <v>15.1193121155671</v>
      </c>
      <c r="K126">
        <v>5.0514704426068304</v>
      </c>
      <c r="L126">
        <v>1.2214218874732682E-4</v>
      </c>
      <c r="M126">
        <v>1.6304828511627768E-5</v>
      </c>
      <c r="N126" s="1">
        <v>2.5561421493397202E-7</v>
      </c>
      <c r="O126" s="1">
        <v>7.8245266557707307E-9</v>
      </c>
      <c r="P126" s="1">
        <v>-3.74034322513274E-8</v>
      </c>
      <c r="Q126">
        <v>71.248606712569995</v>
      </c>
      <c r="R126">
        <v>0.22729284413083001</v>
      </c>
      <c r="S126">
        <v>15.3200628804048</v>
      </c>
      <c r="T126">
        <v>0.18959308176891301</v>
      </c>
      <c r="V126">
        <v>0.46275132479710701</v>
      </c>
      <c r="W126">
        <v>0.23718604652960301</v>
      </c>
      <c r="X126">
        <v>0.19823706310751599</v>
      </c>
      <c r="AA126">
        <v>0.84325645636222701</v>
      </c>
      <c r="AB126">
        <v>1.7452074173272401</v>
      </c>
      <c r="AC126">
        <v>5.36286799394514</v>
      </c>
      <c r="AD126">
        <v>0.35350009323015802</v>
      </c>
      <c r="AE126">
        <v>3.8114380858263499</v>
      </c>
    </row>
    <row r="127" spans="1:31" x14ac:dyDescent="0.2">
      <c r="A127">
        <v>126</v>
      </c>
      <c r="B127">
        <v>754</v>
      </c>
      <c r="C127">
        <v>125</v>
      </c>
      <c r="D127">
        <v>0.46104317772477099</v>
      </c>
      <c r="E127">
        <v>10.5141946094285</v>
      </c>
      <c r="F127">
        <v>2.24187979142879</v>
      </c>
      <c r="G127">
        <v>-170.97059645647346</v>
      </c>
      <c r="H127">
        <v>-144.70609979841078</v>
      </c>
      <c r="I127">
        <v>25.5702639907147</v>
      </c>
      <c r="J127">
        <v>14.0582771024738</v>
      </c>
      <c r="K127">
        <v>4.6899011488602902</v>
      </c>
      <c r="L127">
        <v>1.2209537544323647E-4</v>
      </c>
      <c r="M127">
        <v>1.6310109154394641E-5</v>
      </c>
      <c r="N127" s="1">
        <v>2.38044354925919E-7</v>
      </c>
      <c r="O127" s="1">
        <v>7.2592697331558199E-9</v>
      </c>
      <c r="P127" s="1">
        <v>-3.4620636759978897E-8</v>
      </c>
      <c r="Q127">
        <v>71.013088198054504</v>
      </c>
      <c r="R127">
        <v>0.22493451417072299</v>
      </c>
      <c r="S127">
        <v>15.592206223276699</v>
      </c>
      <c r="T127">
        <v>0.18588503753206001</v>
      </c>
      <c r="V127">
        <v>0.45490476835195398</v>
      </c>
      <c r="W127">
        <v>0.25430599893550898</v>
      </c>
      <c r="X127">
        <v>0.19637804592024299</v>
      </c>
      <c r="AA127">
        <v>0.85578359894624501</v>
      </c>
      <c r="AB127">
        <v>1.67417268716223</v>
      </c>
      <c r="AC127">
        <v>5.3564919668898598</v>
      </c>
      <c r="AD127">
        <v>0.38043807905217802</v>
      </c>
      <c r="AE127">
        <v>3.8114108817075998</v>
      </c>
    </row>
    <row r="128" spans="1:31" x14ac:dyDescent="0.2">
      <c r="A128">
        <v>127</v>
      </c>
      <c r="B128">
        <v>806</v>
      </c>
      <c r="C128">
        <v>100</v>
      </c>
      <c r="D128">
        <v>0.51586943427697896</v>
      </c>
      <c r="E128">
        <v>103.618126756061</v>
      </c>
      <c r="F128">
        <v>2.21122393798007</v>
      </c>
      <c r="G128">
        <v>-1696.6610788280495</v>
      </c>
      <c r="H128">
        <v>-1416.3971253623874</v>
      </c>
      <c r="I128">
        <v>259.70806047876698</v>
      </c>
      <c r="J128">
        <v>137.869083416601</v>
      </c>
      <c r="K128">
        <v>46.860078247305502</v>
      </c>
      <c r="L128">
        <v>1.1978783659091598E-4</v>
      </c>
      <c r="M128">
        <v>1.6298110365264666E-5</v>
      </c>
      <c r="N128" s="1">
        <v>2.0979064893125302E-6</v>
      </c>
      <c r="O128" s="1">
        <v>7.1496358817302404E-8</v>
      </c>
      <c r="P128" s="1">
        <v>-3.3984077948042298E-7</v>
      </c>
      <c r="Q128">
        <v>74.089353285404997</v>
      </c>
      <c r="R128">
        <v>9.2647882185714597E-2</v>
      </c>
      <c r="S128">
        <v>12.5074640950718</v>
      </c>
      <c r="T128">
        <v>0.24033794320111501</v>
      </c>
      <c r="V128">
        <v>0.58475942030629402</v>
      </c>
      <c r="W128">
        <v>2.60572168647321E-2</v>
      </c>
      <c r="X128">
        <v>0.115809852732144</v>
      </c>
      <c r="AA128">
        <v>0.76241486381994095</v>
      </c>
      <c r="AB128">
        <v>3.4260414766592202</v>
      </c>
      <c r="AC128">
        <v>4.5262350776145599</v>
      </c>
      <c r="AD128">
        <v>3.8603284244047097E-2</v>
      </c>
      <c r="AE128">
        <v>3.5902756018952799</v>
      </c>
    </row>
    <row r="129" spans="1:31" x14ac:dyDescent="0.2">
      <c r="A129">
        <v>128</v>
      </c>
      <c r="B129">
        <v>804</v>
      </c>
      <c r="C129">
        <v>100</v>
      </c>
      <c r="D129">
        <v>0.514840551455232</v>
      </c>
      <c r="E129">
        <v>103.381505007519</v>
      </c>
      <c r="F129">
        <v>2.2116822927638502</v>
      </c>
      <c r="G129">
        <v>-1692.2038847963993</v>
      </c>
      <c r="H129">
        <v>-1413.4091734964888</v>
      </c>
      <c r="I129">
        <v>258.82626495837201</v>
      </c>
      <c r="J129">
        <v>137.51065214483401</v>
      </c>
      <c r="K129">
        <v>46.743379619107699</v>
      </c>
      <c r="L129">
        <v>1.1966285174710113E-4</v>
      </c>
      <c r="M129">
        <v>1.6285374063172141E-5</v>
      </c>
      <c r="N129" s="1">
        <v>2.0971704180493402E-6</v>
      </c>
      <c r="O129" s="1">
        <v>7.1213045529750494E-8</v>
      </c>
      <c r="P129" s="1">
        <v>-3.3870715199802301E-7</v>
      </c>
      <c r="Q129">
        <v>74.117773193285203</v>
      </c>
      <c r="R129">
        <v>9.2859936594091502E-2</v>
      </c>
      <c r="S129">
        <v>12.487742539345501</v>
      </c>
      <c r="T129">
        <v>0.241495996180454</v>
      </c>
      <c r="V129">
        <v>0.58555077855598103</v>
      </c>
      <c r="W129">
        <v>2.6116857167087799E-2</v>
      </c>
      <c r="X129">
        <v>0.11607492074261699</v>
      </c>
      <c r="AA129">
        <v>0.75720869493644105</v>
      </c>
      <c r="AB129">
        <v>3.4142494678964002</v>
      </c>
      <c r="AC129">
        <v>4.53344302020645</v>
      </c>
      <c r="AD129">
        <v>3.86916402475364E-2</v>
      </c>
      <c r="AE129">
        <v>3.5887929548420501</v>
      </c>
    </row>
    <row r="130" spans="1:31" x14ac:dyDescent="0.2">
      <c r="A130">
        <v>129</v>
      </c>
      <c r="B130">
        <v>802</v>
      </c>
      <c r="C130">
        <v>100</v>
      </c>
      <c r="D130">
        <v>0.51380784076640695</v>
      </c>
      <c r="E130">
        <v>102.72956139851701</v>
      </c>
      <c r="F130">
        <v>2.21209990417581</v>
      </c>
      <c r="G130">
        <v>-1680.8290659655499</v>
      </c>
      <c r="H130">
        <v>-1404.6947662595289</v>
      </c>
      <c r="I130">
        <v>256.83327880390698</v>
      </c>
      <c r="J130">
        <v>136.56105200972101</v>
      </c>
      <c r="K130">
        <v>46.439838094379503</v>
      </c>
      <c r="L130">
        <v>1.1938083469469772E-4</v>
      </c>
      <c r="M130">
        <v>1.6264832544791278E-5</v>
      </c>
      <c r="N130" s="1">
        <v>2.0852866565928202E-6</v>
      </c>
      <c r="O130" s="1">
        <v>7.0563822111324202E-8</v>
      </c>
      <c r="P130" s="1">
        <v>-3.3558321208990301E-7</v>
      </c>
      <c r="Q130">
        <v>74.197415494017093</v>
      </c>
      <c r="R130">
        <v>9.3449245468486902E-2</v>
      </c>
      <c r="S130">
        <v>12.4339297572239</v>
      </c>
      <c r="T130">
        <v>0.243544352155982</v>
      </c>
      <c r="V130">
        <v>0.58880271160365005</v>
      </c>
      <c r="W130">
        <v>2.6282600288011299E-2</v>
      </c>
      <c r="X130">
        <v>0.11681155683561301</v>
      </c>
      <c r="AA130">
        <v>0.74340635164775104</v>
      </c>
      <c r="AB130">
        <v>3.3815406642329999</v>
      </c>
      <c r="AC130">
        <v>4.5531805796481803</v>
      </c>
      <c r="AD130">
        <v>3.8937185611866799E-2</v>
      </c>
      <c r="AE130">
        <v>3.5826995012663301</v>
      </c>
    </row>
    <row r="131" spans="1:31" x14ac:dyDescent="0.2">
      <c r="A131">
        <v>130</v>
      </c>
      <c r="B131">
        <v>800</v>
      </c>
      <c r="C131">
        <v>100</v>
      </c>
      <c r="D131">
        <v>0.51277128080883805</v>
      </c>
      <c r="E131">
        <v>102.07764306463</v>
      </c>
      <c r="F131">
        <v>2.21252381768769</v>
      </c>
      <c r="G131">
        <v>-1669.4646733889035</v>
      </c>
      <c r="H131">
        <v>-1395.9795974880269</v>
      </c>
      <c r="I131">
        <v>254.84328928935901</v>
      </c>
      <c r="J131">
        <v>135.61237854845999</v>
      </c>
      <c r="K131">
        <v>46.136291166036798</v>
      </c>
      <c r="L131">
        <v>1.1909613743499996E-4</v>
      </c>
      <c r="M131">
        <v>1.6244224974405647E-5</v>
      </c>
      <c r="N131" s="1">
        <v>2.07332491839485E-6</v>
      </c>
      <c r="O131" s="1">
        <v>6.9916021402002206E-8</v>
      </c>
      <c r="P131" s="1">
        <v>-3.3245663820756E-7</v>
      </c>
      <c r="Q131">
        <v>74.277106768971393</v>
      </c>
      <c r="R131">
        <v>9.4046058586225403E-2</v>
      </c>
      <c r="S131">
        <v>12.380191672443299</v>
      </c>
      <c r="T131">
        <v>0.24562048396292599</v>
      </c>
      <c r="V131">
        <v>0.59209453208960905</v>
      </c>
      <c r="W131">
        <v>2.64504539773751E-2</v>
      </c>
      <c r="X131">
        <v>0.117557573232787</v>
      </c>
      <c r="AA131">
        <v>0.73028042804224103</v>
      </c>
      <c r="AB131">
        <v>3.3482571393302401</v>
      </c>
      <c r="AC131">
        <v>4.5726805596845201</v>
      </c>
      <c r="AD131">
        <v>3.9185857744257001E-2</v>
      </c>
      <c r="AE131">
        <v>3.5765284719350898</v>
      </c>
    </row>
    <row r="132" spans="1:31" x14ac:dyDescent="0.2">
      <c r="A132">
        <v>131</v>
      </c>
      <c r="B132">
        <v>798</v>
      </c>
      <c r="C132">
        <v>100</v>
      </c>
      <c r="D132">
        <v>0.51173085002101004</v>
      </c>
      <c r="E132">
        <v>101.42622779008001</v>
      </c>
      <c r="F132">
        <v>2.2129535736029502</v>
      </c>
      <c r="G132">
        <v>-1658.1187382320466</v>
      </c>
      <c r="H132">
        <v>-1387.2702725696195</v>
      </c>
      <c r="I132">
        <v>252.857644272443</v>
      </c>
      <c r="J132">
        <v>134.66529560543</v>
      </c>
      <c r="K132">
        <v>45.8329668547659</v>
      </c>
      <c r="L132">
        <v>1.1880895793621233E-4</v>
      </c>
      <c r="M132">
        <v>1.6223570283507521E-5</v>
      </c>
      <c r="N132" s="1">
        <v>2.0613007276768402E-6</v>
      </c>
      <c r="O132" s="1">
        <v>6.9270147749769704E-8</v>
      </c>
      <c r="P132" s="1">
        <v>-3.29330155666396E-7</v>
      </c>
      <c r="Q132">
        <v>74.356839670660705</v>
      </c>
      <c r="R132">
        <v>9.4650074336482495E-2</v>
      </c>
      <c r="S132">
        <v>12.3265350157002</v>
      </c>
      <c r="T132">
        <v>0.24772390186129301</v>
      </c>
      <c r="V132">
        <v>0.59542407301037503</v>
      </c>
      <c r="W132">
        <v>2.6620333407134801E-2</v>
      </c>
      <c r="X132">
        <v>0.11831259292061</v>
      </c>
      <c r="AA132">
        <v>0.71781302234869404</v>
      </c>
      <c r="AB132">
        <v>3.3144461307298401</v>
      </c>
      <c r="AC132">
        <v>4.5919092160387898</v>
      </c>
      <c r="AD132">
        <v>3.9437530973529998E-2</v>
      </c>
      <c r="AE132">
        <v>3.5702884380122302</v>
      </c>
    </row>
    <row r="133" spans="1:31" x14ac:dyDescent="0.2">
      <c r="A133">
        <v>132</v>
      </c>
      <c r="B133">
        <v>796</v>
      </c>
      <c r="C133">
        <v>100</v>
      </c>
      <c r="D133">
        <v>0.51068652668007097</v>
      </c>
      <c r="E133">
        <v>100.77577801722499</v>
      </c>
      <c r="F133">
        <v>2.2133887059452801</v>
      </c>
      <c r="G133">
        <v>-1646.7990216400829</v>
      </c>
      <c r="H133">
        <v>-1378.573187831237</v>
      </c>
      <c r="I133">
        <v>250.877644679274</v>
      </c>
      <c r="J133">
        <v>133.720444340011</v>
      </c>
      <c r="K133">
        <v>45.5300859476406</v>
      </c>
      <c r="L133">
        <v>1.1851949609857339E-4</v>
      </c>
      <c r="M133">
        <v>1.6202887479451532E-5</v>
      </c>
      <c r="N133" s="1">
        <v>2.0492292965125898E-6</v>
      </c>
      <c r="O133" s="1">
        <v>6.8626687996652502E-8</v>
      </c>
      <c r="P133" s="1">
        <v>-3.2620641000439198E-7</v>
      </c>
      <c r="Q133">
        <v>74.4366071377286</v>
      </c>
      <c r="R133">
        <v>9.5260986209991502E-2</v>
      </c>
      <c r="S133">
        <v>12.272966273460201</v>
      </c>
      <c r="T133">
        <v>0.24985410489486301</v>
      </c>
      <c r="V133">
        <v>0.59878913510382603</v>
      </c>
      <c r="W133">
        <v>2.6792152371558998E-2</v>
      </c>
      <c r="X133">
        <v>0.119076232762497</v>
      </c>
      <c r="AA133">
        <v>0.70598555576880695</v>
      </c>
      <c r="AB133">
        <v>3.2801555237852398</v>
      </c>
      <c r="AC133">
        <v>4.6108327600761898</v>
      </c>
      <c r="AD133">
        <v>3.9692077587491402E-2</v>
      </c>
      <c r="AE133">
        <v>3.5639880602507001</v>
      </c>
    </row>
    <row r="134" spans="1:31" x14ac:dyDescent="0.2">
      <c r="A134">
        <v>133</v>
      </c>
      <c r="B134">
        <v>794</v>
      </c>
      <c r="C134">
        <v>100</v>
      </c>
      <c r="D134">
        <v>0.50963828890034402</v>
      </c>
      <c r="E134">
        <v>100.126736370819</v>
      </c>
      <c r="F134">
        <v>2.21382874537339</v>
      </c>
      <c r="G134">
        <v>-1635.5129411073692</v>
      </c>
      <c r="H134">
        <v>-1369.8944691088798</v>
      </c>
      <c r="I134">
        <v>248.904532632235</v>
      </c>
      <c r="J134">
        <v>132.778437117127</v>
      </c>
      <c r="K134">
        <v>45.227859914670603</v>
      </c>
      <c r="L134">
        <v>1.182279520294973E-4</v>
      </c>
      <c r="M134">
        <v>1.6182195541543388E-5</v>
      </c>
      <c r="N134" s="1">
        <v>2.03712539499723E-6</v>
      </c>
      <c r="O134" s="1">
        <v>6.7986107512993304E-8</v>
      </c>
      <c r="P134" s="1">
        <v>-3.2308794424508101E-7</v>
      </c>
      <c r="Q134">
        <v>74.516402636259897</v>
      </c>
      <c r="R134">
        <v>9.5878487085073405E-2</v>
      </c>
      <c r="S134">
        <v>12.219491541322901</v>
      </c>
      <c r="T134">
        <v>0.25201059055077701</v>
      </c>
      <c r="V134">
        <v>0.60218751521371305</v>
      </c>
      <c r="W134">
        <v>2.6965824492675601E-2</v>
      </c>
      <c r="X134">
        <v>0.119848108856351</v>
      </c>
      <c r="AA134">
        <v>0.69477895285906299</v>
      </c>
      <c r="AB134">
        <v>3.245433475125</v>
      </c>
      <c r="AC134">
        <v>4.6294174675729201</v>
      </c>
      <c r="AD134">
        <v>3.9949369618774801E-2</v>
      </c>
      <c r="AE134">
        <v>3.5576360310427901</v>
      </c>
    </row>
    <row r="135" spans="1:31" x14ac:dyDescent="0.2">
      <c r="A135">
        <v>134</v>
      </c>
      <c r="B135">
        <v>792</v>
      </c>
      <c r="C135">
        <v>100</v>
      </c>
      <c r="D135">
        <v>0.50858611463174297</v>
      </c>
      <c r="E135">
        <v>99.479521675848304</v>
      </c>
      <c r="F135">
        <v>2.2142732218674901</v>
      </c>
      <c r="G135">
        <v>-1624.267505321538</v>
      </c>
      <c r="H135">
        <v>-1361.2399171132436</v>
      </c>
      <c r="I135">
        <v>246.939481019851</v>
      </c>
      <c r="J135">
        <v>131.83985210510301</v>
      </c>
      <c r="K135">
        <v>44.926489058991599</v>
      </c>
      <c r="L135">
        <v>1.1793452443337903E-4</v>
      </c>
      <c r="M135">
        <v>1.6161513330016061E-5</v>
      </c>
      <c r="N135" s="1">
        <v>2.02500323564657E-6</v>
      </c>
      <c r="O135" s="1">
        <v>6.7348846776013205E-8</v>
      </c>
      <c r="P135" s="1">
        <v>-3.1997717891268702E-7</v>
      </c>
      <c r="Q135">
        <v>74.596220395083904</v>
      </c>
      <c r="R135">
        <v>9.6502273415442597E-2</v>
      </c>
      <c r="S135">
        <v>12.1661163836567</v>
      </c>
      <c r="T135">
        <v>0.25419286424020499</v>
      </c>
      <c r="V135">
        <v>0.60561703396588096</v>
      </c>
      <c r="W135">
        <v>2.71412643980917E-2</v>
      </c>
      <c r="X135">
        <v>0.120627841769314</v>
      </c>
      <c r="AA135">
        <v>0.684173820293423</v>
      </c>
      <c r="AB135">
        <v>3.2103280592082801</v>
      </c>
      <c r="AC135">
        <v>4.6476297614722197</v>
      </c>
      <c r="AD135">
        <v>4.0209280589760803E-2</v>
      </c>
      <c r="AE135">
        <v>3.5512410219066299</v>
      </c>
    </row>
    <row r="136" spans="1:31" x14ac:dyDescent="0.2">
      <c r="A136">
        <v>135</v>
      </c>
      <c r="B136">
        <v>790</v>
      </c>
      <c r="C136">
        <v>100</v>
      </c>
      <c r="D136">
        <v>0.507529981658283</v>
      </c>
      <c r="E136">
        <v>97.662109215565494</v>
      </c>
      <c r="F136">
        <v>2.2152221466728599</v>
      </c>
      <c r="G136">
        <v>-1593.5878644672619</v>
      </c>
      <c r="H136">
        <v>-1336.2576039270375</v>
      </c>
      <c r="I136">
        <v>242.04511173420801</v>
      </c>
      <c r="J136">
        <v>129.36147368907001</v>
      </c>
      <c r="K136">
        <v>44.086824141880498</v>
      </c>
      <c r="L136">
        <v>1.176692562906012E-4</v>
      </c>
      <c r="M136">
        <v>1.6128124100244721E-5</v>
      </c>
      <c r="N136" s="1">
        <v>1.9864418740326301E-6</v>
      </c>
      <c r="O136" s="1">
        <v>6.5849535864074699E-8</v>
      </c>
      <c r="P136" s="1">
        <v>-3.1323936789152197E-7</v>
      </c>
      <c r="Q136">
        <v>74.603665777263402</v>
      </c>
      <c r="R136">
        <v>9.8298102274348306E-2</v>
      </c>
      <c r="S136">
        <v>12.1452499153856</v>
      </c>
      <c r="T136">
        <v>0.25958828660952799</v>
      </c>
      <c r="V136">
        <v>0.616288610515629</v>
      </c>
      <c r="W136">
        <v>2.76463412646583E-2</v>
      </c>
      <c r="X136">
        <v>0.122872627842952</v>
      </c>
      <c r="AA136">
        <v>0.66991424008817801</v>
      </c>
      <c r="AB136">
        <v>3.1658448328184501</v>
      </c>
      <c r="AC136">
        <v>4.7094190548968102</v>
      </c>
      <c r="AD136">
        <v>4.0957542614301803E-2</v>
      </c>
      <c r="AE136">
        <v>3.5402546684260598</v>
      </c>
    </row>
    <row r="137" spans="1:31" x14ac:dyDescent="0.2">
      <c r="A137">
        <v>136</v>
      </c>
      <c r="B137">
        <v>788</v>
      </c>
      <c r="C137">
        <v>100</v>
      </c>
      <c r="D137">
        <v>0.50646986759647905</v>
      </c>
      <c r="E137">
        <v>94.376932665520101</v>
      </c>
      <c r="F137">
        <v>2.2168447577914199</v>
      </c>
      <c r="G137">
        <v>-1538.5802003202464</v>
      </c>
      <c r="H137">
        <v>-1290.81606854855</v>
      </c>
      <c r="I137">
        <v>233.48643619817699</v>
      </c>
      <c r="J137">
        <v>124.952883307257</v>
      </c>
      <c r="K137">
        <v>42.572639484031797</v>
      </c>
      <c r="L137">
        <v>1.1742938335374312E-4</v>
      </c>
      <c r="M137">
        <v>1.60782792534486E-5</v>
      </c>
      <c r="N137" s="1">
        <v>1.9147740286868701E-6</v>
      </c>
      <c r="O137" s="1">
        <v>6.3278870070069105E-8</v>
      </c>
      <c r="P137" s="1">
        <v>-3.01918728541782E-7</v>
      </c>
      <c r="Q137">
        <v>74.520927180561102</v>
      </c>
      <c r="R137">
        <v>0.101719771228669</v>
      </c>
      <c r="S137">
        <v>12.1644127430766</v>
      </c>
      <c r="T137">
        <v>0.26943378782791499</v>
      </c>
      <c r="V137">
        <v>0.63701269960696705</v>
      </c>
      <c r="W137">
        <v>2.8608685658060899E-2</v>
      </c>
      <c r="X137">
        <v>0.12714971403585701</v>
      </c>
      <c r="AA137">
        <v>0.65292758091279901</v>
      </c>
      <c r="AB137">
        <v>3.1067270421499198</v>
      </c>
      <c r="AC137">
        <v>4.8255133430049302</v>
      </c>
      <c r="AD137">
        <v>4.2383238011933999E-2</v>
      </c>
      <c r="AE137">
        <v>3.5231842139252101</v>
      </c>
    </row>
    <row r="138" spans="1:31" x14ac:dyDescent="0.2">
      <c r="A138">
        <v>137</v>
      </c>
      <c r="B138">
        <v>786</v>
      </c>
      <c r="C138">
        <v>100</v>
      </c>
      <c r="D138">
        <v>0.50540574989378495</v>
      </c>
      <c r="E138">
        <v>90.950852482735201</v>
      </c>
      <c r="F138">
        <v>2.21858359113812</v>
      </c>
      <c r="G138">
        <v>-1481.3299679118466</v>
      </c>
      <c r="H138">
        <v>-1243.4487362720483</v>
      </c>
      <c r="I138">
        <v>224.596357116364</v>
      </c>
      <c r="J138">
        <v>120.361680640069</v>
      </c>
      <c r="K138">
        <v>40.995008187218097</v>
      </c>
      <c r="L138">
        <v>1.1717531623839422E-4</v>
      </c>
      <c r="M138">
        <v>1.6026841787927824E-5</v>
      </c>
      <c r="N138" s="1">
        <v>1.84010032252375E-6</v>
      </c>
      <c r="O138" s="1">
        <v>6.0626132373063901E-8</v>
      </c>
      <c r="P138" s="1">
        <v>-2.9011308941195101E-7</v>
      </c>
      <c r="Q138">
        <v>74.432982863704396</v>
      </c>
      <c r="R138">
        <v>0.105551512030331</v>
      </c>
      <c r="S138">
        <v>12.1851506697</v>
      </c>
      <c r="T138">
        <v>0.28039078661431499</v>
      </c>
      <c r="V138">
        <v>0.66028206379406096</v>
      </c>
      <c r="W138">
        <v>2.9686362758527599E-2</v>
      </c>
      <c r="X138">
        <v>0.131939390037941</v>
      </c>
      <c r="AA138">
        <v>0.63940914857801501</v>
      </c>
      <c r="AB138">
        <v>3.04198751629951</v>
      </c>
      <c r="AC138">
        <v>4.9433846251574796</v>
      </c>
      <c r="AD138">
        <v>4.3979796679290202E-2</v>
      </c>
      <c r="AE138">
        <v>3.5052552646459501</v>
      </c>
    </row>
    <row r="139" spans="1:31" x14ac:dyDescent="0.2">
      <c r="A139">
        <v>138</v>
      </c>
      <c r="B139">
        <v>784</v>
      </c>
      <c r="C139">
        <v>100</v>
      </c>
      <c r="D139">
        <v>0.50433760582698905</v>
      </c>
      <c r="E139">
        <v>87.225583006742696</v>
      </c>
      <c r="F139">
        <v>2.2204898628259602</v>
      </c>
      <c r="G139">
        <v>-1419.2533564902665</v>
      </c>
      <c r="H139">
        <v>-1191.9810181222681</v>
      </c>
      <c r="I139">
        <v>214.985894497467</v>
      </c>
      <c r="J139">
        <v>115.379396408559</v>
      </c>
      <c r="K139">
        <v>39.282135202244497</v>
      </c>
      <c r="L139">
        <v>1.1690653373950586E-4</v>
      </c>
      <c r="M139">
        <v>1.5973691537998639E-5</v>
      </c>
      <c r="N139" s="1">
        <v>1.75924004271071E-6</v>
      </c>
      <c r="O139" s="1">
        <v>5.7787552676686797E-8</v>
      </c>
      <c r="P139" s="1">
        <v>-2.7731205091835901E-7</v>
      </c>
      <c r="Q139">
        <v>74.336947692616405</v>
      </c>
      <c r="R139">
        <v>0.110059453535074</v>
      </c>
      <c r="S139">
        <v>12.2081866566181</v>
      </c>
      <c r="T139">
        <v>0.29315088592737898</v>
      </c>
      <c r="V139">
        <v>0.68777529685144001</v>
      </c>
      <c r="W139">
        <v>3.0954221306736002E-2</v>
      </c>
      <c r="X139">
        <v>0.13757431691887201</v>
      </c>
      <c r="AA139">
        <v>0.63047982635881405</v>
      </c>
      <c r="AB139">
        <v>2.9701157594119101</v>
      </c>
      <c r="AC139">
        <v>5.0625582836149903</v>
      </c>
      <c r="AD139">
        <v>4.58581056395981E-2</v>
      </c>
      <c r="AE139">
        <v>3.48633950120059</v>
      </c>
    </row>
    <row r="140" spans="1:31" x14ac:dyDescent="0.2">
      <c r="A140">
        <v>139</v>
      </c>
      <c r="B140">
        <v>782</v>
      </c>
      <c r="C140">
        <v>100</v>
      </c>
      <c r="D140">
        <v>0.50326541250059598</v>
      </c>
      <c r="E140">
        <v>58.955764510901901</v>
      </c>
      <c r="F140">
        <v>2.2236388929832902</v>
      </c>
      <c r="G140">
        <v>-959.08103165000989</v>
      </c>
      <c r="H140">
        <v>-806.22387328525588</v>
      </c>
      <c r="I140">
        <v>144.86770446358699</v>
      </c>
      <c r="J140">
        <v>78.015088017466596</v>
      </c>
      <c r="K140">
        <v>26.5131918212697</v>
      </c>
      <c r="L140">
        <v>1.1617866376504751E-4</v>
      </c>
      <c r="M140">
        <v>1.5895481224286198E-5</v>
      </c>
      <c r="N140" s="1">
        <v>1.1794938650143801E-6</v>
      </c>
      <c r="O140" s="1">
        <v>3.8638641880327001E-8</v>
      </c>
      <c r="P140" s="1">
        <v>-1.8505088676447499E-7</v>
      </c>
      <c r="Q140">
        <v>74.117805712568099</v>
      </c>
      <c r="R140">
        <v>0.12739127924256699</v>
      </c>
      <c r="S140">
        <v>12.436841964631601</v>
      </c>
      <c r="T140">
        <v>0.269811476614915</v>
      </c>
      <c r="V140">
        <v>0.63414884984328201</v>
      </c>
      <c r="W140">
        <v>4.5797048387021901E-2</v>
      </c>
      <c r="X140">
        <v>0.196754953317785</v>
      </c>
      <c r="AA140">
        <v>0.68794431542674295</v>
      </c>
      <c r="AB140">
        <v>2.75090336567331</v>
      </c>
      <c r="AC140">
        <v>5.2143993507756399</v>
      </c>
      <c r="AD140">
        <v>6.7847479091855706E-2</v>
      </c>
      <c r="AE140">
        <v>3.4503542044269802</v>
      </c>
    </row>
    <row r="141" spans="1:31" x14ac:dyDescent="0.2">
      <c r="A141">
        <v>140</v>
      </c>
      <c r="B141">
        <v>780</v>
      </c>
      <c r="C141">
        <v>100</v>
      </c>
      <c r="D141">
        <v>0.50218914684517901</v>
      </c>
      <c r="E141">
        <v>34.617725612334702</v>
      </c>
      <c r="F141">
        <v>2.22796954667924</v>
      </c>
      <c r="G141">
        <v>-563.10744782209042</v>
      </c>
      <c r="H141">
        <v>-473.82518178301524</v>
      </c>
      <c r="I141">
        <v>84.776400359944205</v>
      </c>
      <c r="J141">
        <v>45.845317404837701</v>
      </c>
      <c r="K141">
        <v>15.5377911982378</v>
      </c>
      <c r="L141">
        <v>1.1545641862396455E-4</v>
      </c>
      <c r="M141">
        <v>1.5842353671058679E-5</v>
      </c>
      <c r="N141" s="1">
        <v>6.87222842726551E-7</v>
      </c>
      <c r="O141" s="1">
        <v>2.2448241644872101E-8</v>
      </c>
      <c r="P141" s="1">
        <v>-1.0678006348466899E-7</v>
      </c>
      <c r="Q141">
        <v>73.701173723087805</v>
      </c>
      <c r="R141">
        <v>0.165202808815678</v>
      </c>
      <c r="S141">
        <v>12.916059801972001</v>
      </c>
      <c r="T141">
        <v>0.24930388346920099</v>
      </c>
      <c r="V141">
        <v>0.59148832266485896</v>
      </c>
      <c r="W141">
        <v>7.7994725310238905E-2</v>
      </c>
      <c r="X141">
        <v>0.210260284067213</v>
      </c>
      <c r="AA141">
        <v>0.74798301513890997</v>
      </c>
      <c r="AB141">
        <v>2.4739886614591602</v>
      </c>
      <c r="AC141">
        <v>5.3351264335652004</v>
      </c>
      <c r="AD141">
        <v>0.115547741200255</v>
      </c>
      <c r="AE141">
        <v>3.4158705992492999</v>
      </c>
    </row>
    <row r="142" spans="1:31" x14ac:dyDescent="0.2">
      <c r="A142">
        <v>141</v>
      </c>
      <c r="B142">
        <v>778</v>
      </c>
      <c r="C142">
        <v>100</v>
      </c>
      <c r="D142">
        <v>0.501108785615755</v>
      </c>
      <c r="E142">
        <v>24.858690727369702</v>
      </c>
      <c r="F142">
        <v>2.23145328287089</v>
      </c>
      <c r="G142">
        <v>-404.35446579173919</v>
      </c>
      <c r="H142">
        <v>-340.53335885795366</v>
      </c>
      <c r="I142">
        <v>60.715508665543098</v>
      </c>
      <c r="J142">
        <v>32.949298547465901</v>
      </c>
      <c r="K142">
        <v>11.1401349596652</v>
      </c>
      <c r="L142">
        <v>1.1501548468519424E-4</v>
      </c>
      <c r="M142">
        <v>1.5818175879556958E-5</v>
      </c>
      <c r="N142" s="1">
        <v>4.9168787871797102E-7</v>
      </c>
      <c r="O142" s="1">
        <v>1.6009168135188101E-8</v>
      </c>
      <c r="P142" s="1">
        <v>-7.5687355814974906E-8</v>
      </c>
      <c r="Q142">
        <v>73.316243407662498</v>
      </c>
      <c r="R142">
        <v>0.191037987444932</v>
      </c>
      <c r="S142">
        <v>13.366350727165401</v>
      </c>
      <c r="T142">
        <v>0.23507244312761499</v>
      </c>
      <c r="V142">
        <v>0.56244132782119405</v>
      </c>
      <c r="W142">
        <v>0.108613926196302</v>
      </c>
      <c r="X142">
        <v>0.21307033026643299</v>
      </c>
      <c r="AA142">
        <v>0.77575165222440301</v>
      </c>
      <c r="AB142">
        <v>2.27303357714761</v>
      </c>
      <c r="AC142">
        <v>5.4018170387548299</v>
      </c>
      <c r="AD142">
        <v>0.16090952029067901</v>
      </c>
      <c r="AE142">
        <v>3.3956580618980099</v>
      </c>
    </row>
    <row r="143" spans="1:31" x14ac:dyDescent="0.2">
      <c r="A143">
        <v>142</v>
      </c>
      <c r="B143">
        <v>776</v>
      </c>
      <c r="C143">
        <v>100</v>
      </c>
      <c r="D143">
        <v>0.50002430539008103</v>
      </c>
      <c r="E143">
        <v>19.9261229061139</v>
      </c>
      <c r="F143">
        <v>2.2343581162731798</v>
      </c>
      <c r="G143">
        <v>-324.11637710546211</v>
      </c>
      <c r="H143">
        <v>-273.16964749222927</v>
      </c>
      <c r="I143">
        <v>48.560005350267097</v>
      </c>
      <c r="J143">
        <v>26.4331308855914</v>
      </c>
      <c r="K143">
        <v>8.9180524648170003</v>
      </c>
      <c r="L143">
        <v>1.147275653450562E-4</v>
      </c>
      <c r="M143">
        <v>1.5806532939354764E-5</v>
      </c>
      <c r="N143" s="1">
        <v>3.9356355739511299E-7</v>
      </c>
      <c r="O143" s="1">
        <v>1.27703601157389E-8</v>
      </c>
      <c r="P143" s="1">
        <v>-6.0068126745445506E-8</v>
      </c>
      <c r="Q143">
        <v>72.977203201336195</v>
      </c>
      <c r="R143">
        <v>0.20862237930434199</v>
      </c>
      <c r="S143">
        <v>13.7620624283318</v>
      </c>
      <c r="T143">
        <v>0.22452017147341199</v>
      </c>
      <c r="V143">
        <v>0.54084395561424703</v>
      </c>
      <c r="W143">
        <v>0.13550051922899201</v>
      </c>
      <c r="X143">
        <v>0.214425603463516</v>
      </c>
      <c r="AA143">
        <v>0.79299028722533804</v>
      </c>
      <c r="AB143">
        <v>2.1197519184328</v>
      </c>
      <c r="AC143">
        <v>5.4402182943391901</v>
      </c>
      <c r="AD143">
        <v>0.20074150996867501</v>
      </c>
      <c r="AE143">
        <v>3.38311973128146</v>
      </c>
    </row>
    <row r="144" spans="1:31" x14ac:dyDescent="0.2">
      <c r="A144">
        <v>143</v>
      </c>
      <c r="B144">
        <v>774</v>
      </c>
      <c r="C144">
        <v>100</v>
      </c>
      <c r="D144">
        <v>0.49893568256697302</v>
      </c>
      <c r="E144">
        <v>16.933398577770099</v>
      </c>
      <c r="F144">
        <v>2.2368947249201101</v>
      </c>
      <c r="G144">
        <v>-275.43212283138331</v>
      </c>
      <c r="H144">
        <v>-232.30450337884045</v>
      </c>
      <c r="I144">
        <v>41.185713080783799</v>
      </c>
      <c r="J144">
        <v>22.480605955544799</v>
      </c>
      <c r="K144">
        <v>7.5700471681227297</v>
      </c>
      <c r="L144">
        <v>1.1452600819101835E-4</v>
      </c>
      <c r="M144">
        <v>1.5801158877304891E-5</v>
      </c>
      <c r="N144" s="1">
        <v>3.3439860018145598E-7</v>
      </c>
      <c r="O144" s="1">
        <v>1.08122283713283E-8</v>
      </c>
      <c r="P144" s="1">
        <v>-5.0637259717580298E-8</v>
      </c>
      <c r="Q144">
        <v>72.672566922554395</v>
      </c>
      <c r="R144">
        <v>0.221564458186508</v>
      </c>
      <c r="S144">
        <v>14.116097389978499</v>
      </c>
      <c r="T144">
        <v>0.21602831948645501</v>
      </c>
      <c r="V144">
        <v>0.52325168657936905</v>
      </c>
      <c r="W144">
        <v>0.15944820454078601</v>
      </c>
      <c r="X144">
        <v>0.214990375085162</v>
      </c>
      <c r="AA144">
        <v>0.80641235297650804</v>
      </c>
      <c r="AB144">
        <v>1.9953880457314599</v>
      </c>
      <c r="AC144">
        <v>5.4631362466904898</v>
      </c>
      <c r="AD144">
        <v>0.236219562282351</v>
      </c>
      <c r="AE144">
        <v>3.3748964359078899</v>
      </c>
    </row>
    <row r="145" spans="1:31" x14ac:dyDescent="0.2">
      <c r="A145">
        <v>144</v>
      </c>
      <c r="B145">
        <v>772</v>
      </c>
      <c r="C145">
        <v>100</v>
      </c>
      <c r="D145">
        <v>0.49784289336458698</v>
      </c>
      <c r="E145">
        <v>14.902542649773499</v>
      </c>
      <c r="F145">
        <v>2.23917897011829</v>
      </c>
      <c r="G145">
        <v>-242.39326622045209</v>
      </c>
      <c r="H145">
        <v>-204.57848597712677</v>
      </c>
      <c r="I145">
        <v>36.181199103789197</v>
      </c>
      <c r="J145">
        <v>19.799065314899099</v>
      </c>
      <c r="K145">
        <v>6.6553602229419999</v>
      </c>
      <c r="L145">
        <v>1.1437985401594573E-4</v>
      </c>
      <c r="M145">
        <v>1.5799483150813447E-5</v>
      </c>
      <c r="N145" s="1">
        <v>2.9448254256266899E-7</v>
      </c>
      <c r="O145" s="1">
        <v>9.4873288289627396E-9</v>
      </c>
      <c r="P145" s="1">
        <v>-4.4264607352071703E-8</v>
      </c>
      <c r="Q145">
        <v>72.393431807262999</v>
      </c>
      <c r="R145">
        <v>0.23164370791497199</v>
      </c>
      <c r="S145">
        <v>14.4389491196281</v>
      </c>
      <c r="T145">
        <v>0.20883273169556199</v>
      </c>
      <c r="V145">
        <v>0.50811178911043098</v>
      </c>
      <c r="W145">
        <v>0.18117713624124099</v>
      </c>
      <c r="X145">
        <v>0.21508128118669301</v>
      </c>
      <c r="AA145">
        <v>0.81822519554149198</v>
      </c>
      <c r="AB145">
        <v>1.8903927499159501</v>
      </c>
      <c r="AC145">
        <v>5.4763143925018296</v>
      </c>
      <c r="AD145">
        <v>0.26841057220890802</v>
      </c>
      <c r="AE145">
        <v>3.3694295167916599</v>
      </c>
    </row>
    <row r="146" spans="1:31" x14ac:dyDescent="0.2">
      <c r="A146">
        <v>145</v>
      </c>
      <c r="B146">
        <v>770</v>
      </c>
      <c r="C146">
        <v>100</v>
      </c>
      <c r="D146">
        <v>0.49674591381872402</v>
      </c>
      <c r="E146">
        <v>13.4197827424045</v>
      </c>
      <c r="F146">
        <v>2.2412791327662398</v>
      </c>
      <c r="G146">
        <v>-218.26943860162683</v>
      </c>
      <c r="H146">
        <v>-184.33918672342179</v>
      </c>
      <c r="I146">
        <v>32.526723748458899</v>
      </c>
      <c r="J146">
        <v>17.841668434598301</v>
      </c>
      <c r="K146">
        <v>5.9875552965335102</v>
      </c>
      <c r="L146">
        <v>1.1427250141436995E-4</v>
      </c>
      <c r="M146">
        <v>1.5800247184064281E-5</v>
      </c>
      <c r="N146" s="1">
        <v>2.6550241412295902E-7</v>
      </c>
      <c r="O146" s="1">
        <v>8.5224987130565996E-9</v>
      </c>
      <c r="P146" s="1">
        <v>-3.9630067681861102E-8</v>
      </c>
      <c r="Q146">
        <v>72.133785902162799</v>
      </c>
      <c r="R146">
        <v>0.23980901411309799</v>
      </c>
      <c r="S146">
        <v>14.7378155659557</v>
      </c>
      <c r="T146">
        <v>0.20252833309034099</v>
      </c>
      <c r="V146">
        <v>0.494627883151187</v>
      </c>
      <c r="W146">
        <v>0.20119550754478699</v>
      </c>
      <c r="X146">
        <v>0.214863224156394</v>
      </c>
      <c r="AA146">
        <v>0.82930623104585399</v>
      </c>
      <c r="AB146">
        <v>1.7993435244928799</v>
      </c>
      <c r="AC146">
        <v>5.4827708803661199</v>
      </c>
      <c r="AD146">
        <v>0.298067418584472</v>
      </c>
      <c r="AE146">
        <v>3.3658865153362298</v>
      </c>
    </row>
    <row r="147" spans="1:31" x14ac:dyDescent="0.2">
      <c r="A147">
        <v>146</v>
      </c>
      <c r="B147">
        <v>768</v>
      </c>
      <c r="C147">
        <v>100</v>
      </c>
      <c r="D147">
        <v>0.49564471978101199</v>
      </c>
      <c r="E147">
        <v>12.280621253494701</v>
      </c>
      <c r="F147">
        <v>2.2432385909792099</v>
      </c>
      <c r="G147">
        <v>-199.73439619731769</v>
      </c>
      <c r="H147">
        <v>-168.79301717426682</v>
      </c>
      <c r="I147">
        <v>29.718464220382099</v>
      </c>
      <c r="J147">
        <v>16.3381793604816</v>
      </c>
      <c r="K147">
        <v>5.4745051653796697</v>
      </c>
      <c r="L147">
        <v>1.1419403046042106E-4</v>
      </c>
      <c r="M147">
        <v>1.5802749475743991E-5</v>
      </c>
      <c r="N147" s="1">
        <v>2.4335985678152801E-7</v>
      </c>
      <c r="O147" s="1">
        <v>7.7830062194403504E-9</v>
      </c>
      <c r="P147" s="1">
        <v>-3.6082764741037399E-8</v>
      </c>
      <c r="Q147">
        <v>71.889512487980994</v>
      </c>
      <c r="R147">
        <v>0.24661361112185801</v>
      </c>
      <c r="S147">
        <v>15.017664853068601</v>
      </c>
      <c r="T147">
        <v>0.196877285342205</v>
      </c>
      <c r="V147">
        <v>0.48234424890328498</v>
      </c>
      <c r="W147">
        <v>0.21985858404601499</v>
      </c>
      <c r="X147">
        <v>0.21443053519969901</v>
      </c>
      <c r="AA147">
        <v>0.84005398255629804</v>
      </c>
      <c r="AB147">
        <v>1.7188685776803601</v>
      </c>
      <c r="AC147">
        <v>5.4842872093774098</v>
      </c>
      <c r="AD147">
        <v>0.32571642080843299</v>
      </c>
      <c r="AE147">
        <v>3.3637722039147202</v>
      </c>
    </row>
    <row r="148" spans="1:31" x14ac:dyDescent="0.2">
      <c r="A148">
        <v>147</v>
      </c>
      <c r="B148">
        <v>766</v>
      </c>
      <c r="C148">
        <v>100</v>
      </c>
      <c r="D148">
        <v>0.49453928691719501</v>
      </c>
      <c r="E148">
        <v>11.372193946263099</v>
      </c>
      <c r="F148">
        <v>2.2450866417530801</v>
      </c>
      <c r="G148">
        <v>-184.95237722820011</v>
      </c>
      <c r="H148">
        <v>-156.39818174227722</v>
      </c>
      <c r="I148">
        <v>27.478415518378299</v>
      </c>
      <c r="J148">
        <v>15.1394651960705</v>
      </c>
      <c r="K148">
        <v>5.0653697433178602</v>
      </c>
      <c r="L148">
        <v>1.1413802718336486E-4</v>
      </c>
      <c r="M148">
        <v>1.580656067850577E-5</v>
      </c>
      <c r="N148" s="1">
        <v>2.25797671342226E-7</v>
      </c>
      <c r="O148" s="1">
        <v>7.1946098865795602E-9</v>
      </c>
      <c r="P148" s="1">
        <v>-3.3264167088466202E-8</v>
      </c>
      <c r="Q148">
        <v>71.657693717074594</v>
      </c>
      <c r="R148">
        <v>0.25240463906023702</v>
      </c>
      <c r="S148">
        <v>15.282035034459501</v>
      </c>
      <c r="T148">
        <v>0.191728500048715</v>
      </c>
      <c r="V148">
        <v>0.47097736470220097</v>
      </c>
      <c r="W148">
        <v>0.23742120586026999</v>
      </c>
      <c r="X148">
        <v>0.21384142556261099</v>
      </c>
      <c r="AA148">
        <v>0.85066661405979005</v>
      </c>
      <c r="AB148">
        <v>1.64672194060223</v>
      </c>
      <c r="AC148">
        <v>5.4820067277454996</v>
      </c>
      <c r="AD148">
        <v>0.35173511979243899</v>
      </c>
      <c r="AE148">
        <v>3.36276771103178</v>
      </c>
    </row>
    <row r="149" spans="1:31" x14ac:dyDescent="0.2">
      <c r="A149">
        <v>148</v>
      </c>
      <c r="B149">
        <v>764</v>
      </c>
      <c r="C149">
        <v>100</v>
      </c>
      <c r="D149">
        <v>0.49342959070530001</v>
      </c>
      <c r="E149">
        <v>10.6269201128085</v>
      </c>
      <c r="F149">
        <v>2.2468440513261001</v>
      </c>
      <c r="G149">
        <v>-172.82417304657542</v>
      </c>
      <c r="H149">
        <v>-146.23150263941244</v>
      </c>
      <c r="I149">
        <v>25.640139234597601</v>
      </c>
      <c r="J149">
        <v>14.1562353284547</v>
      </c>
      <c r="K149">
        <v>4.7297097039451801</v>
      </c>
      <c r="L149">
        <v>1.1410009310771739E-4</v>
      </c>
      <c r="M149">
        <v>1.5811399108607811E-5</v>
      </c>
      <c r="N149" s="1">
        <v>2.11466803214504E-7</v>
      </c>
      <c r="O149" s="1">
        <v>6.71291439738796E-9</v>
      </c>
      <c r="P149" s="1">
        <v>-3.0959947585509202E-8</v>
      </c>
      <c r="Q149">
        <v>71.436189655940694</v>
      </c>
      <c r="R149">
        <v>0.25741298915983102</v>
      </c>
      <c r="S149">
        <v>15.533528809890701</v>
      </c>
      <c r="T149">
        <v>0.18698000916049101</v>
      </c>
      <c r="V149">
        <v>0.46033916366701999</v>
      </c>
      <c r="W149">
        <v>0.25407173210461598</v>
      </c>
      <c r="X149">
        <v>0.213134020725119</v>
      </c>
      <c r="AA149">
        <v>0.86124880373000601</v>
      </c>
      <c r="AB149">
        <v>1.5813269261880101</v>
      </c>
      <c r="AC149">
        <v>5.4767101412098498</v>
      </c>
      <c r="AD149">
        <v>0.37640256608031702</v>
      </c>
      <c r="AE149">
        <v>3.36265518214323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C9C7D-E7DD-475F-957C-72BF1EA4F145}">
  <sheetPr codeName="Sheet5"/>
  <dimension ref="A1:P149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760</v>
      </c>
      <c r="C2">
        <v>300</v>
      </c>
      <c r="D2">
        <v>0.27825630353772701</v>
      </c>
      <c r="E2">
        <v>3.8692925733162502</v>
      </c>
      <c r="F2">
        <v>0.57755233730724798</v>
      </c>
      <c r="G2">
        <v>-83.774936899819068</v>
      </c>
      <c r="H2">
        <v>-49.244392244761336</v>
      </c>
      <c r="I2">
        <v>33.424729131171603</v>
      </c>
      <c r="J2">
        <v>14.7881423401564</v>
      </c>
      <c r="K2">
        <v>6.6994665649804901</v>
      </c>
      <c r="L2">
        <v>1.1159856656337461E-3</v>
      </c>
      <c r="M2">
        <v>1.6872488244912802E-4</v>
      </c>
      <c r="N2" s="1">
        <v>4.8352050419734703E-6</v>
      </c>
      <c r="O2" s="1">
        <v>8.1607293310886605E-7</v>
      </c>
      <c r="P2" s="1">
        <v>-3.2817022494353401E-6</v>
      </c>
    </row>
    <row r="3" spans="1:16" x14ac:dyDescent="0.2">
      <c r="A3">
        <v>2</v>
      </c>
      <c r="B3">
        <v>758</v>
      </c>
      <c r="C3">
        <v>300</v>
      </c>
      <c r="D3">
        <v>0.27672065169955901</v>
      </c>
      <c r="E3">
        <v>4.0537714698781198</v>
      </c>
      <c r="F3">
        <v>0.59858723537782299</v>
      </c>
      <c r="G3">
        <v>-86.775677131926145</v>
      </c>
      <c r="H3">
        <v>-51.888503797761842</v>
      </c>
      <c r="I3">
        <v>33.835420747119798</v>
      </c>
      <c r="J3">
        <v>15.0434554511565</v>
      </c>
      <c r="K3">
        <v>6.7722317321374499</v>
      </c>
      <c r="L3">
        <v>1.1058051317867396E-3</v>
      </c>
      <c r="M3">
        <v>1.6644467890524126E-4</v>
      </c>
      <c r="N3" s="1">
        <v>4.9138661746535096E-6</v>
      </c>
      <c r="O3" s="1">
        <v>8.1284603371041795E-7</v>
      </c>
      <c r="P3" s="1">
        <v>-3.2872864610869202E-6</v>
      </c>
    </row>
    <row r="4" spans="1:16" x14ac:dyDescent="0.2">
      <c r="A4">
        <v>3</v>
      </c>
      <c r="B4">
        <v>756</v>
      </c>
      <c r="C4">
        <v>300</v>
      </c>
      <c r="D4">
        <v>0.27517903123937498</v>
      </c>
      <c r="E4">
        <v>4.5191494627372597</v>
      </c>
      <c r="F4">
        <v>0.64790499706949001</v>
      </c>
      <c r="G4">
        <v>-94.430670157308597</v>
      </c>
      <c r="H4">
        <v>-58.519290143410309</v>
      </c>
      <c r="I4">
        <v>34.8963861222677</v>
      </c>
      <c r="J4">
        <v>15.6636975749214</v>
      </c>
      <c r="K4">
        <v>6.9750186881990803</v>
      </c>
      <c r="L4">
        <v>1.0794771997337711E-3</v>
      </c>
      <c r="M4">
        <v>1.6177894973802857E-4</v>
      </c>
      <c r="N4" s="1">
        <v>5.0120028077533801E-6</v>
      </c>
      <c r="O4" s="1">
        <v>8.1266565931713E-7</v>
      </c>
      <c r="P4" s="1">
        <v>-3.3052423447498101E-6</v>
      </c>
    </row>
    <row r="5" spans="1:16" x14ac:dyDescent="0.2">
      <c r="A5">
        <v>4</v>
      </c>
      <c r="B5">
        <v>754</v>
      </c>
      <c r="C5">
        <v>300</v>
      </c>
      <c r="D5">
        <v>0.27363140729202201</v>
      </c>
      <c r="E5">
        <v>4.97980908869775</v>
      </c>
      <c r="F5">
        <v>0.69401792559193298</v>
      </c>
      <c r="G5">
        <v>-102.00274772857492</v>
      </c>
      <c r="H5">
        <v>-65.085697234249309</v>
      </c>
      <c r="I5">
        <v>35.943436756201301</v>
      </c>
      <c r="J5">
        <v>16.277447140190901</v>
      </c>
      <c r="K5">
        <v>7.1753320844709103</v>
      </c>
      <c r="L5">
        <v>1.054875191297726E-3</v>
      </c>
      <c r="M5">
        <v>1.574064628149553E-4</v>
      </c>
      <c r="N5" s="1">
        <v>5.1106786806924704E-6</v>
      </c>
      <c r="O5" s="1">
        <v>8.1234147738660102E-7</v>
      </c>
      <c r="P5" s="1">
        <v>-3.3227318058658702E-6</v>
      </c>
    </row>
    <row r="6" spans="1:16" x14ac:dyDescent="0.2">
      <c r="A6">
        <v>5</v>
      </c>
      <c r="B6">
        <v>752</v>
      </c>
      <c r="C6">
        <v>300</v>
      </c>
      <c r="D6">
        <v>0.27207774472028401</v>
      </c>
      <c r="E6">
        <v>5.43582912946672</v>
      </c>
      <c r="F6">
        <v>0.73724013127786303</v>
      </c>
      <c r="G6">
        <v>-109.49329489924203</v>
      </c>
      <c r="H6">
        <v>-71.588803704334765</v>
      </c>
      <c r="I6">
        <v>36.976790113500698</v>
      </c>
      <c r="J6">
        <v>16.884805921183599</v>
      </c>
      <c r="K6">
        <v>7.3732138266059497</v>
      </c>
      <c r="L6">
        <v>1.0318290592513603E-3</v>
      </c>
      <c r="M6">
        <v>1.5329852600156661E-4</v>
      </c>
      <c r="N6" s="1">
        <v>5.2098760444014604E-6</v>
      </c>
      <c r="O6" s="1">
        <v>8.1187631782419003E-7</v>
      </c>
      <c r="P6" s="1">
        <v>-3.3397570397854798E-6</v>
      </c>
    </row>
    <row r="7" spans="1:16" x14ac:dyDescent="0.2">
      <c r="A7">
        <v>6</v>
      </c>
      <c r="B7">
        <v>750</v>
      </c>
      <c r="C7">
        <v>300</v>
      </c>
      <c r="D7">
        <v>0.270518008112205</v>
      </c>
      <c r="E7">
        <v>5.8872866544627902</v>
      </c>
      <c r="F7">
        <v>0.77784597567610103</v>
      </c>
      <c r="G7">
        <v>-116.90366657321705</v>
      </c>
      <c r="H7">
        <v>-78.02966475588731</v>
      </c>
      <c r="I7">
        <v>37.996658793254703</v>
      </c>
      <c r="J7">
        <v>17.485873355230002</v>
      </c>
      <c r="K7">
        <v>7.5687049088935403</v>
      </c>
      <c r="L7">
        <v>1.0101902723440002E-3</v>
      </c>
      <c r="M7">
        <v>1.4943007978857707E-4</v>
      </c>
      <c r="N7" s="1">
        <v>5.3095769368872799E-6</v>
      </c>
      <c r="O7" s="1">
        <v>8.1127297079529899E-7</v>
      </c>
      <c r="P7" s="1">
        <v>-3.35632020460451E-6</v>
      </c>
    </row>
    <row r="8" spans="1:16" x14ac:dyDescent="0.2">
      <c r="A8">
        <v>7</v>
      </c>
      <c r="B8">
        <v>748</v>
      </c>
      <c r="C8">
        <v>300</v>
      </c>
      <c r="D8">
        <v>0.26895216177838999</v>
      </c>
      <c r="E8">
        <v>6.3342570655847599</v>
      </c>
      <c r="F8">
        <v>0.81607616596961696</v>
      </c>
      <c r="G8">
        <v>-124.23518829261688</v>
      </c>
      <c r="H8">
        <v>-84.409312771424737</v>
      </c>
      <c r="I8">
        <v>39.003250653463702</v>
      </c>
      <c r="J8">
        <v>18.080746602120598</v>
      </c>
      <c r="K8">
        <v>7.7618454376237498</v>
      </c>
      <c r="L8">
        <v>9.8982851658788152E-4</v>
      </c>
      <c r="M8">
        <v>1.4577914033172558E-4</v>
      </c>
      <c r="N8" s="1">
        <v>5.4097631864128696E-6</v>
      </c>
      <c r="O8" s="1">
        <v>8.10534187811481E-7</v>
      </c>
      <c r="P8" s="1">
        <v>-3.3724234243336399E-6</v>
      </c>
    </row>
    <row r="9" spans="1:16" x14ac:dyDescent="0.2">
      <c r="A9">
        <v>8</v>
      </c>
      <c r="B9">
        <v>746</v>
      </c>
      <c r="C9">
        <v>300</v>
      </c>
      <c r="D9">
        <v>0.26738016974930101</v>
      </c>
      <c r="E9">
        <v>6.7768141447112802</v>
      </c>
      <c r="F9">
        <v>0.85214276176983605</v>
      </c>
      <c r="G9">
        <v>-131.48915707030434</v>
      </c>
      <c r="H9">
        <v>-90.72875796512993</v>
      </c>
      <c r="I9">
        <v>39.996768942284703</v>
      </c>
      <c r="J9">
        <v>18.669520607457699</v>
      </c>
      <c r="K9">
        <v>7.9526746558714496</v>
      </c>
      <c r="L9">
        <v>9.7062898523254406E-4</v>
      </c>
      <c r="M9">
        <v>1.4232634188983523E-4</v>
      </c>
      <c r="N9" s="1">
        <v>5.5104164153777104E-6</v>
      </c>
      <c r="O9" s="1">
        <v>8.09662682852217E-7</v>
      </c>
      <c r="P9" s="1">
        <v>-3.38806879231746E-6</v>
      </c>
    </row>
    <row r="10" spans="1:16" x14ac:dyDescent="0.2">
      <c r="A10">
        <v>9</v>
      </c>
      <c r="B10">
        <v>744</v>
      </c>
      <c r="C10">
        <v>300</v>
      </c>
      <c r="D10">
        <v>0.26580199577250502</v>
      </c>
      <c r="E10">
        <v>7.2150300991050003</v>
      </c>
      <c r="F10">
        <v>0.88623331391287496</v>
      </c>
      <c r="G10">
        <v>-138.66684218482524</v>
      </c>
      <c r="H10">
        <v>-96.988989005626365</v>
      </c>
      <c r="I10">
        <v>40.977412421971103</v>
      </c>
      <c r="J10">
        <v>19.2522881625301</v>
      </c>
      <c r="K10">
        <v>8.1412309668764102</v>
      </c>
      <c r="L10">
        <v>9.5249013856208201E-4</v>
      </c>
      <c r="M10">
        <v>1.3905455858719541E-4</v>
      </c>
      <c r="N10" s="1">
        <v>5.6115180439812799E-6</v>
      </c>
      <c r="O10" s="1">
        <v>8.0866113337995105E-7</v>
      </c>
      <c r="P10" s="1">
        <v>-3.4032583743113901E-6</v>
      </c>
    </row>
    <row r="11" spans="1:16" x14ac:dyDescent="0.2">
      <c r="A11">
        <v>10</v>
      </c>
      <c r="B11">
        <v>742</v>
      </c>
      <c r="C11">
        <v>300</v>
      </c>
      <c r="D11">
        <v>0.264217603309855</v>
      </c>
      <c r="E11">
        <v>7.6489756030113902</v>
      </c>
      <c r="F11">
        <v>0.91851430571097803</v>
      </c>
      <c r="G11">
        <v>-145.76948591205354</v>
      </c>
      <c r="H11">
        <v>-103.19097358510535</v>
      </c>
      <c r="I11">
        <v>41.945375484776399</v>
      </c>
      <c r="J11">
        <v>19.8291399597767</v>
      </c>
      <c r="K11">
        <v>8.3275519558627593</v>
      </c>
      <c r="L11">
        <v>9.3532184125965268E-4</v>
      </c>
      <c r="M11">
        <v>1.3594858992134988E-4</v>
      </c>
      <c r="N11" s="1">
        <v>5.7130492941394899E-6</v>
      </c>
      <c r="O11" s="1">
        <v>8.0753218132779196E-7</v>
      </c>
      <c r="P11" s="1">
        <v>-3.4179942115379502E-6</v>
      </c>
    </row>
    <row r="12" spans="1:16" x14ac:dyDescent="0.2">
      <c r="A12">
        <v>11</v>
      </c>
      <c r="B12">
        <v>740</v>
      </c>
      <c r="C12">
        <v>300</v>
      </c>
      <c r="D12">
        <v>0.26262695553471999</v>
      </c>
      <c r="E12">
        <v>8.0787198393764399</v>
      </c>
      <c r="F12">
        <v>0.94913403036203703</v>
      </c>
      <c r="G12">
        <v>-152.79830425636629</v>
      </c>
      <c r="H12">
        <v>-109.3356589911343</v>
      </c>
      <c r="I12">
        <v>42.900848267121603</v>
      </c>
      <c r="J12">
        <v>20.400164647804701</v>
      </c>
      <c r="K12">
        <v>8.5116744115632397</v>
      </c>
      <c r="L12">
        <v>9.1904380495804947E-4</v>
      </c>
      <c r="M12">
        <v>1.329948978004017E-4</v>
      </c>
      <c r="N12" s="1">
        <v>5.8149911933894098E-6</v>
      </c>
      <c r="O12" s="1">
        <v>8.0627843401885202E-7</v>
      </c>
      <c r="P12" s="1">
        <v>-3.43227832354644E-6</v>
      </c>
    </row>
    <row r="13" spans="1:16" x14ac:dyDescent="0.2">
      <c r="A13">
        <v>12</v>
      </c>
      <c r="B13">
        <v>738</v>
      </c>
      <c r="C13">
        <v>300</v>
      </c>
      <c r="D13">
        <v>0.26103001532908299</v>
      </c>
      <c r="E13">
        <v>8.5043305410898</v>
      </c>
      <c r="F13">
        <v>0.978225009366261</v>
      </c>
      <c r="G13">
        <v>-159.75448767316479</v>
      </c>
      <c r="H13">
        <v>-115.42397267224082</v>
      </c>
      <c r="I13">
        <v>43.844016762713203</v>
      </c>
      <c r="J13">
        <v>20.9654488860273</v>
      </c>
      <c r="K13">
        <v>8.6936343475815399</v>
      </c>
      <c r="L13">
        <v>9.0358427922805358E-4</v>
      </c>
      <c r="M13">
        <v>1.3018138552705618E-4</v>
      </c>
      <c r="N13" s="1">
        <v>5.9173245791227702E-6</v>
      </c>
      <c r="O13" s="1">
        <v>8.04902465073162E-7</v>
      </c>
      <c r="P13" s="1">
        <v>-3.4461127111050299E-6</v>
      </c>
    </row>
    <row r="14" spans="1:16" x14ac:dyDescent="0.2">
      <c r="A14">
        <v>13</v>
      </c>
      <c r="B14">
        <v>736</v>
      </c>
      <c r="C14">
        <v>300</v>
      </c>
      <c r="D14">
        <v>0.25942674528068399</v>
      </c>
      <c r="E14">
        <v>9.3940972321322498</v>
      </c>
      <c r="F14">
        <v>1.03313689562718</v>
      </c>
      <c r="G14">
        <v>-174.21854609170964</v>
      </c>
      <c r="H14">
        <v>-127.9115428373858</v>
      </c>
      <c r="I14">
        <v>45.889505328866598</v>
      </c>
      <c r="J14">
        <v>22.147935839936</v>
      </c>
      <c r="K14">
        <v>9.0927903861466692</v>
      </c>
      <c r="L14">
        <v>8.7338101082194166E-4</v>
      </c>
      <c r="M14">
        <v>1.2525092161252052E-4</v>
      </c>
      <c r="N14" s="1">
        <v>6.0554750443429598E-6</v>
      </c>
      <c r="O14" s="1">
        <v>8.0857291414520196E-7</v>
      </c>
      <c r="P14" s="1">
        <v>-3.48172797438493E-6</v>
      </c>
    </row>
    <row r="15" spans="1:16" x14ac:dyDescent="0.2">
      <c r="A15">
        <v>14</v>
      </c>
      <c r="B15">
        <v>734</v>
      </c>
      <c r="C15">
        <v>300</v>
      </c>
      <c r="D15">
        <v>0.25781710768008598</v>
      </c>
      <c r="E15">
        <v>72.123926243791502</v>
      </c>
      <c r="F15">
        <v>1.8493570522035101</v>
      </c>
      <c r="G15">
        <v>-1194.3160602537348</v>
      </c>
      <c r="H15">
        <v>-993.31074300669604</v>
      </c>
      <c r="I15">
        <v>199.58309891446399</v>
      </c>
      <c r="J15">
        <v>107.879248258827</v>
      </c>
      <c r="K15">
        <v>38.9994599246562</v>
      </c>
      <c r="L15">
        <v>4.2000787061930746E-4</v>
      </c>
      <c r="M15">
        <v>5.914459824081389E-5</v>
      </c>
      <c r="N15" s="1">
        <v>1.15629511349586E-5</v>
      </c>
      <c r="O15" s="1">
        <v>1.61150431090173E-6</v>
      </c>
      <c r="P15" s="1">
        <v>-6.9760715132136398E-6</v>
      </c>
    </row>
    <row r="16" spans="1:16" x14ac:dyDescent="0.2">
      <c r="A16">
        <v>15</v>
      </c>
      <c r="B16">
        <v>732</v>
      </c>
      <c r="C16">
        <v>300</v>
      </c>
      <c r="D16">
        <v>0.256201064517732</v>
      </c>
      <c r="E16">
        <v>88.295013220935601</v>
      </c>
      <c r="F16">
        <v>1.89141239310281</v>
      </c>
      <c r="G16">
        <v>-1456.9065963118137</v>
      </c>
      <c r="H16">
        <v>-1216.6618001554557</v>
      </c>
      <c r="I16">
        <v>239.01927294582001</v>
      </c>
      <c r="J16">
        <v>130.09070276812301</v>
      </c>
      <c r="K16">
        <v>46.682052810328599</v>
      </c>
      <c r="L16">
        <v>3.9731519962658439E-4</v>
      </c>
      <c r="M16">
        <v>5.5601287545192245E-5</v>
      </c>
      <c r="N16" s="1">
        <v>1.3060584256478999E-5</v>
      </c>
      <c r="O16" s="1">
        <v>1.80770530009359E-6</v>
      </c>
      <c r="P16" s="1">
        <v>-7.8699263032826304E-6</v>
      </c>
    </row>
    <row r="17" spans="1:16" x14ac:dyDescent="0.2">
      <c r="A17">
        <v>16</v>
      </c>
      <c r="B17">
        <v>730</v>
      </c>
      <c r="C17">
        <v>300</v>
      </c>
      <c r="D17">
        <v>0.25457857748093798</v>
      </c>
      <c r="E17">
        <v>93.749733817225803</v>
      </c>
      <c r="F17">
        <v>1.90373153777719</v>
      </c>
      <c r="G17">
        <v>-1545.0960134887403</v>
      </c>
      <c r="H17">
        <v>-1292.1928914841369</v>
      </c>
      <c r="I17">
        <v>252.114597774098</v>
      </c>
      <c r="J17">
        <v>137.64627432352901</v>
      </c>
      <c r="K17">
        <v>49.245249110433001</v>
      </c>
      <c r="L17">
        <v>3.9107560250351849E-4</v>
      </c>
      <c r="M17">
        <v>5.4448608360058955E-5</v>
      </c>
      <c r="N17" s="1">
        <v>1.36258239340687E-5</v>
      </c>
      <c r="O17" s="1">
        <v>1.86370322703541E-6</v>
      </c>
      <c r="P17" s="1">
        <v>-8.1602015465824492E-6</v>
      </c>
    </row>
    <row r="18" spans="1:16" x14ac:dyDescent="0.2">
      <c r="A18">
        <v>17</v>
      </c>
      <c r="B18">
        <v>728</v>
      </c>
      <c r="C18">
        <v>300</v>
      </c>
      <c r="D18">
        <v>0.25294960795086002</v>
      </c>
      <c r="E18">
        <v>96.662271911505698</v>
      </c>
      <c r="F18">
        <v>1.9105821373096401</v>
      </c>
      <c r="G18">
        <v>-1591.9129798008682</v>
      </c>
      <c r="H18">
        <v>-1332.6669890670571</v>
      </c>
      <c r="I18">
        <v>258.953942522923</v>
      </c>
      <c r="J18">
        <v>141.72784192399601</v>
      </c>
      <c r="K18">
        <v>50.593099361652598</v>
      </c>
      <c r="L18">
        <v>3.8785878442891124E-4</v>
      </c>
      <c r="M18">
        <v>5.3736300745765675E-5</v>
      </c>
      <c r="N18" s="1">
        <v>1.3965653353093699E-5</v>
      </c>
      <c r="O18" s="1">
        <v>1.88628664428447E-6</v>
      </c>
      <c r="P18" s="1">
        <v>-8.3064967802849908E-6</v>
      </c>
    </row>
    <row r="19" spans="1:16" x14ac:dyDescent="0.2">
      <c r="A19">
        <v>18</v>
      </c>
      <c r="B19">
        <v>726</v>
      </c>
      <c r="C19">
        <v>300</v>
      </c>
      <c r="D19">
        <v>0.251314116999449</v>
      </c>
      <c r="E19">
        <v>98.526426350519003</v>
      </c>
      <c r="F19">
        <v>1.9153757462902301</v>
      </c>
      <c r="G19">
        <v>-1621.6678083085008</v>
      </c>
      <c r="H19">
        <v>-1358.6851027957102</v>
      </c>
      <c r="I19">
        <v>263.21225616459702</v>
      </c>
      <c r="J19">
        <v>144.38064155218001</v>
      </c>
      <c r="K19">
        <v>51.439737890253703</v>
      </c>
      <c r="L19">
        <v>3.8577668910583034E-4</v>
      </c>
      <c r="M19">
        <v>5.318993499645619E-5</v>
      </c>
      <c r="N19" s="1">
        <v>1.42095296277835E-5</v>
      </c>
      <c r="O19" s="1">
        <v>1.89508142210551E-6</v>
      </c>
      <c r="P19" s="1">
        <v>-8.3931925340530003E-6</v>
      </c>
    </row>
    <row r="20" spans="1:16" x14ac:dyDescent="0.2">
      <c r="A20">
        <v>19</v>
      </c>
      <c r="B20">
        <v>724</v>
      </c>
      <c r="C20">
        <v>300</v>
      </c>
      <c r="D20">
        <v>0.249672065386352</v>
      </c>
      <c r="E20">
        <v>99.845608947359693</v>
      </c>
      <c r="F20">
        <v>1.9191532123528401</v>
      </c>
      <c r="G20">
        <v>-1642.5534888474808</v>
      </c>
      <c r="H20">
        <v>-1377.1895066141903</v>
      </c>
      <c r="I20">
        <v>266.12831847101398</v>
      </c>
      <c r="J20">
        <v>146.29418237576701</v>
      </c>
      <c r="K20">
        <v>52.025866566927597</v>
      </c>
      <c r="L20">
        <v>3.8425343034174247E-4</v>
      </c>
      <c r="M20">
        <v>5.2725742835342711E-5</v>
      </c>
      <c r="N20" s="1">
        <v>1.44011259034033E-5</v>
      </c>
      <c r="O20" s="1">
        <v>1.8967110909039601E-6</v>
      </c>
      <c r="P20" s="1">
        <v>-8.4487407059468404E-6</v>
      </c>
    </row>
    <row r="21" spans="1:16" x14ac:dyDescent="0.2">
      <c r="A21">
        <v>20</v>
      </c>
      <c r="B21">
        <v>760</v>
      </c>
      <c r="C21">
        <v>275</v>
      </c>
      <c r="D21">
        <v>0.30487392924551299</v>
      </c>
      <c r="E21">
        <v>4.2847156395935402</v>
      </c>
      <c r="F21">
        <v>0.55193911159252396</v>
      </c>
      <c r="G21">
        <v>-92.958991227660391</v>
      </c>
      <c r="H21">
        <v>-54.494627724696109</v>
      </c>
      <c r="I21">
        <v>37.2325562409765</v>
      </c>
      <c r="J21">
        <v>16.5211810541288</v>
      </c>
      <c r="K21">
        <v>7.76302231460049</v>
      </c>
      <c r="L21">
        <v>1.1974085424393381E-3</v>
      </c>
      <c r="M21">
        <v>1.9531399207968603E-4</v>
      </c>
      <c r="N21" s="1">
        <v>5.8885186380768298E-6</v>
      </c>
      <c r="O21" s="1">
        <v>1.23521283940278E-6</v>
      </c>
      <c r="P21" s="1">
        <v>-4.5429673914303304E-6</v>
      </c>
    </row>
    <row r="22" spans="1:16" x14ac:dyDescent="0.2">
      <c r="A22">
        <v>21</v>
      </c>
      <c r="B22">
        <v>758</v>
      </c>
      <c r="C22">
        <v>275</v>
      </c>
      <c r="D22">
        <v>0.303389904475587</v>
      </c>
      <c r="E22">
        <v>4.4426142400736603</v>
      </c>
      <c r="F22">
        <v>0.56805678012264904</v>
      </c>
      <c r="G22">
        <v>-95.513580717454019</v>
      </c>
      <c r="H22">
        <v>-56.766421748901827</v>
      </c>
      <c r="I22">
        <v>37.579029912947199</v>
      </c>
      <c r="J22">
        <v>16.745432382228401</v>
      </c>
      <c r="K22">
        <v>7.8207221452659397</v>
      </c>
      <c r="L22">
        <v>1.1898396984531799E-3</v>
      </c>
      <c r="M22">
        <v>1.9317276282604991E-4</v>
      </c>
      <c r="N22" s="1">
        <v>5.9950534323619703E-6</v>
      </c>
      <c r="O22" s="1">
        <v>1.2296225095568101E-6</v>
      </c>
      <c r="P22" s="1">
        <v>-4.5495640865660399E-6</v>
      </c>
    </row>
    <row r="23" spans="1:16" x14ac:dyDescent="0.2">
      <c r="A23">
        <v>22</v>
      </c>
      <c r="B23">
        <v>756</v>
      </c>
      <c r="C23">
        <v>275</v>
      </c>
      <c r="D23">
        <v>0.30190011174270298</v>
      </c>
      <c r="E23">
        <v>4.8950886032005103</v>
      </c>
      <c r="F23">
        <v>0.61072432051625003</v>
      </c>
      <c r="G23">
        <v>-102.94963313112952</v>
      </c>
      <c r="H23">
        <v>-63.222340574786109</v>
      </c>
      <c r="I23">
        <v>38.604445006552901</v>
      </c>
      <c r="J23">
        <v>17.351337163321599</v>
      </c>
      <c r="K23">
        <v>8.0152180595373306</v>
      </c>
      <c r="L23">
        <v>1.1662040223584681E-3</v>
      </c>
      <c r="M23">
        <v>1.8846624229335436E-4</v>
      </c>
      <c r="N23" s="1">
        <v>6.1234247889632597E-6</v>
      </c>
      <c r="O23" s="1">
        <v>1.2282313002835199E-6</v>
      </c>
      <c r="P23" s="1">
        <v>-4.5717431774285301E-6</v>
      </c>
    </row>
    <row r="24" spans="1:16" x14ac:dyDescent="0.2">
      <c r="A24">
        <v>23</v>
      </c>
      <c r="B24">
        <v>754</v>
      </c>
      <c r="C24">
        <v>275</v>
      </c>
      <c r="D24">
        <v>0.30040451735384299</v>
      </c>
      <c r="E24">
        <v>5.3430614239234799</v>
      </c>
      <c r="F24">
        <v>0.65100965307383096</v>
      </c>
      <c r="G24">
        <v>-110.30659757948811</v>
      </c>
      <c r="H24">
        <v>-69.616811015664126</v>
      </c>
      <c r="I24">
        <v>39.616679858209501</v>
      </c>
      <c r="J24">
        <v>17.9511108278646</v>
      </c>
      <c r="K24">
        <v>8.2073459259712696</v>
      </c>
      <c r="L24">
        <v>1.1439019796531545E-3</v>
      </c>
      <c r="M24">
        <v>1.8401149242425232E-4</v>
      </c>
      <c r="N24" s="1">
        <v>6.2526776632349596E-6</v>
      </c>
      <c r="O24" s="1">
        <v>1.22665208178376E-6</v>
      </c>
      <c r="P24" s="1">
        <v>-4.5933577288138402E-6</v>
      </c>
    </row>
    <row r="25" spans="1:16" x14ac:dyDescent="0.2">
      <c r="A25">
        <v>24</v>
      </c>
      <c r="B25">
        <v>752</v>
      </c>
      <c r="C25">
        <v>275</v>
      </c>
      <c r="D25">
        <v>0.29890308735307097</v>
      </c>
      <c r="E25">
        <v>5.7866058809393097</v>
      </c>
      <c r="F25">
        <v>0.68911583048967195</v>
      </c>
      <c r="G25">
        <v>-117.58576280849293</v>
      </c>
      <c r="H25">
        <v>-75.950834981011681</v>
      </c>
      <c r="I25">
        <v>40.615937128654402</v>
      </c>
      <c r="J25">
        <v>18.5448473142506</v>
      </c>
      <c r="K25">
        <v>8.3971454796321492</v>
      </c>
      <c r="L25">
        <v>1.1228188870743773E-3</v>
      </c>
      <c r="M25">
        <v>1.7978709104224849E-4</v>
      </c>
      <c r="N25" s="1">
        <v>6.3827870791802803E-6</v>
      </c>
      <c r="O25" s="1">
        <v>1.22488835367439E-6</v>
      </c>
      <c r="P25" s="1">
        <v>-4.6144085632009104E-6</v>
      </c>
    </row>
    <row r="26" spans="1:16" x14ac:dyDescent="0.2">
      <c r="A26">
        <v>25</v>
      </c>
      <c r="B26">
        <v>750</v>
      </c>
      <c r="C26">
        <v>275</v>
      </c>
      <c r="D26">
        <v>0.29739578751893703</v>
      </c>
      <c r="E26">
        <v>6.2257935816556396</v>
      </c>
      <c r="F26">
        <v>0.72522345199903704</v>
      </c>
      <c r="G26">
        <v>-124.78838991414325</v>
      </c>
      <c r="H26">
        <v>-82.225392856754027</v>
      </c>
      <c r="I26">
        <v>41.602415075375902</v>
      </c>
      <c r="J26">
        <v>19.132638441242602</v>
      </c>
      <c r="K26">
        <v>8.5846556182023495</v>
      </c>
      <c r="L26">
        <v>1.1028527397767766E-3</v>
      </c>
      <c r="M26">
        <v>1.7577398702105259E-4</v>
      </c>
      <c r="N26" s="1">
        <v>6.5137276586132097E-6</v>
      </c>
      <c r="O26" s="1">
        <v>1.2229435784001501E-6</v>
      </c>
      <c r="P26" s="1">
        <v>-4.6348964898278101E-6</v>
      </c>
    </row>
    <row r="27" spans="1:16" x14ac:dyDescent="0.2">
      <c r="A27">
        <v>26</v>
      </c>
      <c r="B27">
        <v>748</v>
      </c>
      <c r="C27">
        <v>275</v>
      </c>
      <c r="D27">
        <v>0.29588258336189799</v>
      </c>
      <c r="E27">
        <v>6.6606946013107402</v>
      </c>
      <c r="F27">
        <v>0.75949368263867101</v>
      </c>
      <c r="G27">
        <v>-131.91571303274972</v>
      </c>
      <c r="H27">
        <v>-88.441444039746202</v>
      </c>
      <c r="I27">
        <v>42.576307662061097</v>
      </c>
      <c r="J27">
        <v>19.714573960262602</v>
      </c>
      <c r="K27">
        <v>8.7699144226846197</v>
      </c>
      <c r="L27">
        <v>1.0839125067726326E-3</v>
      </c>
      <c r="M27">
        <v>1.7195518146335764E-4</v>
      </c>
      <c r="N27" s="1">
        <v>6.6454736285018702E-6</v>
      </c>
      <c r="O27" s="1">
        <v>1.2208211824539999E-6</v>
      </c>
      <c r="P27" s="1">
        <v>-4.6548223093282501E-6</v>
      </c>
    </row>
    <row r="28" spans="1:16" x14ac:dyDescent="0.2">
      <c r="A28">
        <v>27</v>
      </c>
      <c r="B28">
        <v>746</v>
      </c>
      <c r="C28">
        <v>275</v>
      </c>
      <c r="D28">
        <v>0.29436344012167098</v>
      </c>
      <c r="E28">
        <v>7.0913775252301496</v>
      </c>
      <c r="F28">
        <v>0.79207079835752103</v>
      </c>
      <c r="G28">
        <v>-138.9689400832053</v>
      </c>
      <c r="H28">
        <v>-94.599927517096717</v>
      </c>
      <c r="I28">
        <v>43.5378046763527</v>
      </c>
      <c r="J28">
        <v>20.290741612414401</v>
      </c>
      <c r="K28">
        <v>8.9529591798298807</v>
      </c>
      <c r="L28">
        <v>1.0659166940501404E-3</v>
      </c>
      <c r="M28">
        <v>1.6831545894968421E-4</v>
      </c>
      <c r="N28" s="1">
        <v>6.7779988294621302E-6</v>
      </c>
      <c r="O28" s="1">
        <v>1.2185245576686699E-6</v>
      </c>
      <c r="P28" s="1">
        <v>-4.6741868187733499E-6</v>
      </c>
    </row>
    <row r="29" spans="1:16" x14ac:dyDescent="0.2">
      <c r="A29">
        <v>28</v>
      </c>
      <c r="B29">
        <v>744</v>
      </c>
      <c r="C29">
        <v>275</v>
      </c>
      <c r="D29">
        <v>0.29283832276459099</v>
      </c>
      <c r="E29">
        <v>7.5179094879369002</v>
      </c>
      <c r="F29">
        <v>0.82308434125900798</v>
      </c>
      <c r="G29">
        <v>-145.94925345504788</v>
      </c>
      <c r="H29">
        <v>-100.70176240167241</v>
      </c>
      <c r="I29">
        <v>44.487091838778497</v>
      </c>
      <c r="J29">
        <v>20.861227181007301</v>
      </c>
      <c r="K29">
        <v>9.1338264028171601</v>
      </c>
      <c r="L29">
        <v>1.0487921278053139E-3</v>
      </c>
      <c r="M29">
        <v>1.6484115995323457E-4</v>
      </c>
      <c r="N29" s="1">
        <v>6.9112767243594097E-6</v>
      </c>
      <c r="O29" s="1">
        <v>1.2160570623771501E-6</v>
      </c>
      <c r="P29" s="1">
        <v>-4.6929908163533097E-6</v>
      </c>
    </row>
    <row r="30" spans="1:16" x14ac:dyDescent="0.2">
      <c r="A30">
        <v>29</v>
      </c>
      <c r="B30">
        <v>742</v>
      </c>
      <c r="C30">
        <v>275</v>
      </c>
      <c r="D30">
        <v>0.291307195980888</v>
      </c>
      <c r="E30">
        <v>7.9403562121143301</v>
      </c>
      <c r="F30">
        <v>0.85265095307371996</v>
      </c>
      <c r="G30">
        <v>-152.8578106934479</v>
      </c>
      <c r="H30">
        <v>-106.74784846596499</v>
      </c>
      <c r="I30">
        <v>45.424350911555401</v>
      </c>
      <c r="J30">
        <v>21.426114544190799</v>
      </c>
      <c r="K30">
        <v>9.3125518519508503</v>
      </c>
      <c r="L30">
        <v>1.0324729193328017E-3</v>
      </c>
      <c r="M30">
        <v>1.6151998723191641E-4</v>
      </c>
      <c r="N30" s="1">
        <v>7.0452804076048E-6</v>
      </c>
      <c r="O30" s="1">
        <v>1.21342202255971E-6</v>
      </c>
      <c r="P30" s="1">
        <v>-4.7112351061356904E-6</v>
      </c>
    </row>
    <row r="31" spans="1:16" x14ac:dyDescent="0.2">
      <c r="A31">
        <v>30</v>
      </c>
      <c r="B31">
        <v>740</v>
      </c>
      <c r="C31">
        <v>275</v>
      </c>
      <c r="D31">
        <v>0.28977002418201098</v>
      </c>
      <c r="E31">
        <v>8.3587820451536903</v>
      </c>
      <c r="F31">
        <v>0.88087594145410997</v>
      </c>
      <c r="G31">
        <v>-159.69574514143221</v>
      </c>
      <c r="H31">
        <v>-112.73906664269451</v>
      </c>
      <c r="I31">
        <v>46.349759799302397</v>
      </c>
      <c r="J31">
        <v>21.9854857236319</v>
      </c>
      <c r="K31">
        <v>9.4891705537506095</v>
      </c>
      <c r="L31">
        <v>1.016899580759731E-3</v>
      </c>
      <c r="M31">
        <v>1.5834084043195369E-4</v>
      </c>
      <c r="N31" s="1">
        <v>7.1799826143303502E-6</v>
      </c>
      <c r="O31" s="1">
        <v>1.2106227328338499E-6</v>
      </c>
      <c r="P31" s="1">
        <v>-4.72892050234172E-6</v>
      </c>
    </row>
    <row r="32" spans="1:16" x14ac:dyDescent="0.2">
      <c r="A32">
        <v>31</v>
      </c>
      <c r="B32">
        <v>738</v>
      </c>
      <c r="C32">
        <v>275</v>
      </c>
      <c r="D32">
        <v>0.28822677149780002</v>
      </c>
      <c r="E32">
        <v>67.546731732668704</v>
      </c>
      <c r="F32">
        <v>1.7890942449563501</v>
      </c>
      <c r="G32">
        <v>-1122.7175635955371</v>
      </c>
      <c r="H32">
        <v>-930.09838352735176</v>
      </c>
      <c r="I32">
        <v>190.49984000740301</v>
      </c>
      <c r="J32">
        <v>102.364649522785</v>
      </c>
      <c r="K32">
        <v>37.7547085197385</v>
      </c>
      <c r="L32">
        <v>4.795083258450003E-4</v>
      </c>
      <c r="M32">
        <v>7.3406694219875008E-5</v>
      </c>
      <c r="N32" s="1">
        <v>1.2749886375621E-5</v>
      </c>
      <c r="O32" s="1">
        <v>2.2040987251824502E-6</v>
      </c>
      <c r="P32" s="1">
        <v>-8.6594126056630603E-6</v>
      </c>
    </row>
    <row r="33" spans="1:16" x14ac:dyDescent="0.2">
      <c r="A33">
        <v>32</v>
      </c>
      <c r="B33">
        <v>736</v>
      </c>
      <c r="C33">
        <v>275</v>
      </c>
      <c r="D33">
        <v>0.28667740177377199</v>
      </c>
      <c r="E33">
        <v>86.878506467854905</v>
      </c>
      <c r="F33">
        <v>1.8508158086042701</v>
      </c>
      <c r="G33">
        <v>-1436.6135625557029</v>
      </c>
      <c r="H33">
        <v>-1197.1441994414404</v>
      </c>
      <c r="I33">
        <v>237.303469291532</v>
      </c>
      <c r="J33">
        <v>128.66841698518201</v>
      </c>
      <c r="K33">
        <v>46.940655068950903</v>
      </c>
      <c r="L33">
        <v>4.4373470221433799E-4</v>
      </c>
      <c r="M33">
        <v>6.7473239084278711E-5</v>
      </c>
      <c r="N33" s="1">
        <v>1.46796100668877E-5</v>
      </c>
      <c r="O33" s="1">
        <v>2.5111074167125002E-6</v>
      </c>
      <c r="P33" s="1">
        <v>-9.9250261781326197E-6</v>
      </c>
    </row>
    <row r="34" spans="1:16" x14ac:dyDescent="0.2">
      <c r="A34">
        <v>33</v>
      </c>
      <c r="B34">
        <v>734</v>
      </c>
      <c r="C34">
        <v>275</v>
      </c>
      <c r="D34">
        <v>0.28512187856823701</v>
      </c>
      <c r="E34">
        <v>92.978066211137602</v>
      </c>
      <c r="F34">
        <v>1.8668533866758601</v>
      </c>
      <c r="G34">
        <v>-1535.2626379601859</v>
      </c>
      <c r="H34">
        <v>-1281.619297866524</v>
      </c>
      <c r="I34">
        <v>251.84827778267001</v>
      </c>
      <c r="J34">
        <v>137.02400728023201</v>
      </c>
      <c r="K34">
        <v>49.804696434515002</v>
      </c>
      <c r="L34">
        <v>4.3496794119093256E-4</v>
      </c>
      <c r="M34">
        <v>6.5786148329146475E-5</v>
      </c>
      <c r="N34" s="1">
        <v>1.5395449257841301E-5</v>
      </c>
      <c r="O34" s="1">
        <v>2.5931334002584698E-6</v>
      </c>
      <c r="P34" s="1">
        <v>-1.0311387084535E-5</v>
      </c>
    </row>
    <row r="35" spans="1:16" x14ac:dyDescent="0.2">
      <c r="A35">
        <v>34</v>
      </c>
      <c r="B35">
        <v>732</v>
      </c>
      <c r="C35">
        <v>275</v>
      </c>
      <c r="D35">
        <v>0.28356016514948101</v>
      </c>
      <c r="E35">
        <v>96.124964510112207</v>
      </c>
      <c r="F35">
        <v>1.8753072577854499</v>
      </c>
      <c r="G35">
        <v>-1585.8743189642453</v>
      </c>
      <c r="H35">
        <v>-1325.3511484787073</v>
      </c>
      <c r="I35">
        <v>259.19408684879801</v>
      </c>
      <c r="J35">
        <v>141.37915463582601</v>
      </c>
      <c r="K35">
        <v>51.258248007649499</v>
      </c>
      <c r="L35">
        <v>4.306787703512106E-4</v>
      </c>
      <c r="M35">
        <v>6.4804574275264656E-5</v>
      </c>
      <c r="N35" s="1">
        <v>1.583758064503E-5</v>
      </c>
      <c r="O35" s="1">
        <v>2.62495217577293E-6</v>
      </c>
      <c r="P35" s="1">
        <v>-1.05013347792473E-5</v>
      </c>
    </row>
    <row r="36" spans="1:16" x14ac:dyDescent="0.2">
      <c r="A36">
        <v>35</v>
      </c>
      <c r="B36">
        <v>730</v>
      </c>
      <c r="C36">
        <v>275</v>
      </c>
      <c r="D36">
        <v>0.28199222449285299</v>
      </c>
      <c r="E36">
        <v>98.106748826789399</v>
      </c>
      <c r="F36">
        <v>1.8810519627728699</v>
      </c>
      <c r="G36">
        <v>-1617.5304397381574</v>
      </c>
      <c r="H36">
        <v>-1353.0073155478867</v>
      </c>
      <c r="I36">
        <v>263.698311302028</v>
      </c>
      <c r="J36">
        <v>144.15937423954699</v>
      </c>
      <c r="K36">
        <v>52.155257147797997</v>
      </c>
      <c r="L36">
        <v>4.279850291060112E-4</v>
      </c>
      <c r="M36">
        <v>6.4075301733680954E-5</v>
      </c>
      <c r="N36" s="1">
        <v>1.6168891063376098E-5</v>
      </c>
      <c r="O36" s="1">
        <v>2.6369413772447499E-6</v>
      </c>
      <c r="P36" s="1">
        <v>-1.0613477799571401E-5</v>
      </c>
    </row>
    <row r="37" spans="1:16" x14ac:dyDescent="0.2">
      <c r="A37">
        <v>36</v>
      </c>
      <c r="B37">
        <v>728</v>
      </c>
      <c r="C37">
        <v>275</v>
      </c>
      <c r="D37">
        <v>0.280418019277831</v>
      </c>
      <c r="E37">
        <v>99.495949828081095</v>
      </c>
      <c r="F37">
        <v>1.88549105929314</v>
      </c>
      <c r="G37">
        <v>-1639.5458381951087</v>
      </c>
      <c r="H37">
        <v>-1372.4881834417936</v>
      </c>
      <c r="I37">
        <v>266.75677072685602</v>
      </c>
      <c r="J37">
        <v>146.14171365260199</v>
      </c>
      <c r="K37">
        <v>52.769250396435901</v>
      </c>
      <c r="L37">
        <v>4.2605704099949354E-4</v>
      </c>
      <c r="M37">
        <v>6.3467781692443245E-5</v>
      </c>
      <c r="N37" s="1">
        <v>1.6441358920943799E-5</v>
      </c>
      <c r="O37" s="1">
        <v>2.6388403066509799E-6</v>
      </c>
      <c r="P37" s="1">
        <v>-1.06858031034583E-5</v>
      </c>
    </row>
    <row r="38" spans="1:16" x14ac:dyDescent="0.2">
      <c r="A38">
        <v>37</v>
      </c>
      <c r="B38">
        <v>726</v>
      </c>
      <c r="C38">
        <v>275</v>
      </c>
      <c r="D38">
        <v>0.27883751188509998</v>
      </c>
      <c r="E38">
        <v>100.537459717769</v>
      </c>
      <c r="F38">
        <v>1.8891901871726899</v>
      </c>
      <c r="G38">
        <v>-1655.9048783638623</v>
      </c>
      <c r="H38">
        <v>-1387.1728825399841</v>
      </c>
      <c r="I38">
        <v>268.96654056278902</v>
      </c>
      <c r="J38">
        <v>147.65870274795699</v>
      </c>
      <c r="K38">
        <v>53.217225243071397</v>
      </c>
      <c r="L38">
        <v>4.245605881247641E-4</v>
      </c>
      <c r="M38">
        <v>6.2929388220975231E-5</v>
      </c>
      <c r="N38" s="1">
        <v>1.66771469664653E-5</v>
      </c>
      <c r="O38" s="1">
        <v>2.6348182763322601E-6</v>
      </c>
      <c r="P38" s="1">
        <v>-1.0734552991063799E-5</v>
      </c>
    </row>
    <row r="39" spans="1:16" x14ac:dyDescent="0.2">
      <c r="A39">
        <v>38</v>
      </c>
      <c r="B39">
        <v>760</v>
      </c>
      <c r="C39">
        <v>250</v>
      </c>
      <c r="D39">
        <v>0.33149155495329902</v>
      </c>
      <c r="E39">
        <v>4.6874461738854398</v>
      </c>
      <c r="F39">
        <v>0.523456657347251</v>
      </c>
      <c r="G39">
        <v>-101.91431052844449</v>
      </c>
      <c r="H39">
        <v>-59.554534738849732</v>
      </c>
      <c r="I39">
        <v>41.003202085019197</v>
      </c>
      <c r="J39">
        <v>18.2465033469886</v>
      </c>
      <c r="K39">
        <v>8.9547933111411009</v>
      </c>
      <c r="L39">
        <v>1.2923987114362438E-3</v>
      </c>
      <c r="M39">
        <v>2.3019915088390774E-4</v>
      </c>
      <c r="N39" s="1">
        <v>6.8652754905213699E-6</v>
      </c>
      <c r="O39" s="1">
        <v>1.9122700675228199E-6</v>
      </c>
      <c r="P39" s="1">
        <v>-6.33535102398183E-6</v>
      </c>
    </row>
    <row r="40" spans="1:16" x14ac:dyDescent="0.2">
      <c r="A40">
        <v>39</v>
      </c>
      <c r="B40">
        <v>758</v>
      </c>
      <c r="C40">
        <v>250</v>
      </c>
      <c r="D40">
        <v>0.330059157251614</v>
      </c>
      <c r="E40">
        <v>4.85086425987918</v>
      </c>
      <c r="F40">
        <v>0.53831516665549894</v>
      </c>
      <c r="G40">
        <v>-104.55365312394267</v>
      </c>
      <c r="H40">
        <v>-61.909871742261181</v>
      </c>
      <c r="I40">
        <v>41.358162834831099</v>
      </c>
      <c r="J40">
        <v>18.4816900961474</v>
      </c>
      <c r="K40">
        <v>9.0111974552326704</v>
      </c>
      <c r="L40">
        <v>1.2855349705719007E-3</v>
      </c>
      <c r="M40">
        <v>2.2785063784827543E-4</v>
      </c>
      <c r="N40" s="1">
        <v>7.0151255042450299E-6</v>
      </c>
      <c r="O40" s="1">
        <v>1.90354375286875E-6</v>
      </c>
      <c r="P40" s="1">
        <v>-6.3467987599711497E-6</v>
      </c>
    </row>
    <row r="41" spans="1:16" x14ac:dyDescent="0.2">
      <c r="A41">
        <v>40</v>
      </c>
      <c r="B41">
        <v>756</v>
      </c>
      <c r="C41">
        <v>250</v>
      </c>
      <c r="D41">
        <v>0.32862119224602798</v>
      </c>
      <c r="E41">
        <v>5.2895239841432602</v>
      </c>
      <c r="F41">
        <v>0.57520302949032498</v>
      </c>
      <c r="G41">
        <v>-111.75402661323703</v>
      </c>
      <c r="H41">
        <v>-68.17809928120333</v>
      </c>
      <c r="I41">
        <v>42.3442928566256</v>
      </c>
      <c r="J41">
        <v>19.072422312011199</v>
      </c>
      <c r="K41">
        <v>9.1959251133120592</v>
      </c>
      <c r="L41">
        <v>1.2644591259975821E-3</v>
      </c>
      <c r="M41">
        <v>2.2302447500874471E-4</v>
      </c>
      <c r="N41" s="1">
        <v>7.1864847473051898E-6</v>
      </c>
      <c r="O41" s="1">
        <v>1.9001173615377501E-6</v>
      </c>
      <c r="P41" s="1">
        <v>-6.3759815718968001E-6</v>
      </c>
    </row>
    <row r="42" spans="1:16" x14ac:dyDescent="0.2">
      <c r="A42">
        <v>41</v>
      </c>
      <c r="B42">
        <v>754</v>
      </c>
      <c r="C42">
        <v>250</v>
      </c>
      <c r="D42">
        <v>0.32717762741566497</v>
      </c>
      <c r="E42">
        <v>5.7239210310434601</v>
      </c>
      <c r="F42">
        <v>0.61033058971197796</v>
      </c>
      <c r="G42">
        <v>-118.87950124579505</v>
      </c>
      <c r="H42">
        <v>-74.38812844886094</v>
      </c>
      <c r="I42">
        <v>43.318003942597102</v>
      </c>
      <c r="J42">
        <v>19.6574074395572</v>
      </c>
      <c r="K42">
        <v>9.3783944759259708</v>
      </c>
      <c r="L42">
        <v>1.2444023233661445E-3</v>
      </c>
      <c r="M42">
        <v>2.1841619334536246E-4</v>
      </c>
      <c r="N42" s="1">
        <v>7.3593510872434596E-6</v>
      </c>
      <c r="O42" s="1">
        <v>1.89643311019676E-6</v>
      </c>
      <c r="P42" s="1">
        <v>-6.4044704273406799E-6</v>
      </c>
    </row>
    <row r="43" spans="1:16" x14ac:dyDescent="0.2">
      <c r="A43">
        <v>42</v>
      </c>
      <c r="B43">
        <v>752</v>
      </c>
      <c r="C43">
        <v>250</v>
      </c>
      <c r="D43">
        <v>0.32572842998585799</v>
      </c>
      <c r="E43">
        <v>6.1541227921537498</v>
      </c>
      <c r="F43">
        <v>0.64382808259089797</v>
      </c>
      <c r="G43">
        <v>-125.93126570010924</v>
      </c>
      <c r="H43">
        <v>-80.540881941136732</v>
      </c>
      <c r="I43">
        <v>44.2794828667408</v>
      </c>
      <c r="J43">
        <v>20.236730789322699</v>
      </c>
      <c r="K43">
        <v>9.5586429957951999</v>
      </c>
      <c r="L43">
        <v>1.2252879693196918E-3</v>
      </c>
      <c r="M43">
        <v>2.1400969244080281E-4</v>
      </c>
      <c r="N43" s="1">
        <v>7.5336894277547701E-6</v>
      </c>
      <c r="O43" s="1">
        <v>1.8924952506213499E-6</v>
      </c>
      <c r="P43" s="1">
        <v>-6.4322629094528503E-6</v>
      </c>
    </row>
    <row r="44" spans="1:16" x14ac:dyDescent="0.2">
      <c r="A44">
        <v>43</v>
      </c>
      <c r="B44">
        <v>750</v>
      </c>
      <c r="C44">
        <v>250</v>
      </c>
      <c r="D44">
        <v>0.324273566925672</v>
      </c>
      <c r="E44">
        <v>6.5801952340631704</v>
      </c>
      <c r="F44">
        <v>0.675813187034907</v>
      </c>
      <c r="G44">
        <v>-132.91048358167311</v>
      </c>
      <c r="H44">
        <v>-86.637262918551457</v>
      </c>
      <c r="I44">
        <v>45.228912451067899</v>
      </c>
      <c r="J44">
        <v>20.810475758022701</v>
      </c>
      <c r="K44">
        <v>9.7367073627749203</v>
      </c>
      <c r="L44">
        <v>1.2070468496855214E-3</v>
      </c>
      <c r="M44">
        <v>2.0979042704491493E-4</v>
      </c>
      <c r="N44" s="1">
        <v>7.7094637895164405E-6</v>
      </c>
      <c r="O44" s="1">
        <v>1.8883080087075E-6</v>
      </c>
      <c r="P44" s="1">
        <v>-6.4593566029934403E-6</v>
      </c>
    </row>
    <row r="45" spans="1:16" x14ac:dyDescent="0.2">
      <c r="A45">
        <v>44</v>
      </c>
      <c r="B45">
        <v>748</v>
      </c>
      <c r="C45">
        <v>250</v>
      </c>
      <c r="D45">
        <v>0.32281300494540499</v>
      </c>
      <c r="E45">
        <v>7.0022029360548901</v>
      </c>
      <c r="F45">
        <v>0.70639250234812401</v>
      </c>
      <c r="G45">
        <v>-139.8182940864184</v>
      </c>
      <c r="H45">
        <v>-92.67815552247275</v>
      </c>
      <c r="I45">
        <v>46.166471671064699</v>
      </c>
      <c r="J45">
        <v>21.378723879897802</v>
      </c>
      <c r="K45">
        <v>9.9126235241438891</v>
      </c>
      <c r="L45">
        <v>1.1896162619997282E-3</v>
      </c>
      <c r="M45">
        <v>2.0574522419772022E-4</v>
      </c>
      <c r="N45" s="1">
        <v>7.8866373213671305E-6</v>
      </c>
      <c r="O45" s="1">
        <v>1.88387558627109E-6</v>
      </c>
      <c r="P45" s="1">
        <v>-6.4857491029008501E-6</v>
      </c>
    </row>
    <row r="46" spans="1:16" x14ac:dyDescent="0.2">
      <c r="A46">
        <v>45</v>
      </c>
      <c r="B46">
        <v>746</v>
      </c>
      <c r="C46">
        <v>250</v>
      </c>
      <c r="D46">
        <v>0.32134671049404001</v>
      </c>
      <c r="E46">
        <v>7.4202091243825397</v>
      </c>
      <c r="F46">
        <v>0.73566282122104598</v>
      </c>
      <c r="G46">
        <v>-146.65581260587876</v>
      </c>
      <c r="H46">
        <v>-98.664425343767789</v>
      </c>
      <c r="I46">
        <v>47.092335751897501</v>
      </c>
      <c r="J46">
        <v>21.941554873300301</v>
      </c>
      <c r="K46">
        <v>10.086426703019299</v>
      </c>
      <c r="L46">
        <v>1.1729392677440088E-3</v>
      </c>
      <c r="M46">
        <v>2.0186212558315439E-4</v>
      </c>
      <c r="N46" s="1">
        <v>8.0651723122575495E-6</v>
      </c>
      <c r="O46" s="1">
        <v>1.87920216265682E-6</v>
      </c>
      <c r="P46" s="1">
        <v>-6.5114380224597298E-6</v>
      </c>
    </row>
    <row r="47" spans="1:16" x14ac:dyDescent="0.2">
      <c r="A47">
        <v>46</v>
      </c>
      <c r="B47">
        <v>744</v>
      </c>
      <c r="C47">
        <v>250</v>
      </c>
      <c r="D47">
        <v>0.31987464975667701</v>
      </c>
      <c r="E47">
        <v>9.9775638628298893</v>
      </c>
      <c r="F47">
        <v>0.88115793490031102</v>
      </c>
      <c r="G47">
        <v>-189.0266974583252</v>
      </c>
      <c r="H47">
        <v>-134.69343428914618</v>
      </c>
      <c r="I47">
        <v>53.419978989181701</v>
      </c>
      <c r="J47">
        <v>25.501319454815501</v>
      </c>
      <c r="K47">
        <v>11.3232412347948</v>
      </c>
      <c r="L47">
        <v>1.0831855703111236E-3</v>
      </c>
      <c r="M47">
        <v>1.8535599482944794E-4</v>
      </c>
      <c r="N47" s="1">
        <v>8.4814141794335298E-6</v>
      </c>
      <c r="O47" s="1">
        <v>1.9344078443876202E-6</v>
      </c>
      <c r="P47" s="1">
        <v>-6.7459609700470298E-6</v>
      </c>
    </row>
    <row r="48" spans="1:16" x14ac:dyDescent="0.2">
      <c r="A48">
        <v>47</v>
      </c>
      <c r="B48">
        <v>742</v>
      </c>
      <c r="C48">
        <v>250</v>
      </c>
      <c r="D48">
        <v>0.318396788651924</v>
      </c>
      <c r="E48">
        <v>63.652264037159298</v>
      </c>
      <c r="F48">
        <v>1.7200388541061999</v>
      </c>
      <c r="G48">
        <v>-1062.2155673912616</v>
      </c>
      <c r="H48">
        <v>-876.21253396136433</v>
      </c>
      <c r="I48">
        <v>183.23177489013901</v>
      </c>
      <c r="J48">
        <v>97.876317539687804</v>
      </c>
      <c r="K48">
        <v>37.006294296901302</v>
      </c>
      <c r="L48">
        <v>5.52823409972562E-4</v>
      </c>
      <c r="M48">
        <v>9.3191266317335639E-5</v>
      </c>
      <c r="N48" s="1">
        <v>1.3703021564363201E-5</v>
      </c>
      <c r="O48" s="1">
        <v>3.1487596994382602E-6</v>
      </c>
      <c r="P48" s="1">
        <v>-1.1049956203135699E-5</v>
      </c>
    </row>
    <row r="49" spans="1:16" x14ac:dyDescent="0.2">
      <c r="A49">
        <v>48</v>
      </c>
      <c r="B49">
        <v>740</v>
      </c>
      <c r="C49">
        <v>250</v>
      </c>
      <c r="D49">
        <v>0.31691309282929903</v>
      </c>
      <c r="E49">
        <v>85.396115293355294</v>
      </c>
      <c r="F49">
        <v>1.8032890347697299</v>
      </c>
      <c r="G49">
        <v>-1415.2453616676351</v>
      </c>
      <c r="H49">
        <v>-1176.6407325373432</v>
      </c>
      <c r="I49">
        <v>235.513072496658</v>
      </c>
      <c r="J49">
        <v>127.219864671268</v>
      </c>
      <c r="K49">
        <v>47.3557558698622</v>
      </c>
      <c r="L49">
        <v>5.0106142207866663E-4</v>
      </c>
      <c r="M49">
        <v>8.3860093837151062E-5</v>
      </c>
      <c r="N49" s="1">
        <v>1.5978931491169499E-5</v>
      </c>
      <c r="O49" s="1">
        <v>3.6160693741306401E-6</v>
      </c>
      <c r="P49" s="1">
        <v>-1.27715504165914E-5</v>
      </c>
    </row>
    <row r="50" spans="1:16" x14ac:dyDescent="0.2">
      <c r="A50">
        <v>49</v>
      </c>
      <c r="B50">
        <v>738</v>
      </c>
      <c r="C50">
        <v>250</v>
      </c>
      <c r="D50">
        <v>0.31542352766652099</v>
      </c>
      <c r="E50">
        <v>92.256294245675093</v>
      </c>
      <c r="F50">
        <v>1.8240164867366899</v>
      </c>
      <c r="G50">
        <v>-1526.2486464608833</v>
      </c>
      <c r="H50">
        <v>-1271.6809017279481</v>
      </c>
      <c r="I50">
        <v>251.76622229925701</v>
      </c>
      <c r="J50">
        <v>136.524679229349</v>
      </c>
      <c r="K50">
        <v>50.578651517963301</v>
      </c>
      <c r="L50">
        <v>4.8887575104672085E-4</v>
      </c>
      <c r="M50">
        <v>8.1359666046294335E-5</v>
      </c>
      <c r="N50" s="1">
        <v>1.6865393375961601E-5</v>
      </c>
      <c r="O50" s="1">
        <v>3.7417852689361902E-6</v>
      </c>
      <c r="P50" s="1">
        <v>-1.33010732900228E-5</v>
      </c>
    </row>
    <row r="51" spans="1:16" x14ac:dyDescent="0.2">
      <c r="A51">
        <v>50</v>
      </c>
      <c r="B51">
        <v>736</v>
      </c>
      <c r="C51">
        <v>250</v>
      </c>
      <c r="D51">
        <v>0.31392805826685999</v>
      </c>
      <c r="E51">
        <v>95.615200087787798</v>
      </c>
      <c r="F51">
        <v>1.83422001198005</v>
      </c>
      <c r="G51">
        <v>-1580.2943137849786</v>
      </c>
      <c r="H51">
        <v>-1318.3638402657702</v>
      </c>
      <c r="I51">
        <v>259.56127150444701</v>
      </c>
      <c r="J51">
        <v>141.12492043798099</v>
      </c>
      <c r="K51">
        <v>52.128533907211398</v>
      </c>
      <c r="L51">
        <v>4.8333372535591505E-4</v>
      </c>
      <c r="M51">
        <v>8.0007243948895693E-5</v>
      </c>
      <c r="N51" s="1">
        <v>1.74252344252089E-5</v>
      </c>
      <c r="O51" s="1">
        <v>3.7879255673443598E-6</v>
      </c>
      <c r="P51" s="1">
        <v>-1.3552382569798499E-5</v>
      </c>
    </row>
    <row r="52" spans="1:16" x14ac:dyDescent="0.2">
      <c r="A52">
        <v>51</v>
      </c>
      <c r="B52">
        <v>734</v>
      </c>
      <c r="C52">
        <v>250</v>
      </c>
      <c r="D52">
        <v>0.31242664945638698</v>
      </c>
      <c r="E52">
        <v>97.703878197292596</v>
      </c>
      <c r="F52">
        <v>1.8410006482288499</v>
      </c>
      <c r="G52">
        <v>-1613.6790255742105</v>
      </c>
      <c r="H52">
        <v>-1347.5106537352031</v>
      </c>
      <c r="I52">
        <v>264.28459041154599</v>
      </c>
      <c r="J52">
        <v>144.021155982972</v>
      </c>
      <c r="K52">
        <v>53.071072132043597</v>
      </c>
      <c r="L52">
        <v>4.7994782685288167E-4</v>
      </c>
      <c r="M52">
        <v>7.9028772936587431E-5</v>
      </c>
      <c r="N52" s="1">
        <v>1.78642053622369E-5</v>
      </c>
      <c r="O52" s="1">
        <v>3.8050391756847202E-6</v>
      </c>
      <c r="P52" s="1">
        <v>-1.37019881738968E-5</v>
      </c>
    </row>
    <row r="53" spans="1:16" x14ac:dyDescent="0.2">
      <c r="A53">
        <v>52</v>
      </c>
      <c r="B53">
        <v>732</v>
      </c>
      <c r="C53">
        <v>250</v>
      </c>
      <c r="D53">
        <v>0.31091926578122597</v>
      </c>
      <c r="E53">
        <v>99.157229871445494</v>
      </c>
      <c r="F53">
        <v>1.84616311454266</v>
      </c>
      <c r="G53">
        <v>-1636.7300679903528</v>
      </c>
      <c r="H53">
        <v>-1367.8874153670215</v>
      </c>
      <c r="I53">
        <v>267.47107831079302</v>
      </c>
      <c r="J53">
        <v>146.067905068427</v>
      </c>
      <c r="K53">
        <v>53.7098965364222</v>
      </c>
      <c r="L53">
        <v>4.7757623730591646E-4</v>
      </c>
      <c r="M53">
        <v>7.8227122539206465E-5</v>
      </c>
      <c r="N53" s="1">
        <v>1.8240682718370401E-5</v>
      </c>
      <c r="O53" s="1">
        <v>3.8076098000322399E-6</v>
      </c>
      <c r="P53" s="1">
        <v>-1.38003622816228E-5</v>
      </c>
    </row>
    <row r="54" spans="1:16" x14ac:dyDescent="0.2">
      <c r="A54">
        <v>53</v>
      </c>
      <c r="B54">
        <v>730</v>
      </c>
      <c r="C54">
        <v>250</v>
      </c>
      <c r="D54">
        <v>0.30940587150476501</v>
      </c>
      <c r="E54">
        <v>100.241520242585</v>
      </c>
      <c r="F54">
        <v>1.8504189398395201</v>
      </c>
      <c r="G54">
        <v>-1653.7785290931558</v>
      </c>
      <c r="H54">
        <v>-1383.1702704300762</v>
      </c>
      <c r="I54">
        <v>269.76443834022098</v>
      </c>
      <c r="J54">
        <v>147.623665195397</v>
      </c>
      <c r="K54">
        <v>54.172337995675001</v>
      </c>
      <c r="L54">
        <v>4.7576895340193715E-4</v>
      </c>
      <c r="M54">
        <v>7.7524555926923133E-5</v>
      </c>
      <c r="N54" s="1">
        <v>1.8578931766153499E-5</v>
      </c>
      <c r="O54" s="1">
        <v>3.8017150084226798E-6</v>
      </c>
      <c r="P54" s="1">
        <v>-1.38686537887986E-5</v>
      </c>
    </row>
    <row r="55" spans="1:16" x14ac:dyDescent="0.2">
      <c r="A55">
        <v>54</v>
      </c>
      <c r="B55">
        <v>760</v>
      </c>
      <c r="C55">
        <v>225</v>
      </c>
      <c r="D55">
        <v>0.35810918066108399</v>
      </c>
      <c r="E55">
        <v>5.0833107442442298</v>
      </c>
      <c r="F55">
        <v>0.49144061549942297</v>
      </c>
      <c r="G55">
        <v>-110.77154250412573</v>
      </c>
      <c r="H55">
        <v>-64.486014628558678</v>
      </c>
      <c r="I55">
        <v>44.803210432295302</v>
      </c>
      <c r="J55">
        <v>19.9805555444871</v>
      </c>
      <c r="K55">
        <v>10.3436927757351</v>
      </c>
      <c r="L55">
        <v>1.4029199985897739E-3</v>
      </c>
      <c r="M55">
        <v>2.7711513706788111E-4</v>
      </c>
      <c r="N55" s="1">
        <v>7.3719359959799798E-6</v>
      </c>
      <c r="O55" s="1">
        <v>3.0548612057369199E-6</v>
      </c>
      <c r="P55" s="1">
        <v>-8.9311637275618899E-6</v>
      </c>
    </row>
    <row r="56" spans="1:16" x14ac:dyDescent="0.2">
      <c r="A56">
        <v>55</v>
      </c>
      <c r="B56">
        <v>758</v>
      </c>
      <c r="C56">
        <v>225</v>
      </c>
      <c r="D56">
        <v>0.356728410027642</v>
      </c>
      <c r="E56">
        <v>5.30495491608061</v>
      </c>
      <c r="F56">
        <v>0.50901202908701604</v>
      </c>
      <c r="G56">
        <v>-114.36822822878098</v>
      </c>
      <c r="H56">
        <v>-67.674981485906656</v>
      </c>
      <c r="I56">
        <v>45.285518876943101</v>
      </c>
      <c r="J56">
        <v>20.2953921136281</v>
      </c>
      <c r="K56">
        <v>10.4220619807272</v>
      </c>
      <c r="L56">
        <v>1.3943150505056183E-3</v>
      </c>
      <c r="M56">
        <v>2.7399059695049289E-4</v>
      </c>
      <c r="N56" s="1">
        <v>7.5871594406340899E-6</v>
      </c>
      <c r="O56" s="1">
        <v>3.0427835549232199E-6</v>
      </c>
      <c r="P56" s="1">
        <v>-8.9569683949644701E-6</v>
      </c>
    </row>
    <row r="57" spans="1:16" x14ac:dyDescent="0.2">
      <c r="A57">
        <v>56</v>
      </c>
      <c r="B57">
        <v>756</v>
      </c>
      <c r="C57">
        <v>225</v>
      </c>
      <c r="D57">
        <v>0.35534227274935698</v>
      </c>
      <c r="E57">
        <v>5.72846714776135</v>
      </c>
      <c r="F57">
        <v>0.54067728431909701</v>
      </c>
      <c r="G57">
        <v>-121.30908190858575</v>
      </c>
      <c r="H57">
        <v>-73.736713626394632</v>
      </c>
      <c r="I57">
        <v>46.2277576160511</v>
      </c>
      <c r="J57">
        <v>20.870120903563102</v>
      </c>
      <c r="K57">
        <v>10.594983946802</v>
      </c>
      <c r="L57">
        <v>1.3759434703014182E-3</v>
      </c>
      <c r="M57">
        <v>2.6898689628833557E-4</v>
      </c>
      <c r="N57" s="1">
        <v>7.8190561645353105E-6</v>
      </c>
      <c r="O57" s="1">
        <v>3.0360875924645501E-6</v>
      </c>
      <c r="P57" s="1">
        <v>-8.9987804530247108E-6</v>
      </c>
    </row>
    <row r="58" spans="1:16" x14ac:dyDescent="0.2">
      <c r="A58">
        <v>57</v>
      </c>
      <c r="B58">
        <v>754</v>
      </c>
      <c r="C58">
        <v>225</v>
      </c>
      <c r="D58">
        <v>0.35395073747748601</v>
      </c>
      <c r="E58">
        <v>6.1479817106227497</v>
      </c>
      <c r="F58">
        <v>0.57106791562803605</v>
      </c>
      <c r="G58">
        <v>-128.17966439501237</v>
      </c>
      <c r="H58">
        <v>-79.743873018652394</v>
      </c>
      <c r="I58">
        <v>47.158382067943002</v>
      </c>
      <c r="J58">
        <v>21.439525822004001</v>
      </c>
      <c r="K58">
        <v>10.765762779478599</v>
      </c>
      <c r="L58">
        <v>1.3583250886557076E-3</v>
      </c>
      <c r="M58">
        <v>2.6417028030766341E-4</v>
      </c>
      <c r="N58" s="1">
        <v>8.0536864983518503E-6</v>
      </c>
      <c r="O58" s="1">
        <v>3.0290191557246399E-6</v>
      </c>
      <c r="P58" s="1">
        <v>-9.0397541769631807E-6</v>
      </c>
    </row>
    <row r="59" spans="1:16" x14ac:dyDescent="0.2">
      <c r="A59">
        <v>58</v>
      </c>
      <c r="B59">
        <v>752</v>
      </c>
      <c r="C59">
        <v>225</v>
      </c>
      <c r="D59">
        <v>0.35255377261864101</v>
      </c>
      <c r="E59">
        <v>6.5635599574205603</v>
      </c>
      <c r="F59">
        <v>0.60026520128152205</v>
      </c>
      <c r="G59">
        <v>-134.981059534362</v>
      </c>
      <c r="H59">
        <v>-85.697299695801135</v>
      </c>
      <c r="I59">
        <v>48.077562090279102</v>
      </c>
      <c r="J59">
        <v>22.003682666343298</v>
      </c>
      <c r="K59">
        <v>10.934433552715999</v>
      </c>
      <c r="L59">
        <v>1.3414103902862299E-3</v>
      </c>
      <c r="M59">
        <v>2.5952880039789447E-4</v>
      </c>
      <c r="N59" s="1">
        <v>8.2910059342071398E-6</v>
      </c>
      <c r="O59" s="1">
        <v>3.0215830322533999E-6</v>
      </c>
      <c r="P59" s="1">
        <v>-9.0798802736506492E-6</v>
      </c>
    </row>
    <row r="60" spans="1:16" x14ac:dyDescent="0.2">
      <c r="A60">
        <v>59</v>
      </c>
      <c r="B60">
        <v>750</v>
      </c>
      <c r="C60">
        <v>225</v>
      </c>
      <c r="D60">
        <v>0.35115134633240402</v>
      </c>
      <c r="E60">
        <v>8.3061521271073193</v>
      </c>
      <c r="F60">
        <v>0.705989699396532</v>
      </c>
      <c r="G60">
        <v>-163.82946927321831</v>
      </c>
      <c r="H60">
        <v>-110.3020459982618</v>
      </c>
      <c r="I60">
        <v>52.319249297931897</v>
      </c>
      <c r="J60">
        <v>24.408840764883099</v>
      </c>
      <c r="K60">
        <v>11.765259654931601</v>
      </c>
      <c r="L60">
        <v>1.2729609962460252E-3</v>
      </c>
      <c r="M60">
        <v>2.4490896929364389E-4</v>
      </c>
      <c r="N60" s="1">
        <v>8.6655735886836903E-6</v>
      </c>
      <c r="O60" s="1">
        <v>3.0662900709163702E-6</v>
      </c>
      <c r="P60" s="1">
        <v>-9.2779664675299203E-6</v>
      </c>
    </row>
    <row r="61" spans="1:16" x14ac:dyDescent="0.2">
      <c r="A61">
        <v>60</v>
      </c>
      <c r="B61">
        <v>748</v>
      </c>
      <c r="C61">
        <v>225</v>
      </c>
      <c r="D61">
        <v>0.34974342652891699</v>
      </c>
      <c r="E61">
        <v>11.9419578327955</v>
      </c>
      <c r="F61">
        <v>0.88205701623700505</v>
      </c>
      <c r="G61">
        <v>-224.07341494808395</v>
      </c>
      <c r="H61">
        <v>-161.49178421886725</v>
      </c>
      <c r="I61">
        <v>61.288531666106699</v>
      </c>
      <c r="J61">
        <v>29.442897315397801</v>
      </c>
      <c r="K61">
        <v>13.5387595279745</v>
      </c>
      <c r="L61">
        <v>1.1567644445963951E-3</v>
      </c>
      <c r="M61">
        <v>2.2118930859576423E-4</v>
      </c>
      <c r="N61" s="1">
        <v>9.2421431970446902E-6</v>
      </c>
      <c r="O61" s="1">
        <v>3.1837946609650399E-6</v>
      </c>
      <c r="P61" s="1">
        <v>-9.7001903103877002E-6</v>
      </c>
    </row>
    <row r="62" spans="1:16" x14ac:dyDescent="0.2">
      <c r="A62">
        <v>61</v>
      </c>
      <c r="B62">
        <v>746</v>
      </c>
      <c r="C62">
        <v>225</v>
      </c>
      <c r="D62">
        <v>0.34832998086640898</v>
      </c>
      <c r="E62">
        <v>64.840466720093801</v>
      </c>
      <c r="F62">
        <v>1.6651329196542599</v>
      </c>
      <c r="G62">
        <v>-1084.3515121870582</v>
      </c>
      <c r="H62">
        <v>-892.41934194695705</v>
      </c>
      <c r="I62">
        <v>188.33048752766899</v>
      </c>
      <c r="J62">
        <v>100.259175401015</v>
      </c>
      <c r="K62">
        <v>38.940114602716903</v>
      </c>
      <c r="L62">
        <v>6.265901072576175E-4</v>
      </c>
      <c r="M62">
        <v>1.1816730573740243E-4</v>
      </c>
      <c r="N62" s="1">
        <v>1.4185529072181701E-5</v>
      </c>
      <c r="O62" s="1">
        <v>4.8598366823824001E-6</v>
      </c>
      <c r="P62" s="1">
        <v>-1.49078853159606E-5</v>
      </c>
    </row>
    <row r="63" spans="1:16" x14ac:dyDescent="0.2">
      <c r="A63">
        <v>62</v>
      </c>
      <c r="B63">
        <v>744</v>
      </c>
      <c r="C63">
        <v>225</v>
      </c>
      <c r="D63">
        <v>0.34691097674876298</v>
      </c>
      <c r="E63">
        <v>85.251212977006503</v>
      </c>
      <c r="F63">
        <v>1.75137635495122</v>
      </c>
      <c r="G63">
        <v>-1415.6583015309409</v>
      </c>
      <c r="H63">
        <v>-1174.5768448255426</v>
      </c>
      <c r="I63">
        <v>237.02202154863099</v>
      </c>
      <c r="J63">
        <v>127.597780903914</v>
      </c>
      <c r="K63">
        <v>48.676695180905597</v>
      </c>
      <c r="L63">
        <v>5.6931594098497866E-4</v>
      </c>
      <c r="M63">
        <v>1.065962907348378E-4</v>
      </c>
      <c r="N63" s="1">
        <v>1.6340912260398502E-5</v>
      </c>
      <c r="O63" s="1">
        <v>5.4703848253509898E-6</v>
      </c>
      <c r="P63" s="1">
        <v>-1.6897081083327001E-5</v>
      </c>
    </row>
    <row r="64" spans="1:16" x14ac:dyDescent="0.2">
      <c r="A64">
        <v>63</v>
      </c>
      <c r="B64">
        <v>742</v>
      </c>
      <c r="C64">
        <v>225</v>
      </c>
      <c r="D64">
        <v>0.345486381322956</v>
      </c>
      <c r="E64">
        <v>91.933159655795393</v>
      </c>
      <c r="F64">
        <v>1.77417287028072</v>
      </c>
      <c r="G64">
        <v>-1523.7358805891236</v>
      </c>
      <c r="H64">
        <v>-1267.1833785645881</v>
      </c>
      <c r="I64">
        <v>252.72935477263499</v>
      </c>
      <c r="J64">
        <v>136.594306190476</v>
      </c>
      <c r="K64">
        <v>51.817475735185297</v>
      </c>
      <c r="L64">
        <v>5.5509899499596601E-4</v>
      </c>
      <c r="M64">
        <v>1.0332712065107365E-4</v>
      </c>
      <c r="N64" s="1">
        <v>1.7298911828202E-5</v>
      </c>
      <c r="O64" s="1">
        <v>5.6402308396237004E-6</v>
      </c>
      <c r="P64" s="1">
        <v>-1.7542938587645101E-5</v>
      </c>
    </row>
    <row r="65" spans="1:16" x14ac:dyDescent="0.2">
      <c r="A65">
        <v>64</v>
      </c>
      <c r="B65">
        <v>740</v>
      </c>
      <c r="C65">
        <v>225</v>
      </c>
      <c r="D65">
        <v>0.34405616147658602</v>
      </c>
      <c r="E65">
        <v>95.328879050086201</v>
      </c>
      <c r="F65">
        <v>1.78580443705879</v>
      </c>
      <c r="G65">
        <v>-1578.3690304869851</v>
      </c>
      <c r="H65">
        <v>-1314.3979184855534</v>
      </c>
      <c r="I65">
        <v>260.55067925650502</v>
      </c>
      <c r="J65">
        <v>141.207364145724</v>
      </c>
      <c r="K65">
        <v>53.381477317355198</v>
      </c>
      <c r="L65">
        <v>5.4844635150313569E-4</v>
      </c>
      <c r="M65">
        <v>1.0151808570749651E-4</v>
      </c>
      <c r="N65" s="1">
        <v>1.7971350300516199E-5</v>
      </c>
      <c r="O65" s="1">
        <v>5.7051464577987903E-6</v>
      </c>
      <c r="P65" s="1">
        <v>-1.7868584214383598E-5</v>
      </c>
    </row>
    <row r="66" spans="1:16" x14ac:dyDescent="0.2">
      <c r="A66">
        <v>65</v>
      </c>
      <c r="B66">
        <v>738</v>
      </c>
      <c r="C66">
        <v>225</v>
      </c>
      <c r="D66">
        <v>0.34262028383523802</v>
      </c>
      <c r="E66">
        <v>97.445685516599497</v>
      </c>
      <c r="F66">
        <v>1.7935196450356199</v>
      </c>
      <c r="G66">
        <v>-1612.2030638804044</v>
      </c>
      <c r="H66">
        <v>-1343.9474722507309</v>
      </c>
      <c r="I66">
        <v>265.30333408322599</v>
      </c>
      <c r="J66">
        <v>144.117696883636</v>
      </c>
      <c r="K66">
        <v>54.332098221686202</v>
      </c>
      <c r="L66">
        <v>5.4443703267063935E-4</v>
      </c>
      <c r="M66">
        <v>1.002207963048901E-4</v>
      </c>
      <c r="N66" s="1">
        <v>1.85321261618534E-5</v>
      </c>
      <c r="O66" s="1">
        <v>5.7291817509754603E-6</v>
      </c>
      <c r="P66" s="1">
        <v>-1.8069203039126201E-5</v>
      </c>
    </row>
    <row r="67" spans="1:16" x14ac:dyDescent="0.2">
      <c r="A67">
        <v>66</v>
      </c>
      <c r="B67">
        <v>736</v>
      </c>
      <c r="C67">
        <v>225</v>
      </c>
      <c r="D67">
        <v>0.34117871475994799</v>
      </c>
      <c r="E67">
        <v>98.920574699825593</v>
      </c>
      <c r="F67">
        <v>1.7993763940118099</v>
      </c>
      <c r="G67">
        <v>-1635.5978805213749</v>
      </c>
      <c r="H67">
        <v>-1364.6315106191701</v>
      </c>
      <c r="I67">
        <v>268.515374612085</v>
      </c>
      <c r="J67">
        <v>146.17583271146799</v>
      </c>
      <c r="K67">
        <v>54.974920772010499</v>
      </c>
      <c r="L67">
        <v>5.4167483814168726E-4</v>
      </c>
      <c r="M67">
        <v>9.9166069654433987E-5</v>
      </c>
      <c r="N67" s="1">
        <v>1.9035926860281501E-5</v>
      </c>
      <c r="O67" s="1">
        <v>5.7326274841202204E-6</v>
      </c>
      <c r="P67" s="1">
        <v>-1.8206561697163301E-5</v>
      </c>
    </row>
    <row r="68" spans="1:16" x14ac:dyDescent="0.2">
      <c r="A68">
        <v>67</v>
      </c>
      <c r="B68">
        <v>734</v>
      </c>
      <c r="C68">
        <v>225</v>
      </c>
      <c r="D68">
        <v>0.33973142034453802</v>
      </c>
      <c r="E68">
        <v>100.021797705041</v>
      </c>
      <c r="F68">
        <v>1.80418989699347</v>
      </c>
      <c r="G68">
        <v>-1652.9162118400309</v>
      </c>
      <c r="H68">
        <v>-1380.155477015411</v>
      </c>
      <c r="I68">
        <v>270.83025293235698</v>
      </c>
      <c r="J68">
        <v>147.74003602191101</v>
      </c>
      <c r="K68">
        <v>55.438619777063799</v>
      </c>
      <c r="L68">
        <v>5.3960686400728443E-4</v>
      </c>
      <c r="M68">
        <v>9.8247257120412346E-5</v>
      </c>
      <c r="N68" s="1">
        <v>1.9505480735814099E-5</v>
      </c>
      <c r="O68" s="1">
        <v>5.7240302263602896E-6</v>
      </c>
      <c r="P68" s="1">
        <v>-1.8306632880901102E-5</v>
      </c>
    </row>
    <row r="69" spans="1:16" x14ac:dyDescent="0.2">
      <c r="A69">
        <v>68</v>
      </c>
      <c r="B69">
        <v>760</v>
      </c>
      <c r="C69">
        <v>200</v>
      </c>
      <c r="D69">
        <v>0.38472680636887402</v>
      </c>
      <c r="E69">
        <v>5.47868949350599</v>
      </c>
      <c r="F69">
        <v>0.45505687206717499</v>
      </c>
      <c r="G69">
        <v>-119.6766429044423</v>
      </c>
      <c r="H69">
        <v>-69.352928042595636</v>
      </c>
      <c r="I69">
        <v>48.7120457865798</v>
      </c>
      <c r="J69">
        <v>21.7253317155198</v>
      </c>
      <c r="K69">
        <v>12.0395709411399</v>
      </c>
      <c r="L69">
        <v>1.5294024524042341E-3</v>
      </c>
      <c r="M69">
        <v>3.4182390521239164E-4</v>
      </c>
      <c r="N69" s="1">
        <v>6.4929348432022702E-6</v>
      </c>
      <c r="O69" s="1">
        <v>5.0780362515893298E-6</v>
      </c>
      <c r="P69" s="1">
        <v>-1.27335724504664E-5</v>
      </c>
    </row>
    <row r="70" spans="1:16" x14ac:dyDescent="0.2">
      <c r="A70">
        <v>69</v>
      </c>
      <c r="B70">
        <v>758</v>
      </c>
      <c r="C70">
        <v>200</v>
      </c>
      <c r="D70">
        <v>0.383397662803666</v>
      </c>
      <c r="E70">
        <v>5.83922530704828</v>
      </c>
      <c r="F70">
        <v>0.47955469118926602</v>
      </c>
      <c r="G70">
        <v>-125.56656741213456</v>
      </c>
      <c r="H70">
        <v>-74.525461138257469</v>
      </c>
      <c r="I70">
        <v>49.502256334675202</v>
      </c>
      <c r="J70">
        <v>22.224329607678701</v>
      </c>
      <c r="K70">
        <v>12.176349047003001</v>
      </c>
      <c r="L70">
        <v>1.5160025202979259E-3</v>
      </c>
      <c r="M70">
        <v>3.369870704110455E-4</v>
      </c>
      <c r="N70" s="1">
        <v>6.7957144559902099E-6</v>
      </c>
      <c r="O70" s="1">
        <v>5.0649807486157098E-6</v>
      </c>
      <c r="P70" s="1">
        <v>-1.27949000533047E-5</v>
      </c>
    </row>
    <row r="71" spans="1:16" x14ac:dyDescent="0.2">
      <c r="A71">
        <v>70</v>
      </c>
      <c r="B71">
        <v>756</v>
      </c>
      <c r="C71">
        <v>200</v>
      </c>
      <c r="D71">
        <v>0.38206335325268598</v>
      </c>
      <c r="E71">
        <v>7.5836184148300001</v>
      </c>
      <c r="F71">
        <v>0.58303120220346105</v>
      </c>
      <c r="G71">
        <v>-154.45080517427888</v>
      </c>
      <c r="H71">
        <v>-99.16899951848238</v>
      </c>
      <c r="I71">
        <v>53.719098771714101</v>
      </c>
      <c r="J71">
        <v>24.6198886658112</v>
      </c>
      <c r="K71">
        <v>13.0072256616268</v>
      </c>
      <c r="L71">
        <v>1.4456729926134249E-3</v>
      </c>
      <c r="M71">
        <v>3.1949656137797617E-4</v>
      </c>
      <c r="N71" s="1">
        <v>7.2035174887500499E-6</v>
      </c>
      <c r="O71" s="1">
        <v>5.1306385978415999E-6</v>
      </c>
      <c r="P71" s="1">
        <v>-1.3056976869024801E-5</v>
      </c>
    </row>
    <row r="72" spans="1:16" x14ac:dyDescent="0.2">
      <c r="A72">
        <v>71</v>
      </c>
      <c r="B72">
        <v>754</v>
      </c>
      <c r="C72">
        <v>200</v>
      </c>
      <c r="D72">
        <v>0.38072384753930699</v>
      </c>
      <c r="E72">
        <v>11.1315280760004</v>
      </c>
      <c r="F72">
        <v>0.75505798999871399</v>
      </c>
      <c r="G72">
        <v>-213.25186872947759</v>
      </c>
      <c r="H72">
        <v>-149.15687249690794</v>
      </c>
      <c r="I72">
        <v>62.404055205959899</v>
      </c>
      <c r="J72">
        <v>29.495550372723301</v>
      </c>
      <c r="K72">
        <v>14.7426134461796</v>
      </c>
      <c r="L72">
        <v>1.3254631301899153E-3</v>
      </c>
      <c r="M72">
        <v>2.9110796040408485E-4</v>
      </c>
      <c r="N72" s="1">
        <v>7.7591417469430996E-6</v>
      </c>
      <c r="O72" s="1">
        <v>5.2980048321283599E-6</v>
      </c>
      <c r="P72" s="1">
        <v>-1.35832090022747E-5</v>
      </c>
    </row>
    <row r="73" spans="1:16" x14ac:dyDescent="0.2">
      <c r="A73">
        <v>72</v>
      </c>
      <c r="B73">
        <v>752</v>
      </c>
      <c r="C73">
        <v>200</v>
      </c>
      <c r="D73">
        <v>0.37937911525142798</v>
      </c>
      <c r="E73">
        <v>14.825393001776099</v>
      </c>
      <c r="F73">
        <v>0.89595126372995604</v>
      </c>
      <c r="G73">
        <v>-274.37909903460337</v>
      </c>
      <c r="H73">
        <v>-201.15893864318096</v>
      </c>
      <c r="I73">
        <v>71.427223369779696</v>
      </c>
      <c r="J73">
        <v>34.572879357072203</v>
      </c>
      <c r="K73">
        <v>16.547097595527799</v>
      </c>
      <c r="L73">
        <v>1.2269663424788451E-3</v>
      </c>
      <c r="M73">
        <v>2.677943754643287E-4</v>
      </c>
      <c r="N73" s="1">
        <v>8.3464593920662301E-6</v>
      </c>
      <c r="O73" s="1">
        <v>5.4696993303355701E-6</v>
      </c>
      <c r="P73" s="1">
        <v>-1.41280040402661E-5</v>
      </c>
    </row>
    <row r="74" spans="1:16" x14ac:dyDescent="0.2">
      <c r="A74">
        <v>73</v>
      </c>
      <c r="B74">
        <v>750</v>
      </c>
      <c r="C74">
        <v>200</v>
      </c>
      <c r="D74">
        <v>0.37802912573913899</v>
      </c>
      <c r="E74">
        <v>72.578543621586604</v>
      </c>
      <c r="F74">
        <v>1.6336707960001799</v>
      </c>
      <c r="G74">
        <v>-1212.9831462136972</v>
      </c>
      <c r="H74">
        <v>-999.07152503062264</v>
      </c>
      <c r="I74">
        <v>209.076671172837</v>
      </c>
      <c r="J74">
        <v>111.267024626196</v>
      </c>
      <c r="K74">
        <v>44.426664049626801</v>
      </c>
      <c r="L74">
        <v>6.9196749560409849E-4</v>
      </c>
      <c r="M74">
        <v>1.4903598642958593E-4</v>
      </c>
      <c r="N74" s="1">
        <v>1.26632308156903E-5</v>
      </c>
      <c r="O74" s="1">
        <v>8.1368415536203805E-6</v>
      </c>
      <c r="P74" s="1">
        <v>-2.11729838664677E-5</v>
      </c>
    </row>
    <row r="75" spans="1:16" x14ac:dyDescent="0.2">
      <c r="A75">
        <v>74</v>
      </c>
      <c r="B75">
        <v>748</v>
      </c>
      <c r="C75">
        <v>200</v>
      </c>
      <c r="D75">
        <v>0.37667384811242399</v>
      </c>
      <c r="E75">
        <v>86.822358880997598</v>
      </c>
      <c r="F75">
        <v>1.6947122678734501</v>
      </c>
      <c r="G75">
        <v>-1443.9947769428379</v>
      </c>
      <c r="H75">
        <v>-1196.1509192315491</v>
      </c>
      <c r="I75">
        <v>242.71600826876599</v>
      </c>
      <c r="J75">
        <v>130.22039688318</v>
      </c>
      <c r="K75">
        <v>51.231327303686399</v>
      </c>
      <c r="L75">
        <v>6.493458425414413E-4</v>
      </c>
      <c r="M75">
        <v>1.3891740084021284E-4</v>
      </c>
      <c r="N75" s="1">
        <v>1.41366195643915E-5</v>
      </c>
      <c r="O75" s="1">
        <v>8.74209107991419E-6</v>
      </c>
      <c r="P75" s="1">
        <v>-2.2918357888320301E-5</v>
      </c>
    </row>
    <row r="76" spans="1:16" x14ac:dyDescent="0.2">
      <c r="A76">
        <v>75</v>
      </c>
      <c r="B76">
        <v>746</v>
      </c>
      <c r="C76">
        <v>200</v>
      </c>
      <c r="D76">
        <v>0.37531325123877901</v>
      </c>
      <c r="E76">
        <v>92.335336084467301</v>
      </c>
      <c r="F76">
        <v>1.7157161394012901</v>
      </c>
      <c r="G76">
        <v>-1533.044602345921</v>
      </c>
      <c r="H76">
        <v>-1272.6235821627977</v>
      </c>
      <c r="I76">
        <v>255.533312719473</v>
      </c>
      <c r="J76">
        <v>137.604613114459</v>
      </c>
      <c r="K76">
        <v>53.817373377794397</v>
      </c>
      <c r="L76">
        <v>6.3583595106087747E-4</v>
      </c>
      <c r="M76">
        <v>1.3521397067125859E-4</v>
      </c>
      <c r="N76" s="1">
        <v>1.5037870722011699E-5</v>
      </c>
      <c r="O76" s="1">
        <v>8.9384401100277893E-6</v>
      </c>
      <c r="P76" s="1">
        <v>-2.3609284891106701E-5</v>
      </c>
    </row>
    <row r="77" spans="1:16" x14ac:dyDescent="0.2">
      <c r="A77">
        <v>76</v>
      </c>
      <c r="B77">
        <v>744</v>
      </c>
      <c r="C77">
        <v>200</v>
      </c>
      <c r="D77">
        <v>0.373947303740848</v>
      </c>
      <c r="E77">
        <v>95.506908844904302</v>
      </c>
      <c r="F77">
        <v>1.7279925471123001</v>
      </c>
      <c r="G77">
        <v>-1584.0267865454716</v>
      </c>
      <c r="H77">
        <v>-1316.7683852663909</v>
      </c>
      <c r="I77">
        <v>262.75794986374899</v>
      </c>
      <c r="J77">
        <v>141.88799051947001</v>
      </c>
      <c r="K77">
        <v>55.270440260005003</v>
      </c>
      <c r="L77">
        <v>6.2867711691207986E-4</v>
      </c>
      <c r="M77">
        <v>1.3291306028801673E-4</v>
      </c>
      <c r="N77" s="1">
        <v>1.5789433097298998E-5</v>
      </c>
      <c r="O77" s="1">
        <v>9.0242319343240908E-6</v>
      </c>
      <c r="P77" s="1">
        <v>-2.4015569712186101E-5</v>
      </c>
    </row>
    <row r="78" spans="1:16" x14ac:dyDescent="0.2">
      <c r="A78">
        <v>77</v>
      </c>
      <c r="B78">
        <v>742</v>
      </c>
      <c r="C78">
        <v>200</v>
      </c>
      <c r="D78">
        <v>0.37257597399398801</v>
      </c>
      <c r="E78">
        <v>97.494867531164701</v>
      </c>
      <c r="F78">
        <v>1.7362200427513499</v>
      </c>
      <c r="G78">
        <v>-1615.7591832244937</v>
      </c>
      <c r="H78">
        <v>-1344.5496808697385</v>
      </c>
      <c r="I78">
        <v>267.16781490749503</v>
      </c>
      <c r="J78">
        <v>144.60911497480299</v>
      </c>
      <c r="K78">
        <v>56.153520366385401</v>
      </c>
      <c r="L78">
        <v>6.2443819188228887E-4</v>
      </c>
      <c r="M78">
        <v>1.3125706252177735E-4</v>
      </c>
      <c r="N78" s="1">
        <v>1.6466761258223899E-5</v>
      </c>
      <c r="O78" s="1">
        <v>9.0551038831080608E-6</v>
      </c>
      <c r="P78" s="1">
        <v>-2.42798335393546E-5</v>
      </c>
    </row>
    <row r="79" spans="1:16" x14ac:dyDescent="0.2">
      <c r="A79">
        <v>78</v>
      </c>
      <c r="B79">
        <v>740</v>
      </c>
      <c r="C79">
        <v>200</v>
      </c>
      <c r="D79">
        <v>0.37119923012387401</v>
      </c>
      <c r="E79">
        <v>98.904458562492394</v>
      </c>
      <c r="F79">
        <v>1.7425738139195399</v>
      </c>
      <c r="G79">
        <v>-1638.0867978676049</v>
      </c>
      <c r="H79">
        <v>-1364.3399281311063</v>
      </c>
      <c r="I79">
        <v>270.19968939806802</v>
      </c>
      <c r="J79">
        <v>146.56850811544999</v>
      </c>
      <c r="K79">
        <v>56.757686688765197</v>
      </c>
      <c r="L79">
        <v>6.2154390264025378E-4</v>
      </c>
      <c r="M79">
        <v>1.2989946231590512E-4</v>
      </c>
      <c r="N79" s="1">
        <v>1.7109225143667E-5</v>
      </c>
      <c r="O79" s="1">
        <v>9.0587717846849893E-6</v>
      </c>
      <c r="P79" s="1">
        <v>-2.4473660875739198E-5</v>
      </c>
    </row>
    <row r="80" spans="1:16" x14ac:dyDescent="0.2">
      <c r="A80">
        <v>79</v>
      </c>
      <c r="B80">
        <v>738</v>
      </c>
      <c r="C80">
        <v>200</v>
      </c>
      <c r="D80">
        <v>0.36981704000395799</v>
      </c>
      <c r="E80">
        <v>99.969072888512301</v>
      </c>
      <c r="F80">
        <v>1.7478474744821999</v>
      </c>
      <c r="G80">
        <v>-1654.8050796350428</v>
      </c>
      <c r="H80">
        <v>-1379.3643825368115</v>
      </c>
      <c r="I80">
        <v>272.40930944246799</v>
      </c>
      <c r="J80">
        <v>148.07535115872301</v>
      </c>
      <c r="K80">
        <v>57.1955358508201</v>
      </c>
      <c r="L80">
        <v>6.1941719919456539E-4</v>
      </c>
      <c r="M80">
        <v>1.2871310913089613E-4</v>
      </c>
      <c r="N80" s="1">
        <v>1.7731622401184401E-5</v>
      </c>
      <c r="O80" s="1">
        <v>9.0460753658928693E-6</v>
      </c>
      <c r="P80" s="1">
        <v>-2.4624910112853099E-5</v>
      </c>
    </row>
    <row r="81" spans="1:16" x14ac:dyDescent="0.2">
      <c r="A81">
        <v>80</v>
      </c>
      <c r="B81">
        <v>766</v>
      </c>
      <c r="C81">
        <v>175</v>
      </c>
      <c r="D81">
        <v>0.41514747630275201</v>
      </c>
      <c r="E81">
        <v>5.8774750130075502</v>
      </c>
      <c r="F81">
        <v>0.40922356621307199</v>
      </c>
      <c r="G81">
        <v>-129.04322024359448</v>
      </c>
      <c r="H81">
        <v>-74.040181259182731</v>
      </c>
      <c r="I81">
        <v>52.934034967552797</v>
      </c>
      <c r="J81">
        <v>23.3097511153752</v>
      </c>
      <c r="K81">
        <v>14.3625037712204</v>
      </c>
      <c r="L81">
        <v>1.652027144719714E-3</v>
      </c>
      <c r="M81">
        <v>4.3648824607725819E-4</v>
      </c>
      <c r="N81" s="1">
        <v>1.2807928535861799E-6</v>
      </c>
      <c r="O81" s="1">
        <v>8.9770128141789805E-6</v>
      </c>
      <c r="P81" s="1">
        <v>-1.81200392476912E-5</v>
      </c>
    </row>
    <row r="82" spans="1:16" x14ac:dyDescent="0.2">
      <c r="A82">
        <v>81</v>
      </c>
      <c r="B82">
        <v>764</v>
      </c>
      <c r="C82">
        <v>175</v>
      </c>
      <c r="D82">
        <v>0.41388468398978101</v>
      </c>
      <c r="E82">
        <v>6.1929172382211899</v>
      </c>
      <c r="F82">
        <v>0.42760101432103098</v>
      </c>
      <c r="G82">
        <v>-134.19494818758835</v>
      </c>
      <c r="H82">
        <v>-78.494678870291906</v>
      </c>
      <c r="I82">
        <v>53.708379212824703</v>
      </c>
      <c r="J82">
        <v>23.796945313785201</v>
      </c>
      <c r="K82">
        <v>14.4829339286172</v>
      </c>
      <c r="L82">
        <v>1.644530431597179E-3</v>
      </c>
      <c r="M82">
        <v>4.3199560586239445E-4</v>
      </c>
      <c r="N82" s="1">
        <v>1.63139789233414E-6</v>
      </c>
      <c r="O82" s="1">
        <v>8.9685506903983296E-6</v>
      </c>
      <c r="P82" s="1">
        <v>-1.8244822828043999E-5</v>
      </c>
    </row>
    <row r="83" spans="1:16" x14ac:dyDescent="0.2">
      <c r="A83">
        <v>82</v>
      </c>
      <c r="B83">
        <v>762</v>
      </c>
      <c r="C83">
        <v>175</v>
      </c>
      <c r="D83">
        <v>0.41261701202724399</v>
      </c>
      <c r="E83">
        <v>8.3398287787451295</v>
      </c>
      <c r="F83">
        <v>0.53704300092325596</v>
      </c>
      <c r="G83">
        <v>-169.77325224308549</v>
      </c>
      <c r="H83">
        <v>-108.74419430355616</v>
      </c>
      <c r="I83">
        <v>58.9600600398594</v>
      </c>
      <c r="J83">
        <v>26.759359466998401</v>
      </c>
      <c r="K83">
        <v>15.529163892663499</v>
      </c>
      <c r="L83">
        <v>1.5672105995189975E-3</v>
      </c>
      <c r="M83">
        <v>4.0916363466990792E-4</v>
      </c>
      <c r="N83" s="1">
        <v>2.0149483742215901E-6</v>
      </c>
      <c r="O83" s="1">
        <v>9.11619520598811E-6</v>
      </c>
      <c r="P83" s="1">
        <v>-1.8691107843315601E-5</v>
      </c>
    </row>
    <row r="84" spans="1:16" x14ac:dyDescent="0.2">
      <c r="A84">
        <v>83</v>
      </c>
      <c r="B84">
        <v>760</v>
      </c>
      <c r="C84">
        <v>175</v>
      </c>
      <c r="D84">
        <v>0.41134443207665999</v>
      </c>
      <c r="E84">
        <v>11.833011365095199</v>
      </c>
      <c r="F84">
        <v>0.68614637921922395</v>
      </c>
      <c r="G84">
        <v>-227.64962606229511</v>
      </c>
      <c r="H84">
        <v>-157.97808250441005</v>
      </c>
      <c r="I84">
        <v>67.439485682859996</v>
      </c>
      <c r="J84">
        <v>31.522713102691299</v>
      </c>
      <c r="K84">
        <v>17.245607822867399</v>
      </c>
      <c r="L84">
        <v>1.4584443537893309E-3</v>
      </c>
      <c r="M84">
        <v>3.7837135482039579E-4</v>
      </c>
      <c r="N84" s="1">
        <v>2.44051897473784E-6</v>
      </c>
      <c r="O84" s="1">
        <v>9.3690989646474507E-6</v>
      </c>
      <c r="P84" s="1">
        <v>-1.9361435045979699E-5</v>
      </c>
    </row>
    <row r="85" spans="1:16" x14ac:dyDescent="0.2">
      <c r="A85">
        <v>84</v>
      </c>
      <c r="B85">
        <v>758</v>
      </c>
      <c r="C85">
        <v>175</v>
      </c>
      <c r="D85">
        <v>0.41006691557969399</v>
      </c>
      <c r="E85">
        <v>15.456813872936401</v>
      </c>
      <c r="F85">
        <v>0.81250314118932898</v>
      </c>
      <c r="G85">
        <v>-287.6004722280008</v>
      </c>
      <c r="H85">
        <v>-209.01287697460373</v>
      </c>
      <c r="I85">
        <v>76.217109733097601</v>
      </c>
      <c r="J85">
        <v>36.4644310222806</v>
      </c>
      <c r="K85">
        <v>19.023697373416901</v>
      </c>
      <c r="L85">
        <v>1.3662521339335224E-3</v>
      </c>
      <c r="M85">
        <v>3.5221470345547974E-4</v>
      </c>
      <c r="N85" s="1">
        <v>2.89703676540592E-6</v>
      </c>
      <c r="O85" s="1">
        <v>9.6279239885204695E-6</v>
      </c>
      <c r="P85" s="1">
        <v>-2.00541996118319E-5</v>
      </c>
    </row>
    <row r="86" spans="1:16" x14ac:dyDescent="0.2">
      <c r="A86">
        <v>85</v>
      </c>
      <c r="B86">
        <v>756</v>
      </c>
      <c r="C86">
        <v>175</v>
      </c>
      <c r="D86">
        <v>0.40878443375601398</v>
      </c>
      <c r="E86">
        <v>56.722217239716002</v>
      </c>
      <c r="F86">
        <v>1.44838313287374</v>
      </c>
      <c r="G86">
        <v>-958.58502324426229</v>
      </c>
      <c r="H86">
        <v>-779.41221286295922</v>
      </c>
      <c r="I86">
        <v>174.10254523044699</v>
      </c>
      <c r="J86">
        <v>90.876870936645901</v>
      </c>
      <c r="K86">
        <v>39.162439793932997</v>
      </c>
      <c r="L86">
        <v>8.7727194693386205E-4</v>
      </c>
      <c r="M86">
        <v>2.2367252767137663E-4</v>
      </c>
      <c r="N86" s="1">
        <v>4.1579486052267199E-6</v>
      </c>
      <c r="O86" s="1">
        <v>1.2567290337478099E-5</v>
      </c>
      <c r="P86" s="1">
        <v>-2.6384523260712602E-5</v>
      </c>
    </row>
    <row r="87" spans="1:16" x14ac:dyDescent="0.2">
      <c r="A87">
        <v>86</v>
      </c>
      <c r="B87">
        <v>754</v>
      </c>
      <c r="C87">
        <v>175</v>
      </c>
      <c r="D87">
        <v>0.40749695760112897</v>
      </c>
      <c r="E87">
        <v>82.248897052384805</v>
      </c>
      <c r="F87">
        <v>1.59612783077326</v>
      </c>
      <c r="G87">
        <v>-1373.0550951571606</v>
      </c>
      <c r="H87">
        <v>-1132.4313315117054</v>
      </c>
      <c r="I87">
        <v>234.26888524086701</v>
      </c>
      <c r="J87">
        <v>124.510124750009</v>
      </c>
      <c r="K87">
        <v>51.530269359778202</v>
      </c>
      <c r="L87">
        <v>7.6543027088262037E-4</v>
      </c>
      <c r="M87">
        <v>1.9361171337711804E-4</v>
      </c>
      <c r="N87" s="1">
        <v>5.2871091546165702E-6</v>
      </c>
      <c r="O87" s="1">
        <v>1.43128963482146E-5</v>
      </c>
      <c r="P87" s="1">
        <v>-3.0289545733231701E-5</v>
      </c>
    </row>
    <row r="88" spans="1:16" x14ac:dyDescent="0.2">
      <c r="A88">
        <v>87</v>
      </c>
      <c r="B88">
        <v>752</v>
      </c>
      <c r="C88">
        <v>175</v>
      </c>
      <c r="D88">
        <v>0.406204457884214</v>
      </c>
      <c r="E88">
        <v>89.984057044828802</v>
      </c>
      <c r="F88">
        <v>1.62981721015736</v>
      </c>
      <c r="G88">
        <v>-1498.2297004915079</v>
      </c>
      <c r="H88">
        <v>-1239.6292552170494</v>
      </c>
      <c r="I88">
        <v>252.26179290248299</v>
      </c>
      <c r="J88">
        <v>134.75685775624399</v>
      </c>
      <c r="K88">
        <v>55.211134404539003</v>
      </c>
      <c r="L88">
        <v>7.419498144535261E-4</v>
      </c>
      <c r="M88">
        <v>1.8648354548324276E-4</v>
      </c>
      <c r="N88" s="1">
        <v>6.1024014395684701E-6</v>
      </c>
      <c r="O88" s="1">
        <v>1.47813245097514E-5</v>
      </c>
      <c r="P88" s="1">
        <v>-3.1532229831767098E-5</v>
      </c>
    </row>
    <row r="89" spans="1:16" x14ac:dyDescent="0.2">
      <c r="A89">
        <v>88</v>
      </c>
      <c r="B89">
        <v>750</v>
      </c>
      <c r="C89">
        <v>175</v>
      </c>
      <c r="D89">
        <v>0.40490690514587502</v>
      </c>
      <c r="E89">
        <v>93.858034712256199</v>
      </c>
      <c r="F89">
        <v>1.64638259241499</v>
      </c>
      <c r="G89">
        <v>-1560.6226572660632</v>
      </c>
      <c r="H89">
        <v>-1293.4734743887848</v>
      </c>
      <c r="I89">
        <v>261.11031538092698</v>
      </c>
      <c r="J89">
        <v>139.935038350859</v>
      </c>
      <c r="K89">
        <v>57.008641335657501</v>
      </c>
      <c r="L89">
        <v>7.3171909142850304E-4</v>
      </c>
      <c r="M89">
        <v>1.8279517481807733E-4</v>
      </c>
      <c r="N89" s="1">
        <v>6.8593668837113799E-6</v>
      </c>
      <c r="O89" s="1">
        <v>1.49733989936145E-5</v>
      </c>
      <c r="P89" s="1">
        <v>-3.2199759133384803E-5</v>
      </c>
    </row>
    <row r="90" spans="1:16" x14ac:dyDescent="0.2">
      <c r="A90">
        <v>89</v>
      </c>
      <c r="B90">
        <v>748</v>
      </c>
      <c r="C90">
        <v>175</v>
      </c>
      <c r="D90">
        <v>0.40360426969593199</v>
      </c>
      <c r="E90">
        <v>96.328500499463601</v>
      </c>
      <c r="F90">
        <v>1.6573980858163799</v>
      </c>
      <c r="G90">
        <v>-1600.1966297036872</v>
      </c>
      <c r="H90">
        <v>-1327.9345861916079</v>
      </c>
      <c r="I90">
        <v>266.62874794045302</v>
      </c>
      <c r="J90">
        <v>143.27221272049701</v>
      </c>
      <c r="K90">
        <v>58.120316008459099</v>
      </c>
      <c r="L90">
        <v>7.2578163862958638E-4</v>
      </c>
      <c r="M90">
        <v>1.8022352303276594E-4</v>
      </c>
      <c r="N90" s="1">
        <v>7.6035943971137297E-6</v>
      </c>
      <c r="O90" s="1">
        <v>1.5063927017854499E-5</v>
      </c>
      <c r="P90" s="1">
        <v>-3.2656936315089E-5</v>
      </c>
    </row>
    <row r="91" spans="1:16" x14ac:dyDescent="0.2">
      <c r="A91">
        <v>90</v>
      </c>
      <c r="B91">
        <v>746</v>
      </c>
      <c r="C91">
        <v>175</v>
      </c>
      <c r="D91">
        <v>0.40229652161114798</v>
      </c>
      <c r="E91">
        <v>97.998537180109693</v>
      </c>
      <c r="F91">
        <v>1.6654349039221199</v>
      </c>
      <c r="G91">
        <v>-1626.7545003700031</v>
      </c>
      <c r="H91">
        <v>-1351.3298070466485</v>
      </c>
      <c r="I91">
        <v>270.25525226869001</v>
      </c>
      <c r="J91">
        <v>145.562817768424</v>
      </c>
      <c r="K91">
        <v>58.842610389227303</v>
      </c>
      <c r="L91">
        <v>7.2212963014294321E-4</v>
      </c>
      <c r="M91">
        <v>1.7824564196576443E-4</v>
      </c>
      <c r="N91" s="1">
        <v>8.3443760483623408E-6</v>
      </c>
      <c r="O91" s="1">
        <v>1.50972772201857E-5</v>
      </c>
      <c r="P91" s="1">
        <v>-3.2995497358681798E-5</v>
      </c>
    </row>
    <row r="92" spans="1:16" x14ac:dyDescent="0.2">
      <c r="A92">
        <v>91</v>
      </c>
      <c r="B92">
        <v>744</v>
      </c>
      <c r="C92">
        <v>175</v>
      </c>
      <c r="D92">
        <v>0.40098363073293403</v>
      </c>
      <c r="E92">
        <v>99.228614005613096</v>
      </c>
      <c r="F92">
        <v>1.67190215363427</v>
      </c>
      <c r="G92">
        <v>-1646.1586859227632</v>
      </c>
      <c r="H92">
        <v>-1368.6447808004618</v>
      </c>
      <c r="I92">
        <v>272.84066741370998</v>
      </c>
      <c r="J92">
        <v>147.27970668771599</v>
      </c>
      <c r="K92">
        <v>59.350730417994797</v>
      </c>
      <c r="L92">
        <v>7.1967384375713501E-4</v>
      </c>
      <c r="M92">
        <v>1.7657926205277296E-4</v>
      </c>
      <c r="N92" s="1">
        <v>9.0882208946519692E-6</v>
      </c>
      <c r="O92" s="1">
        <v>1.5098785752904099E-5</v>
      </c>
      <c r="P92" s="1">
        <v>-3.3268285606558302E-5</v>
      </c>
    </row>
    <row r="93" spans="1:16" x14ac:dyDescent="0.2">
      <c r="A93">
        <v>92</v>
      </c>
      <c r="B93">
        <v>742</v>
      </c>
      <c r="C93">
        <v>175</v>
      </c>
      <c r="D93">
        <v>0.39966556666502401</v>
      </c>
      <c r="E93">
        <v>100.181986701074</v>
      </c>
      <c r="F93">
        <v>1.6774108976351501</v>
      </c>
      <c r="G93">
        <v>-1661.0639881276929</v>
      </c>
      <c r="H93">
        <v>-1382.1362113068833</v>
      </c>
      <c r="I93">
        <v>274.77100115051599</v>
      </c>
      <c r="J93">
        <v>148.63724909922601</v>
      </c>
      <c r="K93">
        <v>59.724177804206199</v>
      </c>
      <c r="L93">
        <v>7.1794089713594412E-4</v>
      </c>
      <c r="M93">
        <v>1.7510156318283402E-4</v>
      </c>
      <c r="N93" s="1">
        <v>9.83776487060804E-6</v>
      </c>
      <c r="O93" s="1">
        <v>1.50800106710698E-5</v>
      </c>
      <c r="P93" s="1">
        <v>-3.3499297183904803E-5</v>
      </c>
    </row>
    <row r="94" spans="1:16" x14ac:dyDescent="0.2">
      <c r="A94">
        <v>93</v>
      </c>
      <c r="B94">
        <v>776</v>
      </c>
      <c r="C94">
        <v>150</v>
      </c>
      <c r="D94">
        <v>0.447600915026452</v>
      </c>
      <c r="E94">
        <v>6.2964255424740703</v>
      </c>
      <c r="F94">
        <v>0.35500396313718702</v>
      </c>
      <c r="G94">
        <v>-139.22531026274135</v>
      </c>
      <c r="H94">
        <v>-78.748896324324988</v>
      </c>
      <c r="I94">
        <v>57.646682685751799</v>
      </c>
      <c r="J94">
        <v>24.6135964632822</v>
      </c>
      <c r="K94">
        <v>17.7362119758671</v>
      </c>
      <c r="L94">
        <v>1.7449668098908988E-3</v>
      </c>
      <c r="M94">
        <v>5.7201298255247102E-4</v>
      </c>
      <c r="N94" s="1">
        <v>-1.0961177450042E-5</v>
      </c>
      <c r="O94" s="1">
        <v>1.6811491449313701E-5</v>
      </c>
      <c r="P94" s="1">
        <v>-2.5398240574037701E-5</v>
      </c>
    </row>
    <row r="95" spans="1:16" x14ac:dyDescent="0.2">
      <c r="A95">
        <v>94</v>
      </c>
      <c r="B95">
        <v>774</v>
      </c>
      <c r="C95">
        <v>150</v>
      </c>
      <c r="D95">
        <v>0.44641216635630598</v>
      </c>
      <c r="E95">
        <v>6.8411411442249701</v>
      </c>
      <c r="F95">
        <v>0.38076873880266199</v>
      </c>
      <c r="G95">
        <v>-148.18171766997955</v>
      </c>
      <c r="H95">
        <v>-86.412369946181343</v>
      </c>
      <c r="I95">
        <v>58.9915199117589</v>
      </c>
      <c r="J95">
        <v>25.4188453571441</v>
      </c>
      <c r="K95">
        <v>17.966656521586</v>
      </c>
      <c r="L95">
        <v>1.7332866986816762E-3</v>
      </c>
      <c r="M95">
        <v>5.6484869740391582E-4</v>
      </c>
      <c r="N95" s="1">
        <v>-1.07240670987609E-5</v>
      </c>
      <c r="O95" s="1">
        <v>1.6842471815150299E-5</v>
      </c>
      <c r="P95" s="1">
        <v>-2.5644838129216698E-5</v>
      </c>
    </row>
    <row r="96" spans="1:16" x14ac:dyDescent="0.2">
      <c r="A96">
        <v>95</v>
      </c>
      <c r="B96">
        <v>772</v>
      </c>
      <c r="C96">
        <v>150</v>
      </c>
      <c r="D96">
        <v>0.44521886810505501</v>
      </c>
      <c r="E96">
        <v>7.5591061631516201</v>
      </c>
      <c r="F96">
        <v>0.41330924653442802</v>
      </c>
      <c r="G96">
        <v>-160.01358213450035</v>
      </c>
      <c r="H96">
        <v>-96.497886708354756</v>
      </c>
      <c r="I96">
        <v>60.7753365279303</v>
      </c>
      <c r="J96">
        <v>26.4646585246931</v>
      </c>
      <c r="K96">
        <v>18.289225867880301</v>
      </c>
      <c r="L96">
        <v>1.7161577027042573E-3</v>
      </c>
      <c r="M96">
        <v>5.5594128297332198E-4</v>
      </c>
      <c r="N96" s="1">
        <v>-1.04921767384842E-5</v>
      </c>
      <c r="O96" s="1">
        <v>1.6900376746340601E-5</v>
      </c>
      <c r="P96" s="1">
        <v>-2.5936442968662101E-5</v>
      </c>
    </row>
    <row r="97" spans="1:16" x14ac:dyDescent="0.2">
      <c r="A97">
        <v>96</v>
      </c>
      <c r="B97">
        <v>770</v>
      </c>
      <c r="C97">
        <v>150</v>
      </c>
      <c r="D97">
        <v>0.44402099410439499</v>
      </c>
      <c r="E97">
        <v>8.2785063068628002</v>
      </c>
      <c r="F97">
        <v>0.44479994783726601</v>
      </c>
      <c r="G97">
        <v>-171.85845918617446</v>
      </c>
      <c r="H97">
        <v>-106.60365124647097</v>
      </c>
      <c r="I97">
        <v>62.559057389869601</v>
      </c>
      <c r="J97">
        <v>27.5141377940712</v>
      </c>
      <c r="K97">
        <v>18.611751973252399</v>
      </c>
      <c r="L97">
        <v>1.699628063082365E-3</v>
      </c>
      <c r="M97">
        <v>5.4729871502302233E-4</v>
      </c>
      <c r="N97" s="1">
        <v>-1.0245652304581201E-5</v>
      </c>
      <c r="O97" s="1">
        <v>1.6957153831904501E-5</v>
      </c>
      <c r="P97" s="1">
        <v>-2.6230716443413799E-5</v>
      </c>
    </row>
    <row r="98" spans="1:16" x14ac:dyDescent="0.2">
      <c r="A98">
        <v>97</v>
      </c>
      <c r="B98">
        <v>768</v>
      </c>
      <c r="C98">
        <v>150</v>
      </c>
      <c r="D98">
        <v>0.442818517984921</v>
      </c>
      <c r="E98">
        <v>11.370033229012</v>
      </c>
      <c r="F98">
        <v>0.56455697574558406</v>
      </c>
      <c r="G98">
        <v>-223.07747892157946</v>
      </c>
      <c r="H98">
        <v>-150.18976427727051</v>
      </c>
      <c r="I98">
        <v>70.010545219372702</v>
      </c>
      <c r="J98">
        <v>31.6985430888917</v>
      </c>
      <c r="K98">
        <v>20.1397444677681</v>
      </c>
      <c r="L98">
        <v>1.6119193164903949E-3</v>
      </c>
      <c r="M98">
        <v>5.1581984433393354E-4</v>
      </c>
      <c r="N98" s="1">
        <v>-1.0172614410288101E-5</v>
      </c>
      <c r="O98" s="1">
        <v>1.7318566228929002E-5</v>
      </c>
      <c r="P98" s="1">
        <v>-2.7004423494559198E-5</v>
      </c>
    </row>
    <row r="99" spans="1:16" x14ac:dyDescent="0.2">
      <c r="A99">
        <v>98</v>
      </c>
      <c r="B99">
        <v>766</v>
      </c>
      <c r="C99">
        <v>150</v>
      </c>
      <c r="D99">
        <v>0.44161141317423203</v>
      </c>
      <c r="E99">
        <v>14.855429600600299</v>
      </c>
      <c r="F99">
        <v>0.67943962660861001</v>
      </c>
      <c r="G99">
        <v>-280.75696995159973</v>
      </c>
      <c r="H99">
        <v>-199.30297670520622</v>
      </c>
      <c r="I99">
        <v>78.388933431051896</v>
      </c>
      <c r="J99">
        <v>36.406684663548397</v>
      </c>
      <c r="K99">
        <v>21.864237849579801</v>
      </c>
      <c r="L99">
        <v>1.5271161457242478E-3</v>
      </c>
      <c r="M99">
        <v>4.856083241823272E-4</v>
      </c>
      <c r="N99" s="1">
        <v>-1.0102186648512E-5</v>
      </c>
      <c r="O99" s="1">
        <v>1.7725396525798501E-5</v>
      </c>
      <c r="P99" s="1">
        <v>-2.7861717140032399E-5</v>
      </c>
    </row>
    <row r="100" spans="1:16" x14ac:dyDescent="0.2">
      <c r="A100">
        <v>99</v>
      </c>
      <c r="B100">
        <v>764</v>
      </c>
      <c r="C100">
        <v>150</v>
      </c>
      <c r="D100">
        <v>0.44039965289495597</v>
      </c>
      <c r="E100">
        <v>18.528588459820099</v>
      </c>
      <c r="F100">
        <v>0.78248832127187096</v>
      </c>
      <c r="G100">
        <v>-341.44253895698267</v>
      </c>
      <c r="H100">
        <v>-251.00977976771753</v>
      </c>
      <c r="I100">
        <v>87.197351485434893</v>
      </c>
      <c r="J100">
        <v>41.364925505586697</v>
      </c>
      <c r="K100">
        <v>23.679060704322499</v>
      </c>
      <c r="L100">
        <v>1.4509125168480916E-3</v>
      </c>
      <c r="M100">
        <v>4.584557894455876E-4</v>
      </c>
      <c r="N100" s="1">
        <v>-1.00142728834961E-5</v>
      </c>
      <c r="O100" s="1">
        <v>1.81490799905319E-5</v>
      </c>
      <c r="P100" s="1">
        <v>-2.87593251520416E-5</v>
      </c>
    </row>
    <row r="101" spans="1:16" x14ac:dyDescent="0.2">
      <c r="A101">
        <v>100</v>
      </c>
      <c r="B101">
        <v>762</v>
      </c>
      <c r="C101">
        <v>150</v>
      </c>
      <c r="D101">
        <v>0.439183210162781</v>
      </c>
      <c r="E101">
        <v>64.160128301783303</v>
      </c>
      <c r="F101">
        <v>1.3868780803032199</v>
      </c>
      <c r="G101">
        <v>-1083.0070833530187</v>
      </c>
      <c r="H101">
        <v>-881.5165209595948</v>
      </c>
      <c r="I101">
        <v>194.65362039030501</v>
      </c>
      <c r="J101">
        <v>100.88131241918801</v>
      </c>
      <c r="K101">
        <v>46.262270067571798</v>
      </c>
      <c r="L101">
        <v>9.6606044241806369E-4</v>
      </c>
      <c r="M101">
        <v>3.0201829755207606E-4</v>
      </c>
      <c r="N101" s="1">
        <v>-1.2564129023378501E-5</v>
      </c>
      <c r="O101" s="1">
        <v>2.33548627979717E-5</v>
      </c>
      <c r="P101" s="1">
        <v>-3.7310310392118597E-5</v>
      </c>
    </row>
    <row r="102" spans="1:16" x14ac:dyDescent="0.2">
      <c r="A102">
        <v>101</v>
      </c>
      <c r="B102">
        <v>760</v>
      </c>
      <c r="C102">
        <v>150</v>
      </c>
      <c r="D102">
        <v>0.43796205778444602</v>
      </c>
      <c r="E102">
        <v>83.207043083237807</v>
      </c>
      <c r="F102">
        <v>1.49683816083094</v>
      </c>
      <c r="G102">
        <v>-1392.128331597849</v>
      </c>
      <c r="H102">
        <v>-1145.0348059001863</v>
      </c>
      <c r="I102">
        <v>239.170628869887</v>
      </c>
      <c r="J102">
        <v>125.745123791818</v>
      </c>
      <c r="K102">
        <v>55.5885367306823</v>
      </c>
      <c r="L102">
        <v>8.8083397112682525E-4</v>
      </c>
      <c r="M102">
        <v>2.7336975756095909E-4</v>
      </c>
      <c r="N102" s="1">
        <v>-1.32065811756997E-5</v>
      </c>
      <c r="O102" s="1">
        <v>2.5428504916149399E-5</v>
      </c>
      <c r="P102" s="1">
        <v>-4.0957111522779097E-5</v>
      </c>
    </row>
    <row r="103" spans="1:16" x14ac:dyDescent="0.2">
      <c r="A103">
        <v>102</v>
      </c>
      <c r="B103">
        <v>758</v>
      </c>
      <c r="C103">
        <v>150</v>
      </c>
      <c r="D103">
        <v>0.43673616835572199</v>
      </c>
      <c r="E103">
        <v>90.123178468903006</v>
      </c>
      <c r="F103">
        <v>1.5300774776283399</v>
      </c>
      <c r="G103">
        <v>-1503.9843459356478</v>
      </c>
      <c r="H103">
        <v>-1240.9238013899569</v>
      </c>
      <c r="I103">
        <v>255.11935795088499</v>
      </c>
      <c r="J103">
        <v>134.83199250310301</v>
      </c>
      <c r="K103">
        <v>58.901055526021999</v>
      </c>
      <c r="L103">
        <v>8.5774658093109701E-4</v>
      </c>
      <c r="M103">
        <v>2.6451039988810513E-4</v>
      </c>
      <c r="N103" s="1">
        <v>-1.3024695601716301E-5</v>
      </c>
      <c r="O103" s="1">
        <v>2.61081393820681E-5</v>
      </c>
      <c r="P103" s="1">
        <v>-4.2400040386471701E-5</v>
      </c>
    </row>
    <row r="104" spans="1:16" x14ac:dyDescent="0.2">
      <c r="A104">
        <v>103</v>
      </c>
      <c r="B104">
        <v>756</v>
      </c>
      <c r="C104">
        <v>150</v>
      </c>
      <c r="D104">
        <v>0.43550551425934297</v>
      </c>
      <c r="E104">
        <v>93.782351149567802</v>
      </c>
      <c r="F104">
        <v>1.54754510569887</v>
      </c>
      <c r="G104">
        <v>-1562.8809610481528</v>
      </c>
      <c r="H104">
        <v>-1291.8035738304648</v>
      </c>
      <c r="I104">
        <v>263.40500325767101</v>
      </c>
      <c r="J104">
        <v>139.68867614237101</v>
      </c>
      <c r="K104">
        <v>60.600722269232698</v>
      </c>
      <c r="L104">
        <v>8.4742355715825327E-4</v>
      </c>
      <c r="M104">
        <v>2.5971360172861492E-4</v>
      </c>
      <c r="N104" s="1">
        <v>-1.2607829203058399E-5</v>
      </c>
      <c r="O104" s="1">
        <v>2.6414727221294602E-5</v>
      </c>
      <c r="P104" s="1">
        <v>-4.3255553454004501E-5</v>
      </c>
    </row>
    <row r="105" spans="1:16" x14ac:dyDescent="0.2">
      <c r="A105">
        <v>104</v>
      </c>
      <c r="B105">
        <v>754</v>
      </c>
      <c r="C105">
        <v>150</v>
      </c>
      <c r="D105">
        <v>0.43427006766295001</v>
      </c>
      <c r="E105">
        <v>96.095106372937906</v>
      </c>
      <c r="F105">
        <v>1.5591257495256701</v>
      </c>
      <c r="G105">
        <v>-1599.8850264876392</v>
      </c>
      <c r="H105">
        <v>-1324.076886746338</v>
      </c>
      <c r="I105">
        <v>268.52365142589701</v>
      </c>
      <c r="J105">
        <v>142.79918004310201</v>
      </c>
      <c r="K105">
        <v>61.633967883714703</v>
      </c>
      <c r="L105">
        <v>8.4185766006454968E-4</v>
      </c>
      <c r="M105">
        <v>2.5642932935431256E-4</v>
      </c>
      <c r="N105" s="1">
        <v>-1.20818387161392E-5</v>
      </c>
      <c r="O105" s="1">
        <v>2.65669233498451E-5</v>
      </c>
      <c r="P105" s="1">
        <v>-4.3869799269046397E-5</v>
      </c>
    </row>
    <row r="106" spans="1:16" x14ac:dyDescent="0.2">
      <c r="A106">
        <v>105</v>
      </c>
      <c r="B106">
        <v>752</v>
      </c>
      <c r="C106">
        <v>150</v>
      </c>
      <c r="D106">
        <v>0.43302980051699702</v>
      </c>
      <c r="E106">
        <v>97.767833839471905</v>
      </c>
      <c r="F106">
        <v>1.5680668755559499</v>
      </c>
      <c r="G106">
        <v>-1626.4826958182255</v>
      </c>
      <c r="H106">
        <v>-1347.5127629480808</v>
      </c>
      <c r="I106">
        <v>272.13178807206702</v>
      </c>
      <c r="J106">
        <v>145.08061163995899</v>
      </c>
      <c r="K106">
        <v>62.349275635841899</v>
      </c>
      <c r="L106">
        <v>8.3842656185319426E-4</v>
      </c>
      <c r="M106">
        <v>2.5382385557441521E-4</v>
      </c>
      <c r="N106" s="1">
        <v>-1.14917691593682E-5</v>
      </c>
      <c r="O106" s="1">
        <v>2.6644368504946898E-5</v>
      </c>
      <c r="P106" s="1">
        <v>-4.43691957035344E-5</v>
      </c>
    </row>
    <row r="107" spans="1:16" x14ac:dyDescent="0.2">
      <c r="A107">
        <v>106</v>
      </c>
      <c r="B107">
        <v>750</v>
      </c>
      <c r="C107">
        <v>150</v>
      </c>
      <c r="D107">
        <v>0.43178468455260599</v>
      </c>
      <c r="E107">
        <v>98.998864742549898</v>
      </c>
      <c r="F107">
        <v>1.5752481098325899</v>
      </c>
      <c r="G107">
        <v>-1645.8982226531532</v>
      </c>
      <c r="H107">
        <v>-1364.8421658149873</v>
      </c>
      <c r="I107">
        <v>274.70268922891398</v>
      </c>
      <c r="J107">
        <v>146.79209761564499</v>
      </c>
      <c r="K107">
        <v>62.8465218428803</v>
      </c>
      <c r="L107">
        <v>8.3640799666478429E-4</v>
      </c>
      <c r="M107">
        <v>2.5166493878037193E-4</v>
      </c>
      <c r="N107" s="1">
        <v>-1.08522649154292E-5</v>
      </c>
      <c r="O107" s="1">
        <v>2.66710265640347E-5</v>
      </c>
      <c r="P107" s="1">
        <v>-4.4790982887037401E-5</v>
      </c>
    </row>
    <row r="108" spans="1:16" x14ac:dyDescent="0.2">
      <c r="A108">
        <v>107</v>
      </c>
      <c r="B108">
        <v>748</v>
      </c>
      <c r="C108">
        <v>150</v>
      </c>
      <c r="D108">
        <v>0.43053469127944</v>
      </c>
      <c r="E108">
        <v>99.956982022614795</v>
      </c>
      <c r="F108">
        <v>1.5813751691035201</v>
      </c>
      <c r="G108">
        <v>-1660.8764388617883</v>
      </c>
      <c r="H108">
        <v>-1378.3998459468025</v>
      </c>
      <c r="I108">
        <v>276.63185213432303</v>
      </c>
      <c r="J108">
        <v>148.15272323103699</v>
      </c>
      <c r="K108">
        <v>63.208898163792597</v>
      </c>
      <c r="L108">
        <v>8.3523145114281123E-4</v>
      </c>
      <c r="M108">
        <v>2.4977127665826897E-4</v>
      </c>
      <c r="N108" s="1">
        <v>-1.01739045357973E-5</v>
      </c>
      <c r="O108" s="1">
        <v>2.6665806589956599E-5</v>
      </c>
      <c r="P108" s="1">
        <v>-4.5165124303978798E-5</v>
      </c>
    </row>
    <row r="109" spans="1:16" x14ac:dyDescent="0.2">
      <c r="A109">
        <v>108</v>
      </c>
      <c r="B109">
        <v>790</v>
      </c>
      <c r="C109">
        <v>125</v>
      </c>
      <c r="D109">
        <v>0.48166345294643498</v>
      </c>
      <c r="E109">
        <v>6.7532647531932897</v>
      </c>
      <c r="F109">
        <v>0.29352141477889798</v>
      </c>
      <c r="G109">
        <v>-150.72283183795165</v>
      </c>
      <c r="H109">
        <v>-83.649470750967311</v>
      </c>
      <c r="I109">
        <v>63.0929085451479</v>
      </c>
      <c r="J109">
        <v>25.434557728793202</v>
      </c>
      <c r="K109">
        <v>23.007741218065199</v>
      </c>
      <c r="L109">
        <v>1.7665604202865043E-3</v>
      </c>
      <c r="M109">
        <v>7.6230257397057058E-4</v>
      </c>
      <c r="N109" s="1">
        <v>-3.0822534044835397E-5</v>
      </c>
      <c r="O109" s="1">
        <v>3.3657242324102502E-5</v>
      </c>
      <c r="P109" s="1">
        <v>-3.5035691270953198E-5</v>
      </c>
    </row>
    <row r="110" spans="1:16" x14ac:dyDescent="0.2">
      <c r="A110">
        <v>109</v>
      </c>
      <c r="B110">
        <v>788</v>
      </c>
      <c r="C110">
        <v>125</v>
      </c>
      <c r="D110">
        <v>0.48055458700466802</v>
      </c>
      <c r="E110">
        <v>6.9037878727023401</v>
      </c>
      <c r="F110">
        <v>0.30006312422287401</v>
      </c>
      <c r="G110">
        <v>-153.10150400366697</v>
      </c>
      <c r="H110">
        <v>-85.80516621786586</v>
      </c>
      <c r="I110">
        <v>63.4219542790022</v>
      </c>
      <c r="J110">
        <v>25.6960073932329</v>
      </c>
      <c r="K110">
        <v>23.007785080496799</v>
      </c>
      <c r="L110">
        <v>1.7713056880743411E-3</v>
      </c>
      <c r="M110">
        <v>7.6011030549297872E-4</v>
      </c>
      <c r="N110" s="1">
        <v>-3.0822437559966901E-5</v>
      </c>
      <c r="O110" s="1">
        <v>3.3614719111323298E-5</v>
      </c>
      <c r="P110" s="1">
        <v>-3.5238207663449002E-5</v>
      </c>
    </row>
    <row r="111" spans="1:16" x14ac:dyDescent="0.2">
      <c r="A111">
        <v>110</v>
      </c>
      <c r="B111">
        <v>786</v>
      </c>
      <c r="C111">
        <v>125</v>
      </c>
      <c r="D111">
        <v>0.47944153330501299</v>
      </c>
      <c r="E111">
        <v>7.5862755243077098</v>
      </c>
      <c r="F111">
        <v>0.32557726642604301</v>
      </c>
      <c r="G111">
        <v>-164.33855133694863</v>
      </c>
      <c r="H111">
        <v>-95.396198700285822</v>
      </c>
      <c r="I111">
        <v>65.095824558302198</v>
      </c>
      <c r="J111">
        <v>26.678208843672699</v>
      </c>
      <c r="K111">
        <v>23.300998892166099</v>
      </c>
      <c r="L111">
        <v>1.7614683540962712E-3</v>
      </c>
      <c r="M111">
        <v>7.5157997121842333E-4</v>
      </c>
      <c r="N111" s="1">
        <v>-3.0948566508426801E-5</v>
      </c>
      <c r="O111" s="1">
        <v>3.3715362800625803E-5</v>
      </c>
      <c r="P111" s="1">
        <v>-3.5595210569430999E-5</v>
      </c>
    </row>
    <row r="112" spans="1:16" x14ac:dyDescent="0.2">
      <c r="A112">
        <v>111</v>
      </c>
      <c r="B112">
        <v>784</v>
      </c>
      <c r="C112">
        <v>125</v>
      </c>
      <c r="D112">
        <v>0.47832426807926898</v>
      </c>
      <c r="E112">
        <v>8.2697108996133792</v>
      </c>
      <c r="F112">
        <v>0.35050273043018998</v>
      </c>
      <c r="G112">
        <v>-175.58149274020903</v>
      </c>
      <c r="H112">
        <v>-105.00080766032563</v>
      </c>
      <c r="I112">
        <v>66.768761290338404</v>
      </c>
      <c r="J112">
        <v>27.663315642753101</v>
      </c>
      <c r="K112">
        <v>23.593855858022899</v>
      </c>
      <c r="L112">
        <v>1.7519402924360652E-3</v>
      </c>
      <c r="M112">
        <v>7.4323142604449939E-4</v>
      </c>
      <c r="N112" s="1">
        <v>-3.1066182211667199E-5</v>
      </c>
      <c r="O112" s="1">
        <v>3.3814971827841201E-5</v>
      </c>
      <c r="P112" s="1">
        <v>-3.5956703977114903E-5</v>
      </c>
    </row>
    <row r="113" spans="1:16" x14ac:dyDescent="0.2">
      <c r="A113">
        <v>112</v>
      </c>
      <c r="B113">
        <v>782</v>
      </c>
      <c r="C113">
        <v>125</v>
      </c>
      <c r="D113">
        <v>0.47720276737904699</v>
      </c>
      <c r="E113">
        <v>8.9535326239273605</v>
      </c>
      <c r="F113">
        <v>0.37484409259351398</v>
      </c>
      <c r="G113">
        <v>-186.82085787013858</v>
      </c>
      <c r="H113">
        <v>-114.61112640935437</v>
      </c>
      <c r="I113">
        <v>68.439239310383698</v>
      </c>
      <c r="J113">
        <v>28.650592489076299</v>
      </c>
      <c r="K113">
        <v>23.8860176826547</v>
      </c>
      <c r="L113">
        <v>1.7427237803660412E-3</v>
      </c>
      <c r="M113">
        <v>7.3506346704292408E-4</v>
      </c>
      <c r="N113" s="1">
        <v>-3.1174646271131198E-5</v>
      </c>
      <c r="O113" s="1">
        <v>3.3913340078582298E-5</v>
      </c>
      <c r="P113" s="1">
        <v>-3.6322568152257299E-5</v>
      </c>
    </row>
    <row r="114" spans="1:16" x14ac:dyDescent="0.2">
      <c r="A114">
        <v>113</v>
      </c>
      <c r="B114">
        <v>780</v>
      </c>
      <c r="C114">
        <v>125</v>
      </c>
      <c r="D114">
        <v>0.47607700707401701</v>
      </c>
      <c r="E114">
        <v>9.6371938399850396</v>
      </c>
      <c r="F114">
        <v>0.39860742222352702</v>
      </c>
      <c r="G114">
        <v>-198.0474341928051</v>
      </c>
      <c r="H114">
        <v>-124.21948860878292</v>
      </c>
      <c r="I114">
        <v>70.105776428129801</v>
      </c>
      <c r="J114">
        <v>29.639325085536999</v>
      </c>
      <c r="K114">
        <v>24.177156025410799</v>
      </c>
      <c r="L114">
        <v>1.7338199215919383E-3</v>
      </c>
      <c r="M114">
        <v>7.2707436794178259E-4</v>
      </c>
      <c r="N114" s="1">
        <v>-3.1273308338348503E-5</v>
      </c>
      <c r="O114" s="1">
        <v>3.4010266762434199E-5</v>
      </c>
      <c r="P114" s="1">
        <v>-3.6692684859527501E-5</v>
      </c>
    </row>
    <row r="115" spans="1:16" x14ac:dyDescent="0.2">
      <c r="A115">
        <v>114</v>
      </c>
      <c r="B115">
        <v>778</v>
      </c>
      <c r="C115">
        <v>125</v>
      </c>
      <c r="D115">
        <v>0.47494696285021398</v>
      </c>
      <c r="E115">
        <v>11.165483991805999</v>
      </c>
      <c r="F115">
        <v>0.44825490442263799</v>
      </c>
      <c r="G115">
        <v>-223.29478205350449</v>
      </c>
      <c r="H115">
        <v>-145.74845862448689</v>
      </c>
      <c r="I115">
        <v>73.776643406711898</v>
      </c>
      <c r="J115">
        <v>31.7299961995876</v>
      </c>
      <c r="K115">
        <v>24.908782662818702</v>
      </c>
      <c r="L115">
        <v>1.7039623205951197E-3</v>
      </c>
      <c r="M115">
        <v>7.1034462262913544E-4</v>
      </c>
      <c r="N115" s="1">
        <v>-3.1533503159996501E-5</v>
      </c>
      <c r="O115" s="1">
        <v>3.4290078177821E-5</v>
      </c>
      <c r="P115" s="1">
        <v>-3.7267469804977697E-5</v>
      </c>
    </row>
    <row r="116" spans="1:16" x14ac:dyDescent="0.2">
      <c r="A116">
        <v>115</v>
      </c>
      <c r="B116">
        <v>776</v>
      </c>
      <c r="C116">
        <v>125</v>
      </c>
      <c r="D116">
        <v>0.47381261020826598</v>
      </c>
      <c r="E116">
        <v>14.5232600778654</v>
      </c>
      <c r="F116">
        <v>0.54612511244181805</v>
      </c>
      <c r="G116">
        <v>-278.87882645189427</v>
      </c>
      <c r="H116">
        <v>-193.07749114861329</v>
      </c>
      <c r="I116">
        <v>81.785654403023301</v>
      </c>
      <c r="J116">
        <v>36.206410236994998</v>
      </c>
      <c r="K116">
        <v>26.5932837494497</v>
      </c>
      <c r="L116">
        <v>1.6346791843554825E-3</v>
      </c>
      <c r="M116">
        <v>6.7732445260290631E-4</v>
      </c>
      <c r="N116" s="1">
        <v>-3.2152042900428998E-5</v>
      </c>
      <c r="O116" s="1">
        <v>3.4964000721442701E-5</v>
      </c>
      <c r="P116" s="1">
        <v>-3.8282755751710403E-5</v>
      </c>
    </row>
    <row r="117" spans="1:16" x14ac:dyDescent="0.2">
      <c r="A117">
        <v>116</v>
      </c>
      <c r="B117">
        <v>774</v>
      </c>
      <c r="C117">
        <v>125</v>
      </c>
      <c r="D117">
        <v>0.47267392446163797</v>
      </c>
      <c r="E117">
        <v>18.009416210471699</v>
      </c>
      <c r="F117">
        <v>0.63548930498629297</v>
      </c>
      <c r="G117">
        <v>-336.50088318657771</v>
      </c>
      <c r="H117">
        <v>-242.17515392683032</v>
      </c>
      <c r="I117">
        <v>90.082514196006798</v>
      </c>
      <c r="J117">
        <v>40.852124558069498</v>
      </c>
      <c r="K117">
        <v>28.339448153041999</v>
      </c>
      <c r="L117">
        <v>1.5713931100320463E-3</v>
      </c>
      <c r="M117">
        <v>6.4712488695389966E-4</v>
      </c>
      <c r="N117" s="1">
        <v>-3.2778738439332099E-5</v>
      </c>
      <c r="O117" s="1">
        <v>3.5657041018220498E-5</v>
      </c>
      <c r="P117" s="1">
        <v>-3.9334826426774399E-5</v>
      </c>
    </row>
    <row r="118" spans="1:16" x14ac:dyDescent="0.2">
      <c r="A118">
        <v>117</v>
      </c>
      <c r="B118">
        <v>772</v>
      </c>
      <c r="C118">
        <v>125</v>
      </c>
      <c r="D118">
        <v>0.47153088073482102</v>
      </c>
      <c r="E118">
        <v>21.7724023820826</v>
      </c>
      <c r="F118">
        <v>0.72039760858597102</v>
      </c>
      <c r="G118">
        <v>-398.58312138335788</v>
      </c>
      <c r="H118">
        <v>-295.10173597401104</v>
      </c>
      <c r="I118">
        <v>99.015125508508604</v>
      </c>
      <c r="J118">
        <v>45.858365280719099</v>
      </c>
      <c r="K118">
        <v>30.222757714060901</v>
      </c>
      <c r="L118">
        <v>1.5108822773772645E-3</v>
      </c>
      <c r="M118">
        <v>6.1837216031018977E-4</v>
      </c>
      <c r="N118" s="1">
        <v>-3.3438750734022603E-5</v>
      </c>
      <c r="O118" s="1">
        <v>3.6397314379339202E-5</v>
      </c>
      <c r="P118" s="1">
        <v>-4.0455786714709198E-5</v>
      </c>
    </row>
    <row r="119" spans="1:16" x14ac:dyDescent="0.2">
      <c r="A119">
        <v>118</v>
      </c>
      <c r="B119">
        <v>770</v>
      </c>
      <c r="C119">
        <v>125</v>
      </c>
      <c r="D119">
        <v>0.47038345396155901</v>
      </c>
      <c r="E119">
        <v>66.325694540252599</v>
      </c>
      <c r="F119">
        <v>1.2570788824183701</v>
      </c>
      <c r="G119">
        <v>-1122.398165849153</v>
      </c>
      <c r="H119">
        <v>-910.42093310562848</v>
      </c>
      <c r="I119">
        <v>203.21384883604699</v>
      </c>
      <c r="J119">
        <v>103.198033626468</v>
      </c>
      <c r="K119">
        <v>52.761760194917201</v>
      </c>
      <c r="L119">
        <v>1.0790674776563784E-3</v>
      </c>
      <c r="M119">
        <v>4.3737850259321692E-4</v>
      </c>
      <c r="N119" s="1">
        <v>-4.1359061937595299E-5</v>
      </c>
      <c r="O119" s="1">
        <v>4.49758522555486E-5</v>
      </c>
      <c r="P119" s="1">
        <v>-5.0372736846416E-5</v>
      </c>
    </row>
    <row r="120" spans="1:16" x14ac:dyDescent="0.2">
      <c r="A120">
        <v>119</v>
      </c>
      <c r="B120">
        <v>768</v>
      </c>
      <c r="C120">
        <v>125</v>
      </c>
      <c r="D120">
        <v>0.46923161888296799</v>
      </c>
      <c r="E120">
        <v>82.964785424105102</v>
      </c>
      <c r="F120">
        <v>1.35868259550323</v>
      </c>
      <c r="G120">
        <v>-1392.3954332499177</v>
      </c>
      <c r="H120">
        <v>-1140.632237163479</v>
      </c>
      <c r="I120">
        <v>241.81805292757801</v>
      </c>
      <c r="J120">
        <v>124.65186589040501</v>
      </c>
      <c r="K120">
        <v>61.062668866657702</v>
      </c>
      <c r="L120">
        <v>1.0014355439807319E-3</v>
      </c>
      <c r="M120">
        <v>4.0311622900242593E-4</v>
      </c>
      <c r="N120" s="1">
        <v>-4.4141074807805197E-5</v>
      </c>
      <c r="O120" s="1">
        <v>4.8046495129235199E-5</v>
      </c>
      <c r="P120" s="1">
        <v>-5.4227104234359202E-5</v>
      </c>
    </row>
    <row r="121" spans="1:16" x14ac:dyDescent="0.2">
      <c r="A121">
        <v>120</v>
      </c>
      <c r="B121">
        <v>766</v>
      </c>
      <c r="C121">
        <v>125</v>
      </c>
      <c r="D121">
        <v>0.46807535004571499</v>
      </c>
      <c r="E121">
        <v>89.6769248285499</v>
      </c>
      <c r="F121">
        <v>1.3941091120941</v>
      </c>
      <c r="G121">
        <v>-1500.9396684285075</v>
      </c>
      <c r="H121">
        <v>-1233.6865302675276</v>
      </c>
      <c r="I121">
        <v>257.18997111963802</v>
      </c>
      <c r="J121">
        <v>133.36401801734601</v>
      </c>
      <c r="K121">
        <v>64.325614150706897</v>
      </c>
      <c r="L121">
        <v>9.7778272000923492E-4</v>
      </c>
      <c r="M121">
        <v>3.9114082813946732E-4</v>
      </c>
      <c r="N121" s="1">
        <v>-4.5120728972016501E-5</v>
      </c>
      <c r="O121" s="1">
        <v>4.9194367428738697E-5</v>
      </c>
      <c r="P121" s="1">
        <v>-5.5955131769712501E-5</v>
      </c>
    </row>
    <row r="122" spans="1:16" x14ac:dyDescent="0.2">
      <c r="A122">
        <v>121</v>
      </c>
      <c r="B122">
        <v>764</v>
      </c>
      <c r="C122">
        <v>125</v>
      </c>
      <c r="D122">
        <v>0.46691462180012799</v>
      </c>
      <c r="E122">
        <v>93.338717175918504</v>
      </c>
      <c r="F122">
        <v>1.4133131369570699</v>
      </c>
      <c r="G122">
        <v>-1559.8782902166397</v>
      </c>
      <c r="H122">
        <v>-1284.5927475954461</v>
      </c>
      <c r="I122">
        <v>265.43069439271301</v>
      </c>
      <c r="J122">
        <v>138.16623518337801</v>
      </c>
      <c r="K122">
        <v>66.042488911467103</v>
      </c>
      <c r="L122">
        <v>9.6737166018788122E-4</v>
      </c>
      <c r="M122">
        <v>3.8462237243618144E-4</v>
      </c>
      <c r="N122" s="1">
        <v>-4.5536715557937602E-5</v>
      </c>
      <c r="O122" s="1">
        <v>4.9754214144038302E-5</v>
      </c>
      <c r="P122" s="1">
        <v>-5.7036808773064499E-5</v>
      </c>
    </row>
    <row r="123" spans="1:16" x14ac:dyDescent="0.2">
      <c r="A123">
        <v>122</v>
      </c>
      <c r="B123">
        <v>762</v>
      </c>
      <c r="C123">
        <v>125</v>
      </c>
      <c r="D123">
        <v>0.46574940829831801</v>
      </c>
      <c r="E123">
        <v>95.682281201483505</v>
      </c>
      <c r="F123">
        <v>1.4261445715266701</v>
      </c>
      <c r="G123">
        <v>-1597.3806348320545</v>
      </c>
      <c r="H123">
        <v>-1317.2845425889457</v>
      </c>
      <c r="I123">
        <v>270.59078046119498</v>
      </c>
      <c r="J123">
        <v>141.281235031075</v>
      </c>
      <c r="K123">
        <v>67.091571998942797</v>
      </c>
      <c r="L123">
        <v>9.6216929934714313E-4</v>
      </c>
      <c r="M123">
        <v>3.802433167710476E-4</v>
      </c>
      <c r="N123" s="1">
        <v>-4.5698516402292898E-5</v>
      </c>
      <c r="O123" s="1">
        <v>5.0060241343319297E-5</v>
      </c>
      <c r="P123" s="1">
        <v>-5.7842919972584799E-5</v>
      </c>
    </row>
    <row r="124" spans="1:16" x14ac:dyDescent="0.2">
      <c r="A124">
        <v>123</v>
      </c>
      <c r="B124">
        <v>760</v>
      </c>
      <c r="C124">
        <v>125</v>
      </c>
      <c r="D124">
        <v>0.464579683492232</v>
      </c>
      <c r="E124">
        <v>97.332409396570696</v>
      </c>
      <c r="F124">
        <v>1.43580503694407</v>
      </c>
      <c r="G124">
        <v>-1623.6071786890986</v>
      </c>
      <c r="H124">
        <v>-1340.3953321123145</v>
      </c>
      <c r="I124">
        <v>274.13041402681398</v>
      </c>
      <c r="J124">
        <v>143.51044577511999</v>
      </c>
      <c r="K124">
        <v>67.789433030357799</v>
      </c>
      <c r="L124">
        <v>9.595649163962333E-4</v>
      </c>
      <c r="M124">
        <v>3.7692536093142338E-4</v>
      </c>
      <c r="N124" s="1">
        <v>-4.57169312801713E-5</v>
      </c>
      <c r="O124" s="1">
        <v>5.0232600053932198E-5</v>
      </c>
      <c r="P124" s="1">
        <v>-5.85067807017881E-5</v>
      </c>
    </row>
    <row r="125" spans="1:16" x14ac:dyDescent="0.2">
      <c r="A125">
        <v>124</v>
      </c>
      <c r="B125">
        <v>758</v>
      </c>
      <c r="C125">
        <v>125</v>
      </c>
      <c r="D125">
        <v>0.46340542113174599</v>
      </c>
      <c r="E125">
        <v>98.569636050097998</v>
      </c>
      <c r="F125">
        <v>1.44364838640669</v>
      </c>
      <c r="G125">
        <v>-1643.1199105503269</v>
      </c>
      <c r="H125">
        <v>-1357.8015886502731</v>
      </c>
      <c r="I125">
        <v>276.704979735851</v>
      </c>
      <c r="J125">
        <v>145.21365066042901</v>
      </c>
      <c r="K125">
        <v>68.278146519764604</v>
      </c>
      <c r="L125">
        <v>9.5845469889377756E-4</v>
      </c>
      <c r="M125">
        <v>3.7421246233598315E-4</v>
      </c>
      <c r="N125" s="1">
        <v>-4.5641201622280597E-5</v>
      </c>
      <c r="O125" s="1">
        <v>5.0325106569130897E-5</v>
      </c>
      <c r="P125" s="1">
        <v>-5.9088114340539397E-5</v>
      </c>
    </row>
    <row r="126" spans="1:16" x14ac:dyDescent="0.2">
      <c r="A126">
        <v>125</v>
      </c>
      <c r="B126">
        <v>756</v>
      </c>
      <c r="C126">
        <v>125</v>
      </c>
      <c r="D126">
        <v>0.46222659476266797</v>
      </c>
      <c r="E126">
        <v>99.582206664603206</v>
      </c>
      <c r="F126">
        <v>1.4505413013075801</v>
      </c>
      <c r="G126">
        <v>-1658.9789158112092</v>
      </c>
      <c r="H126">
        <v>-1372.1098612830515</v>
      </c>
      <c r="I126">
        <v>278.749545357079</v>
      </c>
      <c r="J126">
        <v>146.63154678769399</v>
      </c>
      <c r="K126">
        <v>68.651755434219993</v>
      </c>
      <c r="L126">
        <v>9.581378824941656E-4</v>
      </c>
      <c r="M126">
        <v>3.7181744713621708E-4</v>
      </c>
      <c r="N126" s="1">
        <v>-4.55026395555485E-5</v>
      </c>
      <c r="O126" s="1">
        <v>5.0372423884965097E-5</v>
      </c>
      <c r="P126" s="1">
        <v>-5.9625910921444502E-5</v>
      </c>
    </row>
    <row r="127" spans="1:16" x14ac:dyDescent="0.2">
      <c r="A127">
        <v>126</v>
      </c>
      <c r="B127">
        <v>754</v>
      </c>
      <c r="C127">
        <v>125</v>
      </c>
      <c r="D127">
        <v>0.46104317772477099</v>
      </c>
      <c r="E127">
        <v>100.38332072634201</v>
      </c>
      <c r="F127">
        <v>1.4565446013468599</v>
      </c>
      <c r="G127">
        <v>-1671.4000566187365</v>
      </c>
      <c r="H127">
        <v>-1383.4941961688039</v>
      </c>
      <c r="I127">
        <v>280.30172613869797</v>
      </c>
      <c r="J127">
        <v>147.78224838994501</v>
      </c>
      <c r="K127">
        <v>68.918810061509802</v>
      </c>
      <c r="L127">
        <v>9.5855702973604074E-4</v>
      </c>
      <c r="M127">
        <v>3.6971286943939685E-4</v>
      </c>
      <c r="N127" s="1">
        <v>-4.5305003277678802E-5</v>
      </c>
      <c r="O127" s="1">
        <v>5.03791369773812E-5</v>
      </c>
      <c r="P127" s="1">
        <v>-6.01245416768939E-5</v>
      </c>
    </row>
    <row r="128" spans="1:16" x14ac:dyDescent="0.2">
      <c r="A128">
        <v>127</v>
      </c>
      <c r="B128">
        <v>806</v>
      </c>
      <c r="C128">
        <v>100</v>
      </c>
      <c r="D128">
        <v>0.51586943427697896</v>
      </c>
      <c r="E128">
        <v>7.2658536759361798</v>
      </c>
      <c r="F128">
        <v>0.22867453013667</v>
      </c>
      <c r="G128">
        <v>-163.96091187653514</v>
      </c>
      <c r="H128">
        <v>-88.972179370493805</v>
      </c>
      <c r="I128">
        <v>69.492554764109897</v>
      </c>
      <c r="J128">
        <v>25.702875787987701</v>
      </c>
      <c r="K128">
        <v>31.773777655052498</v>
      </c>
      <c r="L128">
        <v>1.6928269517603844E-3</v>
      </c>
      <c r="M128">
        <v>1.0276883640724125E-3</v>
      </c>
      <c r="N128" s="1">
        <v>-5.4542992372285997E-5</v>
      </c>
      <c r="O128" s="1">
        <v>7.3988483976995494E-5</v>
      </c>
      <c r="P128" s="1">
        <v>-4.9260123694002102E-5</v>
      </c>
    </row>
    <row r="129" spans="1:16" x14ac:dyDescent="0.2">
      <c r="A129">
        <v>128</v>
      </c>
      <c r="B129">
        <v>804</v>
      </c>
      <c r="C129">
        <v>100</v>
      </c>
      <c r="D129">
        <v>0.514840551455232</v>
      </c>
      <c r="E129">
        <v>7.50253839536441</v>
      </c>
      <c r="F129">
        <v>0.23594419040041301</v>
      </c>
      <c r="G129">
        <v>-167.76104421822782</v>
      </c>
      <c r="H129">
        <v>-92.332456513990522</v>
      </c>
      <c r="I129">
        <v>70.029941429338194</v>
      </c>
      <c r="J129">
        <v>26.069037714823398</v>
      </c>
      <c r="K129">
        <v>31.797936548605399</v>
      </c>
      <c r="L129">
        <v>1.6974050959677324E-3</v>
      </c>
      <c r="M129">
        <v>1.0252215032859112E-3</v>
      </c>
      <c r="N129" s="1">
        <v>-5.49765303598697E-5</v>
      </c>
      <c r="O129" s="1">
        <v>7.3961405731417504E-5</v>
      </c>
      <c r="P129" s="1">
        <v>-4.9511455786135797E-5</v>
      </c>
    </row>
    <row r="130" spans="1:16" x14ac:dyDescent="0.2">
      <c r="A130">
        <v>129</v>
      </c>
      <c r="B130">
        <v>802</v>
      </c>
      <c r="C130">
        <v>100</v>
      </c>
      <c r="D130">
        <v>0.51380784076640695</v>
      </c>
      <c r="E130">
        <v>8.1545350894660302</v>
      </c>
      <c r="F130">
        <v>0.25434607187582697</v>
      </c>
      <c r="G130">
        <v>-178.47942566571967</v>
      </c>
      <c r="H130">
        <v>-101.49538403919379</v>
      </c>
      <c r="I130">
        <v>71.606959311980901</v>
      </c>
      <c r="J130">
        <v>26.9856161391236</v>
      </c>
      <c r="K130">
        <v>32.060786429000203</v>
      </c>
      <c r="L130">
        <v>1.6940321053211945E-3</v>
      </c>
      <c r="M130">
        <v>1.0178673509097231E-3</v>
      </c>
      <c r="N130" s="1">
        <v>-5.5562153619660003E-5</v>
      </c>
      <c r="O130" s="1">
        <v>7.41330911701105E-5</v>
      </c>
      <c r="P130" s="1">
        <v>-4.9900418006112498E-5</v>
      </c>
    </row>
    <row r="131" spans="1:16" x14ac:dyDescent="0.2">
      <c r="A131">
        <v>130</v>
      </c>
      <c r="B131">
        <v>800</v>
      </c>
      <c r="C131">
        <v>100</v>
      </c>
      <c r="D131">
        <v>0.51277128080883805</v>
      </c>
      <c r="E131">
        <v>8.8065066794446505</v>
      </c>
      <c r="F131">
        <v>0.27245626525883199</v>
      </c>
      <c r="G131">
        <v>-189.18821553434418</v>
      </c>
      <c r="H131">
        <v>-110.65836984998953</v>
      </c>
      <c r="I131">
        <v>73.180863190432305</v>
      </c>
      <c r="J131">
        <v>27.903505509822601</v>
      </c>
      <c r="K131">
        <v>32.322643309664699</v>
      </c>
      <c r="L131">
        <v>1.6908166787210795E-3</v>
      </c>
      <c r="M131">
        <v>1.0106269797467067E-3</v>
      </c>
      <c r="N131" s="1">
        <v>-5.61514253283505E-5</v>
      </c>
      <c r="O131" s="1">
        <v>7.4303645289889702E-5</v>
      </c>
      <c r="P131" s="1">
        <v>-5.0294042001134799E-5</v>
      </c>
    </row>
    <row r="132" spans="1:16" x14ac:dyDescent="0.2">
      <c r="A132">
        <v>131</v>
      </c>
      <c r="B132">
        <v>798</v>
      </c>
      <c r="C132">
        <v>100</v>
      </c>
      <c r="D132">
        <v>0.51173085002101004</v>
      </c>
      <c r="E132">
        <v>9.4579753956284502</v>
      </c>
      <c r="F132">
        <v>0.29027148122253299</v>
      </c>
      <c r="G132">
        <v>-199.87938305506393</v>
      </c>
      <c r="H132">
        <v>-119.81472784105947</v>
      </c>
      <c r="I132">
        <v>74.750380261306901</v>
      </c>
      <c r="J132">
        <v>28.822095967556301</v>
      </c>
      <c r="K132">
        <v>32.583205748612997</v>
      </c>
      <c r="L132">
        <v>1.6877641999202622E-3</v>
      </c>
      <c r="M132">
        <v>1.0035022061021881E-3</v>
      </c>
      <c r="N132" s="1">
        <v>-5.6744016947357801E-5</v>
      </c>
      <c r="O132" s="1">
        <v>7.4472788570104995E-5</v>
      </c>
      <c r="P132" s="1">
        <v>-5.0692251780644601E-5</v>
      </c>
    </row>
    <row r="133" spans="1:16" x14ac:dyDescent="0.2">
      <c r="A133">
        <v>132</v>
      </c>
      <c r="B133">
        <v>796</v>
      </c>
      <c r="C133">
        <v>100</v>
      </c>
      <c r="D133">
        <v>0.51068652668007097</v>
      </c>
      <c r="E133">
        <v>10.108478810598401</v>
      </c>
      <c r="F133">
        <v>0.30778949203045902</v>
      </c>
      <c r="G133">
        <v>-210.54516733849846</v>
      </c>
      <c r="H133">
        <v>-128.9579846150354</v>
      </c>
      <c r="I133">
        <v>76.314281671775902</v>
      </c>
      <c r="J133">
        <v>29.740799276348</v>
      </c>
      <c r="K133">
        <v>32.842182960547802</v>
      </c>
      <c r="L133">
        <v>1.6848793870125633E-3</v>
      </c>
      <c r="M133">
        <v>9.9649437512044177E-4</v>
      </c>
      <c r="N133" s="1">
        <v>-5.7339590800125599E-5</v>
      </c>
      <c r="O133" s="1">
        <v>7.4640251297889104E-5</v>
      </c>
      <c r="P133" s="1">
        <v>-5.1094977204842702E-5</v>
      </c>
    </row>
    <row r="134" spans="1:16" x14ac:dyDescent="0.2">
      <c r="A134">
        <v>133</v>
      </c>
      <c r="B134">
        <v>794</v>
      </c>
      <c r="C134">
        <v>100</v>
      </c>
      <c r="D134">
        <v>0.50963828890034402</v>
      </c>
      <c r="E134">
        <v>10.7575743147663</v>
      </c>
      <c r="F134">
        <v>0.32500914396513297</v>
      </c>
      <c r="G134">
        <v>-221.17815100904141</v>
      </c>
      <c r="H134">
        <v>-138.08194161291601</v>
      </c>
      <c r="I134">
        <v>77.871393711368597</v>
      </c>
      <c r="J134">
        <v>30.6590549008863</v>
      </c>
      <c r="K134">
        <v>33.099297402907503</v>
      </c>
      <c r="L134">
        <v>1.6821662601679778E-3</v>
      </c>
      <c r="M134">
        <v>9.8960435194097598E-4</v>
      </c>
      <c r="N134" s="1">
        <v>-5.7937801467295597E-5</v>
      </c>
      <c r="O134" s="1">
        <v>7.4805775679889595E-5</v>
      </c>
      <c r="P134" s="1">
        <v>-5.1502155579896997E-5</v>
      </c>
    </row>
    <row r="135" spans="1:16" x14ac:dyDescent="0.2">
      <c r="A135">
        <v>134</v>
      </c>
      <c r="B135">
        <v>792</v>
      </c>
      <c r="C135">
        <v>100</v>
      </c>
      <c r="D135">
        <v>0.50858611463174297</v>
      </c>
      <c r="E135">
        <v>11.404843098377899</v>
      </c>
      <c r="F135">
        <v>0.34193035169477098</v>
      </c>
      <c r="G135">
        <v>-231.77132536631518</v>
      </c>
      <c r="H135">
        <v>-147.18073034687151</v>
      </c>
      <c r="I135">
        <v>79.420607651133096</v>
      </c>
      <c r="J135">
        <v>31.576335429279599</v>
      </c>
      <c r="K135">
        <v>33.354287040767197</v>
      </c>
      <c r="L135">
        <v>1.6796281218349738E-3</v>
      </c>
      <c r="M135">
        <v>9.8283252093106684E-4</v>
      </c>
      <c r="N135" s="1">
        <v>-5.8538297022281202E-5</v>
      </c>
      <c r="O135" s="1">
        <v>7.4969117649789101E-5</v>
      </c>
      <c r="P135" s="1">
        <v>-5.1913733097887201E-5</v>
      </c>
    </row>
    <row r="136" spans="1:16" x14ac:dyDescent="0.2">
      <c r="A136">
        <v>135</v>
      </c>
      <c r="B136">
        <v>790</v>
      </c>
      <c r="C136">
        <v>100</v>
      </c>
      <c r="D136">
        <v>0.507529981658283</v>
      </c>
      <c r="E136">
        <v>13.2223206365379</v>
      </c>
      <c r="F136">
        <v>0.38611469004278698</v>
      </c>
      <c r="G136">
        <v>-261.79979234162852</v>
      </c>
      <c r="H136">
        <v>-172.78640403355669</v>
      </c>
      <c r="I136">
        <v>83.730138364731204</v>
      </c>
      <c r="J136">
        <v>33.993710344392099</v>
      </c>
      <c r="K136">
        <v>34.244541783874297</v>
      </c>
      <c r="L136">
        <v>1.6563281009954081E-3</v>
      </c>
      <c r="M136">
        <v>9.6391190751853473E-4</v>
      </c>
      <c r="N136" s="1">
        <v>-5.9506519751200902E-5</v>
      </c>
      <c r="O136" s="1">
        <v>7.5592028015957193E-5</v>
      </c>
      <c r="P136" s="1">
        <v>-5.2651432951808798E-5</v>
      </c>
    </row>
    <row r="137" spans="1:16" x14ac:dyDescent="0.2">
      <c r="A137">
        <v>136</v>
      </c>
      <c r="B137">
        <v>788</v>
      </c>
      <c r="C137">
        <v>100</v>
      </c>
      <c r="D137">
        <v>0.50646986759647905</v>
      </c>
      <c r="E137">
        <v>16.507573725849699</v>
      </c>
      <c r="F137">
        <v>0.45945353197164901</v>
      </c>
      <c r="G137">
        <v>-316.15793970409561</v>
      </c>
      <c r="H137">
        <v>-219.07314120052928</v>
      </c>
      <c r="I137">
        <v>91.494305775326495</v>
      </c>
      <c r="J137">
        <v>38.292391652304197</v>
      </c>
      <c r="K137">
        <v>35.928712213857501</v>
      </c>
      <c r="L137">
        <v>1.6104034494015223E-3</v>
      </c>
      <c r="M137">
        <v>9.3195061657256857E-4</v>
      </c>
      <c r="N137" s="1">
        <v>-6.0939667412402498E-5</v>
      </c>
      <c r="O137" s="1">
        <v>7.6784915231003007E-5</v>
      </c>
      <c r="P137" s="1">
        <v>-5.3798430131822103E-5</v>
      </c>
    </row>
    <row r="138" spans="1:16" x14ac:dyDescent="0.2">
      <c r="A138">
        <v>137</v>
      </c>
      <c r="B138">
        <v>786</v>
      </c>
      <c r="C138">
        <v>100</v>
      </c>
      <c r="D138">
        <v>0.50540574989378495</v>
      </c>
      <c r="E138">
        <v>19.933727494127201</v>
      </c>
      <c r="F138">
        <v>0.52898710421928496</v>
      </c>
      <c r="G138">
        <v>-372.76020964151252</v>
      </c>
      <c r="H138">
        <v>-267.30120744581262</v>
      </c>
      <c r="I138">
        <v>99.573681417404998</v>
      </c>
      <c r="J138">
        <v>42.772121143922803</v>
      </c>
      <c r="K138">
        <v>37.682823144709303</v>
      </c>
      <c r="L138">
        <v>1.5667692228807381E-3</v>
      </c>
      <c r="M138">
        <v>9.0159949542399892E-4</v>
      </c>
      <c r="N138" s="1">
        <v>-6.2423277913149194E-5</v>
      </c>
      <c r="O138" s="1">
        <v>7.8018999921198004E-5</v>
      </c>
      <c r="P138" s="1">
        <v>-5.4989437289372903E-5</v>
      </c>
    </row>
    <row r="139" spans="1:16" x14ac:dyDescent="0.2">
      <c r="A139">
        <v>138</v>
      </c>
      <c r="B139">
        <v>784</v>
      </c>
      <c r="C139">
        <v>100</v>
      </c>
      <c r="D139">
        <v>0.50433760582698905</v>
      </c>
      <c r="E139">
        <v>23.659065575414999</v>
      </c>
      <c r="F139">
        <v>0.597598450067375</v>
      </c>
      <c r="G139">
        <v>-434.19042955346532</v>
      </c>
      <c r="H139">
        <v>-319.66652004526327</v>
      </c>
      <c r="I139">
        <v>108.336996787323</v>
      </c>
      <c r="J139">
        <v>47.633431816264498</v>
      </c>
      <c r="K139">
        <v>39.590239186108299</v>
      </c>
      <c r="L139">
        <v>1.5232209543275155E-3</v>
      </c>
      <c r="M139">
        <v>8.7156364636008471E-4</v>
      </c>
      <c r="N139" s="1">
        <v>-6.4002122787928101E-5</v>
      </c>
      <c r="O139" s="1">
        <v>7.9348620933452604E-5</v>
      </c>
      <c r="P139" s="1">
        <v>-5.6263873521334903E-5</v>
      </c>
    </row>
    <row r="140" spans="1:16" x14ac:dyDescent="0.2">
      <c r="A140">
        <v>139</v>
      </c>
      <c r="B140">
        <v>782</v>
      </c>
      <c r="C140">
        <v>100</v>
      </c>
      <c r="D140">
        <v>0.50326541250059598</v>
      </c>
      <c r="E140">
        <v>51.939762702795697</v>
      </c>
      <c r="F140">
        <v>0.95484669531421396</v>
      </c>
      <c r="G140">
        <v>-893.89731008397723</v>
      </c>
      <c r="H140">
        <v>-710.1530657470131</v>
      </c>
      <c r="I140">
        <v>174.145256251429</v>
      </c>
      <c r="J140">
        <v>83.495876393328402</v>
      </c>
      <c r="K140">
        <v>54.395918169569299</v>
      </c>
      <c r="L140">
        <v>1.2550414536669939E-3</v>
      </c>
      <c r="M140">
        <v>7.1267414719098699E-4</v>
      </c>
      <c r="N140" s="1">
        <v>-7.2591398514637397E-5</v>
      </c>
      <c r="O140" s="1">
        <v>8.9243716060390398E-5</v>
      </c>
      <c r="P140" s="1">
        <v>-6.3665523590049594E-5</v>
      </c>
    </row>
    <row r="141" spans="1:16" x14ac:dyDescent="0.2">
      <c r="A141">
        <v>140</v>
      </c>
      <c r="B141">
        <v>780</v>
      </c>
      <c r="C141">
        <v>100</v>
      </c>
      <c r="D141">
        <v>0.50218914684517901</v>
      </c>
      <c r="E141">
        <v>76.2805647626667</v>
      </c>
      <c r="F141">
        <v>1.1379888301826799</v>
      </c>
      <c r="G141">
        <v>-1289.2822436273427</v>
      </c>
      <c r="H141">
        <v>-1046.5706533815619</v>
      </c>
      <c r="I141">
        <v>230.46783499931999</v>
      </c>
      <c r="J141">
        <v>114.336632154789</v>
      </c>
      <c r="K141">
        <v>67.031031183690004</v>
      </c>
      <c r="L141">
        <v>1.1197731211302893E-3</v>
      </c>
      <c r="M141">
        <v>6.3145466527708271E-4</v>
      </c>
      <c r="N141" s="1">
        <v>-8.0008669804027099E-5</v>
      </c>
      <c r="O141" s="1">
        <v>9.7559086855426706E-5</v>
      </c>
      <c r="P141" s="1">
        <v>-7.0025870626822299E-5</v>
      </c>
    </row>
    <row r="142" spans="1:16" x14ac:dyDescent="0.2">
      <c r="A142">
        <v>141</v>
      </c>
      <c r="B142">
        <v>778</v>
      </c>
      <c r="C142">
        <v>100</v>
      </c>
      <c r="D142">
        <v>0.501108785615755</v>
      </c>
      <c r="E142">
        <v>86.040041845570101</v>
      </c>
      <c r="F142">
        <v>1.19528027566672</v>
      </c>
      <c r="G142">
        <v>-1447.4138342454585</v>
      </c>
      <c r="H142">
        <v>-1181.6580942601897</v>
      </c>
      <c r="I142">
        <v>252.829323893989</v>
      </c>
      <c r="J142">
        <v>126.746154011537</v>
      </c>
      <c r="K142">
        <v>71.983152066637302</v>
      </c>
      <c r="L142">
        <v>1.0817181136818647E-3</v>
      </c>
      <c r="M142">
        <v>6.0635289955455205E-4</v>
      </c>
      <c r="N142" s="1">
        <v>-8.3282185732905503E-5</v>
      </c>
      <c r="O142">
        <v>1.00744868191473E-4</v>
      </c>
      <c r="P142" s="1">
        <v>-7.2762266876098402E-5</v>
      </c>
    </row>
    <row r="143" spans="1:16" x14ac:dyDescent="0.2">
      <c r="A143">
        <v>142</v>
      </c>
      <c r="B143">
        <v>776</v>
      </c>
      <c r="C143">
        <v>100</v>
      </c>
      <c r="D143">
        <v>0.50002430539008103</v>
      </c>
      <c r="E143">
        <v>90.972668649316205</v>
      </c>
      <c r="F143">
        <v>1.2227627607866201</v>
      </c>
      <c r="G143">
        <v>-1527.0268717777706</v>
      </c>
      <c r="H143">
        <v>-1250.0856067637822</v>
      </c>
      <c r="I143">
        <v>263.97289817422001</v>
      </c>
      <c r="J143">
        <v>133.062910711749</v>
      </c>
      <c r="K143">
        <v>74.399279702296596</v>
      </c>
      <c r="L143">
        <v>1.0667345367035386E-3</v>
      </c>
      <c r="M143">
        <v>5.9453019185509747E-4</v>
      </c>
      <c r="N143" s="1">
        <v>-8.5192913943097994E-5</v>
      </c>
      <c r="O143">
        <v>1.02248679507347E-4</v>
      </c>
      <c r="P143" s="1">
        <v>-7.4312483372952399E-5</v>
      </c>
    </row>
    <row r="144" spans="1:16" x14ac:dyDescent="0.2">
      <c r="A144">
        <v>143</v>
      </c>
      <c r="B144">
        <v>774</v>
      </c>
      <c r="C144">
        <v>100</v>
      </c>
      <c r="D144">
        <v>0.49893568256697302</v>
      </c>
      <c r="E144">
        <v>93.965344480744307</v>
      </c>
      <c r="F144">
        <v>1.2396934887790201</v>
      </c>
      <c r="G144">
        <v>-1575.0860333197643</v>
      </c>
      <c r="H144">
        <v>-1291.721083675043</v>
      </c>
      <c r="I144">
        <v>270.611573783209</v>
      </c>
      <c r="J144">
        <v>136.93404236745801</v>
      </c>
      <c r="K144">
        <v>75.797239665500399</v>
      </c>
      <c r="L144">
        <v>1.0599457252480839E-3</v>
      </c>
      <c r="M144">
        <v>5.874055606450724E-4</v>
      </c>
      <c r="N144" s="1">
        <v>-8.6557260600990296E-5</v>
      </c>
      <c r="O144">
        <v>1.03079596829506E-4</v>
      </c>
      <c r="P144" s="1">
        <v>-7.5392161799692702E-5</v>
      </c>
    </row>
    <row r="145" spans="1:16" x14ac:dyDescent="0.2">
      <c r="A145">
        <v>144</v>
      </c>
      <c r="B145">
        <v>772</v>
      </c>
      <c r="C145">
        <v>100</v>
      </c>
      <c r="D145">
        <v>0.49784289336458698</v>
      </c>
      <c r="E145">
        <v>95.996114693771801</v>
      </c>
      <c r="F145">
        <v>1.25173344091894</v>
      </c>
      <c r="G145">
        <v>-1607.5005110325812</v>
      </c>
      <c r="H145">
        <v>-1320.0722448911463</v>
      </c>
      <c r="I145">
        <v>275.01723740364099</v>
      </c>
      <c r="J145">
        <v>139.59439260870201</v>
      </c>
      <c r="K145">
        <v>76.690540937611402</v>
      </c>
      <c r="L145">
        <v>1.0569779474486043E-3</v>
      </c>
      <c r="M145">
        <v>5.8245695793854096E-4</v>
      </c>
      <c r="N145" s="1">
        <v>-8.7650289759766504E-5</v>
      </c>
      <c r="O145">
        <v>1.0357779108116299E-4</v>
      </c>
      <c r="P145" s="1">
        <v>-7.6242767172981195E-5</v>
      </c>
    </row>
    <row r="146" spans="1:16" x14ac:dyDescent="0.2">
      <c r="A146">
        <v>145</v>
      </c>
      <c r="B146">
        <v>770</v>
      </c>
      <c r="C146">
        <v>100</v>
      </c>
      <c r="D146">
        <v>0.49674591381872402</v>
      </c>
      <c r="E146">
        <v>97.478774441389902</v>
      </c>
      <c r="F146">
        <v>1.2611059137711</v>
      </c>
      <c r="G146">
        <v>-1631.000838232043</v>
      </c>
      <c r="H146">
        <v>-1340.8541552157951</v>
      </c>
      <c r="I146">
        <v>278.15051661775601</v>
      </c>
      <c r="J146">
        <v>141.566236568927</v>
      </c>
      <c r="K146">
        <v>77.296263047325894</v>
      </c>
      <c r="L146">
        <v>1.056113955867629E-3</v>
      </c>
      <c r="M146">
        <v>5.7869394668729401E-4</v>
      </c>
      <c r="N146" s="1">
        <v>-8.8587752563694803E-5</v>
      </c>
      <c r="O146">
        <v>1.0388673575777E-4</v>
      </c>
      <c r="P146" s="1">
        <v>-7.6966231788967599E-5</v>
      </c>
    </row>
    <row r="147" spans="1:16" x14ac:dyDescent="0.2">
      <c r="A147">
        <v>146</v>
      </c>
      <c r="B147">
        <v>768</v>
      </c>
      <c r="C147">
        <v>100</v>
      </c>
      <c r="D147">
        <v>0.49564471978101199</v>
      </c>
      <c r="E147">
        <v>98.617829923362905</v>
      </c>
      <c r="F147">
        <v>1.26885950180465</v>
      </c>
      <c r="G147">
        <v>-1648.9132759586255</v>
      </c>
      <c r="H147">
        <v>-1356.8913375102695</v>
      </c>
      <c r="I147">
        <v>280.48599042660601</v>
      </c>
      <c r="J147">
        <v>143.10766383885701</v>
      </c>
      <c r="K147">
        <v>77.721630947399802</v>
      </c>
      <c r="L147">
        <v>1.0565442923679328E-3</v>
      </c>
      <c r="M147">
        <v>5.7564938213281304E-4</v>
      </c>
      <c r="N147" s="1">
        <v>-8.9426478362135406E-5</v>
      </c>
      <c r="O147">
        <v>1.04077176403906E-4</v>
      </c>
      <c r="P147" s="1">
        <v>-7.7612890332216604E-5</v>
      </c>
    </row>
    <row r="148" spans="1:16" x14ac:dyDescent="0.2">
      <c r="A148">
        <v>147</v>
      </c>
      <c r="B148">
        <v>766</v>
      </c>
      <c r="C148">
        <v>100</v>
      </c>
      <c r="D148">
        <v>0.49453928691719501</v>
      </c>
      <c r="E148">
        <v>99.526148923950302</v>
      </c>
      <c r="F148">
        <v>1.27555439573717</v>
      </c>
      <c r="G148">
        <v>-1663.0735646231724</v>
      </c>
      <c r="H148">
        <v>-1369.7426460490597</v>
      </c>
      <c r="I148">
        <v>282.28550893578802</v>
      </c>
      <c r="J148">
        <v>144.361128366831</v>
      </c>
      <c r="K148">
        <v>78.025797454472297</v>
      </c>
      <c r="L148">
        <v>1.0578368773155919E-3</v>
      </c>
      <c r="M148">
        <v>5.7307365994112237E-4</v>
      </c>
      <c r="N148" s="1">
        <v>-9.0197548985687805E-5</v>
      </c>
      <c r="O148">
        <v>1.0418808492597399E-4</v>
      </c>
      <c r="P148" s="1">
        <v>-7.82105398862989E-5</v>
      </c>
    </row>
    <row r="149" spans="1:16" x14ac:dyDescent="0.2">
      <c r="A149">
        <v>148</v>
      </c>
      <c r="B149">
        <v>764</v>
      </c>
      <c r="C149">
        <v>100</v>
      </c>
      <c r="D149">
        <v>0.49342959070530001</v>
      </c>
      <c r="E149">
        <v>100.271313667041</v>
      </c>
      <c r="F149">
        <v>1.28151802455609</v>
      </c>
      <c r="G149">
        <v>-1674.5808835078549</v>
      </c>
      <c r="H149">
        <v>-1380.3414662849711</v>
      </c>
      <c r="I149">
        <v>283.70582809444602</v>
      </c>
      <c r="J149">
        <v>145.41195734213099</v>
      </c>
      <c r="K149">
        <v>78.244169606411802</v>
      </c>
      <c r="L149">
        <v>1.0597394352817003E-3</v>
      </c>
      <c r="M149">
        <v>5.708208373486148E-4</v>
      </c>
      <c r="N149" s="1">
        <v>-9.0919338457220097E-5</v>
      </c>
      <c r="O149">
        <v>1.042427581299E-4</v>
      </c>
      <c r="P149" s="1">
        <v>-7.8775863970876995E-5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18833-56BE-4EF2-8ADF-89060BCD03D2}">
  <sheetPr codeName="Sheet6"/>
  <dimension ref="A1:AN3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15</v>
      </c>
      <c r="B2">
        <v>732</v>
      </c>
      <c r="C2">
        <v>300</v>
      </c>
      <c r="D2">
        <v>0.256201064517732</v>
      </c>
      <c r="E2">
        <v>4.2090898469616798E-2</v>
      </c>
      <c r="F2">
        <v>4.6589371378438598</v>
      </c>
      <c r="G2">
        <v>-0.3984757026935753</v>
      </c>
      <c r="H2">
        <v>-0.32448167245351511</v>
      </c>
      <c r="I2">
        <v>7.3614913435865403E-2</v>
      </c>
      <c r="J2">
        <v>3.8586483762882103E-2</v>
      </c>
      <c r="K2">
        <v>9.0344422395654701E-3</v>
      </c>
      <c r="L2">
        <v>3.1700804849412402E-5</v>
      </c>
      <c r="M2">
        <v>5.5203378751761667E-7</v>
      </c>
      <c r="N2" s="1">
        <v>4.5496718644694298E-11</v>
      </c>
      <c r="O2" s="1">
        <v>1.9726361069436001E-14</v>
      </c>
      <c r="P2" s="1">
        <v>6.8000197652735001E-14</v>
      </c>
      <c r="R2">
        <v>47.210407267712</v>
      </c>
      <c r="S2">
        <v>2.5622688704738001</v>
      </c>
      <c r="T2">
        <v>9.5581701963534602</v>
      </c>
      <c r="V2">
        <v>37.834645360652203</v>
      </c>
      <c r="W2">
        <v>0.56509532795225703</v>
      </c>
      <c r="X2">
        <v>2.2694129768561599</v>
      </c>
      <c r="AJ2">
        <v>8.3311247017555407E-2</v>
      </c>
      <c r="AK2">
        <v>8.8559186199534901E-2</v>
      </c>
      <c r="AL2">
        <v>0.77916101949915895</v>
      </c>
      <c r="AM2">
        <v>1.1786612657356201E-2</v>
      </c>
      <c r="AN2">
        <v>3.7181934626394603E-2</v>
      </c>
    </row>
    <row r="3" spans="1:40" x14ac:dyDescent="0.2">
      <c r="A3">
        <v>16</v>
      </c>
      <c r="B3">
        <v>730</v>
      </c>
      <c r="C3">
        <v>300</v>
      </c>
      <c r="D3">
        <v>0.25457857748093798</v>
      </c>
      <c r="E3">
        <v>5.4316187038877098E-2</v>
      </c>
      <c r="F3">
        <v>4.6592418478738198</v>
      </c>
      <c r="G3">
        <v>-0.51480461868197214</v>
      </c>
      <c r="H3">
        <v>-0.41952870034457984</v>
      </c>
      <c r="I3">
        <v>9.4976741601348003E-2</v>
      </c>
      <c r="J3">
        <v>4.9785451800380798E-2</v>
      </c>
      <c r="K3">
        <v>1.1657730766576E-2</v>
      </c>
      <c r="L3">
        <v>3.1659067439457552E-5</v>
      </c>
      <c r="M3">
        <v>5.5178265031837746E-7</v>
      </c>
      <c r="N3" s="1">
        <v>6.1880980571720505E-11</v>
      </c>
      <c r="O3" s="1">
        <v>2.5444386205413201E-14</v>
      </c>
      <c r="P3" s="1">
        <v>8.3011965565742299E-14</v>
      </c>
      <c r="R3">
        <v>47.163757643241198</v>
      </c>
      <c r="S3">
        <v>2.7019236712882</v>
      </c>
      <c r="T3">
        <v>9.4974784810646398</v>
      </c>
      <c r="V3">
        <v>37.6801545528402</v>
      </c>
      <c r="W3">
        <v>0.70182266005056004</v>
      </c>
      <c r="X3">
        <v>2.2548629915150098</v>
      </c>
      <c r="AJ3">
        <v>8.2727442374603499E-2</v>
      </c>
      <c r="AK3">
        <v>8.7944060475934505E-2</v>
      </c>
      <c r="AL3">
        <v>0.77551385829266295</v>
      </c>
      <c r="AM3">
        <v>1.4629652792740601E-2</v>
      </c>
      <c r="AN3">
        <v>3.9184986064057702E-2</v>
      </c>
    </row>
    <row r="4" spans="1:40" x14ac:dyDescent="0.2">
      <c r="A4">
        <v>17</v>
      </c>
      <c r="B4">
        <v>728</v>
      </c>
      <c r="C4">
        <v>300</v>
      </c>
      <c r="D4">
        <v>0.25294960795086002</v>
      </c>
      <c r="E4">
        <v>6.2182945290263698E-2</v>
      </c>
      <c r="F4">
        <v>4.6594674416442796</v>
      </c>
      <c r="G4">
        <v>-0.58988702055887365</v>
      </c>
      <c r="H4">
        <v>-0.48107207885897252</v>
      </c>
      <c r="I4">
        <v>0.10868994825940199</v>
      </c>
      <c r="J4">
        <v>5.6985827755235599E-2</v>
      </c>
      <c r="K4">
        <v>1.33455048391367E-2</v>
      </c>
      <c r="L4">
        <v>3.1622096423575311E-5</v>
      </c>
      <c r="M4">
        <v>5.515693052439101E-7</v>
      </c>
      <c r="N4" s="1">
        <v>7.3627695085100396E-11</v>
      </c>
      <c r="O4" s="1">
        <v>2.9118269432648298E-14</v>
      </c>
      <c r="P4" s="1">
        <v>9.0765780179906195E-14</v>
      </c>
      <c r="R4">
        <v>47.1231517991678</v>
      </c>
      <c r="S4">
        <v>2.8249755621588801</v>
      </c>
      <c r="T4">
        <v>9.4404174744457805</v>
      </c>
      <c r="V4">
        <v>37.567000717712403</v>
      </c>
      <c r="W4">
        <v>0.80550914554267805</v>
      </c>
      <c r="X4">
        <v>2.2389453009724001</v>
      </c>
      <c r="AJ4">
        <v>8.2102009667252299E-2</v>
      </c>
      <c r="AK4">
        <v>8.7371594323333898E-2</v>
      </c>
      <c r="AL4">
        <v>0.77279495065654902</v>
      </c>
      <c r="AM4">
        <v>1.6782550918225999E-2</v>
      </c>
      <c r="AN4">
        <v>4.0948894434637499E-2</v>
      </c>
    </row>
    <row r="5" spans="1:40" x14ac:dyDescent="0.2">
      <c r="A5">
        <v>18</v>
      </c>
      <c r="B5">
        <v>726</v>
      </c>
      <c r="C5">
        <v>300</v>
      </c>
      <c r="D5">
        <v>0.251314116999449</v>
      </c>
      <c r="E5">
        <v>6.8174655083289903E-2</v>
      </c>
      <c r="F5">
        <v>4.6596461086960703</v>
      </c>
      <c r="G5">
        <v>-0.64719576808897838</v>
      </c>
      <c r="H5">
        <v>-0.52819425791492258</v>
      </c>
      <c r="I5">
        <v>0.119102747509438</v>
      </c>
      <c r="J5">
        <v>6.2465873308099003E-2</v>
      </c>
      <c r="K5">
        <v>1.46308654118729E-2</v>
      </c>
      <c r="L5">
        <v>3.1588980710404551E-5</v>
      </c>
      <c r="M5">
        <v>5.5138206342654353E-7</v>
      </c>
      <c r="N5" s="1">
        <v>8.3179818763867396E-11</v>
      </c>
      <c r="O5" s="1">
        <v>3.1913139661596502E-14</v>
      </c>
      <c r="P5" s="1">
        <v>9.56330121255816E-14</v>
      </c>
      <c r="R5">
        <v>47.086766945433901</v>
      </c>
      <c r="S5">
        <v>2.9376347584015599</v>
      </c>
      <c r="T5">
        <v>9.3848680875216406</v>
      </c>
      <c r="V5">
        <v>37.479148396225099</v>
      </c>
      <c r="W5">
        <v>0.889333638007474</v>
      </c>
      <c r="X5">
        <v>2.2222481744103</v>
      </c>
      <c r="AJ5">
        <v>8.1453408958884893E-2</v>
      </c>
      <c r="AK5">
        <v>8.6818771419915605E-2</v>
      </c>
      <c r="AL5">
        <v>0.77064412084691902</v>
      </c>
      <c r="AM5">
        <v>1.85207521464897E-2</v>
      </c>
      <c r="AN5">
        <v>4.2562946627790303E-2</v>
      </c>
    </row>
    <row r="6" spans="1:40" x14ac:dyDescent="0.2">
      <c r="A6">
        <v>19</v>
      </c>
      <c r="B6">
        <v>724</v>
      </c>
      <c r="C6">
        <v>300</v>
      </c>
      <c r="D6">
        <v>0.249672065386352</v>
      </c>
      <c r="E6">
        <v>7.3145711492950197E-2</v>
      </c>
      <c r="F6">
        <v>4.6597936828014603</v>
      </c>
      <c r="G6">
        <v>-0.69481616514626032</v>
      </c>
      <c r="H6">
        <v>-0.56746739969460902</v>
      </c>
      <c r="I6">
        <v>0.12771274677997399</v>
      </c>
      <c r="J6">
        <v>6.7009404733986297E-2</v>
      </c>
      <c r="K6">
        <v>1.5697199591243501E-2</v>
      </c>
      <c r="L6">
        <v>3.1558877322509344E-5</v>
      </c>
      <c r="M6">
        <v>5.5121397770231504E-7</v>
      </c>
      <c r="N6" s="1">
        <v>9.1447607114405101E-11</v>
      </c>
      <c r="O6" s="1">
        <v>3.42297868811404E-14</v>
      </c>
      <c r="P6" s="1">
        <v>9.9021861613890196E-14</v>
      </c>
      <c r="R6">
        <v>47.053510824801499</v>
      </c>
      <c r="S6">
        <v>3.0430818855870001</v>
      </c>
      <c r="T6">
        <v>9.3300090001459903</v>
      </c>
      <c r="V6">
        <v>37.408637849630203</v>
      </c>
      <c r="W6">
        <v>0.95973016922365095</v>
      </c>
      <c r="X6">
        <v>2.2050302706115299</v>
      </c>
      <c r="AJ6">
        <v>8.0789557357726902E-2</v>
      </c>
      <c r="AK6">
        <v>8.6276296014164394E-2</v>
      </c>
      <c r="AL6">
        <v>0.76888257007254701</v>
      </c>
      <c r="AM6">
        <v>1.99786902491558E-2</v>
      </c>
      <c r="AN6">
        <v>4.4072886306404699E-2</v>
      </c>
    </row>
    <row r="7" spans="1:40" x14ac:dyDescent="0.2">
      <c r="A7">
        <v>32</v>
      </c>
      <c r="B7">
        <v>736</v>
      </c>
      <c r="C7">
        <v>275</v>
      </c>
      <c r="D7">
        <v>0.28667740177377199</v>
      </c>
      <c r="E7">
        <v>2.69106956837642E-2</v>
      </c>
      <c r="F7">
        <v>4.6553422209289304</v>
      </c>
      <c r="G7">
        <v>-0.25534848470192328</v>
      </c>
      <c r="H7">
        <v>-0.20772865927004758</v>
      </c>
      <c r="I7">
        <v>4.7188054731086199E-2</v>
      </c>
      <c r="J7">
        <v>2.4697263780961501E-2</v>
      </c>
      <c r="K7">
        <v>5.7806052501967299E-3</v>
      </c>
      <c r="L7">
        <v>3.1683618786047936E-5</v>
      </c>
      <c r="M7">
        <v>5.5236958505998771E-7</v>
      </c>
      <c r="N7" s="1">
        <v>2.7997099791391101E-11</v>
      </c>
      <c r="O7" s="1">
        <v>1.26071687716008E-14</v>
      </c>
      <c r="P7" s="1">
        <v>4.6617611326379899E-14</v>
      </c>
      <c r="R7">
        <v>47.228137397447199</v>
      </c>
      <c r="S7">
        <v>2.5031393991824702</v>
      </c>
      <c r="T7">
        <v>9.6742499376285398</v>
      </c>
      <c r="V7">
        <v>37.6352467482888</v>
      </c>
      <c r="W7">
        <v>0.57416303024785098</v>
      </c>
      <c r="X7">
        <v>2.38506348720502</v>
      </c>
      <c r="AJ7">
        <v>8.7509070911328299E-2</v>
      </c>
      <c r="AK7">
        <v>8.9585802569235401E-2</v>
      </c>
      <c r="AL7">
        <v>0.77463184227123205</v>
      </c>
      <c r="AM7">
        <v>1.19692116889726E-2</v>
      </c>
      <c r="AN7">
        <v>3.63040725592313E-2</v>
      </c>
    </row>
    <row r="8" spans="1:40" x14ac:dyDescent="0.2">
      <c r="A8">
        <v>33</v>
      </c>
      <c r="B8">
        <v>734</v>
      </c>
      <c r="C8">
        <v>275</v>
      </c>
      <c r="D8">
        <v>0.28512187856823701</v>
      </c>
      <c r="E8">
        <v>4.2166260597177201E-2</v>
      </c>
      <c r="F8">
        <v>4.6557172631768102</v>
      </c>
      <c r="G8">
        <v>-0.40058421613916995</v>
      </c>
      <c r="H8">
        <v>-0.32612796033303737</v>
      </c>
      <c r="I8">
        <v>7.3927672944578804E-2</v>
      </c>
      <c r="J8">
        <v>3.8690480917689098E-2</v>
      </c>
      <c r="K8">
        <v>9.0568774291085799E-3</v>
      </c>
      <c r="L8">
        <v>3.1639845411479944E-5</v>
      </c>
      <c r="M8">
        <v>5.521127496090357E-7</v>
      </c>
      <c r="N8" s="1">
        <v>4.64312235443251E-11</v>
      </c>
      <c r="O8" s="1">
        <v>1.9744678227098401E-14</v>
      </c>
      <c r="P8" s="1">
        <v>6.9266716847345995E-14</v>
      </c>
      <c r="R8">
        <v>47.180841334394401</v>
      </c>
      <c r="S8">
        <v>2.64347727392399</v>
      </c>
      <c r="T8">
        <v>9.6152362078092093</v>
      </c>
      <c r="V8">
        <v>37.465556231862301</v>
      </c>
      <c r="W8">
        <v>0.72312764943565899</v>
      </c>
      <c r="X8">
        <v>2.3717613025743201</v>
      </c>
      <c r="AJ8">
        <v>8.6967650367866994E-2</v>
      </c>
      <c r="AK8">
        <v>8.8984726877988501E-2</v>
      </c>
      <c r="AL8">
        <v>0.77066634022192704</v>
      </c>
      <c r="AM8">
        <v>1.5065339362123601E-2</v>
      </c>
      <c r="AN8">
        <v>3.83159431700935E-2</v>
      </c>
    </row>
    <row r="9" spans="1:40" x14ac:dyDescent="0.2">
      <c r="A9">
        <v>34</v>
      </c>
      <c r="B9">
        <v>732</v>
      </c>
      <c r="C9">
        <v>275</v>
      </c>
      <c r="D9">
        <v>0.28356016514948101</v>
      </c>
      <c r="E9">
        <v>5.1470784667229499E-2</v>
      </c>
      <c r="F9">
        <v>4.6559931928942904</v>
      </c>
      <c r="G9">
        <v>-0.48942221103614281</v>
      </c>
      <c r="H9">
        <v>-0.39874891094582682</v>
      </c>
      <c r="I9">
        <v>9.0208725155763905E-2</v>
      </c>
      <c r="J9">
        <v>4.7218619083782297E-2</v>
      </c>
      <c r="K9">
        <v>1.10547379548967E-2</v>
      </c>
      <c r="L9">
        <v>3.1601490770045084E-5</v>
      </c>
      <c r="M9">
        <v>5.5189677541810892E-7</v>
      </c>
      <c r="N9" s="1">
        <v>5.9033007249242494E-11</v>
      </c>
      <c r="O9" s="1">
        <v>2.4091759237402199E-14</v>
      </c>
      <c r="P9" s="1">
        <v>8.0987755436122103E-14</v>
      </c>
      <c r="R9">
        <v>47.139936780023199</v>
      </c>
      <c r="S9">
        <v>2.7661723698196798</v>
      </c>
      <c r="T9">
        <v>9.5599190390494808</v>
      </c>
      <c r="V9">
        <v>37.342679760021497</v>
      </c>
      <c r="W9">
        <v>0.83452728524923903</v>
      </c>
      <c r="X9">
        <v>2.3567647658367901</v>
      </c>
      <c r="AJ9">
        <v>8.6373719122115597E-2</v>
      </c>
      <c r="AK9">
        <v>8.84277050505234E-2</v>
      </c>
      <c r="AL9">
        <v>0.76774732519079303</v>
      </c>
      <c r="AM9">
        <v>1.7377332766108498E-2</v>
      </c>
      <c r="AN9">
        <v>4.00739178704589E-2</v>
      </c>
    </row>
    <row r="10" spans="1:40" x14ac:dyDescent="0.2">
      <c r="A10">
        <v>35</v>
      </c>
      <c r="B10">
        <v>730</v>
      </c>
      <c r="C10">
        <v>275</v>
      </c>
      <c r="D10">
        <v>0.28199222449285299</v>
      </c>
      <c r="E10">
        <v>5.8334253001879499E-2</v>
      </c>
      <c r="F10">
        <v>4.6562122541868796</v>
      </c>
      <c r="G10">
        <v>-0.55509435786778316</v>
      </c>
      <c r="H10">
        <v>-0.45258349520204394</v>
      </c>
      <c r="I10">
        <v>0.102188967418371</v>
      </c>
      <c r="J10">
        <v>5.3504871744357599E-2</v>
      </c>
      <c r="K10">
        <v>1.25282632786822E-2</v>
      </c>
      <c r="L10">
        <v>3.1567417267906748E-5</v>
      </c>
      <c r="M10">
        <v>5.5170853770333105E-7</v>
      </c>
      <c r="N10" s="1">
        <v>6.9028203223962004E-11</v>
      </c>
      <c r="O10" s="1">
        <v>2.72946006074412E-14</v>
      </c>
      <c r="P10" s="1">
        <v>8.8478048268514195E-14</v>
      </c>
      <c r="R10">
        <v>47.103450167507098</v>
      </c>
      <c r="S10">
        <v>2.8780718191822499</v>
      </c>
      <c r="T10">
        <v>9.5059865532191701</v>
      </c>
      <c r="V10">
        <v>37.247676010779898</v>
      </c>
      <c r="W10">
        <v>0.92399183767934501</v>
      </c>
      <c r="X10">
        <v>2.3408236116321</v>
      </c>
      <c r="AJ10">
        <v>8.5751097427420694E-2</v>
      </c>
      <c r="AK10">
        <v>8.7889490983668495E-2</v>
      </c>
      <c r="AL10">
        <v>0.765451408967875</v>
      </c>
      <c r="AM10">
        <v>1.9231640220046701E-2</v>
      </c>
      <c r="AN10">
        <v>4.1676362400988702E-2</v>
      </c>
    </row>
    <row r="11" spans="1:40" x14ac:dyDescent="0.2">
      <c r="A11">
        <v>36</v>
      </c>
      <c r="B11">
        <v>728</v>
      </c>
      <c r="C11">
        <v>275</v>
      </c>
      <c r="D11">
        <v>0.280418019277831</v>
      </c>
      <c r="E11">
        <v>6.3904366892702597E-2</v>
      </c>
      <c r="F11">
        <v>4.6563942804570004</v>
      </c>
      <c r="G11">
        <v>-0.60847780342207769</v>
      </c>
      <c r="H11">
        <v>-0.49646532917237229</v>
      </c>
      <c r="I11">
        <v>0.111883807870654</v>
      </c>
      <c r="J11">
        <v>5.8603217931731698E-2</v>
      </c>
      <c r="K11">
        <v>1.3724002531510401E-2</v>
      </c>
      <c r="L11">
        <v>3.1536634662293664E-5</v>
      </c>
      <c r="M11">
        <v>5.5154044960013302E-7</v>
      </c>
      <c r="N11" s="1">
        <v>7.7545328162094297E-11</v>
      </c>
      <c r="O11" s="1">
        <v>2.9891440919380099E-14</v>
      </c>
      <c r="P11" s="1">
        <v>9.3826793307989504E-14</v>
      </c>
      <c r="R11">
        <v>47.070220244294703</v>
      </c>
      <c r="S11">
        <v>2.98256378524803</v>
      </c>
      <c r="T11">
        <v>9.4526028863124001</v>
      </c>
      <c r="V11">
        <v>37.171494549270101</v>
      </c>
      <c r="W11">
        <v>0.99885764201641103</v>
      </c>
      <c r="X11">
        <v>2.3242608928582502</v>
      </c>
      <c r="AJ11">
        <v>8.5109847068476699E-2</v>
      </c>
      <c r="AK11">
        <v>8.7360498707812304E-2</v>
      </c>
      <c r="AL11">
        <v>0.76357624098836996</v>
      </c>
      <c r="AM11">
        <v>2.0781444201406998E-2</v>
      </c>
      <c r="AN11">
        <v>4.3171969033933402E-2</v>
      </c>
    </row>
    <row r="12" spans="1:40" x14ac:dyDescent="0.2">
      <c r="A12">
        <v>37</v>
      </c>
      <c r="B12">
        <v>726</v>
      </c>
      <c r="C12">
        <v>275</v>
      </c>
      <c r="D12">
        <v>0.27883751188509998</v>
      </c>
      <c r="E12">
        <v>6.8683180760756399E-2</v>
      </c>
      <c r="F12">
        <v>4.6565502016480904</v>
      </c>
      <c r="G12">
        <v>-0.65433496750314701</v>
      </c>
      <c r="H12">
        <v>-0.53426141895591994</v>
      </c>
      <c r="I12">
        <v>0.120175697890434</v>
      </c>
      <c r="J12">
        <v>6.2974688457058905E-2</v>
      </c>
      <c r="K12">
        <v>1.4749799269091399E-2</v>
      </c>
      <c r="L12">
        <v>3.1508419683161098E-5</v>
      </c>
      <c r="M12">
        <v>5.5138768916486157E-7</v>
      </c>
      <c r="N12" s="1">
        <v>8.5111380952895896E-11</v>
      </c>
      <c r="O12" s="1">
        <v>3.2117699724585999E-14</v>
      </c>
      <c r="P12" s="1">
        <v>9.79033982998288E-14</v>
      </c>
      <c r="R12">
        <v>47.0394968409977</v>
      </c>
      <c r="S12">
        <v>3.08161922534432</v>
      </c>
      <c r="T12">
        <v>9.3994053982683408</v>
      </c>
      <c r="V12">
        <v>37.109024028167703</v>
      </c>
      <c r="W12">
        <v>1.0632102116344699</v>
      </c>
      <c r="X12">
        <v>2.3072442955874402</v>
      </c>
      <c r="AJ12">
        <v>8.4455092287513897E-2</v>
      </c>
      <c r="AK12">
        <v>8.68363174146876E-2</v>
      </c>
      <c r="AL12">
        <v>0.76200749122685696</v>
      </c>
      <c r="AM12">
        <v>2.2112028870730101E-2</v>
      </c>
      <c r="AN12">
        <v>4.4589070200210502E-2</v>
      </c>
    </row>
    <row r="13" spans="1:40" x14ac:dyDescent="0.2">
      <c r="A13">
        <v>49</v>
      </c>
      <c r="B13">
        <v>738</v>
      </c>
      <c r="C13">
        <v>250</v>
      </c>
      <c r="D13">
        <v>0.31542352766652099</v>
      </c>
      <c r="E13">
        <v>2.9802442056444001E-2</v>
      </c>
      <c r="F13">
        <v>4.6521050607209897</v>
      </c>
      <c r="G13">
        <v>-0.28380852764591574</v>
      </c>
      <c r="H13">
        <v>-0.23083429422262672</v>
      </c>
      <c r="I13">
        <v>5.2390083986835798E-2</v>
      </c>
      <c r="J13">
        <v>2.7375856968586399E-2</v>
      </c>
      <c r="K13">
        <v>6.4062272170235897E-3</v>
      </c>
      <c r="L13">
        <v>3.1619031307524922E-5</v>
      </c>
      <c r="M13">
        <v>5.5242815490815268E-7</v>
      </c>
      <c r="N13" s="1">
        <v>3.16663510912429E-11</v>
      </c>
      <c r="O13" s="1">
        <v>1.39492769434543E-14</v>
      </c>
      <c r="P13" s="1">
        <v>5.2387168524044398E-14</v>
      </c>
      <c r="R13">
        <v>47.196300473865797</v>
      </c>
      <c r="S13">
        <v>2.5904987172756999</v>
      </c>
      <c r="T13">
        <v>9.7314947177902305</v>
      </c>
      <c r="V13">
        <v>37.246984701861102</v>
      </c>
      <c r="W13">
        <v>0.74494149364306195</v>
      </c>
      <c r="X13">
        <v>2.4897798955639501</v>
      </c>
      <c r="AJ13">
        <v>9.1240957300212006E-2</v>
      </c>
      <c r="AK13">
        <v>9.00071862034722E-2</v>
      </c>
      <c r="AL13">
        <v>0.76571551426221696</v>
      </c>
      <c r="AM13">
        <v>1.55105870880638E-2</v>
      </c>
      <c r="AN13">
        <v>3.7525755146034602E-2</v>
      </c>
    </row>
    <row r="14" spans="1:40" x14ac:dyDescent="0.2">
      <c r="A14">
        <v>50</v>
      </c>
      <c r="B14">
        <v>736</v>
      </c>
      <c r="C14">
        <v>250</v>
      </c>
      <c r="D14">
        <v>0.31392805826685999</v>
      </c>
      <c r="E14">
        <v>4.0643557815264603E-2</v>
      </c>
      <c r="F14">
        <v>4.6524308642978998</v>
      </c>
      <c r="G14">
        <v>-0.38740589947452886</v>
      </c>
      <c r="H14">
        <v>-0.31532766747957325</v>
      </c>
      <c r="I14">
        <v>7.1424696026314793E-2</v>
      </c>
      <c r="J14">
        <v>3.73260432848775E-2</v>
      </c>
      <c r="K14">
        <v>8.73598318830646E-3</v>
      </c>
      <c r="L14">
        <v>3.1579534883097528E-5</v>
      </c>
      <c r="M14">
        <v>5.5221113728343336E-7</v>
      </c>
      <c r="N14" s="1">
        <v>4.5072434285610598E-11</v>
      </c>
      <c r="O14" s="1">
        <v>1.9015455163932199E-14</v>
      </c>
      <c r="P14" s="1">
        <v>6.8625659303728702E-14</v>
      </c>
      <c r="R14">
        <v>47.155355486662401</v>
      </c>
      <c r="S14">
        <v>2.7122328284464898</v>
      </c>
      <c r="T14">
        <v>9.6780571383842204</v>
      </c>
      <c r="V14">
        <v>37.115179152280099</v>
      </c>
      <c r="W14">
        <v>0.86343247770342402</v>
      </c>
      <c r="X14">
        <v>2.47574291652331</v>
      </c>
      <c r="AJ14">
        <v>9.0680102083831607E-2</v>
      </c>
      <c r="AK14">
        <v>8.9467106815136394E-2</v>
      </c>
      <c r="AL14">
        <v>0.76261521361005002</v>
      </c>
      <c r="AM14">
        <v>1.7968508497461799E-2</v>
      </c>
      <c r="AN14">
        <v>3.926906899352E-2</v>
      </c>
    </row>
    <row r="15" spans="1:40" x14ac:dyDescent="0.2">
      <c r="A15">
        <v>51</v>
      </c>
      <c r="B15">
        <v>734</v>
      </c>
      <c r="C15">
        <v>250</v>
      </c>
      <c r="D15">
        <v>0.31242664945638698</v>
      </c>
      <c r="E15">
        <v>4.8430764452761697E-2</v>
      </c>
      <c r="F15">
        <v>4.6526897364634996</v>
      </c>
      <c r="G15">
        <v>-0.46197583814969256</v>
      </c>
      <c r="H15">
        <v>-0.37629667806996381</v>
      </c>
      <c r="I15">
        <v>8.5070903122403396E-2</v>
      </c>
      <c r="J15">
        <v>4.4468411777043797E-2</v>
      </c>
      <c r="K15">
        <v>1.04091970872688E-2</v>
      </c>
      <c r="L15">
        <v>3.1544692481967284E-5</v>
      </c>
      <c r="M15">
        <v>5.5202306834330002E-7</v>
      </c>
      <c r="N15" s="1">
        <v>5.5477596101455098E-11</v>
      </c>
      <c r="O15" s="1">
        <v>2.2650395354065899E-14</v>
      </c>
      <c r="P15" s="1">
        <v>7.9048366537806394E-14</v>
      </c>
      <c r="R15">
        <v>47.118954247321099</v>
      </c>
      <c r="S15">
        <v>2.8229487226939098</v>
      </c>
      <c r="T15">
        <v>9.6258342931759096</v>
      </c>
      <c r="V15">
        <v>37.013557430530398</v>
      </c>
      <c r="W15">
        <v>0.95810947382878497</v>
      </c>
      <c r="X15">
        <v>2.4605958324497799</v>
      </c>
      <c r="AJ15">
        <v>9.0084975017615004E-2</v>
      </c>
      <c r="AK15">
        <v>8.8944524105738304E-2</v>
      </c>
      <c r="AL15">
        <v>0.76018685327771895</v>
      </c>
      <c r="AM15">
        <v>1.9929867276849499E-2</v>
      </c>
      <c r="AN15">
        <v>4.0853780322077898E-2</v>
      </c>
    </row>
    <row r="16" spans="1:40" x14ac:dyDescent="0.2">
      <c r="A16">
        <v>52</v>
      </c>
      <c r="B16">
        <v>732</v>
      </c>
      <c r="C16">
        <v>250</v>
      </c>
      <c r="D16">
        <v>0.31091926578122597</v>
      </c>
      <c r="E16">
        <v>5.4632590279743501E-2</v>
      </c>
      <c r="F16">
        <v>4.6529055632039498</v>
      </c>
      <c r="G16">
        <v>-0.52146121065624718</v>
      </c>
      <c r="H16">
        <v>-0.42505447318373879</v>
      </c>
      <c r="I16">
        <v>9.5912786621408105E-2</v>
      </c>
      <c r="J16">
        <v>5.0153071244762898E-2</v>
      </c>
      <c r="K16">
        <v>1.1741607375784301E-2</v>
      </c>
      <c r="L16">
        <v>3.1513383648539723E-5</v>
      </c>
      <c r="M16">
        <v>5.5185590203683056E-7</v>
      </c>
      <c r="N16" s="1">
        <v>6.4222063412791205E-11</v>
      </c>
      <c r="O16" s="1">
        <v>2.55425837992868E-14</v>
      </c>
      <c r="P16" s="1">
        <v>8.6557512524422694E-14</v>
      </c>
      <c r="R16">
        <v>47.085899152125698</v>
      </c>
      <c r="S16">
        <v>2.9261563792841998</v>
      </c>
      <c r="T16">
        <v>9.5739991752730802</v>
      </c>
      <c r="V16">
        <v>36.932097901180903</v>
      </c>
      <c r="W16">
        <v>1.03712022533224</v>
      </c>
      <c r="X16">
        <v>2.4447271668037498</v>
      </c>
      <c r="AJ16">
        <v>8.9467844670235205E-2</v>
      </c>
      <c r="AK16">
        <v>8.8429815423878899E-2</v>
      </c>
      <c r="AL16">
        <v>0.75820737257511805</v>
      </c>
      <c r="AM16">
        <v>2.1564672842157701E-2</v>
      </c>
      <c r="AN16">
        <v>4.2330294488608998E-2</v>
      </c>
    </row>
    <row r="17" spans="1:40" x14ac:dyDescent="0.2">
      <c r="A17">
        <v>53</v>
      </c>
      <c r="B17">
        <v>730</v>
      </c>
      <c r="C17">
        <v>250</v>
      </c>
      <c r="D17">
        <v>0.30940587150476501</v>
      </c>
      <c r="E17">
        <v>5.9878195680667198E-2</v>
      </c>
      <c r="F17">
        <v>4.6530912803798499</v>
      </c>
      <c r="G17">
        <v>-0.57184005227805479</v>
      </c>
      <c r="H17">
        <v>-0.46645077472094942</v>
      </c>
      <c r="I17">
        <v>0.105058343774216</v>
      </c>
      <c r="J17">
        <v>5.4958426874223101E-2</v>
      </c>
      <c r="K17">
        <v>1.2868476475659999E-2</v>
      </c>
      <c r="L17">
        <v>3.1484807113388214E-5</v>
      </c>
      <c r="M17">
        <v>5.5170457008230895E-7</v>
      </c>
      <c r="N17" s="1">
        <v>7.19147012264742E-11</v>
      </c>
      <c r="O17" s="1">
        <v>2.7986967109696599E-14</v>
      </c>
      <c r="P17" s="1">
        <v>9.2350434907947098E-14</v>
      </c>
      <c r="R17">
        <v>47.055417882533199</v>
      </c>
      <c r="S17">
        <v>3.0238752410238199</v>
      </c>
      <c r="T17">
        <v>9.5222132638073393</v>
      </c>
      <c r="V17">
        <v>36.865223497697698</v>
      </c>
      <c r="W17">
        <v>1.1049327501008801</v>
      </c>
      <c r="X17">
        <v>2.42833736483693</v>
      </c>
      <c r="AJ17">
        <v>8.8834940056576897E-2</v>
      </c>
      <c r="AK17">
        <v>8.79187392018764E-2</v>
      </c>
      <c r="AL17">
        <v>0.75655256994157105</v>
      </c>
      <c r="AM17">
        <v>2.2966130649842601E-2</v>
      </c>
      <c r="AN17">
        <v>4.3727620150132603E-2</v>
      </c>
    </row>
    <row r="18" spans="1:40" x14ac:dyDescent="0.2">
      <c r="A18">
        <v>63</v>
      </c>
      <c r="B18">
        <v>742</v>
      </c>
      <c r="C18">
        <v>225</v>
      </c>
      <c r="D18">
        <v>0.345486381322956</v>
      </c>
      <c r="E18">
        <v>1.8165181761470601E-2</v>
      </c>
      <c r="F18">
        <v>4.6484124509338303</v>
      </c>
      <c r="G18">
        <v>-0.17343486696080987</v>
      </c>
      <c r="H18">
        <v>-0.14092952613213081</v>
      </c>
      <c r="I18">
        <v>3.2020234279346901E-2</v>
      </c>
      <c r="J18">
        <v>1.6705033985597102E-2</v>
      </c>
      <c r="K18">
        <v>3.9078248656315802E-3</v>
      </c>
      <c r="L18">
        <v>3.1593791675874678E-5</v>
      </c>
      <c r="M18">
        <v>5.5270449875046159E-7</v>
      </c>
      <c r="N18" s="1">
        <v>1.8655816869362699E-11</v>
      </c>
      <c r="O18" s="1">
        <v>8.4980262286988596E-15</v>
      </c>
      <c r="P18" s="1">
        <v>3.39609975575178E-14</v>
      </c>
      <c r="R18">
        <v>47.205738397227698</v>
      </c>
      <c r="S18">
        <v>2.5524747811080499</v>
      </c>
      <c r="T18">
        <v>9.8452317366113995</v>
      </c>
      <c r="V18">
        <v>37.0088404532152</v>
      </c>
      <c r="W18">
        <v>0.77883936055143899</v>
      </c>
      <c r="X18">
        <v>2.6088752712860002</v>
      </c>
      <c r="AJ18">
        <v>9.5540800504809995E-2</v>
      </c>
      <c r="AK18">
        <v>9.0997667175772901E-2</v>
      </c>
      <c r="AL18">
        <v>0.760306119708138</v>
      </c>
      <c r="AM18">
        <v>1.6205433190504898E-2</v>
      </c>
      <c r="AN18">
        <v>3.6949979420773403E-2</v>
      </c>
    </row>
    <row r="19" spans="1:40" x14ac:dyDescent="0.2">
      <c r="A19">
        <v>64</v>
      </c>
      <c r="B19">
        <v>740</v>
      </c>
      <c r="C19">
        <v>225</v>
      </c>
      <c r="D19">
        <v>0.34405616147658602</v>
      </c>
      <c r="E19">
        <v>3.0242380232279799E-2</v>
      </c>
      <c r="F19">
        <v>4.6487805032841401</v>
      </c>
      <c r="G19">
        <v>-0.28900787832020375</v>
      </c>
      <c r="H19">
        <v>-0.23501456788079042</v>
      </c>
      <c r="I19">
        <v>5.3292513881866697E-2</v>
      </c>
      <c r="J19">
        <v>2.7804779065288901E-2</v>
      </c>
      <c r="K19">
        <v>6.5054437848624897E-3</v>
      </c>
      <c r="L19">
        <v>3.1553853706423277E-5</v>
      </c>
      <c r="M19">
        <v>5.5249072521392318E-7</v>
      </c>
      <c r="N19" s="1">
        <v>3.2443119661922603E-11</v>
      </c>
      <c r="O19" s="1">
        <v>1.4141819519368201E-14</v>
      </c>
      <c r="P19" s="1">
        <v>5.4492181668098798E-14</v>
      </c>
      <c r="R19">
        <v>47.1654081713884</v>
      </c>
      <c r="S19">
        <v>2.6716278708887602</v>
      </c>
      <c r="T19">
        <v>9.7939304004780503</v>
      </c>
      <c r="V19">
        <v>36.871978366263598</v>
      </c>
      <c r="W19">
        <v>0.901359289716264</v>
      </c>
      <c r="X19">
        <v>2.5956959012648002</v>
      </c>
      <c r="AJ19">
        <v>9.5010109088934896E-2</v>
      </c>
      <c r="AK19">
        <v>9.0477746486046201E-2</v>
      </c>
      <c r="AL19">
        <v>0.75711158941420598</v>
      </c>
      <c r="AM19">
        <v>1.8745245739453398E-2</v>
      </c>
      <c r="AN19">
        <v>3.8655309271358997E-2</v>
      </c>
    </row>
    <row r="20" spans="1:40" x14ac:dyDescent="0.2">
      <c r="A20">
        <v>65</v>
      </c>
      <c r="B20">
        <v>738</v>
      </c>
      <c r="C20">
        <v>225</v>
      </c>
      <c r="D20">
        <v>0.34262028383523802</v>
      </c>
      <c r="E20">
        <v>3.8826589047102997E-2</v>
      </c>
      <c r="F20">
        <v>4.6490745627120704</v>
      </c>
      <c r="G20">
        <v>-0.37131528927758223</v>
      </c>
      <c r="H20">
        <v>-0.30216345932345301</v>
      </c>
      <c r="I20">
        <v>6.8389289377569301E-2</v>
      </c>
      <c r="J20">
        <v>3.56891533760791E-2</v>
      </c>
      <c r="K20">
        <v>8.3514661946942903E-3</v>
      </c>
      <c r="L20">
        <v>3.1518764387735046E-5</v>
      </c>
      <c r="M20">
        <v>5.52305839348789E-7</v>
      </c>
      <c r="N20" s="1">
        <v>4.3044430970467299E-11</v>
      </c>
      <c r="O20" s="1">
        <v>1.8149085876508099E-14</v>
      </c>
      <c r="P20" s="1">
        <v>6.7831529158512494E-14</v>
      </c>
      <c r="R20">
        <v>47.129558023092699</v>
      </c>
      <c r="S20">
        <v>2.7800893852320998</v>
      </c>
      <c r="T20">
        <v>9.7435418751910596</v>
      </c>
      <c r="V20">
        <v>36.766162390722897</v>
      </c>
      <c r="W20">
        <v>0.99935317205455998</v>
      </c>
      <c r="X20">
        <v>2.5812951537065598</v>
      </c>
      <c r="AJ20">
        <v>9.4441268292992195E-2</v>
      </c>
      <c r="AK20">
        <v>8.9972493574031406E-2</v>
      </c>
      <c r="AL20">
        <v>0.75460537492146496</v>
      </c>
      <c r="AM20">
        <v>2.0774009874399701E-2</v>
      </c>
      <c r="AN20">
        <v>4.0206853337111201E-2</v>
      </c>
    </row>
    <row r="21" spans="1:40" x14ac:dyDescent="0.2">
      <c r="A21">
        <v>66</v>
      </c>
      <c r="B21">
        <v>736</v>
      </c>
      <c r="C21">
        <v>225</v>
      </c>
      <c r="D21">
        <v>0.34117871475994799</v>
      </c>
      <c r="E21">
        <v>4.55961397878469E-2</v>
      </c>
      <c r="F21">
        <v>4.6493210237093399</v>
      </c>
      <c r="G21">
        <v>-0.4363254325130605</v>
      </c>
      <c r="H21">
        <v>-0.35532023663857271</v>
      </c>
      <c r="I21">
        <v>8.0270718797490703E-2</v>
      </c>
      <c r="J21">
        <v>4.1903010148209303E-2</v>
      </c>
      <c r="K21">
        <v>9.8070534504561095E-3</v>
      </c>
      <c r="L21">
        <v>3.1487330329709589E-5</v>
      </c>
      <c r="M21">
        <v>5.5214186791711139E-7</v>
      </c>
      <c r="N21" s="1">
        <v>5.1889103658442101E-11</v>
      </c>
      <c r="O21" s="1">
        <v>2.1306382023919999E-14</v>
      </c>
      <c r="P21" s="1">
        <v>7.7537129427887605E-14</v>
      </c>
      <c r="R21">
        <v>47.097032699987601</v>
      </c>
      <c r="S21">
        <v>2.8812309052548399</v>
      </c>
      <c r="T21">
        <v>9.6933298484974397</v>
      </c>
      <c r="V21">
        <v>36.6811066997059</v>
      </c>
      <c r="W21">
        <v>1.08120026158361</v>
      </c>
      <c r="X21">
        <v>2.5660995849705102</v>
      </c>
      <c r="AJ21">
        <v>9.3847884357990199E-2</v>
      </c>
      <c r="AK21">
        <v>8.9473150090992201E-2</v>
      </c>
      <c r="AL21">
        <v>0.752559528432314</v>
      </c>
      <c r="AM21">
        <v>2.2466442885748901E-2</v>
      </c>
      <c r="AN21">
        <v>4.1652994232954099E-2</v>
      </c>
    </row>
    <row r="22" spans="1:40" x14ac:dyDescent="0.2">
      <c r="A22">
        <v>67</v>
      </c>
      <c r="B22">
        <v>734</v>
      </c>
      <c r="C22">
        <v>225</v>
      </c>
      <c r="D22">
        <v>0.33973142034453802</v>
      </c>
      <c r="E22">
        <v>5.1272506211574198E-2</v>
      </c>
      <c r="F22">
        <v>4.6495341664983796</v>
      </c>
      <c r="G22">
        <v>-0.49090706299069548</v>
      </c>
      <c r="H22">
        <v>-0.40005184634149304</v>
      </c>
      <c r="I22">
        <v>9.0210213621806395E-2</v>
      </c>
      <c r="J22">
        <v>4.7110428199513402E-2</v>
      </c>
      <c r="K22">
        <v>1.1027450143502799E-2</v>
      </c>
      <c r="L22">
        <v>3.1458709952565279E-5</v>
      </c>
      <c r="M22">
        <v>5.5199376257994948E-7</v>
      </c>
      <c r="N22" s="1">
        <v>5.9625062011931794E-11</v>
      </c>
      <c r="O22" s="1">
        <v>2.39518191961862E-14</v>
      </c>
      <c r="P22" s="1">
        <v>8.5094267439318003E-14</v>
      </c>
      <c r="R22">
        <v>47.067077270918901</v>
      </c>
      <c r="S22">
        <v>2.9770047780701701</v>
      </c>
      <c r="T22">
        <v>9.6430085824737493</v>
      </c>
      <c r="V22">
        <v>36.611074943755803</v>
      </c>
      <c r="W22">
        <v>1.1515030795613801</v>
      </c>
      <c r="X22">
        <v>2.5503313452199099</v>
      </c>
      <c r="AJ22">
        <v>9.3236945278824299E-2</v>
      </c>
      <c r="AK22">
        <v>8.8975971213642396E-2</v>
      </c>
      <c r="AL22">
        <v>0.75084683857641299</v>
      </c>
      <c r="AM22">
        <v>2.3918488146326501E-2</v>
      </c>
      <c r="AN22">
        <v>4.3021756784793301E-2</v>
      </c>
    </row>
    <row r="23" spans="1:40" x14ac:dyDescent="0.2">
      <c r="A23">
        <v>76</v>
      </c>
      <c r="B23">
        <v>744</v>
      </c>
      <c r="C23">
        <v>200</v>
      </c>
      <c r="D23">
        <v>0.373947303740848</v>
      </c>
      <c r="E23">
        <v>2.1213786445034601E-2</v>
      </c>
      <c r="F23">
        <v>4.6450466160735298</v>
      </c>
      <c r="G23">
        <v>-0.20330624468632971</v>
      </c>
      <c r="H23">
        <v>-0.16517296087895272</v>
      </c>
      <c r="I23">
        <v>3.7490324738118197E-2</v>
      </c>
      <c r="J23">
        <v>1.95265502362361E-2</v>
      </c>
      <c r="K23">
        <v>4.5669695480831602E-3</v>
      </c>
      <c r="L23">
        <v>3.1521355347743769E-5</v>
      </c>
      <c r="M23">
        <v>5.5270810159863659E-7</v>
      </c>
      <c r="N23" s="1">
        <v>2.2084729256227702E-11</v>
      </c>
      <c r="O23" s="1">
        <v>9.9131686819986307E-15</v>
      </c>
      <c r="P23" s="1">
        <v>4.0539767716021498E-14</v>
      </c>
      <c r="R23">
        <v>47.165050455944296</v>
      </c>
      <c r="S23">
        <v>2.6547530405964501</v>
      </c>
      <c r="T23">
        <v>9.9068557951745895</v>
      </c>
      <c r="V23">
        <v>36.596196599805701</v>
      </c>
      <c r="W23">
        <v>0.96055202437898701</v>
      </c>
      <c r="X23">
        <v>2.7165920840998998</v>
      </c>
      <c r="AJ23">
        <v>9.9356529367589597E-2</v>
      </c>
      <c r="AK23">
        <v>9.1448498593336397E-2</v>
      </c>
      <c r="AL23">
        <v>0.75085379877690295</v>
      </c>
      <c r="AM23">
        <v>1.9960438008565898E-2</v>
      </c>
      <c r="AN23">
        <v>3.8380735253604199E-2</v>
      </c>
    </row>
    <row r="24" spans="1:40" x14ac:dyDescent="0.2">
      <c r="A24">
        <v>77</v>
      </c>
      <c r="B24">
        <v>742</v>
      </c>
      <c r="C24">
        <v>200</v>
      </c>
      <c r="D24">
        <v>0.37257597399398801</v>
      </c>
      <c r="E24">
        <v>3.01704161404397E-2</v>
      </c>
      <c r="F24">
        <v>4.6453646657128598</v>
      </c>
      <c r="G24">
        <v>-0.28934634272457926</v>
      </c>
      <c r="H24">
        <v>-0.23524379298086645</v>
      </c>
      <c r="I24">
        <v>5.3295128546237198E-2</v>
      </c>
      <c r="J24">
        <v>2.7764350367092301E-2</v>
      </c>
      <c r="K24">
        <v>6.4947357875099997E-3</v>
      </c>
      <c r="L24">
        <v>3.1486991939231508E-5</v>
      </c>
      <c r="M24">
        <v>5.5253163253318731E-7</v>
      </c>
      <c r="N24" s="1">
        <v>3.2425940516368202E-11</v>
      </c>
      <c r="O24" s="1">
        <v>1.40933268321814E-14</v>
      </c>
      <c r="P24" s="1">
        <v>5.6102250210617703E-14</v>
      </c>
      <c r="R24">
        <v>47.130544140378099</v>
      </c>
      <c r="S24">
        <v>2.7591949306984098</v>
      </c>
      <c r="T24">
        <v>9.8583762218824198</v>
      </c>
      <c r="V24">
        <v>36.491069003178701</v>
      </c>
      <c r="W24">
        <v>1.0580520573026899</v>
      </c>
      <c r="X24">
        <v>2.7027636465595601</v>
      </c>
      <c r="AJ24">
        <v>9.8808693513320001E-2</v>
      </c>
      <c r="AK24">
        <v>9.0962257974236696E-2</v>
      </c>
      <c r="AL24">
        <v>0.74837819062766897</v>
      </c>
      <c r="AM24">
        <v>2.1977147235934601E-2</v>
      </c>
      <c r="AN24">
        <v>3.9873710648839301E-2</v>
      </c>
    </row>
    <row r="25" spans="1:40" x14ac:dyDescent="0.2">
      <c r="A25">
        <v>78</v>
      </c>
      <c r="B25">
        <v>740</v>
      </c>
      <c r="C25">
        <v>200</v>
      </c>
      <c r="D25">
        <v>0.37119923012387401</v>
      </c>
      <c r="E25">
        <v>3.7276622895812302E-2</v>
      </c>
      <c r="F25">
        <v>4.6456342686327803</v>
      </c>
      <c r="G25">
        <v>-0.35770924540376936</v>
      </c>
      <c r="H25">
        <v>-0.29103077880765305</v>
      </c>
      <c r="I25">
        <v>6.5813025313247106E-2</v>
      </c>
      <c r="J25">
        <v>3.4296438843625099E-2</v>
      </c>
      <c r="K25">
        <v>8.0240115214198493E-3</v>
      </c>
      <c r="L25">
        <v>3.1456171838649868E-5</v>
      </c>
      <c r="M25">
        <v>5.5237479946625972E-7</v>
      </c>
      <c r="N25" s="1">
        <v>4.1098342782619402E-11</v>
      </c>
      <c r="O25" s="1">
        <v>1.7407102804570899E-14</v>
      </c>
      <c r="P25" s="1">
        <v>6.76750777120031E-14</v>
      </c>
      <c r="R25">
        <v>47.099157119698901</v>
      </c>
      <c r="S25">
        <v>2.85698076307636</v>
      </c>
      <c r="T25">
        <v>9.8098015439343307</v>
      </c>
      <c r="V25">
        <v>36.405827587656198</v>
      </c>
      <c r="W25">
        <v>1.14010145817773</v>
      </c>
      <c r="X25">
        <v>2.6881315274563899</v>
      </c>
      <c r="AJ25">
        <v>9.8235837685659202E-2</v>
      </c>
      <c r="AK25">
        <v>9.04791300507366E-2</v>
      </c>
      <c r="AL25">
        <v>0.74634185021352994</v>
      </c>
      <c r="AM25">
        <v>2.36722824029207E-2</v>
      </c>
      <c r="AN25">
        <v>4.1270899647152699E-2</v>
      </c>
    </row>
    <row r="26" spans="1:40" x14ac:dyDescent="0.2">
      <c r="A26">
        <v>79</v>
      </c>
      <c r="B26">
        <v>738</v>
      </c>
      <c r="C26">
        <v>200</v>
      </c>
      <c r="D26">
        <v>0.36981704000395799</v>
      </c>
      <c r="E26">
        <v>4.3243736906205303E-2</v>
      </c>
      <c r="F26">
        <v>4.6458694487122996</v>
      </c>
      <c r="G26">
        <v>-0.41518281294604414</v>
      </c>
      <c r="H26">
        <v>-0.33802918653334862</v>
      </c>
      <c r="I26">
        <v>7.6302849639218101E-2</v>
      </c>
      <c r="J26">
        <v>3.9778428068190298E-2</v>
      </c>
      <c r="K26">
        <v>9.3079965727816908E-3</v>
      </c>
      <c r="L26">
        <v>3.1428086645611067E-5</v>
      </c>
      <c r="M26">
        <v>5.5223301948627781E-7</v>
      </c>
      <c r="N26" s="1">
        <v>4.8698479309898103E-11</v>
      </c>
      <c r="O26" s="1">
        <v>2.01877110741206E-14</v>
      </c>
      <c r="P26" s="1">
        <v>7.6825508849211794E-14</v>
      </c>
      <c r="R26">
        <v>47.070212492634397</v>
      </c>
      <c r="S26">
        <v>2.9498133577649202</v>
      </c>
      <c r="T26">
        <v>9.7609387022688896</v>
      </c>
      <c r="V26">
        <v>36.335171375039103</v>
      </c>
      <c r="W26">
        <v>1.2109515002137701</v>
      </c>
      <c r="X26">
        <v>2.6729125720787801</v>
      </c>
      <c r="AJ26">
        <v>9.7644835419908801E-2</v>
      </c>
      <c r="AK26">
        <v>8.9996343740726098E-2</v>
      </c>
      <c r="AL26">
        <v>0.74462769576453902</v>
      </c>
      <c r="AM26">
        <v>2.5134396812804199E-2</v>
      </c>
      <c r="AN26">
        <v>4.2596728262021197E-2</v>
      </c>
    </row>
    <row r="27" spans="1:40" x14ac:dyDescent="0.2">
      <c r="A27">
        <v>89</v>
      </c>
      <c r="B27">
        <v>748</v>
      </c>
      <c r="C27">
        <v>175</v>
      </c>
      <c r="D27">
        <v>0.40360426969593199</v>
      </c>
      <c r="E27">
        <v>1.46884039848547E-2</v>
      </c>
      <c r="F27">
        <v>4.6412306002098003</v>
      </c>
      <c r="G27">
        <v>-0.14122990566478177</v>
      </c>
      <c r="H27">
        <v>-0.11464036114690045</v>
      </c>
      <c r="I27">
        <v>2.6038823402909701E-2</v>
      </c>
      <c r="J27">
        <v>1.35367531688203E-2</v>
      </c>
      <c r="K27">
        <v>3.16476496216126E-3</v>
      </c>
      <c r="L27">
        <v>3.1478531875285519E-5</v>
      </c>
      <c r="M27">
        <v>5.5282983063317314E-7</v>
      </c>
      <c r="N27" s="1">
        <v>1.4919953504526401E-11</v>
      </c>
      <c r="O27" s="1">
        <v>6.8573480402503502E-15</v>
      </c>
      <c r="P27" s="1">
        <v>2.9596352214426999E-14</v>
      </c>
      <c r="R27">
        <v>47.147996308076998</v>
      </c>
      <c r="S27">
        <v>2.6741473558177802</v>
      </c>
      <c r="T27">
        <v>10.0164030813617</v>
      </c>
      <c r="V27">
        <v>36.267726157406997</v>
      </c>
      <c r="W27">
        <v>1.05531227911862</v>
      </c>
      <c r="X27">
        <v>2.83841481821776</v>
      </c>
      <c r="AJ27">
        <v>0.103710747586851</v>
      </c>
      <c r="AK27">
        <v>9.2369469395170198E-2</v>
      </c>
      <c r="AL27">
        <v>0.74338822157429596</v>
      </c>
      <c r="AM27">
        <v>2.1908169103934099E-2</v>
      </c>
      <c r="AN27">
        <v>3.8623392339747598E-2</v>
      </c>
    </row>
    <row r="28" spans="1:40" x14ac:dyDescent="0.2">
      <c r="A28">
        <v>90</v>
      </c>
      <c r="B28">
        <v>746</v>
      </c>
      <c r="C28">
        <v>175</v>
      </c>
      <c r="D28">
        <v>0.40229652161114798</v>
      </c>
      <c r="E28">
        <v>2.3325368295568999E-2</v>
      </c>
      <c r="F28">
        <v>4.6415546611529104</v>
      </c>
      <c r="G28">
        <v>-0.22441563474339762</v>
      </c>
      <c r="H28">
        <v>-0.18229421090313386</v>
      </c>
      <c r="I28">
        <v>4.1329955198217798E-2</v>
      </c>
      <c r="J28">
        <v>2.1491474591123799E-2</v>
      </c>
      <c r="K28">
        <v>5.0253352590649497E-3</v>
      </c>
      <c r="L28">
        <v>3.1446290395286353E-5</v>
      </c>
      <c r="M28">
        <v>5.5266878000130036E-7</v>
      </c>
      <c r="N28" s="1">
        <v>2.4384881533972299E-11</v>
      </c>
      <c r="O28" s="1">
        <v>1.08857230394895E-14</v>
      </c>
      <c r="P28" s="1">
        <v>4.5927262075312797E-14</v>
      </c>
      <c r="R28">
        <v>47.115892188418101</v>
      </c>
      <c r="S28">
        <v>2.7723854883449599</v>
      </c>
      <c r="T28">
        <v>9.9697043381108106</v>
      </c>
      <c r="V28">
        <v>36.170227073447101</v>
      </c>
      <c r="W28">
        <v>1.1469301361692901</v>
      </c>
      <c r="X28">
        <v>2.82486077550959</v>
      </c>
      <c r="AJ28">
        <v>0.103174597195659</v>
      </c>
      <c r="AK28">
        <v>9.1902382250363499E-2</v>
      </c>
      <c r="AL28">
        <v>0.74109591162148702</v>
      </c>
      <c r="AM28">
        <v>2.3800708843025101E-2</v>
      </c>
      <c r="AN28">
        <v>4.0026400089464502E-2</v>
      </c>
    </row>
    <row r="29" spans="1:40" x14ac:dyDescent="0.2">
      <c r="A29">
        <v>91</v>
      </c>
      <c r="B29">
        <v>744</v>
      </c>
      <c r="C29">
        <v>175</v>
      </c>
      <c r="D29">
        <v>0.40098363073293403</v>
      </c>
      <c r="E29">
        <v>3.0357769466678002E-2</v>
      </c>
      <c r="F29">
        <v>4.6418348347817302</v>
      </c>
      <c r="G29">
        <v>-0.29223196240048166</v>
      </c>
      <c r="H29">
        <v>-0.2375492230325095</v>
      </c>
      <c r="I29">
        <v>5.3760742631836098E-2</v>
      </c>
      <c r="J29">
        <v>2.79648534806188E-2</v>
      </c>
      <c r="K29">
        <v>6.54003654744545E-3</v>
      </c>
      <c r="L29">
        <v>3.1417160477201332E-5</v>
      </c>
      <c r="M29">
        <v>5.5252452886079717E-7</v>
      </c>
      <c r="N29" s="1">
        <v>3.2491498696606302E-11</v>
      </c>
      <c r="O29" s="1">
        <v>1.41632904027325E-14</v>
      </c>
      <c r="P29" s="1">
        <v>5.8557252840543204E-14</v>
      </c>
      <c r="R29">
        <v>47.086485515566601</v>
      </c>
      <c r="S29">
        <v>2.8651477731396402</v>
      </c>
      <c r="T29">
        <v>9.9226239481494094</v>
      </c>
      <c r="V29">
        <v>36.089873732582298</v>
      </c>
      <c r="W29">
        <v>1.2252835969340601</v>
      </c>
      <c r="X29">
        <v>2.81058543362782</v>
      </c>
      <c r="AJ29">
        <v>0.102615909930401</v>
      </c>
      <c r="AK29">
        <v>9.1435153503670902E-2</v>
      </c>
      <c r="AL29">
        <v>0.73918087280839495</v>
      </c>
      <c r="AM29">
        <v>2.5417435061815E-2</v>
      </c>
      <c r="AN29">
        <v>4.1350628695717102E-2</v>
      </c>
    </row>
    <row r="30" spans="1:40" x14ac:dyDescent="0.2">
      <c r="A30">
        <v>92</v>
      </c>
      <c r="B30">
        <v>742</v>
      </c>
      <c r="C30">
        <v>175</v>
      </c>
      <c r="D30">
        <v>0.39966556666502401</v>
      </c>
      <c r="E30">
        <v>3.6351306874480099E-2</v>
      </c>
      <c r="F30">
        <v>4.6420827760691896</v>
      </c>
      <c r="G30">
        <v>-0.35009159712313292</v>
      </c>
      <c r="H30">
        <v>-0.28478138302757761</v>
      </c>
      <c r="I30">
        <v>6.4335530803876606E-2</v>
      </c>
      <c r="J30">
        <v>3.3479054728734303E-2</v>
      </c>
      <c r="K30">
        <v>7.8308183261784903E-3</v>
      </c>
      <c r="L30">
        <v>3.1390463215410923E-5</v>
      </c>
      <c r="M30">
        <v>5.5239343623214114E-7</v>
      </c>
      <c r="N30" s="1">
        <v>3.9685561180879498E-11</v>
      </c>
      <c r="O30" s="1">
        <v>1.6954894532668001E-14</v>
      </c>
      <c r="P30" s="1">
        <v>6.8811021882179804E-14</v>
      </c>
      <c r="R30">
        <v>47.059237655716402</v>
      </c>
      <c r="S30">
        <v>2.95371652148286</v>
      </c>
      <c r="T30">
        <v>9.8750836817636092</v>
      </c>
      <c r="V30">
        <v>36.022476580691801</v>
      </c>
      <c r="W30">
        <v>1.2937201712820501</v>
      </c>
      <c r="X30">
        <v>2.7957653890631802</v>
      </c>
      <c r="AJ30">
        <v>0.10204029844356299</v>
      </c>
      <c r="AK30">
        <v>9.0966301360869403E-2</v>
      </c>
      <c r="AL30">
        <v>0.73755092525478605</v>
      </c>
      <c r="AM30">
        <v>2.6828014925633699E-2</v>
      </c>
      <c r="AN30">
        <v>4.2614460015146703E-2</v>
      </c>
    </row>
    <row r="31" spans="1:40" x14ac:dyDescent="0.2">
      <c r="A31">
        <v>105</v>
      </c>
      <c r="B31">
        <v>752</v>
      </c>
      <c r="C31">
        <v>150</v>
      </c>
      <c r="D31">
        <v>0.43302980051699702</v>
      </c>
      <c r="E31">
        <v>1.1437747011812801E-2</v>
      </c>
      <c r="F31">
        <v>4.6373119091133299</v>
      </c>
      <c r="G31">
        <v>-0.11039730190760605</v>
      </c>
      <c r="H31">
        <v>-8.9540249775694053E-2</v>
      </c>
      <c r="I31">
        <v>2.0345366172669299E-2</v>
      </c>
      <c r="J31">
        <v>1.0555026559244399E-2</v>
      </c>
      <c r="K31">
        <v>2.4664605780204498E-3</v>
      </c>
      <c r="L31">
        <v>3.142237420713413E-5</v>
      </c>
      <c r="M31">
        <v>5.5281739848016607E-7</v>
      </c>
      <c r="N31" s="1">
        <v>1.1396707365587201E-11</v>
      </c>
      <c r="O31" s="1">
        <v>5.3324897407949502E-15</v>
      </c>
      <c r="P31" s="1">
        <v>2.42054329006144E-14</v>
      </c>
      <c r="R31">
        <v>47.1065969508943</v>
      </c>
      <c r="S31">
        <v>2.7447421588783598</v>
      </c>
      <c r="T31">
        <v>10.122073662319799</v>
      </c>
      <c r="V31">
        <v>35.866600249881401</v>
      </c>
      <c r="W31">
        <v>1.1991643634820199</v>
      </c>
      <c r="X31">
        <v>2.96082261454398</v>
      </c>
      <c r="AJ31">
        <v>0.10805030133591401</v>
      </c>
      <c r="AK31">
        <v>9.3229175416768104E-2</v>
      </c>
      <c r="AL31">
        <v>0.734262340069887</v>
      </c>
      <c r="AM31">
        <v>2.4863914323311101E-2</v>
      </c>
      <c r="AN31">
        <v>3.9594268854117702E-2</v>
      </c>
    </row>
    <row r="32" spans="1:40" x14ac:dyDescent="0.2">
      <c r="A32">
        <v>106</v>
      </c>
      <c r="B32">
        <v>750</v>
      </c>
      <c r="C32">
        <v>150</v>
      </c>
      <c r="D32">
        <v>0.43178468455260599</v>
      </c>
      <c r="E32">
        <v>1.9081766313725101E-2</v>
      </c>
      <c r="F32">
        <v>4.6376215268215004</v>
      </c>
      <c r="G32">
        <v>-0.18427346208784726</v>
      </c>
      <c r="H32">
        <v>-0.14956420450821481</v>
      </c>
      <c r="I32">
        <v>3.39239188580681E-2</v>
      </c>
      <c r="J32">
        <v>1.7605110402041099E-2</v>
      </c>
      <c r="K32">
        <v>4.1145587675420498E-3</v>
      </c>
      <c r="L32">
        <v>3.1393759368381282E-5</v>
      </c>
      <c r="M32">
        <v>5.5267883407918488E-7</v>
      </c>
      <c r="N32" s="1">
        <v>1.9473583887100499E-11</v>
      </c>
      <c r="O32" s="1">
        <v>8.8935243191443701E-15</v>
      </c>
      <c r="P32" s="1">
        <v>3.9640369411884497E-14</v>
      </c>
      <c r="R32">
        <v>47.077996226764803</v>
      </c>
      <c r="S32">
        <v>2.8348326243531501</v>
      </c>
      <c r="T32">
        <v>10.0766732369782</v>
      </c>
      <c r="V32">
        <v>35.783820090243601</v>
      </c>
      <c r="W32">
        <v>1.2794740792980901</v>
      </c>
      <c r="X32">
        <v>2.9472037423620798</v>
      </c>
      <c r="AJ32">
        <v>0.107515142390382</v>
      </c>
      <c r="AK32">
        <v>9.2778085479269107E-2</v>
      </c>
      <c r="AL32">
        <v>0.73230774034428703</v>
      </c>
      <c r="AM32">
        <v>2.6519672718618399E-2</v>
      </c>
      <c r="AN32">
        <v>4.0879359067442299E-2</v>
      </c>
    </row>
    <row r="33" spans="1:40" x14ac:dyDescent="0.2">
      <c r="A33">
        <v>107</v>
      </c>
      <c r="B33">
        <v>748</v>
      </c>
      <c r="C33">
        <v>150</v>
      </c>
      <c r="D33">
        <v>0.43053469127944</v>
      </c>
      <c r="E33">
        <v>2.5572267632444801E-2</v>
      </c>
      <c r="F33">
        <v>4.6378965073907503</v>
      </c>
      <c r="G33">
        <v>-0.2470649275561454</v>
      </c>
      <c r="H33">
        <v>-0.20066839500499287</v>
      </c>
      <c r="I33">
        <v>4.5435570240564598E-2</v>
      </c>
      <c r="J33">
        <v>2.3588297085582001E-2</v>
      </c>
      <c r="K33">
        <v>5.5137641798806702E-3</v>
      </c>
      <c r="L33">
        <v>3.1367535433833596E-5</v>
      </c>
      <c r="M33">
        <v>5.5255304347133671E-7</v>
      </c>
      <c r="N33" s="1">
        <v>2.66305201670523E-11</v>
      </c>
      <c r="O33" s="1">
        <v>1.19153240284791E-14</v>
      </c>
      <c r="P33" s="1">
        <v>5.2228402487193798E-14</v>
      </c>
      <c r="R33">
        <v>47.051503371266698</v>
      </c>
      <c r="S33">
        <v>2.92093370434988</v>
      </c>
      <c r="T33">
        <v>10.030690307578199</v>
      </c>
      <c r="V33">
        <v>35.714052011019497</v>
      </c>
      <c r="W33">
        <v>1.3497987851556701</v>
      </c>
      <c r="X33">
        <v>2.93302182062979</v>
      </c>
      <c r="AJ33">
        <v>0.106962407189844</v>
      </c>
      <c r="AK33">
        <v>9.23241786090815E-2</v>
      </c>
      <c r="AL33">
        <v>0.73063832563087405</v>
      </c>
      <c r="AM33">
        <v>2.7968044423782999E-2</v>
      </c>
      <c r="AN33">
        <v>4.2107044146415903E-2</v>
      </c>
    </row>
    <row r="34" spans="1:40" x14ac:dyDescent="0.2">
      <c r="A34">
        <v>125</v>
      </c>
      <c r="B34">
        <v>756</v>
      </c>
      <c r="C34">
        <v>125</v>
      </c>
      <c r="D34">
        <v>0.46222659476266797</v>
      </c>
      <c r="E34">
        <v>1.1511106926525299E-2</v>
      </c>
      <c r="F34">
        <v>4.6332203954582596</v>
      </c>
      <c r="G34">
        <v>-0.11161388905339564</v>
      </c>
      <c r="H34">
        <v>-9.0461219341112425E-2</v>
      </c>
      <c r="I34">
        <v>2.0553534190626398E-2</v>
      </c>
      <c r="J34">
        <v>1.06389712971842E-2</v>
      </c>
      <c r="K34">
        <v>2.4844721260851598E-3</v>
      </c>
      <c r="L34">
        <v>3.1351594284078259E-5</v>
      </c>
      <c r="M34">
        <v>5.5262665417411274E-7</v>
      </c>
      <c r="N34" s="1">
        <v>1.12700843734291E-11</v>
      </c>
      <c r="O34" s="1">
        <v>5.3562393500758503E-15</v>
      </c>
      <c r="P34" s="1">
        <v>2.5580529579425601E-14</v>
      </c>
      <c r="R34">
        <v>47.0314465626481</v>
      </c>
      <c r="S34">
        <v>2.8854021448316001</v>
      </c>
      <c r="T34">
        <v>10.222089454185401</v>
      </c>
      <c r="V34">
        <v>35.376140492564701</v>
      </c>
      <c r="W34">
        <v>1.40226514676414</v>
      </c>
      <c r="X34">
        <v>3.0826561990059198</v>
      </c>
      <c r="AJ34">
        <v>0.112320425807168</v>
      </c>
      <c r="AK34">
        <v>9.4003079918028601E-2</v>
      </c>
      <c r="AL34">
        <v>0.72308865556649005</v>
      </c>
      <c r="AM34">
        <v>2.9029595408907E-2</v>
      </c>
      <c r="AN34">
        <v>4.1558243299405703E-2</v>
      </c>
    </row>
    <row r="35" spans="1:40" x14ac:dyDescent="0.2">
      <c r="A35">
        <v>126</v>
      </c>
      <c r="B35">
        <v>754</v>
      </c>
      <c r="C35">
        <v>125</v>
      </c>
      <c r="D35">
        <v>0.46104317772477099</v>
      </c>
      <c r="E35">
        <v>1.78348598272869E-2</v>
      </c>
      <c r="F35">
        <v>4.6334993075185897</v>
      </c>
      <c r="G35">
        <v>-0.17299877918518658</v>
      </c>
      <c r="H35">
        <v>-0.14030982710538989</v>
      </c>
      <c r="I35">
        <v>3.1824905885018399E-2</v>
      </c>
      <c r="J35">
        <v>1.6480140034981199E-2</v>
      </c>
      <c r="K35">
        <v>3.84911244042856E-3</v>
      </c>
      <c r="L35">
        <v>3.1327673900537404E-5</v>
      </c>
      <c r="M35">
        <v>5.5251529887233066E-7</v>
      </c>
      <c r="N35" s="1">
        <v>1.7788481226917601E-11</v>
      </c>
      <c r="O35" s="1">
        <v>8.2967102292781093E-15</v>
      </c>
      <c r="P35" s="1">
        <v>3.9063619772852303E-14</v>
      </c>
      <c r="R35">
        <v>47.007162952115699</v>
      </c>
      <c r="S35">
        <v>2.96636255031378</v>
      </c>
      <c r="T35">
        <v>10.177178143163299</v>
      </c>
      <c r="V35">
        <v>35.3128241377526</v>
      </c>
      <c r="W35">
        <v>1.4677568032014401</v>
      </c>
      <c r="X35">
        <v>3.0687154134530199</v>
      </c>
      <c r="AJ35">
        <v>0.111778190588285</v>
      </c>
      <c r="AK35">
        <v>9.3561374503054295E-2</v>
      </c>
      <c r="AL35">
        <v>0.72157314327466104</v>
      </c>
      <c r="AM35">
        <v>3.0376081979353198E-2</v>
      </c>
      <c r="AN35">
        <v>4.2711209654645803E-2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3E8AD-98B2-4848-9677-2CF07CE4B0AC}">
  <sheetPr codeName="Sheet7"/>
  <dimension ref="A1:AN70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14</v>
      </c>
      <c r="B2">
        <v>734</v>
      </c>
      <c r="C2">
        <v>300</v>
      </c>
      <c r="D2">
        <v>0.25781710768008598</v>
      </c>
      <c r="E2">
        <v>0.45117212832264803</v>
      </c>
      <c r="F2">
        <v>4.9379774355655099</v>
      </c>
      <c r="G2">
        <v>-3.0167681884325126</v>
      </c>
      <c r="H2">
        <v>-2.2186197744093268</v>
      </c>
      <c r="I2">
        <v>0.79248216653247705</v>
      </c>
      <c r="J2">
        <v>0.39975064372417601</v>
      </c>
      <c r="K2">
        <v>9.1367798700963093E-2</v>
      </c>
      <c r="L2">
        <v>3.5091505350817867E-5</v>
      </c>
      <c r="M2">
        <v>4.0841964155701439E-7</v>
      </c>
      <c r="N2" s="1">
        <v>1.75562985555159E-9</v>
      </c>
      <c r="O2" s="1">
        <v>2.17052679364077E-13</v>
      </c>
      <c r="P2">
        <v>0</v>
      </c>
      <c r="R2">
        <v>9.2960214709436109</v>
      </c>
      <c r="S2">
        <v>1.88981806928604</v>
      </c>
      <c r="T2">
        <v>49.275982815056601</v>
      </c>
      <c r="V2">
        <v>38.667614651499001</v>
      </c>
      <c r="X2">
        <v>0.87056299321463104</v>
      </c>
      <c r="AJ2">
        <v>0</v>
      </c>
      <c r="AK2">
        <v>-6.9117890012816803E-3</v>
      </c>
      <c r="AL2">
        <v>0.69583509881306504</v>
      </c>
      <c r="AM2">
        <v>4.8708244982535003E-2</v>
      </c>
      <c r="AN2">
        <v>0.26236844520568098</v>
      </c>
    </row>
    <row r="3" spans="1:40" x14ac:dyDescent="0.2">
      <c r="A3">
        <v>15</v>
      </c>
      <c r="B3">
        <v>732</v>
      </c>
      <c r="C3">
        <v>300</v>
      </c>
      <c r="D3">
        <v>0.256201064517732</v>
      </c>
      <c r="E3">
        <v>0.52461480846715902</v>
      </c>
      <c r="F3">
        <v>4.9405862187485896</v>
      </c>
      <c r="G3">
        <v>-3.4998321152707028</v>
      </c>
      <c r="H3">
        <v>-2.5750265708254827</v>
      </c>
      <c r="I3">
        <v>0.92006719837359496</v>
      </c>
      <c r="J3">
        <v>0.46487578474964503</v>
      </c>
      <c r="K3">
        <v>0.106184728944987</v>
      </c>
      <c r="L3">
        <v>3.5573866229016576E-5</v>
      </c>
      <c r="M3">
        <v>4.1421776099305416E-7</v>
      </c>
      <c r="N3" s="1">
        <v>2.0717180791063501E-9</v>
      </c>
      <c r="O3" s="1">
        <v>2.5636537117878701E-13</v>
      </c>
      <c r="P3">
        <v>0</v>
      </c>
      <c r="R3">
        <v>8.7739889292621207</v>
      </c>
      <c r="S3">
        <v>2.07550053726743</v>
      </c>
      <c r="T3">
        <v>50.0531279915485</v>
      </c>
      <c r="V3">
        <v>38.249263585682897</v>
      </c>
      <c r="X3">
        <v>0.84811895623892997</v>
      </c>
      <c r="AJ3">
        <v>0</v>
      </c>
      <c r="AK3">
        <v>-1.54882583492484E-3</v>
      </c>
      <c r="AL3">
        <v>0.70656400533990105</v>
      </c>
      <c r="AM3">
        <v>4.7436026166118299E-2</v>
      </c>
      <c r="AN3">
        <v>0.247548794328904</v>
      </c>
    </row>
    <row r="4" spans="1:40" x14ac:dyDescent="0.2">
      <c r="A4">
        <v>16</v>
      </c>
      <c r="B4">
        <v>730</v>
      </c>
      <c r="C4">
        <v>300</v>
      </c>
      <c r="D4">
        <v>0.25457857748093798</v>
      </c>
      <c r="E4">
        <v>0.550757507026719</v>
      </c>
      <c r="F4">
        <v>4.9404238167680097</v>
      </c>
      <c r="G4">
        <v>-3.674804616329221</v>
      </c>
      <c r="H4">
        <v>-2.706703611064238</v>
      </c>
      <c r="I4">
        <v>0.96506106291679405</v>
      </c>
      <c r="J4">
        <v>0.48811106957985601</v>
      </c>
      <c r="K4">
        <v>0.111479809719446</v>
      </c>
      <c r="L4">
        <v>3.561371516422834E-5</v>
      </c>
      <c r="M4">
        <v>4.1506835279777796E-7</v>
      </c>
      <c r="N4" s="1">
        <v>2.1801414833090999E-9</v>
      </c>
      <c r="O4" s="1">
        <v>2.6984487292642201E-13</v>
      </c>
      <c r="P4">
        <v>0</v>
      </c>
      <c r="R4">
        <v>8.6293935002789794</v>
      </c>
      <c r="S4">
        <v>2.19826411125899</v>
      </c>
      <c r="T4">
        <v>50.184101391767797</v>
      </c>
      <c r="V4">
        <v>38.147116305917997</v>
      </c>
      <c r="X4">
        <v>0.84112469077611995</v>
      </c>
      <c r="AJ4">
        <v>0</v>
      </c>
      <c r="AK4">
        <v>1.55579479155895E-3</v>
      </c>
      <c r="AL4">
        <v>0.70807056148598801</v>
      </c>
      <c r="AM4">
        <v>4.7022099054905703E-2</v>
      </c>
      <c r="AN4">
        <v>0.24335154466754699</v>
      </c>
    </row>
    <row r="5" spans="1:40" x14ac:dyDescent="0.2">
      <c r="A5">
        <v>17</v>
      </c>
      <c r="B5">
        <v>728</v>
      </c>
      <c r="C5">
        <v>300</v>
      </c>
      <c r="D5">
        <v>0.25294960795086002</v>
      </c>
      <c r="E5">
        <v>0.56195576516526402</v>
      </c>
      <c r="F5">
        <v>4.9403645451031899</v>
      </c>
      <c r="G5">
        <v>-3.7496872526311282</v>
      </c>
      <c r="H5">
        <v>-2.7647766519042678</v>
      </c>
      <c r="I5">
        <v>0.98377925458408899</v>
      </c>
      <c r="J5">
        <v>0.49808927219162702</v>
      </c>
      <c r="K5">
        <v>0.113747833795436</v>
      </c>
      <c r="L5">
        <v>3.5645832861924441E-5</v>
      </c>
      <c r="M5">
        <v>4.1583172318754706E-7</v>
      </c>
      <c r="N5" s="1">
        <v>2.2292379959049099E-9</v>
      </c>
      <c r="O5" s="1">
        <v>2.7598470174393199E-13</v>
      </c>
      <c r="P5">
        <v>0</v>
      </c>
      <c r="R5">
        <v>8.4994874046625206</v>
      </c>
      <c r="S5">
        <v>2.3070054904784199</v>
      </c>
      <c r="T5">
        <v>50.303161939919697</v>
      </c>
      <c r="V5">
        <v>38.056301904174802</v>
      </c>
      <c r="X5">
        <v>0.83404326076449098</v>
      </c>
      <c r="AJ5">
        <v>0</v>
      </c>
      <c r="AK5">
        <v>4.3528472728446696E-3</v>
      </c>
      <c r="AL5">
        <v>0.70945283484788602</v>
      </c>
      <c r="AM5">
        <v>4.6606669014588598E-2</v>
      </c>
      <c r="AN5">
        <v>0.23958764886467901</v>
      </c>
    </row>
    <row r="6" spans="1:40" x14ac:dyDescent="0.2">
      <c r="A6">
        <v>18</v>
      </c>
      <c r="B6">
        <v>726</v>
      </c>
      <c r="C6">
        <v>300</v>
      </c>
      <c r="D6">
        <v>0.251314116999449</v>
      </c>
      <c r="E6">
        <v>0.56705281050969503</v>
      </c>
      <c r="F6">
        <v>4.9403652830003901</v>
      </c>
      <c r="G6">
        <v>-3.7836178295995011</v>
      </c>
      <c r="H6">
        <v>-2.7926909672127778</v>
      </c>
      <c r="I6">
        <v>0.99176986677348</v>
      </c>
      <c r="J6">
        <v>0.50265066088253696</v>
      </c>
      <c r="K6">
        <v>0.11477953107251</v>
      </c>
      <c r="L6">
        <v>3.5672806481759718E-5</v>
      </c>
      <c r="M6">
        <v>4.165375615984347E-7</v>
      </c>
      <c r="N6" s="1">
        <v>2.2539254505553799E-9</v>
      </c>
      <c r="O6" s="1">
        <v>2.7910389728861501E-13</v>
      </c>
      <c r="P6">
        <v>0</v>
      </c>
      <c r="R6">
        <v>8.3788187043463402</v>
      </c>
      <c r="S6">
        <v>2.4071935517179699</v>
      </c>
      <c r="T6">
        <v>50.414422898720197</v>
      </c>
      <c r="V6">
        <v>37.9726525661317</v>
      </c>
      <c r="X6">
        <v>0.82691227908359899</v>
      </c>
      <c r="AJ6">
        <v>0</v>
      </c>
      <c r="AK6">
        <v>6.9617358014287603E-3</v>
      </c>
      <c r="AL6">
        <v>0.71075138045184605</v>
      </c>
      <c r="AM6">
        <v>4.6190599229506697E-2</v>
      </c>
      <c r="AN6">
        <v>0.23609628451721801</v>
      </c>
    </row>
    <row r="7" spans="1:40" x14ac:dyDescent="0.2">
      <c r="A7">
        <v>19</v>
      </c>
      <c r="B7">
        <v>724</v>
      </c>
      <c r="C7">
        <v>300</v>
      </c>
      <c r="D7">
        <v>0.249672065386352</v>
      </c>
      <c r="E7">
        <v>0.56900595811080001</v>
      </c>
      <c r="F7">
        <v>4.9404042201377196</v>
      </c>
      <c r="G7">
        <v>-3.7964110184434601</v>
      </c>
      <c r="H7">
        <v>-2.8050090276493882</v>
      </c>
      <c r="I7">
        <v>0.99423556214618802</v>
      </c>
      <c r="J7">
        <v>0.50441862979385099</v>
      </c>
      <c r="K7">
        <v>0.11517396811205401</v>
      </c>
      <c r="L7">
        <v>3.5695941078386493E-5</v>
      </c>
      <c r="M7">
        <v>4.1720078692113806E-7</v>
      </c>
      <c r="N7" s="1">
        <v>2.2659188477844298E-9</v>
      </c>
      <c r="O7" s="1">
        <v>2.8065154755227498E-13</v>
      </c>
      <c r="P7">
        <v>0</v>
      </c>
      <c r="R7">
        <v>8.2646206372474804</v>
      </c>
      <c r="S7">
        <v>2.5016082624944098</v>
      </c>
      <c r="T7">
        <v>50.519964179394599</v>
      </c>
      <c r="V7">
        <v>37.894059936503702</v>
      </c>
      <c r="X7">
        <v>0.81974698435971904</v>
      </c>
      <c r="AJ7">
        <v>0</v>
      </c>
      <c r="AK7">
        <v>9.4433678293205803E-3</v>
      </c>
      <c r="AL7">
        <v>0.71198668552557398</v>
      </c>
      <c r="AM7">
        <v>4.5774110071617601E-2</v>
      </c>
      <c r="AN7">
        <v>0.23279583657348599</v>
      </c>
    </row>
    <row r="8" spans="1:40" x14ac:dyDescent="0.2">
      <c r="A8">
        <v>31</v>
      </c>
      <c r="B8">
        <v>738</v>
      </c>
      <c r="C8">
        <v>275</v>
      </c>
      <c r="D8">
        <v>0.28822677149780002</v>
      </c>
      <c r="E8">
        <v>0.43025068083044898</v>
      </c>
      <c r="F8">
        <v>4.94102226717128</v>
      </c>
      <c r="G8">
        <v>-2.8691608569431648</v>
      </c>
      <c r="H8">
        <v>-2.1042985026531289</v>
      </c>
      <c r="I8">
        <v>0.75642818008211998</v>
      </c>
      <c r="J8">
        <v>0.38130223327066898</v>
      </c>
      <c r="K8">
        <v>8.7077260041729401E-2</v>
      </c>
      <c r="L8">
        <v>3.6014453520533829E-5</v>
      </c>
      <c r="M8">
        <v>4.1882254907889172E-7</v>
      </c>
      <c r="N8" s="1">
        <v>1.7135418927722001E-9</v>
      </c>
      <c r="O8" s="1">
        <v>2.1187138895791901E-13</v>
      </c>
      <c r="P8">
        <v>0</v>
      </c>
      <c r="R8">
        <v>8.6840773363780599</v>
      </c>
      <c r="S8">
        <v>1.9130407496508799</v>
      </c>
      <c r="T8">
        <v>50.438615153328499</v>
      </c>
      <c r="V8">
        <v>38.077338287909797</v>
      </c>
      <c r="X8">
        <v>0.88692847273266895</v>
      </c>
      <c r="AJ8">
        <v>0</v>
      </c>
      <c r="AK8">
        <v>-7.3163217041307604E-3</v>
      </c>
      <c r="AL8">
        <v>0.712495088498169</v>
      </c>
      <c r="AM8">
        <v>4.9640775974104302E-2</v>
      </c>
      <c r="AN8">
        <v>0.245180457231856</v>
      </c>
    </row>
    <row r="9" spans="1:40" x14ac:dyDescent="0.2">
      <c r="A9">
        <v>32</v>
      </c>
      <c r="B9">
        <v>736</v>
      </c>
      <c r="C9">
        <v>275</v>
      </c>
      <c r="D9">
        <v>0.28667740177377199</v>
      </c>
      <c r="E9">
        <v>0.548049609042223</v>
      </c>
      <c r="F9">
        <v>4.9374072232083801</v>
      </c>
      <c r="G9">
        <v>-3.6668539470906669</v>
      </c>
      <c r="H9">
        <v>-2.6945283972887313</v>
      </c>
      <c r="I9">
        <v>0.96350943844020698</v>
      </c>
      <c r="J9">
        <v>0.485867331043147</v>
      </c>
      <c r="K9">
        <v>0.110999474879467</v>
      </c>
      <c r="L9">
        <v>3.5607635453014298E-5</v>
      </c>
      <c r="M9">
        <v>4.1469201468431269E-7</v>
      </c>
      <c r="N9" s="1">
        <v>2.1613725785181E-9</v>
      </c>
      <c r="O9" s="1">
        <v>2.6710972373770002E-13</v>
      </c>
      <c r="P9">
        <v>0</v>
      </c>
      <c r="R9">
        <v>8.8838931034048496</v>
      </c>
      <c r="S9">
        <v>2.03029087228549</v>
      </c>
      <c r="T9">
        <v>49.920880003400697</v>
      </c>
      <c r="V9">
        <v>38.267307103210101</v>
      </c>
      <c r="X9">
        <v>0.89762891769877096</v>
      </c>
      <c r="AJ9">
        <v>0</v>
      </c>
      <c r="AK9">
        <v>-5.3162540099607799E-3</v>
      </c>
      <c r="AL9">
        <v>0.70453198483712498</v>
      </c>
      <c r="AM9">
        <v>5.0193393736454102E-2</v>
      </c>
      <c r="AN9">
        <v>0.25059087543637998</v>
      </c>
    </row>
    <row r="10" spans="1:40" x14ac:dyDescent="0.2">
      <c r="A10">
        <v>33</v>
      </c>
      <c r="B10">
        <v>734</v>
      </c>
      <c r="C10">
        <v>275</v>
      </c>
      <c r="D10">
        <v>0.28512187856823701</v>
      </c>
      <c r="E10">
        <v>0.57534727708488798</v>
      </c>
      <c r="F10">
        <v>4.9372671835340904</v>
      </c>
      <c r="G10">
        <v>-3.8500092914747994</v>
      </c>
      <c r="H10">
        <v>-2.8321734579952809</v>
      </c>
      <c r="I10">
        <v>1.0106099721784401</v>
      </c>
      <c r="J10">
        <v>0.51014074822031297</v>
      </c>
      <c r="K10">
        <v>0.11653152557829601</v>
      </c>
      <c r="L10">
        <v>3.5652398439524941E-5</v>
      </c>
      <c r="M10">
        <v>4.1559760174839196E-7</v>
      </c>
      <c r="N10" s="1">
        <v>2.27473803816721E-9</v>
      </c>
      <c r="O10" s="1">
        <v>2.8118690827452401E-13</v>
      </c>
      <c r="P10">
        <v>0</v>
      </c>
      <c r="R10">
        <v>8.7354315199924102</v>
      </c>
      <c r="S10">
        <v>2.1537883362267398</v>
      </c>
      <c r="T10">
        <v>50.058454959383603</v>
      </c>
      <c r="V10">
        <v>38.161686096698404</v>
      </c>
      <c r="X10">
        <v>0.89063908769869005</v>
      </c>
      <c r="AJ10">
        <v>0</v>
      </c>
      <c r="AK10">
        <v>-2.1945739827297101E-3</v>
      </c>
      <c r="AL10">
        <v>0.70613205547950397</v>
      </c>
      <c r="AM10">
        <v>4.9778462775775099E-2</v>
      </c>
      <c r="AN10">
        <v>0.24628405572744899</v>
      </c>
    </row>
    <row r="11" spans="1:40" x14ac:dyDescent="0.2">
      <c r="A11">
        <v>34</v>
      </c>
      <c r="B11">
        <v>732</v>
      </c>
      <c r="C11">
        <v>275</v>
      </c>
      <c r="D11">
        <v>0.28356016514948101</v>
      </c>
      <c r="E11">
        <v>0.58668220537985305</v>
      </c>
      <c r="F11">
        <v>4.9372335041014104</v>
      </c>
      <c r="G11">
        <v>-3.9259336714809598</v>
      </c>
      <c r="H11">
        <v>-2.8910535616131106</v>
      </c>
      <c r="I11">
        <v>1.0295777842788101</v>
      </c>
      <c r="J11">
        <v>0.52024625987683804</v>
      </c>
      <c r="K11">
        <v>0.11882812609379099</v>
      </c>
      <c r="L11">
        <v>3.5688203211736976E-5</v>
      </c>
      <c r="M11">
        <v>4.1640201678103468E-7</v>
      </c>
      <c r="N11" s="1">
        <v>2.3247498585266098E-9</v>
      </c>
      <c r="O11" s="1">
        <v>2.87436187065763E-13</v>
      </c>
      <c r="P11">
        <v>0</v>
      </c>
      <c r="R11">
        <v>8.60318518844743</v>
      </c>
      <c r="S11">
        <v>2.2622640142318402</v>
      </c>
      <c r="T11">
        <v>50.182342925859402</v>
      </c>
      <c r="V11">
        <v>38.068653566394097</v>
      </c>
      <c r="X11">
        <v>0.88355430506708199</v>
      </c>
      <c r="AJ11">
        <v>0</v>
      </c>
      <c r="AK11">
        <v>5.9771660745947203E-4</v>
      </c>
      <c r="AL11">
        <v>0.70758554007153995</v>
      </c>
      <c r="AM11">
        <v>4.9361972567108899E-2</v>
      </c>
      <c r="AN11">
        <v>0.24245477075388999</v>
      </c>
    </row>
    <row r="12" spans="1:40" x14ac:dyDescent="0.2">
      <c r="A12">
        <v>35</v>
      </c>
      <c r="B12">
        <v>730</v>
      </c>
      <c r="C12">
        <v>275</v>
      </c>
      <c r="D12">
        <v>0.28199222449285299</v>
      </c>
      <c r="E12">
        <v>0.59179528871071896</v>
      </c>
      <c r="F12">
        <v>4.9372605215231102</v>
      </c>
      <c r="G12">
        <v>-3.959964509250796</v>
      </c>
      <c r="H12">
        <v>-2.9191173991193944</v>
      </c>
      <c r="I12">
        <v>1.0375787371095</v>
      </c>
      <c r="J12">
        <v>0.524824521617272</v>
      </c>
      <c r="K12">
        <v>0.11986308725879199</v>
      </c>
      <c r="L12">
        <v>3.5718235464182453E-5</v>
      </c>
      <c r="M12">
        <v>4.1714175667162503E-7</v>
      </c>
      <c r="N12" s="1">
        <v>2.3498528243593198E-9</v>
      </c>
      <c r="O12" s="1">
        <v>2.9060686857281898E-13</v>
      </c>
      <c r="P12">
        <v>0</v>
      </c>
      <c r="R12">
        <v>8.4808798249916908</v>
      </c>
      <c r="S12">
        <v>2.36178285400125</v>
      </c>
      <c r="T12">
        <v>50.297543848826997</v>
      </c>
      <c r="V12">
        <v>37.9833807597103</v>
      </c>
      <c r="X12">
        <v>0.87641271246966002</v>
      </c>
      <c r="AJ12">
        <v>0</v>
      </c>
      <c r="AK12">
        <v>3.1932685211898699E-3</v>
      </c>
      <c r="AL12">
        <v>0.70894382076131002</v>
      </c>
      <c r="AM12">
        <v>4.8944619395225902E-2</v>
      </c>
      <c r="AN12">
        <v>0.23891829132227299</v>
      </c>
    </row>
    <row r="13" spans="1:40" x14ac:dyDescent="0.2">
      <c r="A13">
        <v>36</v>
      </c>
      <c r="B13">
        <v>728</v>
      </c>
      <c r="C13">
        <v>275</v>
      </c>
      <c r="D13">
        <v>0.280418019277831</v>
      </c>
      <c r="E13">
        <v>0.59377657795443906</v>
      </c>
      <c r="F13">
        <v>4.9373258601374497</v>
      </c>
      <c r="G13">
        <v>-3.9728701164719511</v>
      </c>
      <c r="H13">
        <v>-2.9316123373743137</v>
      </c>
      <c r="I13">
        <v>1.0400617081332799</v>
      </c>
      <c r="J13">
        <v>0.52661823391706097</v>
      </c>
      <c r="K13">
        <v>0.12026278896202</v>
      </c>
      <c r="L13">
        <v>3.5744045652100862E-5</v>
      </c>
      <c r="M13">
        <v>4.178345365079399E-7</v>
      </c>
      <c r="N13" s="1">
        <v>2.3622893903904699E-9</v>
      </c>
      <c r="O13" s="1">
        <v>2.92211391290475E-13</v>
      </c>
      <c r="P13">
        <v>0</v>
      </c>
      <c r="R13">
        <v>8.3654460424278199</v>
      </c>
      <c r="S13">
        <v>2.4553196131380499</v>
      </c>
      <c r="T13">
        <v>50.406493399657997</v>
      </c>
      <c r="V13">
        <v>37.9035101317045</v>
      </c>
      <c r="X13">
        <v>0.86923081307152095</v>
      </c>
      <c r="AJ13">
        <v>0</v>
      </c>
      <c r="AK13">
        <v>5.6572652725289099E-3</v>
      </c>
      <c r="AL13">
        <v>0.710231880074641</v>
      </c>
      <c r="AM13">
        <v>4.8526618930230102E-2</v>
      </c>
      <c r="AN13">
        <v>0.23558423572259901</v>
      </c>
    </row>
    <row r="14" spans="1:40" x14ac:dyDescent="0.2">
      <c r="A14">
        <v>37</v>
      </c>
      <c r="B14">
        <v>726</v>
      </c>
      <c r="C14">
        <v>275</v>
      </c>
      <c r="D14">
        <v>0.27883751188509998</v>
      </c>
      <c r="E14">
        <v>0.59393340305445497</v>
      </c>
      <c r="F14">
        <v>4.9374165228795901</v>
      </c>
      <c r="G14">
        <v>-3.9734554458702798</v>
      </c>
      <c r="H14">
        <v>-2.9350053064675339</v>
      </c>
      <c r="I14">
        <v>1.0393335729397399</v>
      </c>
      <c r="J14">
        <v>0.52678850534493604</v>
      </c>
      <c r="K14">
        <v>0.120292343232987</v>
      </c>
      <c r="L14">
        <v>3.5766520618031903E-5</v>
      </c>
      <c r="M14">
        <v>4.184904647269281E-7</v>
      </c>
      <c r="N14" s="1">
        <v>2.3672593247007899E-9</v>
      </c>
      <c r="O14" s="1">
        <v>2.9289215729611802E-13</v>
      </c>
      <c r="P14">
        <v>0</v>
      </c>
      <c r="R14">
        <v>8.25511593190536</v>
      </c>
      <c r="S14">
        <v>2.5445955748843598</v>
      </c>
      <c r="T14">
        <v>50.510585015725702</v>
      </c>
      <c r="V14">
        <v>37.827685734896797</v>
      </c>
      <c r="X14">
        <v>0.86201774258762998</v>
      </c>
      <c r="AJ14">
        <v>0</v>
      </c>
      <c r="AK14">
        <v>8.0274410386481192E-3</v>
      </c>
      <c r="AL14">
        <v>0.71146395120630002</v>
      </c>
      <c r="AM14">
        <v>4.8108071735551802E-2</v>
      </c>
      <c r="AN14">
        <v>0.232400536019499</v>
      </c>
    </row>
    <row r="15" spans="1:40" x14ac:dyDescent="0.2">
      <c r="A15">
        <v>47</v>
      </c>
      <c r="B15">
        <v>742</v>
      </c>
      <c r="C15">
        <v>250</v>
      </c>
      <c r="D15">
        <v>0.318396788651924</v>
      </c>
      <c r="E15">
        <v>0.41554528652283601</v>
      </c>
      <c r="F15">
        <v>4.9431932885478904</v>
      </c>
      <c r="G15">
        <v>-2.765459030239771</v>
      </c>
      <c r="H15">
        <v>-2.0230306333727195</v>
      </c>
      <c r="I15">
        <v>0.73134846758316596</v>
      </c>
      <c r="J15">
        <v>0.368356136837026</v>
      </c>
      <c r="K15">
        <v>8.4064138759361903E-2</v>
      </c>
      <c r="L15">
        <v>3.6852096075543699E-5</v>
      </c>
      <c r="M15">
        <v>4.2826559814176899E-7</v>
      </c>
      <c r="N15" s="1">
        <v>1.68898412967688E-9</v>
      </c>
      <c r="O15" s="1">
        <v>2.0882433529255001E-13</v>
      </c>
      <c r="P15">
        <v>0</v>
      </c>
      <c r="R15">
        <v>8.1390926326255393</v>
      </c>
      <c r="S15">
        <v>1.9376409174537701</v>
      </c>
      <c r="T15">
        <v>51.472487135004002</v>
      </c>
      <c r="V15">
        <v>37.5436016246774</v>
      </c>
      <c r="X15">
        <v>0.90717769023922501</v>
      </c>
      <c r="AJ15">
        <v>0</v>
      </c>
      <c r="AK15">
        <v>-7.9072800421758696E-3</v>
      </c>
      <c r="AL15">
        <v>0.72727265142072695</v>
      </c>
      <c r="AM15">
        <v>5.0786198731252202E-2</v>
      </c>
      <c r="AN15">
        <v>0.22984842989019599</v>
      </c>
    </row>
    <row r="16" spans="1:40" x14ac:dyDescent="0.2">
      <c r="A16">
        <v>48</v>
      </c>
      <c r="B16">
        <v>740</v>
      </c>
      <c r="C16">
        <v>250</v>
      </c>
      <c r="D16">
        <v>0.31691309282929903</v>
      </c>
      <c r="E16">
        <v>0.58390055660893503</v>
      </c>
      <c r="F16">
        <v>4.9312239683707704</v>
      </c>
      <c r="G16">
        <v>-3.9285687016363249</v>
      </c>
      <c r="H16">
        <v>-2.8852747816668507</v>
      </c>
      <c r="I16">
        <v>1.0297526723283501</v>
      </c>
      <c r="J16">
        <v>0.51794703031566602</v>
      </c>
      <c r="K16">
        <v>0.118408849477151</v>
      </c>
      <c r="L16">
        <v>3.523211552080707E-5</v>
      </c>
      <c r="M16">
        <v>4.1061505302105365E-7</v>
      </c>
      <c r="N16" s="1">
        <v>2.27371822992242E-9</v>
      </c>
      <c r="O16" s="1">
        <v>2.8041381888945102E-13</v>
      </c>
      <c r="P16">
        <v>0</v>
      </c>
      <c r="R16">
        <v>9.3266970716142001</v>
      </c>
      <c r="S16">
        <v>1.9563599202747599</v>
      </c>
      <c r="T16">
        <v>49.189559039647001</v>
      </c>
      <c r="V16">
        <v>38.562305187263199</v>
      </c>
      <c r="X16">
        <v>0.96507878120076296</v>
      </c>
      <c r="AJ16">
        <v>0</v>
      </c>
      <c r="AK16">
        <v>-1.07163200269126E-2</v>
      </c>
      <c r="AL16">
        <v>0.69383963427926199</v>
      </c>
      <c r="AM16">
        <v>5.3936180164988197E-2</v>
      </c>
      <c r="AN16">
        <v>0.26294050558266202</v>
      </c>
    </row>
    <row r="17" spans="1:40" x14ac:dyDescent="0.2">
      <c r="A17">
        <v>49</v>
      </c>
      <c r="B17">
        <v>738</v>
      </c>
      <c r="C17">
        <v>250</v>
      </c>
      <c r="D17">
        <v>0.31542352766652099</v>
      </c>
      <c r="E17">
        <v>0.59902866150015399</v>
      </c>
      <c r="F17">
        <v>4.9339963747268101</v>
      </c>
      <c r="G17">
        <v>-4.0204375446941318</v>
      </c>
      <c r="H17">
        <v>-2.9538959846046584</v>
      </c>
      <c r="I17">
        <v>1.05478075467484</v>
      </c>
      <c r="J17">
        <v>0.53139524443601005</v>
      </c>
      <c r="K17">
        <v>0.121408411357683</v>
      </c>
      <c r="L17">
        <v>3.5691730863073987E-5</v>
      </c>
      <c r="M17">
        <v>4.1614502465970037E-7</v>
      </c>
      <c r="N17" s="1">
        <v>2.3655764032848898E-9</v>
      </c>
      <c r="O17" s="1">
        <v>2.9202209006011001E-13</v>
      </c>
      <c r="P17">
        <v>0</v>
      </c>
      <c r="R17">
        <v>8.8393501817650506</v>
      </c>
      <c r="S17">
        <v>2.11403819097707</v>
      </c>
      <c r="T17">
        <v>49.9321778975619</v>
      </c>
      <c r="V17">
        <v>38.172733751004799</v>
      </c>
      <c r="X17">
        <v>0.94169997869104505</v>
      </c>
      <c r="AJ17">
        <v>0</v>
      </c>
      <c r="AK17">
        <v>-5.9250066530377697E-3</v>
      </c>
      <c r="AL17">
        <v>0.704160393399613</v>
      </c>
      <c r="AM17">
        <v>5.2618066922586602E-2</v>
      </c>
      <c r="AN17">
        <v>0.24914654633083799</v>
      </c>
    </row>
    <row r="18" spans="1:40" x14ac:dyDescent="0.2">
      <c r="A18">
        <v>50</v>
      </c>
      <c r="B18">
        <v>736</v>
      </c>
      <c r="C18">
        <v>250</v>
      </c>
      <c r="D18">
        <v>0.31392805826685999</v>
      </c>
      <c r="E18">
        <v>0.61026800972553097</v>
      </c>
      <c r="F18">
        <v>4.9339931468559</v>
      </c>
      <c r="G18">
        <v>-4.0958281535930627</v>
      </c>
      <c r="H18">
        <v>-3.0124136807141975</v>
      </c>
      <c r="I18">
        <v>1.0735911141840699</v>
      </c>
      <c r="J18">
        <v>0.54142152929466103</v>
      </c>
      <c r="K18">
        <v>0.12368643238072</v>
      </c>
      <c r="L18">
        <v>3.573116342868061E-5</v>
      </c>
      <c r="M18">
        <v>4.1698968799064633E-7</v>
      </c>
      <c r="N18" s="1">
        <v>2.41558743244536E-9</v>
      </c>
      <c r="O18" s="1">
        <v>2.98267314996472E-13</v>
      </c>
      <c r="P18">
        <v>0</v>
      </c>
      <c r="R18">
        <v>8.7051190097113906</v>
      </c>
      <c r="S18">
        <v>2.2217708045474902</v>
      </c>
      <c r="T18">
        <v>50.060763214805199</v>
      </c>
      <c r="V18">
        <v>38.077745054741499</v>
      </c>
      <c r="X18">
        <v>0.93460191619428401</v>
      </c>
      <c r="AJ18">
        <v>0</v>
      </c>
      <c r="AK18">
        <v>-3.1476039150468201E-3</v>
      </c>
      <c r="AL18">
        <v>0.70568483267403403</v>
      </c>
      <c r="AM18">
        <v>5.2200087084409999E-2</v>
      </c>
      <c r="AN18">
        <v>0.24526268415660199</v>
      </c>
    </row>
    <row r="19" spans="1:40" x14ac:dyDescent="0.2">
      <c r="A19">
        <v>51</v>
      </c>
      <c r="B19">
        <v>734</v>
      </c>
      <c r="C19">
        <v>250</v>
      </c>
      <c r="D19">
        <v>0.31242664945638698</v>
      </c>
      <c r="E19">
        <v>0.61528728012574496</v>
      </c>
      <c r="F19">
        <v>4.9340496620443703</v>
      </c>
      <c r="G19">
        <v>-4.1292034122891712</v>
      </c>
      <c r="H19">
        <v>-3.0400608428761391</v>
      </c>
      <c r="I19">
        <v>1.0814104844492101</v>
      </c>
      <c r="J19">
        <v>0.54591866345431295</v>
      </c>
      <c r="K19">
        <v>0.12470228762772601</v>
      </c>
      <c r="L19">
        <v>3.5764212369728409E-5</v>
      </c>
      <c r="M19">
        <v>4.1776276655124711E-7</v>
      </c>
      <c r="N19" s="1">
        <v>2.44067102328026E-9</v>
      </c>
      <c r="O19" s="1">
        <v>3.0143560682431499E-13</v>
      </c>
      <c r="P19">
        <v>0</v>
      </c>
      <c r="R19">
        <v>8.5814212895196</v>
      </c>
      <c r="S19">
        <v>2.32029569043842</v>
      </c>
      <c r="T19">
        <v>50.179811005025599</v>
      </c>
      <c r="V19">
        <v>37.991028511517598</v>
      </c>
      <c r="X19">
        <v>0.92744350349861104</v>
      </c>
      <c r="AJ19">
        <v>0</v>
      </c>
      <c r="AK19">
        <v>-5.7233358863626696E-4</v>
      </c>
      <c r="AL19">
        <v>0.70710258472078402</v>
      </c>
      <c r="AM19">
        <v>5.1781199982368999E-2</v>
      </c>
      <c r="AN19">
        <v>0.241688548885483</v>
      </c>
    </row>
    <row r="20" spans="1:40" x14ac:dyDescent="0.2">
      <c r="A20">
        <v>52</v>
      </c>
      <c r="B20">
        <v>732</v>
      </c>
      <c r="C20">
        <v>250</v>
      </c>
      <c r="D20">
        <v>0.31091926578122597</v>
      </c>
      <c r="E20">
        <v>0.61723339359955698</v>
      </c>
      <c r="F20">
        <v>4.9341437617271504</v>
      </c>
      <c r="G20">
        <v>-4.1417804081941378</v>
      </c>
      <c r="H20">
        <v>-3.0523976527516079</v>
      </c>
      <c r="I20">
        <v>1.0838011793687801</v>
      </c>
      <c r="J20">
        <v>0.54768145543883395</v>
      </c>
      <c r="K20">
        <v>0.12509432708209101</v>
      </c>
      <c r="L20">
        <v>3.5792666311301617E-5</v>
      </c>
      <c r="M20">
        <v>4.1848467482277714E-7</v>
      </c>
      <c r="N20" s="1">
        <v>2.4532983314732902E-9</v>
      </c>
      <c r="O20" s="1">
        <v>3.0306567055991901E-13</v>
      </c>
      <c r="P20">
        <v>0</v>
      </c>
      <c r="R20">
        <v>8.4649375658315709</v>
      </c>
      <c r="S20">
        <v>2.4127094968545202</v>
      </c>
      <c r="T20">
        <v>50.292096156806601</v>
      </c>
      <c r="V20">
        <v>37.910015775070903</v>
      </c>
      <c r="X20">
        <v>0.92024100543630605</v>
      </c>
      <c r="AJ20">
        <v>0</v>
      </c>
      <c r="AK20">
        <v>1.86873044611186E-3</v>
      </c>
      <c r="AL20">
        <v>0.70844314735676195</v>
      </c>
      <c r="AM20">
        <v>5.1361546455274201E-2</v>
      </c>
      <c r="AN20">
        <v>0.23832657574185101</v>
      </c>
    </row>
    <row r="21" spans="1:40" x14ac:dyDescent="0.2">
      <c r="A21">
        <v>53</v>
      </c>
      <c r="B21">
        <v>730</v>
      </c>
      <c r="C21">
        <v>250</v>
      </c>
      <c r="D21">
        <v>0.30940587150476501</v>
      </c>
      <c r="E21">
        <v>0.61740964551316702</v>
      </c>
      <c r="F21">
        <v>4.93426267427943</v>
      </c>
      <c r="G21">
        <v>-4.142365327113029</v>
      </c>
      <c r="H21">
        <v>-3.0558851955552173</v>
      </c>
      <c r="I21">
        <v>1.0830684658902501</v>
      </c>
      <c r="J21">
        <v>0.54786816323127097</v>
      </c>
      <c r="K21">
        <v>0.125127032399694</v>
      </c>
      <c r="L21">
        <v>3.5817534408951464E-5</v>
      </c>
      <c r="M21">
        <v>4.1916691106671907E-7</v>
      </c>
      <c r="N21" s="1">
        <v>2.4586580147603399E-9</v>
      </c>
      <c r="O21" s="1">
        <v>3.03797716511252E-13</v>
      </c>
      <c r="P21">
        <v>0</v>
      </c>
      <c r="R21">
        <v>8.3537812536396192</v>
      </c>
      <c r="S21">
        <v>2.5007826680545699</v>
      </c>
      <c r="T21">
        <v>50.399183630533102</v>
      </c>
      <c r="V21">
        <v>37.833248395957099</v>
      </c>
      <c r="X21">
        <v>0.91300405181549105</v>
      </c>
      <c r="AJ21">
        <v>0</v>
      </c>
      <c r="AK21">
        <v>4.2144000888469603E-3</v>
      </c>
      <c r="AL21">
        <v>0.70972307760484299</v>
      </c>
      <c r="AM21">
        <v>5.0941223774497203E-2</v>
      </c>
      <c r="AN21">
        <v>0.23512129853181199</v>
      </c>
    </row>
    <row r="22" spans="1:40" x14ac:dyDescent="0.2">
      <c r="A22">
        <v>61</v>
      </c>
      <c r="B22">
        <v>746</v>
      </c>
      <c r="C22">
        <v>225</v>
      </c>
      <c r="D22">
        <v>0.34832998086640898</v>
      </c>
      <c r="E22">
        <v>0.439814118520577</v>
      </c>
      <c r="F22">
        <v>4.9427753964782797</v>
      </c>
      <c r="G22">
        <v>-2.9278598601987706</v>
      </c>
      <c r="H22">
        <v>-2.1376574467141141</v>
      </c>
      <c r="I22">
        <v>0.77535437716200395</v>
      </c>
      <c r="J22">
        <v>0.39002114391333198</v>
      </c>
      <c r="K22">
        <v>8.8981206557341E-2</v>
      </c>
      <c r="L22">
        <v>3.7358662919248044E-5</v>
      </c>
      <c r="M22">
        <v>4.3401010490062405E-7</v>
      </c>
      <c r="N22" s="1">
        <v>1.80783197094353E-9</v>
      </c>
      <c r="O22" s="1">
        <v>2.23391615540835E-13</v>
      </c>
      <c r="P22">
        <v>0</v>
      </c>
      <c r="R22">
        <v>7.8501403560413596</v>
      </c>
      <c r="S22">
        <v>1.9574728225218601</v>
      </c>
      <c r="T22">
        <v>52.024762814568298</v>
      </c>
      <c r="V22">
        <v>37.227300521321403</v>
      </c>
      <c r="X22">
        <v>0.94032348554703404</v>
      </c>
      <c r="AJ22">
        <v>0</v>
      </c>
      <c r="AK22">
        <v>-9.3232342195982906E-3</v>
      </c>
      <c r="AL22">
        <v>0.73501557541830398</v>
      </c>
      <c r="AM22">
        <v>5.2637464327623201E-2</v>
      </c>
      <c r="AN22">
        <v>0.22167019447367001</v>
      </c>
    </row>
    <row r="23" spans="1:40" x14ac:dyDescent="0.2">
      <c r="A23">
        <v>62</v>
      </c>
      <c r="B23">
        <v>744</v>
      </c>
      <c r="C23">
        <v>225</v>
      </c>
      <c r="D23">
        <v>0.34691097674876298</v>
      </c>
      <c r="E23">
        <v>0.59493645957667596</v>
      </c>
      <c r="F23">
        <v>4.9312517376802898</v>
      </c>
      <c r="G23">
        <v>-4.0029581397393192</v>
      </c>
      <c r="H23">
        <v>-2.9340137293820838</v>
      </c>
      <c r="I23">
        <v>1.05092111326474</v>
      </c>
      <c r="J23">
        <v>0.52795992762076605</v>
      </c>
      <c r="K23">
        <v>0.120646134333539</v>
      </c>
      <c r="L23">
        <v>3.5775100878963795E-5</v>
      </c>
      <c r="M23">
        <v>4.167880556698741E-7</v>
      </c>
      <c r="N23" s="1">
        <v>2.3465845993671801E-9</v>
      </c>
      <c r="O23" s="1">
        <v>2.8924983573064498E-13</v>
      </c>
      <c r="P23">
        <v>0</v>
      </c>
      <c r="R23">
        <v>9.0093429998034207</v>
      </c>
      <c r="S23">
        <v>1.9744571712823999</v>
      </c>
      <c r="T23">
        <v>49.798348812748699</v>
      </c>
      <c r="V23">
        <v>38.220262082539399</v>
      </c>
      <c r="X23">
        <v>0.997588933625976</v>
      </c>
      <c r="AJ23">
        <v>0</v>
      </c>
      <c r="AK23">
        <v>-1.2132951778174901E-2</v>
      </c>
      <c r="AL23">
        <v>0.70239869280192602</v>
      </c>
      <c r="AM23">
        <v>5.57508660531119E-2</v>
      </c>
      <c r="AN23">
        <v>0.25398339292313599</v>
      </c>
    </row>
    <row r="24" spans="1:40" x14ac:dyDescent="0.2">
      <c r="A24">
        <v>63</v>
      </c>
      <c r="B24">
        <v>742</v>
      </c>
      <c r="C24">
        <v>225</v>
      </c>
      <c r="D24">
        <v>0.345486381322956</v>
      </c>
      <c r="E24">
        <v>0.62327575688194303</v>
      </c>
      <c r="F24">
        <v>4.9305319828027603</v>
      </c>
      <c r="G24">
        <v>-4.1963435381790717</v>
      </c>
      <c r="H24">
        <v>-3.0794903738480857</v>
      </c>
      <c r="I24">
        <v>1.1001853561847801</v>
      </c>
      <c r="J24">
        <v>0.55319486681350505</v>
      </c>
      <c r="K24">
        <v>0.12641146210102</v>
      </c>
      <c r="L24">
        <v>3.5733694769988182E-5</v>
      </c>
      <c r="M24">
        <v>4.1673386075033553E-7</v>
      </c>
      <c r="N24" s="1">
        <v>2.4586662211225199E-9</v>
      </c>
      <c r="O24" s="1">
        <v>3.03091435980359E-13</v>
      </c>
      <c r="P24">
        <v>0</v>
      </c>
      <c r="R24">
        <v>8.9343058292097393</v>
      </c>
      <c r="S24">
        <v>2.0873171369511501</v>
      </c>
      <c r="T24">
        <v>49.808772283544101</v>
      </c>
      <c r="V24">
        <v>38.175194397366901</v>
      </c>
      <c r="X24">
        <v>0.99441035292799096</v>
      </c>
      <c r="AJ24">
        <v>0</v>
      </c>
      <c r="AK24">
        <v>-9.4571515217934405E-3</v>
      </c>
      <c r="AL24">
        <v>0.70217718358433101</v>
      </c>
      <c r="AM24">
        <v>5.5544077368017301E-2</v>
      </c>
      <c r="AN24">
        <v>0.25173589056944401</v>
      </c>
    </row>
    <row r="25" spans="1:40" x14ac:dyDescent="0.2">
      <c r="A25">
        <v>64</v>
      </c>
      <c r="B25">
        <v>740</v>
      </c>
      <c r="C25">
        <v>225</v>
      </c>
      <c r="D25">
        <v>0.34405616147658602</v>
      </c>
      <c r="E25">
        <v>0.63352859168855102</v>
      </c>
      <c r="F25">
        <v>4.9305699796681202</v>
      </c>
      <c r="G25">
        <v>-4.2651532760061803</v>
      </c>
      <c r="H25">
        <v>-3.1331988550643164</v>
      </c>
      <c r="I25">
        <v>1.11726242011732</v>
      </c>
      <c r="J25">
        <v>0.56234948860329803</v>
      </c>
      <c r="K25">
        <v>0.12848993002857501</v>
      </c>
      <c r="L25">
        <v>3.5776082222006036E-5</v>
      </c>
      <c r="M25">
        <v>4.1761087542459664E-7</v>
      </c>
      <c r="N25" s="1">
        <v>2.5051282325337301E-9</v>
      </c>
      <c r="O25" s="1">
        <v>3.0889515269024101E-13</v>
      </c>
      <c r="P25">
        <v>0</v>
      </c>
      <c r="R25">
        <v>8.7994485177478197</v>
      </c>
      <c r="S25">
        <v>2.1929581013292898</v>
      </c>
      <c r="T25">
        <v>49.941005268109699</v>
      </c>
      <c r="V25">
        <v>38.079312820694099</v>
      </c>
      <c r="X25">
        <v>0.98727529211903398</v>
      </c>
      <c r="AJ25">
        <v>0</v>
      </c>
      <c r="AK25">
        <v>-6.7234451246637201E-3</v>
      </c>
      <c r="AL25">
        <v>0.70376203356389999</v>
      </c>
      <c r="AM25">
        <v>5.5123662601441102E-2</v>
      </c>
      <c r="AN25">
        <v>0.24783774895932201</v>
      </c>
    </row>
    <row r="26" spans="1:40" x14ac:dyDescent="0.2">
      <c r="A26">
        <v>65</v>
      </c>
      <c r="B26">
        <v>738</v>
      </c>
      <c r="C26">
        <v>225</v>
      </c>
      <c r="D26">
        <v>0.34262028383523802</v>
      </c>
      <c r="E26">
        <v>0.63805542852068597</v>
      </c>
      <c r="F26">
        <v>4.9306629090632503</v>
      </c>
      <c r="G26">
        <v>-4.2951507058243381</v>
      </c>
      <c r="H26">
        <v>-3.1584204500776032</v>
      </c>
      <c r="I26">
        <v>1.1241954761872399</v>
      </c>
      <c r="J26">
        <v>0.56641035963916397</v>
      </c>
      <c r="K26">
        <v>0.12940560737742801</v>
      </c>
      <c r="L26">
        <v>3.5811712375162149E-5</v>
      </c>
      <c r="M26">
        <v>4.1841215581200981E-7</v>
      </c>
      <c r="N26" s="1">
        <v>2.52859155407077E-9</v>
      </c>
      <c r="O26" s="1">
        <v>3.1186368178707801E-13</v>
      </c>
      <c r="P26">
        <v>0</v>
      </c>
      <c r="R26">
        <v>8.6752323581896604</v>
      </c>
      <c r="S26">
        <v>2.28962270950205</v>
      </c>
      <c r="T26">
        <v>50.0632224167354</v>
      </c>
      <c r="V26">
        <v>37.991839702135103</v>
      </c>
      <c r="X26">
        <v>0.98008281343765202</v>
      </c>
      <c r="AJ26">
        <v>0</v>
      </c>
      <c r="AK26">
        <v>-4.1869040450966902E-3</v>
      </c>
      <c r="AL26">
        <v>0.70523241957049898</v>
      </c>
      <c r="AM26">
        <v>5.47025391300077E-2</v>
      </c>
      <c r="AN26">
        <v>0.24425194534458899</v>
      </c>
    </row>
    <row r="27" spans="1:40" x14ac:dyDescent="0.2">
      <c r="A27">
        <v>66</v>
      </c>
      <c r="B27">
        <v>736</v>
      </c>
      <c r="C27">
        <v>225</v>
      </c>
      <c r="D27">
        <v>0.34117871475994799</v>
      </c>
      <c r="E27">
        <v>0.63974888868826996</v>
      </c>
      <c r="F27">
        <v>4.9307906454142199</v>
      </c>
      <c r="G27">
        <v>-4.3059051760263189</v>
      </c>
      <c r="H27">
        <v>-3.1694909399164826</v>
      </c>
      <c r="I27">
        <v>1.12611032662125</v>
      </c>
      <c r="J27">
        <v>0.56794815346494698</v>
      </c>
      <c r="K27">
        <v>0.12974570098271199</v>
      </c>
      <c r="L27">
        <v>3.5842497097714845E-5</v>
      </c>
      <c r="M27">
        <v>4.1915948369966899E-7</v>
      </c>
      <c r="N27" s="1">
        <v>2.54052791008326E-9</v>
      </c>
      <c r="O27" s="1">
        <v>3.13410522001755E-13</v>
      </c>
      <c r="P27">
        <v>0</v>
      </c>
      <c r="R27">
        <v>8.5583209783603902</v>
      </c>
      <c r="S27">
        <v>2.3802991383365502</v>
      </c>
      <c r="T27">
        <v>50.178357252384899</v>
      </c>
      <c r="V27">
        <v>37.910176312449501</v>
      </c>
      <c r="X27">
        <v>0.97284631846858904</v>
      </c>
      <c r="AJ27">
        <v>0</v>
      </c>
      <c r="AK27">
        <v>-1.78183365723548E-3</v>
      </c>
      <c r="AL27">
        <v>0.70662054310960098</v>
      </c>
      <c r="AM27">
        <v>5.4280682976019699E-2</v>
      </c>
      <c r="AN27">
        <v>0.240880607571614</v>
      </c>
    </row>
    <row r="28" spans="1:40" x14ac:dyDescent="0.2">
      <c r="A28">
        <v>67</v>
      </c>
      <c r="B28">
        <v>734</v>
      </c>
      <c r="C28">
        <v>225</v>
      </c>
      <c r="D28">
        <v>0.33973142034453802</v>
      </c>
      <c r="E28">
        <v>0.63980954792648603</v>
      </c>
      <c r="F28">
        <v>4.9309414439530599</v>
      </c>
      <c r="G28">
        <v>-4.3055573307613022</v>
      </c>
      <c r="H28">
        <v>-3.1723766123762398</v>
      </c>
      <c r="I28">
        <v>1.1251359960135601</v>
      </c>
      <c r="J28">
        <v>0.56803060925721605</v>
      </c>
      <c r="K28">
        <v>0.12975403484279799</v>
      </c>
      <c r="L28">
        <v>3.5869517692763127E-5</v>
      </c>
      <c r="M28">
        <v>4.1986516540338192E-7</v>
      </c>
      <c r="N28" s="1">
        <v>2.5457243151916098E-9</v>
      </c>
      <c r="O28" s="1">
        <v>3.1412554512217702E-13</v>
      </c>
      <c r="P28">
        <v>0</v>
      </c>
      <c r="R28">
        <v>8.4468114820655096</v>
      </c>
      <c r="S28">
        <v>2.4667055563148499</v>
      </c>
      <c r="T28">
        <v>50.288067317504101</v>
      </c>
      <c r="V28">
        <v>37.832840874290497</v>
      </c>
      <c r="X28">
        <v>0.96557476982486401</v>
      </c>
      <c r="AJ28">
        <v>0</v>
      </c>
      <c r="AK28">
        <v>5.2946513407750204E-4</v>
      </c>
      <c r="AL28">
        <v>0.70794449528808201</v>
      </c>
      <c r="AM28">
        <v>5.3858148207622802E-2</v>
      </c>
      <c r="AN28">
        <v>0.23766789137021599</v>
      </c>
    </row>
    <row r="29" spans="1:40" x14ac:dyDescent="0.2">
      <c r="A29">
        <v>73</v>
      </c>
      <c r="B29">
        <v>750</v>
      </c>
      <c r="C29">
        <v>200</v>
      </c>
      <c r="D29">
        <v>0.37802912573913899</v>
      </c>
      <c r="E29">
        <v>0.51148935027879905</v>
      </c>
      <c r="F29">
        <v>4.9388163607717299</v>
      </c>
      <c r="G29">
        <v>-3.4174659926170086</v>
      </c>
      <c r="H29">
        <v>-2.4925085641032387</v>
      </c>
      <c r="I29">
        <v>0.90402915360775005</v>
      </c>
      <c r="J29">
        <v>0.45388256776215002</v>
      </c>
      <c r="K29">
        <v>0.103565168841158</v>
      </c>
      <c r="L29">
        <v>3.7397494556589672E-5</v>
      </c>
      <c r="M29">
        <v>4.3454697641146666E-7</v>
      </c>
      <c r="N29" s="1">
        <v>2.10020632126144E-9</v>
      </c>
      <c r="O29" s="1">
        <v>2.5917834256652902E-13</v>
      </c>
      <c r="P29">
        <v>0</v>
      </c>
      <c r="R29">
        <v>7.9188284081374203</v>
      </c>
      <c r="S29">
        <v>1.9739580513122501</v>
      </c>
      <c r="T29">
        <v>51.900855810233502</v>
      </c>
      <c r="V29">
        <v>37.214069848615097</v>
      </c>
      <c r="X29">
        <v>0.99228788170161197</v>
      </c>
      <c r="AJ29">
        <v>0</v>
      </c>
      <c r="AK29">
        <v>-1.1860751784690499E-2</v>
      </c>
      <c r="AL29">
        <v>0.732859141981554</v>
      </c>
      <c r="AM29">
        <v>5.5515585167819202E-2</v>
      </c>
      <c r="AN29">
        <v>0.223486024635317</v>
      </c>
    </row>
    <row r="30" spans="1:40" x14ac:dyDescent="0.2">
      <c r="A30">
        <v>74</v>
      </c>
      <c r="B30">
        <v>748</v>
      </c>
      <c r="C30">
        <v>200</v>
      </c>
      <c r="D30">
        <v>0.37667384811242399</v>
      </c>
      <c r="E30">
        <v>0.61801536673308899</v>
      </c>
      <c r="F30">
        <v>4.9295626854826899</v>
      </c>
      <c r="G30">
        <v>-4.1647207110766002</v>
      </c>
      <c r="H30">
        <v>-3.0477035282181721</v>
      </c>
      <c r="I30">
        <v>1.0938815872873</v>
      </c>
      <c r="J30">
        <v>0.54873514811561597</v>
      </c>
      <c r="K30">
        <v>0.12536920740517399</v>
      </c>
      <c r="L30">
        <v>3.6127743439114288E-5</v>
      </c>
      <c r="M30">
        <v>4.2084406757061411E-7</v>
      </c>
      <c r="N30" s="1">
        <v>2.4559447018256198E-9</v>
      </c>
      <c r="O30" s="1">
        <v>3.02464948915696E-13</v>
      </c>
      <c r="P30">
        <v>0</v>
      </c>
      <c r="R30">
        <v>8.8321708693438392</v>
      </c>
      <c r="S30">
        <v>2.00321706526957</v>
      </c>
      <c r="T30">
        <v>50.128901357124498</v>
      </c>
      <c r="V30">
        <v>37.996605202663801</v>
      </c>
      <c r="X30">
        <v>1.03910550559814</v>
      </c>
      <c r="AJ30">
        <v>0</v>
      </c>
      <c r="AK30">
        <v>-1.38136069876572E-2</v>
      </c>
      <c r="AL30">
        <v>0.70684687621833997</v>
      </c>
      <c r="AM30">
        <v>5.8053451599399002E-2</v>
      </c>
      <c r="AN30">
        <v>0.24891327916991701</v>
      </c>
    </row>
    <row r="31" spans="1:40" x14ac:dyDescent="0.2">
      <c r="A31">
        <v>75</v>
      </c>
      <c r="B31">
        <v>746</v>
      </c>
      <c r="C31">
        <v>200</v>
      </c>
      <c r="D31">
        <v>0.37531325123877901</v>
      </c>
      <c r="E31">
        <v>0.65903153839594697</v>
      </c>
      <c r="F31">
        <v>4.9244260878968404</v>
      </c>
      <c r="G31">
        <v>-4.4615141006737362</v>
      </c>
      <c r="H31">
        <v>-3.2722908259871724</v>
      </c>
      <c r="I31">
        <v>1.1668775692357001</v>
      </c>
      <c r="J31">
        <v>0.58531476780549097</v>
      </c>
      <c r="K31">
        <v>0.13382910549022201</v>
      </c>
      <c r="L31">
        <v>3.544777163672535E-5</v>
      </c>
      <c r="M31">
        <v>4.1369053638897461E-7</v>
      </c>
      <c r="N31" s="1">
        <v>2.5735316439216002E-9</v>
      </c>
      <c r="O31" s="1">
        <v>3.1659482098323E-13</v>
      </c>
      <c r="P31">
        <v>0</v>
      </c>
      <c r="R31">
        <v>9.2863301786510597</v>
      </c>
      <c r="S31">
        <v>2.0545637703518298</v>
      </c>
      <c r="T31">
        <v>49.205088154672801</v>
      </c>
      <c r="V31">
        <v>38.3906069309147</v>
      </c>
      <c r="X31">
        <v>1.0634109654095201</v>
      </c>
      <c r="AJ31">
        <v>0</v>
      </c>
      <c r="AK31">
        <v>-1.4024838840756001E-2</v>
      </c>
      <c r="AL31">
        <v>0.69319182269560198</v>
      </c>
      <c r="AM31">
        <v>5.9357526432959301E-2</v>
      </c>
      <c r="AN31">
        <v>0.26147548971219398</v>
      </c>
    </row>
    <row r="32" spans="1:40" x14ac:dyDescent="0.2">
      <c r="A32">
        <v>76</v>
      </c>
      <c r="B32">
        <v>744</v>
      </c>
      <c r="C32">
        <v>200</v>
      </c>
      <c r="D32">
        <v>0.373947303740848</v>
      </c>
      <c r="E32">
        <v>0.65710717795533502</v>
      </c>
      <c r="F32">
        <v>4.9268749370909299</v>
      </c>
      <c r="G32">
        <v>-4.438710182667081</v>
      </c>
      <c r="H32">
        <v>-3.257034362525657</v>
      </c>
      <c r="I32">
        <v>1.1617517771630701</v>
      </c>
      <c r="J32">
        <v>0.58361729884746705</v>
      </c>
      <c r="K32">
        <v>0.13337200281022801</v>
      </c>
      <c r="L32">
        <v>3.5825285688967495E-5</v>
      </c>
      <c r="M32">
        <v>4.1829318124380342E-7</v>
      </c>
      <c r="N32" s="1">
        <v>2.5961505723598899E-9</v>
      </c>
      <c r="O32" s="1">
        <v>3.1966041037385902E-13</v>
      </c>
      <c r="P32">
        <v>0</v>
      </c>
      <c r="R32">
        <v>8.8785704129540104</v>
      </c>
      <c r="S32">
        <v>2.18501115306564</v>
      </c>
      <c r="T32">
        <v>49.827035355867203</v>
      </c>
      <c r="V32">
        <v>38.067641310433999</v>
      </c>
      <c r="X32">
        <v>1.0417417676790499</v>
      </c>
      <c r="AJ32">
        <v>0</v>
      </c>
      <c r="AK32">
        <v>-9.9354872556188297E-3</v>
      </c>
      <c r="AL32">
        <v>0.70184223609817797</v>
      </c>
      <c r="AM32">
        <v>5.8138761083960398E-2</v>
      </c>
      <c r="AN32">
        <v>0.24995449007348</v>
      </c>
    </row>
    <row r="33" spans="1:40" x14ac:dyDescent="0.2">
      <c r="A33">
        <v>77</v>
      </c>
      <c r="B33">
        <v>742</v>
      </c>
      <c r="C33">
        <v>200</v>
      </c>
      <c r="D33">
        <v>0.37257597399398801</v>
      </c>
      <c r="E33">
        <v>0.66052076075794097</v>
      </c>
      <c r="F33">
        <v>4.9270143541895299</v>
      </c>
      <c r="G33">
        <v>-4.4610637058819451</v>
      </c>
      <c r="H33">
        <v>-3.2766947066730951</v>
      </c>
      <c r="I33">
        <v>1.16669359130064</v>
      </c>
      <c r="J33">
        <v>0.58668798506247899</v>
      </c>
      <c r="K33">
        <v>0.134061058741647</v>
      </c>
      <c r="L33">
        <v>3.5862496694577127E-5</v>
      </c>
      <c r="M33">
        <v>4.1911100495408715E-7</v>
      </c>
      <c r="N33" s="1">
        <v>2.6154772576212398E-9</v>
      </c>
      <c r="O33" s="1">
        <v>3.2211992786636E-13</v>
      </c>
      <c r="P33">
        <v>0</v>
      </c>
      <c r="R33">
        <v>8.7554885943198002</v>
      </c>
      <c r="S33">
        <v>2.2783626425617398</v>
      </c>
      <c r="T33">
        <v>49.950924119298897</v>
      </c>
      <c r="V33">
        <v>37.980738765519298</v>
      </c>
      <c r="X33">
        <v>1.0344858783001201</v>
      </c>
      <c r="AJ33">
        <v>0</v>
      </c>
      <c r="AK33">
        <v>-7.4685909694094102E-3</v>
      </c>
      <c r="AL33">
        <v>0.70334856928851697</v>
      </c>
      <c r="AM33">
        <v>5.7714228059125003E-2</v>
      </c>
      <c r="AN33">
        <v>0.24640579362176701</v>
      </c>
    </row>
    <row r="34" spans="1:40" x14ac:dyDescent="0.2">
      <c r="A34">
        <v>78</v>
      </c>
      <c r="B34">
        <v>740</v>
      </c>
      <c r="C34">
        <v>200</v>
      </c>
      <c r="D34">
        <v>0.37119923012387401</v>
      </c>
      <c r="E34">
        <v>0.66161849190711697</v>
      </c>
      <c r="F34">
        <v>4.9271828999711502</v>
      </c>
      <c r="G34">
        <v>-4.4676268025650305</v>
      </c>
      <c r="H34">
        <v>-3.2847511613565832</v>
      </c>
      <c r="I34">
        <v>1.16752271747366</v>
      </c>
      <c r="J34">
        <v>0.587694197708866</v>
      </c>
      <c r="K34">
        <v>0.13427926369670401</v>
      </c>
      <c r="L34">
        <v>3.58948888471948E-5</v>
      </c>
      <c r="M34">
        <v>4.198752852069605E-7</v>
      </c>
      <c r="N34" s="1">
        <v>2.6253144892155601E-9</v>
      </c>
      <c r="O34" s="1">
        <v>3.2341041813494499E-13</v>
      </c>
      <c r="P34">
        <v>0</v>
      </c>
      <c r="R34">
        <v>8.6393301578039505</v>
      </c>
      <c r="S34">
        <v>2.36626900060139</v>
      </c>
      <c r="T34">
        <v>50.067830976609301</v>
      </c>
      <c r="V34">
        <v>37.899378822915203</v>
      </c>
      <c r="X34">
        <v>1.02719104207011</v>
      </c>
      <c r="AJ34">
        <v>0</v>
      </c>
      <c r="AK34">
        <v>-5.1213594045876904E-3</v>
      </c>
      <c r="AL34">
        <v>0.70477219475605002</v>
      </c>
      <c r="AM34">
        <v>5.7289159567074803E-2</v>
      </c>
      <c r="AN34">
        <v>0.243060005081461</v>
      </c>
    </row>
    <row r="35" spans="1:40" x14ac:dyDescent="0.2">
      <c r="A35">
        <v>79</v>
      </c>
      <c r="B35">
        <v>738</v>
      </c>
      <c r="C35">
        <v>200</v>
      </c>
      <c r="D35">
        <v>0.36981704000395799</v>
      </c>
      <c r="E35">
        <v>0.66135008021057196</v>
      </c>
      <c r="F35">
        <v>4.9273709291380099</v>
      </c>
      <c r="G35">
        <v>-4.4648657697317491</v>
      </c>
      <c r="H35">
        <v>-3.2859374352318063</v>
      </c>
      <c r="I35">
        <v>1.16592823468322</v>
      </c>
      <c r="J35">
        <v>0.58748134441130595</v>
      </c>
      <c r="K35">
        <v>0.13421966596825</v>
      </c>
      <c r="L35">
        <v>3.5923504628907666E-5</v>
      </c>
      <c r="M35">
        <v>4.205978624960573E-7</v>
      </c>
      <c r="N35" s="1">
        <v>2.6294598546002402E-9</v>
      </c>
      <c r="O35" s="1">
        <v>3.2399919013035399E-13</v>
      </c>
      <c r="P35">
        <v>0</v>
      </c>
      <c r="R35">
        <v>8.5283620513700296</v>
      </c>
      <c r="S35">
        <v>2.45023352903651</v>
      </c>
      <c r="T35">
        <v>50.179337210145697</v>
      </c>
      <c r="V35">
        <v>37.822202959748303</v>
      </c>
      <c r="X35">
        <v>1.01986424969937</v>
      </c>
      <c r="AJ35">
        <v>0</v>
      </c>
      <c r="AK35">
        <v>-2.8607515630931302E-3</v>
      </c>
      <c r="AL35">
        <v>0.70613085387311003</v>
      </c>
      <c r="AM35">
        <v>5.68635382319264E-2</v>
      </c>
      <c r="AN35">
        <v>0.23986635945805501</v>
      </c>
    </row>
    <row r="36" spans="1:40" x14ac:dyDescent="0.2">
      <c r="A36">
        <v>85</v>
      </c>
      <c r="B36">
        <v>756</v>
      </c>
      <c r="C36">
        <v>175</v>
      </c>
      <c r="D36">
        <v>0.40878443375601398</v>
      </c>
      <c r="E36">
        <v>0.40530763129930403</v>
      </c>
      <c r="F36">
        <v>4.9448296839794299</v>
      </c>
      <c r="G36">
        <v>-2.6916479316837445</v>
      </c>
      <c r="H36">
        <v>-1.9538943205536958</v>
      </c>
      <c r="I36">
        <v>0.71685722307734301</v>
      </c>
      <c r="J36">
        <v>0.35963779555132702</v>
      </c>
      <c r="K36">
        <v>8.19659436628212E-2</v>
      </c>
      <c r="L36">
        <v>3.8965068909934369E-5</v>
      </c>
      <c r="M36">
        <v>4.5165952381611865E-7</v>
      </c>
      <c r="N36" s="1">
        <v>1.7271106072734899E-9</v>
      </c>
      <c r="O36" s="1">
        <v>2.1332710982877499E-13</v>
      </c>
      <c r="P36">
        <v>0</v>
      </c>
      <c r="R36">
        <v>6.85137863760818</v>
      </c>
      <c r="S36">
        <v>2.01703284956035</v>
      </c>
      <c r="T36">
        <v>53.910539159950801</v>
      </c>
      <c r="V36">
        <v>36.22864732795</v>
      </c>
      <c r="X36">
        <v>0.99240202493057195</v>
      </c>
      <c r="AJ36">
        <v>0</v>
      </c>
      <c r="AK36">
        <v>-1.09232127119299E-2</v>
      </c>
      <c r="AL36">
        <v>0.76184273053186202</v>
      </c>
      <c r="AM36">
        <v>5.5566179570294701E-2</v>
      </c>
      <c r="AN36">
        <v>0.19351430260977201</v>
      </c>
    </row>
    <row r="37" spans="1:40" x14ac:dyDescent="0.2">
      <c r="A37">
        <v>86</v>
      </c>
      <c r="B37">
        <v>754</v>
      </c>
      <c r="C37">
        <v>175</v>
      </c>
      <c r="D37">
        <v>0.40749695760112897</v>
      </c>
      <c r="E37">
        <v>0.59429620397889904</v>
      </c>
      <c r="F37">
        <v>4.9322257982588704</v>
      </c>
      <c r="G37">
        <v>-3.9951123333583221</v>
      </c>
      <c r="H37">
        <v>-2.9127393588586257</v>
      </c>
      <c r="I37">
        <v>1.0537633008807801</v>
      </c>
      <c r="J37">
        <v>0.52783505486962901</v>
      </c>
      <c r="K37">
        <v>0.120492497360662</v>
      </c>
      <c r="L37">
        <v>3.7128620871816234E-5</v>
      </c>
      <c r="M37">
        <v>4.3168460074799242E-7</v>
      </c>
      <c r="N37" s="1">
        <v>2.4180881425663302E-9</v>
      </c>
      <c r="O37" s="1">
        <v>2.97836186246084E-13</v>
      </c>
      <c r="P37">
        <v>0</v>
      </c>
      <c r="R37">
        <v>8.2114303580856394</v>
      </c>
      <c r="S37">
        <v>2.0084158270652002</v>
      </c>
      <c r="T37">
        <v>51.331849525099301</v>
      </c>
      <c r="V37">
        <v>37.388854627127301</v>
      </c>
      <c r="X37">
        <v>1.0594496626224801</v>
      </c>
      <c r="AJ37">
        <v>0</v>
      </c>
      <c r="AK37">
        <v>-1.48415852429653E-2</v>
      </c>
      <c r="AL37">
        <v>0.72411108840884997</v>
      </c>
      <c r="AM37">
        <v>5.9214744008727102E-2</v>
      </c>
      <c r="AN37">
        <v>0.231515752825388</v>
      </c>
    </row>
    <row r="38" spans="1:40" x14ac:dyDescent="0.2">
      <c r="A38">
        <v>87</v>
      </c>
      <c r="B38">
        <v>752</v>
      </c>
      <c r="C38">
        <v>175</v>
      </c>
      <c r="D38">
        <v>0.406204457884214</v>
      </c>
      <c r="E38">
        <v>0.65153784480221</v>
      </c>
      <c r="F38">
        <v>4.9258754509134999</v>
      </c>
      <c r="G38">
        <v>-4.4054458723190466</v>
      </c>
      <c r="H38">
        <v>-3.2203077484942462</v>
      </c>
      <c r="I38">
        <v>1.15606313595551</v>
      </c>
      <c r="J38">
        <v>0.57890469799099298</v>
      </c>
      <c r="K38">
        <v>0.13226843660478299</v>
      </c>
      <c r="L38">
        <v>3.6265984476800414E-5</v>
      </c>
      <c r="M38">
        <v>4.2252710709182589E-7</v>
      </c>
      <c r="N38" s="1">
        <v>2.5935040484654702E-9</v>
      </c>
      <c r="O38" s="1">
        <v>3.1898885245923798E-13</v>
      </c>
      <c r="P38">
        <v>0</v>
      </c>
      <c r="R38">
        <v>8.8076274774891701</v>
      </c>
      <c r="S38">
        <v>2.0519144896290902</v>
      </c>
      <c r="T38">
        <v>50.147382091149602</v>
      </c>
      <c r="V38">
        <v>37.901422145437799</v>
      </c>
      <c r="X38">
        <v>1.0916537962942801</v>
      </c>
      <c r="AJ38">
        <v>0</v>
      </c>
      <c r="AK38">
        <v>-1.56638642554691E-2</v>
      </c>
      <c r="AL38">
        <v>0.70665213646214398</v>
      </c>
      <c r="AM38">
        <v>6.0949982250596703E-2</v>
      </c>
      <c r="AN38">
        <v>0.248061745542727</v>
      </c>
    </row>
    <row r="39" spans="1:40" x14ac:dyDescent="0.2">
      <c r="A39">
        <v>88</v>
      </c>
      <c r="B39">
        <v>750</v>
      </c>
      <c r="C39">
        <v>175</v>
      </c>
      <c r="D39">
        <v>0.40490690514587502</v>
      </c>
      <c r="E39">
        <v>0.68006502972596194</v>
      </c>
      <c r="F39">
        <v>4.9217559809094897</v>
      </c>
      <c r="G39">
        <v>-4.6152154192765877</v>
      </c>
      <c r="H39">
        <v>-3.3804702036926146</v>
      </c>
      <c r="I39">
        <v>1.2068076191995001</v>
      </c>
      <c r="J39">
        <v>0.60438644314101397</v>
      </c>
      <c r="K39">
        <v>0.13817528385474501</v>
      </c>
      <c r="L39">
        <v>3.571453023646301E-5</v>
      </c>
      <c r="M39">
        <v>4.1681279643827503E-7</v>
      </c>
      <c r="N39" s="1">
        <v>2.66967857828331E-9</v>
      </c>
      <c r="O39" s="1">
        <v>3.2806122741715899E-13</v>
      </c>
      <c r="P39">
        <v>0</v>
      </c>
      <c r="R39">
        <v>9.1635081707396608</v>
      </c>
      <c r="S39">
        <v>2.1036418712896099</v>
      </c>
      <c r="T39">
        <v>49.410229247138403</v>
      </c>
      <c r="V39">
        <v>38.2114372635235</v>
      </c>
      <c r="X39">
        <v>1.1111834473086999</v>
      </c>
      <c r="AJ39">
        <v>0</v>
      </c>
      <c r="AK39">
        <v>-1.5600500027679E-2</v>
      </c>
      <c r="AL39">
        <v>0.69572381702545305</v>
      </c>
      <c r="AM39">
        <v>6.1992194307836999E-2</v>
      </c>
      <c r="AN39">
        <v>0.25788448869438801</v>
      </c>
    </row>
    <row r="40" spans="1:40" x14ac:dyDescent="0.2">
      <c r="A40">
        <v>89</v>
      </c>
      <c r="B40">
        <v>748</v>
      </c>
      <c r="C40">
        <v>175</v>
      </c>
      <c r="D40">
        <v>0.40360426969593199</v>
      </c>
      <c r="E40">
        <v>0.68102287555451102</v>
      </c>
      <c r="F40">
        <v>4.9227978781293</v>
      </c>
      <c r="G40">
        <v>-4.6172819410189447</v>
      </c>
      <c r="H40">
        <v>-3.384617610361079</v>
      </c>
      <c r="I40">
        <v>1.20713345802072</v>
      </c>
      <c r="J40">
        <v>0.60526414825727604</v>
      </c>
      <c r="K40">
        <v>0.13834061288197799</v>
      </c>
      <c r="L40">
        <v>3.5881766615262926E-5</v>
      </c>
      <c r="M40">
        <v>4.190724191375376E-7</v>
      </c>
      <c r="N40" s="1">
        <v>2.6890488148970401E-9</v>
      </c>
      <c r="O40" s="1">
        <v>3.3060817528629698E-13</v>
      </c>
      <c r="P40">
        <v>0</v>
      </c>
      <c r="R40">
        <v>8.9331592183799895</v>
      </c>
      <c r="S40">
        <v>2.2091543273688798</v>
      </c>
      <c r="T40">
        <v>49.723798182859902</v>
      </c>
      <c r="V40">
        <v>38.035623492133098</v>
      </c>
      <c r="X40">
        <v>1.0982647792579401</v>
      </c>
      <c r="AJ40">
        <v>0</v>
      </c>
      <c r="AK40">
        <v>-1.2549649304185201E-2</v>
      </c>
      <c r="AL40">
        <v>0.69995741188899596</v>
      </c>
      <c r="AM40">
        <v>6.1255575083683803E-2</v>
      </c>
      <c r="AN40">
        <v>0.25133666233150398</v>
      </c>
    </row>
    <row r="41" spans="1:40" x14ac:dyDescent="0.2">
      <c r="A41">
        <v>90</v>
      </c>
      <c r="B41">
        <v>746</v>
      </c>
      <c r="C41">
        <v>175</v>
      </c>
      <c r="D41">
        <v>0.40229652161114798</v>
      </c>
      <c r="E41">
        <v>0.68276394451491396</v>
      </c>
      <c r="F41">
        <v>4.9229942716997099</v>
      </c>
      <c r="G41">
        <v>-4.6280886862355555</v>
      </c>
      <c r="H41">
        <v>-3.3958561477431619</v>
      </c>
      <c r="I41">
        <v>1.20907868173712</v>
      </c>
      <c r="J41">
        <v>0.60684367050316401</v>
      </c>
      <c r="K41">
        <v>0.13868875461420799</v>
      </c>
      <c r="L41">
        <v>3.5918981734064835E-5</v>
      </c>
      <c r="M41">
        <v>4.198885148745001E-7</v>
      </c>
      <c r="N41" s="1">
        <v>2.7019198358897001E-9</v>
      </c>
      <c r="O41" s="1">
        <v>3.32274998925062E-13</v>
      </c>
      <c r="P41">
        <v>0</v>
      </c>
      <c r="R41">
        <v>8.8134876417101609</v>
      </c>
      <c r="S41">
        <v>2.2973989761747</v>
      </c>
      <c r="T41">
        <v>49.847053635235</v>
      </c>
      <c r="V41">
        <v>37.951153395139897</v>
      </c>
      <c r="X41">
        <v>1.0909063517401301</v>
      </c>
      <c r="AJ41">
        <v>0</v>
      </c>
      <c r="AK41">
        <v>-1.01904802419814E-2</v>
      </c>
      <c r="AL41">
        <v>0.701472469179935</v>
      </c>
      <c r="AM41">
        <v>6.0826083230100497E-2</v>
      </c>
      <c r="AN41">
        <v>0.247891927831945</v>
      </c>
    </row>
    <row r="42" spans="1:40" x14ac:dyDescent="0.2">
      <c r="A42">
        <v>91</v>
      </c>
      <c r="B42">
        <v>744</v>
      </c>
      <c r="C42">
        <v>175</v>
      </c>
      <c r="D42">
        <v>0.40098363073293403</v>
      </c>
      <c r="E42">
        <v>0.68292273761921696</v>
      </c>
      <c r="F42">
        <v>4.92321149924474</v>
      </c>
      <c r="G42">
        <v>-4.6280579371565986</v>
      </c>
      <c r="H42">
        <v>-3.3991309179373705</v>
      </c>
      <c r="I42">
        <v>1.2082062814916401</v>
      </c>
      <c r="J42">
        <v>0.60701043987973802</v>
      </c>
      <c r="K42">
        <v>0.138714889198642</v>
      </c>
      <c r="L42">
        <v>3.5951793139194928E-5</v>
      </c>
      <c r="M42">
        <v>4.2065592225228282E-7</v>
      </c>
      <c r="N42" s="1">
        <v>2.7082115173782798E-9</v>
      </c>
      <c r="O42" s="1">
        <v>3.33132037079489E-13</v>
      </c>
      <c r="P42">
        <v>0</v>
      </c>
      <c r="R42">
        <v>8.6997802413730199</v>
      </c>
      <c r="S42">
        <v>2.3812019100130799</v>
      </c>
      <c r="T42">
        <v>49.964004002617799</v>
      </c>
      <c r="V42">
        <v>37.871495260231299</v>
      </c>
      <c r="X42">
        <v>1.0835185857646801</v>
      </c>
      <c r="AJ42">
        <v>0</v>
      </c>
      <c r="AK42">
        <v>-7.9291708367559E-3</v>
      </c>
      <c r="AL42">
        <v>0.70291113921485804</v>
      </c>
      <c r="AM42">
        <v>6.0396364876593701E-2</v>
      </c>
      <c r="AN42">
        <v>0.244621666745303</v>
      </c>
    </row>
    <row r="43" spans="1:40" x14ac:dyDescent="0.2">
      <c r="A43">
        <v>92</v>
      </c>
      <c r="B43">
        <v>742</v>
      </c>
      <c r="C43">
        <v>175</v>
      </c>
      <c r="D43">
        <v>0.39966556666502401</v>
      </c>
      <c r="E43">
        <v>0.68209701303344705</v>
      </c>
      <c r="F43">
        <v>4.9234427877025704</v>
      </c>
      <c r="G43">
        <v>-4.6212812735577629</v>
      </c>
      <c r="H43">
        <v>-3.3974335032748129</v>
      </c>
      <c r="I43">
        <v>1.20558318502974</v>
      </c>
      <c r="J43">
        <v>0.606297266227252</v>
      </c>
      <c r="K43">
        <v>0.13854065994980999</v>
      </c>
      <c r="L43">
        <v>3.5981063981202565E-5</v>
      </c>
      <c r="M43">
        <v>4.2138441478096062E-7</v>
      </c>
      <c r="N43" s="1">
        <v>2.7103279676189601E-9</v>
      </c>
      <c r="O43" s="1">
        <v>3.3347470635083398E-13</v>
      </c>
      <c r="P43">
        <v>0</v>
      </c>
      <c r="R43">
        <v>8.5906758313332308</v>
      </c>
      <c r="S43">
        <v>2.4616972850979599</v>
      </c>
      <c r="T43">
        <v>50.075945449563001</v>
      </c>
      <c r="V43">
        <v>37.795575534048197</v>
      </c>
      <c r="X43">
        <v>1.0761058999575099</v>
      </c>
      <c r="AJ43">
        <v>0</v>
      </c>
      <c r="AK43">
        <v>-5.7407414706301101E-3</v>
      </c>
      <c r="AL43">
        <v>0.70428831495585698</v>
      </c>
      <c r="AM43">
        <v>5.99663453376355E-2</v>
      </c>
      <c r="AN43">
        <v>0.24148608117713599</v>
      </c>
    </row>
    <row r="44" spans="1:40" x14ac:dyDescent="0.2">
      <c r="A44">
        <v>100</v>
      </c>
      <c r="B44">
        <v>762</v>
      </c>
      <c r="C44">
        <v>150</v>
      </c>
      <c r="D44">
        <v>0.439183210162781</v>
      </c>
      <c r="E44">
        <v>0.46952132219783999</v>
      </c>
      <c r="F44">
        <v>4.9406861365998402</v>
      </c>
      <c r="G44">
        <v>-3.130187466523787</v>
      </c>
      <c r="H44">
        <v>-2.2676221878961762</v>
      </c>
      <c r="I44">
        <v>0.83327563988563103</v>
      </c>
      <c r="J44">
        <v>0.41694852095477197</v>
      </c>
      <c r="K44">
        <v>9.5031602740295207E-2</v>
      </c>
      <c r="L44">
        <v>3.9118181024563226E-5</v>
      </c>
      <c r="M44">
        <v>4.5302649396623998E-7</v>
      </c>
      <c r="N44" s="1">
        <v>2.0023565280610301E-9</v>
      </c>
      <c r="O44" s="1">
        <v>2.4700623142081499E-13</v>
      </c>
      <c r="P44">
        <v>0</v>
      </c>
      <c r="R44">
        <v>6.8672677710924699</v>
      </c>
      <c r="S44">
        <v>2.0380315333205599</v>
      </c>
      <c r="T44">
        <v>53.884641371923998</v>
      </c>
      <c r="V44">
        <v>36.163081597078502</v>
      </c>
      <c r="X44">
        <v>1.0469777265842899</v>
      </c>
      <c r="AJ44">
        <v>0</v>
      </c>
      <c r="AK44">
        <v>-1.3506834139775501E-2</v>
      </c>
      <c r="AL44">
        <v>0.76106002091026703</v>
      </c>
      <c r="AM44">
        <v>5.85898786090399E-2</v>
      </c>
      <c r="AN44">
        <v>0.19385693462046799</v>
      </c>
    </row>
    <row r="45" spans="1:40" x14ac:dyDescent="0.2">
      <c r="A45">
        <v>101</v>
      </c>
      <c r="B45">
        <v>760</v>
      </c>
      <c r="C45">
        <v>150</v>
      </c>
      <c r="D45">
        <v>0.43796205778444602</v>
      </c>
      <c r="E45">
        <v>0.61009109354699298</v>
      </c>
      <c r="F45">
        <v>4.9302447087951702</v>
      </c>
      <c r="G45">
        <v>-4.1087659101807423</v>
      </c>
      <c r="H45">
        <v>-2.987929793923962</v>
      </c>
      <c r="I45">
        <v>1.0848725899015399</v>
      </c>
      <c r="J45">
        <v>0.54221925138224503</v>
      </c>
      <c r="K45">
        <v>0.12374458664468201</v>
      </c>
      <c r="L45">
        <v>3.759025859484161E-5</v>
      </c>
      <c r="M45">
        <v>4.365275027830288E-7</v>
      </c>
      <c r="N45" s="1">
        <v>2.5048908291711499E-9</v>
      </c>
      <c r="O45" s="1">
        <v>3.0825773067798001E-13</v>
      </c>
      <c r="P45">
        <v>0</v>
      </c>
      <c r="R45">
        <v>7.9850509224710198</v>
      </c>
      <c r="S45">
        <v>2.0427519932095999</v>
      </c>
      <c r="T45">
        <v>51.752543435134598</v>
      </c>
      <c r="V45">
        <v>37.115494732877899</v>
      </c>
      <c r="X45">
        <v>1.10415891630679</v>
      </c>
      <c r="AJ45">
        <v>0</v>
      </c>
      <c r="AK45">
        <v>-1.6576717183461698E-2</v>
      </c>
      <c r="AL45">
        <v>0.72981898532990297</v>
      </c>
      <c r="AM45">
        <v>6.1694476831140502E-2</v>
      </c>
      <c r="AN45">
        <v>0.225063255022418</v>
      </c>
    </row>
    <row r="46" spans="1:40" x14ac:dyDescent="0.2">
      <c r="A46">
        <v>102</v>
      </c>
      <c r="B46">
        <v>758</v>
      </c>
      <c r="C46">
        <v>150</v>
      </c>
      <c r="D46">
        <v>0.43673616835572199</v>
      </c>
      <c r="E46">
        <v>0.66122935031184105</v>
      </c>
      <c r="F46">
        <v>4.9243625302601304</v>
      </c>
      <c r="G46">
        <v>-4.4774293710404391</v>
      </c>
      <c r="H46">
        <v>-3.2642559606587342</v>
      </c>
      <c r="I46">
        <v>1.17652466700451</v>
      </c>
      <c r="J46">
        <v>0.58789737920947804</v>
      </c>
      <c r="K46">
        <v>0.13427714678775099</v>
      </c>
      <c r="L46">
        <v>3.6779131326036574E-5</v>
      </c>
      <c r="M46">
        <v>4.2796749538542938E-7</v>
      </c>
      <c r="N46" s="1">
        <v>2.6603278130242898E-9</v>
      </c>
      <c r="O46" s="1">
        <v>3.26944167768975E-13</v>
      </c>
      <c r="P46">
        <v>0</v>
      </c>
      <c r="R46">
        <v>8.5417996271554504</v>
      </c>
      <c r="S46">
        <v>2.0852222884031102</v>
      </c>
      <c r="T46">
        <v>50.6446855034877</v>
      </c>
      <c r="V46">
        <v>37.5932971438979</v>
      </c>
      <c r="X46">
        <v>1.13499543705574</v>
      </c>
      <c r="AJ46">
        <v>0</v>
      </c>
      <c r="AK46">
        <v>-1.73441964851422E-2</v>
      </c>
      <c r="AL46">
        <v>0.71347725810302098</v>
      </c>
      <c r="AM46">
        <v>6.3353646255671595E-2</v>
      </c>
      <c r="AN46">
        <v>0.24051329212644901</v>
      </c>
    </row>
    <row r="47" spans="1:40" x14ac:dyDescent="0.2">
      <c r="A47">
        <v>103</v>
      </c>
      <c r="B47">
        <v>756</v>
      </c>
      <c r="C47">
        <v>150</v>
      </c>
      <c r="D47">
        <v>0.43550551425934297</v>
      </c>
      <c r="E47">
        <v>0.68824331339226397</v>
      </c>
      <c r="F47">
        <v>4.9203877228791502</v>
      </c>
      <c r="G47">
        <v>-4.6770121482936471</v>
      </c>
      <c r="H47">
        <v>-3.4166071316663325</v>
      </c>
      <c r="I47">
        <v>1.2247048696762499</v>
      </c>
      <c r="J47">
        <v>0.61205699370889699</v>
      </c>
      <c r="K47">
        <v>0.13987582933597301</v>
      </c>
      <c r="L47">
        <v>3.6238696485841996E-5</v>
      </c>
      <c r="M47">
        <v>4.2239467039284336E-7</v>
      </c>
      <c r="N47" s="1">
        <v>2.7321199146372701E-9</v>
      </c>
      <c r="O47" s="1">
        <v>3.35465472779217E-13</v>
      </c>
      <c r="P47">
        <v>0</v>
      </c>
      <c r="R47">
        <v>8.8897300673589701</v>
      </c>
      <c r="S47">
        <v>2.1351787401434099</v>
      </c>
      <c r="T47">
        <v>49.925018404974601</v>
      </c>
      <c r="V47">
        <v>37.8954383105714</v>
      </c>
      <c r="X47">
        <v>1.15463447695147</v>
      </c>
      <c r="AJ47">
        <v>0</v>
      </c>
      <c r="AK47">
        <v>-1.7324976675999498E-2</v>
      </c>
      <c r="AL47">
        <v>0.70280423371360101</v>
      </c>
      <c r="AM47">
        <v>6.4400894607657896E-2</v>
      </c>
      <c r="AN47">
        <v>0.25011984835473999</v>
      </c>
    </row>
    <row r="48" spans="1:40" x14ac:dyDescent="0.2">
      <c r="A48">
        <v>104</v>
      </c>
      <c r="B48">
        <v>754</v>
      </c>
      <c r="C48">
        <v>150</v>
      </c>
      <c r="D48">
        <v>0.43427006766295001</v>
      </c>
      <c r="E48">
        <v>0.70519786949741703</v>
      </c>
      <c r="F48">
        <v>4.9174118916897198</v>
      </c>
      <c r="G48">
        <v>-4.8047769616282512</v>
      </c>
      <c r="H48">
        <v>-3.5160478916800524</v>
      </c>
      <c r="I48">
        <v>1.2546649174397</v>
      </c>
      <c r="J48">
        <v>0.627229944703384</v>
      </c>
      <c r="K48">
        <v>0.14340833857932</v>
      </c>
      <c r="L48">
        <v>3.5831613302025257E-5</v>
      </c>
      <c r="M48">
        <v>4.1828896540476404E-7</v>
      </c>
      <c r="N48" s="1">
        <v>2.7716364881056398E-9</v>
      </c>
      <c r="O48" s="1">
        <v>3.4009382578534398E-13</v>
      </c>
      <c r="P48">
        <v>0</v>
      </c>
      <c r="R48">
        <v>9.1360787903538192</v>
      </c>
      <c r="S48">
        <v>2.1862003915272301</v>
      </c>
      <c r="T48">
        <v>49.3969532165478</v>
      </c>
      <c r="V48">
        <v>38.112435072862702</v>
      </c>
      <c r="X48">
        <v>1.1683325287083</v>
      </c>
      <c r="AJ48">
        <v>0</v>
      </c>
      <c r="AK48">
        <v>-1.6953532986975599E-2</v>
      </c>
      <c r="AL48">
        <v>0.694937985840548</v>
      </c>
      <c r="AM48">
        <v>6.5124379845557495E-2</v>
      </c>
      <c r="AN48">
        <v>0.25689116730086903</v>
      </c>
    </row>
    <row r="49" spans="1:40" x14ac:dyDescent="0.2">
      <c r="A49">
        <v>105</v>
      </c>
      <c r="B49">
        <v>752</v>
      </c>
      <c r="C49">
        <v>150</v>
      </c>
      <c r="D49">
        <v>0.43302980051699702</v>
      </c>
      <c r="E49">
        <v>0.70432993753239503</v>
      </c>
      <c r="F49">
        <v>4.91819614126244</v>
      </c>
      <c r="G49">
        <v>-4.7953128634374869</v>
      </c>
      <c r="H49">
        <v>-3.5120512772414529</v>
      </c>
      <c r="I49">
        <v>1.2517793358981899</v>
      </c>
      <c r="J49">
        <v>0.62647811550341304</v>
      </c>
      <c r="K49">
        <v>0.143208997222221</v>
      </c>
      <c r="L49">
        <v>3.5948212521294849E-5</v>
      </c>
      <c r="M49">
        <v>4.1998166305315934E-7</v>
      </c>
      <c r="N49" s="1">
        <v>2.7804379852848802E-9</v>
      </c>
      <c r="O49" s="1">
        <v>3.4131815556277099E-13</v>
      </c>
      <c r="P49">
        <v>0</v>
      </c>
      <c r="R49">
        <v>8.9526185347858096</v>
      </c>
      <c r="S49">
        <v>2.2790690104964</v>
      </c>
      <c r="T49">
        <v>49.635871117048502</v>
      </c>
      <c r="V49">
        <v>37.975206887017997</v>
      </c>
      <c r="X49">
        <v>1.15723445065125</v>
      </c>
      <c r="AJ49">
        <v>0</v>
      </c>
      <c r="AK49">
        <v>-1.4285084651796899E-2</v>
      </c>
      <c r="AL49">
        <v>0.69812543834452401</v>
      </c>
      <c r="AM49">
        <v>6.4489708314485902E-2</v>
      </c>
      <c r="AN49">
        <v>0.25166993799278597</v>
      </c>
    </row>
    <row r="50" spans="1:40" x14ac:dyDescent="0.2">
      <c r="A50">
        <v>106</v>
      </c>
      <c r="B50">
        <v>750</v>
      </c>
      <c r="C50">
        <v>150</v>
      </c>
      <c r="D50">
        <v>0.43178468455260599</v>
      </c>
      <c r="E50">
        <v>0.70426952930102804</v>
      </c>
      <c r="F50">
        <v>4.9184557283050498</v>
      </c>
      <c r="G50">
        <v>-4.7935610468817842</v>
      </c>
      <c r="H50">
        <v>-3.5141320597131593</v>
      </c>
      <c r="I50">
        <v>1.25048036667998</v>
      </c>
      <c r="J50">
        <v>0.62644697209894995</v>
      </c>
      <c r="K50">
        <v>0.14318915696405399</v>
      </c>
      <c r="L50">
        <v>3.5983571139871451E-5</v>
      </c>
      <c r="M50">
        <v>4.2077454339995169E-7</v>
      </c>
      <c r="N50" s="1">
        <v>2.7861961093525599E-9</v>
      </c>
      <c r="O50" s="1">
        <v>3.42113814298459E-13</v>
      </c>
      <c r="P50">
        <v>0</v>
      </c>
      <c r="R50">
        <v>8.8386526578992406</v>
      </c>
      <c r="S50">
        <v>2.36066977874385</v>
      </c>
      <c r="T50">
        <v>49.755846446116102</v>
      </c>
      <c r="V50">
        <v>37.895101133490797</v>
      </c>
      <c r="X50">
        <v>1.14972998374991</v>
      </c>
      <c r="AJ50">
        <v>0</v>
      </c>
      <c r="AK50">
        <v>-1.20659383004506E-2</v>
      </c>
      <c r="AL50">
        <v>0.69961610838923205</v>
      </c>
      <c r="AM50">
        <v>6.4053487800408801E-2</v>
      </c>
      <c r="AN50">
        <v>0.24839634211080899</v>
      </c>
    </row>
    <row r="51" spans="1:40" x14ac:dyDescent="0.2">
      <c r="A51">
        <v>107</v>
      </c>
      <c r="B51">
        <v>748</v>
      </c>
      <c r="C51">
        <v>150</v>
      </c>
      <c r="D51">
        <v>0.43053469127944</v>
      </c>
      <c r="E51">
        <v>0.70334047125473897</v>
      </c>
      <c r="F51">
        <v>4.9187269274298098</v>
      </c>
      <c r="G51">
        <v>-4.7858326380105591</v>
      </c>
      <c r="H51">
        <v>-3.5118141195452472</v>
      </c>
      <c r="I51">
        <v>1.24763112027156</v>
      </c>
      <c r="J51">
        <v>0.62563837898132302</v>
      </c>
      <c r="K51">
        <v>0.142992380270692</v>
      </c>
      <c r="L51">
        <v>3.6015279099998992E-5</v>
      </c>
      <c r="M51">
        <v>4.2152742752031749E-7</v>
      </c>
      <c r="N51" s="1">
        <v>2.7882288783899901E-9</v>
      </c>
      <c r="O51" s="1">
        <v>3.4245104072796901E-13</v>
      </c>
      <c r="P51">
        <v>0</v>
      </c>
      <c r="R51">
        <v>8.7292719838308805</v>
      </c>
      <c r="S51">
        <v>2.4391088754251902</v>
      </c>
      <c r="T51">
        <v>49.870679875365703</v>
      </c>
      <c r="V51">
        <v>37.818730872404899</v>
      </c>
      <c r="X51">
        <v>1.1422083929732301</v>
      </c>
      <c r="AJ51">
        <v>0</v>
      </c>
      <c r="AK51">
        <v>-9.9168233291025698E-3</v>
      </c>
      <c r="AL51">
        <v>0.70104281904319798</v>
      </c>
      <c r="AM51">
        <v>6.36173899059327E-2</v>
      </c>
      <c r="AN51">
        <v>0.24525661437997101</v>
      </c>
    </row>
    <row r="52" spans="1:40" x14ac:dyDescent="0.2">
      <c r="A52">
        <v>118</v>
      </c>
      <c r="B52">
        <v>770</v>
      </c>
      <c r="C52">
        <v>125</v>
      </c>
      <c r="D52">
        <v>0.47038345396155901</v>
      </c>
      <c r="E52">
        <v>0.49038438451063898</v>
      </c>
      <c r="F52">
        <v>4.93777234945758</v>
      </c>
      <c r="G52">
        <v>-3.2778978798685463</v>
      </c>
      <c r="H52">
        <v>-2.3665485587828585</v>
      </c>
      <c r="I52">
        <v>0.87365126883543898</v>
      </c>
      <c r="J52">
        <v>0.435823388811724</v>
      </c>
      <c r="K52">
        <v>9.9312878319412407E-2</v>
      </c>
      <c r="L52">
        <v>3.9611719407965773E-5</v>
      </c>
      <c r="M52">
        <v>4.5773445221163231E-7</v>
      </c>
      <c r="N52" s="1">
        <v>2.1087605788342802E-9</v>
      </c>
      <c r="O52" s="1">
        <v>2.59882550173912E-13</v>
      </c>
      <c r="P52">
        <v>0</v>
      </c>
      <c r="R52">
        <v>6.6503035295851802</v>
      </c>
      <c r="S52">
        <v>2.0790731401594198</v>
      </c>
      <c r="T52">
        <v>54.281631697166503</v>
      </c>
      <c r="V52">
        <v>35.892947044915402</v>
      </c>
      <c r="X52">
        <v>1.09604458817338</v>
      </c>
      <c r="AJ52">
        <v>0</v>
      </c>
      <c r="AK52">
        <v>-1.5338801151697201E-2</v>
      </c>
      <c r="AL52">
        <v>0.76636801971343305</v>
      </c>
      <c r="AM52">
        <v>6.1311782888581197E-2</v>
      </c>
      <c r="AN52">
        <v>0.18765899854968199</v>
      </c>
    </row>
    <row r="53" spans="1:40" x14ac:dyDescent="0.2">
      <c r="A53">
        <v>119</v>
      </c>
      <c r="B53">
        <v>768</v>
      </c>
      <c r="C53">
        <v>125</v>
      </c>
      <c r="D53">
        <v>0.46923161888296799</v>
      </c>
      <c r="E53">
        <v>0.61443847897262105</v>
      </c>
      <c r="F53">
        <v>4.92846304484552</v>
      </c>
      <c r="G53">
        <v>-4.1449208783427487</v>
      </c>
      <c r="H53">
        <v>-3.0032524807673959</v>
      </c>
      <c r="I53">
        <v>1.0965455482642701</v>
      </c>
      <c r="J53">
        <v>0.54649245736706098</v>
      </c>
      <c r="K53">
        <v>0.124671418529806</v>
      </c>
      <c r="L53">
        <v>3.8221742815672334E-5</v>
      </c>
      <c r="M53">
        <v>4.4282224403669715E-7</v>
      </c>
      <c r="N53" s="1">
        <v>2.5539628603071802E-9</v>
      </c>
      <c r="O53" s="1">
        <v>3.14055283601248E-13</v>
      </c>
      <c r="P53">
        <v>0</v>
      </c>
      <c r="R53">
        <v>7.6604958917599504</v>
      </c>
      <c r="S53">
        <v>2.0855599708408001</v>
      </c>
      <c r="T53">
        <v>52.352823064399402</v>
      </c>
      <c r="V53">
        <v>36.752143367509198</v>
      </c>
      <c r="X53">
        <v>1.1489777054905701</v>
      </c>
      <c r="AJ53">
        <v>0</v>
      </c>
      <c r="AK53">
        <v>-1.81306945916795E-2</v>
      </c>
      <c r="AL53">
        <v>0.73809012663436002</v>
      </c>
      <c r="AM53">
        <v>6.4181835912541105E-2</v>
      </c>
      <c r="AN53">
        <v>0.21585873204477701</v>
      </c>
    </row>
    <row r="54" spans="1:40" x14ac:dyDescent="0.2">
      <c r="A54">
        <v>120</v>
      </c>
      <c r="B54">
        <v>766</v>
      </c>
      <c r="C54">
        <v>125</v>
      </c>
      <c r="D54">
        <v>0.46807535004571499</v>
      </c>
      <c r="E54">
        <v>0.66465396965106605</v>
      </c>
      <c r="F54">
        <v>4.9227753127417202</v>
      </c>
      <c r="G54">
        <v>-4.507634890950678</v>
      </c>
      <c r="H54">
        <v>-3.2742894719778777</v>
      </c>
      <c r="I54">
        <v>1.1868791021246199</v>
      </c>
      <c r="J54">
        <v>0.59139462475349802</v>
      </c>
      <c r="K54">
        <v>0.13501610929321201</v>
      </c>
      <c r="L54">
        <v>3.7420472127446775E-5</v>
      </c>
      <c r="M54">
        <v>4.3440708435804961E-7</v>
      </c>
      <c r="N54" s="1">
        <v>2.70879743889111E-9</v>
      </c>
      <c r="O54" s="1">
        <v>3.3264611012486399E-13</v>
      </c>
      <c r="P54">
        <v>0</v>
      </c>
      <c r="R54">
        <v>8.2099597138585594</v>
      </c>
      <c r="S54">
        <v>2.12526903702366</v>
      </c>
      <c r="T54">
        <v>51.262437517817602</v>
      </c>
      <c r="V54">
        <v>37.222212673849498</v>
      </c>
      <c r="X54">
        <v>1.1801210574505401</v>
      </c>
      <c r="AJ54">
        <v>0</v>
      </c>
      <c r="AK54">
        <v>-1.89748182021756E-2</v>
      </c>
      <c r="AL54">
        <v>0.72200481758152502</v>
      </c>
      <c r="AM54">
        <v>6.5856499977394095E-2</v>
      </c>
      <c r="AN54">
        <v>0.231113500643256</v>
      </c>
    </row>
    <row r="55" spans="1:40" x14ac:dyDescent="0.2">
      <c r="A55">
        <v>121</v>
      </c>
      <c r="B55">
        <v>764</v>
      </c>
      <c r="C55">
        <v>125</v>
      </c>
      <c r="D55">
        <v>0.46691462180012799</v>
      </c>
      <c r="E55">
        <v>0.69210388922650401</v>
      </c>
      <c r="F55">
        <v>4.9188172852704897</v>
      </c>
      <c r="G55">
        <v>-4.7107350508699515</v>
      </c>
      <c r="H55">
        <v>-3.4287714795022182</v>
      </c>
      <c r="I55">
        <v>1.2360445175410799</v>
      </c>
      <c r="J55">
        <v>0.61597357676403497</v>
      </c>
      <c r="K55">
        <v>0.14070534624228101</v>
      </c>
      <c r="L55">
        <v>3.6872297299339568E-5</v>
      </c>
      <c r="M55">
        <v>4.2877533585055409E-7</v>
      </c>
      <c r="N55" s="1">
        <v>2.7831561064225799E-9</v>
      </c>
      <c r="O55" s="1">
        <v>3.4146066569011202E-13</v>
      </c>
      <c r="P55">
        <v>0</v>
      </c>
      <c r="R55">
        <v>8.5641336792737892</v>
      </c>
      <c r="S55">
        <v>2.1730676948499901</v>
      </c>
      <c r="T55">
        <v>50.533781652872598</v>
      </c>
      <c r="V55">
        <v>37.528284510855698</v>
      </c>
      <c r="X55">
        <v>1.2007324621478299</v>
      </c>
      <c r="AJ55">
        <v>0</v>
      </c>
      <c r="AK55">
        <v>-1.9056119166876901E-2</v>
      </c>
      <c r="AL55">
        <v>0.71120029150502695</v>
      </c>
      <c r="AM55">
        <v>6.6955710389230094E-2</v>
      </c>
      <c r="AN55">
        <v>0.24090011727261801</v>
      </c>
    </row>
    <row r="56" spans="1:40" x14ac:dyDescent="0.2">
      <c r="A56">
        <v>122</v>
      </c>
      <c r="B56">
        <v>762</v>
      </c>
      <c r="C56">
        <v>125</v>
      </c>
      <c r="D56">
        <v>0.46574940829831801</v>
      </c>
      <c r="E56">
        <v>0.70963267681053499</v>
      </c>
      <c r="F56">
        <v>4.9158151905566001</v>
      </c>
      <c r="G56">
        <v>-4.8429656177140981</v>
      </c>
      <c r="H56">
        <v>-3.5312488813107215</v>
      </c>
      <c r="I56">
        <v>1.26717551698147</v>
      </c>
      <c r="J56">
        <v>0.63168122952139105</v>
      </c>
      <c r="K56">
        <v>0.14435706984545599</v>
      </c>
      <c r="L56">
        <v>3.6455349775351921E-5</v>
      </c>
      <c r="M56">
        <v>4.2458244372088023E-7</v>
      </c>
      <c r="N56" s="1">
        <v>2.8250609909214902E-9</v>
      </c>
      <c r="O56" s="1">
        <v>3.4636253583882398E-13</v>
      </c>
      <c r="P56">
        <v>0</v>
      </c>
      <c r="R56">
        <v>8.8182575333639708</v>
      </c>
      <c r="S56">
        <v>2.2225620677810798</v>
      </c>
      <c r="T56">
        <v>49.993059038455897</v>
      </c>
      <c r="V56">
        <v>37.750665204772403</v>
      </c>
      <c r="X56">
        <v>1.21545615562656</v>
      </c>
      <c r="AJ56">
        <v>0</v>
      </c>
      <c r="AK56">
        <v>-1.8774360492351799E-2</v>
      </c>
      <c r="AL56">
        <v>0.70314786242014904</v>
      </c>
      <c r="AM56">
        <v>6.7734119592413794E-2</v>
      </c>
      <c r="AN56">
        <v>0.24789237847978901</v>
      </c>
    </row>
    <row r="57" spans="1:40" x14ac:dyDescent="0.2">
      <c r="A57">
        <v>123</v>
      </c>
      <c r="B57">
        <v>760</v>
      </c>
      <c r="C57">
        <v>125</v>
      </c>
      <c r="D57">
        <v>0.464579683492232</v>
      </c>
      <c r="E57">
        <v>0.72189089155799402</v>
      </c>
      <c r="F57">
        <v>4.9134073470503301</v>
      </c>
      <c r="G57">
        <v>-4.9369953330228089</v>
      </c>
      <c r="H57">
        <v>-3.6055891868883245</v>
      </c>
      <c r="I57">
        <v>1.2886861986492599</v>
      </c>
      <c r="J57">
        <v>0.64266960621836899</v>
      </c>
      <c r="K57">
        <v>0.14692266294415099</v>
      </c>
      <c r="L57">
        <v>3.6116229758790204E-5</v>
      </c>
      <c r="M57">
        <v>4.2124045683269569E-7</v>
      </c>
      <c r="N57" s="1">
        <v>2.8507371921715399E-9</v>
      </c>
      <c r="O57" s="1">
        <v>3.4932115506631301E-13</v>
      </c>
      <c r="P57">
        <v>0</v>
      </c>
      <c r="R57">
        <v>9.0137083897559407</v>
      </c>
      <c r="S57">
        <v>2.2717618850583801</v>
      </c>
      <c r="T57">
        <v>49.563929659787497</v>
      </c>
      <c r="V57">
        <v>37.9241194976834</v>
      </c>
      <c r="X57">
        <v>1.22648056771457</v>
      </c>
      <c r="AJ57">
        <v>0</v>
      </c>
      <c r="AK57">
        <v>-1.8294997074018202E-2</v>
      </c>
      <c r="AL57">
        <v>0.69673421518716006</v>
      </c>
      <c r="AM57">
        <v>6.8311421347027806E-2</v>
      </c>
      <c r="AN57">
        <v>0.25324936053982899</v>
      </c>
    </row>
    <row r="58" spans="1:40" x14ac:dyDescent="0.2">
      <c r="A58">
        <v>124</v>
      </c>
      <c r="B58">
        <v>758</v>
      </c>
      <c r="C58">
        <v>125</v>
      </c>
      <c r="D58">
        <v>0.46340542113174599</v>
      </c>
      <c r="E58">
        <v>0.73097652846521</v>
      </c>
      <c r="F58">
        <v>4.9114007856307396</v>
      </c>
      <c r="G58">
        <v>-5.0077533866193704</v>
      </c>
      <c r="H58">
        <v>-3.6627358440769724</v>
      </c>
      <c r="I58">
        <v>1.3043859211001201</v>
      </c>
      <c r="J58">
        <v>0.65081377079441405</v>
      </c>
      <c r="K58">
        <v>0.148832595907021</v>
      </c>
      <c r="L58">
        <v>3.5827692565219747E-5</v>
      </c>
      <c r="M58">
        <v>4.1844988793130881E-7</v>
      </c>
      <c r="N58" s="1">
        <v>2.86711328386919E-9</v>
      </c>
      <c r="O58" s="1">
        <v>3.51173109127706E-13</v>
      </c>
      <c r="P58">
        <v>0</v>
      </c>
      <c r="R58">
        <v>9.17144226648211</v>
      </c>
      <c r="S58">
        <v>2.3199888735065199</v>
      </c>
      <c r="T58">
        <v>49.207378315767897</v>
      </c>
      <c r="V58">
        <v>38.0662099261923</v>
      </c>
      <c r="X58">
        <v>1.2349806180510601</v>
      </c>
      <c r="AJ58">
        <v>0</v>
      </c>
      <c r="AK58">
        <v>-1.7698113123982801E-2</v>
      </c>
      <c r="AL58">
        <v>0.69138927533758399</v>
      </c>
      <c r="AM58">
        <v>6.8751756287172505E-2</v>
      </c>
      <c r="AN58">
        <v>0.25755708149922502</v>
      </c>
    </row>
    <row r="59" spans="1:40" x14ac:dyDescent="0.2">
      <c r="A59">
        <v>125</v>
      </c>
      <c r="B59">
        <v>756</v>
      </c>
      <c r="C59">
        <v>125</v>
      </c>
      <c r="D59">
        <v>0.46222659476266797</v>
      </c>
      <c r="E59">
        <v>0.72545768918685005</v>
      </c>
      <c r="F59">
        <v>4.9128638991658899</v>
      </c>
      <c r="G59">
        <v>-4.9632529190080703</v>
      </c>
      <c r="H59">
        <v>-3.6326152142507255</v>
      </c>
      <c r="I59">
        <v>1.2929482628939799</v>
      </c>
      <c r="J59">
        <v>0.64589902065242699</v>
      </c>
      <c r="K59">
        <v>0.147664927031668</v>
      </c>
      <c r="L59">
        <v>3.6025514873902507E-5</v>
      </c>
      <c r="M59">
        <v>4.2103462793485354E-7</v>
      </c>
      <c r="N59" s="1">
        <v>2.8643871026566698E-9</v>
      </c>
      <c r="O59" s="1">
        <v>3.5105836715130402E-13</v>
      </c>
      <c r="P59">
        <v>0</v>
      </c>
      <c r="R59">
        <v>8.9249841000632806</v>
      </c>
      <c r="S59">
        <v>2.4127384580642199</v>
      </c>
      <c r="T59">
        <v>49.565517729083403</v>
      </c>
      <c r="V59">
        <v>37.8775265072778</v>
      </c>
      <c r="X59">
        <v>1.21923320551128</v>
      </c>
      <c r="AJ59">
        <v>0</v>
      </c>
      <c r="AK59">
        <v>-1.47781584553813E-2</v>
      </c>
      <c r="AL59">
        <v>0.696315530440483</v>
      </c>
      <c r="AM59">
        <v>6.7864782336024304E-2</v>
      </c>
      <c r="AN59">
        <v>0.250597845678873</v>
      </c>
    </row>
    <row r="60" spans="1:40" x14ac:dyDescent="0.2">
      <c r="A60">
        <v>126</v>
      </c>
      <c r="B60">
        <v>754</v>
      </c>
      <c r="C60">
        <v>125</v>
      </c>
      <c r="D60">
        <v>0.46104317772477099</v>
      </c>
      <c r="E60">
        <v>0.72396370610384397</v>
      </c>
      <c r="F60">
        <v>4.9131841573883204</v>
      </c>
      <c r="G60">
        <v>-4.9513419827555998</v>
      </c>
      <c r="H60">
        <v>-3.6273004687478845</v>
      </c>
      <c r="I60">
        <v>1.2890439702163401</v>
      </c>
      <c r="J60">
        <v>0.64458041627690099</v>
      </c>
      <c r="K60">
        <v>0.147351225378997</v>
      </c>
      <c r="L60">
        <v>3.6057339403670232E-5</v>
      </c>
      <c r="M60">
        <v>4.2178496300807721E-7</v>
      </c>
      <c r="N60" s="1">
        <v>2.86432816158527E-9</v>
      </c>
      <c r="O60" s="1">
        <v>3.5114409318242601E-13</v>
      </c>
      <c r="P60">
        <v>0</v>
      </c>
      <c r="R60">
        <v>8.8182664800646702</v>
      </c>
      <c r="S60">
        <v>2.48708571479653</v>
      </c>
      <c r="T60">
        <v>49.679930458766499</v>
      </c>
      <c r="V60">
        <v>37.803175322792796</v>
      </c>
      <c r="X60">
        <v>1.2115420235793899</v>
      </c>
      <c r="AJ60">
        <v>0</v>
      </c>
      <c r="AK60">
        <v>-1.27110809042917E-2</v>
      </c>
      <c r="AL60">
        <v>0.69775070435881104</v>
      </c>
      <c r="AM60">
        <v>6.7420043854002396E-2</v>
      </c>
      <c r="AN60">
        <v>0.24754033269147699</v>
      </c>
    </row>
    <row r="61" spans="1:40" x14ac:dyDescent="0.2">
      <c r="A61">
        <v>139</v>
      </c>
      <c r="B61">
        <v>782</v>
      </c>
      <c r="C61">
        <v>100</v>
      </c>
      <c r="D61">
        <v>0.50326541250059598</v>
      </c>
      <c r="E61">
        <v>0.36636694160197703</v>
      </c>
      <c r="F61">
        <v>4.9405200270069596</v>
      </c>
      <c r="G61">
        <v>-2.4417919149762439</v>
      </c>
      <c r="H61">
        <v>-1.7504920024898223</v>
      </c>
      <c r="I61">
        <v>0.65516742878872303</v>
      </c>
      <c r="J61">
        <v>0.32572464050695799</v>
      </c>
      <c r="K61">
        <v>7.4155542250463696E-2</v>
      </c>
      <c r="L61">
        <v>4.1105772585580086E-5</v>
      </c>
      <c r="M61">
        <v>4.7235108207233092E-7</v>
      </c>
      <c r="N61" s="1">
        <v>1.6243019274084499E-9</v>
      </c>
      <c r="O61" s="1">
        <v>2.0035266570349401E-13</v>
      </c>
      <c r="P61">
        <v>0</v>
      </c>
      <c r="R61">
        <v>5.7034341884029702</v>
      </c>
      <c r="S61">
        <v>2.1588572697084101</v>
      </c>
      <c r="T61">
        <v>56.013311987614699</v>
      </c>
      <c r="V61">
        <v>35.032154704889699</v>
      </c>
      <c r="X61">
        <v>1.09224184938411</v>
      </c>
      <c r="AJ61">
        <v>0</v>
      </c>
      <c r="AK61">
        <v>-1.33686394026969E-2</v>
      </c>
      <c r="AL61">
        <v>0.79121699945425905</v>
      </c>
      <c r="AM61">
        <v>6.1130002448798702E-2</v>
      </c>
      <c r="AN61">
        <v>0.16102163749963799</v>
      </c>
    </row>
    <row r="62" spans="1:40" x14ac:dyDescent="0.2">
      <c r="A62">
        <v>140</v>
      </c>
      <c r="B62">
        <v>780</v>
      </c>
      <c r="C62">
        <v>100</v>
      </c>
      <c r="D62">
        <v>0.50218914684517901</v>
      </c>
      <c r="E62">
        <v>0.56502448822803197</v>
      </c>
      <c r="F62">
        <v>4.9298550635819298</v>
      </c>
      <c r="G62">
        <v>-3.8060246538556468</v>
      </c>
      <c r="H62">
        <v>-2.7395191440529594</v>
      </c>
      <c r="I62">
        <v>1.01268148867937</v>
      </c>
      <c r="J62">
        <v>0.50286477746389402</v>
      </c>
      <c r="K62">
        <v>0.114612799147384</v>
      </c>
      <c r="L62">
        <v>3.9565938681420595E-5</v>
      </c>
      <c r="M62">
        <v>4.5607081513499881E-7</v>
      </c>
      <c r="N62" s="1">
        <v>2.4151269214827002E-9</v>
      </c>
      <c r="O62" s="1">
        <v>2.97023616035242E-13</v>
      </c>
      <c r="P62">
        <v>0</v>
      </c>
      <c r="R62">
        <v>6.8636149451930599</v>
      </c>
      <c r="S62">
        <v>2.1378773746174402</v>
      </c>
      <c r="T62">
        <v>53.843851395793898</v>
      </c>
      <c r="V62">
        <v>35.978827909167201</v>
      </c>
      <c r="X62">
        <v>1.1758283752283101</v>
      </c>
      <c r="AJ62">
        <v>0</v>
      </c>
      <c r="AK62">
        <v>-1.8480497594594199E-2</v>
      </c>
      <c r="AL62">
        <v>0.75932256326257797</v>
      </c>
      <c r="AM62">
        <v>6.5699999802611306E-2</v>
      </c>
      <c r="AN62">
        <v>0.19345793452940399</v>
      </c>
    </row>
    <row r="63" spans="1:40" x14ac:dyDescent="0.2">
      <c r="A63">
        <v>141</v>
      </c>
      <c r="B63">
        <v>778</v>
      </c>
      <c r="C63">
        <v>100</v>
      </c>
      <c r="D63">
        <v>0.501108785615755</v>
      </c>
      <c r="E63">
        <v>0.64019256639273503</v>
      </c>
      <c r="F63">
        <v>4.92310505636903</v>
      </c>
      <c r="G63">
        <v>-4.3408730026019926</v>
      </c>
      <c r="H63">
        <v>-3.1335687146207634</v>
      </c>
      <c r="I63">
        <v>1.14855566568161</v>
      </c>
      <c r="J63">
        <v>0.57007883640856705</v>
      </c>
      <c r="K63">
        <v>0.13003837193449999</v>
      </c>
      <c r="L63">
        <v>3.8564069320359435E-5</v>
      </c>
      <c r="M63">
        <v>4.455063004943973E-7</v>
      </c>
      <c r="N63" s="1">
        <v>2.6712141138512998E-9</v>
      </c>
      <c r="O63" s="1">
        <v>3.2797230263158099E-13</v>
      </c>
      <c r="P63">
        <v>0</v>
      </c>
      <c r="R63">
        <v>7.5694933996773202</v>
      </c>
      <c r="S63">
        <v>2.1629443752628998</v>
      </c>
      <c r="T63">
        <v>52.473368997251796</v>
      </c>
      <c r="V63">
        <v>36.578733440748202</v>
      </c>
      <c r="X63">
        <v>1.21545978705965</v>
      </c>
      <c r="AJ63">
        <v>0</v>
      </c>
      <c r="AK63">
        <v>-2.0118680294090599E-2</v>
      </c>
      <c r="AL63">
        <v>0.73916581750709198</v>
      </c>
      <c r="AM63">
        <v>6.7838270143288401E-2</v>
      </c>
      <c r="AN63">
        <v>0.21311459264370899</v>
      </c>
    </row>
    <row r="64" spans="1:40" x14ac:dyDescent="0.2">
      <c r="A64">
        <v>142</v>
      </c>
      <c r="B64">
        <v>776</v>
      </c>
      <c r="C64">
        <v>100</v>
      </c>
      <c r="D64">
        <v>0.50002430539008103</v>
      </c>
      <c r="E64">
        <v>0.67837860293885399</v>
      </c>
      <c r="F64">
        <v>4.9184487187873103</v>
      </c>
      <c r="G64">
        <v>-4.6199654270894195</v>
      </c>
      <c r="H64">
        <v>-3.3426217431351164</v>
      </c>
      <c r="I64">
        <v>1.2175033922263701</v>
      </c>
      <c r="J64">
        <v>0.60428950047150798</v>
      </c>
      <c r="K64">
        <v>0.13792531786447301</v>
      </c>
      <c r="L64">
        <v>3.7898861048910688E-5</v>
      </c>
      <c r="M64">
        <v>4.3863167872542258E-7</v>
      </c>
      <c r="N64" s="1">
        <v>2.78559000227913E-9</v>
      </c>
      <c r="O64" s="1">
        <v>3.4162485927467001E-13</v>
      </c>
      <c r="P64">
        <v>0</v>
      </c>
      <c r="R64">
        <v>8.0136078914560702</v>
      </c>
      <c r="S64">
        <v>2.2049780488844402</v>
      </c>
      <c r="T64">
        <v>51.580996872151402</v>
      </c>
      <c r="V64">
        <v>36.958605645545802</v>
      </c>
      <c r="X64">
        <v>1.24181154196218</v>
      </c>
      <c r="AJ64">
        <v>0</v>
      </c>
      <c r="AK64">
        <v>-2.0644316506240101E-2</v>
      </c>
      <c r="AL64">
        <v>0.72597054659568205</v>
      </c>
      <c r="AM64">
        <v>6.9249430440836798E-2</v>
      </c>
      <c r="AN64">
        <v>0.22542433946971999</v>
      </c>
    </row>
    <row r="65" spans="1:40" x14ac:dyDescent="0.2">
      <c r="A65">
        <v>143</v>
      </c>
      <c r="B65">
        <v>774</v>
      </c>
      <c r="C65">
        <v>100</v>
      </c>
      <c r="D65">
        <v>0.49893568256697302</v>
      </c>
      <c r="E65">
        <v>0.70163206558977798</v>
      </c>
      <c r="F65">
        <v>4.9149770423699604</v>
      </c>
      <c r="G65">
        <v>-4.7935310159640032</v>
      </c>
      <c r="H65">
        <v>-3.4748918843924725</v>
      </c>
      <c r="I65">
        <v>1.2592647964203101</v>
      </c>
      <c r="J65">
        <v>0.62514760691395699</v>
      </c>
      <c r="K65">
        <v>0.142753884614577</v>
      </c>
      <c r="L65">
        <v>3.7408253559292369E-5</v>
      </c>
      <c r="M65">
        <v>4.3366476211639895E-7</v>
      </c>
      <c r="N65" s="1">
        <v>2.84751744989773E-9</v>
      </c>
      <c r="O65" s="1">
        <v>3.48925564051247E-13</v>
      </c>
      <c r="P65">
        <v>0</v>
      </c>
      <c r="R65">
        <v>8.3236874055927093</v>
      </c>
      <c r="S65">
        <v>2.2520743601473501</v>
      </c>
      <c r="T65">
        <v>50.937281965852101</v>
      </c>
      <c r="V65">
        <v>37.2263686834388</v>
      </c>
      <c r="X65">
        <v>1.2605875849689101</v>
      </c>
      <c r="AJ65">
        <v>0</v>
      </c>
      <c r="AK65">
        <v>-2.06387339057496E-2</v>
      </c>
      <c r="AL65">
        <v>0.71640854972413204</v>
      </c>
      <c r="AM65">
        <v>7.0247239473543804E-2</v>
      </c>
      <c r="AN65">
        <v>0.23398294470807299</v>
      </c>
    </row>
    <row r="66" spans="1:40" x14ac:dyDescent="0.2">
      <c r="A66">
        <v>144</v>
      </c>
      <c r="B66">
        <v>772</v>
      </c>
      <c r="C66">
        <v>100</v>
      </c>
      <c r="D66">
        <v>0.49784289336458698</v>
      </c>
      <c r="E66">
        <v>0.71741932034077105</v>
      </c>
      <c r="F66">
        <v>4.91223458994022</v>
      </c>
      <c r="G66">
        <v>-4.9134455528786978</v>
      </c>
      <c r="H66">
        <v>-3.567951623201258</v>
      </c>
      <c r="I66">
        <v>1.28736920985259</v>
      </c>
      <c r="J66">
        <v>0.63931896203661498</v>
      </c>
      <c r="K66">
        <v>0.146047446880891</v>
      </c>
      <c r="L66">
        <v>3.7019027346355268E-5</v>
      </c>
      <c r="M66">
        <v>4.2980239163235662E-7</v>
      </c>
      <c r="N66" s="1">
        <v>2.88495136628272E-9</v>
      </c>
      <c r="O66" s="1">
        <v>3.53280982658551E-13</v>
      </c>
      <c r="P66">
        <v>0</v>
      </c>
      <c r="R66">
        <v>8.5568000834443403</v>
      </c>
      <c r="S66">
        <v>2.30034204088886</v>
      </c>
      <c r="T66">
        <v>50.438202171433602</v>
      </c>
      <c r="V66">
        <v>37.429997804864598</v>
      </c>
      <c r="X66">
        <v>1.2746578993684401</v>
      </c>
      <c r="AJ66">
        <v>0</v>
      </c>
      <c r="AK66">
        <v>-2.0347432917472201E-2</v>
      </c>
      <c r="AL66">
        <v>0.70896609890923101</v>
      </c>
      <c r="AM66">
        <v>7.0988950571948303E-2</v>
      </c>
      <c r="AN66">
        <v>0.24039238343629199</v>
      </c>
    </row>
    <row r="67" spans="1:40" x14ac:dyDescent="0.2">
      <c r="A67">
        <v>145</v>
      </c>
      <c r="B67">
        <v>770</v>
      </c>
      <c r="C67">
        <v>100</v>
      </c>
      <c r="D67">
        <v>0.49674591381872402</v>
      </c>
      <c r="E67">
        <v>0.72891007600158997</v>
      </c>
      <c r="F67">
        <v>4.9099775941489998</v>
      </c>
      <c r="G67">
        <v>-5.0020639123958945</v>
      </c>
      <c r="H67">
        <v>-3.6380577706779662</v>
      </c>
      <c r="I67">
        <v>1.30758389658047</v>
      </c>
      <c r="J67">
        <v>0.64963710933404595</v>
      </c>
      <c r="K67">
        <v>0.14845486807723901</v>
      </c>
      <c r="L67">
        <v>3.6694339400469973E-5</v>
      </c>
      <c r="M67">
        <v>4.2664119514311771E-7</v>
      </c>
      <c r="N67" s="1">
        <v>2.9090525861221299E-9</v>
      </c>
      <c r="O67" s="1">
        <v>3.5604371220174402E-13</v>
      </c>
      <c r="P67">
        <v>0</v>
      </c>
      <c r="R67">
        <v>8.7414256870909597</v>
      </c>
      <c r="S67">
        <v>2.3483558366428601</v>
      </c>
      <c r="T67">
        <v>50.0312983554048</v>
      </c>
      <c r="V67">
        <v>37.593353508118902</v>
      </c>
      <c r="X67">
        <v>1.28556661274229</v>
      </c>
      <c r="AJ67">
        <v>0</v>
      </c>
      <c r="AK67">
        <v>-1.98875261627324E-2</v>
      </c>
      <c r="AL67">
        <v>0.70287805783854795</v>
      </c>
      <c r="AM67">
        <v>7.1558963459396802E-2</v>
      </c>
      <c r="AN67">
        <v>0.24545050486478701</v>
      </c>
    </row>
    <row r="68" spans="1:40" x14ac:dyDescent="0.2">
      <c r="A68">
        <v>146</v>
      </c>
      <c r="B68">
        <v>768</v>
      </c>
      <c r="C68">
        <v>100</v>
      </c>
      <c r="D68">
        <v>0.49564471978101199</v>
      </c>
      <c r="E68">
        <v>0.73767791056973397</v>
      </c>
      <c r="F68">
        <v>4.9080640066019603</v>
      </c>
      <c r="G68">
        <v>-5.070619564232917</v>
      </c>
      <c r="H68">
        <v>-3.6934054937781737</v>
      </c>
      <c r="I68">
        <v>1.3227816073137799</v>
      </c>
      <c r="J68">
        <v>0.657510232604955</v>
      </c>
      <c r="K68">
        <v>0.15029916267951299</v>
      </c>
      <c r="L68">
        <v>3.6413648541884962E-5</v>
      </c>
      <c r="M68">
        <v>4.2395663168704664E-7</v>
      </c>
      <c r="N68" s="1">
        <v>2.9250875741223001E-9</v>
      </c>
      <c r="O68" s="1">
        <v>3.5784879255948898E-13</v>
      </c>
      <c r="P68">
        <v>0</v>
      </c>
      <c r="R68">
        <v>8.8933306620537298</v>
      </c>
      <c r="S68">
        <v>2.3955649021479899</v>
      </c>
      <c r="T68">
        <v>49.687275511716997</v>
      </c>
      <c r="V68">
        <v>37.729611298280297</v>
      </c>
      <c r="X68">
        <v>1.29421762580082</v>
      </c>
      <c r="AJ68">
        <v>0</v>
      </c>
      <c r="AK68">
        <v>-1.9321218047450801E-2</v>
      </c>
      <c r="AL68">
        <v>0.69771633969660096</v>
      </c>
      <c r="AM68">
        <v>7.2006593166274099E-2</v>
      </c>
      <c r="AN68">
        <v>0.249598285184575</v>
      </c>
    </row>
    <row r="69" spans="1:40" x14ac:dyDescent="0.2">
      <c r="A69">
        <v>147</v>
      </c>
      <c r="B69">
        <v>766</v>
      </c>
      <c r="C69">
        <v>100</v>
      </c>
      <c r="D69">
        <v>0.49453928691719501</v>
      </c>
      <c r="E69">
        <v>0.74459537802132703</v>
      </c>
      <c r="F69">
        <v>4.9064049252079602</v>
      </c>
      <c r="G69">
        <v>-5.1254058509006333</v>
      </c>
      <c r="H69">
        <v>-3.7385979359684396</v>
      </c>
      <c r="I69">
        <v>1.33455989504132</v>
      </c>
      <c r="J69">
        <v>0.66371988689995998</v>
      </c>
      <c r="K69">
        <v>0.151759870897685</v>
      </c>
      <c r="L69">
        <v>3.6164536655719247E-5</v>
      </c>
      <c r="M69">
        <v>4.2161313998623713E-7</v>
      </c>
      <c r="N69" s="1">
        <v>2.93585232468209E-9</v>
      </c>
      <c r="O69" s="1">
        <v>3.5903178517127999E-13</v>
      </c>
      <c r="P69">
        <v>0</v>
      </c>
      <c r="R69">
        <v>9.0219854549319507</v>
      </c>
      <c r="S69">
        <v>2.44176513279064</v>
      </c>
      <c r="T69">
        <v>49.388401379092102</v>
      </c>
      <c r="V69">
        <v>37.846669239265402</v>
      </c>
      <c r="X69">
        <v>1.3011787939197601</v>
      </c>
      <c r="AJ69">
        <v>0</v>
      </c>
      <c r="AK69">
        <v>-1.86844064813502E-2</v>
      </c>
      <c r="AL69">
        <v>0.693221392279041</v>
      </c>
      <c r="AM69">
        <v>7.23627741015926E-2</v>
      </c>
      <c r="AN69">
        <v>0.25310024010071602</v>
      </c>
    </row>
    <row r="70" spans="1:40" x14ac:dyDescent="0.2">
      <c r="A70">
        <v>148</v>
      </c>
      <c r="B70">
        <v>764</v>
      </c>
      <c r="C70">
        <v>100</v>
      </c>
      <c r="D70">
        <v>0.49342959070530001</v>
      </c>
      <c r="E70">
        <v>0.75018734326678005</v>
      </c>
      <c r="F70">
        <v>4.90494143943463</v>
      </c>
      <c r="G70">
        <v>-5.1702424784609775</v>
      </c>
      <c r="H70">
        <v>-3.7764350526081487</v>
      </c>
      <c r="I70">
        <v>1.34388220204678</v>
      </c>
      <c r="J70">
        <v>0.66873658244970902</v>
      </c>
      <c r="K70">
        <v>0.15294521912849701</v>
      </c>
      <c r="L70">
        <v>3.5939007298407317E-5</v>
      </c>
      <c r="M70">
        <v>4.1952353302113076E-7</v>
      </c>
      <c r="N70" s="1">
        <v>2.9429656205288999E-9</v>
      </c>
      <c r="O70" s="1">
        <v>3.5978610316038302E-13</v>
      </c>
      <c r="P70">
        <v>0</v>
      </c>
      <c r="R70">
        <v>9.1334518926761401</v>
      </c>
      <c r="S70">
        <v>2.4869001119012499</v>
      </c>
      <c r="T70">
        <v>49.123246199946699</v>
      </c>
      <c r="V70">
        <v>37.949574228678699</v>
      </c>
      <c r="X70">
        <v>1.3068275667970799</v>
      </c>
      <c r="AJ70">
        <v>0</v>
      </c>
      <c r="AK70">
        <v>-1.7999176469924699E-2</v>
      </c>
      <c r="AL70">
        <v>0.68922566180896705</v>
      </c>
      <c r="AM70">
        <v>7.2648041606044794E-2</v>
      </c>
      <c r="AN70">
        <v>0.25612547305491201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9594B-7E0F-4C3B-9ED2-A06C9E80863F}">
  <sheetPr codeName="Sheet8"/>
  <dimension ref="A1:AP69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14</v>
      </c>
      <c r="B2">
        <v>734</v>
      </c>
      <c r="C2">
        <v>300</v>
      </c>
      <c r="D2">
        <v>0.25781710768008598</v>
      </c>
      <c r="E2">
        <v>0.436406832549946</v>
      </c>
      <c r="F2">
        <v>3.5902480146437701</v>
      </c>
      <c r="G2">
        <v>-5.5429591209697042</v>
      </c>
      <c r="H2">
        <v>-4.7135121494043863</v>
      </c>
      <c r="I2">
        <v>0.82355852808948005</v>
      </c>
      <c r="J2">
        <v>0.48667631856276899</v>
      </c>
      <c r="K2">
        <v>0.121553394297537</v>
      </c>
      <c r="L2">
        <v>4.4322035415071205E-5</v>
      </c>
      <c r="M2">
        <v>9.1477213222032718E-7</v>
      </c>
      <c r="N2" s="1">
        <v>6.8249323386203401E-10</v>
      </c>
      <c r="O2" s="1">
        <v>1.18783741568469E-13</v>
      </c>
      <c r="P2" s="1">
        <v>-8.4840171958189003E-13</v>
      </c>
      <c r="Q2">
        <v>49.620479117250603</v>
      </c>
      <c r="R2">
        <v>1.7469414641595099E-2</v>
      </c>
      <c r="S2">
        <v>2.24137033588545</v>
      </c>
      <c r="T2">
        <v>0.558699710077046</v>
      </c>
      <c r="V2">
        <v>32.422460660261699</v>
      </c>
      <c r="X2">
        <v>14.9088479097405</v>
      </c>
      <c r="AA2">
        <v>0.21414178416769999</v>
      </c>
      <c r="AB2">
        <v>1.65310679752604E-2</v>
      </c>
      <c r="AJ2">
        <v>-1.11100647316551</v>
      </c>
      <c r="AK2">
        <v>0.98977543499832299</v>
      </c>
      <c r="AL2">
        <v>1.06022523709922</v>
      </c>
      <c r="AM2">
        <v>4.3313286305096101E-2</v>
      </c>
      <c r="AN2">
        <v>-4.2285920114113203E-2</v>
      </c>
      <c r="AO2">
        <v>5.8725166906615001E-2</v>
      </c>
      <c r="AP2">
        <v>1.2532679703708301E-3</v>
      </c>
    </row>
    <row r="3" spans="1:42" x14ac:dyDescent="0.2">
      <c r="A3">
        <v>15</v>
      </c>
      <c r="B3">
        <v>732</v>
      </c>
      <c r="C3">
        <v>300</v>
      </c>
      <c r="D3">
        <v>0.256201064517732</v>
      </c>
      <c r="E3">
        <v>0.58717267370614601</v>
      </c>
      <c r="F3">
        <v>3.5977274536712001</v>
      </c>
      <c r="G3">
        <v>-7.4340525567504203</v>
      </c>
      <c r="H3">
        <v>-6.3223914740526341</v>
      </c>
      <c r="I3">
        <v>1.1059653610881801</v>
      </c>
      <c r="J3">
        <v>0.65379992606542803</v>
      </c>
      <c r="K3">
        <v>0.16320654670686099</v>
      </c>
      <c r="L3">
        <v>4.423011958404647E-5</v>
      </c>
      <c r="M3">
        <v>9.1501354685818777E-7</v>
      </c>
      <c r="N3" s="1">
        <v>1.0113545645670301E-9</v>
      </c>
      <c r="O3" s="1">
        <v>1.5930376676720101E-13</v>
      </c>
      <c r="P3" s="1">
        <v>-1.7969672172506901E-12</v>
      </c>
      <c r="Q3">
        <v>49.3399214887543</v>
      </c>
      <c r="R3">
        <v>1.77241405947695E-2</v>
      </c>
      <c r="S3">
        <v>2.5420883922924702</v>
      </c>
      <c r="T3">
        <v>0.60046736695027203</v>
      </c>
      <c r="V3">
        <v>32.732537455801499</v>
      </c>
      <c r="X3">
        <v>14.577700515945301</v>
      </c>
      <c r="AA3">
        <v>0.17373127833207799</v>
      </c>
      <c r="AB3">
        <v>1.5829361329175302E-2</v>
      </c>
      <c r="AJ3">
        <v>-1.13233755547078</v>
      </c>
      <c r="AK3">
        <v>0.99150719278931898</v>
      </c>
      <c r="AL3">
        <v>1.07218356580956</v>
      </c>
      <c r="AM3">
        <v>4.9746443875125002E-2</v>
      </c>
      <c r="AN3">
        <v>-4.8702326290938E-2</v>
      </c>
      <c r="AO3">
        <v>6.6400570620527399E-2</v>
      </c>
      <c r="AP3">
        <v>1.2021086671824999E-3</v>
      </c>
    </row>
    <row r="4" spans="1:42" x14ac:dyDescent="0.2">
      <c r="A4">
        <v>16</v>
      </c>
      <c r="B4">
        <v>730</v>
      </c>
      <c r="C4">
        <v>300</v>
      </c>
      <c r="D4">
        <v>0.25457857748093798</v>
      </c>
      <c r="E4">
        <v>0.64170120948638099</v>
      </c>
      <c r="F4">
        <v>3.6018014724545302</v>
      </c>
      <c r="G4">
        <v>-8.1129100976776218</v>
      </c>
      <c r="H4">
        <v>-6.9022372643269074</v>
      </c>
      <c r="I4">
        <v>1.2068711891050301</v>
      </c>
      <c r="J4">
        <v>0.71402790856162601</v>
      </c>
      <c r="K4">
        <v>0.17816118250656299</v>
      </c>
      <c r="L4">
        <v>4.4150657075386677E-5</v>
      </c>
      <c r="M4">
        <v>9.1481206969222482E-7</v>
      </c>
      <c r="N4" s="1">
        <v>1.1776059054754399E-9</v>
      </c>
      <c r="O4" s="1">
        <v>1.7405895861646301E-13</v>
      </c>
      <c r="P4" s="1">
        <v>-2.46945755206024E-12</v>
      </c>
      <c r="Q4">
        <v>49.154972621469298</v>
      </c>
      <c r="R4">
        <v>1.8518064919689201E-2</v>
      </c>
      <c r="S4">
        <v>2.7774386666214501</v>
      </c>
      <c r="T4">
        <v>0.62475227519603405</v>
      </c>
      <c r="V4">
        <v>32.855507725147199</v>
      </c>
      <c r="X4">
        <v>14.403202993293</v>
      </c>
      <c r="AA4">
        <v>0.15027446846456199</v>
      </c>
      <c r="AB4">
        <v>1.53331848885075E-2</v>
      </c>
      <c r="AJ4">
        <v>-1.14398977559691</v>
      </c>
      <c r="AK4">
        <v>0.99252396972494905</v>
      </c>
      <c r="AL4">
        <v>1.0769718132192401</v>
      </c>
      <c r="AM4">
        <v>5.4901713553978403E-2</v>
      </c>
      <c r="AN4">
        <v>-5.3810055791518902E-2</v>
      </c>
      <c r="AO4">
        <v>7.2237084144073593E-2</v>
      </c>
      <c r="AP4">
        <v>1.16525074618163E-3</v>
      </c>
    </row>
    <row r="5" spans="1:42" x14ac:dyDescent="0.2">
      <c r="A5">
        <v>17</v>
      </c>
      <c r="B5">
        <v>728</v>
      </c>
      <c r="C5">
        <v>300</v>
      </c>
      <c r="D5">
        <v>0.25294960795086002</v>
      </c>
      <c r="E5">
        <v>0.67489040633136299</v>
      </c>
      <c r="F5">
        <v>3.6054720925125698</v>
      </c>
      <c r="G5">
        <v>-8.5215440593477272</v>
      </c>
      <c r="H5">
        <v>-7.2526511785078265</v>
      </c>
      <c r="I5">
        <v>1.26743533021015</v>
      </c>
      <c r="J5">
        <v>0.75044837872617298</v>
      </c>
      <c r="K5">
        <v>0.187185031256488</v>
      </c>
      <c r="L5">
        <v>4.4068660282855815E-5</v>
      </c>
      <c r="M5">
        <v>9.1461371890456533E-7</v>
      </c>
      <c r="N5" s="1">
        <v>1.31086918618648E-9</v>
      </c>
      <c r="O5" s="1">
        <v>1.82762056827391E-13</v>
      </c>
      <c r="P5" s="1">
        <v>-3.0498105994128801E-12</v>
      </c>
      <c r="Q5">
        <v>48.9875656279278</v>
      </c>
      <c r="R5">
        <v>1.9169215549725001E-2</v>
      </c>
      <c r="S5">
        <v>2.9919290625535999</v>
      </c>
      <c r="T5">
        <v>0.64545822023950306</v>
      </c>
      <c r="V5">
        <v>32.964199813980002</v>
      </c>
      <c r="X5">
        <v>14.2438723808626</v>
      </c>
      <c r="AA5">
        <v>0.13290644240392699</v>
      </c>
      <c r="AB5">
        <v>1.4899236482733599E-2</v>
      </c>
      <c r="AJ5">
        <v>-1.1543081296135</v>
      </c>
      <c r="AK5">
        <v>0.99328206456277002</v>
      </c>
      <c r="AL5">
        <v>1.0812192715750899</v>
      </c>
      <c r="AM5">
        <v>5.9623992003893102E-2</v>
      </c>
      <c r="AN5">
        <v>-5.8493232278582899E-2</v>
      </c>
      <c r="AO5">
        <v>7.7543043646598697E-2</v>
      </c>
      <c r="AP5">
        <v>1.1329901037295299E-3</v>
      </c>
    </row>
    <row r="6" spans="1:42" x14ac:dyDescent="0.2">
      <c r="A6">
        <v>18</v>
      </c>
      <c r="B6">
        <v>726</v>
      </c>
      <c r="C6">
        <v>300</v>
      </c>
      <c r="D6">
        <v>0.251314116999449</v>
      </c>
      <c r="E6">
        <v>0.69919709320648904</v>
      </c>
      <c r="F6">
        <v>3.60889673981556</v>
      </c>
      <c r="G6">
        <v>-8.8178409288752082</v>
      </c>
      <c r="H6">
        <v>-7.5077731994786809</v>
      </c>
      <c r="I6">
        <v>1.31118223429567</v>
      </c>
      <c r="J6">
        <v>0.77694953328835803</v>
      </c>
      <c r="K6">
        <v>0.19374261543493801</v>
      </c>
      <c r="L6">
        <v>4.39837433581652E-5</v>
      </c>
      <c r="M6">
        <v>9.1441184328706016E-7</v>
      </c>
      <c r="N6" s="1">
        <v>1.4312616705414799E-9</v>
      </c>
      <c r="O6" s="1">
        <v>1.8883540614141301E-13</v>
      </c>
      <c r="P6" s="1">
        <v>-3.5746301180445902E-12</v>
      </c>
      <c r="Q6">
        <v>48.8306041026974</v>
      </c>
      <c r="R6">
        <v>1.9726621351481202E-2</v>
      </c>
      <c r="S6">
        <v>3.1943640444660302</v>
      </c>
      <c r="T6">
        <v>0.66390784529871205</v>
      </c>
      <c r="V6">
        <v>33.063938549839698</v>
      </c>
      <c r="X6">
        <v>14.0938737159374</v>
      </c>
      <c r="AA6">
        <v>0.119079333116852</v>
      </c>
      <c r="AB6">
        <v>1.45057872921955E-2</v>
      </c>
      <c r="AJ6">
        <v>-1.1638259807484399</v>
      </c>
      <c r="AK6">
        <v>0.99388943529406304</v>
      </c>
      <c r="AL6">
        <v>1.0851275262930999</v>
      </c>
      <c r="AM6">
        <v>6.4099467541344504E-2</v>
      </c>
      <c r="AN6">
        <v>-6.2935144064395099E-2</v>
      </c>
      <c r="AO6">
        <v>8.2540977079891401E-2</v>
      </c>
      <c r="AP6">
        <v>1.1037186044306701E-3</v>
      </c>
    </row>
    <row r="7" spans="1:42" x14ac:dyDescent="0.2">
      <c r="A7">
        <v>19</v>
      </c>
      <c r="B7">
        <v>724</v>
      </c>
      <c r="C7">
        <v>300</v>
      </c>
      <c r="D7">
        <v>0.249672065386352</v>
      </c>
      <c r="E7">
        <v>0.718870869751428</v>
      </c>
      <c r="F7">
        <v>3.6121531026685498</v>
      </c>
      <c r="G7">
        <v>-9.0556005099006391</v>
      </c>
      <c r="H7">
        <v>-7.7133011179653668</v>
      </c>
      <c r="I7">
        <v>1.3461358791909599</v>
      </c>
      <c r="J7">
        <v>0.79826831842719104</v>
      </c>
      <c r="K7">
        <v>0.19901450722571701</v>
      </c>
      <c r="L7">
        <v>4.3895671859148488E-5</v>
      </c>
      <c r="M7">
        <v>9.1420392000934298E-7</v>
      </c>
      <c r="N7" s="1">
        <v>1.5458747084411201E-9</v>
      </c>
      <c r="O7" s="1">
        <v>1.9345861653042299E-13</v>
      </c>
      <c r="P7" s="1">
        <v>-4.0599279105861497E-12</v>
      </c>
      <c r="Q7">
        <v>48.680532048239797</v>
      </c>
      <c r="R7">
        <v>2.0215436852401101E-2</v>
      </c>
      <c r="S7">
        <v>3.3891514742574702</v>
      </c>
      <c r="T7">
        <v>0.680768689514195</v>
      </c>
      <c r="V7">
        <v>33.157320205249</v>
      </c>
      <c r="X7">
        <v>13.9502519075496</v>
      </c>
      <c r="AA7">
        <v>0.107619001589646</v>
      </c>
      <c r="AB7">
        <v>1.41412367477008E-2</v>
      </c>
      <c r="AJ7">
        <v>-1.17280385918088</v>
      </c>
      <c r="AK7">
        <v>0.99439593455542796</v>
      </c>
      <c r="AL7">
        <v>1.0887951596458401</v>
      </c>
      <c r="AM7">
        <v>6.8421299442823699E-2</v>
      </c>
      <c r="AN7">
        <v>-6.7227463528231807E-2</v>
      </c>
      <c r="AO7">
        <v>8.7342352270530596E-2</v>
      </c>
      <c r="AP7">
        <v>1.07657679449494E-3</v>
      </c>
    </row>
    <row r="8" spans="1:42" x14ac:dyDescent="0.2">
      <c r="A8">
        <v>31</v>
      </c>
      <c r="B8">
        <v>738</v>
      </c>
      <c r="C8">
        <v>275</v>
      </c>
      <c r="D8">
        <v>0.28822677149780002</v>
      </c>
      <c r="E8">
        <v>0.372671551983706</v>
      </c>
      <c r="F8">
        <v>3.58445266068663</v>
      </c>
      <c r="G8">
        <v>-4.7488402718829548</v>
      </c>
      <c r="H8">
        <v>-4.035560364329795</v>
      </c>
      <c r="I8">
        <v>0.70541453548252897</v>
      </c>
      <c r="J8">
        <v>0.41627429121855097</v>
      </c>
      <c r="K8">
        <v>0.1039688865391</v>
      </c>
      <c r="L8">
        <v>4.4363068606495961E-5</v>
      </c>
      <c r="M8">
        <v>9.1414124618922756E-7</v>
      </c>
      <c r="N8" s="1">
        <v>5.4928954840053703E-10</v>
      </c>
      <c r="O8" s="1">
        <v>1.01882139022595E-13</v>
      </c>
      <c r="P8" s="1">
        <v>-4.8954769386345001E-13</v>
      </c>
      <c r="Q8">
        <v>49.754510275957699</v>
      </c>
      <c r="R8">
        <v>1.5695476857804001E-2</v>
      </c>
      <c r="S8">
        <v>2.1232509561697301</v>
      </c>
      <c r="T8">
        <v>0.55668932280459105</v>
      </c>
      <c r="V8">
        <v>32.184537706782599</v>
      </c>
      <c r="X8">
        <v>15.1252333951438</v>
      </c>
      <c r="AA8">
        <v>0.22390533782571301</v>
      </c>
      <c r="AB8">
        <v>1.61775284578911E-2</v>
      </c>
      <c r="AJ8">
        <v>-1.0986808999956399</v>
      </c>
      <c r="AK8">
        <v>0.98940618330648</v>
      </c>
      <c r="AL8">
        <v>1.05115699106449</v>
      </c>
      <c r="AM8">
        <v>4.0532716234801001E-2</v>
      </c>
      <c r="AN8">
        <v>-3.961080401092E-2</v>
      </c>
      <c r="AO8">
        <v>5.5970849350850803E-2</v>
      </c>
      <c r="AP8">
        <v>1.2249640499364699E-3</v>
      </c>
    </row>
    <row r="9" spans="1:42" x14ac:dyDescent="0.2">
      <c r="A9">
        <v>32</v>
      </c>
      <c r="B9">
        <v>736</v>
      </c>
      <c r="C9">
        <v>275</v>
      </c>
      <c r="D9">
        <v>0.28667740177377199</v>
      </c>
      <c r="E9">
        <v>0.53965663518202001</v>
      </c>
      <c r="F9">
        <v>3.5866803394285101</v>
      </c>
      <c r="G9">
        <v>-6.8758389745427255</v>
      </c>
      <c r="H9">
        <v>-5.8462215731595828</v>
      </c>
      <c r="I9">
        <v>1.02028182270538</v>
      </c>
      <c r="J9">
        <v>0.60293839573849195</v>
      </c>
      <c r="K9">
        <v>0.150461313557707</v>
      </c>
      <c r="L9">
        <v>4.4315017831539791E-5</v>
      </c>
      <c r="M9">
        <v>9.1349778612136345E-7</v>
      </c>
      <c r="N9" s="1">
        <v>8.4005820968584299E-10</v>
      </c>
      <c r="O9" s="1">
        <v>1.49043599621669E-13</v>
      </c>
      <c r="P9" s="1">
        <v>-1.22905740115888E-12</v>
      </c>
      <c r="Q9">
        <v>49.597816143070901</v>
      </c>
      <c r="R9">
        <v>1.7681217163453299E-2</v>
      </c>
      <c r="S9">
        <v>2.37532200545107</v>
      </c>
      <c r="T9">
        <v>0.57726653689905505</v>
      </c>
      <c r="V9">
        <v>32.175115567108399</v>
      </c>
      <c r="X9">
        <v>15.0546648139235</v>
      </c>
      <c r="AA9">
        <v>0.18647677377951399</v>
      </c>
      <c r="AB9">
        <v>1.56569426039736E-2</v>
      </c>
      <c r="AJ9">
        <v>-1.1060865220185501</v>
      </c>
      <c r="AK9">
        <v>0.99101200112273102</v>
      </c>
      <c r="AL9">
        <v>1.0508166801666201</v>
      </c>
      <c r="AM9">
        <v>4.6108087522215603E-2</v>
      </c>
      <c r="AN9">
        <v>-4.5069570183971397E-2</v>
      </c>
      <c r="AO9">
        <v>6.2033814910249299E-2</v>
      </c>
      <c r="AP9">
        <v>1.18550848069607E-3</v>
      </c>
    </row>
    <row r="10" spans="1:42" x14ac:dyDescent="0.2">
      <c r="A10">
        <v>33</v>
      </c>
      <c r="B10">
        <v>734</v>
      </c>
      <c r="C10">
        <v>275</v>
      </c>
      <c r="D10">
        <v>0.28512187856823701</v>
      </c>
      <c r="E10">
        <v>0.60083055253575501</v>
      </c>
      <c r="F10">
        <v>3.5907698907467398</v>
      </c>
      <c r="G10">
        <v>-7.6440487120889049</v>
      </c>
      <c r="H10">
        <v>-6.5016916663863</v>
      </c>
      <c r="I10">
        <v>1.1342471783771999</v>
      </c>
      <c r="J10">
        <v>0.67084808693583797</v>
      </c>
      <c r="K10">
        <v>0.16732638704698599</v>
      </c>
      <c r="L10">
        <v>4.4252824095788913E-5</v>
      </c>
      <c r="M10">
        <v>9.1339114954211706E-7</v>
      </c>
      <c r="N10" s="1">
        <v>9.9516962953289296E-10</v>
      </c>
      <c r="O10" s="1">
        <v>1.6622143634806701E-13</v>
      </c>
      <c r="P10" s="1">
        <v>-1.8580246264168901E-12</v>
      </c>
      <c r="Q10">
        <v>49.416784962913802</v>
      </c>
      <c r="R10">
        <v>1.8506001273345202E-2</v>
      </c>
      <c r="S10">
        <v>2.60216039907999</v>
      </c>
      <c r="T10">
        <v>0.60122933442222504</v>
      </c>
      <c r="V10">
        <v>32.3041428414734</v>
      </c>
      <c r="X10">
        <v>14.880485899438201</v>
      </c>
      <c r="AA10">
        <v>0.16153082458780901</v>
      </c>
      <c r="AB10">
        <v>1.5159736811203001E-2</v>
      </c>
      <c r="AJ10">
        <v>-1.1177724666512101</v>
      </c>
      <c r="AK10">
        <v>0.99208767377802498</v>
      </c>
      <c r="AL10">
        <v>1.05579836275362</v>
      </c>
      <c r="AM10">
        <v>5.1056432229889898E-2</v>
      </c>
      <c r="AN10">
        <v>-4.9968679703135802E-2</v>
      </c>
      <c r="AO10">
        <v>6.7649981121589597E-2</v>
      </c>
      <c r="AP10">
        <v>1.1486964712209601E-3</v>
      </c>
    </row>
    <row r="11" spans="1:42" x14ac:dyDescent="0.2">
      <c r="A11">
        <v>34</v>
      </c>
      <c r="B11">
        <v>732</v>
      </c>
      <c r="C11">
        <v>275</v>
      </c>
      <c r="D11">
        <v>0.28356016514948101</v>
      </c>
      <c r="E11">
        <v>0.63631039000908896</v>
      </c>
      <c r="F11">
        <v>3.5944344062850302</v>
      </c>
      <c r="G11">
        <v>-8.0847298518084614</v>
      </c>
      <c r="H11">
        <v>-6.879079276813286</v>
      </c>
      <c r="I11">
        <v>1.19947328756421</v>
      </c>
      <c r="J11">
        <v>0.71000504885216598</v>
      </c>
      <c r="K11">
        <v>0.17702656888006299</v>
      </c>
      <c r="L11">
        <v>4.4186997637077556E-5</v>
      </c>
      <c r="M11">
        <v>9.1327453175860477E-7</v>
      </c>
      <c r="N11" s="1">
        <v>1.1148502328987301E-9</v>
      </c>
      <c r="O11" s="1">
        <v>1.7604896845443601E-13</v>
      </c>
      <c r="P11" s="1">
        <v>-2.4118907716508901E-12</v>
      </c>
      <c r="Q11">
        <v>49.253963066086698</v>
      </c>
      <c r="R11">
        <v>1.91773676767985E-2</v>
      </c>
      <c r="S11">
        <v>2.80762470247589</v>
      </c>
      <c r="T11">
        <v>0.62148648849683796</v>
      </c>
      <c r="V11">
        <v>32.417630620955002</v>
      </c>
      <c r="X11">
        <v>14.722341134382299</v>
      </c>
      <c r="AA11">
        <v>0.14304609928193099</v>
      </c>
      <c r="AB11">
        <v>1.4730520644428801E-2</v>
      </c>
      <c r="AJ11">
        <v>-1.12805314042009</v>
      </c>
      <c r="AK11">
        <v>0.99288957725168803</v>
      </c>
      <c r="AL11">
        <v>1.0601953310005401</v>
      </c>
      <c r="AM11">
        <v>5.5562432848442499E-2</v>
      </c>
      <c r="AN11">
        <v>-5.4434486705432897E-2</v>
      </c>
      <c r="AO11">
        <v>7.2723387858164096E-2</v>
      </c>
      <c r="AP11">
        <v>1.11689816669E-3</v>
      </c>
    </row>
    <row r="12" spans="1:42" x14ac:dyDescent="0.2">
      <c r="A12">
        <v>35</v>
      </c>
      <c r="B12">
        <v>730</v>
      </c>
      <c r="C12">
        <v>275</v>
      </c>
      <c r="D12">
        <v>0.28199222449285299</v>
      </c>
      <c r="E12">
        <v>0.66156411421775696</v>
      </c>
      <c r="F12">
        <v>3.5978464808764099</v>
      </c>
      <c r="G12">
        <v>-8.3952107186019287</v>
      </c>
      <c r="H12">
        <v>-7.1460110029647259</v>
      </c>
      <c r="I12">
        <v>1.24527709279489</v>
      </c>
      <c r="J12">
        <v>0.73771013649890604</v>
      </c>
      <c r="K12">
        <v>0.183877805163216</v>
      </c>
      <c r="L12">
        <v>4.4117548782716127E-5</v>
      </c>
      <c r="M12">
        <v>9.1314572609838484E-7</v>
      </c>
      <c r="N12" s="1">
        <v>1.2215830746288701E-9</v>
      </c>
      <c r="O12" s="1">
        <v>1.8283209710758501E-13</v>
      </c>
      <c r="P12" s="1">
        <v>-2.9199942794349802E-12</v>
      </c>
      <c r="Q12">
        <v>49.101694038124101</v>
      </c>
      <c r="R12">
        <v>1.97501962926772E-2</v>
      </c>
      <c r="S12">
        <v>3.0010570609134102</v>
      </c>
      <c r="T12">
        <v>0.63946436145043495</v>
      </c>
      <c r="V12">
        <v>32.5216422442832</v>
      </c>
      <c r="X12">
        <v>14.573733901371501</v>
      </c>
      <c r="AA12">
        <v>0.128314562519554</v>
      </c>
      <c r="AB12">
        <v>1.43436350449454E-2</v>
      </c>
      <c r="AJ12">
        <v>-1.13750876590862</v>
      </c>
      <c r="AK12">
        <v>0.99353226806860495</v>
      </c>
      <c r="AL12">
        <v>1.0642360532017801</v>
      </c>
      <c r="AM12">
        <v>5.9822971936132598E-2</v>
      </c>
      <c r="AN12">
        <v>-5.8660635996139299E-2</v>
      </c>
      <c r="AO12">
        <v>7.7489891490089099E-2</v>
      </c>
      <c r="AP12">
        <v>1.0882172081601001E-3</v>
      </c>
    </row>
    <row r="13" spans="1:42" x14ac:dyDescent="0.2">
      <c r="A13">
        <v>36</v>
      </c>
      <c r="B13">
        <v>728</v>
      </c>
      <c r="C13">
        <v>275</v>
      </c>
      <c r="D13">
        <v>0.280418019277831</v>
      </c>
      <c r="E13">
        <v>0.68159963601365903</v>
      </c>
      <c r="F13">
        <v>3.6010887603077801</v>
      </c>
      <c r="G13">
        <v>-8.6393083345659125</v>
      </c>
      <c r="H13">
        <v>-7.3566859605481101</v>
      </c>
      <c r="I13">
        <v>1.2811490526072999</v>
      </c>
      <c r="J13">
        <v>0.75956379462943202</v>
      </c>
      <c r="K13">
        <v>0.18927598884160901</v>
      </c>
      <c r="L13">
        <v>4.4044444350441649E-5</v>
      </c>
      <c r="M13">
        <v>9.1300428452823861E-7</v>
      </c>
      <c r="N13" s="1">
        <v>1.32286532383805E-9</v>
      </c>
      <c r="O13" s="1">
        <v>1.8797910205947099E-13</v>
      </c>
      <c r="P13" s="1">
        <v>-3.3956262655644699E-12</v>
      </c>
      <c r="Q13">
        <v>48.956269419484698</v>
      </c>
      <c r="R13">
        <v>2.0251716244353801E-2</v>
      </c>
      <c r="S13">
        <v>3.1869824716212398</v>
      </c>
      <c r="T13">
        <v>0.65585997656266004</v>
      </c>
      <c r="V13">
        <v>32.619053431948103</v>
      </c>
      <c r="X13">
        <v>14.431504872866</v>
      </c>
      <c r="AA13">
        <v>0.11609191005106501</v>
      </c>
      <c r="AB13">
        <v>1.3986201221680299E-2</v>
      </c>
      <c r="AJ13">
        <v>-1.1464155393797699</v>
      </c>
      <c r="AK13">
        <v>0.99406845157046098</v>
      </c>
      <c r="AL13">
        <v>1.06802906505296</v>
      </c>
      <c r="AM13">
        <v>6.3933339408975998E-2</v>
      </c>
      <c r="AN13">
        <v>-6.27408121857497E-2</v>
      </c>
      <c r="AO13">
        <v>8.2063794224129599E-2</v>
      </c>
      <c r="AP13">
        <v>1.06170130899298E-3</v>
      </c>
    </row>
    <row r="14" spans="1:42" x14ac:dyDescent="0.2">
      <c r="A14">
        <v>37</v>
      </c>
      <c r="B14">
        <v>726</v>
      </c>
      <c r="C14">
        <v>275</v>
      </c>
      <c r="D14">
        <v>0.27883751188509998</v>
      </c>
      <c r="E14">
        <v>0.69858219195342297</v>
      </c>
      <c r="F14">
        <v>3.60420799871603</v>
      </c>
      <c r="G14">
        <v>-8.8445864796162379</v>
      </c>
      <c r="H14">
        <v>-7.5345091677794542</v>
      </c>
      <c r="I14">
        <v>1.3111918248879399</v>
      </c>
      <c r="J14">
        <v>0.77798685542123602</v>
      </c>
      <c r="K14">
        <v>0.19382405016644</v>
      </c>
      <c r="L14">
        <v>4.3967655481800417E-5</v>
      </c>
      <c r="M14">
        <v>9.1285036340670681E-7</v>
      </c>
      <c r="N14" s="1">
        <v>1.4219975716512299E-9</v>
      </c>
      <c r="O14" s="1">
        <v>1.9210511000600199E-13</v>
      </c>
      <c r="P14" s="1">
        <v>-3.8457874274806303E-12</v>
      </c>
      <c r="Q14">
        <v>48.815572758603501</v>
      </c>
      <c r="R14">
        <v>2.0697869871326199E-2</v>
      </c>
      <c r="S14">
        <v>3.3679861251743102</v>
      </c>
      <c r="T14">
        <v>0.67107462802627504</v>
      </c>
      <c r="V14">
        <v>32.711477888845103</v>
      </c>
      <c r="X14">
        <v>14.2938540057369</v>
      </c>
      <c r="AA14">
        <v>0.10568596852961</v>
      </c>
      <c r="AB14">
        <v>1.36507552128384E-2</v>
      </c>
      <c r="AJ14">
        <v>-1.1549294393265901</v>
      </c>
      <c r="AK14">
        <v>0.99452746402649606</v>
      </c>
      <c r="AL14">
        <v>1.07163529620522</v>
      </c>
      <c r="AM14">
        <v>6.7947936606268799E-2</v>
      </c>
      <c r="AN14">
        <v>-6.6728477484435805E-2</v>
      </c>
      <c r="AO14">
        <v>8.6510421412254804E-2</v>
      </c>
      <c r="AP14">
        <v>1.03679856078406E-3</v>
      </c>
    </row>
    <row r="15" spans="1:42" x14ac:dyDescent="0.2">
      <c r="A15">
        <v>47</v>
      </c>
      <c r="B15">
        <v>742</v>
      </c>
      <c r="C15">
        <v>250</v>
      </c>
      <c r="D15">
        <v>0.318396788651924</v>
      </c>
      <c r="E15">
        <v>0.31106608126294599</v>
      </c>
      <c r="F15">
        <v>3.5783635894064099</v>
      </c>
      <c r="G15">
        <v>-3.9777842563753616</v>
      </c>
      <c r="H15">
        <v>-3.3782203553231724</v>
      </c>
      <c r="I15">
        <v>0.59061606762763097</v>
      </c>
      <c r="J15">
        <v>0.34807308120198999</v>
      </c>
      <c r="K15">
        <v>8.6929702220267094E-2</v>
      </c>
      <c r="L15">
        <v>4.4393536499003968E-5</v>
      </c>
      <c r="M15">
        <v>9.1333651568513087E-7</v>
      </c>
      <c r="N15" s="1">
        <v>4.3358516402145502E-10</v>
      </c>
      <c r="O15" s="1">
        <v>8.5469643230163304E-14</v>
      </c>
      <c r="P15" s="1">
        <v>-2.2560813591407401E-13</v>
      </c>
      <c r="Q15">
        <v>49.887084435251502</v>
      </c>
      <c r="R15">
        <v>1.4248457752310401E-2</v>
      </c>
      <c r="S15">
        <v>2.0203150731725401</v>
      </c>
      <c r="T15">
        <v>0.55441389994795598</v>
      </c>
      <c r="V15">
        <v>31.9184215837988</v>
      </c>
      <c r="X15">
        <v>15.358095963734799</v>
      </c>
      <c r="AA15">
        <v>0.23158828562523401</v>
      </c>
      <c r="AB15">
        <v>1.5832300716665099E-2</v>
      </c>
      <c r="AJ15">
        <v>-1.08574559423646</v>
      </c>
      <c r="AK15">
        <v>0.98912577581787697</v>
      </c>
      <c r="AL15">
        <v>1.0410363588529901</v>
      </c>
      <c r="AM15">
        <v>3.811544236429E-2</v>
      </c>
      <c r="AN15">
        <v>-3.7279671742876698E-2</v>
      </c>
      <c r="AO15">
        <v>5.3550509132959903E-2</v>
      </c>
      <c r="AP15">
        <v>1.19717981121549E-3</v>
      </c>
    </row>
    <row r="16" spans="1:42" x14ac:dyDescent="0.2">
      <c r="A16">
        <v>48</v>
      </c>
      <c r="B16">
        <v>740</v>
      </c>
      <c r="C16">
        <v>250</v>
      </c>
      <c r="D16">
        <v>0.31691309282929903</v>
      </c>
      <c r="E16">
        <v>0.48659641693615302</v>
      </c>
      <c r="F16">
        <v>3.5734314066222201</v>
      </c>
      <c r="G16">
        <v>-6.2475508161883182</v>
      </c>
      <c r="H16">
        <v>-5.3117062033540607</v>
      </c>
      <c r="I16">
        <v>0.92369798434018302</v>
      </c>
      <c r="J16">
        <v>0.54581875131940805</v>
      </c>
      <c r="K16">
        <v>0.13617063308796101</v>
      </c>
      <c r="L16">
        <v>4.4365867586899071E-5</v>
      </c>
      <c r="M16">
        <v>9.1135627633968813E-7</v>
      </c>
      <c r="N16" s="1">
        <v>6.8193761138339405E-10</v>
      </c>
      <c r="O16" s="1">
        <v>1.3717786862102201E-13</v>
      </c>
      <c r="P16" s="1">
        <v>-7.0230177626613095E-13</v>
      </c>
      <c r="Q16">
        <v>49.899754966576801</v>
      </c>
      <c r="R16">
        <v>1.8520318509085702E-2</v>
      </c>
      <c r="S16">
        <v>2.2046013138554201</v>
      </c>
      <c r="T16">
        <v>0.54672881242025195</v>
      </c>
      <c r="V16">
        <v>31.471728654788102</v>
      </c>
      <c r="X16">
        <v>15.641678064411501</v>
      </c>
      <c r="AA16">
        <v>0.20140519985462699</v>
      </c>
      <c r="AB16">
        <v>1.5582669584136399E-2</v>
      </c>
      <c r="AJ16">
        <v>-1.07414310388912</v>
      </c>
      <c r="AK16">
        <v>0.99042860784249798</v>
      </c>
      <c r="AL16">
        <v>1.02403441204856</v>
      </c>
      <c r="AM16">
        <v>4.2497304977075601E-2</v>
      </c>
      <c r="AN16">
        <v>-4.1413534902166801E-2</v>
      </c>
      <c r="AO16">
        <v>5.7420802975774003E-2</v>
      </c>
      <c r="AP16">
        <v>1.1755109473770499E-3</v>
      </c>
    </row>
    <row r="17" spans="1:42" x14ac:dyDescent="0.2">
      <c r="A17">
        <v>49</v>
      </c>
      <c r="B17">
        <v>738</v>
      </c>
      <c r="C17">
        <v>250</v>
      </c>
      <c r="D17">
        <v>0.31542352766652099</v>
      </c>
      <c r="E17">
        <v>0.56204373226940096</v>
      </c>
      <c r="F17">
        <v>3.57992455898165</v>
      </c>
      <c r="G17">
        <v>-7.1952152465994557</v>
      </c>
      <c r="H17">
        <v>-6.1183528656075001</v>
      </c>
      <c r="I17">
        <v>1.0649877673856001</v>
      </c>
      <c r="J17">
        <v>0.629583664611442</v>
      </c>
      <c r="K17">
        <v>0.156998764362029</v>
      </c>
      <c r="L17">
        <v>4.4317413535538037E-5</v>
      </c>
      <c r="M17">
        <v>9.1183286834626009E-7</v>
      </c>
      <c r="N17" s="1">
        <v>8.4712078058870499E-10</v>
      </c>
      <c r="O17" s="1">
        <v>1.58244944201241E-13</v>
      </c>
      <c r="P17" s="1">
        <v>-1.31755737633906E-12</v>
      </c>
      <c r="Q17">
        <v>49.667526565339998</v>
      </c>
      <c r="R17">
        <v>1.8542347449374601E-2</v>
      </c>
      <c r="S17">
        <v>2.4424287224651802</v>
      </c>
      <c r="T17">
        <v>0.57976088139415904</v>
      </c>
      <c r="V17">
        <v>31.754553843565301</v>
      </c>
      <c r="X17">
        <v>15.3492419036863</v>
      </c>
      <c r="AA17">
        <v>0.17295676338597901</v>
      </c>
      <c r="AB17">
        <v>1.4988972713519901E-2</v>
      </c>
      <c r="AJ17">
        <v>-1.0921709114365099</v>
      </c>
      <c r="AK17">
        <v>0.991646462871556</v>
      </c>
      <c r="AL17">
        <v>1.03482863529974</v>
      </c>
      <c r="AM17">
        <v>4.75628105088651E-2</v>
      </c>
      <c r="AN17">
        <v>-4.6476079928652297E-2</v>
      </c>
      <c r="AO17">
        <v>6.34766167302519E-2</v>
      </c>
      <c r="AP17">
        <v>1.1324659547466301E-3</v>
      </c>
    </row>
    <row r="18" spans="1:42" x14ac:dyDescent="0.2">
      <c r="A18">
        <v>50</v>
      </c>
      <c r="B18">
        <v>736</v>
      </c>
      <c r="C18">
        <v>250</v>
      </c>
      <c r="D18">
        <v>0.31392805826685999</v>
      </c>
      <c r="E18">
        <v>0.59978876728320596</v>
      </c>
      <c r="F18">
        <v>3.5835569953676298</v>
      </c>
      <c r="G18">
        <v>-7.6680673945967781</v>
      </c>
      <c r="H18">
        <v>-6.5228259373736144</v>
      </c>
      <c r="I18">
        <v>1.1348575109975301</v>
      </c>
      <c r="J18">
        <v>0.67145248171567995</v>
      </c>
      <c r="K18">
        <v>0.16737246486062199</v>
      </c>
      <c r="L18">
        <v>4.4267242696559947E-5</v>
      </c>
      <c r="M18">
        <v>9.1180307099721614E-7</v>
      </c>
      <c r="N18" s="1">
        <v>9.5352480320509193E-10</v>
      </c>
      <c r="O18" s="1">
        <v>1.69156183278036E-13</v>
      </c>
      <c r="P18" s="1">
        <v>-1.8311994052518801E-12</v>
      </c>
      <c r="Q18">
        <v>49.510141397392999</v>
      </c>
      <c r="R18">
        <v>1.9229830329146901E-2</v>
      </c>
      <c r="S18">
        <v>2.63808254805258</v>
      </c>
      <c r="T18">
        <v>0.59942316839497201</v>
      </c>
      <c r="V18">
        <v>31.8716470448894</v>
      </c>
      <c r="X18">
        <v>15.1934101165554</v>
      </c>
      <c r="AA18">
        <v>0.15349884889491</v>
      </c>
      <c r="AB18">
        <v>1.45670454904759E-2</v>
      </c>
      <c r="AJ18">
        <v>-1.1023415785992401</v>
      </c>
      <c r="AK18">
        <v>0.99248577954236605</v>
      </c>
      <c r="AL18">
        <v>1.03932826268587</v>
      </c>
      <c r="AM18">
        <v>5.18375515283322E-2</v>
      </c>
      <c r="AN18">
        <v>-5.0709786993134998E-2</v>
      </c>
      <c r="AO18">
        <v>6.8298459333057504E-2</v>
      </c>
      <c r="AP18">
        <v>1.1013125027439299E-3</v>
      </c>
    </row>
    <row r="19" spans="1:42" x14ac:dyDescent="0.2">
      <c r="A19">
        <v>51</v>
      </c>
      <c r="B19">
        <v>734</v>
      </c>
      <c r="C19">
        <v>250</v>
      </c>
      <c r="D19">
        <v>0.31242664945638698</v>
      </c>
      <c r="E19">
        <v>0.62599739293312195</v>
      </c>
      <c r="F19">
        <v>3.5869358651583099</v>
      </c>
      <c r="G19">
        <v>-7.9930588696475997</v>
      </c>
      <c r="H19">
        <v>-6.8018585103480724</v>
      </c>
      <c r="I19">
        <v>1.18274374154746</v>
      </c>
      <c r="J19">
        <v>0.70036600546710104</v>
      </c>
      <c r="K19">
        <v>0.17452149033768399</v>
      </c>
      <c r="L19">
        <v>4.4212881402609701E-5</v>
      </c>
      <c r="M19">
        <v>9.1175265325875351E-7</v>
      </c>
      <c r="N19" s="1">
        <v>1.04682902350351E-9</v>
      </c>
      <c r="O19" s="1">
        <v>1.7661831023321E-13</v>
      </c>
      <c r="P19" s="1">
        <v>-2.3109800554697899E-12</v>
      </c>
      <c r="Q19">
        <v>49.363209548712803</v>
      </c>
      <c r="R19">
        <v>1.9815161490026701E-2</v>
      </c>
      <c r="S19">
        <v>2.8219614247564899</v>
      </c>
      <c r="T19">
        <v>0.61681854036630901</v>
      </c>
      <c r="V19">
        <v>31.978956009601401</v>
      </c>
      <c r="X19">
        <v>15.0471150092946</v>
      </c>
      <c r="AA19">
        <v>0.13793553141321299</v>
      </c>
      <c r="AB19">
        <v>1.4188774365012599E-2</v>
      </c>
      <c r="AJ19">
        <v>-1.11167973927528</v>
      </c>
      <c r="AK19">
        <v>0.99316042206060595</v>
      </c>
      <c r="AL19">
        <v>1.0434627881418399</v>
      </c>
      <c r="AM19">
        <v>5.5873038301201598E-2</v>
      </c>
      <c r="AN19">
        <v>-5.4710238225779299E-2</v>
      </c>
      <c r="AO19">
        <v>7.2820361525698596E-2</v>
      </c>
      <c r="AP19">
        <v>1.07336747171069E-3</v>
      </c>
    </row>
    <row r="20" spans="1:42" x14ac:dyDescent="0.2">
      <c r="A20">
        <v>52</v>
      </c>
      <c r="B20">
        <v>732</v>
      </c>
      <c r="C20">
        <v>250</v>
      </c>
      <c r="D20">
        <v>0.31091926578122597</v>
      </c>
      <c r="E20">
        <v>0.64641822407900595</v>
      </c>
      <c r="F20">
        <v>3.59014624236598</v>
      </c>
      <c r="G20">
        <v>-8.2439234640989127</v>
      </c>
      <c r="H20">
        <v>-7.0180618804516968</v>
      </c>
      <c r="I20">
        <v>1.2195807428216801</v>
      </c>
      <c r="J20">
        <v>0.72277311507020503</v>
      </c>
      <c r="K20">
        <v>0.18005345198779499</v>
      </c>
      <c r="L20">
        <v>4.4154505838461739E-5</v>
      </c>
      <c r="M20">
        <v>9.1168349750901593E-7</v>
      </c>
      <c r="N20" s="1">
        <v>1.1348530911744201E-9</v>
      </c>
      <c r="O20" s="1">
        <v>1.82265984705262E-13</v>
      </c>
      <c r="P20" s="1">
        <v>-2.7661581264461699E-12</v>
      </c>
      <c r="Q20">
        <v>49.222979073665996</v>
      </c>
      <c r="R20">
        <v>2.0327076499815799E-2</v>
      </c>
      <c r="S20">
        <v>2.9985729590063599</v>
      </c>
      <c r="T20">
        <v>0.63265506625954504</v>
      </c>
      <c r="V20">
        <v>32.079547450617397</v>
      </c>
      <c r="X20">
        <v>14.9070868906261</v>
      </c>
      <c r="AA20">
        <v>0.124991250743829</v>
      </c>
      <c r="AB20">
        <v>1.3840232580766601E-2</v>
      </c>
      <c r="AJ20">
        <v>-1.12046879428335</v>
      </c>
      <c r="AK20">
        <v>0.993724298692515</v>
      </c>
      <c r="AL20">
        <v>1.0473472859645501</v>
      </c>
      <c r="AM20">
        <v>5.97638274794072E-2</v>
      </c>
      <c r="AN20">
        <v>-5.85703007459921E-2</v>
      </c>
      <c r="AO20">
        <v>7.7156079900900107E-2</v>
      </c>
      <c r="AP20">
        <v>1.04760299197257E-3</v>
      </c>
    </row>
    <row r="21" spans="1:42" x14ac:dyDescent="0.2">
      <c r="A21">
        <v>53</v>
      </c>
      <c r="B21">
        <v>730</v>
      </c>
      <c r="C21">
        <v>250</v>
      </c>
      <c r="D21">
        <v>0.30940587150476501</v>
      </c>
      <c r="E21">
        <v>0.663484971605801</v>
      </c>
      <c r="F21">
        <v>3.5932358732724601</v>
      </c>
      <c r="G21">
        <v>-8.4518465323990899</v>
      </c>
      <c r="H21">
        <v>-7.1979120380437358</v>
      </c>
      <c r="I21">
        <v>1.2499970037934001</v>
      </c>
      <c r="J21">
        <v>0.74140344568102301</v>
      </c>
      <c r="K21">
        <v>0.18464832118063701</v>
      </c>
      <c r="L21">
        <v>4.409219882727389E-5</v>
      </c>
      <c r="M21">
        <v>9.1159696150925121E-7</v>
      </c>
      <c r="N21" s="1">
        <v>1.2209691857861901E-9</v>
      </c>
      <c r="O21" s="1">
        <v>1.8679779608832699E-13</v>
      </c>
      <c r="P21" s="1">
        <v>-3.2019569662086599E-12</v>
      </c>
      <c r="Q21">
        <v>49.087329809197499</v>
      </c>
      <c r="R21">
        <v>2.0782218873986201E-2</v>
      </c>
      <c r="S21">
        <v>3.1704692830396501</v>
      </c>
      <c r="T21">
        <v>0.64733657934390698</v>
      </c>
      <c r="V21">
        <v>32.175130264671303</v>
      </c>
      <c r="X21">
        <v>14.771488587674</v>
      </c>
      <c r="AA21">
        <v>0.11394971290654</v>
      </c>
      <c r="AB21">
        <v>1.35135442929279E-2</v>
      </c>
      <c r="AJ21">
        <v>-1.1288679542673801</v>
      </c>
      <c r="AK21">
        <v>0.994207683777107</v>
      </c>
      <c r="AL21">
        <v>1.05104586641548</v>
      </c>
      <c r="AM21">
        <v>6.3563419044275093E-2</v>
      </c>
      <c r="AN21">
        <v>-6.2342496761766897E-2</v>
      </c>
      <c r="AO21">
        <v>8.1370043912304305E-2</v>
      </c>
      <c r="AP21">
        <v>1.0234378799720001E-3</v>
      </c>
    </row>
    <row r="22" spans="1:42" x14ac:dyDescent="0.2">
      <c r="A22">
        <v>61</v>
      </c>
      <c r="B22">
        <v>746</v>
      </c>
      <c r="C22">
        <v>225</v>
      </c>
      <c r="D22">
        <v>0.34832998086640898</v>
      </c>
      <c r="E22">
        <v>0.28899415946885498</v>
      </c>
      <c r="F22">
        <v>3.57092747308914</v>
      </c>
      <c r="G22">
        <v>-3.7122154781666001</v>
      </c>
      <c r="H22">
        <v>-3.1511596056675715</v>
      </c>
      <c r="I22">
        <v>0.55051353824169902</v>
      </c>
      <c r="J22">
        <v>0.32412014163151798</v>
      </c>
      <c r="K22">
        <v>8.0929719700762098E-2</v>
      </c>
      <c r="L22">
        <v>4.4411100439492896E-5</v>
      </c>
      <c r="M22">
        <v>9.1205917786946223E-7</v>
      </c>
      <c r="N22" s="1">
        <v>3.8128909616766401E-10</v>
      </c>
      <c r="O22" s="1">
        <v>8.0131135366246004E-14</v>
      </c>
      <c r="P22" s="1">
        <v>-6.1529846447756497E-14</v>
      </c>
      <c r="Q22">
        <v>50.033417641681702</v>
      </c>
      <c r="R22">
        <v>1.36056409088242E-2</v>
      </c>
      <c r="S22">
        <v>1.94259519953212</v>
      </c>
      <c r="T22">
        <v>0.54951707892935397</v>
      </c>
      <c r="V22">
        <v>31.5482114039437</v>
      </c>
      <c r="X22">
        <v>15.6617292991979</v>
      </c>
      <c r="AA22">
        <v>0.23542866753378799</v>
      </c>
      <c r="AB22">
        <v>1.5495068272516101E-2</v>
      </c>
      <c r="AJ22">
        <v>-1.0695912085445101</v>
      </c>
      <c r="AK22">
        <v>0.98901191667717403</v>
      </c>
      <c r="AL22">
        <v>1.0269884474597699</v>
      </c>
      <c r="AM22">
        <v>3.6325213553101601E-2</v>
      </c>
      <c r="AN22">
        <v>-3.5528679089258698E-2</v>
      </c>
      <c r="AO22">
        <v>5.1624877406329303E-2</v>
      </c>
      <c r="AP22">
        <v>1.1694325373895801E-3</v>
      </c>
    </row>
    <row r="23" spans="1:42" x14ac:dyDescent="0.2">
      <c r="A23">
        <v>62</v>
      </c>
      <c r="B23">
        <v>744</v>
      </c>
      <c r="C23">
        <v>225</v>
      </c>
      <c r="D23">
        <v>0.34691097674876298</v>
      </c>
      <c r="E23">
        <v>0.46083154076128002</v>
      </c>
      <c r="F23">
        <v>3.5660733898500898</v>
      </c>
      <c r="G23">
        <v>-5.9425789364660941</v>
      </c>
      <c r="H23">
        <v>-5.0498684824951594</v>
      </c>
      <c r="I23">
        <v>0.87765860882950697</v>
      </c>
      <c r="J23">
        <v>0.51802086304899597</v>
      </c>
      <c r="K23">
        <v>0.12922660034785499</v>
      </c>
      <c r="L23">
        <v>4.4375807259277871E-5</v>
      </c>
      <c r="M23">
        <v>9.1015059697524359E-7</v>
      </c>
      <c r="N23" s="1">
        <v>6.12219130903462E-10</v>
      </c>
      <c r="O23" s="1">
        <v>1.3105123607208201E-13</v>
      </c>
      <c r="P23" s="1">
        <v>-4.09439413192764E-13</v>
      </c>
      <c r="Q23">
        <v>50.051247560236298</v>
      </c>
      <c r="R23">
        <v>1.7662417380608801E-2</v>
      </c>
      <c r="S23">
        <v>2.1122400262510799</v>
      </c>
      <c r="T23">
        <v>0.54189917914479102</v>
      </c>
      <c r="V23">
        <v>31.1137493672421</v>
      </c>
      <c r="X23">
        <v>15.9394496611253</v>
      </c>
      <c r="AA23">
        <v>0.20850139253937999</v>
      </c>
      <c r="AB23">
        <v>1.52503960803417E-2</v>
      </c>
      <c r="AJ23">
        <v>-1.0580444968123801</v>
      </c>
      <c r="AK23">
        <v>0.99017599973154702</v>
      </c>
      <c r="AL23">
        <v>1.0105202996348599</v>
      </c>
      <c r="AM23">
        <v>4.0363253037916103E-2</v>
      </c>
      <c r="AN23">
        <v>-3.9331590673853403E-2</v>
      </c>
      <c r="AO23">
        <v>5.5168210452954003E-2</v>
      </c>
      <c r="AP23">
        <v>1.1483246289527101E-3</v>
      </c>
    </row>
    <row r="24" spans="1:42" x14ac:dyDescent="0.2">
      <c r="A24">
        <v>63</v>
      </c>
      <c r="B24">
        <v>742</v>
      </c>
      <c r="C24">
        <v>225</v>
      </c>
      <c r="D24">
        <v>0.345486381322956</v>
      </c>
      <c r="E24">
        <v>0.52872415152902796</v>
      </c>
      <c r="F24">
        <v>3.5694755611016</v>
      </c>
      <c r="G24">
        <v>-6.8100860209346328</v>
      </c>
      <c r="H24">
        <v>-5.7892947446148071</v>
      </c>
      <c r="I24">
        <v>1.0055570864599499</v>
      </c>
      <c r="J24">
        <v>0.594080104093614</v>
      </c>
      <c r="K24">
        <v>0.14812376285491399</v>
      </c>
      <c r="L24">
        <v>4.4344543643460247E-5</v>
      </c>
      <c r="M24">
        <v>9.1012654318802958E-7</v>
      </c>
      <c r="N24" s="1">
        <v>7.3682457746179802E-10</v>
      </c>
      <c r="O24" s="1">
        <v>1.5125649645805301E-13</v>
      </c>
      <c r="P24" s="1">
        <v>-8.8210318584034204E-13</v>
      </c>
      <c r="Q24">
        <v>49.896929472684498</v>
      </c>
      <c r="R24">
        <v>1.8700667618803901E-2</v>
      </c>
      <c r="S24">
        <v>2.3110376878803001</v>
      </c>
      <c r="T24">
        <v>0.56199633305013796</v>
      </c>
      <c r="V24">
        <v>31.2135996000973</v>
      </c>
      <c r="X24">
        <v>15.800009587165899</v>
      </c>
      <c r="AA24">
        <v>0.182934188837659</v>
      </c>
      <c r="AB24">
        <v>1.4792462665250399E-2</v>
      </c>
      <c r="AJ24">
        <v>-1.0678306651298</v>
      </c>
      <c r="AK24">
        <v>0.99126951250779705</v>
      </c>
      <c r="AL24">
        <v>1.01432230334329</v>
      </c>
      <c r="AM24">
        <v>4.4691390000472599E-2</v>
      </c>
      <c r="AN24">
        <v>-4.3598481051531197E-2</v>
      </c>
      <c r="AO24">
        <v>6.0031482948609299E-2</v>
      </c>
      <c r="AP24">
        <v>1.11445738115811E-3</v>
      </c>
    </row>
    <row r="25" spans="1:42" x14ac:dyDescent="0.2">
      <c r="A25">
        <v>64</v>
      </c>
      <c r="B25">
        <v>740</v>
      </c>
      <c r="C25">
        <v>225</v>
      </c>
      <c r="D25">
        <v>0.34405616147658602</v>
      </c>
      <c r="E25">
        <v>0.56726678263624697</v>
      </c>
      <c r="F25">
        <v>3.57302605698702</v>
      </c>
      <c r="G25">
        <v>-7.2966332378618199</v>
      </c>
      <c r="H25">
        <v>-6.2051630877413801</v>
      </c>
      <c r="I25">
        <v>1.07730360767945</v>
      </c>
      <c r="J25">
        <v>0.63701373251177296</v>
      </c>
      <c r="K25">
        <v>0.15876368478392699</v>
      </c>
      <c r="L25">
        <v>4.4308718780234737E-5</v>
      </c>
      <c r="M25">
        <v>9.1018314899548992E-7</v>
      </c>
      <c r="N25" s="1">
        <v>8.2936647278136296E-10</v>
      </c>
      <c r="O25" s="1">
        <v>1.62780427498116E-13</v>
      </c>
      <c r="P25" s="1">
        <v>-1.3427382656651E-12</v>
      </c>
      <c r="Q25">
        <v>49.746749063566298</v>
      </c>
      <c r="R25">
        <v>1.9391033061933401E-2</v>
      </c>
      <c r="S25">
        <v>2.4951144769217199</v>
      </c>
      <c r="T25">
        <v>0.58073263374603701</v>
      </c>
      <c r="V25">
        <v>31.3320787507365</v>
      </c>
      <c r="X25">
        <v>15.648519943702301</v>
      </c>
      <c r="AA25">
        <v>0.16302988624077699</v>
      </c>
      <c r="AB25">
        <v>1.4384212024306601E-2</v>
      </c>
      <c r="AJ25">
        <v>-1.07774049833011</v>
      </c>
      <c r="AK25">
        <v>0.99212377483404202</v>
      </c>
      <c r="AL25">
        <v>1.01884034248658</v>
      </c>
      <c r="AM25">
        <v>4.8699971727791599E-2</v>
      </c>
      <c r="AN25">
        <v>-4.7565972858819798E-2</v>
      </c>
      <c r="AO25">
        <v>6.4557971269090603E-2</v>
      </c>
      <c r="AP25">
        <v>1.0844108714272299E-3</v>
      </c>
    </row>
    <row r="26" spans="1:42" x14ac:dyDescent="0.2">
      <c r="A26">
        <v>65</v>
      </c>
      <c r="B26">
        <v>738</v>
      </c>
      <c r="C26">
        <v>225</v>
      </c>
      <c r="D26">
        <v>0.34262028383523802</v>
      </c>
      <c r="E26">
        <v>0.59379213785407003</v>
      </c>
      <c r="F26">
        <v>3.5763360404487701</v>
      </c>
      <c r="G26">
        <v>-7.6281461131682846</v>
      </c>
      <c r="H26">
        <v>-6.4895228083976928</v>
      </c>
      <c r="I26">
        <v>1.1260676504678699</v>
      </c>
      <c r="J26">
        <v>0.66641396733262204</v>
      </c>
      <c r="K26">
        <v>0.166033653196515</v>
      </c>
      <c r="L26">
        <v>4.4268345281311359E-5</v>
      </c>
      <c r="M26">
        <v>9.1021180986674059E-7</v>
      </c>
      <c r="N26" s="1">
        <v>9.0945174828341601E-10</v>
      </c>
      <c r="O26" s="1">
        <v>1.7068950798966301E-13</v>
      </c>
      <c r="P26" s="1">
        <v>-1.78342343247695E-12</v>
      </c>
      <c r="Q26">
        <v>49.606343263694498</v>
      </c>
      <c r="R26">
        <v>1.9979889893510901E-2</v>
      </c>
      <c r="S26">
        <v>2.66833845420848</v>
      </c>
      <c r="T26">
        <v>0.59731945692332</v>
      </c>
      <c r="V26">
        <v>31.441026993365</v>
      </c>
      <c r="X26">
        <v>15.506019910499599</v>
      </c>
      <c r="AA26">
        <v>0.14695309983413599</v>
      </c>
      <c r="AB26">
        <v>1.4018931581356E-2</v>
      </c>
      <c r="AJ26">
        <v>-1.0868569089021201</v>
      </c>
      <c r="AK26">
        <v>0.99281670106392295</v>
      </c>
      <c r="AL26">
        <v>1.0230053798504799</v>
      </c>
      <c r="AM26">
        <v>5.2489351599621398E-2</v>
      </c>
      <c r="AN26">
        <v>-5.1320204825870901E-2</v>
      </c>
      <c r="AO26">
        <v>6.8808165149173206E-2</v>
      </c>
      <c r="AP26">
        <v>1.0575160647923901E-3</v>
      </c>
    </row>
    <row r="27" spans="1:42" x14ac:dyDescent="0.2">
      <c r="A27">
        <v>66</v>
      </c>
      <c r="B27">
        <v>736</v>
      </c>
      <c r="C27">
        <v>225</v>
      </c>
      <c r="D27">
        <v>0.34117871475994799</v>
      </c>
      <c r="E27">
        <v>0.61427129678998504</v>
      </c>
      <c r="F27">
        <v>3.57948614892587</v>
      </c>
      <c r="G27">
        <v>-7.8817049190248767</v>
      </c>
      <c r="H27">
        <v>-6.7078115528853344</v>
      </c>
      <c r="I27">
        <v>1.1632496320066701</v>
      </c>
      <c r="J27">
        <v>0.68899944657564005</v>
      </c>
      <c r="K27">
        <v>0.171608792780023</v>
      </c>
      <c r="L27">
        <v>4.4223771626571273E-5</v>
      </c>
      <c r="M27">
        <v>9.1021659860681488E-7</v>
      </c>
      <c r="N27" s="1">
        <v>9.8460285801330409E-10</v>
      </c>
      <c r="O27" s="1">
        <v>1.7669886672533699E-13</v>
      </c>
      <c r="P27" s="1">
        <v>-2.20819839646528E-12</v>
      </c>
      <c r="Q27">
        <v>49.472206047905701</v>
      </c>
      <c r="R27">
        <v>2.0495449730504399E-2</v>
      </c>
      <c r="S27">
        <v>2.8348582904947199</v>
      </c>
      <c r="T27">
        <v>0.61242394704631498</v>
      </c>
      <c r="V27">
        <v>31.543441288834501</v>
      </c>
      <c r="X27">
        <v>15.3693919545826</v>
      </c>
      <c r="AA27">
        <v>0.13350038954846999</v>
      </c>
      <c r="AB27">
        <v>1.36826318569784E-2</v>
      </c>
      <c r="AJ27">
        <v>-1.09544773439643</v>
      </c>
      <c r="AK27">
        <v>0.99339904734786699</v>
      </c>
      <c r="AL27">
        <v>1.0269292423979499</v>
      </c>
      <c r="AM27">
        <v>5.6146186920078001E-2</v>
      </c>
      <c r="AN27">
        <v>-5.4946180271087497E-2</v>
      </c>
      <c r="AO27">
        <v>7.2886695728593798E-2</v>
      </c>
      <c r="AP27">
        <v>1.0327422730224401E-3</v>
      </c>
    </row>
    <row r="28" spans="1:42" x14ac:dyDescent="0.2">
      <c r="A28">
        <v>67</v>
      </c>
      <c r="B28">
        <v>734</v>
      </c>
      <c r="C28">
        <v>225</v>
      </c>
      <c r="D28">
        <v>0.33973142034453802</v>
      </c>
      <c r="E28">
        <v>0.631239559058966</v>
      </c>
      <c r="F28">
        <v>3.5825221177814899</v>
      </c>
      <c r="G28">
        <v>-8.0900080050174257</v>
      </c>
      <c r="H28">
        <v>-6.8877835138707333</v>
      </c>
      <c r="I28">
        <v>1.1936896104321</v>
      </c>
      <c r="J28">
        <v>0.70762241371250501</v>
      </c>
      <c r="K28">
        <v>0.17619976606030399</v>
      </c>
      <c r="L28">
        <v>4.4175177290201484E-5</v>
      </c>
      <c r="M28">
        <v>9.1020000378697322E-7</v>
      </c>
      <c r="N28" s="1">
        <v>1.05806775148495E-9</v>
      </c>
      <c r="O28" s="1">
        <v>1.8154315074664501E-13</v>
      </c>
      <c r="P28" s="1">
        <v>-2.6199984421249801E-12</v>
      </c>
      <c r="Q28">
        <v>49.342340194752701</v>
      </c>
      <c r="R28">
        <v>2.0954162424022101E-2</v>
      </c>
      <c r="S28">
        <v>2.99704411358179</v>
      </c>
      <c r="T28">
        <v>0.62642967750162104</v>
      </c>
      <c r="V28">
        <v>31.6410114351416</v>
      </c>
      <c r="X28">
        <v>15.236877699768399</v>
      </c>
      <c r="AA28">
        <v>0.121975255914909</v>
      </c>
      <c r="AB28">
        <v>1.3367460914744301E-2</v>
      </c>
      <c r="AJ28">
        <v>-1.10366551056971</v>
      </c>
      <c r="AK28">
        <v>0.99390017278388798</v>
      </c>
      <c r="AL28">
        <v>1.03067492786971</v>
      </c>
      <c r="AM28">
        <v>5.97199557391484E-2</v>
      </c>
      <c r="AN28">
        <v>-5.8492413596768898E-2</v>
      </c>
      <c r="AO28">
        <v>7.6853356577564799E-2</v>
      </c>
      <c r="AP28">
        <v>1.0095111961688399E-3</v>
      </c>
    </row>
    <row r="29" spans="1:42" x14ac:dyDescent="0.2">
      <c r="A29">
        <v>73</v>
      </c>
      <c r="B29">
        <v>750</v>
      </c>
      <c r="C29">
        <v>200</v>
      </c>
      <c r="D29">
        <v>0.37802912573913899</v>
      </c>
      <c r="E29">
        <v>0.32477631883058999</v>
      </c>
      <c r="F29">
        <v>3.56168541224431</v>
      </c>
      <c r="G29">
        <v>-4.1961945433320942</v>
      </c>
      <c r="H29">
        <v>-3.5609240717366761</v>
      </c>
      <c r="I29">
        <v>0.62089671269649405</v>
      </c>
      <c r="J29">
        <v>0.365337605989488</v>
      </c>
      <c r="K29">
        <v>9.1186132754475999E-2</v>
      </c>
      <c r="L29">
        <v>4.4404762769788796E-5</v>
      </c>
      <c r="M29">
        <v>9.1013337965363662E-7</v>
      </c>
      <c r="N29" s="1">
        <v>4.0780764926245902E-10</v>
      </c>
      <c r="O29" s="1">
        <v>9.1420561674425798E-14</v>
      </c>
      <c r="P29" s="1">
        <v>6.0970076746609594E-14</v>
      </c>
      <c r="Q29">
        <v>50.1970041622791</v>
      </c>
      <c r="R29">
        <v>1.4050110809507001E-2</v>
      </c>
      <c r="S29">
        <v>1.9000999436742201</v>
      </c>
      <c r="T29">
        <v>0.54194868322454004</v>
      </c>
      <c r="V29">
        <v>31.036901363567502</v>
      </c>
      <c r="X29">
        <v>16.0594707567965</v>
      </c>
      <c r="AA29">
        <v>0.23538182974743299</v>
      </c>
      <c r="AB29">
        <v>1.5143149901109E-2</v>
      </c>
      <c r="AJ29">
        <v>-1.04910465195032</v>
      </c>
      <c r="AK29">
        <v>0.98906944154235199</v>
      </c>
      <c r="AL29">
        <v>1.0076692367051701</v>
      </c>
      <c r="AM29">
        <v>3.5393640247520897E-2</v>
      </c>
      <c r="AN29">
        <v>-3.4573261985065197E-2</v>
      </c>
      <c r="AO29">
        <v>5.0405747999119198E-2</v>
      </c>
      <c r="AP29">
        <v>1.13984744123001E-3</v>
      </c>
    </row>
    <row r="30" spans="1:42" x14ac:dyDescent="0.2">
      <c r="A30">
        <v>74</v>
      </c>
      <c r="B30">
        <v>748</v>
      </c>
      <c r="C30">
        <v>200</v>
      </c>
      <c r="D30">
        <v>0.37667384811242399</v>
      </c>
      <c r="E30">
        <v>0.45018674773435002</v>
      </c>
      <c r="F30">
        <v>3.55827498816108</v>
      </c>
      <c r="G30">
        <v>-5.8333263661647994</v>
      </c>
      <c r="H30">
        <v>-4.9548505847671356</v>
      </c>
      <c r="I30">
        <v>0.860280841597868</v>
      </c>
      <c r="J30">
        <v>0.50724738625907295</v>
      </c>
      <c r="K30">
        <v>0.12651825652379001</v>
      </c>
      <c r="L30">
        <v>4.4364436769249109E-5</v>
      </c>
      <c r="M30">
        <v>9.0862807487062626E-7</v>
      </c>
      <c r="N30" s="1">
        <v>5.7383512308417996E-10</v>
      </c>
      <c r="O30" s="1">
        <v>1.2947521602264301E-13</v>
      </c>
      <c r="P30" s="1">
        <v>-2.0455420998845699E-13</v>
      </c>
      <c r="Q30">
        <v>50.193820027872903</v>
      </c>
      <c r="R30">
        <v>1.7454014094648699E-2</v>
      </c>
      <c r="S30">
        <v>2.0554950145160702</v>
      </c>
      <c r="T30">
        <v>0.53842915584862805</v>
      </c>
      <c r="V30">
        <v>30.705713481941501</v>
      </c>
      <c r="X30">
        <v>16.262582560745901</v>
      </c>
      <c r="AA30">
        <v>0.211616596106739</v>
      </c>
      <c r="AB30">
        <v>1.48891488734349E-2</v>
      </c>
      <c r="AJ30">
        <v>-1.0411368896156199</v>
      </c>
      <c r="AK30">
        <v>0.99009435608854002</v>
      </c>
      <c r="AL30">
        <v>0.99518054597607297</v>
      </c>
      <c r="AM30">
        <v>3.9040936632378002E-2</v>
      </c>
      <c r="AN30">
        <v>-3.8023581084459197E-2</v>
      </c>
      <c r="AO30">
        <v>5.3725855285002899E-2</v>
      </c>
      <c r="AP30">
        <v>1.1187767180876401E-3</v>
      </c>
    </row>
    <row r="31" spans="1:42" x14ac:dyDescent="0.2">
      <c r="A31">
        <v>75</v>
      </c>
      <c r="B31">
        <v>746</v>
      </c>
      <c r="C31">
        <v>200</v>
      </c>
      <c r="D31">
        <v>0.37531325123877901</v>
      </c>
      <c r="E31">
        <v>0.50007416912527103</v>
      </c>
      <c r="F31">
        <v>3.5577071613939801</v>
      </c>
      <c r="G31">
        <v>-6.486552580830887</v>
      </c>
      <c r="H31">
        <v>-5.513481165890874</v>
      </c>
      <c r="I31">
        <v>0.95478723930727805</v>
      </c>
      <c r="J31">
        <v>0.56382703298320702</v>
      </c>
      <c r="K31">
        <v>0.140560801223822</v>
      </c>
      <c r="L31">
        <v>4.4331220916912571E-5</v>
      </c>
      <c r="M31">
        <v>9.0786575917615364E-7</v>
      </c>
      <c r="N31" s="1">
        <v>6.5395655087035202E-10</v>
      </c>
      <c r="O31" s="1">
        <v>1.45787507152514E-13</v>
      </c>
      <c r="P31" s="1">
        <v>-5.3655976584598703E-13</v>
      </c>
      <c r="Q31">
        <v>50.139668395441603</v>
      </c>
      <c r="R31">
        <v>1.98107820764028E-2</v>
      </c>
      <c r="S31">
        <v>2.2039136575717801</v>
      </c>
      <c r="T31">
        <v>0.54216720949905195</v>
      </c>
      <c r="V31">
        <v>30.569182514164801</v>
      </c>
      <c r="X31">
        <v>16.319337953818099</v>
      </c>
      <c r="AA31">
        <v>0.19129848233145999</v>
      </c>
      <c r="AB31">
        <v>1.46210050966559E-2</v>
      </c>
      <c r="AJ31">
        <v>-1.04033754484403</v>
      </c>
      <c r="AK31">
        <v>0.99096459899454403</v>
      </c>
      <c r="AL31">
        <v>0.99005054208699605</v>
      </c>
      <c r="AM31">
        <v>4.2424520661132802E-2</v>
      </c>
      <c r="AN31">
        <v>-4.1270616040338201E-2</v>
      </c>
      <c r="AO31">
        <v>5.7070652614016198E-2</v>
      </c>
      <c r="AP31">
        <v>1.09784652768357E-3</v>
      </c>
    </row>
    <row r="32" spans="1:42" x14ac:dyDescent="0.2">
      <c r="A32">
        <v>76</v>
      </c>
      <c r="B32">
        <v>744</v>
      </c>
      <c r="C32">
        <v>200</v>
      </c>
      <c r="D32">
        <v>0.373947303740848</v>
      </c>
      <c r="E32">
        <v>0.54136566457939805</v>
      </c>
      <c r="F32">
        <v>3.5630643731377898</v>
      </c>
      <c r="G32">
        <v>-7.0048474216012151</v>
      </c>
      <c r="H32">
        <v>-5.9552731057015391</v>
      </c>
      <c r="I32">
        <v>1.03187761480575</v>
      </c>
      <c r="J32">
        <v>0.60970032713231903</v>
      </c>
      <c r="K32">
        <v>0.15193822167816901</v>
      </c>
      <c r="L32">
        <v>4.4313880351722559E-5</v>
      </c>
      <c r="M32">
        <v>9.0842300846744306E-7</v>
      </c>
      <c r="N32" s="1">
        <v>7.4259838652307995E-10</v>
      </c>
      <c r="O32" s="1">
        <v>1.5789122119433501E-13</v>
      </c>
      <c r="P32" s="1">
        <v>-9.7113598710218504E-13</v>
      </c>
      <c r="Q32">
        <v>49.953379828569197</v>
      </c>
      <c r="R32">
        <v>1.97463165935985E-2</v>
      </c>
      <c r="S32">
        <v>2.3912369929832602</v>
      </c>
      <c r="T32">
        <v>0.56706596870752501</v>
      </c>
      <c r="V32">
        <v>30.806934882915399</v>
      </c>
      <c r="X32">
        <v>16.07750613576</v>
      </c>
      <c r="AA32">
        <v>0.169974593614377</v>
      </c>
      <c r="AB32">
        <v>1.4155280856484299E-2</v>
      </c>
      <c r="AJ32">
        <v>-1.0549267394067801</v>
      </c>
      <c r="AK32">
        <v>0.99187395601928496</v>
      </c>
      <c r="AL32">
        <v>0.99902996401778499</v>
      </c>
      <c r="AM32">
        <v>4.6411745786703498E-2</v>
      </c>
      <c r="AN32">
        <v>-4.5260121353840103E-2</v>
      </c>
      <c r="AO32">
        <v>6.1806955428466002E-2</v>
      </c>
      <c r="AP32">
        <v>1.0642395083825E-3</v>
      </c>
    </row>
    <row r="33" spans="1:42" x14ac:dyDescent="0.2">
      <c r="A33">
        <v>77</v>
      </c>
      <c r="B33">
        <v>742</v>
      </c>
      <c r="C33">
        <v>200</v>
      </c>
      <c r="D33">
        <v>0.37257597399398801</v>
      </c>
      <c r="E33">
        <v>0.56674231665609498</v>
      </c>
      <c r="F33">
        <v>3.5662556481941601</v>
      </c>
      <c r="G33">
        <v>-7.3240086581904515</v>
      </c>
      <c r="H33">
        <v>-6.2289466604960317</v>
      </c>
      <c r="I33">
        <v>1.0787193988025601</v>
      </c>
      <c r="J33">
        <v>0.63792692685491703</v>
      </c>
      <c r="K33">
        <v>0.15891802847703099</v>
      </c>
      <c r="L33">
        <v>4.4285621168257388E-5</v>
      </c>
      <c r="M33">
        <v>9.085249778983778E-7</v>
      </c>
      <c r="N33" s="1">
        <v>8.0951019698083098E-10</v>
      </c>
      <c r="O33" s="1">
        <v>1.6575520792739099E-13</v>
      </c>
      <c r="P33" s="1">
        <v>-1.3654515331382101E-12</v>
      </c>
      <c r="Q33">
        <v>49.821174915664002</v>
      </c>
      <c r="R33">
        <v>2.03224994984697E-2</v>
      </c>
      <c r="S33">
        <v>2.5522469290794199</v>
      </c>
      <c r="T33">
        <v>0.58250461577389701</v>
      </c>
      <c r="V33">
        <v>30.915170550494601</v>
      </c>
      <c r="X33">
        <v>15.9407872242121</v>
      </c>
      <c r="AA33">
        <v>0.15398330830122001</v>
      </c>
      <c r="AB33">
        <v>1.38099569760914E-2</v>
      </c>
      <c r="AJ33">
        <v>-1.0636693843128899</v>
      </c>
      <c r="AK33">
        <v>0.99255986089832005</v>
      </c>
      <c r="AL33">
        <v>1.0031379231320301</v>
      </c>
      <c r="AM33">
        <v>4.9925235439367097E-2</v>
      </c>
      <c r="AN33">
        <v>-4.8739300471514702E-2</v>
      </c>
      <c r="AO33">
        <v>6.5746769035183797E-2</v>
      </c>
      <c r="AP33">
        <v>1.03889627950207E-3</v>
      </c>
    </row>
    <row r="34" spans="1:42" x14ac:dyDescent="0.2">
      <c r="A34">
        <v>78</v>
      </c>
      <c r="B34">
        <v>740</v>
      </c>
      <c r="C34">
        <v>200</v>
      </c>
      <c r="D34">
        <v>0.37119923012387401</v>
      </c>
      <c r="E34">
        <v>0.58648709103943097</v>
      </c>
      <c r="F34">
        <v>3.5693069719807702</v>
      </c>
      <c r="G34">
        <v>-7.5700735053170245</v>
      </c>
      <c r="H34">
        <v>-6.4406857239702395</v>
      </c>
      <c r="I34">
        <v>1.1147290937637899</v>
      </c>
      <c r="J34">
        <v>0.659787964912808</v>
      </c>
      <c r="K34">
        <v>0.16431399586625101</v>
      </c>
      <c r="L34">
        <v>4.4253206599265668E-5</v>
      </c>
      <c r="M34">
        <v>9.0859980790304968E-7</v>
      </c>
      <c r="N34" s="1">
        <v>8.72353576309019E-10</v>
      </c>
      <c r="O34" s="1">
        <v>1.7183496569305999E-13</v>
      </c>
      <c r="P34" s="1">
        <v>-1.75242480624811E-12</v>
      </c>
      <c r="Q34">
        <v>49.694355482549803</v>
      </c>
      <c r="R34">
        <v>2.0829447122114899E-2</v>
      </c>
      <c r="S34">
        <v>2.70761538434328</v>
      </c>
      <c r="T34">
        <v>0.59662277583187595</v>
      </c>
      <c r="V34">
        <v>31.0175288250277</v>
      </c>
      <c r="X34">
        <v>15.8091100274089</v>
      </c>
      <c r="AA34">
        <v>0.14044705617216299</v>
      </c>
      <c r="AB34">
        <v>1.34910015439491E-2</v>
      </c>
      <c r="AJ34">
        <v>-1.0719472210394101</v>
      </c>
      <c r="AK34">
        <v>0.99314267845570803</v>
      </c>
      <c r="AL34">
        <v>1.0070309022567101</v>
      </c>
      <c r="AM34">
        <v>5.3328589502775199E-2</v>
      </c>
      <c r="AN34">
        <v>-5.2112380828255998E-2</v>
      </c>
      <c r="AO34">
        <v>6.9541953326616696E-2</v>
      </c>
      <c r="AP34">
        <v>1.0154783258515699E-3</v>
      </c>
    </row>
    <row r="35" spans="1:42" x14ac:dyDescent="0.2">
      <c r="A35">
        <v>79</v>
      </c>
      <c r="B35">
        <v>738</v>
      </c>
      <c r="C35">
        <v>200</v>
      </c>
      <c r="D35">
        <v>0.36981704000395799</v>
      </c>
      <c r="E35">
        <v>0.60288379498228895</v>
      </c>
      <c r="F35">
        <v>3.57225758010118</v>
      </c>
      <c r="G35">
        <v>-7.7726855776031005</v>
      </c>
      <c r="H35">
        <v>-6.6156426575310263</v>
      </c>
      <c r="I35">
        <v>1.14428415177972</v>
      </c>
      <c r="J35">
        <v>0.67786035438349002</v>
      </c>
      <c r="K35">
        <v>0.16876828769027699</v>
      </c>
      <c r="L35">
        <v>4.4216864676434205E-5</v>
      </c>
      <c r="M35">
        <v>9.0865068237526938E-7</v>
      </c>
      <c r="N35" s="1">
        <v>9.3389651704095601E-10</v>
      </c>
      <c r="O35" s="1">
        <v>1.76798252231235E-13</v>
      </c>
      <c r="P35" s="1">
        <v>-2.1327053562203302E-12</v>
      </c>
      <c r="Q35">
        <v>49.5712319062307</v>
      </c>
      <c r="R35">
        <v>2.1281899376311801E-2</v>
      </c>
      <c r="S35">
        <v>2.8593208226634799</v>
      </c>
      <c r="T35">
        <v>0.60974938792335298</v>
      </c>
      <c r="V35">
        <v>31.115499392038501</v>
      </c>
      <c r="X35">
        <v>15.6809702886147</v>
      </c>
      <c r="AA35">
        <v>0.12875493546762501</v>
      </c>
      <c r="AB35">
        <v>1.31913676851802E-2</v>
      </c>
      <c r="AJ35">
        <v>-1.07989135782174</v>
      </c>
      <c r="AK35">
        <v>0.99364808997710596</v>
      </c>
      <c r="AL35">
        <v>1.0107640888060501</v>
      </c>
      <c r="AM35">
        <v>5.66629208222591E-2</v>
      </c>
      <c r="AN35">
        <v>-5.5419614436517398E-2</v>
      </c>
      <c r="AO35">
        <v>7.3242405032901706E-2</v>
      </c>
      <c r="AP35">
        <v>9.9346761994400807E-4</v>
      </c>
    </row>
    <row r="36" spans="1:42" x14ac:dyDescent="0.2">
      <c r="A36">
        <v>85</v>
      </c>
      <c r="B36">
        <v>756</v>
      </c>
      <c r="C36">
        <v>175</v>
      </c>
      <c r="D36">
        <v>0.40878443375601398</v>
      </c>
      <c r="E36">
        <v>0.14895986521282401</v>
      </c>
      <c r="F36">
        <v>3.5581163205937698</v>
      </c>
      <c r="G36">
        <v>-1.9281855226041886</v>
      </c>
      <c r="H36">
        <v>-1.6340099815881148</v>
      </c>
      <c r="I36">
        <v>0.28584321140365598</v>
      </c>
      <c r="J36">
        <v>0.167694851013996</v>
      </c>
      <c r="K36">
        <v>4.1864810419679099E-2</v>
      </c>
      <c r="L36">
        <v>4.4420551038450727E-5</v>
      </c>
      <c r="M36">
        <v>9.0992313960560245E-7</v>
      </c>
      <c r="N36" s="1">
        <v>1.80890689603506E-10</v>
      </c>
      <c r="O36" s="1">
        <v>4.1606709052441698E-14</v>
      </c>
      <c r="P36" s="1">
        <v>1.4247621524219001E-13</v>
      </c>
      <c r="Q36">
        <v>50.288213964182397</v>
      </c>
      <c r="R36">
        <v>1.13219200565031E-2</v>
      </c>
      <c r="S36">
        <v>1.7691207492118199</v>
      </c>
      <c r="T36">
        <v>0.55001509037415597</v>
      </c>
      <c r="V36">
        <v>30.9697644006121</v>
      </c>
      <c r="X36">
        <v>16.147783386626099</v>
      </c>
      <c r="AA36">
        <v>0.248833785722085</v>
      </c>
      <c r="AB36">
        <v>1.49467032147284E-2</v>
      </c>
      <c r="AJ36">
        <v>-1.0431067235857101</v>
      </c>
      <c r="AK36">
        <v>0.98852807873917903</v>
      </c>
      <c r="AL36">
        <v>1.00519294029885</v>
      </c>
      <c r="AM36">
        <v>3.2197577155010398E-2</v>
      </c>
      <c r="AN36">
        <v>-3.1536691442440402E-2</v>
      </c>
      <c r="AO36">
        <v>4.7600090069718798E-2</v>
      </c>
      <c r="AP36">
        <v>1.12472876538918E-3</v>
      </c>
    </row>
    <row r="37" spans="1:42" x14ac:dyDescent="0.2">
      <c r="A37">
        <v>86</v>
      </c>
      <c r="B37">
        <v>754</v>
      </c>
      <c r="C37">
        <v>175</v>
      </c>
      <c r="D37">
        <v>0.40749695760112897</v>
      </c>
      <c r="E37">
        <v>0.383776451094339</v>
      </c>
      <c r="F37">
        <v>3.5517008112883999</v>
      </c>
      <c r="G37">
        <v>-4.9909290453739974</v>
      </c>
      <c r="H37">
        <v>-4.2344868488386664</v>
      </c>
      <c r="I37">
        <v>0.73644764302714505</v>
      </c>
      <c r="J37">
        <v>0.43312683993914602</v>
      </c>
      <c r="K37">
        <v>0.108054273567914</v>
      </c>
      <c r="L37">
        <v>4.436502021569379E-5</v>
      </c>
      <c r="M37">
        <v>9.0774046431937731E-7</v>
      </c>
      <c r="N37" s="1">
        <v>4.6747084121012104E-10</v>
      </c>
      <c r="O37" s="1">
        <v>1.10191043141366E-13</v>
      </c>
      <c r="P37" s="1">
        <v>1.5787346839154001E-13</v>
      </c>
      <c r="Q37">
        <v>50.350814574735999</v>
      </c>
      <c r="R37">
        <v>1.5435033374689299E-2</v>
      </c>
      <c r="S37">
        <v>1.9059608235783401</v>
      </c>
      <c r="T37">
        <v>0.53677455678306596</v>
      </c>
      <c r="V37">
        <v>30.447042957324101</v>
      </c>
      <c r="X37">
        <v>16.499034465254098</v>
      </c>
      <c r="AA37">
        <v>0.230206109708815</v>
      </c>
      <c r="AB37">
        <v>1.47314792406729E-2</v>
      </c>
      <c r="AJ37">
        <v>-1.0271580374984099</v>
      </c>
      <c r="AK37">
        <v>0.98934812501881397</v>
      </c>
      <c r="AL37">
        <v>0.98551960831052798</v>
      </c>
      <c r="AM37">
        <v>3.5551050028352897E-2</v>
      </c>
      <c r="AN37">
        <v>-3.4652540942002603E-2</v>
      </c>
      <c r="AO37">
        <v>5.0286298585474599E-2</v>
      </c>
      <c r="AP37">
        <v>1.1054964972465201E-3</v>
      </c>
    </row>
    <row r="38" spans="1:42" x14ac:dyDescent="0.2">
      <c r="A38">
        <v>87</v>
      </c>
      <c r="B38">
        <v>752</v>
      </c>
      <c r="C38">
        <v>175</v>
      </c>
      <c r="D38">
        <v>0.406204457884214</v>
      </c>
      <c r="E38">
        <v>0.45549169203603901</v>
      </c>
      <c r="F38">
        <v>3.5501371337008099</v>
      </c>
      <c r="G38">
        <v>-5.9332195163869699</v>
      </c>
      <c r="H38">
        <v>-5.0378071529868071</v>
      </c>
      <c r="I38">
        <v>0.87344521621242099</v>
      </c>
      <c r="J38">
        <v>0.51454349847178704</v>
      </c>
      <c r="K38">
        <v>0.12830256265656301</v>
      </c>
      <c r="L38">
        <v>4.432814361685473E-5</v>
      </c>
      <c r="M38">
        <v>9.0676762214299146E-7</v>
      </c>
      <c r="N38" s="1">
        <v>5.6646718114902703E-10</v>
      </c>
      <c r="O38" s="1">
        <v>1.3296279267110699E-13</v>
      </c>
      <c r="P38" s="1">
        <v>-8.5774978271596905E-14</v>
      </c>
      <c r="Q38">
        <v>50.319696701333399</v>
      </c>
      <c r="R38">
        <v>1.80408421420611E-2</v>
      </c>
      <c r="S38">
        <v>2.0459753808984802</v>
      </c>
      <c r="T38">
        <v>0.53790853940290295</v>
      </c>
      <c r="V38">
        <v>30.247559686055901</v>
      </c>
      <c r="X38">
        <v>16.607125185242801</v>
      </c>
      <c r="AA38">
        <v>0.20921495384497099</v>
      </c>
      <c r="AB38">
        <v>1.44787110792717E-2</v>
      </c>
      <c r="AJ38">
        <v>-1.02379656185861</v>
      </c>
      <c r="AK38">
        <v>0.99024776775050005</v>
      </c>
      <c r="AL38">
        <v>0.97804017520613695</v>
      </c>
      <c r="AM38">
        <v>3.8772802122190198E-2</v>
      </c>
      <c r="AN38">
        <v>-3.7723699651822797E-2</v>
      </c>
      <c r="AO38">
        <v>5.3374123179011003E-2</v>
      </c>
      <c r="AP38">
        <v>1.0853932526034399E-3</v>
      </c>
    </row>
    <row r="39" spans="1:42" x14ac:dyDescent="0.2">
      <c r="A39">
        <v>88</v>
      </c>
      <c r="B39">
        <v>750</v>
      </c>
      <c r="C39">
        <v>175</v>
      </c>
      <c r="D39">
        <v>0.40490690514587502</v>
      </c>
      <c r="E39">
        <v>0.49251787293183502</v>
      </c>
      <c r="F39">
        <v>3.5500239708249399</v>
      </c>
      <c r="G39">
        <v>-6.4198888531964355</v>
      </c>
      <c r="H39">
        <v>-5.4544851190284289</v>
      </c>
      <c r="I39">
        <v>0.94356031292382103</v>
      </c>
      <c r="J39">
        <v>0.55660731014751696</v>
      </c>
      <c r="K39">
        <v>0.13873649219821599</v>
      </c>
      <c r="L39">
        <v>4.4298136419852596E-5</v>
      </c>
      <c r="M39">
        <v>9.061968011678357E-7</v>
      </c>
      <c r="N39" s="1">
        <v>6.2744511351109898E-10</v>
      </c>
      <c r="O39" s="1">
        <v>1.45512455092377E-13</v>
      </c>
      <c r="P39" s="1">
        <v>-3.7405425126037999E-13</v>
      </c>
      <c r="Q39">
        <v>50.263815872327903</v>
      </c>
      <c r="R39">
        <v>2.00683182253973E-2</v>
      </c>
      <c r="S39">
        <v>2.1798840834757902</v>
      </c>
      <c r="T39">
        <v>0.54210627570477798</v>
      </c>
      <c r="V39">
        <v>30.149445219763301</v>
      </c>
      <c r="X39">
        <v>16.6394095904921</v>
      </c>
      <c r="AA39">
        <v>0.19103918254894101</v>
      </c>
      <c r="AB39">
        <v>1.4231457461652599E-2</v>
      </c>
      <c r="AJ39">
        <v>-1.0240352133097801</v>
      </c>
      <c r="AK39">
        <v>0.99102382044943604</v>
      </c>
      <c r="AL39">
        <v>0.97437090402710502</v>
      </c>
      <c r="AM39">
        <v>4.18096557025621E-2</v>
      </c>
      <c r="AN39">
        <v>-4.0643247106238699E-2</v>
      </c>
      <c r="AO39">
        <v>5.6407765960245E-2</v>
      </c>
      <c r="AP39">
        <v>1.06631427667407E-3</v>
      </c>
    </row>
    <row r="40" spans="1:42" x14ac:dyDescent="0.2">
      <c r="A40">
        <v>89</v>
      </c>
      <c r="B40">
        <v>748</v>
      </c>
      <c r="C40">
        <v>175</v>
      </c>
      <c r="D40">
        <v>0.40360426969593199</v>
      </c>
      <c r="E40">
        <v>0.52442341537809301</v>
      </c>
      <c r="F40">
        <v>3.5539237880657302</v>
      </c>
      <c r="G40">
        <v>-6.8241875511253216</v>
      </c>
      <c r="H40">
        <v>-5.7997941535129582</v>
      </c>
      <c r="I40">
        <v>1.0031762205477699</v>
      </c>
      <c r="J40">
        <v>0.59222921453420396</v>
      </c>
      <c r="K40">
        <v>0.147561806794826</v>
      </c>
      <c r="L40">
        <v>4.4287609206730226E-5</v>
      </c>
      <c r="M40">
        <v>9.0655581599074781E-7</v>
      </c>
      <c r="N40" s="1">
        <v>6.9121491704388503E-10</v>
      </c>
      <c r="O40" s="1">
        <v>1.5544277676418801E-13</v>
      </c>
      <c r="P40" s="1">
        <v>-7.29342361661808E-13</v>
      </c>
      <c r="Q40">
        <v>50.118557128989998</v>
      </c>
      <c r="R40">
        <v>2.0404960839205E-2</v>
      </c>
      <c r="S40">
        <v>2.3398969286906901</v>
      </c>
      <c r="T40">
        <v>0.56023309192992299</v>
      </c>
      <c r="V40">
        <v>30.3058856524036</v>
      </c>
      <c r="X40">
        <v>16.4687335594055</v>
      </c>
      <c r="AA40">
        <v>0.172434886841454</v>
      </c>
      <c r="AB40">
        <v>1.3853790899392499E-2</v>
      </c>
      <c r="AJ40">
        <v>-1.03466295897282</v>
      </c>
      <c r="AK40">
        <v>0.99181553433702396</v>
      </c>
      <c r="AL40">
        <v>0.98025116524379097</v>
      </c>
      <c r="AM40">
        <v>4.5252006509935598E-2</v>
      </c>
      <c r="AN40">
        <v>-4.4065033337118503E-2</v>
      </c>
      <c r="AO40">
        <v>6.0370395471525902E-2</v>
      </c>
      <c r="AP40">
        <v>1.0388907476627E-3</v>
      </c>
    </row>
    <row r="41" spans="1:42" x14ac:dyDescent="0.2">
      <c r="A41">
        <v>90</v>
      </c>
      <c r="B41">
        <v>746</v>
      </c>
      <c r="C41">
        <v>175</v>
      </c>
      <c r="D41">
        <v>0.40229652161114798</v>
      </c>
      <c r="E41">
        <v>0.54671745442230402</v>
      </c>
      <c r="F41">
        <v>3.5569414591989199</v>
      </c>
      <c r="G41">
        <v>-7.1056442007022067</v>
      </c>
      <c r="H41">
        <v>-6.0412815550832084</v>
      </c>
      <c r="I41">
        <v>1.0443630923995399</v>
      </c>
      <c r="J41">
        <v>0.61707900181754305</v>
      </c>
      <c r="K41">
        <v>0.15370437233606599</v>
      </c>
      <c r="L41">
        <v>4.4268906803236088E-5</v>
      </c>
      <c r="M41">
        <v>9.0671814961480872E-7</v>
      </c>
      <c r="N41" s="1">
        <v>7.4511045652339701E-10</v>
      </c>
      <c r="O41" s="1">
        <v>1.6261042188469301E-13</v>
      </c>
      <c r="P41" s="1">
        <v>-1.07601620785304E-12</v>
      </c>
      <c r="Q41">
        <v>49.996327268954097</v>
      </c>
      <c r="R41">
        <v>2.0946202111302801E-2</v>
      </c>
      <c r="S41">
        <v>2.48713631063274</v>
      </c>
      <c r="T41">
        <v>0.574129061887798</v>
      </c>
      <c r="V41">
        <v>30.410690999128899</v>
      </c>
      <c r="X41">
        <v>16.3398969790195</v>
      </c>
      <c r="AA41">
        <v>0.15733622650899701</v>
      </c>
      <c r="AB41">
        <v>1.35369517564203E-2</v>
      </c>
      <c r="AJ41">
        <v>-1.04285966125642</v>
      </c>
      <c r="AK41">
        <v>0.992460667168369</v>
      </c>
      <c r="AL41">
        <v>0.98420300058368704</v>
      </c>
      <c r="AM41">
        <v>4.8460938638434099E-2</v>
      </c>
      <c r="AN41">
        <v>-4.7241785006066801E-2</v>
      </c>
      <c r="AO41">
        <v>6.3961128907527795E-2</v>
      </c>
      <c r="AP41">
        <v>1.0157109644740999E-3</v>
      </c>
    </row>
    <row r="42" spans="1:42" x14ac:dyDescent="0.2">
      <c r="A42">
        <v>91</v>
      </c>
      <c r="B42">
        <v>744</v>
      </c>
      <c r="C42">
        <v>175</v>
      </c>
      <c r="D42">
        <v>0.40098363073293403</v>
      </c>
      <c r="E42">
        <v>0.56458315560694305</v>
      </c>
      <c r="F42">
        <v>3.55985049430442</v>
      </c>
      <c r="G42">
        <v>-7.3292337740575491</v>
      </c>
      <c r="H42">
        <v>-6.2337738421191995</v>
      </c>
      <c r="I42">
        <v>1.07698956096775</v>
      </c>
      <c r="J42">
        <v>0.63690814222320302</v>
      </c>
      <c r="K42">
        <v>0.15859743450188299</v>
      </c>
      <c r="L42">
        <v>4.4246364874619576E-5</v>
      </c>
      <c r="M42">
        <v>9.0685284396573539E-7</v>
      </c>
      <c r="N42" s="1">
        <v>7.9639464827085504E-10</v>
      </c>
      <c r="O42" s="1">
        <v>1.6834883405481001E-13</v>
      </c>
      <c r="P42" s="1">
        <v>-1.4220785523227499E-12</v>
      </c>
      <c r="Q42">
        <v>49.878158461129402</v>
      </c>
      <c r="R42">
        <v>2.1426887531312201E-2</v>
      </c>
      <c r="S42">
        <v>2.63026854191083</v>
      </c>
      <c r="T42">
        <v>0.58695453202583303</v>
      </c>
      <c r="V42">
        <v>30.510778749099099</v>
      </c>
      <c r="X42">
        <v>16.214838917187201</v>
      </c>
      <c r="AA42">
        <v>0.14433222315649699</v>
      </c>
      <c r="AB42">
        <v>1.32416879596646E-2</v>
      </c>
      <c r="AJ42">
        <v>-1.0506903492984401</v>
      </c>
      <c r="AK42">
        <v>0.99301817576956297</v>
      </c>
      <c r="AL42">
        <v>0.98798417783118098</v>
      </c>
      <c r="AM42">
        <v>5.1591674888137602E-2</v>
      </c>
      <c r="AN42">
        <v>-5.0343858923118899E-2</v>
      </c>
      <c r="AO42">
        <v>6.7446077819456995E-2</v>
      </c>
      <c r="AP42">
        <v>9.941019132227349E-4</v>
      </c>
    </row>
    <row r="43" spans="1:42" x14ac:dyDescent="0.2">
      <c r="A43">
        <v>92</v>
      </c>
      <c r="B43">
        <v>742</v>
      </c>
      <c r="C43">
        <v>175</v>
      </c>
      <c r="D43">
        <v>0.39966556666502401</v>
      </c>
      <c r="E43">
        <v>0.57967850855432101</v>
      </c>
      <c r="F43">
        <v>3.5626797275255599</v>
      </c>
      <c r="G43">
        <v>-7.5166128395665197</v>
      </c>
      <c r="H43">
        <v>-6.3956360243180601</v>
      </c>
      <c r="I43">
        <v>1.1042474661364901</v>
      </c>
      <c r="J43">
        <v>0.65359285939618605</v>
      </c>
      <c r="K43">
        <v>0.16270856571127501</v>
      </c>
      <c r="L43">
        <v>4.4220189617335715E-5</v>
      </c>
      <c r="M43">
        <v>9.0696300695246887E-7</v>
      </c>
      <c r="N43" s="1">
        <v>8.4702315334204605E-10</v>
      </c>
      <c r="O43" s="1">
        <v>1.7314705314621101E-13</v>
      </c>
      <c r="P43" s="1">
        <v>-1.76673768646176E-12</v>
      </c>
      <c r="Q43">
        <v>49.762822854673999</v>
      </c>
      <c r="R43">
        <v>2.18585063567007E-2</v>
      </c>
      <c r="S43">
        <v>2.7707151137357702</v>
      </c>
      <c r="T43">
        <v>0.59895354619455399</v>
      </c>
      <c r="V43">
        <v>30.607268356415201</v>
      </c>
      <c r="X43">
        <v>16.0924634694235</v>
      </c>
      <c r="AA43">
        <v>0.132955563292701</v>
      </c>
      <c r="AB43">
        <v>1.29625899074104E-2</v>
      </c>
      <c r="AJ43">
        <v>-1.05825193117843</v>
      </c>
      <c r="AK43">
        <v>0.99350764541641501</v>
      </c>
      <c r="AL43">
        <v>0.99163589150697595</v>
      </c>
      <c r="AM43">
        <v>5.4673607041973799E-2</v>
      </c>
      <c r="AN43">
        <v>-5.3399978159570802E-2</v>
      </c>
      <c r="AO43">
        <v>7.0861098686875207E-2</v>
      </c>
      <c r="AP43">
        <v>9.7366668576288505E-4</v>
      </c>
    </row>
    <row r="44" spans="1:42" x14ac:dyDescent="0.2">
      <c r="A44">
        <v>100</v>
      </c>
      <c r="B44">
        <v>762</v>
      </c>
      <c r="C44">
        <v>150</v>
      </c>
      <c r="D44">
        <v>0.439183210162781</v>
      </c>
      <c r="E44">
        <v>0.18286190572267599</v>
      </c>
      <c r="F44">
        <v>3.5488287168328698</v>
      </c>
      <c r="G44">
        <v>-2.3810078891755286</v>
      </c>
      <c r="H44">
        <v>-2.0160777522608559</v>
      </c>
      <c r="I44">
        <v>0.352538411741944</v>
      </c>
      <c r="J44">
        <v>0.20646429762024601</v>
      </c>
      <c r="K44">
        <v>5.1527396871909298E-2</v>
      </c>
      <c r="L44">
        <v>4.4390831530711102E-5</v>
      </c>
      <c r="M44">
        <v>9.0788187166252462E-7</v>
      </c>
      <c r="N44" s="1">
        <v>2.15469879145388E-10</v>
      </c>
      <c r="O44" s="1">
        <v>5.1619106439030201E-14</v>
      </c>
      <c r="P44" s="1">
        <v>2.6988926282872402E-13</v>
      </c>
      <c r="Q44">
        <v>50.447454965901599</v>
      </c>
      <c r="R44">
        <v>1.1603136791885E-2</v>
      </c>
      <c r="S44">
        <v>1.72116685861222</v>
      </c>
      <c r="T44">
        <v>0.54761427485826497</v>
      </c>
      <c r="V44">
        <v>30.473239034158301</v>
      </c>
      <c r="X44">
        <v>16.530216884620099</v>
      </c>
      <c r="AA44">
        <v>0.25400859591650898</v>
      </c>
      <c r="AB44">
        <v>1.46962491408994E-2</v>
      </c>
      <c r="AJ44">
        <v>-1.0230700201595799</v>
      </c>
      <c r="AK44">
        <v>0.98836122424565198</v>
      </c>
      <c r="AL44">
        <v>0.98657802759073199</v>
      </c>
      <c r="AM44">
        <v>3.10748080989217E-2</v>
      </c>
      <c r="AN44">
        <v>-3.03992184549517E-2</v>
      </c>
      <c r="AO44">
        <v>4.63520906044931E-2</v>
      </c>
      <c r="AP44">
        <v>1.10308807473157E-3</v>
      </c>
    </row>
    <row r="45" spans="1:42" x14ac:dyDescent="0.2">
      <c r="A45">
        <v>101</v>
      </c>
      <c r="B45">
        <v>760</v>
      </c>
      <c r="C45">
        <v>150</v>
      </c>
      <c r="D45">
        <v>0.43796205778444602</v>
      </c>
      <c r="E45">
        <v>0.36647267343534401</v>
      </c>
      <c r="F45">
        <v>3.5438063116091398</v>
      </c>
      <c r="G45">
        <v>-4.7894748453573266</v>
      </c>
      <c r="H45">
        <v>-4.0596722101183031</v>
      </c>
      <c r="I45">
        <v>0.70638594128540999</v>
      </c>
      <c r="J45">
        <v>0.414574173673049</v>
      </c>
      <c r="K45">
        <v>0.103412162294202</v>
      </c>
      <c r="L45">
        <v>4.4332215413453251E-5</v>
      </c>
      <c r="M45">
        <v>9.0607924208466611E-7</v>
      </c>
      <c r="N45" s="1">
        <v>4.3634861229329798E-10</v>
      </c>
      <c r="O45" s="1">
        <v>1.05948801707992E-13</v>
      </c>
      <c r="P45" s="1">
        <v>3.5204518399160602E-13</v>
      </c>
      <c r="Q45">
        <v>50.489145293066301</v>
      </c>
      <c r="R45">
        <v>1.51158536402566E-2</v>
      </c>
      <c r="S45">
        <v>1.84597985149155</v>
      </c>
      <c r="T45">
        <v>0.53838058036276004</v>
      </c>
      <c r="V45">
        <v>30.049149829376699</v>
      </c>
      <c r="X45">
        <v>16.810453563112901</v>
      </c>
      <c r="AA45">
        <v>0.23730499590581999</v>
      </c>
      <c r="AB45">
        <v>1.44700330435809E-2</v>
      </c>
      <c r="AJ45">
        <v>-1.0106141417207199</v>
      </c>
      <c r="AK45">
        <v>0.98909522581390297</v>
      </c>
      <c r="AL45">
        <v>0.97069427919352003</v>
      </c>
      <c r="AM45">
        <v>3.40917749025582E-2</v>
      </c>
      <c r="AN45">
        <v>-3.3213606695513598E-2</v>
      </c>
      <c r="AO45">
        <v>4.8862764529799603E-2</v>
      </c>
      <c r="AP45">
        <v>1.08370397645956E-3</v>
      </c>
    </row>
    <row r="46" spans="1:42" x14ac:dyDescent="0.2">
      <c r="A46">
        <v>102</v>
      </c>
      <c r="B46">
        <v>758</v>
      </c>
      <c r="C46">
        <v>150</v>
      </c>
      <c r="D46">
        <v>0.43673616835572199</v>
      </c>
      <c r="E46">
        <v>0.433520985657394</v>
      </c>
      <c r="F46">
        <v>3.5423401502566398</v>
      </c>
      <c r="G46">
        <v>-5.6742059991097404</v>
      </c>
      <c r="H46">
        <v>-4.8131766257527442</v>
      </c>
      <c r="I46">
        <v>0.83501854565969602</v>
      </c>
      <c r="J46">
        <v>0.49082775444944299</v>
      </c>
      <c r="K46">
        <v>0.122382653067912</v>
      </c>
      <c r="L46">
        <v>4.4295054691359096E-5</v>
      </c>
      <c r="M46">
        <v>9.0519066184271015E-7</v>
      </c>
      <c r="N46" s="1">
        <v>5.2595155918027595E-10</v>
      </c>
      <c r="O46" s="1">
        <v>1.27365918641733E-13</v>
      </c>
      <c r="P46" s="1">
        <v>1.7499996896340901E-13</v>
      </c>
      <c r="Q46">
        <v>50.462106183740197</v>
      </c>
      <c r="R46">
        <v>1.7540678376787501E-2</v>
      </c>
      <c r="S46">
        <v>1.9735936525073201</v>
      </c>
      <c r="T46">
        <v>0.539374506357018</v>
      </c>
      <c r="V46">
        <v>29.8625397713231</v>
      </c>
      <c r="X46">
        <v>16.912992934640499</v>
      </c>
      <c r="AA46">
        <v>0.21762176270081099</v>
      </c>
      <c r="AB46">
        <v>1.4230510354146301E-2</v>
      </c>
      <c r="AJ46">
        <v>-1.0074148901855</v>
      </c>
      <c r="AK46">
        <v>0.98993760385385499</v>
      </c>
      <c r="AL46">
        <v>0.96372445023861497</v>
      </c>
      <c r="AM46">
        <v>3.7025366828557997E-2</v>
      </c>
      <c r="AN46">
        <v>-3.6007321131635697E-2</v>
      </c>
      <c r="AO46">
        <v>5.1670065338519797E-2</v>
      </c>
      <c r="AP46">
        <v>1.0647250575909E-3</v>
      </c>
    </row>
    <row r="47" spans="1:42" x14ac:dyDescent="0.2">
      <c r="A47">
        <v>103</v>
      </c>
      <c r="B47">
        <v>756</v>
      </c>
      <c r="C47">
        <v>150</v>
      </c>
      <c r="D47">
        <v>0.43550551425934297</v>
      </c>
      <c r="E47">
        <v>0.46985685457915899</v>
      </c>
      <c r="F47">
        <v>3.5421378973403002</v>
      </c>
      <c r="G47">
        <v>-6.1539508364353885</v>
      </c>
      <c r="H47">
        <v>-5.2234237649793362</v>
      </c>
      <c r="I47">
        <v>0.904170501341934</v>
      </c>
      <c r="J47">
        <v>0.532180226473838</v>
      </c>
      <c r="K47">
        <v>0.13264781558390501</v>
      </c>
      <c r="L47">
        <v>4.4266250477426505E-5</v>
      </c>
      <c r="M47">
        <v>9.0465698614564004E-7</v>
      </c>
      <c r="N47" s="1">
        <v>5.8184828887481997E-10</v>
      </c>
      <c r="O47" s="1">
        <v>1.3975101179107399E-13</v>
      </c>
      <c r="P47" s="1">
        <v>-6.2452825277003702E-14</v>
      </c>
      <c r="Q47">
        <v>50.413115919094601</v>
      </c>
      <c r="R47">
        <v>1.9478610987988299E-2</v>
      </c>
      <c r="S47">
        <v>2.0967370664867802</v>
      </c>
      <c r="T47">
        <v>0.54300648096968196</v>
      </c>
      <c r="V47">
        <v>29.76403440655</v>
      </c>
      <c r="X47">
        <v>16.949648734655199</v>
      </c>
      <c r="AA47">
        <v>0.19997961735174999</v>
      </c>
      <c r="AB47">
        <v>1.39991639039175E-2</v>
      </c>
      <c r="AJ47">
        <v>-1.0073657902233299</v>
      </c>
      <c r="AK47">
        <v>0.99068911884998601</v>
      </c>
      <c r="AL47">
        <v>0.960052290675386</v>
      </c>
      <c r="AM47">
        <v>3.9817386852698998E-2</v>
      </c>
      <c r="AN47">
        <v>-3.86874457016496E-2</v>
      </c>
      <c r="AO47">
        <v>5.4447561598795602E-2</v>
      </c>
      <c r="AP47">
        <v>1.04687794812142E-3</v>
      </c>
    </row>
    <row r="48" spans="1:42" x14ac:dyDescent="0.2">
      <c r="A48">
        <v>104</v>
      </c>
      <c r="B48">
        <v>754</v>
      </c>
      <c r="C48">
        <v>150</v>
      </c>
      <c r="D48">
        <v>0.43427006766295001</v>
      </c>
      <c r="E48">
        <v>0.49365361308236899</v>
      </c>
      <c r="F48">
        <v>3.5425283996694898</v>
      </c>
      <c r="G48">
        <v>-6.4674388224419266</v>
      </c>
      <c r="H48">
        <v>-5.4926812799674281</v>
      </c>
      <c r="I48">
        <v>0.94899239884583397</v>
      </c>
      <c r="J48">
        <v>0.55923945259395502</v>
      </c>
      <c r="K48">
        <v>0.13935064377421</v>
      </c>
      <c r="L48">
        <v>4.4241111684653088E-5</v>
      </c>
      <c r="M48">
        <v>9.042969627403904E-7</v>
      </c>
      <c r="N48" s="1">
        <v>6.2453391883336297E-10</v>
      </c>
      <c r="O48" s="1">
        <v>1.48309909009301E-13</v>
      </c>
      <c r="P48" s="1">
        <v>-3.1939922007118302E-13</v>
      </c>
      <c r="Q48">
        <v>50.354785135614598</v>
      </c>
      <c r="R48">
        <v>2.1147015371534999E-2</v>
      </c>
      <c r="S48">
        <v>2.2157273480022002</v>
      </c>
      <c r="T48">
        <v>0.54743698772942295</v>
      </c>
      <c r="V48">
        <v>29.708262305439401</v>
      </c>
      <c r="X48">
        <v>16.9543134954754</v>
      </c>
      <c r="AA48">
        <v>0.184549424738189</v>
      </c>
      <c r="AB48">
        <v>1.3778287629188601E-2</v>
      </c>
      <c r="AJ48">
        <v>-1.00873957842298</v>
      </c>
      <c r="AK48">
        <v>0.99134576788055795</v>
      </c>
      <c r="AL48">
        <v>0.95797761928098801</v>
      </c>
      <c r="AM48">
        <v>4.2501992794493598E-2</v>
      </c>
      <c r="AN48">
        <v>-4.12756215889152E-2</v>
      </c>
      <c r="AO48">
        <v>5.71597560231146E-2</v>
      </c>
      <c r="AP48">
        <v>1.0300640327475499E-3</v>
      </c>
    </row>
    <row r="49" spans="1:42" x14ac:dyDescent="0.2">
      <c r="A49">
        <v>105</v>
      </c>
      <c r="B49">
        <v>752</v>
      </c>
      <c r="C49">
        <v>150</v>
      </c>
      <c r="D49">
        <v>0.43302980051699702</v>
      </c>
      <c r="E49">
        <v>0.51696607104214898</v>
      </c>
      <c r="F49">
        <v>3.5458771093669599</v>
      </c>
      <c r="G49">
        <v>-6.763007329518878</v>
      </c>
      <c r="H49">
        <v>-5.7456699032233072</v>
      </c>
      <c r="I49">
        <v>0.99237909212853903</v>
      </c>
      <c r="J49">
        <v>0.58528060182613395</v>
      </c>
      <c r="K49">
        <v>0.14579356675292099</v>
      </c>
      <c r="L49">
        <v>4.4235878687815365E-5</v>
      </c>
      <c r="M49">
        <v>9.0463479830542622E-7</v>
      </c>
      <c r="N49" s="1">
        <v>6.70876747841781E-10</v>
      </c>
      <c r="O49" s="1">
        <v>1.55897167899463E-13</v>
      </c>
      <c r="P49" s="1">
        <v>-6.2374448493518504E-13</v>
      </c>
      <c r="Q49">
        <v>50.229515587125903</v>
      </c>
      <c r="R49">
        <v>2.1502067145554599E-2</v>
      </c>
      <c r="S49">
        <v>2.3561011826198301</v>
      </c>
      <c r="T49">
        <v>0.56215960817991795</v>
      </c>
      <c r="V49">
        <v>29.839494393112901</v>
      </c>
      <c r="X49">
        <v>16.809063271505298</v>
      </c>
      <c r="AA49">
        <v>0.16870581411869301</v>
      </c>
      <c r="AB49">
        <v>1.34580761917278E-2</v>
      </c>
      <c r="AJ49">
        <v>-1.01776615991705</v>
      </c>
      <c r="AK49">
        <v>0.99201863739610097</v>
      </c>
      <c r="AL49">
        <v>0.96288567625261401</v>
      </c>
      <c r="AM49">
        <v>4.5532231012996298E-2</v>
      </c>
      <c r="AN49">
        <v>-4.4284392944607301E-2</v>
      </c>
      <c r="AO49">
        <v>6.0607175964012203E-2</v>
      </c>
      <c r="AP49">
        <v>1.00683223593452E-3</v>
      </c>
    </row>
    <row r="50" spans="1:42" x14ac:dyDescent="0.2">
      <c r="A50">
        <v>106</v>
      </c>
      <c r="B50">
        <v>750</v>
      </c>
      <c r="C50">
        <v>150</v>
      </c>
      <c r="D50">
        <v>0.43178468455260599</v>
      </c>
      <c r="E50">
        <v>0.53476227434485701</v>
      </c>
      <c r="F50">
        <v>3.5486786146243299</v>
      </c>
      <c r="G50">
        <v>-6.9877221858761356</v>
      </c>
      <c r="H50">
        <v>-5.9388598538031871</v>
      </c>
      <c r="I50">
        <v>1.02513055961779</v>
      </c>
      <c r="J50">
        <v>0.605121697775447</v>
      </c>
      <c r="K50">
        <v>0.150693351643924</v>
      </c>
      <c r="L50">
        <v>4.4223796534694058E-5</v>
      </c>
      <c r="M50">
        <v>9.0483904084223552E-7</v>
      </c>
      <c r="N50" s="1">
        <v>7.1276166020176205E-10</v>
      </c>
      <c r="O50" s="1">
        <v>1.61853345049222E-13</v>
      </c>
      <c r="P50" s="1">
        <v>-9.2758366947729196E-13</v>
      </c>
      <c r="Q50">
        <v>50.118429998147498</v>
      </c>
      <c r="R50">
        <v>2.19842839454427E-2</v>
      </c>
      <c r="S50">
        <v>2.4888055542506198</v>
      </c>
      <c r="T50">
        <v>0.57418221977406203</v>
      </c>
      <c r="V50">
        <v>29.938499344723802</v>
      </c>
      <c r="X50">
        <v>16.689603739364301</v>
      </c>
      <c r="AA50">
        <v>0.15531779658926301</v>
      </c>
      <c r="AB50">
        <v>1.31770632048403E-2</v>
      </c>
      <c r="AJ50">
        <v>-1.0252793399259801</v>
      </c>
      <c r="AK50">
        <v>0.99258917553848103</v>
      </c>
      <c r="AL50">
        <v>0.96659750264352196</v>
      </c>
      <c r="AM50">
        <v>4.8425532507164797E-2</v>
      </c>
      <c r="AN50">
        <v>-4.7149026930190602E-2</v>
      </c>
      <c r="AO50">
        <v>6.3829819602387899E-2</v>
      </c>
      <c r="AP50">
        <v>9.8633656462058291E-4</v>
      </c>
    </row>
    <row r="51" spans="1:42" x14ac:dyDescent="0.2">
      <c r="A51">
        <v>107</v>
      </c>
      <c r="B51">
        <v>748</v>
      </c>
      <c r="C51">
        <v>150</v>
      </c>
      <c r="D51">
        <v>0.43053469127944</v>
      </c>
      <c r="E51">
        <v>0.549724344172551</v>
      </c>
      <c r="F51">
        <v>3.55140834623796</v>
      </c>
      <c r="G51">
        <v>-7.1751279893013153</v>
      </c>
      <c r="H51">
        <v>-6.1005050205762794</v>
      </c>
      <c r="I51">
        <v>1.0523654396758899</v>
      </c>
      <c r="J51">
        <v>0.621737984137816</v>
      </c>
      <c r="K51">
        <v>0.15479051986654199</v>
      </c>
      <c r="L51">
        <v>4.4208418053308673E-5</v>
      </c>
      <c r="M51">
        <v>9.0501797557266193E-7</v>
      </c>
      <c r="N51" s="1">
        <v>7.5368331803283405E-10</v>
      </c>
      <c r="O51" s="1">
        <v>1.6686079766058299E-13</v>
      </c>
      <c r="P51" s="1">
        <v>-1.23463064454557E-12</v>
      </c>
      <c r="Q51">
        <v>50.009892666265898</v>
      </c>
      <c r="R51">
        <v>2.2417840162832801E-2</v>
      </c>
      <c r="S51">
        <v>2.6191081221768999</v>
      </c>
      <c r="T51">
        <v>0.58542965397992197</v>
      </c>
      <c r="V51">
        <v>30.034236554401399</v>
      </c>
      <c r="X51">
        <v>16.572467637670801</v>
      </c>
      <c r="AA51">
        <v>0.143536065054814</v>
      </c>
      <c r="AB51">
        <v>1.29114602872331E-2</v>
      </c>
      <c r="AJ51">
        <v>-1.0325448541459299</v>
      </c>
      <c r="AK51">
        <v>0.99309279877657097</v>
      </c>
      <c r="AL51">
        <v>0.97019294759571895</v>
      </c>
      <c r="AM51">
        <v>5.1275755309882598E-2</v>
      </c>
      <c r="AN51">
        <v>-4.9973398349137797E-2</v>
      </c>
      <c r="AO51">
        <v>6.6989792518008504E-2</v>
      </c>
      <c r="AP51">
        <v>9.66958294889793E-4</v>
      </c>
    </row>
    <row r="52" spans="1:42" x14ac:dyDescent="0.2">
      <c r="A52">
        <v>118</v>
      </c>
      <c r="B52">
        <v>770</v>
      </c>
      <c r="C52">
        <v>125</v>
      </c>
      <c r="D52">
        <v>0.47038345396155901</v>
      </c>
      <c r="E52">
        <v>0.16769936282592199</v>
      </c>
      <c r="F52">
        <v>3.5406325185499798</v>
      </c>
      <c r="G52">
        <v>-2.1950998138105802</v>
      </c>
      <c r="H52">
        <v>-1.855961894209698</v>
      </c>
      <c r="I52">
        <v>0.325109446964369</v>
      </c>
      <c r="J52">
        <v>0.18983423841241401</v>
      </c>
      <c r="K52">
        <v>4.7364238436865699E-2</v>
      </c>
      <c r="L52">
        <v>4.4356486400119624E-5</v>
      </c>
      <c r="M52">
        <v>9.0605182885401743E-7</v>
      </c>
      <c r="N52" s="1">
        <v>1.95212059375579E-10</v>
      </c>
      <c r="O52" s="1">
        <v>4.7543853984333802E-14</v>
      </c>
      <c r="P52" s="1">
        <v>3.5065476422148498E-13</v>
      </c>
      <c r="Q52">
        <v>50.580527937013599</v>
      </c>
      <c r="R52">
        <v>1.13700412125812E-2</v>
      </c>
      <c r="S52">
        <v>1.66811761874027</v>
      </c>
      <c r="T52">
        <v>0.554093195668107</v>
      </c>
      <c r="V52">
        <v>30.067907721189702</v>
      </c>
      <c r="X52">
        <v>16.841461051741</v>
      </c>
      <c r="AA52">
        <v>0.26200279090154799</v>
      </c>
      <c r="AB52">
        <v>1.4519643533044E-2</v>
      </c>
      <c r="AJ52">
        <v>-1.00646886617876</v>
      </c>
      <c r="AK52">
        <v>0.98806697821123102</v>
      </c>
      <c r="AL52">
        <v>0.97149502558900602</v>
      </c>
      <c r="AM52">
        <v>2.97101168413576E-2</v>
      </c>
      <c r="AN52">
        <v>-2.9049432274393099E-2</v>
      </c>
      <c r="AO52">
        <v>4.5158540269196197E-2</v>
      </c>
      <c r="AP52">
        <v>1.0876375423720999E-3</v>
      </c>
    </row>
    <row r="53" spans="1:42" x14ac:dyDescent="0.2">
      <c r="A53">
        <v>119</v>
      </c>
      <c r="B53">
        <v>768</v>
      </c>
      <c r="C53">
        <v>125</v>
      </c>
      <c r="D53">
        <v>0.46923161888296799</v>
      </c>
      <c r="E53">
        <v>0.33674053819502398</v>
      </c>
      <c r="F53">
        <v>3.5361105944619999</v>
      </c>
      <c r="G53">
        <v>-4.4223443310231456</v>
      </c>
      <c r="H53">
        <v>-3.7428377588488599</v>
      </c>
      <c r="I53">
        <v>0.65265002369906799</v>
      </c>
      <c r="J53">
        <v>0.38182204331465602</v>
      </c>
      <c r="K53">
        <v>9.5229074204410402E-2</v>
      </c>
      <c r="L53">
        <v>4.429449308171716E-5</v>
      </c>
      <c r="M53">
        <v>9.0442446272107161E-7</v>
      </c>
      <c r="N53" s="1">
        <v>3.9670919940369901E-10</v>
      </c>
      <c r="O53" s="1">
        <v>9.7579076104491204E-14</v>
      </c>
      <c r="P53" s="1">
        <v>5.4968006592960297E-13</v>
      </c>
      <c r="Q53">
        <v>50.619230849416297</v>
      </c>
      <c r="R53">
        <v>1.45356964565407E-2</v>
      </c>
      <c r="S53">
        <v>1.7790242789158599</v>
      </c>
      <c r="T53">
        <v>0.54574750213314904</v>
      </c>
      <c r="V53">
        <v>29.6841201765519</v>
      </c>
      <c r="X53">
        <v>17.094779253548801</v>
      </c>
      <c r="AA53">
        <v>0.24827054304344201</v>
      </c>
      <c r="AB53">
        <v>1.42916999339185E-2</v>
      </c>
      <c r="AJ53">
        <v>-0.99515127261060399</v>
      </c>
      <c r="AK53">
        <v>0.98867513472884605</v>
      </c>
      <c r="AL53">
        <v>0.95718071472099198</v>
      </c>
      <c r="AM53">
        <v>3.2392188384529202E-2</v>
      </c>
      <c r="AN53">
        <v>-3.1549241218865001E-2</v>
      </c>
      <c r="AO53">
        <v>4.7384049839872502E-2</v>
      </c>
      <c r="AP53">
        <v>1.06842615522913E-3</v>
      </c>
    </row>
    <row r="54" spans="1:42" x14ac:dyDescent="0.2">
      <c r="A54">
        <v>120</v>
      </c>
      <c r="B54">
        <v>766</v>
      </c>
      <c r="C54">
        <v>125</v>
      </c>
      <c r="D54">
        <v>0.46807535004571499</v>
      </c>
      <c r="E54">
        <v>0.40498877261043498</v>
      </c>
      <c r="F54">
        <v>3.5345305915883198</v>
      </c>
      <c r="G54">
        <v>-5.3265964796804246</v>
      </c>
      <c r="H54">
        <v>-4.5115153617401713</v>
      </c>
      <c r="I54">
        <v>0.78437291819299804</v>
      </c>
      <c r="J54">
        <v>0.45957072190765202</v>
      </c>
      <c r="K54">
        <v>0.114580638677806</v>
      </c>
      <c r="L54">
        <v>4.425574016534861E-5</v>
      </c>
      <c r="M54">
        <v>9.0356243554732973E-7</v>
      </c>
      <c r="N54" s="1">
        <v>4.84628435340379E-10</v>
      </c>
      <c r="O54" s="1">
        <v>1.19257972967271E-13</v>
      </c>
      <c r="P54" s="1">
        <v>4.5501483256207401E-13</v>
      </c>
      <c r="Q54">
        <v>50.6000250574399</v>
      </c>
      <c r="R54">
        <v>1.68535271626007E-2</v>
      </c>
      <c r="S54">
        <v>1.8948513891040699</v>
      </c>
      <c r="T54">
        <v>0.54602868052362896</v>
      </c>
      <c r="V54">
        <v>29.495784139658898</v>
      </c>
      <c r="X54">
        <v>17.202572678837001</v>
      </c>
      <c r="AA54">
        <v>0.22982174152321899</v>
      </c>
      <c r="AB54">
        <v>1.4062785750499599E-2</v>
      </c>
      <c r="AJ54">
        <v>-0.99157480556686095</v>
      </c>
      <c r="AK54">
        <v>0.98946477938603405</v>
      </c>
      <c r="AL54">
        <v>0.95017128034780796</v>
      </c>
      <c r="AM54">
        <v>3.5061099641537703E-2</v>
      </c>
      <c r="AN54">
        <v>-3.4084700229404401E-2</v>
      </c>
      <c r="AO54">
        <v>4.9912068643399699E-2</v>
      </c>
      <c r="AP54">
        <v>1.0502777774852601E-3</v>
      </c>
    </row>
    <row r="55" spans="1:42" x14ac:dyDescent="0.2">
      <c r="A55">
        <v>121</v>
      </c>
      <c r="B55">
        <v>764</v>
      </c>
      <c r="C55">
        <v>125</v>
      </c>
      <c r="D55">
        <v>0.46691462180012799</v>
      </c>
      <c r="E55">
        <v>0.44283961424708501</v>
      </c>
      <c r="F55">
        <v>3.5341442602209199</v>
      </c>
      <c r="G55">
        <v>-5.8287046591610778</v>
      </c>
      <c r="H55">
        <v>-4.9399527745163727</v>
      </c>
      <c r="I55">
        <v>0.85691740311884002</v>
      </c>
      <c r="J55">
        <v>0.50272826599920695</v>
      </c>
      <c r="K55">
        <v>0.12530320825652999</v>
      </c>
      <c r="L55">
        <v>4.4226938940197063E-5</v>
      </c>
      <c r="M55">
        <v>9.0303721091519873E-7</v>
      </c>
      <c r="N55" s="1">
        <v>5.3863669979680204E-10</v>
      </c>
      <c r="O55" s="1">
        <v>1.32082227615284E-13</v>
      </c>
      <c r="P55" s="1">
        <v>2.7695962584581601E-13</v>
      </c>
      <c r="Q55">
        <v>50.559442459087698</v>
      </c>
      <c r="R55">
        <v>1.8739262304652698E-2</v>
      </c>
      <c r="S55">
        <v>2.0078783596892098</v>
      </c>
      <c r="T55">
        <v>0.54891067162895002</v>
      </c>
      <c r="V55">
        <v>29.390036617631399</v>
      </c>
      <c r="X55">
        <v>17.248623838753499</v>
      </c>
      <c r="AA55">
        <v>0.21252474177265701</v>
      </c>
      <c r="AB55">
        <v>1.3844049131714799E-2</v>
      </c>
      <c r="AJ55">
        <v>-0.99100383287276905</v>
      </c>
      <c r="AK55">
        <v>0.99020040174009305</v>
      </c>
      <c r="AL55">
        <v>0.94624103020058503</v>
      </c>
      <c r="AM55">
        <v>3.7626926073913602E-2</v>
      </c>
      <c r="AN55">
        <v>-3.6541878226618502E-2</v>
      </c>
      <c r="AO55">
        <v>5.2443983574364701E-2</v>
      </c>
      <c r="AP55">
        <v>1.0333695104308E-3</v>
      </c>
    </row>
    <row r="56" spans="1:42" x14ac:dyDescent="0.2">
      <c r="A56">
        <v>122</v>
      </c>
      <c r="B56">
        <v>762</v>
      </c>
      <c r="C56">
        <v>125</v>
      </c>
      <c r="D56">
        <v>0.46574940829831801</v>
      </c>
      <c r="E56">
        <v>0.46772477922811401</v>
      </c>
      <c r="F56">
        <v>3.53434987142067</v>
      </c>
      <c r="G56">
        <v>-6.1583694982235571</v>
      </c>
      <c r="H56">
        <v>-5.2224115624210041</v>
      </c>
      <c r="I56">
        <v>0.90417614432937399</v>
      </c>
      <c r="J56">
        <v>0.53108875416666401</v>
      </c>
      <c r="K56">
        <v>0.13233686427317501</v>
      </c>
      <c r="L56">
        <v>4.4202904831990565E-5</v>
      </c>
      <c r="M56">
        <v>9.02685655283296E-7</v>
      </c>
      <c r="N56" s="1">
        <v>5.7854391270933404E-10</v>
      </c>
      <c r="O56" s="1">
        <v>1.4100400272867201E-13</v>
      </c>
      <c r="P56" s="1">
        <v>6.7320752561849002E-14</v>
      </c>
      <c r="Q56">
        <v>50.509107227045597</v>
      </c>
      <c r="R56">
        <v>2.0373378611704501E-2</v>
      </c>
      <c r="S56">
        <v>2.11765186586763</v>
      </c>
      <c r="T56">
        <v>0.55267091412842795</v>
      </c>
      <c r="V56">
        <v>29.3265423683353</v>
      </c>
      <c r="X56">
        <v>17.262956764009601</v>
      </c>
      <c r="AA56">
        <v>0.19706131911875199</v>
      </c>
      <c r="AB56">
        <v>1.36361628828127E-2</v>
      </c>
      <c r="AJ56">
        <v>-0.99186898792533396</v>
      </c>
      <c r="AK56">
        <v>0.99085678181286796</v>
      </c>
      <c r="AL56">
        <v>0.94388429974898203</v>
      </c>
      <c r="AM56">
        <v>4.01046490506815E-2</v>
      </c>
      <c r="AN56">
        <v>-3.8925372380476199E-2</v>
      </c>
      <c r="AO56">
        <v>5.4931114404777701E-2</v>
      </c>
      <c r="AP56">
        <v>1.0175152885007501E-3</v>
      </c>
    </row>
    <row r="57" spans="1:42" x14ac:dyDescent="0.2">
      <c r="A57">
        <v>123</v>
      </c>
      <c r="B57">
        <v>760</v>
      </c>
      <c r="C57">
        <v>125</v>
      </c>
      <c r="D57">
        <v>0.464579683492232</v>
      </c>
      <c r="E57">
        <v>0.48586339924940702</v>
      </c>
      <c r="F57">
        <v>3.5348953087752601</v>
      </c>
      <c r="G57">
        <v>-6.3979388823602159</v>
      </c>
      <c r="H57">
        <v>-5.4285803501205887</v>
      </c>
      <c r="I57">
        <v>0.93825536682923705</v>
      </c>
      <c r="J57">
        <v>0.55173179589953103</v>
      </c>
      <c r="K57">
        <v>0.13744774789886</v>
      </c>
      <c r="L57">
        <v>4.4181308163873355E-5</v>
      </c>
      <c r="M57">
        <v>9.0243499411937386E-7</v>
      </c>
      <c r="N57" s="1">
        <v>6.1152111067644003E-10</v>
      </c>
      <c r="O57" s="1">
        <v>1.4782735669509201E-13</v>
      </c>
      <c r="P57" s="1">
        <v>-1.5685093503546799E-13</v>
      </c>
      <c r="Q57">
        <v>50.453556636828303</v>
      </c>
      <c r="R57">
        <v>2.1844209380598799E-2</v>
      </c>
      <c r="S57">
        <v>2.22473316850194</v>
      </c>
      <c r="T57">
        <v>0.55670237539237</v>
      </c>
      <c r="V57">
        <v>29.287912204146899</v>
      </c>
      <c r="X57">
        <v>17.258510211088598</v>
      </c>
      <c r="AA57">
        <v>0.18330345507524401</v>
      </c>
      <c r="AB57">
        <v>1.3437739585932701E-2</v>
      </c>
      <c r="AJ57">
        <v>-0.99353164177708497</v>
      </c>
      <c r="AK57">
        <v>0.99144059243169202</v>
      </c>
      <c r="AL57">
        <v>0.942452979427438</v>
      </c>
      <c r="AM57">
        <v>4.2516280121598402E-2</v>
      </c>
      <c r="AN57">
        <v>-4.1252119205292703E-2</v>
      </c>
      <c r="AO57">
        <v>5.7371399814236897E-2</v>
      </c>
      <c r="AP57">
        <v>1.0025091874113999E-3</v>
      </c>
    </row>
    <row r="58" spans="1:42" x14ac:dyDescent="0.2">
      <c r="A58">
        <v>124</v>
      </c>
      <c r="B58">
        <v>758</v>
      </c>
      <c r="C58">
        <v>125</v>
      </c>
      <c r="D58">
        <v>0.46340542113174599</v>
      </c>
      <c r="E58">
        <v>0.50002677155464803</v>
      </c>
      <c r="F58">
        <v>3.53565724918553</v>
      </c>
      <c r="G58">
        <v>-6.5842371525460255</v>
      </c>
      <c r="H58">
        <v>-5.5896367651058485</v>
      </c>
      <c r="I58">
        <v>0.96455451431913497</v>
      </c>
      <c r="J58">
        <v>0.56781811662787696</v>
      </c>
      <c r="K58">
        <v>0.141423994554289</v>
      </c>
      <c r="L58">
        <v>4.4160945700509877E-5</v>
      </c>
      <c r="M58">
        <v>9.0224780772894153E-7</v>
      </c>
      <c r="N58" s="1">
        <v>6.4082090791959804E-10</v>
      </c>
      <c r="O58" s="1">
        <v>1.5337068329897499E-13</v>
      </c>
      <c r="P58" s="1">
        <v>-3.8879832639876601E-13</v>
      </c>
      <c r="Q58">
        <v>50.394853612547401</v>
      </c>
      <c r="R58">
        <v>2.32007234002835E-2</v>
      </c>
      <c r="S58">
        <v>2.32974435375827</v>
      </c>
      <c r="T58">
        <v>0.56075979199592696</v>
      </c>
      <c r="V58">
        <v>29.265418675894999</v>
      </c>
      <c r="X58">
        <v>17.2417669557544</v>
      </c>
      <c r="AA58">
        <v>0.171008674727742</v>
      </c>
      <c r="AB58">
        <v>1.32472119207606E-2</v>
      </c>
      <c r="AJ58">
        <v>-0.99568767345429898</v>
      </c>
      <c r="AK58">
        <v>0.99196258706765295</v>
      </c>
      <c r="AL58">
        <v>0.94162209763919502</v>
      </c>
      <c r="AM58">
        <v>4.4879889154467903E-2</v>
      </c>
      <c r="AN58">
        <v>-4.3537377150784401E-2</v>
      </c>
      <c r="AO58">
        <v>5.9772294041889301E-2</v>
      </c>
      <c r="AP58">
        <v>9.88182701877653E-4</v>
      </c>
    </row>
    <row r="59" spans="1:42" x14ac:dyDescent="0.2">
      <c r="A59">
        <v>125</v>
      </c>
      <c r="B59">
        <v>756</v>
      </c>
      <c r="C59">
        <v>125</v>
      </c>
      <c r="D59">
        <v>0.46222659476266797</v>
      </c>
      <c r="E59">
        <v>0.51731274377308001</v>
      </c>
      <c r="F59">
        <v>3.5392386247374299</v>
      </c>
      <c r="G59">
        <v>-6.8005570627746676</v>
      </c>
      <c r="H59">
        <v>-5.7750904082796888</v>
      </c>
      <c r="I59">
        <v>0.99642098284504399</v>
      </c>
      <c r="J59">
        <v>0.58701676180177698</v>
      </c>
      <c r="K59">
        <v>0.14616498027494701</v>
      </c>
      <c r="L59">
        <v>4.4163960309422054E-5</v>
      </c>
      <c r="M59">
        <v>9.027246193009868E-7</v>
      </c>
      <c r="N59" s="1">
        <v>6.7600414607238797E-10</v>
      </c>
      <c r="O59" s="1">
        <v>1.5906249959697201E-13</v>
      </c>
      <c r="P59" s="1">
        <v>-6.6489254423977298E-13</v>
      </c>
      <c r="Q59">
        <v>50.270437232890302</v>
      </c>
      <c r="R59">
        <v>2.3206379997244501E-2</v>
      </c>
      <c r="S59">
        <v>2.4590611546573502</v>
      </c>
      <c r="T59">
        <v>0.57501523611525696</v>
      </c>
      <c r="V59">
        <v>29.419280493026999</v>
      </c>
      <c r="X59">
        <v>17.082275131116202</v>
      </c>
      <c r="AA59">
        <v>0.157770289824119</v>
      </c>
      <c r="AB59">
        <v>1.2954082372319599E-2</v>
      </c>
      <c r="AJ59">
        <v>-1.0051562021401099</v>
      </c>
      <c r="AK59">
        <v>0.99252403828020297</v>
      </c>
      <c r="AL59">
        <v>0.94734825331930805</v>
      </c>
      <c r="AM59">
        <v>4.7655525858454201E-2</v>
      </c>
      <c r="AN59">
        <v>-4.6311586224119003E-2</v>
      </c>
      <c r="AO59">
        <v>6.2972862564788304E-2</v>
      </c>
      <c r="AP59">
        <v>9.6710834147762097E-4</v>
      </c>
    </row>
    <row r="60" spans="1:42" x14ac:dyDescent="0.2">
      <c r="A60">
        <v>126</v>
      </c>
      <c r="B60">
        <v>754</v>
      </c>
      <c r="C60">
        <v>125</v>
      </c>
      <c r="D60">
        <v>0.46104317772477099</v>
      </c>
      <c r="E60">
        <v>0.530473077214762</v>
      </c>
      <c r="F60">
        <v>3.54181063282044</v>
      </c>
      <c r="G60">
        <v>-6.965971662605785</v>
      </c>
      <c r="H60">
        <v>-5.9178797415737581</v>
      </c>
      <c r="I60">
        <v>1.02038837660714</v>
      </c>
      <c r="J60">
        <v>0.60165756021479899</v>
      </c>
      <c r="K60">
        <v>0.14977454534104501</v>
      </c>
      <c r="L60">
        <v>4.415561510394731E-5</v>
      </c>
      <c r="M60">
        <v>9.0295049245498021E-7</v>
      </c>
      <c r="N60" s="1">
        <v>7.0819351029819999E-10</v>
      </c>
      <c r="O60" s="1">
        <v>1.63669287883372E-13</v>
      </c>
      <c r="P60" s="1">
        <v>-9.3422806222573191E-13</v>
      </c>
      <c r="Q60">
        <v>50.170416449287302</v>
      </c>
      <c r="R60">
        <v>2.36085481486045E-2</v>
      </c>
      <c r="S60">
        <v>2.5779386250616199</v>
      </c>
      <c r="T60">
        <v>0.58501088938277601</v>
      </c>
      <c r="V60">
        <v>29.511226119360298</v>
      </c>
      <c r="X60">
        <v>16.9723984725455</v>
      </c>
      <c r="AA60">
        <v>0.146688848262783</v>
      </c>
      <c r="AB60">
        <v>1.27120479510094E-2</v>
      </c>
      <c r="AJ60">
        <v>-1.0119371885646899</v>
      </c>
      <c r="AK60">
        <v>0.99299581384745295</v>
      </c>
      <c r="AL60">
        <v>0.95077894305385302</v>
      </c>
      <c r="AM60">
        <v>5.0253637903918499E-2</v>
      </c>
      <c r="AN60">
        <v>-4.88857316595648E-2</v>
      </c>
      <c r="AO60">
        <v>6.5845017291366603E-2</v>
      </c>
      <c r="AP60">
        <v>9.4950812767206905E-4</v>
      </c>
    </row>
    <row r="61" spans="1:42" x14ac:dyDescent="0.2">
      <c r="A61">
        <v>140</v>
      </c>
      <c r="B61">
        <v>780</v>
      </c>
      <c r="C61">
        <v>100</v>
      </c>
      <c r="D61">
        <v>0.50218914684517901</v>
      </c>
      <c r="E61">
        <v>0.235120934811442</v>
      </c>
      <c r="F61">
        <v>3.5301509799114199</v>
      </c>
      <c r="G61">
        <v>-3.0993349876798275</v>
      </c>
      <c r="H61">
        <v>-2.6159153317124746</v>
      </c>
      <c r="I61">
        <v>0.45902260453624999</v>
      </c>
      <c r="J61">
        <v>0.26707757980538699</v>
      </c>
      <c r="K61">
        <v>6.6603648441501601E-2</v>
      </c>
      <c r="L61">
        <v>4.4282655146442766E-5</v>
      </c>
      <c r="M61">
        <v>9.0332037172113515E-7</v>
      </c>
      <c r="N61" s="1">
        <v>2.7704562297959702E-10</v>
      </c>
      <c r="O61" s="1">
        <v>6.7321501059019795E-14</v>
      </c>
      <c r="P61" s="1">
        <v>6.1962372730745098E-13</v>
      </c>
      <c r="Q61">
        <v>50.723228073217797</v>
      </c>
      <c r="R61">
        <v>1.2521097848733599E-2</v>
      </c>
      <c r="S61">
        <v>1.66611588023274</v>
      </c>
      <c r="T61">
        <v>0.56519218161925899</v>
      </c>
      <c r="V61">
        <v>29.4947007376377</v>
      </c>
      <c r="X61">
        <v>17.254505032889401</v>
      </c>
      <c r="AA61">
        <v>0.269412765524979</v>
      </c>
      <c r="AB61">
        <v>1.43242310292619E-2</v>
      </c>
      <c r="AJ61">
        <v>-0.98500595854236295</v>
      </c>
      <c r="AK61">
        <v>0.98780944525043501</v>
      </c>
      <c r="AL61">
        <v>0.95028076150126795</v>
      </c>
      <c r="AM61">
        <v>2.9460447900923298E-2</v>
      </c>
      <c r="AN61">
        <v>-2.8734935060316599E-2</v>
      </c>
      <c r="AO61">
        <v>4.5120272591336698E-2</v>
      </c>
      <c r="AP61">
        <v>1.06996635871632E-3</v>
      </c>
    </row>
    <row r="62" spans="1:42" x14ac:dyDescent="0.2">
      <c r="A62">
        <v>141</v>
      </c>
      <c r="B62">
        <v>778</v>
      </c>
      <c r="C62">
        <v>100</v>
      </c>
      <c r="D62">
        <v>0.501108785615755</v>
      </c>
      <c r="E62">
        <v>0.34014001688911999</v>
      </c>
      <c r="F62">
        <v>3.5273953278849</v>
      </c>
      <c r="G62">
        <v>-4.4933242686983919</v>
      </c>
      <c r="H62">
        <v>-3.7956688553850602</v>
      </c>
      <c r="I62">
        <v>0.66370680998271403</v>
      </c>
      <c r="J62">
        <v>0.386783179567045</v>
      </c>
      <c r="K62">
        <v>9.6428096448456402E-2</v>
      </c>
      <c r="L62">
        <v>4.4231825454791025E-5</v>
      </c>
      <c r="M62">
        <v>9.0219969495949168E-7</v>
      </c>
      <c r="N62" s="1">
        <v>4.05568374625217E-10</v>
      </c>
      <c r="O62" s="1">
        <v>9.91495132102173E-14</v>
      </c>
      <c r="P62" s="1">
        <v>7.4880991109727098E-13</v>
      </c>
      <c r="Q62">
        <v>50.732788954810701</v>
      </c>
      <c r="R62">
        <v>1.50301253670421E-2</v>
      </c>
      <c r="S62">
        <v>1.76835327670261</v>
      </c>
      <c r="T62">
        <v>0.56161106881331702</v>
      </c>
      <c r="V62">
        <v>29.2338099998918</v>
      </c>
      <c r="X62">
        <v>17.4199504383642</v>
      </c>
      <c r="AA62">
        <v>0.25436002453054901</v>
      </c>
      <c r="AB62">
        <v>1.4096111519624799E-2</v>
      </c>
      <c r="AJ62">
        <v>-0.97824232287978996</v>
      </c>
      <c r="AK62">
        <v>0.98846350120042803</v>
      </c>
      <c r="AL62">
        <v>0.94059659890898495</v>
      </c>
      <c r="AM62">
        <v>3.18713093055846E-2</v>
      </c>
      <c r="AN62">
        <v>-3.1001597554740901E-2</v>
      </c>
      <c r="AO62">
        <v>4.7261013689866502E-2</v>
      </c>
      <c r="AP62">
        <v>1.0514973296672199E-3</v>
      </c>
    </row>
    <row r="63" spans="1:42" x14ac:dyDescent="0.2">
      <c r="A63">
        <v>142</v>
      </c>
      <c r="B63">
        <v>776</v>
      </c>
      <c r="C63">
        <v>100</v>
      </c>
      <c r="D63">
        <v>0.50002430539008103</v>
      </c>
      <c r="E63">
        <v>0.39336531306612499</v>
      </c>
      <c r="F63">
        <v>3.5262980737896799</v>
      </c>
      <c r="G63">
        <v>-5.202296911093736</v>
      </c>
      <c r="H63">
        <v>-4.3976275236422167</v>
      </c>
      <c r="I63">
        <v>0.76697268021876497</v>
      </c>
      <c r="J63">
        <v>0.44756719417798502</v>
      </c>
      <c r="K63">
        <v>0.111551917856841</v>
      </c>
      <c r="L63">
        <v>4.4197197392368276E-5</v>
      </c>
      <c r="M63">
        <v>9.0153123622165644E-7</v>
      </c>
      <c r="N63" s="1">
        <v>4.7454980891820302E-10</v>
      </c>
      <c r="O63" s="1">
        <v>1.1634128092249701E-13</v>
      </c>
      <c r="P63" s="1">
        <v>6.8746740890844804E-13</v>
      </c>
      <c r="Q63">
        <v>50.710160153645297</v>
      </c>
      <c r="R63">
        <v>1.7044469577221399E-2</v>
      </c>
      <c r="S63">
        <v>1.8723164553635601</v>
      </c>
      <c r="T63">
        <v>0.56255694661217603</v>
      </c>
      <c r="V63">
        <v>29.084296864668801</v>
      </c>
      <c r="X63">
        <v>17.5025871970347</v>
      </c>
      <c r="AA63">
        <v>0.23715830997942899</v>
      </c>
      <c r="AB63">
        <v>1.38796031187274E-2</v>
      </c>
      <c r="AJ63">
        <v>-0.97581361076156303</v>
      </c>
      <c r="AK63">
        <v>0.98919718649680499</v>
      </c>
      <c r="AL63">
        <v>0.935053649182362</v>
      </c>
      <c r="AM63">
        <v>3.4254184332231902E-2</v>
      </c>
      <c r="AN63">
        <v>-3.3268685300316798E-2</v>
      </c>
      <c r="AO63">
        <v>4.9542739422511202E-2</v>
      </c>
      <c r="AP63">
        <v>1.03453662796955E-3</v>
      </c>
    </row>
    <row r="64" spans="1:42" x14ac:dyDescent="0.2">
      <c r="A64">
        <v>143</v>
      </c>
      <c r="B64">
        <v>774</v>
      </c>
      <c r="C64">
        <v>100</v>
      </c>
      <c r="D64">
        <v>0.49893568256697302</v>
      </c>
      <c r="E64">
        <v>0.426105884713529</v>
      </c>
      <c r="F64">
        <v>3.52601901836436</v>
      </c>
      <c r="G64">
        <v>-5.6387041329236043</v>
      </c>
      <c r="H64">
        <v>-4.76950658280344</v>
      </c>
      <c r="I64">
        <v>0.83006021116378903</v>
      </c>
      <c r="J64">
        <v>0.48497561824101798</v>
      </c>
      <c r="K64">
        <v>0.120846167446705</v>
      </c>
      <c r="L64">
        <v>4.4170609494082468E-5</v>
      </c>
      <c r="M64">
        <v>9.0109862700653119E-7</v>
      </c>
      <c r="N64" s="1">
        <v>5.2005500643188804E-10</v>
      </c>
      <c r="O64" s="1">
        <v>1.2757586749322001E-13</v>
      </c>
      <c r="P64" s="1">
        <v>5.5429219867694502E-13</v>
      </c>
      <c r="Q64">
        <v>50.672861792229</v>
      </c>
      <c r="R64">
        <v>1.87623110564289E-2</v>
      </c>
      <c r="S64">
        <v>1.9743553606458499</v>
      </c>
      <c r="T64">
        <v>0.56516944512145195</v>
      </c>
      <c r="V64">
        <v>28.991658780311301</v>
      </c>
      <c r="X64">
        <v>17.542620004500399</v>
      </c>
      <c r="AA64">
        <v>0.220896643292182</v>
      </c>
      <c r="AB64">
        <v>1.36756628432103E-2</v>
      </c>
      <c r="AJ64">
        <v>-0.97543732905608505</v>
      </c>
      <c r="AK64">
        <v>0.98988710555794901</v>
      </c>
      <c r="AL64">
        <v>0.93162222435742403</v>
      </c>
      <c r="AM64">
        <v>3.6567477105476101E-2</v>
      </c>
      <c r="AN64">
        <v>-3.5483181098721603E-2</v>
      </c>
      <c r="AO64">
        <v>5.18248630472476E-2</v>
      </c>
      <c r="AP64">
        <v>1.0188400867089001E-3</v>
      </c>
    </row>
    <row r="65" spans="1:42" x14ac:dyDescent="0.2">
      <c r="A65">
        <v>144</v>
      </c>
      <c r="B65">
        <v>772</v>
      </c>
      <c r="C65">
        <v>100</v>
      </c>
      <c r="D65">
        <v>0.49784289336458698</v>
      </c>
      <c r="E65">
        <v>0.44881461234526698</v>
      </c>
      <c r="F65">
        <v>3.52619795943267</v>
      </c>
      <c r="G65">
        <v>-5.9410268963059467</v>
      </c>
      <c r="H65">
        <v>-5.0281497093544667</v>
      </c>
      <c r="I65">
        <v>0.87344131172700701</v>
      </c>
      <c r="J65">
        <v>0.51090864111009904</v>
      </c>
      <c r="K65">
        <v>0.127280038587928</v>
      </c>
      <c r="L65">
        <v>4.4148352259860832E-5</v>
      </c>
      <c r="M65">
        <v>9.0080148871654267E-7</v>
      </c>
      <c r="N65" s="1">
        <v>5.54313539121015E-10</v>
      </c>
      <c r="O65" s="1">
        <v>1.35809394907015E-13</v>
      </c>
      <c r="P65" s="1">
        <v>3.8809881041405002E-13</v>
      </c>
      <c r="Q65">
        <v>50.627894966325201</v>
      </c>
      <c r="R65">
        <v>2.0289141306709901E-2</v>
      </c>
      <c r="S65">
        <v>2.07410624532405</v>
      </c>
      <c r="T65">
        <v>0.56841582261978596</v>
      </c>
      <c r="V65">
        <v>28.9317236375513</v>
      </c>
      <c r="X65">
        <v>17.557979649878501</v>
      </c>
      <c r="AA65">
        <v>0.206107826819941</v>
      </c>
      <c r="AB65">
        <v>1.34827101743545E-2</v>
      </c>
      <c r="AJ65">
        <v>-0.97617007320514904</v>
      </c>
      <c r="AK65">
        <v>0.99051330263474202</v>
      </c>
      <c r="AL65">
        <v>0.92940392744780698</v>
      </c>
      <c r="AM65">
        <v>3.8818312017848799E-2</v>
      </c>
      <c r="AN65">
        <v>-3.7646147386016002E-2</v>
      </c>
      <c r="AO65">
        <v>5.4076529265514997E-2</v>
      </c>
      <c r="AP65">
        <v>1.0041492252517801E-3</v>
      </c>
    </row>
    <row r="66" spans="1:42" x14ac:dyDescent="0.2">
      <c r="A66">
        <v>145</v>
      </c>
      <c r="B66">
        <v>770</v>
      </c>
      <c r="C66">
        <v>100</v>
      </c>
      <c r="D66">
        <v>0.49674591381872402</v>
      </c>
      <c r="E66">
        <v>0.46586871426717302</v>
      </c>
      <c r="F66">
        <v>3.5266612440541398</v>
      </c>
      <c r="G66">
        <v>-6.1674920995502296</v>
      </c>
      <c r="H66">
        <v>-5.2227141077502504</v>
      </c>
      <c r="I66">
        <v>0.90569715937303197</v>
      </c>
      <c r="J66">
        <v>0.530359963884944</v>
      </c>
      <c r="K66">
        <v>0.132099082397725</v>
      </c>
      <c r="L66">
        <v>4.4128563836752232E-5</v>
      </c>
      <c r="M66">
        <v>9.005887817382958E-7</v>
      </c>
      <c r="N66" s="1">
        <v>5.8253543181516198E-10</v>
      </c>
      <c r="O66" s="1">
        <v>1.42301867531041E-13</v>
      </c>
      <c r="P66" s="1">
        <v>2.0423084029045501E-13</v>
      </c>
      <c r="Q66">
        <v>50.578427032908003</v>
      </c>
      <c r="R66">
        <v>2.1683939454144902E-2</v>
      </c>
      <c r="S66">
        <v>2.17187106422617</v>
      </c>
      <c r="T66">
        <v>0.57187397106442694</v>
      </c>
      <c r="V66">
        <v>28.8925250228111</v>
      </c>
      <c r="X66">
        <v>17.557563975866501</v>
      </c>
      <c r="AA66">
        <v>0.19275609944709801</v>
      </c>
      <c r="AB66">
        <v>1.3298894222503899E-2</v>
      </c>
      <c r="AJ66">
        <v>-0.97757011233450397</v>
      </c>
      <c r="AK66">
        <v>0.99107832331420598</v>
      </c>
      <c r="AL66">
        <v>0.92795451253363104</v>
      </c>
      <c r="AM66">
        <v>4.1020066055664502E-2</v>
      </c>
      <c r="AN66">
        <v>-3.9767576460401598E-2</v>
      </c>
      <c r="AO66">
        <v>5.6294530658144201E-2</v>
      </c>
      <c r="AP66">
        <v>9.9025623326009105E-4</v>
      </c>
    </row>
    <row r="67" spans="1:42" x14ac:dyDescent="0.2">
      <c r="A67">
        <v>146</v>
      </c>
      <c r="B67">
        <v>768</v>
      </c>
      <c r="C67">
        <v>100</v>
      </c>
      <c r="D67">
        <v>0.49564471978101199</v>
      </c>
      <c r="E67">
        <v>0.47941518045350401</v>
      </c>
      <c r="F67">
        <v>3.5273157827702102</v>
      </c>
      <c r="G67">
        <v>-6.3467490975946204</v>
      </c>
      <c r="H67">
        <v>-5.3773967658667754</v>
      </c>
      <c r="I67">
        <v>0.93104003431575</v>
      </c>
      <c r="J67">
        <v>0.54578304924353804</v>
      </c>
      <c r="K67">
        <v>0.13591501583025001</v>
      </c>
      <c r="L67">
        <v>4.4110209522037377E-5</v>
      </c>
      <c r="M67">
        <v>9.004319335495393E-7</v>
      </c>
      <c r="N67" s="1">
        <v>6.0732213283090199E-10</v>
      </c>
      <c r="O67" s="1">
        <v>1.4768107503204999E-13</v>
      </c>
      <c r="P67" s="1">
        <v>9.6530601265855795E-15</v>
      </c>
      <c r="Q67">
        <v>50.5260501166794</v>
      </c>
      <c r="R67">
        <v>2.2982303266648199E-2</v>
      </c>
      <c r="S67">
        <v>2.2680505906792199</v>
      </c>
      <c r="T67">
        <v>0.57535506984336504</v>
      </c>
      <c r="V67">
        <v>28.867493935709401</v>
      </c>
      <c r="X67">
        <v>17.546261363812199</v>
      </c>
      <c r="AA67">
        <v>0.18068401913507801</v>
      </c>
      <c r="AB67">
        <v>1.31226008745226E-2</v>
      </c>
      <c r="AJ67">
        <v>-0.97940686506837904</v>
      </c>
      <c r="AK67">
        <v>0.99158927696440002</v>
      </c>
      <c r="AL67">
        <v>0.92703028911893803</v>
      </c>
      <c r="AM67">
        <v>4.3184897145087497E-2</v>
      </c>
      <c r="AN67">
        <v>-4.1857584771783397E-2</v>
      </c>
      <c r="AO67">
        <v>5.8482984226538699E-2</v>
      </c>
      <c r="AP67">
        <v>9.770023851971611E-4</v>
      </c>
    </row>
    <row r="68" spans="1:42" x14ac:dyDescent="0.2">
      <c r="A68">
        <v>147</v>
      </c>
      <c r="B68">
        <v>766</v>
      </c>
      <c r="C68">
        <v>100</v>
      </c>
      <c r="D68">
        <v>0.49453928691719501</v>
      </c>
      <c r="E68">
        <v>0.49063222538264201</v>
      </c>
      <c r="F68">
        <v>3.52810738328562</v>
      </c>
      <c r="G68">
        <v>-6.4945592197844322</v>
      </c>
      <c r="H68">
        <v>-5.5055139379494369</v>
      </c>
      <c r="I68">
        <v>0.95178297823701397</v>
      </c>
      <c r="J68">
        <v>0.558526159511889</v>
      </c>
      <c r="K68">
        <v>0.13906385834711399</v>
      </c>
      <c r="L68">
        <v>4.4092662568519205E-5</v>
      </c>
      <c r="M68">
        <v>9.0031364640792327E-7</v>
      </c>
      <c r="N68" s="1">
        <v>6.3012938145974404E-10</v>
      </c>
      <c r="O68" s="1">
        <v>1.52296297949674E-13</v>
      </c>
      <c r="P68" s="1">
        <v>-1.92144034862495E-13</v>
      </c>
      <c r="Q68">
        <v>50.471629421918102</v>
      </c>
      <c r="R68">
        <v>2.4207177473499399E-2</v>
      </c>
      <c r="S68">
        <v>2.3630156598209999</v>
      </c>
      <c r="T68">
        <v>0.57877052046734401</v>
      </c>
      <c r="V68">
        <v>28.852718421006301</v>
      </c>
      <c r="X68">
        <v>17.526981869422801</v>
      </c>
      <c r="AA68">
        <v>0.169724419367629</v>
      </c>
      <c r="AB68">
        <v>1.2952510523209801E-2</v>
      </c>
      <c r="AJ68">
        <v>-0.98154951287028103</v>
      </c>
      <c r="AK68">
        <v>0.99205343835400295</v>
      </c>
      <c r="AL68">
        <v>0.92648621195535896</v>
      </c>
      <c r="AM68">
        <v>4.5322760213986998E-2</v>
      </c>
      <c r="AN68">
        <v>-4.3924811856585602E-2</v>
      </c>
      <c r="AO68">
        <v>6.0647647790111503E-2</v>
      </c>
      <c r="AP68">
        <v>9.6426641340496995E-4</v>
      </c>
    </row>
    <row r="69" spans="1:42" x14ac:dyDescent="0.2">
      <c r="A69">
        <v>148</v>
      </c>
      <c r="B69">
        <v>764</v>
      </c>
      <c r="C69">
        <v>100</v>
      </c>
      <c r="D69">
        <v>0.49342959070530001</v>
      </c>
      <c r="E69">
        <v>0.50022235653179103</v>
      </c>
      <c r="F69">
        <v>3.5290024237273099</v>
      </c>
      <c r="G69">
        <v>-6.6203392551052147</v>
      </c>
      <c r="H69">
        <v>-5.61502372674589</v>
      </c>
      <c r="I69">
        <v>0.96930581724854104</v>
      </c>
      <c r="J69">
        <v>0.56939413203059597</v>
      </c>
      <c r="K69">
        <v>0.14174610738959401</v>
      </c>
      <c r="L69">
        <v>4.4075514560958886E-5</v>
      </c>
      <c r="M69">
        <v>9.0022277487728187E-7</v>
      </c>
      <c r="N69" s="1">
        <v>6.5184510247041199E-10</v>
      </c>
      <c r="O69" s="1">
        <v>1.5635824118683299E-13</v>
      </c>
      <c r="P69" s="1">
        <v>-3.9927683629674098E-13</v>
      </c>
      <c r="Q69">
        <v>50.415662230532497</v>
      </c>
      <c r="R69">
        <v>2.5374151741558701E-2</v>
      </c>
      <c r="S69">
        <v>2.4570835866417799</v>
      </c>
      <c r="T69">
        <v>0.58207871296128499</v>
      </c>
      <c r="V69">
        <v>28.8457162041977</v>
      </c>
      <c r="X69">
        <v>17.5015693994565</v>
      </c>
      <c r="AA69">
        <v>0.15972815647078001</v>
      </c>
      <c r="AB69">
        <v>1.2787557997789301E-2</v>
      </c>
      <c r="AJ69">
        <v>-0.98391896473423901</v>
      </c>
      <c r="AK69">
        <v>0.99247720729216604</v>
      </c>
      <c r="AL69">
        <v>0.92623028381624795</v>
      </c>
      <c r="AM69">
        <v>4.7441661668588701E-2</v>
      </c>
      <c r="AN69">
        <v>-4.5976370494995297E-2</v>
      </c>
      <c r="AO69">
        <v>6.2794228087108495E-2</v>
      </c>
      <c r="AP69">
        <v>9.5195436512253602E-4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249EF-E9C5-4F24-B2D8-7BFC8277A82E}">
  <sheetPr codeName="Sheet9"/>
  <dimension ref="A1:AL107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13</v>
      </c>
      <c r="B2">
        <v>736</v>
      </c>
      <c r="C2">
        <v>300</v>
      </c>
      <c r="D2">
        <v>0.25942674528068399</v>
      </c>
      <c r="E2">
        <v>0.29565589696335798</v>
      </c>
      <c r="F2">
        <v>2.5267130983640498</v>
      </c>
      <c r="G2">
        <v>-4.6356651698204692</v>
      </c>
      <c r="H2">
        <v>-4.0276066066165184</v>
      </c>
      <c r="I2">
        <v>0.60254527394733304</v>
      </c>
      <c r="J2">
        <v>0.35135598847381699</v>
      </c>
      <c r="K2">
        <v>0.117012056950503</v>
      </c>
      <c r="L2">
        <v>2.842349388416588E-5</v>
      </c>
      <c r="M2">
        <v>1.7851120687225007E-6</v>
      </c>
      <c r="N2" s="1">
        <v>-3.2564685458709402E-9</v>
      </c>
      <c r="O2" s="1">
        <v>1.1140381937777E-12</v>
      </c>
      <c r="P2" s="1">
        <v>1.1722382471397299E-11</v>
      </c>
      <c r="Q2">
        <v>65.790408859668901</v>
      </c>
      <c r="S2">
        <v>18.9087087738748</v>
      </c>
      <c r="AA2">
        <v>0.248585853239674</v>
      </c>
      <c r="AB2">
        <v>3.8469598102403499</v>
      </c>
      <c r="AC2">
        <v>11.2053367029761</v>
      </c>
      <c r="AJ2">
        <v>0.33874163190138101</v>
      </c>
      <c r="AK2">
        <v>1.2095898289490301E-2</v>
      </c>
      <c r="AL2">
        <v>0.64916246980912795</v>
      </c>
    </row>
    <row r="3" spans="1:38" x14ac:dyDescent="0.2">
      <c r="A3">
        <v>14</v>
      </c>
      <c r="B3">
        <v>734</v>
      </c>
      <c r="C3">
        <v>300</v>
      </c>
      <c r="D3">
        <v>0.25781710768008598</v>
      </c>
      <c r="E3">
        <v>24.631902582307301</v>
      </c>
      <c r="F3">
        <v>2.5270678575907799</v>
      </c>
      <c r="G3">
        <v>-386.46519448873477</v>
      </c>
      <c r="H3">
        <v>-335.90202348204372</v>
      </c>
      <c r="I3">
        <v>50.204210898764899</v>
      </c>
      <c r="J3">
        <v>29.336073067594199</v>
      </c>
      <c r="K3">
        <v>9.7472264182848303</v>
      </c>
      <c r="L3">
        <v>2.8671078797918688E-5</v>
      </c>
      <c r="M3">
        <v>1.7876321581097323E-6</v>
      </c>
      <c r="N3" s="1">
        <v>-3.1087030028972599E-7</v>
      </c>
      <c r="O3" s="1">
        <v>9.2354969225162998E-11</v>
      </c>
      <c r="P3" s="1">
        <v>1.0900312795345799E-9</v>
      </c>
      <c r="Q3">
        <v>65.852957447594207</v>
      </c>
      <c r="S3">
        <v>18.9344837304699</v>
      </c>
      <c r="AA3">
        <v>0.25525559844666101</v>
      </c>
      <c r="AB3">
        <v>4.0539183843976998</v>
      </c>
      <c r="AC3">
        <v>10.9033848390913</v>
      </c>
      <c r="AJ3">
        <v>0.35658901204176002</v>
      </c>
      <c r="AK3">
        <v>1.2407349676009601E-2</v>
      </c>
      <c r="AL3">
        <v>0.63100363828223005</v>
      </c>
    </row>
    <row r="4" spans="1:38" x14ac:dyDescent="0.2">
      <c r="A4">
        <v>15</v>
      </c>
      <c r="B4">
        <v>732</v>
      </c>
      <c r="C4">
        <v>300</v>
      </c>
      <c r="D4">
        <v>0.256201064517732</v>
      </c>
      <c r="E4">
        <v>30.753556626416099</v>
      </c>
      <c r="F4">
        <v>2.52713966273997</v>
      </c>
      <c r="G4">
        <v>-482.41734704536287</v>
      </c>
      <c r="H4">
        <v>-419.4802991722197</v>
      </c>
      <c r="I4">
        <v>62.614582771868001</v>
      </c>
      <c r="J4">
        <v>36.656341023586897</v>
      </c>
      <c r="K4">
        <v>12.1693142171147</v>
      </c>
      <c r="L4">
        <v>2.8758272148489764E-5</v>
      </c>
      <c r="M4">
        <v>1.7882956731716506E-6</v>
      </c>
      <c r="N4" s="1">
        <v>-4.1899868143535298E-7</v>
      </c>
      <c r="O4" s="1">
        <v>1.1505852296334E-10</v>
      </c>
      <c r="P4" s="1">
        <v>1.4483670244726301E-9</v>
      </c>
      <c r="Q4">
        <v>65.865568489735097</v>
      </c>
      <c r="S4">
        <v>18.930893187700899</v>
      </c>
      <c r="AA4">
        <v>0.249350749618442</v>
      </c>
      <c r="AB4">
        <v>4.0726083409603397</v>
      </c>
      <c r="AC4">
        <v>10.881579231985</v>
      </c>
      <c r="AJ4">
        <v>0.358198967523986</v>
      </c>
      <c r="AK4">
        <v>1.2119177654033499E-2</v>
      </c>
      <c r="AL4">
        <v>0.62968185482198002</v>
      </c>
    </row>
    <row r="5" spans="1:38" x14ac:dyDescent="0.2">
      <c r="A5">
        <v>16</v>
      </c>
      <c r="B5">
        <v>730</v>
      </c>
      <c r="C5">
        <v>300</v>
      </c>
      <c r="D5">
        <v>0.25457857748093798</v>
      </c>
      <c r="E5">
        <v>32.771864363103198</v>
      </c>
      <c r="F5">
        <v>2.5272070872377999</v>
      </c>
      <c r="G5">
        <v>-513.92146357205445</v>
      </c>
      <c r="H5">
        <v>-447.06882163642615</v>
      </c>
      <c r="I5">
        <v>66.642717375894307</v>
      </c>
      <c r="J5">
        <v>39.087719201262502</v>
      </c>
      <c r="K5">
        <v>12.967621264042201</v>
      </c>
      <c r="L5">
        <v>2.8826166478626018E-5</v>
      </c>
      <c r="M5">
        <v>1.7886608690794002E-6</v>
      </c>
      <c r="N5" s="1">
        <v>-4.7806465499625096E-7</v>
      </c>
      <c r="O5" s="1">
        <v>1.2237399674812799E-10</v>
      </c>
      <c r="P5" s="1">
        <v>1.6324032249492699E-9</v>
      </c>
      <c r="Q5">
        <v>65.868552721249898</v>
      </c>
      <c r="S5">
        <v>18.9257183600498</v>
      </c>
      <c r="AA5">
        <v>0.24438513419330299</v>
      </c>
      <c r="AB5">
        <v>4.0656920574218196</v>
      </c>
      <c r="AC5">
        <v>10.895651727085101</v>
      </c>
      <c r="AJ5">
        <v>0.35760328980103601</v>
      </c>
      <c r="AK5">
        <v>1.1878253757534899E-2</v>
      </c>
      <c r="AL5">
        <v>0.63051845644142801</v>
      </c>
    </row>
    <row r="6" spans="1:38" x14ac:dyDescent="0.2">
      <c r="A6">
        <v>17</v>
      </c>
      <c r="B6">
        <v>728</v>
      </c>
      <c r="C6">
        <v>300</v>
      </c>
      <c r="D6">
        <v>0.25294960795086002</v>
      </c>
      <c r="E6">
        <v>33.8174571803549</v>
      </c>
      <c r="F6">
        <v>2.5272746161144601</v>
      </c>
      <c r="G6">
        <v>-530.1431363074845</v>
      </c>
      <c r="H6">
        <v>-461.38166423571033</v>
      </c>
      <c r="I6">
        <v>68.682487211481003</v>
      </c>
      <c r="J6">
        <v>40.361344051503401</v>
      </c>
      <c r="K6">
        <v>13.380998236094801</v>
      </c>
      <c r="L6">
        <v>2.8892638453873178E-5</v>
      </c>
      <c r="M6">
        <v>1.7889611905659071E-6</v>
      </c>
      <c r="N6" s="1">
        <v>-5.2685282224695505E-7</v>
      </c>
      <c r="O6" s="1">
        <v>1.26033288615018E-10</v>
      </c>
      <c r="P6" s="1">
        <v>1.7787080052183801E-9</v>
      </c>
      <c r="Q6">
        <v>65.869108774782006</v>
      </c>
      <c r="S6">
        <v>18.920202109247001</v>
      </c>
      <c r="AA6">
        <v>0.23970442330911901</v>
      </c>
      <c r="AB6">
        <v>4.0524696242626703</v>
      </c>
      <c r="AC6">
        <v>10.918515068399101</v>
      </c>
      <c r="AJ6">
        <v>0.35646432839088099</v>
      </c>
      <c r="AK6">
        <v>1.16515350664631E-2</v>
      </c>
      <c r="AL6">
        <v>0.63188413654265496</v>
      </c>
    </row>
    <row r="7" spans="1:38" x14ac:dyDescent="0.2">
      <c r="A7">
        <v>18</v>
      </c>
      <c r="B7">
        <v>726</v>
      </c>
      <c r="C7">
        <v>300</v>
      </c>
      <c r="D7">
        <v>0.251314116999449</v>
      </c>
      <c r="E7">
        <v>34.460906494281602</v>
      </c>
      <c r="F7">
        <v>2.5273432929608299</v>
      </c>
      <c r="G7">
        <v>-540.04623255905449</v>
      </c>
      <c r="H7">
        <v>-470.20571346548633</v>
      </c>
      <c r="I7">
        <v>69.899934037500103</v>
      </c>
      <c r="J7">
        <v>41.157621394219198</v>
      </c>
      <c r="K7">
        <v>13.635229764892699</v>
      </c>
      <c r="L7">
        <v>2.8961340234974169E-5</v>
      </c>
      <c r="M7">
        <v>1.7892425771033627E-6</v>
      </c>
      <c r="N7" s="1">
        <v>-5.72461545444673E-7</v>
      </c>
      <c r="O7" s="1">
        <v>1.28173645871611E-10</v>
      </c>
      <c r="P7" s="1">
        <v>1.9122258977828301E-9</v>
      </c>
      <c r="Q7">
        <v>65.868635024857795</v>
      </c>
      <c r="S7">
        <v>18.914584721423999</v>
      </c>
      <c r="AA7">
        <v>0.235180563905933</v>
      </c>
      <c r="AB7">
        <v>4.0366871854697797</v>
      </c>
      <c r="AC7">
        <v>10.944912504342399</v>
      </c>
      <c r="AJ7">
        <v>0.355104642359718</v>
      </c>
      <c r="AK7">
        <v>1.1432559535801299E-2</v>
      </c>
      <c r="AL7">
        <v>0.63346279810448003</v>
      </c>
    </row>
    <row r="8" spans="1:38" x14ac:dyDescent="0.2">
      <c r="A8">
        <v>19</v>
      </c>
      <c r="B8">
        <v>724</v>
      </c>
      <c r="C8">
        <v>300</v>
      </c>
      <c r="D8">
        <v>0.249672065386352</v>
      </c>
      <c r="E8">
        <v>34.894786852620697</v>
      </c>
      <c r="F8">
        <v>2.5274134988767498</v>
      </c>
      <c r="G8">
        <v>-546.65663461121676</v>
      </c>
      <c r="H8">
        <v>-476.1693603894791</v>
      </c>
      <c r="I8">
        <v>70.688737122536807</v>
      </c>
      <c r="J8">
        <v>41.706290124458398</v>
      </c>
      <c r="K8">
        <v>13.8065207248947</v>
      </c>
      <c r="L8">
        <v>2.9033639989396834E-5</v>
      </c>
      <c r="M8">
        <v>1.7895208468617273E-6</v>
      </c>
      <c r="N8" s="1">
        <v>-6.1721059643667597E-7</v>
      </c>
      <c r="O8" s="1">
        <v>1.2951711501882599E-10</v>
      </c>
      <c r="P8" s="1">
        <v>2.04112462099934E-9</v>
      </c>
      <c r="Q8">
        <v>65.867601168710294</v>
      </c>
      <c r="S8">
        <v>18.908946226545801</v>
      </c>
      <c r="AA8">
        <v>0.230769984096131</v>
      </c>
      <c r="AB8">
        <v>4.0196012451007803</v>
      </c>
      <c r="AC8">
        <v>10.9730813755468</v>
      </c>
      <c r="AJ8">
        <v>0.35363240678640701</v>
      </c>
      <c r="AK8">
        <v>1.12191303825379E-2</v>
      </c>
      <c r="AL8">
        <v>0.63514846283105397</v>
      </c>
    </row>
    <row r="9" spans="1:38" x14ac:dyDescent="0.2">
      <c r="A9">
        <v>31</v>
      </c>
      <c r="B9">
        <v>738</v>
      </c>
      <c r="C9">
        <v>275</v>
      </c>
      <c r="D9">
        <v>0.28822677149780002</v>
      </c>
      <c r="E9">
        <v>22.740227387908298</v>
      </c>
      <c r="F9">
        <v>2.5258898327789701</v>
      </c>
      <c r="G9">
        <v>-357.36594396295988</v>
      </c>
      <c r="H9">
        <v>-310.35652883893135</v>
      </c>
      <c r="I9">
        <v>46.4910400277194</v>
      </c>
      <c r="J9">
        <v>27.065468005951399</v>
      </c>
      <c r="K9">
        <v>9.0028579603131593</v>
      </c>
      <c r="L9">
        <v>2.8597931881752436E-5</v>
      </c>
      <c r="M9">
        <v>1.7895261160976215E-6</v>
      </c>
      <c r="N9" s="1">
        <v>-2.4987030110593299E-7</v>
      </c>
      <c r="O9" s="1">
        <v>8.5491534468763796E-11</v>
      </c>
      <c r="P9" s="1">
        <v>9.0124583366123198E-10</v>
      </c>
      <c r="Q9">
        <v>65.875592676624194</v>
      </c>
      <c r="S9">
        <v>18.954183579651399</v>
      </c>
      <c r="AA9">
        <v>0.266226554480957</v>
      </c>
      <c r="AB9">
        <v>4.1560054944227502</v>
      </c>
      <c r="AC9">
        <v>10.7479916948206</v>
      </c>
      <c r="AJ9">
        <v>0.36537873554700001</v>
      </c>
      <c r="AK9">
        <v>1.2933894594996101E-2</v>
      </c>
      <c r="AL9">
        <v>0.62168736985800299</v>
      </c>
    </row>
    <row r="10" spans="1:38" x14ac:dyDescent="0.2">
      <c r="A10">
        <v>32</v>
      </c>
      <c r="B10">
        <v>736</v>
      </c>
      <c r="C10">
        <v>275</v>
      </c>
      <c r="D10">
        <v>0.28667740177377199</v>
      </c>
      <c r="E10">
        <v>30.293767825808899</v>
      </c>
      <c r="F10">
        <v>2.52595784614478</v>
      </c>
      <c r="G10">
        <v>-475.95352501058068</v>
      </c>
      <c r="H10">
        <v>-413.52326375706133</v>
      </c>
      <c r="I10">
        <v>61.864203788851299</v>
      </c>
      <c r="J10">
        <v>36.077813917867203</v>
      </c>
      <c r="K10">
        <v>11.992982334223999</v>
      </c>
      <c r="L10">
        <v>2.8664962294914484E-5</v>
      </c>
      <c r="M10">
        <v>1.7900216685332064E-6</v>
      </c>
      <c r="N10" s="1">
        <v>-3.58403265567912E-7</v>
      </c>
      <c r="O10" s="1">
        <v>1.1368906972827299E-10</v>
      </c>
      <c r="P10" s="1">
        <v>1.27319201379311E-9</v>
      </c>
      <c r="Q10">
        <v>65.883856102583906</v>
      </c>
      <c r="S10">
        <v>18.9497494233362</v>
      </c>
      <c r="AA10">
        <v>0.260640172639373</v>
      </c>
      <c r="AB10">
        <v>4.1627953788469698</v>
      </c>
      <c r="AC10">
        <v>10.742958922593299</v>
      </c>
      <c r="AJ10">
        <v>0.36596307289119101</v>
      </c>
      <c r="AK10">
        <v>1.26620594065531E-2</v>
      </c>
      <c r="AL10">
        <v>0.62137486770225503</v>
      </c>
    </row>
    <row r="11" spans="1:38" x14ac:dyDescent="0.2">
      <c r="A11">
        <v>33</v>
      </c>
      <c r="B11">
        <v>734</v>
      </c>
      <c r="C11">
        <v>275</v>
      </c>
      <c r="D11">
        <v>0.28512187856823701</v>
      </c>
      <c r="E11">
        <v>32.638183570932597</v>
      </c>
      <c r="F11">
        <v>2.52601954984699</v>
      </c>
      <c r="G11">
        <v>-512.61960466725748</v>
      </c>
      <c r="H11">
        <v>-445.57425500616989</v>
      </c>
      <c r="I11">
        <v>66.569378604068504</v>
      </c>
      <c r="J11">
        <v>38.889935171894997</v>
      </c>
      <c r="K11">
        <v>12.9207961090046</v>
      </c>
      <c r="L11">
        <v>2.8718922147787927E-5</v>
      </c>
      <c r="M11">
        <v>1.7902990996811657E-6</v>
      </c>
      <c r="N11" s="1">
        <v>-4.13261481915562E-7</v>
      </c>
      <c r="O11" s="1">
        <v>1.2228923105980201E-10</v>
      </c>
      <c r="P11" s="1">
        <v>1.44851571646254E-9</v>
      </c>
      <c r="Q11">
        <v>65.885027086562999</v>
      </c>
      <c r="S11">
        <v>18.9440985517796</v>
      </c>
      <c r="AA11">
        <v>0.25570491264171302</v>
      </c>
      <c r="AB11">
        <v>4.1505903594094802</v>
      </c>
      <c r="AC11">
        <v>10.7645790896061</v>
      </c>
      <c r="AJ11">
        <v>0.36491280043194901</v>
      </c>
      <c r="AK11">
        <v>1.2423074424238701E-2</v>
      </c>
      <c r="AL11">
        <v>0.62266412514381098</v>
      </c>
    </row>
    <row r="12" spans="1:38" x14ac:dyDescent="0.2">
      <c r="A12">
        <v>34</v>
      </c>
      <c r="B12">
        <v>732</v>
      </c>
      <c r="C12">
        <v>275</v>
      </c>
      <c r="D12">
        <v>0.28356016514948101</v>
      </c>
      <c r="E12">
        <v>33.814348747458503</v>
      </c>
      <c r="F12">
        <v>2.5260813539599498</v>
      </c>
      <c r="G12">
        <v>-530.91031099914699</v>
      </c>
      <c r="H12">
        <v>-461.6744569385919</v>
      </c>
      <c r="I12">
        <v>68.8811163115505</v>
      </c>
      <c r="J12">
        <v>40.312772392553001</v>
      </c>
      <c r="K12">
        <v>13.3860885732956</v>
      </c>
      <c r="L12">
        <v>2.87732591955424E-5</v>
      </c>
      <c r="M12">
        <v>1.7905393773296113E-6</v>
      </c>
      <c r="N12" s="1">
        <v>-4.5750509780457201E-7</v>
      </c>
      <c r="O12" s="1">
        <v>1.2648437547649399E-10</v>
      </c>
      <c r="P12" s="1">
        <v>1.5836036937496499E-9</v>
      </c>
      <c r="Q12">
        <v>65.884668814227396</v>
      </c>
      <c r="S12">
        <v>18.938248435780899</v>
      </c>
      <c r="AA12">
        <v>0.250962104994018</v>
      </c>
      <c r="AB12">
        <v>4.1344551290618101</v>
      </c>
      <c r="AC12">
        <v>10.791665515935801</v>
      </c>
      <c r="AJ12">
        <v>0.36352410861597201</v>
      </c>
      <c r="AK12">
        <v>1.2193654181458799E-2</v>
      </c>
      <c r="AL12">
        <v>0.62428223720256804</v>
      </c>
    </row>
    <row r="13" spans="1:38" x14ac:dyDescent="0.2">
      <c r="A13">
        <v>35</v>
      </c>
      <c r="B13">
        <v>730</v>
      </c>
      <c r="C13">
        <v>275</v>
      </c>
      <c r="D13">
        <v>0.28199222449285299</v>
      </c>
      <c r="E13">
        <v>34.528127825151202</v>
      </c>
      <c r="F13">
        <v>2.5261443721282202</v>
      </c>
      <c r="G13">
        <v>-541.92788383370203</v>
      </c>
      <c r="H13">
        <v>-471.46134247106772</v>
      </c>
      <c r="I13">
        <v>70.245268766021397</v>
      </c>
      <c r="J13">
        <v>41.186967933201899</v>
      </c>
      <c r="K13">
        <v>13.668311362609</v>
      </c>
      <c r="L13">
        <v>2.8830343643064813E-5</v>
      </c>
      <c r="M13">
        <v>1.7907723924046199E-6</v>
      </c>
      <c r="N13" s="1">
        <v>-4.9871935406185299E-7</v>
      </c>
      <c r="O13" s="1">
        <v>1.2892742838237001E-10</v>
      </c>
      <c r="P13" s="1">
        <v>1.7059287315607201E-9</v>
      </c>
      <c r="Q13">
        <v>65.883682692047401</v>
      </c>
      <c r="S13">
        <v>18.932363003988598</v>
      </c>
      <c r="AA13">
        <v>0.24633666163291301</v>
      </c>
      <c r="AB13">
        <v>4.1168281840556897</v>
      </c>
      <c r="AC13">
        <v>10.8207894582753</v>
      </c>
      <c r="AJ13">
        <v>0.36200676567703099</v>
      </c>
      <c r="AK13">
        <v>1.19699899863051E-2</v>
      </c>
      <c r="AL13">
        <v>0.62602324433666301</v>
      </c>
    </row>
    <row r="14" spans="1:38" x14ac:dyDescent="0.2">
      <c r="A14">
        <v>36</v>
      </c>
      <c r="B14">
        <v>728</v>
      </c>
      <c r="C14">
        <v>275</v>
      </c>
      <c r="D14">
        <v>0.280418019277831</v>
      </c>
      <c r="E14">
        <v>35.006070584347803</v>
      </c>
      <c r="F14">
        <v>2.52620896642917</v>
      </c>
      <c r="G14">
        <v>-549.23602080473177</v>
      </c>
      <c r="H14">
        <v>-478.02821507784608</v>
      </c>
      <c r="I14">
        <v>71.126010814449003</v>
      </c>
      <c r="J14">
        <v>41.782415092989098</v>
      </c>
      <c r="K14">
        <v>13.8571555439569</v>
      </c>
      <c r="L14">
        <v>2.8891082230620169E-5</v>
      </c>
      <c r="M14">
        <v>1.7910079977542244E-6</v>
      </c>
      <c r="N14" s="1">
        <v>-5.3933025476948403E-7</v>
      </c>
      <c r="O14" s="1">
        <v>1.30469998629512E-10</v>
      </c>
      <c r="P14" s="1">
        <v>1.82425587332262E-9</v>
      </c>
      <c r="Q14">
        <v>65.882352661426793</v>
      </c>
      <c r="S14">
        <v>18.926493154047499</v>
      </c>
      <c r="AA14">
        <v>0.24180431979168501</v>
      </c>
      <c r="AB14">
        <v>4.0984757073778697</v>
      </c>
      <c r="AC14">
        <v>10.850874157355999</v>
      </c>
      <c r="AJ14">
        <v>0.36042667639878301</v>
      </c>
      <c r="AK14">
        <v>1.17508533776907E-2</v>
      </c>
      <c r="AL14">
        <v>0.627822470223525</v>
      </c>
    </row>
    <row r="15" spans="1:38" x14ac:dyDescent="0.2">
      <c r="A15">
        <v>37</v>
      </c>
      <c r="B15">
        <v>726</v>
      </c>
      <c r="C15">
        <v>275</v>
      </c>
      <c r="D15">
        <v>0.27883751188509998</v>
      </c>
      <c r="E15">
        <v>35.345297063970399</v>
      </c>
      <c r="F15">
        <v>2.5262752936225898</v>
      </c>
      <c r="G15">
        <v>-554.36257239453892</v>
      </c>
      <c r="H15">
        <v>-482.70116154561128</v>
      </c>
      <c r="I15">
        <v>71.722374867565094</v>
      </c>
      <c r="J15">
        <v>42.214875453463598</v>
      </c>
      <c r="K15">
        <v>13.991071025868401</v>
      </c>
      <c r="L15">
        <v>2.8955988991219496E-5</v>
      </c>
      <c r="M15">
        <v>1.7912506759362287E-6</v>
      </c>
      <c r="N15" s="1">
        <v>-5.8034588029570001E-7</v>
      </c>
      <c r="O15" s="1">
        <v>1.31477558399338E-10</v>
      </c>
      <c r="P15" s="1">
        <v>1.9422238986512799E-9</v>
      </c>
      <c r="Q15">
        <v>65.880797518448205</v>
      </c>
      <c r="S15">
        <v>18.920659567316701</v>
      </c>
      <c r="AA15">
        <v>0.237354422361507</v>
      </c>
      <c r="AB15">
        <v>4.0797166486008898</v>
      </c>
      <c r="AC15">
        <v>10.8814718432725</v>
      </c>
      <c r="AJ15">
        <v>0.35881127477746</v>
      </c>
      <c r="AK15">
        <v>1.15357065205253E-2</v>
      </c>
      <c r="AL15">
        <v>0.62965301870201296</v>
      </c>
    </row>
    <row r="16" spans="1:38" x14ac:dyDescent="0.2">
      <c r="A16">
        <v>46</v>
      </c>
      <c r="B16">
        <v>744</v>
      </c>
      <c r="C16">
        <v>250</v>
      </c>
      <c r="D16">
        <v>0.31987464975667701</v>
      </c>
      <c r="E16">
        <v>1.3273646703178801</v>
      </c>
      <c r="F16">
        <v>2.5821513899768598</v>
      </c>
      <c r="G16">
        <v>-21.483155788228967</v>
      </c>
      <c r="H16">
        <v>-18.665488406878453</v>
      </c>
      <c r="I16">
        <v>2.7701591518955002</v>
      </c>
      <c r="J16">
        <v>1.62740588912316</v>
      </c>
      <c r="K16">
        <v>0.51405377526287399</v>
      </c>
      <c r="L16">
        <v>3.15636507520141E-5</v>
      </c>
      <c r="M16">
        <v>1.7935787614361858E-6</v>
      </c>
      <c r="N16" s="1">
        <v>-2.8045927875000299E-8</v>
      </c>
      <c r="O16" s="1">
        <v>4.4124674772219996E-12</v>
      </c>
      <c r="P16" s="1">
        <v>9.2395111363486698E-11</v>
      </c>
      <c r="Q16">
        <v>64.370522133600602</v>
      </c>
      <c r="S16">
        <v>22.0102904754355</v>
      </c>
      <c r="AA16">
        <v>3.1387336711165799</v>
      </c>
      <c r="AB16">
        <v>8.8140180362527705</v>
      </c>
      <c r="AC16">
        <v>1.6664356835944401</v>
      </c>
      <c r="AJ16">
        <v>0.75690107106049997</v>
      </c>
      <c r="AK16">
        <v>0.148946547721445</v>
      </c>
      <c r="AL16">
        <v>9.4152381218053693E-2</v>
      </c>
    </row>
    <row r="17" spans="1:38" x14ac:dyDescent="0.2">
      <c r="A17">
        <v>47</v>
      </c>
      <c r="B17">
        <v>742</v>
      </c>
      <c r="C17">
        <v>250</v>
      </c>
      <c r="D17">
        <v>0.318396788651924</v>
      </c>
      <c r="E17">
        <v>12.932255742152201</v>
      </c>
      <c r="F17">
        <v>2.58040653027596</v>
      </c>
      <c r="G17">
        <v>-209.17186079906142</v>
      </c>
      <c r="H17">
        <v>-181.79839503459624</v>
      </c>
      <c r="I17">
        <v>26.96494682014</v>
      </c>
      <c r="J17">
        <v>15.8730795976912</v>
      </c>
      <c r="K17">
        <v>5.0117125307263599</v>
      </c>
      <c r="L17">
        <v>3.1740310681241724E-5</v>
      </c>
      <c r="M17">
        <v>1.7976257413327874E-6</v>
      </c>
      <c r="N17" s="1">
        <v>-2.9172763154844998E-7</v>
      </c>
      <c r="O17" s="1">
        <v>4.3002209206240201E-11</v>
      </c>
      <c r="P17" s="1">
        <v>9.5276536370476807E-10</v>
      </c>
      <c r="Q17">
        <v>64.5403315839187</v>
      </c>
      <c r="S17">
        <v>21.870245721669502</v>
      </c>
      <c r="AA17">
        <v>2.98357260152829</v>
      </c>
      <c r="AB17">
        <v>8.82528376241026</v>
      </c>
      <c r="AC17">
        <v>1.7805663304730299</v>
      </c>
      <c r="AJ17">
        <v>0.75782859627077404</v>
      </c>
      <c r="AK17">
        <v>0.141576023990761</v>
      </c>
      <c r="AL17">
        <v>0.100595379738463</v>
      </c>
    </row>
    <row r="18" spans="1:38" x14ac:dyDescent="0.2">
      <c r="A18">
        <v>48</v>
      </c>
      <c r="B18">
        <v>740</v>
      </c>
      <c r="C18">
        <v>250</v>
      </c>
      <c r="D18">
        <v>0.31691309282929903</v>
      </c>
      <c r="E18">
        <v>17.414902205833201</v>
      </c>
      <c r="F18">
        <v>2.5804300922992098</v>
      </c>
      <c r="G18">
        <v>-281.60905784699844</v>
      </c>
      <c r="H18">
        <v>-244.86091169325047</v>
      </c>
      <c r="I18">
        <v>36.2711801349731</v>
      </c>
      <c r="J18">
        <v>21.401460202327499</v>
      </c>
      <c r="K18">
        <v>6.7488370476706896</v>
      </c>
      <c r="L18">
        <v>3.1883560534407796E-5</v>
      </c>
      <c r="M18">
        <v>1.7987526037474981E-6</v>
      </c>
      <c r="N18" s="1">
        <v>-4.1970233870518499E-7</v>
      </c>
      <c r="O18" s="1">
        <v>5.7705544333460202E-11</v>
      </c>
      <c r="P18" s="1">
        <v>1.3594593844327299E-9</v>
      </c>
      <c r="Q18">
        <v>64.564660663985407</v>
      </c>
      <c r="S18">
        <v>21.855775714666802</v>
      </c>
      <c r="AA18">
        <v>2.96595783935628</v>
      </c>
      <c r="AB18">
        <v>8.8415648082787204</v>
      </c>
      <c r="AC18">
        <v>1.7720409737126701</v>
      </c>
      <c r="AJ18">
        <v>0.75916549995217897</v>
      </c>
      <c r="AK18">
        <v>0.140728835011938</v>
      </c>
      <c r="AL18">
        <v>0.100105665035882</v>
      </c>
    </row>
    <row r="19" spans="1:38" x14ac:dyDescent="0.2">
      <c r="A19">
        <v>49</v>
      </c>
      <c r="B19">
        <v>738</v>
      </c>
      <c r="C19">
        <v>250</v>
      </c>
      <c r="D19">
        <v>0.31542352766652099</v>
      </c>
      <c r="E19">
        <v>18.837945563236499</v>
      </c>
      <c r="F19">
        <v>2.5806212155443302</v>
      </c>
      <c r="G19">
        <v>-304.55485041808407</v>
      </c>
      <c r="H19">
        <v>-264.92792160780806</v>
      </c>
      <c r="I19">
        <v>39.189960747936503</v>
      </c>
      <c r="J19">
        <v>23.1801250209381</v>
      </c>
      <c r="K19">
        <v>7.2997716401641597</v>
      </c>
      <c r="L19">
        <v>3.202606522644721E-5</v>
      </c>
      <c r="M19">
        <v>1.799511945807282E-6</v>
      </c>
      <c r="N19" s="1">
        <v>-4.8482092618391996E-7</v>
      </c>
      <c r="O19" s="1">
        <v>6.2166790420356203E-11</v>
      </c>
      <c r="P19" s="1">
        <v>1.5581287609163401E-9</v>
      </c>
      <c r="Q19">
        <v>64.571488913225593</v>
      </c>
      <c r="S19">
        <v>21.8544429319704</v>
      </c>
      <c r="AA19">
        <v>2.9632650013731001</v>
      </c>
      <c r="AB19">
        <v>8.8532871324822295</v>
      </c>
      <c r="AC19">
        <v>1.7575160209485401</v>
      </c>
      <c r="AJ19">
        <v>0.76012777184926295</v>
      </c>
      <c r="AK19">
        <v>0.14059288164477901</v>
      </c>
      <c r="AL19">
        <v>9.9279346505957294E-2</v>
      </c>
    </row>
    <row r="20" spans="1:38" x14ac:dyDescent="0.2">
      <c r="A20">
        <v>50</v>
      </c>
      <c r="B20">
        <v>736</v>
      </c>
      <c r="C20">
        <v>250</v>
      </c>
      <c r="D20">
        <v>0.31392805826685999</v>
      </c>
      <c r="E20">
        <v>19.567445491735899</v>
      </c>
      <c r="F20">
        <v>2.5808129584547399</v>
      </c>
      <c r="G20">
        <v>-316.2805799963653</v>
      </c>
      <c r="H20">
        <v>-275.24794527672282</v>
      </c>
      <c r="I20">
        <v>40.660590318230597</v>
      </c>
      <c r="J20">
        <v>24.1110371366062</v>
      </c>
      <c r="K20">
        <v>7.5818921427966899</v>
      </c>
      <c r="L20">
        <v>3.2177488172262082E-5</v>
      </c>
      <c r="M20">
        <v>1.8002967627496003E-6</v>
      </c>
      <c r="N20" s="1">
        <v>-5.37844348438254E-7</v>
      </c>
      <c r="O20" s="1">
        <v>6.4293063631832601E-11</v>
      </c>
      <c r="P20" s="1">
        <v>1.71560603545164E-9</v>
      </c>
      <c r="Q20">
        <v>64.578304890427404</v>
      </c>
      <c r="S20">
        <v>21.853101821324302</v>
      </c>
      <c r="AA20">
        <v>2.96056815625855</v>
      </c>
      <c r="AB20">
        <v>8.8649602763033304</v>
      </c>
      <c r="AC20">
        <v>1.74306485568628</v>
      </c>
      <c r="AJ20">
        <v>0.761085895530767</v>
      </c>
      <c r="AK20">
        <v>0.14045678833688499</v>
      </c>
      <c r="AL20">
        <v>9.8457316132346998E-2</v>
      </c>
    </row>
    <row r="21" spans="1:38" x14ac:dyDescent="0.2">
      <c r="A21">
        <v>51</v>
      </c>
      <c r="B21">
        <v>734</v>
      </c>
      <c r="C21">
        <v>250</v>
      </c>
      <c r="D21">
        <v>0.31242664945638698</v>
      </c>
      <c r="E21">
        <v>20.0449835880585</v>
      </c>
      <c r="F21">
        <v>2.5810076370399999</v>
      </c>
      <c r="G21">
        <v>-323.92961039233154</v>
      </c>
      <c r="H21">
        <v>-282.0275825016555</v>
      </c>
      <c r="I21">
        <v>41.604555320137102</v>
      </c>
      <c r="J21">
        <v>24.735979066273501</v>
      </c>
      <c r="K21">
        <v>7.7663402852410304</v>
      </c>
      <c r="L21">
        <v>3.2338318017108471E-5</v>
      </c>
      <c r="M21">
        <v>1.8011033941239919E-6</v>
      </c>
      <c r="N21" s="1">
        <v>-5.8846772563658304E-7</v>
      </c>
      <c r="O21" s="1">
        <v>6.5555360300544806E-11</v>
      </c>
      <c r="P21" s="1">
        <v>1.86362502224566E-9</v>
      </c>
      <c r="Q21">
        <v>64.584868675526593</v>
      </c>
      <c r="S21">
        <v>21.851932083073802</v>
      </c>
      <c r="AA21">
        <v>2.9580715407045002</v>
      </c>
      <c r="AB21">
        <v>8.8765206985608494</v>
      </c>
      <c r="AC21">
        <v>1.72860700213407</v>
      </c>
      <c r="AJ21">
        <v>0.76203465480522503</v>
      </c>
      <c r="AK21">
        <v>0.14033028765233399</v>
      </c>
      <c r="AL21">
        <v>9.7635057542440104E-2</v>
      </c>
    </row>
    <row r="22" spans="1:38" x14ac:dyDescent="0.2">
      <c r="A22">
        <v>52</v>
      </c>
      <c r="B22">
        <v>732</v>
      </c>
      <c r="C22">
        <v>250</v>
      </c>
      <c r="D22">
        <v>0.31091926578122597</v>
      </c>
      <c r="E22">
        <v>20.397611365362099</v>
      </c>
      <c r="F22">
        <v>2.5812029481574199</v>
      </c>
      <c r="G22">
        <v>-329.5572036069463</v>
      </c>
      <c r="H22">
        <v>-287.05235369033318</v>
      </c>
      <c r="I22">
        <v>42.287071498396301</v>
      </c>
      <c r="J22">
        <v>25.210964054003298</v>
      </c>
      <c r="K22">
        <v>7.9023663675585301</v>
      </c>
      <c r="L22">
        <v>3.2509338120421557E-5</v>
      </c>
      <c r="M22">
        <v>1.8019392252127549E-6</v>
      </c>
      <c r="N22" s="1">
        <v>-6.3956184043335597E-7</v>
      </c>
      <c r="O22" s="1">
        <v>6.6376851542018904E-11</v>
      </c>
      <c r="P22" s="1">
        <v>2.0115134821823899E-9</v>
      </c>
      <c r="Q22">
        <v>64.5914280379166</v>
      </c>
      <c r="S22">
        <v>21.850747833053301</v>
      </c>
      <c r="AA22">
        <v>2.9555639847703401</v>
      </c>
      <c r="AB22">
        <v>8.8880332205560197</v>
      </c>
      <c r="AC22">
        <v>1.71422692370365</v>
      </c>
      <c r="AJ22">
        <v>0.76297937504341395</v>
      </c>
      <c r="AK22">
        <v>0.140203315914469</v>
      </c>
      <c r="AL22">
        <v>9.6817309042114996E-2</v>
      </c>
    </row>
    <row r="23" spans="1:38" x14ac:dyDescent="0.2">
      <c r="A23">
        <v>53</v>
      </c>
      <c r="B23">
        <v>730</v>
      </c>
      <c r="C23">
        <v>250</v>
      </c>
      <c r="D23">
        <v>0.30940587150476501</v>
      </c>
      <c r="E23">
        <v>20.678266793612998</v>
      </c>
      <c r="F23">
        <v>2.5813982128776498</v>
      </c>
      <c r="G23">
        <v>-334.0197483342713</v>
      </c>
      <c r="H23">
        <v>-291.06621494125375</v>
      </c>
      <c r="I23">
        <v>42.818654630930098</v>
      </c>
      <c r="J23">
        <v>25.6011270321059</v>
      </c>
      <c r="K23">
        <v>8.0104908612924302</v>
      </c>
      <c r="L23">
        <v>3.2691274922943781E-5</v>
      </c>
      <c r="M23">
        <v>1.8028079262333581E-6</v>
      </c>
      <c r="N23" s="1">
        <v>-6.9239832733455895E-7</v>
      </c>
      <c r="O23" s="1">
        <v>6.6933407432085306E-11</v>
      </c>
      <c r="P23" s="1">
        <v>2.1633394813179901E-9</v>
      </c>
      <c r="Q23">
        <v>64.598061109122099</v>
      </c>
      <c r="S23">
        <v>21.849490720506399</v>
      </c>
      <c r="AA23">
        <v>2.9529791175614402</v>
      </c>
      <c r="AB23">
        <v>8.8995189801088799</v>
      </c>
      <c r="AC23">
        <v>1.6999500727011101</v>
      </c>
      <c r="AJ23">
        <v>0.76392179290367901</v>
      </c>
      <c r="AK23">
        <v>0.140072710338424</v>
      </c>
      <c r="AL23">
        <v>9.6005496757895895E-2</v>
      </c>
    </row>
    <row r="24" spans="1:38" x14ac:dyDescent="0.2">
      <c r="A24">
        <v>59</v>
      </c>
      <c r="B24">
        <v>750</v>
      </c>
      <c r="C24">
        <v>225</v>
      </c>
      <c r="D24">
        <v>0.35115134633240402</v>
      </c>
      <c r="E24">
        <v>0.81583277191913595</v>
      </c>
      <c r="F24">
        <v>2.5814312997964701</v>
      </c>
      <c r="G24">
        <v>-13.226739480949986</v>
      </c>
      <c r="H24">
        <v>-11.478531678149585</v>
      </c>
      <c r="I24">
        <v>1.7086524974836499</v>
      </c>
      <c r="J24">
        <v>0.99745042213806001</v>
      </c>
      <c r="K24">
        <v>0.316038924601037</v>
      </c>
      <c r="L24">
        <v>3.1226767814332617E-5</v>
      </c>
      <c r="M24">
        <v>1.7929985431865555E-6</v>
      </c>
      <c r="N24" s="1">
        <v>-1.40123208057231E-8</v>
      </c>
      <c r="O24" s="1">
        <v>2.73438893434603E-12</v>
      </c>
      <c r="P24" s="1">
        <v>4.7555155045406002E-11</v>
      </c>
      <c r="Q24">
        <v>64.325435543487302</v>
      </c>
      <c r="S24">
        <v>22.065396773042</v>
      </c>
      <c r="AA24">
        <v>3.1947172703151101</v>
      </c>
      <c r="AB24">
        <v>8.8580133111144193</v>
      </c>
      <c r="AC24">
        <v>1.5564371020411001</v>
      </c>
      <c r="AJ24">
        <v>0.760511909590461</v>
      </c>
      <c r="AK24">
        <v>0.15156988138687499</v>
      </c>
      <c r="AL24">
        <v>8.7918209022663105E-2</v>
      </c>
    </row>
    <row r="25" spans="1:38" x14ac:dyDescent="0.2">
      <c r="A25">
        <v>60</v>
      </c>
      <c r="B25">
        <v>748</v>
      </c>
      <c r="C25">
        <v>225</v>
      </c>
      <c r="D25">
        <v>0.34974342652891699</v>
      </c>
      <c r="E25">
        <v>2.8153002544663002</v>
      </c>
      <c r="F25">
        <v>2.5787229557500302</v>
      </c>
      <c r="G25">
        <v>-45.600847389402752</v>
      </c>
      <c r="H25">
        <v>-39.58465693025358</v>
      </c>
      <c r="I25">
        <v>5.89158346878438</v>
      </c>
      <c r="J25">
        <v>3.44450794577399</v>
      </c>
      <c r="K25">
        <v>1.0917420377356699</v>
      </c>
      <c r="L25">
        <v>3.1382994126374379E-5</v>
      </c>
      <c r="M25">
        <v>1.7981063709946354E-6</v>
      </c>
      <c r="N25" s="1">
        <v>-5.1428876955348301E-8</v>
      </c>
      <c r="O25" s="1">
        <v>9.4635633030679006E-12</v>
      </c>
      <c r="P25" s="1">
        <v>1.7286742666018199E-10</v>
      </c>
      <c r="Q25">
        <v>64.558325055350906</v>
      </c>
      <c r="S25">
        <v>21.862402441204601</v>
      </c>
      <c r="AA25">
        <v>2.97290328426373</v>
      </c>
      <c r="AB25">
        <v>8.8448190692904802</v>
      </c>
      <c r="AC25">
        <v>1.76155014989019</v>
      </c>
      <c r="AJ25">
        <v>0.75943252422153895</v>
      </c>
      <c r="AK25">
        <v>0.14105608000608699</v>
      </c>
      <c r="AL25">
        <v>9.9511395772373001E-2</v>
      </c>
    </row>
    <row r="26" spans="1:38" x14ac:dyDescent="0.2">
      <c r="A26">
        <v>61</v>
      </c>
      <c r="B26">
        <v>746</v>
      </c>
      <c r="C26">
        <v>225</v>
      </c>
      <c r="D26">
        <v>0.34832998086640898</v>
      </c>
      <c r="E26">
        <v>13.4786341176201</v>
      </c>
      <c r="F26">
        <v>2.5781137027118199</v>
      </c>
      <c r="G26">
        <v>-218.21087932330997</v>
      </c>
      <c r="H26">
        <v>-189.49550703598959</v>
      </c>
      <c r="I26">
        <v>28.175805609890901</v>
      </c>
      <c r="J26">
        <v>16.5030167270011</v>
      </c>
      <c r="K26">
        <v>5.2280991732220601</v>
      </c>
      <c r="L26">
        <v>3.1477669817269545E-5</v>
      </c>
      <c r="M26">
        <v>1.7993027723731824E-6</v>
      </c>
      <c r="N26" s="1">
        <v>-2.6151706753394498E-7</v>
      </c>
      <c r="O26" s="1">
        <v>4.52455359311343E-11</v>
      </c>
      <c r="P26" s="1">
        <v>8.7126953977124697E-10</v>
      </c>
      <c r="Q26">
        <v>64.6043528674371</v>
      </c>
      <c r="S26">
        <v>21.814033906133599</v>
      </c>
      <c r="AA26">
        <v>2.92225878686618</v>
      </c>
      <c r="AB26">
        <v>8.8205851775847393</v>
      </c>
      <c r="AC26">
        <v>1.8387692619782701</v>
      </c>
      <c r="AJ26">
        <v>0.75744381609670897</v>
      </c>
      <c r="AK26">
        <v>0.13866999172064501</v>
      </c>
      <c r="AL26">
        <v>0.103886192182644</v>
      </c>
    </row>
    <row r="27" spans="1:38" x14ac:dyDescent="0.2">
      <c r="A27">
        <v>62</v>
      </c>
      <c r="B27">
        <v>744</v>
      </c>
      <c r="C27">
        <v>225</v>
      </c>
      <c r="D27">
        <v>0.34691097674876298</v>
      </c>
      <c r="E27">
        <v>17.365959180336802</v>
      </c>
      <c r="F27">
        <v>2.5786164094823798</v>
      </c>
      <c r="G27">
        <v>-281.09593174327534</v>
      </c>
      <c r="H27">
        <v>-244.21520880742153</v>
      </c>
      <c r="I27">
        <v>36.2588830908457</v>
      </c>
      <c r="J27">
        <v>21.283336343904001</v>
      </c>
      <c r="K27">
        <v>6.7346035325287996</v>
      </c>
      <c r="L27">
        <v>3.1578153842648061E-5</v>
      </c>
      <c r="M27">
        <v>1.7992688969086528E-6</v>
      </c>
      <c r="N27" s="1">
        <v>-3.5923077346817001E-7</v>
      </c>
      <c r="O27" s="1">
        <v>5.8071173473587498E-11</v>
      </c>
      <c r="P27" s="1">
        <v>1.1862353420519501E-9</v>
      </c>
      <c r="Q27">
        <v>64.578891817765793</v>
      </c>
      <c r="S27">
        <v>21.837164190436901</v>
      </c>
      <c r="AA27">
        <v>2.9472824961175599</v>
      </c>
      <c r="AB27">
        <v>8.8244856410024202</v>
      </c>
      <c r="AC27">
        <v>1.81217585467719</v>
      </c>
      <c r="AJ27">
        <v>0.75776365827967695</v>
      </c>
      <c r="AK27">
        <v>0.139854655380696</v>
      </c>
      <c r="AL27">
        <v>0.10238168633962499</v>
      </c>
    </row>
    <row r="28" spans="1:38" x14ac:dyDescent="0.2">
      <c r="A28">
        <v>63</v>
      </c>
      <c r="B28">
        <v>742</v>
      </c>
      <c r="C28">
        <v>225</v>
      </c>
      <c r="D28">
        <v>0.345486381322956</v>
      </c>
      <c r="E28">
        <v>18.655221965018001</v>
      </c>
      <c r="F28">
        <v>2.57895273458371</v>
      </c>
      <c r="G28">
        <v>-301.90571425144429</v>
      </c>
      <c r="H28">
        <v>-262.410803671667</v>
      </c>
      <c r="I28">
        <v>38.905492370366197</v>
      </c>
      <c r="J28">
        <v>22.887955643532599</v>
      </c>
      <c r="K28">
        <v>7.2336424451878498</v>
      </c>
      <c r="L28">
        <v>3.1694148233914433E-5</v>
      </c>
      <c r="M28">
        <v>1.7996341979213723E-6</v>
      </c>
      <c r="N28" s="1">
        <v>-4.1174152538520701E-7</v>
      </c>
      <c r="O28" s="1">
        <v>6.2148640123537295E-11</v>
      </c>
      <c r="P28" s="1">
        <v>1.3480083412238499E-9</v>
      </c>
      <c r="Q28">
        <v>64.570505363104004</v>
      </c>
      <c r="S28">
        <v>21.847336434587401</v>
      </c>
      <c r="AA28">
        <v>2.95763156624235</v>
      </c>
      <c r="AB28">
        <v>8.8324647369747993</v>
      </c>
      <c r="AC28">
        <v>1.7920618990913399</v>
      </c>
      <c r="AJ28">
        <v>0.75841857813719504</v>
      </c>
      <c r="AK28">
        <v>0.14034014268127801</v>
      </c>
      <c r="AL28">
        <v>0.10124127918152601</v>
      </c>
    </row>
    <row r="29" spans="1:38" x14ac:dyDescent="0.2">
      <c r="A29">
        <v>64</v>
      </c>
      <c r="B29">
        <v>740</v>
      </c>
      <c r="C29">
        <v>225</v>
      </c>
      <c r="D29">
        <v>0.34405616147658602</v>
      </c>
      <c r="E29">
        <v>19.338551760028398</v>
      </c>
      <c r="F29">
        <v>2.5792246864137902</v>
      </c>
      <c r="G29">
        <v>-312.90037191582439</v>
      </c>
      <c r="H29">
        <v>-272.08672075277406</v>
      </c>
      <c r="I29">
        <v>40.283917646005399</v>
      </c>
      <c r="J29">
        <v>23.753863346772</v>
      </c>
      <c r="K29">
        <v>7.4978158598959199</v>
      </c>
      <c r="L29">
        <v>3.1821048727996768E-5</v>
      </c>
      <c r="M29">
        <v>1.8001695002783414E-6</v>
      </c>
      <c r="N29" s="1">
        <v>-4.5558966843742002E-7</v>
      </c>
      <c r="O29" s="1">
        <v>6.4175859157983702E-11</v>
      </c>
      <c r="P29" s="1">
        <v>1.4792951870497699E-9</v>
      </c>
      <c r="Q29">
        <v>64.568780856526004</v>
      </c>
      <c r="S29">
        <v>21.852450355829902</v>
      </c>
      <c r="AA29">
        <v>2.9622529936642099</v>
      </c>
      <c r="AB29">
        <v>8.84202857592242</v>
      </c>
      <c r="AC29">
        <v>1.7744872180573601</v>
      </c>
      <c r="AJ29">
        <v>0.75920363088395504</v>
      </c>
      <c r="AK29">
        <v>0.14055273459839701</v>
      </c>
      <c r="AL29">
        <v>0.10024363451764599</v>
      </c>
    </row>
    <row r="30" spans="1:38" x14ac:dyDescent="0.2">
      <c r="A30">
        <v>65</v>
      </c>
      <c r="B30">
        <v>738</v>
      </c>
      <c r="C30">
        <v>225</v>
      </c>
      <c r="D30">
        <v>0.34262028383523802</v>
      </c>
      <c r="E30">
        <v>19.789183741531101</v>
      </c>
      <c r="F30">
        <v>2.5794682165936398</v>
      </c>
      <c r="G30">
        <v>-320.12493025754276</v>
      </c>
      <c r="H30">
        <v>-278.49091878507329</v>
      </c>
      <c r="I30">
        <v>41.174911212450702</v>
      </c>
      <c r="J30">
        <v>24.337727280707401</v>
      </c>
      <c r="K30">
        <v>7.6718075509625896</v>
      </c>
      <c r="L30">
        <v>3.1957563049108449E-5</v>
      </c>
      <c r="M30">
        <v>1.8007944018080333E-6</v>
      </c>
      <c r="N30" s="1">
        <v>-4.9775630338254095E-7</v>
      </c>
      <c r="O30" s="1">
        <v>6.5403743680215805E-11</v>
      </c>
      <c r="P30" s="1">
        <v>1.6034474916343199E-9</v>
      </c>
      <c r="Q30">
        <v>64.570029067081506</v>
      </c>
      <c r="S30">
        <v>21.8552986405087</v>
      </c>
      <c r="AA30">
        <v>2.9643116048193199</v>
      </c>
      <c r="AB30">
        <v>8.85227729480685</v>
      </c>
      <c r="AC30">
        <v>1.75808339278346</v>
      </c>
      <c r="AJ30">
        <v>0.76004486656966896</v>
      </c>
      <c r="AK30">
        <v>0.140643240752749</v>
      </c>
      <c r="AL30">
        <v>9.9311892677580602E-2</v>
      </c>
    </row>
    <row r="31" spans="1:38" x14ac:dyDescent="0.2">
      <c r="A31">
        <v>66</v>
      </c>
      <c r="B31">
        <v>736</v>
      </c>
      <c r="C31">
        <v>225</v>
      </c>
      <c r="D31">
        <v>0.34117871475994799</v>
      </c>
      <c r="E31">
        <v>20.1241510775432</v>
      </c>
      <c r="F31">
        <v>2.5796964505196001</v>
      </c>
      <c r="G31">
        <v>-325.47506514149239</v>
      </c>
      <c r="H31">
        <v>-283.2690933310484</v>
      </c>
      <c r="I31">
        <v>41.823288718668202</v>
      </c>
      <c r="J31">
        <v>24.782852477800201</v>
      </c>
      <c r="K31">
        <v>7.8009763797945197</v>
      </c>
      <c r="L31">
        <v>3.2103595486224147E-5</v>
      </c>
      <c r="M31">
        <v>1.8014806240820784E-6</v>
      </c>
      <c r="N31" s="1">
        <v>-5.4053528320510102E-7</v>
      </c>
      <c r="O31" s="1">
        <v>6.6223404415195404E-11</v>
      </c>
      <c r="P31" s="1">
        <v>1.72806252801501E-9</v>
      </c>
      <c r="Q31">
        <v>64.5729044977124</v>
      </c>
      <c r="S31">
        <v>21.856899397548698</v>
      </c>
      <c r="AA31">
        <v>2.96496130333965</v>
      </c>
      <c r="AB31">
        <v>8.8628816304859903</v>
      </c>
      <c r="AC31">
        <v>1.74235317091324</v>
      </c>
      <c r="AJ31">
        <v>0.76091522590209504</v>
      </c>
      <c r="AK31">
        <v>0.14066665016782001</v>
      </c>
      <c r="AL31">
        <v>9.8418123930084603E-2</v>
      </c>
    </row>
    <row r="32" spans="1:38" x14ac:dyDescent="0.2">
      <c r="A32">
        <v>67</v>
      </c>
      <c r="B32">
        <v>734</v>
      </c>
      <c r="C32">
        <v>225</v>
      </c>
      <c r="D32">
        <v>0.33973142034453802</v>
      </c>
      <c r="E32">
        <v>20.392382859054202</v>
      </c>
      <c r="F32">
        <v>2.5799152499832498</v>
      </c>
      <c r="G32">
        <v>-329.74337062214556</v>
      </c>
      <c r="H32">
        <v>-287.10929345327634</v>
      </c>
      <c r="I32">
        <v>42.331407604497102</v>
      </c>
      <c r="J32">
        <v>25.149264357379799</v>
      </c>
      <c r="K32">
        <v>7.90428401056454</v>
      </c>
      <c r="L32">
        <v>3.2259457646846787E-5</v>
      </c>
      <c r="M32">
        <v>1.8022165992656391E-6</v>
      </c>
      <c r="N32" s="1">
        <v>-5.8497944325640903E-7</v>
      </c>
      <c r="O32" s="1">
        <v>6.6797634313317206E-11</v>
      </c>
      <c r="P32" s="1">
        <v>1.85655999601598E-9</v>
      </c>
      <c r="Q32">
        <v>64.576809386888002</v>
      </c>
      <c r="S32">
        <v>21.857705051343501</v>
      </c>
      <c r="AA32">
        <v>2.9647148234637899</v>
      </c>
      <c r="AB32">
        <v>8.8736955928075307</v>
      </c>
      <c r="AC32">
        <v>1.7270751454970501</v>
      </c>
      <c r="AJ32">
        <v>0.76180271087750195</v>
      </c>
      <c r="AK32">
        <v>0.140647398150857</v>
      </c>
      <c r="AL32">
        <v>9.7549890971639297E-2</v>
      </c>
    </row>
    <row r="33" spans="1:38" x14ac:dyDescent="0.2">
      <c r="A33">
        <v>70</v>
      </c>
      <c r="B33">
        <v>756</v>
      </c>
      <c r="C33">
        <v>200</v>
      </c>
      <c r="D33">
        <v>0.38206335325268598</v>
      </c>
      <c r="E33">
        <v>0.813700302144854</v>
      </c>
      <c r="F33">
        <v>2.57985441484806</v>
      </c>
      <c r="G33">
        <v>-13.212064290408915</v>
      </c>
      <c r="H33">
        <v>-11.451870083871983</v>
      </c>
      <c r="I33">
        <v>1.7103378579769</v>
      </c>
      <c r="J33">
        <v>0.99265243907039702</v>
      </c>
      <c r="K33">
        <v>0.31540551182333898</v>
      </c>
      <c r="L33">
        <v>3.0968181172351202E-5</v>
      </c>
      <c r="M33">
        <v>1.7939836846514653E-6</v>
      </c>
      <c r="N33" s="1">
        <v>-1.13830747708118E-8</v>
      </c>
      <c r="O33" s="1">
        <v>2.7492366068623398E-12</v>
      </c>
      <c r="P33" s="1">
        <v>3.9968471104476202E-11</v>
      </c>
      <c r="Q33">
        <v>64.349788404714104</v>
      </c>
      <c r="S33">
        <v>22.059523740090299</v>
      </c>
      <c r="AA33">
        <v>3.18418955075254</v>
      </c>
      <c r="AB33">
        <v>8.8968854371808597</v>
      </c>
      <c r="AC33">
        <v>1.5096128672621301</v>
      </c>
      <c r="AJ33">
        <v>0.76370193684669097</v>
      </c>
      <c r="AK33">
        <v>0.151041258952853</v>
      </c>
      <c r="AL33">
        <v>8.5256804200455602E-2</v>
      </c>
    </row>
    <row r="34" spans="1:38" x14ac:dyDescent="0.2">
      <c r="A34">
        <v>71</v>
      </c>
      <c r="B34">
        <v>754</v>
      </c>
      <c r="C34">
        <v>200</v>
      </c>
      <c r="D34">
        <v>0.38072384753930699</v>
      </c>
      <c r="E34">
        <v>2.7460237591096899</v>
      </c>
      <c r="F34">
        <v>2.5773909484596098</v>
      </c>
      <c r="G34">
        <v>-44.549055845388629</v>
      </c>
      <c r="H34">
        <v>-38.625139212896883</v>
      </c>
      <c r="I34">
        <v>5.7673335272275201</v>
      </c>
      <c r="J34">
        <v>3.35186948372287</v>
      </c>
      <c r="K34">
        <v>1.0654277189693899</v>
      </c>
      <c r="L34">
        <v>3.1107028565453373E-5</v>
      </c>
      <c r="M34">
        <v>1.7987576667765236E-6</v>
      </c>
      <c r="N34" s="1">
        <v>-4.0858757859860898E-8</v>
      </c>
      <c r="O34" s="1">
        <v>9.3050472052389002E-12</v>
      </c>
      <c r="P34" s="1">
        <v>1.41877861975762E-10</v>
      </c>
      <c r="Q34">
        <v>64.566402170993101</v>
      </c>
      <c r="S34">
        <v>21.872531804899399</v>
      </c>
      <c r="AA34">
        <v>2.9793754285145</v>
      </c>
      <c r="AB34">
        <v>8.8893739322546192</v>
      </c>
      <c r="AC34">
        <v>1.69231666333824</v>
      </c>
      <c r="AJ34">
        <v>0.76308899228562099</v>
      </c>
      <c r="AK34">
        <v>0.14133184734874399</v>
      </c>
      <c r="AL34">
        <v>9.5579160365633506E-2</v>
      </c>
    </row>
    <row r="35" spans="1:38" x14ac:dyDescent="0.2">
      <c r="A35">
        <v>72</v>
      </c>
      <c r="B35">
        <v>752</v>
      </c>
      <c r="C35">
        <v>200</v>
      </c>
      <c r="D35">
        <v>0.37937911525142798</v>
      </c>
      <c r="E35">
        <v>4.7977275697040502</v>
      </c>
      <c r="F35">
        <v>2.5746186381832699</v>
      </c>
      <c r="G35">
        <v>-77.755569273830162</v>
      </c>
      <c r="H35">
        <v>-67.434546801632166</v>
      </c>
      <c r="I35">
        <v>10.0678168777232</v>
      </c>
      <c r="J35">
        <v>5.8588420995556296</v>
      </c>
      <c r="K35">
        <v>1.86347115590271</v>
      </c>
      <c r="L35">
        <v>3.1227205063830538E-5</v>
      </c>
      <c r="M35">
        <v>1.8032601556873481E-6</v>
      </c>
      <c r="N35" s="1">
        <v>-7.5640701903741495E-8</v>
      </c>
      <c r="O35" s="1">
        <v>1.63117785013735E-11</v>
      </c>
      <c r="P35" s="1">
        <v>2.6001850487957202E-10</v>
      </c>
      <c r="Q35">
        <v>64.782069310499395</v>
      </c>
      <c r="S35">
        <v>21.674843200097001</v>
      </c>
      <c r="AA35">
        <v>2.765957326738</v>
      </c>
      <c r="AB35">
        <v>8.8517102102727296</v>
      </c>
      <c r="AC35">
        <v>1.92541995239279</v>
      </c>
      <c r="AJ35">
        <v>0.76000155630756905</v>
      </c>
      <c r="AK35">
        <v>0.13123315201501401</v>
      </c>
      <c r="AL35">
        <v>0.108765291677416</v>
      </c>
    </row>
    <row r="36" spans="1:38" x14ac:dyDescent="0.2">
      <c r="A36">
        <v>73</v>
      </c>
      <c r="B36">
        <v>750</v>
      </c>
      <c r="C36">
        <v>200</v>
      </c>
      <c r="D36">
        <v>0.37802912573913899</v>
      </c>
      <c r="E36">
        <v>15.096008821692999</v>
      </c>
      <c r="F36">
        <v>2.5761178679936099</v>
      </c>
      <c r="G36">
        <v>-244.63057344842878</v>
      </c>
      <c r="H36">
        <v>-212.26342943735369</v>
      </c>
      <c r="I36">
        <v>31.634798427478799</v>
      </c>
      <c r="J36">
        <v>18.443742754602901</v>
      </c>
      <c r="K36">
        <v>5.8599837411362099</v>
      </c>
      <c r="L36">
        <v>3.1234620402043798E-5</v>
      </c>
      <c r="M36">
        <v>1.800372799538158E-6</v>
      </c>
      <c r="N36" s="1">
        <v>-2.5190489594720099E-7</v>
      </c>
      <c r="O36" s="1">
        <v>5.1068985332634398E-11</v>
      </c>
      <c r="P36" s="1">
        <v>8.5805180659842203E-10</v>
      </c>
      <c r="Q36">
        <v>64.636763835123205</v>
      </c>
      <c r="S36">
        <v>21.781314032448499</v>
      </c>
      <c r="AA36">
        <v>2.8877018998280399</v>
      </c>
      <c r="AB36">
        <v>8.8070318785272601</v>
      </c>
      <c r="AC36">
        <v>1.88718835407289</v>
      </c>
      <c r="AJ36">
        <v>0.75633148086937196</v>
      </c>
      <c r="AK36">
        <v>0.137039497672958</v>
      </c>
      <c r="AL36">
        <v>0.10662902145766801</v>
      </c>
    </row>
    <row r="37" spans="1:38" x14ac:dyDescent="0.2">
      <c r="A37">
        <v>74</v>
      </c>
      <c r="B37">
        <v>748</v>
      </c>
      <c r="C37">
        <v>200</v>
      </c>
      <c r="D37">
        <v>0.37667384811242399</v>
      </c>
      <c r="E37">
        <v>17.589620666171299</v>
      </c>
      <c r="F37">
        <v>2.57687772907699</v>
      </c>
      <c r="G37">
        <v>-285.00111042169038</v>
      </c>
      <c r="H37">
        <v>-247.40689764460501</v>
      </c>
      <c r="I37">
        <v>36.815563606801497</v>
      </c>
      <c r="J37">
        <v>21.507330193453701</v>
      </c>
      <c r="K37">
        <v>6.8259430657859301</v>
      </c>
      <c r="L37">
        <v>3.1308021608509306E-5</v>
      </c>
      <c r="M37">
        <v>1.7997257882033898E-6</v>
      </c>
      <c r="N37" s="1">
        <v>-3.1253332655634601E-7</v>
      </c>
      <c r="O37" s="1">
        <v>5.9275988223494196E-11</v>
      </c>
      <c r="P37" s="1">
        <v>1.05432255065601E-9</v>
      </c>
      <c r="Q37">
        <v>64.585432355829695</v>
      </c>
      <c r="S37">
        <v>21.8242436235684</v>
      </c>
      <c r="AA37">
        <v>2.9350967510126802</v>
      </c>
      <c r="AB37">
        <v>8.8051879335543095</v>
      </c>
      <c r="AC37">
        <v>1.85003933603472</v>
      </c>
      <c r="AJ37">
        <v>0.75617928837450799</v>
      </c>
      <c r="AK37">
        <v>0.13928981455220901</v>
      </c>
      <c r="AL37">
        <v>0.104530897073281</v>
      </c>
    </row>
    <row r="38" spans="1:38" x14ac:dyDescent="0.2">
      <c r="A38">
        <v>75</v>
      </c>
      <c r="B38">
        <v>746</v>
      </c>
      <c r="C38">
        <v>200</v>
      </c>
      <c r="D38">
        <v>0.37531325123877901</v>
      </c>
      <c r="E38">
        <v>18.586344997162001</v>
      </c>
      <c r="F38">
        <v>2.5773092394680499</v>
      </c>
      <c r="G38">
        <v>-301.09611625187983</v>
      </c>
      <c r="H38">
        <v>-261.49569418669205</v>
      </c>
      <c r="I38">
        <v>38.856323470723403</v>
      </c>
      <c r="J38">
        <v>22.746402305759599</v>
      </c>
      <c r="K38">
        <v>7.2115308138181096</v>
      </c>
      <c r="L38">
        <v>3.140337581444163E-5</v>
      </c>
      <c r="M38">
        <v>1.7998288810325499E-6</v>
      </c>
      <c r="N38" s="1">
        <v>-3.5208639442526699E-7</v>
      </c>
      <c r="O38" s="1">
        <v>6.2420634902216796E-11</v>
      </c>
      <c r="P38" s="1">
        <v>1.1765923571674701E-9</v>
      </c>
      <c r="Q38">
        <v>64.567298968689599</v>
      </c>
      <c r="S38">
        <v>21.841867605447199</v>
      </c>
      <c r="AA38">
        <v>2.9538678945076802</v>
      </c>
      <c r="AB38">
        <v>8.8109822123551407</v>
      </c>
      <c r="AC38">
        <v>1.82598331900019</v>
      </c>
      <c r="AJ38">
        <v>0.75665479355885601</v>
      </c>
      <c r="AK38">
        <v>0.140176535510498</v>
      </c>
      <c r="AL38">
        <v>0.103168670930645</v>
      </c>
    </row>
    <row r="39" spans="1:38" x14ac:dyDescent="0.2">
      <c r="A39">
        <v>76</v>
      </c>
      <c r="B39">
        <v>744</v>
      </c>
      <c r="C39">
        <v>200</v>
      </c>
      <c r="D39">
        <v>0.373947303740848</v>
      </c>
      <c r="E39">
        <v>19.1749207976473</v>
      </c>
      <c r="F39">
        <v>2.5776608111781298</v>
      </c>
      <c r="G39">
        <v>-310.5709555965035</v>
      </c>
      <c r="H39">
        <v>-269.84395108895438</v>
      </c>
      <c r="I39">
        <v>40.040313137245299</v>
      </c>
      <c r="J39">
        <v>23.489525780158399</v>
      </c>
      <c r="K39">
        <v>7.4388844003425403</v>
      </c>
      <c r="L39">
        <v>3.1509048578950012E-5</v>
      </c>
      <c r="M39">
        <v>1.8001294980504698E-6</v>
      </c>
      <c r="N39" s="1">
        <v>-3.8744312789609298E-7</v>
      </c>
      <c r="O39" s="1">
        <v>6.4173509232658402E-11</v>
      </c>
      <c r="P39" s="1">
        <v>1.28303161756413E-9</v>
      </c>
      <c r="Q39">
        <v>64.557269480890398</v>
      </c>
      <c r="S39">
        <v>21.8532999272533</v>
      </c>
      <c r="AA39">
        <v>2.9656399209213902</v>
      </c>
      <c r="AB39">
        <v>8.8186033544720903</v>
      </c>
      <c r="AC39">
        <v>1.8051873164626899</v>
      </c>
      <c r="AJ39">
        <v>0.75728038733243197</v>
      </c>
      <c r="AK39">
        <v>0.140729812656087</v>
      </c>
      <c r="AL39">
        <v>0.101989800011479</v>
      </c>
    </row>
    <row r="40" spans="1:38" x14ac:dyDescent="0.2">
      <c r="A40">
        <v>77</v>
      </c>
      <c r="B40">
        <v>742</v>
      </c>
      <c r="C40">
        <v>200</v>
      </c>
      <c r="D40">
        <v>0.37257597399398801</v>
      </c>
      <c r="E40">
        <v>19.5727351570645</v>
      </c>
      <c r="F40">
        <v>2.5779485519135799</v>
      </c>
      <c r="G40">
        <v>-316.95015587055406</v>
      </c>
      <c r="H40">
        <v>-275.50782378004288</v>
      </c>
      <c r="I40">
        <v>40.823850751624001</v>
      </c>
      <c r="J40">
        <v>24.0020819588816</v>
      </c>
      <c r="K40">
        <v>7.5923684134564597</v>
      </c>
      <c r="L40">
        <v>3.1624837764146183E-5</v>
      </c>
      <c r="M40">
        <v>1.8005954417073249E-6</v>
      </c>
      <c r="N40" s="1">
        <v>-4.22014159829183E-7</v>
      </c>
      <c r="O40" s="1">
        <v>6.5270668410295706E-11</v>
      </c>
      <c r="P40" s="1">
        <v>1.38535212688157E-9</v>
      </c>
      <c r="Q40">
        <v>64.553792482446099</v>
      </c>
      <c r="S40">
        <v>21.859743321651798</v>
      </c>
      <c r="AA40">
        <v>2.9717670973285402</v>
      </c>
      <c r="AB40">
        <v>8.8277472459822093</v>
      </c>
      <c r="AC40">
        <v>1.78694985259123</v>
      </c>
      <c r="AJ40">
        <v>0.75803104565817203</v>
      </c>
      <c r="AK40">
        <v>0.14101413998670001</v>
      </c>
      <c r="AL40">
        <v>0.100954814355127</v>
      </c>
    </row>
    <row r="41" spans="1:38" x14ac:dyDescent="0.2">
      <c r="A41">
        <v>78</v>
      </c>
      <c r="B41">
        <v>740</v>
      </c>
      <c r="C41">
        <v>200</v>
      </c>
      <c r="D41">
        <v>0.37119923012387401</v>
      </c>
      <c r="E41">
        <v>19.875890942449299</v>
      </c>
      <c r="F41">
        <v>2.5782076344519398</v>
      </c>
      <c r="G41">
        <v>-321.79291489248783</v>
      </c>
      <c r="H41">
        <v>-279.84009059265219</v>
      </c>
      <c r="I41">
        <v>41.4083050879293</v>
      </c>
      <c r="J41">
        <v>24.4014435650035</v>
      </c>
      <c r="K41">
        <v>7.7091893906653599</v>
      </c>
      <c r="L41">
        <v>3.1749480644164447E-5</v>
      </c>
      <c r="M41">
        <v>1.8011485649544901E-6</v>
      </c>
      <c r="N41" s="1">
        <v>-4.5743537677300402E-7</v>
      </c>
      <c r="O41" s="1">
        <v>6.6032544702215399E-11</v>
      </c>
      <c r="P41" s="1">
        <v>1.4890840119475201E-9</v>
      </c>
      <c r="Q41">
        <v>64.553280292706802</v>
      </c>
      <c r="S41">
        <v>21.863919731054899</v>
      </c>
      <c r="AA41">
        <v>2.9753321903227499</v>
      </c>
      <c r="AB41">
        <v>8.8375548588311599</v>
      </c>
      <c r="AC41">
        <v>1.7699129270842999</v>
      </c>
      <c r="AJ41">
        <v>0.75883616443244795</v>
      </c>
      <c r="AK41">
        <v>0.14117641482916701</v>
      </c>
      <c r="AL41">
        <v>9.9987420738384E-2</v>
      </c>
    </row>
    <row r="42" spans="1:38" x14ac:dyDescent="0.2">
      <c r="A42">
        <v>79</v>
      </c>
      <c r="B42">
        <v>738</v>
      </c>
      <c r="C42">
        <v>200</v>
      </c>
      <c r="D42">
        <v>0.36981704000395799</v>
      </c>
      <c r="E42">
        <v>20.123092051694201</v>
      </c>
      <c r="F42">
        <v>2.5784490398001898</v>
      </c>
      <c r="G42">
        <v>-325.72711444535355</v>
      </c>
      <c r="H42">
        <v>-283.38538781072032</v>
      </c>
      <c r="I42">
        <v>41.874822365260499</v>
      </c>
      <c r="J42">
        <v>24.734982360134499</v>
      </c>
      <c r="K42">
        <v>7.8043396402565799</v>
      </c>
      <c r="L42">
        <v>3.1882963979752431E-5</v>
      </c>
      <c r="M42">
        <v>1.8017657129517385E-6</v>
      </c>
      <c r="N42" s="1">
        <v>-4.9445595458974805E-7</v>
      </c>
      <c r="O42" s="1">
        <v>6.6587895479936698E-11</v>
      </c>
      <c r="P42" s="1">
        <v>1.5966944973008699E-9</v>
      </c>
      <c r="Q42">
        <v>64.554619649045705</v>
      </c>
      <c r="S42">
        <v>21.8666749469484</v>
      </c>
      <c r="AA42">
        <v>2.97729275115451</v>
      </c>
      <c r="AB42">
        <v>8.8477626992863208</v>
      </c>
      <c r="AC42">
        <v>1.7536499535649599</v>
      </c>
      <c r="AJ42">
        <v>0.75967408342479104</v>
      </c>
      <c r="AK42">
        <v>0.14126226802345601</v>
      </c>
      <c r="AL42">
        <v>9.9063648551752301E-2</v>
      </c>
    </row>
    <row r="43" spans="1:38" x14ac:dyDescent="0.2">
      <c r="A43">
        <v>81</v>
      </c>
      <c r="B43">
        <v>764</v>
      </c>
      <c r="C43">
        <v>175</v>
      </c>
      <c r="D43">
        <v>0.41388468398978101</v>
      </c>
      <c r="E43">
        <v>0.29319511266609</v>
      </c>
      <c r="F43">
        <v>2.5787349116604799</v>
      </c>
      <c r="G43">
        <v>-4.769503969707138</v>
      </c>
      <c r="H43">
        <v>-4.1274065465654983</v>
      </c>
      <c r="I43">
        <v>0.61909793486153297</v>
      </c>
      <c r="J43">
        <v>0.356884993605256</v>
      </c>
      <c r="K43">
        <v>0.113697267346219</v>
      </c>
      <c r="L43">
        <v>3.0672123795006141E-5</v>
      </c>
      <c r="M43">
        <v>1.7934387683283372E-6</v>
      </c>
      <c r="N43" s="1">
        <v>-3.14124579755143E-9</v>
      </c>
      <c r="O43" s="1">
        <v>9.9761590820741892E-13</v>
      </c>
      <c r="P43" s="1">
        <v>1.16243036278593E-11</v>
      </c>
      <c r="Q43">
        <v>64.312874376278501</v>
      </c>
      <c r="S43">
        <v>22.101264756336001</v>
      </c>
      <c r="AA43">
        <v>3.22723970043746</v>
      </c>
      <c r="AB43">
        <v>8.9240540048538204</v>
      </c>
      <c r="AC43">
        <v>1.4345671620940901</v>
      </c>
      <c r="AJ43">
        <v>0.76592995633472305</v>
      </c>
      <c r="AK43">
        <v>0.15306252716782301</v>
      </c>
      <c r="AL43">
        <v>8.10075164974534E-2</v>
      </c>
    </row>
    <row r="44" spans="1:38" x14ac:dyDescent="0.2">
      <c r="A44">
        <v>82</v>
      </c>
      <c r="B44">
        <v>762</v>
      </c>
      <c r="C44">
        <v>175</v>
      </c>
      <c r="D44">
        <v>0.41261701202724399</v>
      </c>
      <c r="E44">
        <v>1.5890573259037299</v>
      </c>
      <c r="F44">
        <v>2.5771801346502001</v>
      </c>
      <c r="G44">
        <v>-25.834164738049029</v>
      </c>
      <c r="H44">
        <v>-22.363827430320377</v>
      </c>
      <c r="I44">
        <v>3.35249703688224</v>
      </c>
      <c r="J44">
        <v>1.9352095249657799</v>
      </c>
      <c r="K44">
        <v>0.61658760462214102</v>
      </c>
      <c r="L44">
        <v>3.0786854806436551E-5</v>
      </c>
      <c r="M44">
        <v>1.7970208222302524E-6</v>
      </c>
      <c r="N44" s="1">
        <v>-1.81425598470058E-8</v>
      </c>
      <c r="O44" s="1">
        <v>5.4157114711538802E-12</v>
      </c>
      <c r="P44" s="1">
        <v>6.6223790155186394E-11</v>
      </c>
      <c r="Q44">
        <v>64.4670864667291</v>
      </c>
      <c r="S44">
        <v>21.9742281114939</v>
      </c>
      <c r="AA44">
        <v>3.0864498845992201</v>
      </c>
      <c r="AB44">
        <v>8.9346642995568004</v>
      </c>
      <c r="AC44">
        <v>1.5375712376209001</v>
      </c>
      <c r="AJ44">
        <v>0.76680250671586303</v>
      </c>
      <c r="AK44">
        <v>0.146377829931643</v>
      </c>
      <c r="AL44">
        <v>8.6819663352493595E-2</v>
      </c>
    </row>
    <row r="45" spans="1:38" x14ac:dyDescent="0.2">
      <c r="A45">
        <v>83</v>
      </c>
      <c r="B45">
        <v>760</v>
      </c>
      <c r="C45">
        <v>175</v>
      </c>
      <c r="D45">
        <v>0.41134443207665999</v>
      </c>
      <c r="E45">
        <v>3.4891379998091501</v>
      </c>
      <c r="F45">
        <v>2.5748519146061102</v>
      </c>
      <c r="G45">
        <v>-56.677172993602419</v>
      </c>
      <c r="H45">
        <v>-49.078223845107416</v>
      </c>
      <c r="I45">
        <v>7.3551266984416497</v>
      </c>
      <c r="J45">
        <v>4.2508972908454199</v>
      </c>
      <c r="K45">
        <v>1.3550829777886</v>
      </c>
      <c r="L45">
        <v>3.0902832360449984E-5</v>
      </c>
      <c r="M45">
        <v>1.801356266939018E-6</v>
      </c>
      <c r="N45" s="1">
        <v>-4.2318297689733199E-8</v>
      </c>
      <c r="O45" s="1">
        <v>1.1927195155156499E-11</v>
      </c>
      <c r="P45" s="1">
        <v>1.5253680368423299E-10</v>
      </c>
      <c r="Q45">
        <v>64.666699992717099</v>
      </c>
      <c r="S45">
        <v>21.799582927019301</v>
      </c>
      <c r="AA45">
        <v>2.89578873178638</v>
      </c>
      <c r="AB45">
        <v>8.9216372828481703</v>
      </c>
      <c r="AC45">
        <v>1.71629106562898</v>
      </c>
      <c r="AJ45">
        <v>0.76573717682715203</v>
      </c>
      <c r="AK45">
        <v>0.137344993865058</v>
      </c>
      <c r="AL45">
        <v>9.6917829307789305E-2</v>
      </c>
    </row>
    <row r="46" spans="1:38" x14ac:dyDescent="0.2">
      <c r="A46">
        <v>84</v>
      </c>
      <c r="B46">
        <v>758</v>
      </c>
      <c r="C46">
        <v>175</v>
      </c>
      <c r="D46">
        <v>0.41006691557969399</v>
      </c>
      <c r="E46">
        <v>5.4966758562556599</v>
      </c>
      <c r="F46">
        <v>2.5722519047423802</v>
      </c>
      <c r="G46">
        <v>-89.200053983410172</v>
      </c>
      <c r="H46">
        <v>-77.262556705181069</v>
      </c>
      <c r="I46">
        <v>11.576877542771699</v>
      </c>
      <c r="J46">
        <v>6.6986064256352797</v>
      </c>
      <c r="K46">
        <v>2.1369119587866101</v>
      </c>
      <c r="L46">
        <v>3.1001294928684261E-5</v>
      </c>
      <c r="M46">
        <v>1.8054129148074739E-6</v>
      </c>
      <c r="N46" s="1">
        <v>-7.0558592020566098E-8</v>
      </c>
      <c r="O46" s="1">
        <v>1.88530121764235E-11</v>
      </c>
      <c r="P46" s="1">
        <v>2.5144054039798E-10</v>
      </c>
      <c r="Q46">
        <v>64.864073042471304</v>
      </c>
      <c r="S46">
        <v>21.6161104872225</v>
      </c>
      <c r="AA46">
        <v>2.6983677874488299</v>
      </c>
      <c r="AB46">
        <v>8.8804756875336004</v>
      </c>
      <c r="AC46">
        <v>1.9409729953236701</v>
      </c>
      <c r="AJ46">
        <v>0.762363450690416</v>
      </c>
      <c r="AK46">
        <v>0.12800819433819099</v>
      </c>
      <c r="AL46">
        <v>0.10962835497139101</v>
      </c>
    </row>
    <row r="47" spans="1:38" x14ac:dyDescent="0.2">
      <c r="A47">
        <v>85</v>
      </c>
      <c r="B47">
        <v>756</v>
      </c>
      <c r="C47">
        <v>175</v>
      </c>
      <c r="D47">
        <v>0.40878443375601398</v>
      </c>
      <c r="E47">
        <v>12.7327585790136</v>
      </c>
      <c r="F47">
        <v>2.5728389961482199</v>
      </c>
      <c r="G47">
        <v>-206.54331262869874</v>
      </c>
      <c r="H47">
        <v>-178.98073667351852</v>
      </c>
      <c r="I47">
        <v>26.781884035544</v>
      </c>
      <c r="J47">
        <v>15.5192298351798</v>
      </c>
      <c r="K47">
        <v>4.9489138644414696</v>
      </c>
      <c r="L47">
        <v>3.0987457842017581E-5</v>
      </c>
      <c r="M47">
        <v>1.8032884001236903E-6</v>
      </c>
      <c r="N47" s="1">
        <v>-1.7210734963677501E-7</v>
      </c>
      <c r="O47" s="1">
        <v>4.3552463377288E-11</v>
      </c>
      <c r="P47" s="1">
        <v>6.0735205398780796E-10</v>
      </c>
      <c r="Q47">
        <v>64.769832987604602</v>
      </c>
      <c r="S47">
        <v>21.666871835264299</v>
      </c>
      <c r="AA47">
        <v>2.76223604779701</v>
      </c>
      <c r="AB47">
        <v>8.8035442515302407</v>
      </c>
      <c r="AC47">
        <v>1.99751487780368</v>
      </c>
      <c r="AJ47">
        <v>0.75604711553544202</v>
      </c>
      <c r="AK47">
        <v>0.13108798510633299</v>
      </c>
      <c r="AL47">
        <v>0.112864899358223</v>
      </c>
    </row>
    <row r="48" spans="1:38" x14ac:dyDescent="0.2">
      <c r="A48">
        <v>86</v>
      </c>
      <c r="B48">
        <v>754</v>
      </c>
      <c r="C48">
        <v>175</v>
      </c>
      <c r="D48">
        <v>0.40749695760112897</v>
      </c>
      <c r="E48">
        <v>16.731231196854001</v>
      </c>
      <c r="F48">
        <v>2.5746111630867299</v>
      </c>
      <c r="G48">
        <v>-271.40906496613286</v>
      </c>
      <c r="H48">
        <v>-235.31020672673344</v>
      </c>
      <c r="I48">
        <v>35.144680172710302</v>
      </c>
      <c r="J48">
        <v>20.403102724061402</v>
      </c>
      <c r="K48">
        <v>6.4985468239774002</v>
      </c>
      <c r="L48">
        <v>3.0998805743197874E-5</v>
      </c>
      <c r="M48">
        <v>1.8004349467514947E-6</v>
      </c>
      <c r="N48" s="1">
        <v>-2.3995804442211001E-7</v>
      </c>
      <c r="O48" s="1">
        <v>5.6932823133925503E-11</v>
      </c>
      <c r="P48" s="1">
        <v>8.3790827876894705E-10</v>
      </c>
      <c r="Q48">
        <v>64.619550877840197</v>
      </c>
      <c r="S48">
        <v>21.78621438423</v>
      </c>
      <c r="AA48">
        <v>2.8957611484891901</v>
      </c>
      <c r="AB48">
        <v>8.78152063542848</v>
      </c>
      <c r="AC48">
        <v>1.9169529540119901</v>
      </c>
      <c r="AJ48">
        <v>0.75423614761993996</v>
      </c>
      <c r="AK48">
        <v>0.13743936620810401</v>
      </c>
      <c r="AL48">
        <v>0.108324486171954</v>
      </c>
    </row>
    <row r="49" spans="1:38" x14ac:dyDescent="0.2">
      <c r="A49">
        <v>87</v>
      </c>
      <c r="B49">
        <v>752</v>
      </c>
      <c r="C49">
        <v>175</v>
      </c>
      <c r="D49">
        <v>0.406204457884214</v>
      </c>
      <c r="E49">
        <v>17.983037684031899</v>
      </c>
      <c r="F49">
        <v>2.57532373136273</v>
      </c>
      <c r="G49">
        <v>-291.67452398761759</v>
      </c>
      <c r="H49">
        <v>-252.99668333498087</v>
      </c>
      <c r="I49">
        <v>37.7289573746638</v>
      </c>
      <c r="J49">
        <v>21.9443366872522</v>
      </c>
      <c r="K49">
        <v>6.9828260676634102</v>
      </c>
      <c r="L49">
        <v>3.1062455191042826E-5</v>
      </c>
      <c r="M49">
        <v>1.7998671046139409E-6</v>
      </c>
      <c r="N49" s="1">
        <v>-2.74559121331602E-7</v>
      </c>
      <c r="O49" s="1">
        <v>6.0986756885555694E-11</v>
      </c>
      <c r="P49" s="1">
        <v>9.4849975099556409E-10</v>
      </c>
      <c r="Q49">
        <v>64.573359231930596</v>
      </c>
      <c r="S49">
        <v>21.825392079819</v>
      </c>
      <c r="AA49">
        <v>2.9388613375903598</v>
      </c>
      <c r="AB49">
        <v>8.7812944516505702</v>
      </c>
      <c r="AC49">
        <v>1.8810928990093101</v>
      </c>
      <c r="AJ49">
        <v>0.75421687087446998</v>
      </c>
      <c r="AK49">
        <v>0.13948502628767701</v>
      </c>
      <c r="AL49">
        <v>0.106298102837851</v>
      </c>
    </row>
    <row r="50" spans="1:38" x14ac:dyDescent="0.2">
      <c r="A50">
        <v>88</v>
      </c>
      <c r="B50">
        <v>750</v>
      </c>
      <c r="C50">
        <v>175</v>
      </c>
      <c r="D50">
        <v>0.40490690514587502</v>
      </c>
      <c r="E50">
        <v>18.642283820978498</v>
      </c>
      <c r="F50">
        <v>2.5757858899185302</v>
      </c>
      <c r="G50">
        <v>-302.3136180465192</v>
      </c>
      <c r="H50">
        <v>-262.34259890206255</v>
      </c>
      <c r="I50">
        <v>39.066626735528899</v>
      </c>
      <c r="J50">
        <v>22.765915325419002</v>
      </c>
      <c r="K50">
        <v>7.2375129834910901</v>
      </c>
      <c r="L50">
        <v>3.114289300378414E-5</v>
      </c>
      <c r="M50">
        <v>1.7998635408109902E-6</v>
      </c>
      <c r="N50" s="1">
        <v>-3.0328955147401099E-7</v>
      </c>
      <c r="O50" s="1">
        <v>6.30294808375997E-11</v>
      </c>
      <c r="P50" s="1">
        <v>1.03688233725391E-9</v>
      </c>
      <c r="Q50">
        <v>64.552170333951693</v>
      </c>
      <c r="S50">
        <v>21.845414838678199</v>
      </c>
      <c r="AA50">
        <v>2.9603244583384498</v>
      </c>
      <c r="AB50">
        <v>8.7865683940934005</v>
      </c>
      <c r="AC50">
        <v>1.85552197493816</v>
      </c>
      <c r="AJ50">
        <v>0.75464970859804903</v>
      </c>
      <c r="AK50">
        <v>0.14049996577375101</v>
      </c>
      <c r="AL50">
        <v>0.104850325628198</v>
      </c>
    </row>
    <row r="51" spans="1:38" x14ac:dyDescent="0.2">
      <c r="A51">
        <v>89</v>
      </c>
      <c r="B51">
        <v>748</v>
      </c>
      <c r="C51">
        <v>175</v>
      </c>
      <c r="D51">
        <v>0.40360426969593199</v>
      </c>
      <c r="E51">
        <v>19.0807412035245</v>
      </c>
      <c r="F51">
        <v>2.5761628817876301</v>
      </c>
      <c r="G51">
        <v>-309.36530285140537</v>
      </c>
      <c r="H51">
        <v>-268.58124671210595</v>
      </c>
      <c r="I51">
        <v>39.939339116975397</v>
      </c>
      <c r="J51">
        <v>23.320434228632099</v>
      </c>
      <c r="K51">
        <v>7.4066517060769801</v>
      </c>
      <c r="L51">
        <v>3.1232793936445614E-5</v>
      </c>
      <c r="M51">
        <v>1.8000634483745373E-6</v>
      </c>
      <c r="N51" s="1">
        <v>-3.30932488629583E-7</v>
      </c>
      <c r="O51" s="1">
        <v>6.4314169249036894E-11</v>
      </c>
      <c r="P51" s="1">
        <v>1.1200842662002701E-9</v>
      </c>
      <c r="Q51">
        <v>64.539510740976098</v>
      </c>
      <c r="S51">
        <v>21.8588941046429</v>
      </c>
      <c r="AA51">
        <v>2.9743989337290602</v>
      </c>
      <c r="AB51">
        <v>8.7936948180780199</v>
      </c>
      <c r="AC51">
        <v>1.8335014025738601</v>
      </c>
      <c r="AJ51">
        <v>0.75523478677576195</v>
      </c>
      <c r="AK51">
        <v>0.14116291024479499</v>
      </c>
      <c r="AL51">
        <v>0.10360230297944199</v>
      </c>
    </row>
    <row r="52" spans="1:38" x14ac:dyDescent="0.2">
      <c r="A52">
        <v>90</v>
      </c>
      <c r="B52">
        <v>746</v>
      </c>
      <c r="C52">
        <v>175</v>
      </c>
      <c r="D52">
        <v>0.40229652161114798</v>
      </c>
      <c r="E52">
        <v>19.4024499966308</v>
      </c>
      <c r="F52">
        <v>2.5764769594900101</v>
      </c>
      <c r="G52">
        <v>-314.51892657122295</v>
      </c>
      <c r="H52">
        <v>-273.17597470347908</v>
      </c>
      <c r="I52">
        <v>40.566110845060798</v>
      </c>
      <c r="J52">
        <v>23.7346625498467</v>
      </c>
      <c r="K52">
        <v>7.5306126550696098</v>
      </c>
      <c r="L52">
        <v>3.1331602197570274E-5</v>
      </c>
      <c r="M52">
        <v>1.8004211453163834E-6</v>
      </c>
      <c r="N52" s="1">
        <v>-3.5889161122049101E-7</v>
      </c>
      <c r="O52" s="1">
        <v>6.5193693393029701E-11</v>
      </c>
      <c r="P52" s="1">
        <v>1.2030444956106201E-9</v>
      </c>
      <c r="Q52">
        <v>64.533223684150101</v>
      </c>
      <c r="S52">
        <v>21.867498570280901</v>
      </c>
      <c r="AA52">
        <v>2.9829647047438401</v>
      </c>
      <c r="AB52">
        <v>8.8022421743666204</v>
      </c>
      <c r="AC52">
        <v>1.8140708664584999</v>
      </c>
      <c r="AJ52">
        <v>0.755936603097908</v>
      </c>
      <c r="AK52">
        <v>0.14156339412589899</v>
      </c>
      <c r="AL52">
        <v>0.10250000277619099</v>
      </c>
    </row>
    <row r="53" spans="1:38" x14ac:dyDescent="0.2">
      <c r="A53">
        <v>91</v>
      </c>
      <c r="B53">
        <v>744</v>
      </c>
      <c r="C53">
        <v>175</v>
      </c>
      <c r="D53">
        <v>0.40098363073293403</v>
      </c>
      <c r="E53">
        <v>19.659637322569701</v>
      </c>
      <c r="F53">
        <v>2.5767569250530298</v>
      </c>
      <c r="G53">
        <v>-318.6232309542782</v>
      </c>
      <c r="H53">
        <v>-276.86243505285023</v>
      </c>
      <c r="I53">
        <v>41.056673943300297</v>
      </c>
      <c r="J53">
        <v>24.072274014846499</v>
      </c>
      <c r="K53">
        <v>7.6296049237027503</v>
      </c>
      <c r="L53">
        <v>3.1438364991990461E-5</v>
      </c>
      <c r="M53">
        <v>1.8008739464078554E-6</v>
      </c>
      <c r="N53" s="1">
        <v>-3.87957104039198E-7</v>
      </c>
      <c r="O53" s="1">
        <v>6.5842022566973302E-11</v>
      </c>
      <c r="P53" s="1">
        <v>1.28847836601757E-9</v>
      </c>
      <c r="Q53">
        <v>64.530413077084603</v>
      </c>
      <c r="S53">
        <v>21.873437444514</v>
      </c>
      <c r="AA53">
        <v>2.98852015353066</v>
      </c>
      <c r="AB53">
        <v>8.8115484181285204</v>
      </c>
      <c r="AC53">
        <v>1.79608090674207</v>
      </c>
      <c r="AJ53">
        <v>0.75670072420603096</v>
      </c>
      <c r="AK53">
        <v>0.141820462354452</v>
      </c>
      <c r="AL53">
        <v>0.10147881343951599</v>
      </c>
    </row>
    <row r="54" spans="1:38" x14ac:dyDescent="0.2">
      <c r="A54">
        <v>92</v>
      </c>
      <c r="B54">
        <v>742</v>
      </c>
      <c r="C54">
        <v>175</v>
      </c>
      <c r="D54">
        <v>0.39966556666502401</v>
      </c>
      <c r="E54">
        <v>19.8765776883237</v>
      </c>
      <c r="F54">
        <v>2.5770149050495701</v>
      </c>
      <c r="G54">
        <v>-322.0726876050681</v>
      </c>
      <c r="H54">
        <v>-279.98249004104343</v>
      </c>
      <c r="I54">
        <v>41.462047543737</v>
      </c>
      <c r="J54">
        <v>24.362942233640801</v>
      </c>
      <c r="K54">
        <v>7.71302395239403</v>
      </c>
      <c r="L54">
        <v>3.1552956727047532E-5</v>
      </c>
      <c r="M54">
        <v>1.8013963150164749E-6</v>
      </c>
      <c r="N54" s="1">
        <v>-4.1857498969995802E-7</v>
      </c>
      <c r="O54" s="1">
        <v>6.6339542674503603E-11</v>
      </c>
      <c r="P54" s="1">
        <v>1.3778612190539801E-9</v>
      </c>
      <c r="Q54">
        <v>64.529862853657605</v>
      </c>
      <c r="S54">
        <v>21.877638770142799</v>
      </c>
      <c r="AA54">
        <v>2.9921146773071601</v>
      </c>
      <c r="AB54">
        <v>8.8213365960686208</v>
      </c>
      <c r="AC54">
        <v>1.77904710282371</v>
      </c>
      <c r="AJ54">
        <v>0.75750437627287903</v>
      </c>
      <c r="AK54">
        <v>0.14198412103230099</v>
      </c>
      <c r="AL54">
        <v>0.100511502694818</v>
      </c>
    </row>
    <row r="55" spans="1:38" x14ac:dyDescent="0.2">
      <c r="A55">
        <v>94</v>
      </c>
      <c r="B55">
        <v>774</v>
      </c>
      <c r="C55">
        <v>150</v>
      </c>
      <c r="D55">
        <v>0.44641216635630598</v>
      </c>
      <c r="E55">
        <v>0.51125107014136595</v>
      </c>
      <c r="F55">
        <v>2.5765023456778802</v>
      </c>
      <c r="G55">
        <v>-8.3323052325113451</v>
      </c>
      <c r="H55">
        <v>-7.1953932856880281</v>
      </c>
      <c r="I55">
        <v>1.0857202376195501</v>
      </c>
      <c r="J55">
        <v>0.62111356518897198</v>
      </c>
      <c r="K55">
        <v>0.19842833483113101</v>
      </c>
      <c r="L55">
        <v>3.0411432486432538E-5</v>
      </c>
      <c r="M55">
        <v>1.794210679304934E-6</v>
      </c>
      <c r="N55" s="1">
        <v>-3.93715020943945E-9</v>
      </c>
      <c r="O55" s="1">
        <v>1.7540685984544601E-12</v>
      </c>
      <c r="P55" s="1">
        <v>1.57842011424741E-11</v>
      </c>
      <c r="Q55">
        <v>64.348113114321094</v>
      </c>
      <c r="S55">
        <v>22.076566846530099</v>
      </c>
      <c r="AA55">
        <v>3.1986411941833901</v>
      </c>
      <c r="AB55">
        <v>8.9378328616526392</v>
      </c>
      <c r="AC55">
        <v>1.4388459833126199</v>
      </c>
      <c r="AJ55">
        <v>0.767060521278215</v>
      </c>
      <c r="AK55">
        <v>0.15169585656906101</v>
      </c>
      <c r="AL55">
        <v>8.1243622152723294E-2</v>
      </c>
    </row>
    <row r="56" spans="1:38" x14ac:dyDescent="0.2">
      <c r="A56">
        <v>95</v>
      </c>
      <c r="B56">
        <v>772</v>
      </c>
      <c r="C56">
        <v>150</v>
      </c>
      <c r="D56">
        <v>0.44521886810505501</v>
      </c>
      <c r="E56">
        <v>1.18519036868591</v>
      </c>
      <c r="F56">
        <v>2.57571095339281</v>
      </c>
      <c r="G56">
        <v>-19.308056877469841</v>
      </c>
      <c r="H56">
        <v>-16.67994486920858</v>
      </c>
      <c r="I56">
        <v>2.5145787765021801</v>
      </c>
      <c r="J56">
        <v>1.44040417591048</v>
      </c>
      <c r="K56">
        <v>0.46014106013127598</v>
      </c>
      <c r="L56">
        <v>3.0494582436001917E-5</v>
      </c>
      <c r="M56">
        <v>1.7965357615438412E-6</v>
      </c>
      <c r="N56" s="1">
        <v>-9.7393405829006495E-9</v>
      </c>
      <c r="O56" s="1">
        <v>4.0687071190947603E-12</v>
      </c>
      <c r="P56" s="1">
        <v>3.8370759988596997E-11</v>
      </c>
      <c r="Q56">
        <v>64.441757766802994</v>
      </c>
      <c r="S56">
        <v>22.003382328638999</v>
      </c>
      <c r="AA56">
        <v>3.1164125181214901</v>
      </c>
      <c r="AB56">
        <v>8.9546522203949408</v>
      </c>
      <c r="AC56">
        <v>1.4837951660414399</v>
      </c>
      <c r="AJ56">
        <v>0.76844113401659697</v>
      </c>
      <c r="AK56">
        <v>0.14778406603840299</v>
      </c>
      <c r="AL56">
        <v>8.3774799944998896E-2</v>
      </c>
    </row>
    <row r="57" spans="1:38" x14ac:dyDescent="0.2">
      <c r="A57">
        <v>96</v>
      </c>
      <c r="B57">
        <v>770</v>
      </c>
      <c r="C57">
        <v>150</v>
      </c>
      <c r="D57">
        <v>0.44402099410439499</v>
      </c>
      <c r="E57">
        <v>1.8605013639610699</v>
      </c>
      <c r="F57">
        <v>2.5749370304729098</v>
      </c>
      <c r="G57">
        <v>-30.296935974903764</v>
      </c>
      <c r="H57">
        <v>-26.18314960223509</v>
      </c>
      <c r="I57">
        <v>3.9436192040154001</v>
      </c>
      <c r="J57">
        <v>2.2620055683749301</v>
      </c>
      <c r="K57">
        <v>0.72254247072573097</v>
      </c>
      <c r="L57">
        <v>3.0577799007202214E-5</v>
      </c>
      <c r="M57">
        <v>1.7987734889154029E-6</v>
      </c>
      <c r="N57" s="1">
        <v>-1.63038360242388E-8</v>
      </c>
      <c r="O57" s="1">
        <v>6.3900277529110302E-12</v>
      </c>
      <c r="P57" s="1">
        <v>6.31815579170627E-11</v>
      </c>
      <c r="Q57">
        <v>64.531780153852296</v>
      </c>
      <c r="S57">
        <v>21.932367244501801</v>
      </c>
      <c r="AA57">
        <v>3.0368188532388598</v>
      </c>
      <c r="AB57">
        <v>8.9690870074699909</v>
      </c>
      <c r="AC57">
        <v>1.52994674093703</v>
      </c>
      <c r="AJ57">
        <v>0.76962597875541705</v>
      </c>
      <c r="AK57">
        <v>0.14399955802901099</v>
      </c>
      <c r="AL57">
        <v>8.6374463215570907E-2</v>
      </c>
    </row>
    <row r="58" spans="1:38" x14ac:dyDescent="0.2">
      <c r="A58">
        <v>97</v>
      </c>
      <c r="B58">
        <v>768</v>
      </c>
      <c r="C58">
        <v>150</v>
      </c>
      <c r="D58">
        <v>0.442818517984921</v>
      </c>
      <c r="E58">
        <v>3.5660379761451901</v>
      </c>
      <c r="F58">
        <v>2.5729553761954</v>
      </c>
      <c r="G58">
        <v>-58.026739055802658</v>
      </c>
      <c r="H58">
        <v>-50.163577604891074</v>
      </c>
      <c r="I58">
        <v>7.5523809738381402</v>
      </c>
      <c r="J58">
        <v>4.3367956151504199</v>
      </c>
      <c r="K58">
        <v>1.3859696165497599</v>
      </c>
      <c r="L58">
        <v>3.0673978628098957E-5</v>
      </c>
      <c r="M58">
        <v>1.8025416762444686E-6</v>
      </c>
      <c r="N58" s="1">
        <v>-3.3210903264475097E-8</v>
      </c>
      <c r="O58" s="1">
        <v>1.2280886012199901E-11</v>
      </c>
      <c r="P58" s="1">
        <v>1.2676051910003499E-10</v>
      </c>
      <c r="Q58">
        <v>64.704505630023704</v>
      </c>
      <c r="S58">
        <v>21.781945272892202</v>
      </c>
      <c r="AA58">
        <v>2.8724160579070901</v>
      </c>
      <c r="AB58">
        <v>8.95964571518296</v>
      </c>
      <c r="AC58">
        <v>1.681487323994</v>
      </c>
      <c r="AJ58">
        <v>0.768854603296662</v>
      </c>
      <c r="AK58">
        <v>0.13621079200797701</v>
      </c>
      <c r="AL58">
        <v>9.4934604695360303E-2</v>
      </c>
    </row>
    <row r="59" spans="1:38" x14ac:dyDescent="0.2">
      <c r="A59">
        <v>98</v>
      </c>
      <c r="B59">
        <v>766</v>
      </c>
      <c r="C59">
        <v>150</v>
      </c>
      <c r="D59">
        <v>0.44161141317423203</v>
      </c>
      <c r="E59">
        <v>5.4811397304279899</v>
      </c>
      <c r="F59">
        <v>2.5706290909494598</v>
      </c>
      <c r="G59">
        <v>-89.109360070020841</v>
      </c>
      <c r="H59">
        <v>-77.05716514234031</v>
      </c>
      <c r="I59">
        <v>11.598128208324599</v>
      </c>
      <c r="J59">
        <v>6.6669596111474299</v>
      </c>
      <c r="K59">
        <v>2.1322172653089799</v>
      </c>
      <c r="L59">
        <v>3.075806171196718E-5</v>
      </c>
      <c r="M59">
        <v>1.8062543085963866E-6</v>
      </c>
      <c r="N59" s="1">
        <v>-5.4055993400012499E-8</v>
      </c>
      <c r="O59" s="1">
        <v>1.8936930527027199E-11</v>
      </c>
      <c r="P59" s="1">
        <v>2.0349202146965499E-10</v>
      </c>
      <c r="Q59">
        <v>64.884296880419498</v>
      </c>
      <c r="S59">
        <v>21.616013689462701</v>
      </c>
      <c r="AA59">
        <v>2.6935689721982001</v>
      </c>
      <c r="AB59">
        <v>8.9252896581302199</v>
      </c>
      <c r="AC59">
        <v>1.8808307997893501</v>
      </c>
      <c r="AJ59">
        <v>0.76604008119369005</v>
      </c>
      <c r="AK59">
        <v>0.12775210510542501</v>
      </c>
      <c r="AL59">
        <v>0.106207813700884</v>
      </c>
    </row>
    <row r="60" spans="1:38" x14ac:dyDescent="0.2">
      <c r="A60">
        <v>99</v>
      </c>
      <c r="B60">
        <v>764</v>
      </c>
      <c r="C60">
        <v>150</v>
      </c>
      <c r="D60">
        <v>0.44039965289495597</v>
      </c>
      <c r="E60">
        <v>7.5371274637168604</v>
      </c>
      <c r="F60">
        <v>2.5679455765401098</v>
      </c>
      <c r="G60">
        <v>-122.403281152898</v>
      </c>
      <c r="H60">
        <v>-105.87776482312879</v>
      </c>
      <c r="I60">
        <v>15.933583695482</v>
      </c>
      <c r="J60">
        <v>9.1678809247477702</v>
      </c>
      <c r="K60">
        <v>2.9350806857331802</v>
      </c>
      <c r="L60">
        <v>3.0821133831849447E-5</v>
      </c>
      <c r="M60">
        <v>1.8096856832880192E-6</v>
      </c>
      <c r="N60" s="1">
        <v>-7.8341711553826495E-8</v>
      </c>
      <c r="O60" s="1">
        <v>2.6137529729761699E-11</v>
      </c>
      <c r="P60" s="1">
        <v>2.9130456613387601E-10</v>
      </c>
      <c r="Q60">
        <v>65.063976515676202</v>
      </c>
      <c r="S60">
        <v>21.4372070566614</v>
      </c>
      <c r="AA60">
        <v>2.5041258827944799</v>
      </c>
      <c r="AB60">
        <v>8.8569312569260799</v>
      </c>
      <c r="AC60">
        <v>2.13775928794171</v>
      </c>
      <c r="AJ60">
        <v>0.76043437372262002</v>
      </c>
      <c r="AK60">
        <v>0.11880792570312899</v>
      </c>
      <c r="AL60">
        <v>0.12075770057425</v>
      </c>
    </row>
    <row r="61" spans="1:38" x14ac:dyDescent="0.2">
      <c r="A61">
        <v>100</v>
      </c>
      <c r="B61">
        <v>762</v>
      </c>
      <c r="C61">
        <v>150</v>
      </c>
      <c r="D61">
        <v>0.439183210162781</v>
      </c>
      <c r="E61">
        <v>14.110224905978299</v>
      </c>
      <c r="F61">
        <v>2.5706763000040298</v>
      </c>
      <c r="G61">
        <v>-229.15596533658018</v>
      </c>
      <c r="H61">
        <v>-198.32585308233803</v>
      </c>
      <c r="I61">
        <v>29.783231661345798</v>
      </c>
      <c r="J61">
        <v>17.163522909467599</v>
      </c>
      <c r="K61">
        <v>5.4889154678697398</v>
      </c>
      <c r="L61">
        <v>3.0736798815503963E-5</v>
      </c>
      <c r="M61">
        <v>1.8038583857142295E-6</v>
      </c>
      <c r="N61" s="1">
        <v>-1.54120601580936E-7</v>
      </c>
      <c r="O61" s="1">
        <v>4.8622142360722303E-11</v>
      </c>
      <c r="P61" s="1">
        <v>5.6703581203068496E-10</v>
      </c>
      <c r="Q61">
        <v>64.789953458826503</v>
      </c>
      <c r="S61">
        <v>21.638152681727998</v>
      </c>
      <c r="AA61">
        <v>2.7338476151737501</v>
      </c>
      <c r="AB61">
        <v>8.7730906480914808</v>
      </c>
      <c r="AC61">
        <v>2.06495559618015</v>
      </c>
      <c r="AJ61">
        <v>0.75354630857483595</v>
      </c>
      <c r="AK61">
        <v>0.12976047408553401</v>
      </c>
      <c r="AL61">
        <v>0.11669321733962799</v>
      </c>
    </row>
    <row r="62" spans="1:38" x14ac:dyDescent="0.2">
      <c r="A62">
        <v>101</v>
      </c>
      <c r="B62">
        <v>760</v>
      </c>
      <c r="C62">
        <v>150</v>
      </c>
      <c r="D62">
        <v>0.43796205778444602</v>
      </c>
      <c r="E62">
        <v>16.754633145090001</v>
      </c>
      <c r="F62">
        <v>2.5725907599097302</v>
      </c>
      <c r="G62">
        <v>-272.11470419446664</v>
      </c>
      <c r="H62">
        <v>-235.62673886201287</v>
      </c>
      <c r="I62">
        <v>35.317200147561998</v>
      </c>
      <c r="J62">
        <v>20.387818305264801</v>
      </c>
      <c r="K62">
        <v>6.5127471520880098</v>
      </c>
      <c r="L62">
        <v>3.0731554218322969E-5</v>
      </c>
      <c r="M62">
        <v>1.8007407005232254E-6</v>
      </c>
      <c r="N62" s="1">
        <v>-1.9407382885752801E-7</v>
      </c>
      <c r="O62" s="1">
        <v>5.7445008512027597E-11</v>
      </c>
      <c r="P62" s="1">
        <v>7.0542903223905305E-10</v>
      </c>
      <c r="Q62">
        <v>64.628432872217303</v>
      </c>
      <c r="S62">
        <v>21.767058925849</v>
      </c>
      <c r="AA62">
        <v>2.87788520722538</v>
      </c>
      <c r="AB62">
        <v>8.7510951591389592</v>
      </c>
      <c r="AC62">
        <v>1.97552783556926</v>
      </c>
      <c r="AJ62">
        <v>0.751736939873351</v>
      </c>
      <c r="AK62">
        <v>0.136611651807167</v>
      </c>
      <c r="AL62">
        <v>0.11165140831948001</v>
      </c>
    </row>
    <row r="63" spans="1:38" x14ac:dyDescent="0.2">
      <c r="A63">
        <v>102</v>
      </c>
      <c r="B63">
        <v>758</v>
      </c>
      <c r="C63">
        <v>150</v>
      </c>
      <c r="D63">
        <v>0.43673616835572199</v>
      </c>
      <c r="E63">
        <v>17.765206232942599</v>
      </c>
      <c r="F63">
        <v>2.5734435933914099</v>
      </c>
      <c r="G63">
        <v>-288.49347840503924</v>
      </c>
      <c r="H63">
        <v>-249.92602921948762</v>
      </c>
      <c r="I63">
        <v>37.402365500219702</v>
      </c>
      <c r="J63">
        <v>21.628511881094099</v>
      </c>
      <c r="K63">
        <v>6.9032817655547403</v>
      </c>
      <c r="L63">
        <v>3.0774802376028013E-5</v>
      </c>
      <c r="M63">
        <v>1.7998428790045629E-6</v>
      </c>
      <c r="N63" s="1">
        <v>-2.1889531456417501E-7</v>
      </c>
      <c r="O63" s="1">
        <v>6.0716929344627705E-11</v>
      </c>
      <c r="P63" s="1">
        <v>7.8590669227323601E-10</v>
      </c>
      <c r="Q63">
        <v>64.568959236641106</v>
      </c>
      <c r="S63">
        <v>21.816690340161198</v>
      </c>
      <c r="AA63">
        <v>2.9327089920229601</v>
      </c>
      <c r="AB63">
        <v>8.7486765562497801</v>
      </c>
      <c r="AC63">
        <v>1.93296487492489</v>
      </c>
      <c r="AJ63">
        <v>0.75153733053732896</v>
      </c>
      <c r="AK63">
        <v>0.139215617553024</v>
      </c>
      <c r="AL63">
        <v>0.109247051909646</v>
      </c>
    </row>
    <row r="64" spans="1:38" x14ac:dyDescent="0.2">
      <c r="A64">
        <v>103</v>
      </c>
      <c r="B64">
        <v>756</v>
      </c>
      <c r="C64">
        <v>150</v>
      </c>
      <c r="D64">
        <v>0.43550551425934297</v>
      </c>
      <c r="E64">
        <v>18.334641327871399</v>
      </c>
      <c r="F64">
        <v>2.5739934295656601</v>
      </c>
      <c r="G64">
        <v>-297.69198450229283</v>
      </c>
      <c r="H64">
        <v>-258.0116509626738</v>
      </c>
      <c r="I64">
        <v>38.5564140694933</v>
      </c>
      <c r="J64">
        <v>22.334719469538602</v>
      </c>
      <c r="K64">
        <v>7.12303346126461</v>
      </c>
      <c r="L64">
        <v>3.083550648141685E-5</v>
      </c>
      <c r="M64">
        <v>1.7996053495564644E-6</v>
      </c>
      <c r="N64" s="1">
        <v>-2.40554956248033E-7</v>
      </c>
      <c r="O64" s="1">
        <v>6.2492248708660702E-11</v>
      </c>
      <c r="P64" s="1">
        <v>8.5336155081246498E-10</v>
      </c>
      <c r="Q64">
        <v>64.539189597852797</v>
      </c>
      <c r="S64">
        <v>21.8434077549691</v>
      </c>
      <c r="AA64">
        <v>2.9616974710381401</v>
      </c>
      <c r="AB64">
        <v>8.7523796888141998</v>
      </c>
      <c r="AC64">
        <v>1.90332548732565</v>
      </c>
      <c r="AJ64">
        <v>0.75184112749486298</v>
      </c>
      <c r="AK64">
        <v>0.14058902342082699</v>
      </c>
      <c r="AL64">
        <v>0.107569849084309</v>
      </c>
    </row>
    <row r="65" spans="1:38" x14ac:dyDescent="0.2">
      <c r="A65">
        <v>104</v>
      </c>
      <c r="B65">
        <v>754</v>
      </c>
      <c r="C65">
        <v>150</v>
      </c>
      <c r="D65">
        <v>0.43427006766295001</v>
      </c>
      <c r="E65">
        <v>18.722729417597598</v>
      </c>
      <c r="F65">
        <v>2.5744128618279101</v>
      </c>
      <c r="G65">
        <v>-303.93764884957375</v>
      </c>
      <c r="H65">
        <v>-263.54247740245739</v>
      </c>
      <c r="I65">
        <v>39.327431677083503</v>
      </c>
      <c r="J65">
        <v>22.822033732322399</v>
      </c>
      <c r="K65">
        <v>7.2726211460518897</v>
      </c>
      <c r="L65">
        <v>3.0906462798210804E-5</v>
      </c>
      <c r="M65">
        <v>1.799663114435007E-6</v>
      </c>
      <c r="N65" s="1">
        <v>-2.6170638537790099E-7</v>
      </c>
      <c r="O65" s="1">
        <v>6.3648063921555504E-11</v>
      </c>
      <c r="P65" s="1">
        <v>9.1769997827130497E-10</v>
      </c>
      <c r="Q65">
        <v>64.522317241573305</v>
      </c>
      <c r="S65">
        <v>21.8601972666515</v>
      </c>
      <c r="AA65">
        <v>2.9794859237648899</v>
      </c>
      <c r="AB65">
        <v>8.7587964351657099</v>
      </c>
      <c r="AC65">
        <v>1.87920313284451</v>
      </c>
      <c r="AJ65">
        <v>0.75236804038201399</v>
      </c>
      <c r="AK65">
        <v>0.141428857937311</v>
      </c>
      <c r="AL65">
        <v>0.106203101680673</v>
      </c>
    </row>
    <row r="66" spans="1:38" x14ac:dyDescent="0.2">
      <c r="A66">
        <v>105</v>
      </c>
      <c r="B66">
        <v>752</v>
      </c>
      <c r="C66">
        <v>150</v>
      </c>
      <c r="D66">
        <v>0.43302980051699702</v>
      </c>
      <c r="E66">
        <v>19.019906089881101</v>
      </c>
      <c r="F66">
        <v>2.5747756556813601</v>
      </c>
      <c r="G66">
        <v>-308.70287763382248</v>
      </c>
      <c r="H66">
        <v>-267.79318089447258</v>
      </c>
      <c r="I66">
        <v>39.906059346778399</v>
      </c>
      <c r="J66">
        <v>23.200324642663599</v>
      </c>
      <c r="K66">
        <v>7.3870148833793801</v>
      </c>
      <c r="L66">
        <v>3.098464222296761E-5</v>
      </c>
      <c r="M66">
        <v>1.7998572032038565E-6</v>
      </c>
      <c r="N66" s="1">
        <v>-2.8333100300090799E-7</v>
      </c>
      <c r="O66" s="1">
        <v>6.4486717484914497E-11</v>
      </c>
      <c r="P66" s="1">
        <v>9.8252974438325901E-10</v>
      </c>
      <c r="Q66">
        <v>64.511047947937598</v>
      </c>
      <c r="S66">
        <v>21.8726609849951</v>
      </c>
      <c r="AA66">
        <v>2.9923981546254499</v>
      </c>
      <c r="AB66">
        <v>8.76635867656565</v>
      </c>
      <c r="AC66">
        <v>1.85753423587611</v>
      </c>
      <c r="AJ66">
        <v>0.75298910246371797</v>
      </c>
      <c r="AK66">
        <v>0.14203638932321999</v>
      </c>
      <c r="AL66">
        <v>0.10497450821305999</v>
      </c>
    </row>
    <row r="67" spans="1:38" x14ac:dyDescent="0.2">
      <c r="A67">
        <v>106</v>
      </c>
      <c r="B67">
        <v>750</v>
      </c>
      <c r="C67">
        <v>150</v>
      </c>
      <c r="D67">
        <v>0.43178468455260599</v>
      </c>
      <c r="E67">
        <v>19.260658772823799</v>
      </c>
      <c r="F67">
        <v>2.5750895825312399</v>
      </c>
      <c r="G67">
        <v>-312.5484365452532</v>
      </c>
      <c r="H67">
        <v>-271.24878804643055</v>
      </c>
      <c r="I67">
        <v>40.365194251891303</v>
      </c>
      <c r="J67">
        <v>23.511597079764201</v>
      </c>
      <c r="K67">
        <v>7.4796072740471704</v>
      </c>
      <c r="L67">
        <v>3.1070103375217802E-5</v>
      </c>
      <c r="M67">
        <v>1.8001736413134705E-6</v>
      </c>
      <c r="N67" s="1">
        <v>-3.0586950575280501E-7</v>
      </c>
      <c r="O67" s="1">
        <v>6.5125534037975402E-11</v>
      </c>
      <c r="P67" s="1">
        <v>1.04940850378581E-9</v>
      </c>
      <c r="Q67">
        <v>64.504675234266401</v>
      </c>
      <c r="S67">
        <v>21.881359538355301</v>
      </c>
      <c r="AA67">
        <v>3.0010615358282502</v>
      </c>
      <c r="AB67">
        <v>8.7749618143633104</v>
      </c>
      <c r="AC67">
        <v>1.83794187718672</v>
      </c>
      <c r="AJ67">
        <v>0.75369569030194905</v>
      </c>
      <c r="AK67">
        <v>0.14244148333742199</v>
      </c>
      <c r="AL67">
        <v>0.103862826360628</v>
      </c>
    </row>
    <row r="68" spans="1:38" x14ac:dyDescent="0.2">
      <c r="A68">
        <v>107</v>
      </c>
      <c r="B68">
        <v>748</v>
      </c>
      <c r="C68">
        <v>150</v>
      </c>
      <c r="D68">
        <v>0.43053469127944</v>
      </c>
      <c r="E68">
        <v>19.466205775612298</v>
      </c>
      <c r="F68">
        <v>2.5753735330773901</v>
      </c>
      <c r="G68">
        <v>-315.81990247967582</v>
      </c>
      <c r="H68">
        <v>-274.20850904289625</v>
      </c>
      <c r="I68">
        <v>40.749540651990003</v>
      </c>
      <c r="J68">
        <v>23.781710156316699</v>
      </c>
      <c r="K68">
        <v>7.5585951030379404</v>
      </c>
      <c r="L68">
        <v>3.1162334069836746E-5</v>
      </c>
      <c r="M68">
        <v>1.8005722186857043E-6</v>
      </c>
      <c r="N68" s="1">
        <v>-3.2964495143820799E-7</v>
      </c>
      <c r="O68" s="1">
        <v>6.5634383046175497E-11</v>
      </c>
      <c r="P68" s="1">
        <v>1.11943829505915E-9</v>
      </c>
      <c r="Q68">
        <v>64.501322805935203</v>
      </c>
      <c r="S68">
        <v>21.887730932978201</v>
      </c>
      <c r="AA68">
        <v>3.0071002449505202</v>
      </c>
      <c r="AB68">
        <v>8.7841945469192204</v>
      </c>
      <c r="AC68">
        <v>1.81965146921675</v>
      </c>
      <c r="AJ68">
        <v>0.75445397291472505</v>
      </c>
      <c r="AK68">
        <v>0.1427215325407</v>
      </c>
      <c r="AL68">
        <v>0.102824494544574</v>
      </c>
    </row>
    <row r="69" spans="1:38" x14ac:dyDescent="0.2">
      <c r="A69">
        <v>109</v>
      </c>
      <c r="B69">
        <v>788</v>
      </c>
      <c r="C69">
        <v>125</v>
      </c>
      <c r="D69">
        <v>0.48055458700466802</v>
      </c>
      <c r="E69">
        <v>0.142896233781035</v>
      </c>
      <c r="F69">
        <v>2.5745954186866</v>
      </c>
      <c r="G69">
        <v>-2.3347317700239474</v>
      </c>
      <c r="H69">
        <v>-2.0102390233655703</v>
      </c>
      <c r="I69">
        <v>0.30579347562397002</v>
      </c>
      <c r="J69">
        <v>0.17333761059931499</v>
      </c>
      <c r="K69">
        <v>5.5502403501491403E-2</v>
      </c>
      <c r="L69">
        <v>3.0137107279834233E-5</v>
      </c>
      <c r="M69">
        <v>1.7933186168290625E-6</v>
      </c>
      <c r="N69" s="1">
        <v>-6.8797181199946496E-10</v>
      </c>
      <c r="O69" s="1">
        <v>4.9361213758941202E-13</v>
      </c>
      <c r="P69" s="1">
        <v>3.2014196855941001E-12</v>
      </c>
      <c r="Q69">
        <v>64.319342722828097</v>
      </c>
      <c r="S69">
        <v>22.101150775618098</v>
      </c>
      <c r="AA69">
        <v>3.2256363649386999</v>
      </c>
      <c r="AB69">
        <v>8.9381695530500505</v>
      </c>
      <c r="AC69">
        <v>1.4157005835649901</v>
      </c>
      <c r="AJ69">
        <v>0.76708768919107595</v>
      </c>
      <c r="AK69">
        <v>0.152975760544592</v>
      </c>
      <c r="AL69">
        <v>7.99365502643304E-2</v>
      </c>
    </row>
    <row r="70" spans="1:38" x14ac:dyDescent="0.2">
      <c r="A70">
        <v>110</v>
      </c>
      <c r="B70">
        <v>786</v>
      </c>
      <c r="C70">
        <v>125</v>
      </c>
      <c r="D70">
        <v>0.47944153330501299</v>
      </c>
      <c r="E70">
        <v>0.78878015737733898</v>
      </c>
      <c r="F70">
        <v>2.5738506069827398</v>
      </c>
      <c r="G70">
        <v>-12.882389301173252</v>
      </c>
      <c r="H70">
        <v>-11.096220594593367</v>
      </c>
      <c r="I70">
        <v>1.68641713315383</v>
      </c>
      <c r="J70">
        <v>0.95700739598276996</v>
      </c>
      <c r="K70">
        <v>0.306459184242245</v>
      </c>
      <c r="L70">
        <v>3.020314270715598E-5</v>
      </c>
      <c r="M70">
        <v>1.7955179881778058E-6</v>
      </c>
      <c r="N70" s="1">
        <v>-4.0679287248223998E-9</v>
      </c>
      <c r="O70" s="1">
        <v>2.72719954412344E-12</v>
      </c>
      <c r="P70" s="1">
        <v>1.84638282193946E-11</v>
      </c>
      <c r="Q70">
        <v>64.409059953618595</v>
      </c>
      <c r="S70">
        <v>22.031398532920601</v>
      </c>
      <c r="AA70">
        <v>3.1471557612156</v>
      </c>
      <c r="AB70">
        <v>8.9552350187792999</v>
      </c>
      <c r="AC70">
        <v>1.45715073346582</v>
      </c>
      <c r="AJ70">
        <v>0.76848841481651597</v>
      </c>
      <c r="AK70">
        <v>0.149241417422498</v>
      </c>
      <c r="AL70">
        <v>8.2270167760984503E-2</v>
      </c>
    </row>
    <row r="71" spans="1:38" x14ac:dyDescent="0.2">
      <c r="A71">
        <v>111</v>
      </c>
      <c r="B71">
        <v>784</v>
      </c>
      <c r="C71">
        <v>125</v>
      </c>
      <c r="D71">
        <v>0.47832426807926898</v>
      </c>
      <c r="E71">
        <v>1.4355645640416499</v>
      </c>
      <c r="F71">
        <v>2.5731227697159702</v>
      </c>
      <c r="G71">
        <v>-23.436157875929656</v>
      </c>
      <c r="H71">
        <v>-20.194517051900394</v>
      </c>
      <c r="I71">
        <v>3.06639627680959</v>
      </c>
      <c r="J71">
        <v>1.74210309229564</v>
      </c>
      <c r="K71">
        <v>0.55790752813559397</v>
      </c>
      <c r="L71">
        <v>3.0268660521005339E-5</v>
      </c>
      <c r="M71">
        <v>1.797635864777931E-6</v>
      </c>
      <c r="N71" s="1">
        <v>-7.9208253777708404E-9</v>
      </c>
      <c r="O71" s="1">
        <v>4.9675344841339304E-12</v>
      </c>
      <c r="P71" s="1">
        <v>3.5117902479847003E-11</v>
      </c>
      <c r="Q71">
        <v>64.495444285151606</v>
      </c>
      <c r="S71">
        <v>21.963671570315601</v>
      </c>
      <c r="AA71">
        <v>3.0711237207840498</v>
      </c>
      <c r="AB71">
        <v>8.9701828322830401</v>
      </c>
      <c r="AC71">
        <v>1.49957759146559</v>
      </c>
      <c r="AJ71">
        <v>0.76971525370188998</v>
      </c>
      <c r="AK71">
        <v>0.14562532276260901</v>
      </c>
      <c r="AL71">
        <v>8.4659423535500503E-2</v>
      </c>
    </row>
    <row r="72" spans="1:38" x14ac:dyDescent="0.2">
      <c r="A72">
        <v>112</v>
      </c>
      <c r="B72">
        <v>782</v>
      </c>
      <c r="C72">
        <v>125</v>
      </c>
      <c r="D72">
        <v>0.47720276737904699</v>
      </c>
      <c r="E72">
        <v>2.0827258233236101</v>
      </c>
      <c r="F72">
        <v>2.5724116196813198</v>
      </c>
      <c r="G72">
        <v>-33.987407382348806</v>
      </c>
      <c r="H72">
        <v>-29.297726020381383</v>
      </c>
      <c r="I72">
        <v>4.4445636752759503</v>
      </c>
      <c r="J72">
        <v>2.5280166415558298</v>
      </c>
      <c r="K72">
        <v>0.80963940894561204</v>
      </c>
      <c r="L72">
        <v>3.0333761112658666E-5</v>
      </c>
      <c r="M72">
        <v>1.7996735566418148E-6</v>
      </c>
      <c r="N72" s="1">
        <v>-1.22809824095293E-8</v>
      </c>
      <c r="O72" s="1">
        <v>7.2122056653541196E-12</v>
      </c>
      <c r="P72" s="1">
        <v>5.32575056840425E-11</v>
      </c>
      <c r="Q72">
        <v>64.578535741517399</v>
      </c>
      <c r="S72">
        <v>21.897941461223802</v>
      </c>
      <c r="AA72">
        <v>2.9975074523508898</v>
      </c>
      <c r="AB72">
        <v>8.9830276611269007</v>
      </c>
      <c r="AC72">
        <v>1.54298768378093</v>
      </c>
      <c r="AJ72">
        <v>0.770769485154711</v>
      </c>
      <c r="AK72">
        <v>0.142125772228369</v>
      </c>
      <c r="AL72">
        <v>8.71047426169195E-2</v>
      </c>
    </row>
    <row r="73" spans="1:38" x14ac:dyDescent="0.2">
      <c r="A73">
        <v>113</v>
      </c>
      <c r="B73">
        <v>780</v>
      </c>
      <c r="C73">
        <v>125</v>
      </c>
      <c r="D73">
        <v>0.47607700707401701</v>
      </c>
      <c r="E73">
        <v>2.7297539634754302</v>
      </c>
      <c r="F73">
        <v>2.5717167834069401</v>
      </c>
      <c r="G73">
        <v>-44.527743604047771</v>
      </c>
      <c r="H73">
        <v>-38.398635913334978</v>
      </c>
      <c r="I73">
        <v>5.8197860615418398</v>
      </c>
      <c r="J73">
        <v>3.3141591130484702</v>
      </c>
      <c r="K73">
        <v>1.06145201566835</v>
      </c>
      <c r="L73">
        <v>3.0398555406191246E-5</v>
      </c>
      <c r="M73">
        <v>1.8016326323927006E-6</v>
      </c>
      <c r="N73" s="1">
        <v>-1.7185214798398201E-8</v>
      </c>
      <c r="O73" s="1">
        <v>9.4588260829767698E-12</v>
      </c>
      <c r="P73" s="1">
        <v>7.2983515629471104E-11</v>
      </c>
      <c r="Q73">
        <v>64.658385063101207</v>
      </c>
      <c r="S73">
        <v>21.8341720119152</v>
      </c>
      <c r="AA73">
        <v>2.9262652561429099</v>
      </c>
      <c r="AB73">
        <v>8.9937876909704109</v>
      </c>
      <c r="AC73">
        <v>1.5873899778701499</v>
      </c>
      <c r="AJ73">
        <v>0.77165266555577405</v>
      </c>
      <c r="AK73">
        <v>0.138740645468962</v>
      </c>
      <c r="AL73">
        <v>8.9606688975262694E-2</v>
      </c>
    </row>
    <row r="74" spans="1:38" x14ac:dyDescent="0.2">
      <c r="A74">
        <v>114</v>
      </c>
      <c r="B74">
        <v>778</v>
      </c>
      <c r="C74">
        <v>125</v>
      </c>
      <c r="D74">
        <v>0.47494696285021398</v>
      </c>
      <c r="E74">
        <v>3.7446756217730899</v>
      </c>
      <c r="F74">
        <v>2.57061277387439</v>
      </c>
      <c r="G74">
        <v>-61.050758590087618</v>
      </c>
      <c r="H74">
        <v>-52.666585562828082</v>
      </c>
      <c r="I74">
        <v>7.9761908645383803</v>
      </c>
      <c r="J74">
        <v>4.5472701133848803</v>
      </c>
      <c r="K74">
        <v>1.45672489448076</v>
      </c>
      <c r="L74">
        <v>3.0467044317967548E-5</v>
      </c>
      <c r="M74">
        <v>1.8040530296890433E-6</v>
      </c>
      <c r="N74" s="1">
        <v>-2.5118359360738599E-8</v>
      </c>
      <c r="O74" s="1">
        <v>1.29930570649483E-11</v>
      </c>
      <c r="P74" s="1">
        <v>1.0461287937135799E-10</v>
      </c>
      <c r="Q74">
        <v>64.764189757613806</v>
      </c>
      <c r="S74">
        <v>21.744395195158599</v>
      </c>
      <c r="AA74">
        <v>2.8275103840560001</v>
      </c>
      <c r="AB74">
        <v>8.9942061827607205</v>
      </c>
      <c r="AC74">
        <v>1.66969848041078</v>
      </c>
      <c r="AJ74">
        <v>0.77168860265764105</v>
      </c>
      <c r="AK74">
        <v>0.13405846608651401</v>
      </c>
      <c r="AL74">
        <v>9.4252931255843803E-2</v>
      </c>
    </row>
    <row r="75" spans="1:38" x14ac:dyDescent="0.2">
      <c r="A75">
        <v>115</v>
      </c>
      <c r="B75">
        <v>776</v>
      </c>
      <c r="C75">
        <v>125</v>
      </c>
      <c r="D75">
        <v>0.47381261020826598</v>
      </c>
      <c r="E75">
        <v>5.57989815678705</v>
      </c>
      <c r="F75">
        <v>2.56851125982055</v>
      </c>
      <c r="G75">
        <v>-90.894820754104089</v>
      </c>
      <c r="H75">
        <v>-78.43641203063315</v>
      </c>
      <c r="I75">
        <v>11.8747640694571</v>
      </c>
      <c r="J75">
        <v>6.7761593272255203</v>
      </c>
      <c r="K75">
        <v>2.17242503238116</v>
      </c>
      <c r="L75">
        <v>3.0535085413830304E-5</v>
      </c>
      <c r="M75">
        <v>1.8074064969935952E-6</v>
      </c>
      <c r="N75" s="1">
        <v>-3.9678523510699601E-8</v>
      </c>
      <c r="O75" s="1">
        <v>1.94211037392592E-11</v>
      </c>
      <c r="P75" s="1">
        <v>1.6238707512729301E-10</v>
      </c>
      <c r="Q75">
        <v>64.927170069494395</v>
      </c>
      <c r="S75">
        <v>21.593889999776401</v>
      </c>
      <c r="AA75">
        <v>2.6653128291219601</v>
      </c>
      <c r="AB75">
        <v>8.9628301324266602</v>
      </c>
      <c r="AC75">
        <v>1.85079696918051</v>
      </c>
      <c r="AJ75">
        <v>0.76911911970689695</v>
      </c>
      <c r="AK75">
        <v>0.126388460015842</v>
      </c>
      <c r="AL75">
        <v>0.10449242027726</v>
      </c>
    </row>
    <row r="76" spans="1:38" x14ac:dyDescent="0.2">
      <c r="A76">
        <v>116</v>
      </c>
      <c r="B76">
        <v>774</v>
      </c>
      <c r="C76">
        <v>125</v>
      </c>
      <c r="D76">
        <v>0.47267392446163797</v>
      </c>
      <c r="E76">
        <v>7.5163623754784297</v>
      </c>
      <c r="F76">
        <v>2.56615950199736</v>
      </c>
      <c r="G76">
        <v>-122.32074543178405</v>
      </c>
      <c r="H76">
        <v>-105.58641217328591</v>
      </c>
      <c r="I76">
        <v>15.980836803226</v>
      </c>
      <c r="J76">
        <v>9.1271581745181205</v>
      </c>
      <c r="K76">
        <v>2.92903164032791</v>
      </c>
      <c r="L76">
        <v>3.0586590826879942E-5</v>
      </c>
      <c r="M76">
        <v>1.8104868828423871E-6</v>
      </c>
      <c r="N76" s="1">
        <v>-5.64203158810184E-8</v>
      </c>
      <c r="O76" s="1">
        <v>2.6251174891088498E-11</v>
      </c>
      <c r="P76" s="1">
        <v>2.2730246866691301E-10</v>
      </c>
      <c r="Q76">
        <v>65.087413694275099</v>
      </c>
      <c r="S76">
        <v>21.4354835524089</v>
      </c>
      <c r="AA76">
        <v>2.4972352289195801</v>
      </c>
      <c r="AB76">
        <v>8.9046413623135603</v>
      </c>
      <c r="AC76">
        <v>2.0752261620827599</v>
      </c>
      <c r="AJ76">
        <v>0.76434951338470303</v>
      </c>
      <c r="AK76">
        <v>0.118452928971197</v>
      </c>
      <c r="AL76">
        <v>0.117197557644098</v>
      </c>
    </row>
    <row r="77" spans="1:38" x14ac:dyDescent="0.2">
      <c r="A77">
        <v>117</v>
      </c>
      <c r="B77">
        <v>772</v>
      </c>
      <c r="C77">
        <v>125</v>
      </c>
      <c r="D77">
        <v>0.47153088073482102</v>
      </c>
      <c r="E77">
        <v>9.6471440025541604</v>
      </c>
      <c r="F77">
        <v>2.56333164415254</v>
      </c>
      <c r="G77">
        <v>-156.80987625862426</v>
      </c>
      <c r="H77">
        <v>-135.39449522971387</v>
      </c>
      <c r="I77">
        <v>20.4902464037797</v>
      </c>
      <c r="J77">
        <v>11.7114113440214</v>
      </c>
      <c r="K77">
        <v>3.7635176956369101</v>
      </c>
      <c r="L77">
        <v>3.0612511754597924E-5</v>
      </c>
      <c r="M77">
        <v>1.8132748673842559E-6</v>
      </c>
      <c r="N77" s="1">
        <v>-7.5946778066103696E-8</v>
      </c>
      <c r="O77" s="1">
        <v>3.3833362958650602E-11</v>
      </c>
      <c r="P77" s="1">
        <v>3.0184724195330901E-10</v>
      </c>
      <c r="Q77">
        <v>65.250203670518999</v>
      </c>
      <c r="S77">
        <v>21.258678520577401</v>
      </c>
      <c r="AA77">
        <v>2.31338445184495</v>
      </c>
      <c r="AB77">
        <v>8.8038927187548008</v>
      </c>
      <c r="AC77">
        <v>2.3738406383037201</v>
      </c>
      <c r="AJ77">
        <v>0.756083020545954</v>
      </c>
      <c r="AK77">
        <v>0.109787613850376</v>
      </c>
      <c r="AL77">
        <v>0.134129365603668</v>
      </c>
    </row>
    <row r="78" spans="1:38" x14ac:dyDescent="0.2">
      <c r="A78">
        <v>118</v>
      </c>
      <c r="B78">
        <v>770</v>
      </c>
      <c r="C78">
        <v>125</v>
      </c>
      <c r="D78">
        <v>0.47038345396155901</v>
      </c>
      <c r="E78">
        <v>14.523337645996801</v>
      </c>
      <c r="F78">
        <v>2.5679794748012701</v>
      </c>
      <c r="G78">
        <v>-236.17808332384206</v>
      </c>
      <c r="H78">
        <v>-204.05339566636101</v>
      </c>
      <c r="I78">
        <v>30.795846865245601</v>
      </c>
      <c r="J78">
        <v>17.631259106161199</v>
      </c>
      <c r="K78">
        <v>5.6555505168594502</v>
      </c>
      <c r="L78">
        <v>3.0483748485490817E-5</v>
      </c>
      <c r="M78">
        <v>1.8047031187942282E-6</v>
      </c>
      <c r="N78" s="1">
        <v>-1.2028393408873299E-7</v>
      </c>
      <c r="O78" s="1">
        <v>5.0457945156434403E-11</v>
      </c>
      <c r="P78" s="1">
        <v>4.72020392243232E-10</v>
      </c>
      <c r="Q78">
        <v>64.834568595086395</v>
      </c>
      <c r="S78">
        <v>21.5852752472912</v>
      </c>
      <c r="AA78">
        <v>2.6798128582235301</v>
      </c>
      <c r="AB78">
        <v>8.7338880181671001</v>
      </c>
      <c r="AC78">
        <v>2.1664552812316402</v>
      </c>
      <c r="AJ78">
        <v>0.75032620617490198</v>
      </c>
      <c r="AK78">
        <v>0.12722069175199899</v>
      </c>
      <c r="AL78">
        <v>0.12245310207309799</v>
      </c>
    </row>
    <row r="79" spans="1:38" x14ac:dyDescent="0.2">
      <c r="A79">
        <v>119</v>
      </c>
      <c r="B79">
        <v>768</v>
      </c>
      <c r="C79">
        <v>125</v>
      </c>
      <c r="D79">
        <v>0.46923161888296799</v>
      </c>
      <c r="E79">
        <v>16.497508695146799</v>
      </c>
      <c r="F79">
        <v>2.5702187963312602</v>
      </c>
      <c r="G79">
        <v>-268.31059292275017</v>
      </c>
      <c r="H79">
        <v>-231.93881915312173</v>
      </c>
      <c r="I79">
        <v>34.934230197021002</v>
      </c>
      <c r="J79">
        <v>20.032708123514102</v>
      </c>
      <c r="K79">
        <v>6.4187176277347904</v>
      </c>
      <c r="L79">
        <v>3.0456169054361399E-5</v>
      </c>
      <c r="M79">
        <v>1.8009993866048744E-6</v>
      </c>
      <c r="N79" s="1">
        <v>-1.44853054415235E-7</v>
      </c>
      <c r="O79" s="1">
        <v>5.7019837325338701E-11</v>
      </c>
      <c r="P79" s="1">
        <v>5.6023817063027703E-10</v>
      </c>
      <c r="Q79">
        <v>64.6462316162512</v>
      </c>
      <c r="S79">
        <v>21.736496353345299</v>
      </c>
      <c r="AA79">
        <v>2.84851767837822</v>
      </c>
      <c r="AB79">
        <v>8.7106349486642394</v>
      </c>
      <c r="AC79">
        <v>2.0581194033608599</v>
      </c>
      <c r="AJ79">
        <v>0.748412374835426</v>
      </c>
      <c r="AK79">
        <v>0.13524488715853999</v>
      </c>
      <c r="AL79">
        <v>0.11634273800603299</v>
      </c>
    </row>
    <row r="80" spans="1:38" x14ac:dyDescent="0.2">
      <c r="A80">
        <v>120</v>
      </c>
      <c r="B80">
        <v>766</v>
      </c>
      <c r="C80">
        <v>125</v>
      </c>
      <c r="D80">
        <v>0.46807535004571499</v>
      </c>
      <c r="E80">
        <v>17.360429093775899</v>
      </c>
      <c r="F80">
        <v>2.5712713964646299</v>
      </c>
      <c r="G80">
        <v>-282.32085058696009</v>
      </c>
      <c r="H80">
        <v>-244.16640048928178</v>
      </c>
      <c r="I80">
        <v>36.716980318219903</v>
      </c>
      <c r="J80">
        <v>21.0878267018706</v>
      </c>
      <c r="K80">
        <v>6.7516906685329401</v>
      </c>
      <c r="L80">
        <v>3.0477256847278485E-5</v>
      </c>
      <c r="M80">
        <v>1.7996691577496006E-6</v>
      </c>
      <c r="N80" s="1">
        <v>-1.6208048414919301E-7</v>
      </c>
      <c r="O80" s="1">
        <v>5.98168264582069E-11</v>
      </c>
      <c r="P80" s="1">
        <v>6.1764392700463805E-10</v>
      </c>
      <c r="Q80">
        <v>64.568505955351498</v>
      </c>
      <c r="S80">
        <v>21.800694091914799</v>
      </c>
      <c r="AA80">
        <v>2.9196176904233901</v>
      </c>
      <c r="AB80">
        <v>8.7057301987678208</v>
      </c>
      <c r="AC80">
        <v>2.00545206354241</v>
      </c>
      <c r="AJ80">
        <v>0.74800806645891105</v>
      </c>
      <c r="AK80">
        <v>0.13862381744521601</v>
      </c>
      <c r="AL80">
        <v>0.113368116095871</v>
      </c>
    </row>
    <row r="81" spans="1:38" x14ac:dyDescent="0.2">
      <c r="A81">
        <v>121</v>
      </c>
      <c r="B81">
        <v>764</v>
      </c>
      <c r="C81">
        <v>125</v>
      </c>
      <c r="D81">
        <v>0.46691462180012799</v>
      </c>
      <c r="E81">
        <v>17.8706084982832</v>
      </c>
      <c r="F81">
        <v>2.57194136379914</v>
      </c>
      <c r="G81">
        <v>-290.57559061145241</v>
      </c>
      <c r="H81">
        <v>-251.42096782912446</v>
      </c>
      <c r="I81">
        <v>37.752131111534403</v>
      </c>
      <c r="J81">
        <v>21.716372985198401</v>
      </c>
      <c r="K81">
        <v>6.9482954587602501</v>
      </c>
      <c r="L81">
        <v>3.0517173187098441E-5</v>
      </c>
      <c r="M81">
        <v>1.7991398683100647E-6</v>
      </c>
      <c r="N81" s="1">
        <v>-1.77592216714244E-7</v>
      </c>
      <c r="O81" s="1">
        <v>6.1422455145665997E-11</v>
      </c>
      <c r="P81" s="1">
        <v>6.6701682073559997E-10</v>
      </c>
      <c r="Q81">
        <v>64.527393523079397</v>
      </c>
      <c r="S81">
        <v>21.8363772422544</v>
      </c>
      <c r="AA81">
        <v>2.9586496788474999</v>
      </c>
      <c r="AB81">
        <v>8.7076613655513704</v>
      </c>
      <c r="AC81">
        <v>1.9699181902672001</v>
      </c>
      <c r="AJ81">
        <v>0.74816618112012101</v>
      </c>
      <c r="AK81">
        <v>0.140475594079082</v>
      </c>
      <c r="AL81">
        <v>0.11135822480079501</v>
      </c>
    </row>
    <row r="82" spans="1:38" x14ac:dyDescent="0.2">
      <c r="A82">
        <v>122</v>
      </c>
      <c r="B82">
        <v>762</v>
      </c>
      <c r="C82">
        <v>125</v>
      </c>
      <c r="D82">
        <v>0.46574940829831801</v>
      </c>
      <c r="E82">
        <v>18.2275722219816</v>
      </c>
      <c r="F82">
        <v>2.57244036906638</v>
      </c>
      <c r="G82">
        <v>-296.32931297654528</v>
      </c>
      <c r="H82">
        <v>-256.51501846148699</v>
      </c>
      <c r="I82">
        <v>38.462343153222498</v>
      </c>
      <c r="J82">
        <v>22.160228527768599</v>
      </c>
      <c r="K82">
        <v>7.0857122447494998</v>
      </c>
      <c r="L82">
        <v>3.0567626039803352E-5</v>
      </c>
      <c r="M82">
        <v>1.7989800933890265E-6</v>
      </c>
      <c r="N82" s="1">
        <v>-1.9290110703710299E-7</v>
      </c>
      <c r="O82" s="1">
        <v>6.2508375779063398E-11</v>
      </c>
      <c r="P82" s="1">
        <v>7.1444187600694303E-10</v>
      </c>
      <c r="Q82">
        <v>64.502834680734196</v>
      </c>
      <c r="S82">
        <v>21.8592179796632</v>
      </c>
      <c r="AA82">
        <v>2.9832239912005698</v>
      </c>
      <c r="AB82">
        <v>8.7128132647931995</v>
      </c>
      <c r="AC82">
        <v>1.94191008360872</v>
      </c>
      <c r="AJ82">
        <v>0.74858925730063197</v>
      </c>
      <c r="AK82">
        <v>0.14163866917911</v>
      </c>
      <c r="AL82">
        <v>0.109772073520257</v>
      </c>
    </row>
    <row r="83" spans="1:38" x14ac:dyDescent="0.2">
      <c r="A83">
        <v>123</v>
      </c>
      <c r="B83">
        <v>760</v>
      </c>
      <c r="C83">
        <v>125</v>
      </c>
      <c r="D83">
        <v>0.464579683492232</v>
      </c>
      <c r="E83">
        <v>18.504113065006099</v>
      </c>
      <c r="F83">
        <v>2.5728469702304002</v>
      </c>
      <c r="G83">
        <v>-300.76965769862784</v>
      </c>
      <c r="H83">
        <v>-260.47499219586763</v>
      </c>
      <c r="I83">
        <v>39.001757249925198</v>
      </c>
      <c r="J83">
        <v>22.507660402831501</v>
      </c>
      <c r="K83">
        <v>7.1920768234999599</v>
      </c>
      <c r="L83">
        <v>3.0625583644255069E-5</v>
      </c>
      <c r="M83">
        <v>1.7990271671050859E-6</v>
      </c>
      <c r="N83" s="1">
        <v>-2.0860085938170801E-7</v>
      </c>
      <c r="O83" s="1">
        <v>6.3318292969058402E-11</v>
      </c>
      <c r="P83" s="1">
        <v>7.6225558809279997E-10</v>
      </c>
      <c r="Q83">
        <v>64.487289244028901</v>
      </c>
      <c r="S83">
        <v>21.875077111180801</v>
      </c>
      <c r="AA83">
        <v>2.9999352522225702</v>
      </c>
      <c r="AB83">
        <v>8.7197478677096196</v>
      </c>
      <c r="AC83">
        <v>1.91795052485798</v>
      </c>
      <c r="AJ83">
        <v>0.749158958371276</v>
      </c>
      <c r="AK83">
        <v>0.14242712946717101</v>
      </c>
      <c r="AL83">
        <v>0.108413912161552</v>
      </c>
    </row>
    <row r="84" spans="1:38" x14ac:dyDescent="0.2">
      <c r="A84">
        <v>124</v>
      </c>
      <c r="B84">
        <v>758</v>
      </c>
      <c r="C84">
        <v>125</v>
      </c>
      <c r="D84">
        <v>0.46340542113174599</v>
      </c>
      <c r="E84">
        <v>18.732976674779302</v>
      </c>
      <c r="F84">
        <v>2.5731972230862898</v>
      </c>
      <c r="G84">
        <v>-304.43098194450386</v>
      </c>
      <c r="H84">
        <v>-263.76273827432436</v>
      </c>
      <c r="I84">
        <v>39.439697105347797</v>
      </c>
      <c r="J84">
        <v>22.798410008630899</v>
      </c>
      <c r="K84">
        <v>7.2800392083087004</v>
      </c>
      <c r="L84">
        <v>3.0689763777766636E-5</v>
      </c>
      <c r="M84">
        <v>1.7992060466113121E-6</v>
      </c>
      <c r="N84" s="1">
        <v>-2.25001261498799E-7</v>
      </c>
      <c r="O84" s="1">
        <v>6.3961189822251598E-11</v>
      </c>
      <c r="P84" s="1">
        <v>8.1162787657450103E-10</v>
      </c>
      <c r="Q84">
        <v>64.477271925954895</v>
      </c>
      <c r="S84">
        <v>21.886655805373099</v>
      </c>
      <c r="AA84">
        <v>3.0118251977146699</v>
      </c>
      <c r="AB84">
        <v>8.7277798636468393</v>
      </c>
      <c r="AC84">
        <v>1.8964672073104101</v>
      </c>
      <c r="AJ84">
        <v>0.74981888463377</v>
      </c>
      <c r="AK84">
        <v>0.142985876910114</v>
      </c>
      <c r="AL84">
        <v>0.10719523845611401</v>
      </c>
    </row>
    <row r="85" spans="1:38" x14ac:dyDescent="0.2">
      <c r="A85">
        <v>125</v>
      </c>
      <c r="B85">
        <v>756</v>
      </c>
      <c r="C85">
        <v>125</v>
      </c>
      <c r="D85">
        <v>0.46222659476266797</v>
      </c>
      <c r="E85">
        <v>18.931124368094501</v>
      </c>
      <c r="F85">
        <v>2.5735222665706301</v>
      </c>
      <c r="G85">
        <v>-307.59063047777755</v>
      </c>
      <c r="H85">
        <v>-266.61812672992545</v>
      </c>
      <c r="I85">
        <v>39.811984402518704</v>
      </c>
      <c r="J85">
        <v>23.053064637409001</v>
      </c>
      <c r="K85">
        <v>7.3561144638244498</v>
      </c>
      <c r="L85">
        <v>3.0759022661093259E-5</v>
      </c>
      <c r="M85">
        <v>1.7994499304072233E-6</v>
      </c>
      <c r="N85" s="1">
        <v>-2.4229510309298401E-7</v>
      </c>
      <c r="O85" s="1">
        <v>6.4491589740101094E-11</v>
      </c>
      <c r="P85" s="1">
        <v>8.6325407479950605E-10</v>
      </c>
      <c r="Q85">
        <v>64.469704633830503</v>
      </c>
      <c r="S85">
        <v>21.896318445525999</v>
      </c>
      <c r="AA85">
        <v>3.0215626989440301</v>
      </c>
      <c r="AB85">
        <v>8.7362484262792801</v>
      </c>
      <c r="AC85">
        <v>1.8761657954201301</v>
      </c>
      <c r="AJ85">
        <v>0.75051466783107501</v>
      </c>
      <c r="AK85">
        <v>0.143442091832888</v>
      </c>
      <c r="AL85">
        <v>0.106043240336035</v>
      </c>
    </row>
    <row r="86" spans="1:38" x14ac:dyDescent="0.2">
      <c r="A86">
        <v>126</v>
      </c>
      <c r="B86">
        <v>754</v>
      </c>
      <c r="C86">
        <v>125</v>
      </c>
      <c r="D86">
        <v>0.46104317772477099</v>
      </c>
      <c r="E86">
        <v>19.107493078525</v>
      </c>
      <c r="F86">
        <v>2.5738138417378802</v>
      </c>
      <c r="G86">
        <v>-310.39370859075251</v>
      </c>
      <c r="H86">
        <v>-269.16630169909615</v>
      </c>
      <c r="I86">
        <v>40.137669173593302</v>
      </c>
      <c r="J86">
        <v>23.282580361243799</v>
      </c>
      <c r="K86">
        <v>7.4238053928653098</v>
      </c>
      <c r="L86">
        <v>3.0834085389787448E-5</v>
      </c>
      <c r="M86">
        <v>1.7997794930097351E-6</v>
      </c>
      <c r="N86" s="1">
        <v>-2.6064535313053903E-7</v>
      </c>
      <c r="O86" s="1">
        <v>6.4940878760967105E-11</v>
      </c>
      <c r="P86" s="1">
        <v>9.1767110868154098E-10</v>
      </c>
      <c r="Q86">
        <v>64.465467873882702</v>
      </c>
      <c r="S86">
        <v>21.903407460732101</v>
      </c>
      <c r="AA86">
        <v>3.02839979908837</v>
      </c>
      <c r="AB86">
        <v>8.7453918088994609</v>
      </c>
      <c r="AC86">
        <v>1.85733305739721</v>
      </c>
      <c r="AJ86">
        <v>0.75126588793737203</v>
      </c>
      <c r="AK86">
        <v>0.14376011029118901</v>
      </c>
      <c r="AL86">
        <v>0.10497400177143799</v>
      </c>
    </row>
    <row r="87" spans="1:38" x14ac:dyDescent="0.2">
      <c r="A87">
        <v>128</v>
      </c>
      <c r="B87">
        <v>804</v>
      </c>
      <c r="C87">
        <v>100</v>
      </c>
      <c r="D87">
        <v>0.514840551455232</v>
      </c>
      <c r="E87">
        <v>0.226656563683996</v>
      </c>
      <c r="F87">
        <v>2.5715967488065701</v>
      </c>
      <c r="G87">
        <v>-3.7129666197458548</v>
      </c>
      <c r="H87">
        <v>-3.1859474097324187</v>
      </c>
      <c r="I87">
        <v>0.48927188415117301</v>
      </c>
      <c r="J87">
        <v>0.27478313404211302</v>
      </c>
      <c r="K87">
        <v>8.8138454751579207E-2</v>
      </c>
      <c r="L87">
        <v>2.9976217494380079E-5</v>
      </c>
      <c r="M87">
        <v>1.7945521059500253E-6</v>
      </c>
      <c r="N87" s="1">
        <v>-6.0605243436793101E-10</v>
      </c>
      <c r="O87" s="1">
        <v>7.8835135744632697E-13</v>
      </c>
      <c r="P87" s="1">
        <v>3.6382425514861002E-12</v>
      </c>
      <c r="Q87">
        <v>64.384014472915197</v>
      </c>
      <c r="S87">
        <v>22.0526688259019</v>
      </c>
      <c r="AA87">
        <v>3.17054799124401</v>
      </c>
      <c r="AB87">
        <v>8.9551853462940798</v>
      </c>
      <c r="AC87">
        <v>1.43758336364471</v>
      </c>
      <c r="AJ87">
        <v>0.76848395604458097</v>
      </c>
      <c r="AK87">
        <v>0.150350663056464</v>
      </c>
      <c r="AL87">
        <v>8.1165380898954406E-2</v>
      </c>
    </row>
    <row r="88" spans="1:38" x14ac:dyDescent="0.2">
      <c r="A88">
        <v>129</v>
      </c>
      <c r="B88">
        <v>802</v>
      </c>
      <c r="C88">
        <v>100</v>
      </c>
      <c r="D88">
        <v>0.51380784076640695</v>
      </c>
      <c r="E88">
        <v>0.84899657334385403</v>
      </c>
      <c r="F88">
        <v>2.5709120970574899</v>
      </c>
      <c r="G88">
        <v>-13.902283901497869</v>
      </c>
      <c r="H88">
        <v>-11.933655890897741</v>
      </c>
      <c r="I88">
        <v>1.8310263782729199</v>
      </c>
      <c r="J88">
        <v>1.02933857434766</v>
      </c>
      <c r="K88">
        <v>0.33023166148526101</v>
      </c>
      <c r="L88">
        <v>3.0026960373780589E-5</v>
      </c>
      <c r="M88">
        <v>1.7965557347646781E-6</v>
      </c>
      <c r="N88" s="1">
        <v>-2.4596391409602399E-9</v>
      </c>
      <c r="O88" s="1">
        <v>2.9561075064942198E-12</v>
      </c>
      <c r="P88" s="1">
        <v>1.41879418536076E-11</v>
      </c>
      <c r="Q88">
        <v>64.466749479697398</v>
      </c>
      <c r="S88">
        <v>21.988133011014099</v>
      </c>
      <c r="AA88">
        <v>3.0980002003950702</v>
      </c>
      <c r="AB88">
        <v>8.9703668438777395</v>
      </c>
      <c r="AC88">
        <v>1.4767504650155601</v>
      </c>
      <c r="AJ88">
        <v>0.76972989591772001</v>
      </c>
      <c r="AK88">
        <v>0.14689952198714901</v>
      </c>
      <c r="AL88">
        <v>8.337058209513E-2</v>
      </c>
    </row>
    <row r="89" spans="1:38" x14ac:dyDescent="0.2">
      <c r="A89">
        <v>130</v>
      </c>
      <c r="B89">
        <v>800</v>
      </c>
      <c r="C89">
        <v>100</v>
      </c>
      <c r="D89">
        <v>0.51277128080883805</v>
      </c>
      <c r="E89">
        <v>1.4713126471314999</v>
      </c>
      <c r="F89">
        <v>2.57024366787814</v>
      </c>
      <c r="G89">
        <v>-24.083072347090258</v>
      </c>
      <c r="H89">
        <v>-20.6809009781222</v>
      </c>
      <c r="I89">
        <v>3.1702663830480802</v>
      </c>
      <c r="J89">
        <v>1.7839801978854199</v>
      </c>
      <c r="K89">
        <v>0.57244091893674198</v>
      </c>
      <c r="L89">
        <v>3.0076848896952239E-5</v>
      </c>
      <c r="M89">
        <v>1.7984846106379205E-6</v>
      </c>
      <c r="N89" s="1">
        <v>-4.6061174953192201E-9</v>
      </c>
      <c r="O89" s="1">
        <v>5.1280500321807401E-12</v>
      </c>
      <c r="P89" s="1">
        <v>2.5602072718218399E-11</v>
      </c>
      <c r="Q89">
        <v>64.546449428997207</v>
      </c>
      <c r="S89">
        <v>21.925464619457198</v>
      </c>
      <c r="AA89">
        <v>3.0277012420866201</v>
      </c>
      <c r="AB89">
        <v>8.9836805716386401</v>
      </c>
      <c r="AC89">
        <v>1.5167041378202</v>
      </c>
      <c r="AJ89">
        <v>0.77082250759080095</v>
      </c>
      <c r="AK89">
        <v>0.14355684169817801</v>
      </c>
      <c r="AL89">
        <v>8.5620650711019694E-2</v>
      </c>
    </row>
    <row r="90" spans="1:38" x14ac:dyDescent="0.2">
      <c r="A90">
        <v>131</v>
      </c>
      <c r="B90">
        <v>798</v>
      </c>
      <c r="C90">
        <v>100</v>
      </c>
      <c r="D90">
        <v>0.51173085002101004</v>
      </c>
      <c r="E90">
        <v>2.0931542795296898</v>
      </c>
      <c r="F90">
        <v>2.5695911812315799</v>
      </c>
      <c r="G90">
        <v>-34.24791270490546</v>
      </c>
      <c r="H90">
        <v>-29.421328275744077</v>
      </c>
      <c r="I90">
        <v>4.5059836896432701</v>
      </c>
      <c r="J90">
        <v>2.53817469475409</v>
      </c>
      <c r="K90">
        <v>0.814586497189978</v>
      </c>
      <c r="L90">
        <v>3.0125955148000413E-5</v>
      </c>
      <c r="M90">
        <v>1.8003400737159088E-6</v>
      </c>
      <c r="N90" s="1">
        <v>-7.0643866754149899E-9</v>
      </c>
      <c r="O90" s="1">
        <v>7.3021634881919096E-12</v>
      </c>
      <c r="P90" s="1">
        <v>3.7931564744662202E-11</v>
      </c>
      <c r="Q90">
        <v>64.623159002895093</v>
      </c>
      <c r="S90">
        <v>21.864633717174801</v>
      </c>
      <c r="AA90">
        <v>2.95961599446303</v>
      </c>
      <c r="AB90">
        <v>8.9951476251770597</v>
      </c>
      <c r="AC90">
        <v>1.5574436602898201</v>
      </c>
      <c r="AJ90">
        <v>0.77176358071124895</v>
      </c>
      <c r="AK90">
        <v>0.14032082883458999</v>
      </c>
      <c r="AL90">
        <v>8.7915590454160294E-2</v>
      </c>
    </row>
    <row r="91" spans="1:38" x14ac:dyDescent="0.2">
      <c r="A91">
        <v>132</v>
      </c>
      <c r="B91">
        <v>796</v>
      </c>
      <c r="C91">
        <v>100</v>
      </c>
      <c r="D91">
        <v>0.51068652668007097</v>
      </c>
      <c r="E91">
        <v>2.7140855067571801</v>
      </c>
      <c r="F91">
        <v>2.5689542921677102</v>
      </c>
      <c r="G91">
        <v>-44.389635524649094</v>
      </c>
      <c r="H91">
        <v>-38.148786996250806</v>
      </c>
      <c r="I91">
        <v>5.8372057507349604</v>
      </c>
      <c r="J91">
        <v>3.2914080473622702</v>
      </c>
      <c r="K91">
        <v>1.05649427669147</v>
      </c>
      <c r="L91">
        <v>3.0174358062227742E-5</v>
      </c>
      <c r="M91">
        <v>1.8021236561342318E-6</v>
      </c>
      <c r="N91" s="1">
        <v>-9.8545552693899003E-9</v>
      </c>
      <c r="O91" s="1">
        <v>9.4764724022506794E-12</v>
      </c>
      <c r="P91" s="1">
        <v>5.1230822490399303E-11</v>
      </c>
      <c r="Q91">
        <v>64.696930994939805</v>
      </c>
      <c r="S91">
        <v>21.8056045271383</v>
      </c>
      <c r="AA91">
        <v>2.89370262245642</v>
      </c>
      <c r="AB91">
        <v>9.0047918579533306</v>
      </c>
      <c r="AC91">
        <v>1.5989699975120399</v>
      </c>
      <c r="AJ91">
        <v>0.77255512191453202</v>
      </c>
      <c r="AK91">
        <v>0.13718937755025101</v>
      </c>
      <c r="AL91">
        <v>9.0255500535216804E-2</v>
      </c>
    </row>
    <row r="92" spans="1:38" x14ac:dyDescent="0.2">
      <c r="A92">
        <v>133</v>
      </c>
      <c r="B92">
        <v>794</v>
      </c>
      <c r="C92">
        <v>100</v>
      </c>
      <c r="D92">
        <v>0.50963828890034402</v>
      </c>
      <c r="E92">
        <v>3.3336891646018998</v>
      </c>
      <c r="F92">
        <v>2.5683325944309301</v>
      </c>
      <c r="G92">
        <v>-54.501389982552389</v>
      </c>
      <c r="H92">
        <v>-46.857389390035557</v>
      </c>
      <c r="I92">
        <v>7.1630048189259599</v>
      </c>
      <c r="J92">
        <v>4.0431908202141802</v>
      </c>
      <c r="K92">
        <v>1.29799745244464</v>
      </c>
      <c r="L92">
        <v>3.0222143055175419E-5</v>
      </c>
      <c r="M92">
        <v>1.8038370600939768E-6</v>
      </c>
      <c r="N92" s="1">
        <v>-1.2998071976224801E-8</v>
      </c>
      <c r="O92" s="1">
        <v>1.1649057694261499E-11</v>
      </c>
      <c r="P92" s="1">
        <v>6.5558125496497496E-11</v>
      </c>
      <c r="Q92">
        <v>64.767825460137601</v>
      </c>
      <c r="S92">
        <v>21.748335935667701</v>
      </c>
      <c r="AA92">
        <v>2.8299131938452899</v>
      </c>
      <c r="AB92">
        <v>9.0126393144724002</v>
      </c>
      <c r="AC92">
        <v>1.64128609587685</v>
      </c>
      <c r="AJ92">
        <v>0.77319930859767405</v>
      </c>
      <c r="AK92">
        <v>0.13416009908099399</v>
      </c>
      <c r="AL92">
        <v>9.2640592321330803E-2</v>
      </c>
    </row>
    <row r="93" spans="1:38" x14ac:dyDescent="0.2">
      <c r="A93">
        <v>134</v>
      </c>
      <c r="B93">
        <v>792</v>
      </c>
      <c r="C93">
        <v>100</v>
      </c>
      <c r="D93">
        <v>0.50858611463174297</v>
      </c>
      <c r="E93">
        <v>3.9515706805272002</v>
      </c>
      <c r="F93">
        <v>2.56772562466938</v>
      </c>
      <c r="G93">
        <v>-64.576704883346252</v>
      </c>
      <c r="H93">
        <v>-55.541563610467328</v>
      </c>
      <c r="I93">
        <v>8.4825060065520503</v>
      </c>
      <c r="J93">
        <v>4.7930628840905696</v>
      </c>
      <c r="K93">
        <v>1.5389380557496299</v>
      </c>
      <c r="L93">
        <v>3.0269401637725032E-5</v>
      </c>
      <c r="M93">
        <v>1.8054821348088236E-6</v>
      </c>
      <c r="N93" s="1">
        <v>-1.6517871249700401E-8</v>
      </c>
      <c r="O93" s="1">
        <v>1.3818071230424101E-11</v>
      </c>
      <c r="P93" s="1">
        <v>8.0976066593573297E-11</v>
      </c>
      <c r="Q93">
        <v>64.835908807089098</v>
      </c>
      <c r="S93">
        <v>21.692782043343598</v>
      </c>
      <c r="AA93">
        <v>2.7681943455993299</v>
      </c>
      <c r="AB93">
        <v>9.01871765144395</v>
      </c>
      <c r="AC93">
        <v>1.68439715252397</v>
      </c>
      <c r="AJ93">
        <v>0.773698441777396</v>
      </c>
      <c r="AK93">
        <v>0.13123035359718799</v>
      </c>
      <c r="AL93">
        <v>9.5071204625414005E-2</v>
      </c>
    </row>
    <row r="94" spans="1:38" x14ac:dyDescent="0.2">
      <c r="A94">
        <v>135</v>
      </c>
      <c r="B94">
        <v>790</v>
      </c>
      <c r="C94">
        <v>100</v>
      </c>
      <c r="D94">
        <v>0.507529981658283</v>
      </c>
      <c r="E94">
        <v>5.0861855444231097</v>
      </c>
      <c r="F94">
        <v>2.5665423407154102</v>
      </c>
      <c r="G94">
        <v>-83.070558753922668</v>
      </c>
      <c r="H94">
        <v>-71.473748535508719</v>
      </c>
      <c r="I94">
        <v>10.9079717992888</v>
      </c>
      <c r="J94">
        <v>6.1694631793275798</v>
      </c>
      <c r="K94">
        <v>1.9817267238246099</v>
      </c>
      <c r="L94">
        <v>3.0318810372420369E-5</v>
      </c>
      <c r="M94">
        <v>1.8077146238894522E-6</v>
      </c>
      <c r="N94" s="1">
        <v>-2.2705297136866799E-8</v>
      </c>
      <c r="O94" s="1">
        <v>1.7816300538429099E-11</v>
      </c>
      <c r="P94" s="1">
        <v>1.08453397436034E-10</v>
      </c>
      <c r="Q94">
        <v>64.938527080409202</v>
      </c>
      <c r="S94">
        <v>21.601507722094102</v>
      </c>
      <c r="AA94">
        <v>2.6689475247966299</v>
      </c>
      <c r="AB94">
        <v>9.0081094717391501</v>
      </c>
      <c r="AC94">
        <v>1.78290820096078</v>
      </c>
      <c r="AJ94">
        <v>0.77283074557642695</v>
      </c>
      <c r="AK94">
        <v>0.126532346322279</v>
      </c>
      <c r="AL94">
        <v>0.100636908101292</v>
      </c>
    </row>
    <row r="95" spans="1:38" x14ac:dyDescent="0.2">
      <c r="A95">
        <v>136</v>
      </c>
      <c r="B95">
        <v>788</v>
      </c>
      <c r="C95">
        <v>100</v>
      </c>
      <c r="D95">
        <v>0.50646986759647905</v>
      </c>
      <c r="E95">
        <v>6.8938323686938503</v>
      </c>
      <c r="F95">
        <v>2.5645318272303199</v>
      </c>
      <c r="G95">
        <v>-112.49816263492379</v>
      </c>
      <c r="H95">
        <v>-96.823731122287285</v>
      </c>
      <c r="I95">
        <v>14.7711742097125</v>
      </c>
      <c r="J95">
        <v>8.3610108586727492</v>
      </c>
      <c r="K95">
        <v>2.6881445944615598</v>
      </c>
      <c r="L95">
        <v>3.036190095506864E-5</v>
      </c>
      <c r="M95">
        <v>1.8105311507375065E-6</v>
      </c>
      <c r="N95" s="1">
        <v>-3.2655484738177797E-8</v>
      </c>
      <c r="O95" s="1">
        <v>2.42240459171337E-11</v>
      </c>
      <c r="P95" s="1">
        <v>1.52456148584886E-10</v>
      </c>
      <c r="Q95">
        <v>65.082089946213898</v>
      </c>
      <c r="S95">
        <v>21.462668327076099</v>
      </c>
      <c r="AA95">
        <v>2.5209051701996898</v>
      </c>
      <c r="AB95">
        <v>8.9640460962592492</v>
      </c>
      <c r="AC95">
        <v>1.97029046025087</v>
      </c>
      <c r="AJ95">
        <v>0.76922120156426699</v>
      </c>
      <c r="AK95">
        <v>0.119540333758533</v>
      </c>
      <c r="AL95">
        <v>0.111238464677199</v>
      </c>
    </row>
    <row r="96" spans="1:38" x14ac:dyDescent="0.2">
      <c r="A96">
        <v>137</v>
      </c>
      <c r="B96">
        <v>786</v>
      </c>
      <c r="C96">
        <v>100</v>
      </c>
      <c r="D96">
        <v>0.50540574989378495</v>
      </c>
      <c r="E96">
        <v>8.8081418943313601</v>
      </c>
      <c r="F96">
        <v>2.56226468765909</v>
      </c>
      <c r="G96">
        <v>-143.59562837235529</v>
      </c>
      <c r="H96">
        <v>-123.62586307236126</v>
      </c>
      <c r="I96">
        <v>18.854520417310098</v>
      </c>
      <c r="J96">
        <v>10.6800632674602</v>
      </c>
      <c r="K96">
        <v>3.4376393417725102</v>
      </c>
      <c r="L96">
        <v>3.0388546764695187E-5</v>
      </c>
      <c r="M96">
        <v>1.8130803642398911E-6</v>
      </c>
      <c r="N96" s="1">
        <v>-4.4042227068550503E-8</v>
      </c>
      <c r="O96" s="1">
        <v>3.1058370224639697E-11</v>
      </c>
      <c r="P96" s="1">
        <v>2.0149140520724801E-10</v>
      </c>
      <c r="Q96">
        <v>65.223204640665301</v>
      </c>
      <c r="S96">
        <v>21.315523888401302</v>
      </c>
      <c r="AA96">
        <v>2.3665823168656099</v>
      </c>
      <c r="AB96">
        <v>8.8927543505081204</v>
      </c>
      <c r="AC96">
        <v>2.20193480355961</v>
      </c>
      <c r="AJ96">
        <v>0.76337639589100903</v>
      </c>
      <c r="AK96">
        <v>0.11226253295543701</v>
      </c>
      <c r="AL96">
        <v>0.12436107115355199</v>
      </c>
    </row>
    <row r="97" spans="1:38" x14ac:dyDescent="0.2">
      <c r="A97">
        <v>138</v>
      </c>
      <c r="B97">
        <v>784</v>
      </c>
      <c r="C97">
        <v>100</v>
      </c>
      <c r="D97">
        <v>0.50433760582698905</v>
      </c>
      <c r="E97">
        <v>10.9282622536997</v>
      </c>
      <c r="F97">
        <v>2.5595214504105099</v>
      </c>
      <c r="G97">
        <v>-177.94344339257219</v>
      </c>
      <c r="H97">
        <v>-153.2400707566581</v>
      </c>
      <c r="I97">
        <v>23.3678973049369</v>
      </c>
      <c r="J97">
        <v>13.2447671643097</v>
      </c>
      <c r="K97">
        <v>4.2696505832943599</v>
      </c>
      <c r="L97">
        <v>3.0389885321659113E-5</v>
      </c>
      <c r="M97">
        <v>1.8153273899091043E-6</v>
      </c>
      <c r="N97" s="1">
        <v>-5.7236710212538597E-8</v>
      </c>
      <c r="O97" s="1">
        <v>3.8695308171733803E-11</v>
      </c>
      <c r="P97" s="1">
        <v>2.57421086537969E-10</v>
      </c>
      <c r="Q97">
        <v>65.366391682288096</v>
      </c>
      <c r="S97">
        <v>21.1500965163963</v>
      </c>
      <c r="AA97">
        <v>2.19669230245032</v>
      </c>
      <c r="AB97">
        <v>8.7781496326455102</v>
      </c>
      <c r="AC97">
        <v>2.5086698662196798</v>
      </c>
      <c r="AJ97">
        <v>0.75397057342090701</v>
      </c>
      <c r="AK97">
        <v>0.10426329247341801</v>
      </c>
      <c r="AL97">
        <v>0.14176613410567299</v>
      </c>
    </row>
    <row r="98" spans="1:38" x14ac:dyDescent="0.2">
      <c r="A98">
        <v>139</v>
      </c>
      <c r="B98">
        <v>782</v>
      </c>
      <c r="C98">
        <v>100</v>
      </c>
      <c r="D98">
        <v>0.50326541250059598</v>
      </c>
      <c r="E98">
        <v>13.411830369310101</v>
      </c>
      <c r="F98">
        <v>2.5621397852095198</v>
      </c>
      <c r="G98">
        <v>-218.37742216510412</v>
      </c>
      <c r="H98">
        <v>-188.16168370773056</v>
      </c>
      <c r="I98">
        <v>28.6364388545453</v>
      </c>
      <c r="J98">
        <v>16.251473534034499</v>
      </c>
      <c r="K98">
        <v>5.2346208613334202</v>
      </c>
      <c r="L98">
        <v>3.0287541610435428E-5</v>
      </c>
      <c r="M98">
        <v>1.8097435884910584E-6</v>
      </c>
      <c r="N98" s="1">
        <v>-7.3791512200274806E-8</v>
      </c>
      <c r="O98" s="1">
        <v>4.7238737830470902E-11</v>
      </c>
      <c r="P98" s="1">
        <v>3.2647934939401301E-10</v>
      </c>
      <c r="Q98">
        <v>65.105262544838993</v>
      </c>
      <c r="S98">
        <v>21.3392015306861</v>
      </c>
      <c r="AA98">
        <v>2.4136367898795701</v>
      </c>
      <c r="AB98">
        <v>8.6920007313150602</v>
      </c>
      <c r="AC98">
        <v>2.4498984032801401</v>
      </c>
      <c r="AJ98">
        <v>0.74688753550153497</v>
      </c>
      <c r="AK98">
        <v>0.114608852651561</v>
      </c>
      <c r="AL98">
        <v>0.13850361184690299</v>
      </c>
    </row>
    <row r="99" spans="1:38" x14ac:dyDescent="0.2">
      <c r="A99">
        <v>140</v>
      </c>
      <c r="B99">
        <v>780</v>
      </c>
      <c r="C99">
        <v>100</v>
      </c>
      <c r="D99">
        <v>0.50218914684517901</v>
      </c>
      <c r="E99">
        <v>15.437180324881499</v>
      </c>
      <c r="F99">
        <v>2.5662455296477602</v>
      </c>
      <c r="G99">
        <v>-251.4714384565566</v>
      </c>
      <c r="H99">
        <v>-216.81105596810917</v>
      </c>
      <c r="I99">
        <v>32.911154620374397</v>
      </c>
      <c r="J99">
        <v>18.707619395126301</v>
      </c>
      <c r="K99">
        <v>6.0154728557872401</v>
      </c>
      <c r="L99">
        <v>3.0195524438028426E-5</v>
      </c>
      <c r="M99">
        <v>1.8029022827763772E-6</v>
      </c>
      <c r="N99" s="1">
        <v>-9.0024133838689599E-8</v>
      </c>
      <c r="O99" s="1">
        <v>5.39354106953301E-11</v>
      </c>
      <c r="P99" s="1">
        <v>3.91011789499374E-10</v>
      </c>
      <c r="Q99">
        <v>64.763778209760204</v>
      </c>
      <c r="S99">
        <v>21.617940888211699</v>
      </c>
      <c r="AA99">
        <v>2.72328031510167</v>
      </c>
      <c r="AB99">
        <v>8.6617726645926698</v>
      </c>
      <c r="AC99">
        <v>2.23322792233362</v>
      </c>
      <c r="AJ99">
        <v>0.74439706836490105</v>
      </c>
      <c r="AK99">
        <v>0.12933051594280201</v>
      </c>
      <c r="AL99">
        <v>0.126272415692296</v>
      </c>
    </row>
    <row r="100" spans="1:38" x14ac:dyDescent="0.2">
      <c r="A100">
        <v>141</v>
      </c>
      <c r="B100">
        <v>778</v>
      </c>
      <c r="C100">
        <v>100</v>
      </c>
      <c r="D100">
        <v>0.501108785615755</v>
      </c>
      <c r="E100">
        <v>16.4338126285692</v>
      </c>
      <c r="F100">
        <v>2.56806589516603</v>
      </c>
      <c r="G100">
        <v>-267.71905613041861</v>
      </c>
      <c r="H100">
        <v>-230.93814183499833</v>
      </c>
      <c r="I100">
        <v>34.991118580050703</v>
      </c>
      <c r="J100">
        <v>19.918639607961399</v>
      </c>
      <c r="K100">
        <v>6.3992955396912699</v>
      </c>
      <c r="L100">
        <v>3.0175000439082518E-5</v>
      </c>
      <c r="M100">
        <v>1.8000880558081536E-6</v>
      </c>
      <c r="N100" s="1">
        <v>-1.01913474752866E-7</v>
      </c>
      <c r="O100" s="1">
        <v>5.7185500094852703E-11</v>
      </c>
      <c r="P100" s="1">
        <v>4.3419145325715702E-10</v>
      </c>
      <c r="Q100">
        <v>64.617663457236105</v>
      </c>
      <c r="S100">
        <v>21.737116901217998</v>
      </c>
      <c r="AA100">
        <v>2.8556956260814998</v>
      </c>
      <c r="AB100">
        <v>8.6485991849873507</v>
      </c>
      <c r="AC100">
        <v>2.1409248304769699</v>
      </c>
      <c r="AJ100">
        <v>0.74331153192581301</v>
      </c>
      <c r="AK100">
        <v>0.13562751571896001</v>
      </c>
      <c r="AL100">
        <v>0.121060952355226</v>
      </c>
    </row>
    <row r="101" spans="1:38" x14ac:dyDescent="0.2">
      <c r="A101">
        <v>142</v>
      </c>
      <c r="B101">
        <v>776</v>
      </c>
      <c r="C101">
        <v>100</v>
      </c>
      <c r="D101">
        <v>0.50002430539008103</v>
      </c>
      <c r="E101">
        <v>17.0003062617129</v>
      </c>
      <c r="F101">
        <v>2.56909926253992</v>
      </c>
      <c r="G101">
        <v>-276.92426880578819</v>
      </c>
      <c r="H101">
        <v>-238.99281974730476</v>
      </c>
      <c r="I101">
        <v>36.154457473653302</v>
      </c>
      <c r="J101">
        <v>20.609781195774499</v>
      </c>
      <c r="K101">
        <v>6.6172243749374102</v>
      </c>
      <c r="L101">
        <v>3.0184921374245838E-5</v>
      </c>
      <c r="M101">
        <v>1.7988001629313076E-6</v>
      </c>
      <c r="N101" s="1">
        <v>-1.12291464272825E-7</v>
      </c>
      <c r="O101" s="1">
        <v>5.8999065378207306E-11</v>
      </c>
      <c r="P101" s="1">
        <v>4.6931354572693095E-10</v>
      </c>
      <c r="Q101">
        <v>64.543255632987893</v>
      </c>
      <c r="S101">
        <v>21.7993081251178</v>
      </c>
      <c r="AA101">
        <v>2.9243660711542301</v>
      </c>
      <c r="AB101">
        <v>8.6458277171025397</v>
      </c>
      <c r="AC101">
        <v>2.0872424536374101</v>
      </c>
      <c r="AJ101">
        <v>0.74308248502989005</v>
      </c>
      <c r="AK101">
        <v>0.138890638501494</v>
      </c>
      <c r="AL101">
        <v>0.118026876468615</v>
      </c>
    </row>
    <row r="102" spans="1:38" x14ac:dyDescent="0.2">
      <c r="A102">
        <v>143</v>
      </c>
      <c r="B102">
        <v>774</v>
      </c>
      <c r="C102">
        <v>100</v>
      </c>
      <c r="D102">
        <v>0.49893568256697302</v>
      </c>
      <c r="E102">
        <v>17.383851228033599</v>
      </c>
      <c r="F102">
        <v>2.56980631490016</v>
      </c>
      <c r="G102">
        <v>-283.13322414687815</v>
      </c>
      <c r="H102">
        <v>-244.46421522748156</v>
      </c>
      <c r="I102">
        <v>36.9278603059701</v>
      </c>
      <c r="J102">
        <v>21.080247092739299</v>
      </c>
      <c r="K102">
        <v>6.76465425710846</v>
      </c>
      <c r="L102">
        <v>3.0209559953553121E-5</v>
      </c>
      <c r="M102">
        <v>1.798171588828401E-6</v>
      </c>
      <c r="N102" s="1">
        <v>-1.22369397527866E-7</v>
      </c>
      <c r="O102" s="1">
        <v>6.0201866535649505E-11</v>
      </c>
      <c r="P102" s="1">
        <v>5.0198937029746296E-10</v>
      </c>
      <c r="Q102">
        <v>64.499308643465696</v>
      </c>
      <c r="S102">
        <v>21.8375253601099</v>
      </c>
      <c r="AA102">
        <v>2.9661501105470598</v>
      </c>
      <c r="AB102">
        <v>8.6480856574070408</v>
      </c>
      <c r="AC102">
        <v>2.04893022847018</v>
      </c>
      <c r="AJ102">
        <v>0.74326753079777497</v>
      </c>
      <c r="AK102">
        <v>0.14087343197312699</v>
      </c>
      <c r="AL102">
        <v>0.115859037229097</v>
      </c>
    </row>
    <row r="103" spans="1:38" x14ac:dyDescent="0.2">
      <c r="A103">
        <v>144</v>
      </c>
      <c r="B103">
        <v>772</v>
      </c>
      <c r="C103">
        <v>100</v>
      </c>
      <c r="D103">
        <v>0.49784289336458698</v>
      </c>
      <c r="E103">
        <v>17.6748270849336</v>
      </c>
      <c r="F103">
        <v>2.5703475173041399</v>
      </c>
      <c r="G103">
        <v>-287.82548570428412</v>
      </c>
      <c r="H103">
        <v>-248.62843569314839</v>
      </c>
      <c r="I103">
        <v>37.503755452457199</v>
      </c>
      <c r="J103">
        <v>21.439414228745299</v>
      </c>
      <c r="K103">
        <v>6.8764347878809602</v>
      </c>
      <c r="L103">
        <v>3.0243123038002955E-5</v>
      </c>
      <c r="M103">
        <v>1.7978879432528624E-6</v>
      </c>
      <c r="N103" s="1">
        <v>-1.3261353970252401E-7</v>
      </c>
      <c r="O103" s="1">
        <v>6.1094174663693494E-11</v>
      </c>
      <c r="P103" s="1">
        <v>5.3433675926871596E-10</v>
      </c>
      <c r="Q103">
        <v>64.471043100755693</v>
      </c>
      <c r="S103">
        <v>21.863456866448701</v>
      </c>
      <c r="AA103">
        <v>2.99413924677066</v>
      </c>
      <c r="AB103">
        <v>8.6530802262086404</v>
      </c>
      <c r="AC103">
        <v>2.0182805598161799</v>
      </c>
      <c r="AJ103">
        <v>0.74367786642074596</v>
      </c>
      <c r="AK103">
        <v>0.14219912043997099</v>
      </c>
      <c r="AL103">
        <v>0.114123013139282</v>
      </c>
    </row>
    <row r="104" spans="1:38" x14ac:dyDescent="0.2">
      <c r="A104">
        <v>145</v>
      </c>
      <c r="B104">
        <v>770</v>
      </c>
      <c r="C104">
        <v>100</v>
      </c>
      <c r="D104">
        <v>0.49674591381872402</v>
      </c>
      <c r="E104">
        <v>17.9126282816305</v>
      </c>
      <c r="F104">
        <v>2.5707921673199601</v>
      </c>
      <c r="G104">
        <v>-291.64605816902497</v>
      </c>
      <c r="H104">
        <v>-252.04184359873898</v>
      </c>
      <c r="I104">
        <v>37.965982428496297</v>
      </c>
      <c r="J104">
        <v>21.7349713425088</v>
      </c>
      <c r="K104">
        <v>6.9677465605103102</v>
      </c>
      <c r="L104">
        <v>3.0283104316260119E-5</v>
      </c>
      <c r="M104">
        <v>1.7978108176364694E-6</v>
      </c>
      <c r="N104" s="1">
        <v>-1.43252230835687E-7</v>
      </c>
      <c r="O104" s="1">
        <v>6.1806209015903303E-11</v>
      </c>
      <c r="P104" s="1">
        <v>5.6734946458205604E-10</v>
      </c>
      <c r="Q104">
        <v>64.451982605202005</v>
      </c>
      <c r="S104">
        <v>21.8821935107568</v>
      </c>
      <c r="AA104">
        <v>3.0140446762364701</v>
      </c>
      <c r="AB104">
        <v>8.6597254828335704</v>
      </c>
      <c r="AC104">
        <v>1.9920537249711301</v>
      </c>
      <c r="AJ104">
        <v>0.74422406143088904</v>
      </c>
      <c r="AK104">
        <v>0.143139685247691</v>
      </c>
      <c r="AL104">
        <v>0.11263625332141899</v>
      </c>
    </row>
    <row r="105" spans="1:38" x14ac:dyDescent="0.2">
      <c r="A105">
        <v>146</v>
      </c>
      <c r="B105">
        <v>768</v>
      </c>
      <c r="C105">
        <v>100</v>
      </c>
      <c r="D105">
        <v>0.49564471978101199</v>
      </c>
      <c r="E105">
        <v>18.1169820994267</v>
      </c>
      <c r="F105">
        <v>2.5711750921611198</v>
      </c>
      <c r="G105">
        <v>-294.91798325096926</v>
      </c>
      <c r="H105">
        <v>-254.98309972140359</v>
      </c>
      <c r="I105">
        <v>38.356513018840403</v>
      </c>
      <c r="J105">
        <v>21.990820197813701</v>
      </c>
      <c r="K105">
        <v>7.0461876185176502</v>
      </c>
      <c r="L105">
        <v>3.0328299674051621E-5</v>
      </c>
      <c r="M105">
        <v>1.7978699934567029E-6</v>
      </c>
      <c r="N105" s="1">
        <v>-1.5442523308495601E-7</v>
      </c>
      <c r="O105" s="1">
        <v>6.2402794113406096E-11</v>
      </c>
      <c r="P105" s="1">
        <v>6.0159646646224702E-10</v>
      </c>
      <c r="Q105">
        <v>64.438843212417197</v>
      </c>
      <c r="S105">
        <v>21.896307128817899</v>
      </c>
      <c r="AA105">
        <v>3.0287544533281401</v>
      </c>
      <c r="AB105">
        <v>8.6674457351618006</v>
      </c>
      <c r="AC105">
        <v>1.9686494702747801</v>
      </c>
      <c r="AJ105">
        <v>0.74485870257711195</v>
      </c>
      <c r="AK105">
        <v>0.14383269599889401</v>
      </c>
      <c r="AL105">
        <v>0.111308601423992</v>
      </c>
    </row>
    <row r="106" spans="1:38" x14ac:dyDescent="0.2">
      <c r="A106">
        <v>147</v>
      </c>
      <c r="B106">
        <v>766</v>
      </c>
      <c r="C106">
        <v>100</v>
      </c>
      <c r="D106">
        <v>0.49453928691719501</v>
      </c>
      <c r="E106">
        <v>18.298833323600999</v>
      </c>
      <c r="F106">
        <v>2.5715157978966499</v>
      </c>
      <c r="G106">
        <v>-297.82051198765748</v>
      </c>
      <c r="H106">
        <v>-257.60683222327674</v>
      </c>
      <c r="I106">
        <v>38.698628460165203</v>
      </c>
      <c r="J106">
        <v>22.220244566326201</v>
      </c>
      <c r="K106">
        <v>7.1159715754297101</v>
      </c>
      <c r="L106">
        <v>3.0378105384182764E-5</v>
      </c>
      <c r="M106">
        <v>1.7980260397306463E-6</v>
      </c>
      <c r="N106" s="1">
        <v>-1.6623551957381901E-7</v>
      </c>
      <c r="O106" s="1">
        <v>6.2919608009550906E-11</v>
      </c>
      <c r="P106" s="1">
        <v>6.3746469582119298E-10</v>
      </c>
      <c r="Q106">
        <v>64.429774866614295</v>
      </c>
      <c r="S106">
        <v>21.907242980253098</v>
      </c>
      <c r="AA106">
        <v>3.0398926172571898</v>
      </c>
      <c r="AB106">
        <v>8.6759071690602703</v>
      </c>
      <c r="AC106">
        <v>1.9471823668149999</v>
      </c>
      <c r="AJ106">
        <v>0.745554295743036</v>
      </c>
      <c r="AK106">
        <v>0.14435552594012199</v>
      </c>
      <c r="AL106">
        <v>0.11009017831684099</v>
      </c>
    </row>
    <row r="107" spans="1:38" x14ac:dyDescent="0.2">
      <c r="A107">
        <v>148</v>
      </c>
      <c r="B107">
        <v>764</v>
      </c>
      <c r="C107">
        <v>100</v>
      </c>
      <c r="D107">
        <v>0.49342959070530001</v>
      </c>
      <c r="E107">
        <v>18.464741023475099</v>
      </c>
      <c r="F107">
        <v>2.5718261241183602</v>
      </c>
      <c r="G107">
        <v>-300.46108312142485</v>
      </c>
      <c r="H107">
        <v>-260.00572134595399</v>
      </c>
      <c r="I107">
        <v>39.006278528149998</v>
      </c>
      <c r="J107">
        <v>22.431228843862002</v>
      </c>
      <c r="K107">
        <v>7.1796226231292897</v>
      </c>
      <c r="L107">
        <v>3.0432230106569262E-5</v>
      </c>
      <c r="M107">
        <v>1.7982551116020307E-6</v>
      </c>
      <c r="N107" s="1">
        <v>-1.78770293121513E-7</v>
      </c>
      <c r="O107" s="1">
        <v>6.3377785591617397E-11</v>
      </c>
      <c r="P107" s="1">
        <v>6.7525733618519299E-10</v>
      </c>
      <c r="Q107">
        <v>64.423650244825595</v>
      </c>
      <c r="S107">
        <v>21.9158801551099</v>
      </c>
      <c r="AA107">
        <v>3.0484474717171399</v>
      </c>
      <c r="AB107">
        <v>8.6849022545897991</v>
      </c>
      <c r="AC107">
        <v>1.92711987375739</v>
      </c>
      <c r="AJ107">
        <v>0.74629374718438202</v>
      </c>
      <c r="AK107">
        <v>0.14475526684732901</v>
      </c>
      <c r="AL107">
        <v>0.10895098596828801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52166-069A-4F58-877B-6469EB8DD106}">
  <sheetPr codeName="Sheet10"/>
  <dimension ref="A1:AL7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14</v>
      </c>
      <c r="B2">
        <v>734</v>
      </c>
      <c r="C2">
        <v>300</v>
      </c>
      <c r="D2">
        <v>0.25781710768008598</v>
      </c>
      <c r="E2">
        <v>14.1961738837672</v>
      </c>
      <c r="F2">
        <v>2.5846637025160799</v>
      </c>
      <c r="G2">
        <v>-229.17837785558086</v>
      </c>
      <c r="H2">
        <v>-199.51858011135965</v>
      </c>
      <c r="I2">
        <v>29.449235708902499</v>
      </c>
      <c r="J2">
        <v>17.535083888315299</v>
      </c>
      <c r="K2">
        <v>5.4924645979853004</v>
      </c>
      <c r="L2">
        <v>3.2413153630778024E-5</v>
      </c>
      <c r="M2">
        <v>1.7953288764074566E-6</v>
      </c>
      <c r="N2" s="1">
        <v>-4.3412955108112198E-7</v>
      </c>
      <c r="O2" s="1">
        <v>4.6148375374204401E-11</v>
      </c>
      <c r="P2" s="1">
        <v>1.3698073466947201E-9</v>
      </c>
      <c r="Q2">
        <v>64.443556976193605</v>
      </c>
      <c r="S2">
        <v>21.9578861963886</v>
      </c>
      <c r="AA2">
        <v>3.0784579222572401</v>
      </c>
      <c r="AB2">
        <v>8.8393876364571096</v>
      </c>
      <c r="AC2">
        <v>1.6807112687032699</v>
      </c>
      <c r="AJ2">
        <v>0.75898494080932799</v>
      </c>
      <c r="AK2">
        <v>0.14606796932823099</v>
      </c>
      <c r="AL2">
        <v>9.4947089862440298E-2</v>
      </c>
    </row>
    <row r="3" spans="1:38" x14ac:dyDescent="0.2">
      <c r="A3">
        <v>15</v>
      </c>
      <c r="B3">
        <v>732</v>
      </c>
      <c r="C3">
        <v>300</v>
      </c>
      <c r="D3">
        <v>0.256201064517732</v>
      </c>
      <c r="E3">
        <v>18.026392123107499</v>
      </c>
      <c r="F3">
        <v>2.5840273604602801</v>
      </c>
      <c r="G3">
        <v>-290.91814477997508</v>
      </c>
      <c r="H3">
        <v>-253.36907232420714</v>
      </c>
      <c r="I3">
        <v>37.3566855253125</v>
      </c>
      <c r="J3">
        <v>22.307153110355301</v>
      </c>
      <c r="K3">
        <v>6.9760840767168002</v>
      </c>
      <c r="L3">
        <v>3.2641359096855043E-5</v>
      </c>
      <c r="M3">
        <v>1.7982110640258905E-6</v>
      </c>
      <c r="N3" s="1">
        <v>-5.9050186762579196E-7</v>
      </c>
      <c r="O3" s="1">
        <v>5.8385047652849605E-11</v>
      </c>
      <c r="P3" s="1">
        <v>1.8501948854932E-9</v>
      </c>
      <c r="Q3">
        <v>64.539648962044396</v>
      </c>
      <c r="S3">
        <v>21.890021092899101</v>
      </c>
      <c r="AA3">
        <v>3.0000467657586301</v>
      </c>
      <c r="AB3">
        <v>8.8756062828159106</v>
      </c>
      <c r="AC3">
        <v>1.6946768964818399</v>
      </c>
      <c r="AJ3">
        <v>0.761958929617089</v>
      </c>
      <c r="AK3">
        <v>0.14232210193657899</v>
      </c>
      <c r="AL3">
        <v>9.5718968446331196E-2</v>
      </c>
    </row>
    <row r="4" spans="1:38" x14ac:dyDescent="0.2">
      <c r="A4">
        <v>16</v>
      </c>
      <c r="B4">
        <v>730</v>
      </c>
      <c r="C4">
        <v>300</v>
      </c>
      <c r="D4">
        <v>0.25457857748093798</v>
      </c>
      <c r="E4">
        <v>19.358297244210402</v>
      </c>
      <c r="F4">
        <v>2.5839457036290998</v>
      </c>
      <c r="G4">
        <v>-312.33444906991275</v>
      </c>
      <c r="H4">
        <v>-272.13653082230087</v>
      </c>
      <c r="I4">
        <v>40.0716924164999</v>
      </c>
      <c r="J4">
        <v>23.9993787056065</v>
      </c>
      <c r="K4">
        <v>7.4917585214821196</v>
      </c>
      <c r="L4">
        <v>3.284801578099162E-5</v>
      </c>
      <c r="M4">
        <v>1.7997775893126998E-6</v>
      </c>
      <c r="N4" s="1">
        <v>-6.7772813077484103E-7</v>
      </c>
      <c r="O4" s="1">
        <v>6.2383938801432801E-11</v>
      </c>
      <c r="P4" s="1">
        <v>2.1096918252706499E-9</v>
      </c>
      <c r="Q4">
        <v>64.5761142534692</v>
      </c>
      <c r="S4">
        <v>21.866532482375</v>
      </c>
      <c r="AA4">
        <v>2.9721597443306398</v>
      </c>
      <c r="AB4">
        <v>8.89528878334872</v>
      </c>
      <c r="AC4">
        <v>1.68990473647629</v>
      </c>
      <c r="AJ4">
        <v>0.76357441480953003</v>
      </c>
      <c r="AK4">
        <v>0.14098543677523401</v>
      </c>
      <c r="AL4">
        <v>9.5440148415234197E-2</v>
      </c>
    </row>
    <row r="5" spans="1:38" x14ac:dyDescent="0.2">
      <c r="A5">
        <v>17</v>
      </c>
      <c r="B5">
        <v>728</v>
      </c>
      <c r="C5">
        <v>300</v>
      </c>
      <c r="D5">
        <v>0.25294960795086002</v>
      </c>
      <c r="E5">
        <v>20.096143016739401</v>
      </c>
      <c r="F5">
        <v>2.5839996604622599</v>
      </c>
      <c r="G5">
        <v>-324.16330994871601</v>
      </c>
      <c r="H5">
        <v>-282.56455189670254</v>
      </c>
      <c r="I5">
        <v>41.550974431417302</v>
      </c>
      <c r="J5">
        <v>24.962267841395299</v>
      </c>
      <c r="K5">
        <v>7.7771461522345504</v>
      </c>
      <c r="L5">
        <v>3.3058892299437898E-5</v>
      </c>
      <c r="M5">
        <v>1.8010538869765634E-6</v>
      </c>
      <c r="N5" s="1">
        <v>-7.5130569054956896E-7</v>
      </c>
      <c r="O5" s="1">
        <v>6.43978777161083E-11</v>
      </c>
      <c r="P5" s="1">
        <v>2.3242538127265502E-9</v>
      </c>
      <c r="Q5">
        <v>64.598169226592503</v>
      </c>
      <c r="S5">
        <v>21.8537817075417</v>
      </c>
      <c r="AA5">
        <v>2.95649399806811</v>
      </c>
      <c r="AB5">
        <v>8.9110092944742192</v>
      </c>
      <c r="AC5">
        <v>1.68054577332333</v>
      </c>
      <c r="AJ5">
        <v>0.76486437680282304</v>
      </c>
      <c r="AK5">
        <v>0.14023141932737701</v>
      </c>
      <c r="AL5">
        <v>9.49042038697991E-2</v>
      </c>
    </row>
    <row r="6" spans="1:38" x14ac:dyDescent="0.2">
      <c r="A6">
        <v>18</v>
      </c>
      <c r="B6">
        <v>726</v>
      </c>
      <c r="C6">
        <v>300</v>
      </c>
      <c r="D6">
        <v>0.251314116999449</v>
      </c>
      <c r="E6">
        <v>20.5903104150016</v>
      </c>
      <c r="F6">
        <v>2.58410866205524</v>
      </c>
      <c r="G6">
        <v>-332.05923053708472</v>
      </c>
      <c r="H6">
        <v>-289.57251724586035</v>
      </c>
      <c r="I6">
        <v>42.522857720286602</v>
      </c>
      <c r="J6">
        <v>25.6285504190969</v>
      </c>
      <c r="K6">
        <v>7.9680513119852403</v>
      </c>
      <c r="L6">
        <v>3.3279460628307847E-5</v>
      </c>
      <c r="M6">
        <v>1.802236811267528E-6</v>
      </c>
      <c r="N6" s="1">
        <v>-8.2144189674067899E-7</v>
      </c>
      <c r="O6" s="1">
        <v>6.5581198611255494E-11</v>
      </c>
      <c r="P6" s="1">
        <v>2.5261822018124701E-9</v>
      </c>
      <c r="Q6">
        <v>64.614448671620096</v>
      </c>
      <c r="S6">
        <v>21.845328653691698</v>
      </c>
      <c r="AA6">
        <v>2.9457215561465802</v>
      </c>
      <c r="AB6">
        <v>8.9251263852094294</v>
      </c>
      <c r="AC6">
        <v>1.6693747333320801</v>
      </c>
      <c r="AJ6">
        <v>0.76602254339115305</v>
      </c>
      <c r="AK6">
        <v>0.13971069696611399</v>
      </c>
      <c r="AL6">
        <v>9.4266759642731401E-2</v>
      </c>
    </row>
    <row r="7" spans="1:38" x14ac:dyDescent="0.2">
      <c r="A7">
        <v>19</v>
      </c>
      <c r="B7">
        <v>724</v>
      </c>
      <c r="C7">
        <v>300</v>
      </c>
      <c r="D7">
        <v>0.249672065386352</v>
      </c>
      <c r="E7">
        <v>20.958569449172401</v>
      </c>
      <c r="F7">
        <v>2.5842458462759801</v>
      </c>
      <c r="G7">
        <v>-337.92271695182757</v>
      </c>
      <c r="H7">
        <v>-294.813734314844</v>
      </c>
      <c r="I7">
        <v>43.232194390997897</v>
      </c>
      <c r="J7">
        <v>26.143837778366098</v>
      </c>
      <c r="K7">
        <v>8.1101298776874096</v>
      </c>
      <c r="L7">
        <v>3.3512023443984886E-5</v>
      </c>
      <c r="M7">
        <v>1.8033931427553292E-6</v>
      </c>
      <c r="N7" s="1">
        <v>-8.9152114251890498E-7</v>
      </c>
      <c r="O7" s="1">
        <v>6.6323028441068303E-11</v>
      </c>
      <c r="P7" s="1">
        <v>2.7261412692249702E-9</v>
      </c>
      <c r="Q7">
        <v>64.627827477749094</v>
      </c>
      <c r="S7">
        <v>21.839026821573899</v>
      </c>
      <c r="AA7">
        <v>2.9374007186136</v>
      </c>
      <c r="AB7">
        <v>8.9384192651341294</v>
      </c>
      <c r="AC7">
        <v>1.65732571692915</v>
      </c>
      <c r="AJ7">
        <v>0.767112913674315</v>
      </c>
      <c r="AK7">
        <v>0.13930687790525301</v>
      </c>
      <c r="AL7">
        <v>9.3580208420430203E-2</v>
      </c>
    </row>
    <row r="8" spans="1:38" x14ac:dyDescent="0.2">
      <c r="A8">
        <v>31</v>
      </c>
      <c r="B8">
        <v>738</v>
      </c>
      <c r="C8">
        <v>275</v>
      </c>
      <c r="D8">
        <v>0.28822677149780002</v>
      </c>
      <c r="E8">
        <v>13.4414379488141</v>
      </c>
      <c r="F8">
        <v>2.58261822133601</v>
      </c>
      <c r="G8">
        <v>-217.20346709868491</v>
      </c>
      <c r="H8">
        <v>-188.93676575001081</v>
      </c>
      <c r="I8">
        <v>27.955003064504801</v>
      </c>
      <c r="J8">
        <v>16.545960139234399</v>
      </c>
      <c r="K8">
        <v>5.2045779890226296</v>
      </c>
      <c r="L8">
        <v>3.2047826110623498E-5</v>
      </c>
      <c r="M8">
        <v>1.7962199416933281E-6</v>
      </c>
      <c r="N8" s="1">
        <v>-3.5288849355542901E-7</v>
      </c>
      <c r="O8" s="1">
        <v>4.42202675475331E-11</v>
      </c>
      <c r="P8" s="1">
        <v>1.1318930650817099E-9</v>
      </c>
      <c r="Q8">
        <v>64.483498534981194</v>
      </c>
      <c r="S8">
        <v>21.9205604825957</v>
      </c>
      <c r="AA8">
        <v>3.0383440094863299</v>
      </c>
      <c r="AB8">
        <v>8.8305410472524297</v>
      </c>
      <c r="AC8">
        <v>1.72705592568419</v>
      </c>
      <c r="AJ8">
        <v>0.75825933267416801</v>
      </c>
      <c r="AK8">
        <v>0.14417109112902701</v>
      </c>
      <c r="AL8">
        <v>9.7569576196803898E-2</v>
      </c>
    </row>
    <row r="9" spans="1:38" x14ac:dyDescent="0.2">
      <c r="A9">
        <v>32</v>
      </c>
      <c r="B9">
        <v>736</v>
      </c>
      <c r="C9">
        <v>275</v>
      </c>
      <c r="D9">
        <v>0.28667740177377199</v>
      </c>
      <c r="E9">
        <v>17.715168136938399</v>
      </c>
      <c r="F9">
        <v>2.5822513727207501</v>
      </c>
      <c r="G9">
        <v>-286.18087516148944</v>
      </c>
      <c r="H9">
        <v>-249.03974106227855</v>
      </c>
      <c r="I9">
        <v>36.804374076411598</v>
      </c>
      <c r="J9">
        <v>21.8400204095982</v>
      </c>
      <c r="K9">
        <v>6.8603577188819704</v>
      </c>
      <c r="L9">
        <v>3.2234338287480842E-5</v>
      </c>
      <c r="M9">
        <v>1.7983497059774606E-6</v>
      </c>
      <c r="N9" s="1">
        <v>-4.9772195643977203E-7</v>
      </c>
      <c r="O9" s="1">
        <v>5.80811053134919E-11</v>
      </c>
      <c r="P9" s="1">
        <v>1.5843120103087099E-9</v>
      </c>
      <c r="Q9">
        <v>64.549672926289603</v>
      </c>
      <c r="S9">
        <v>21.874817471401801</v>
      </c>
      <c r="AA9">
        <v>2.9851646673304701</v>
      </c>
      <c r="AB9">
        <v>8.8580858793121706</v>
      </c>
      <c r="AC9">
        <v>1.73225905566579</v>
      </c>
      <c r="AJ9">
        <v>0.76052128745742298</v>
      </c>
      <c r="AK9">
        <v>0.14162847250938099</v>
      </c>
      <c r="AL9">
        <v>9.7850240033194702E-2</v>
      </c>
    </row>
    <row r="10" spans="1:38" x14ac:dyDescent="0.2">
      <c r="A10">
        <v>33</v>
      </c>
      <c r="B10">
        <v>734</v>
      </c>
      <c r="C10">
        <v>275</v>
      </c>
      <c r="D10">
        <v>0.28512187856823701</v>
      </c>
      <c r="E10">
        <v>19.093355909264002</v>
      </c>
      <c r="F10">
        <v>2.5822866385016598</v>
      </c>
      <c r="G10">
        <v>-308.37199518454912</v>
      </c>
      <c r="H10">
        <v>-268.46602276171757</v>
      </c>
      <c r="I10">
        <v>39.622670329972202</v>
      </c>
      <c r="J10">
        <v>23.575523796675601</v>
      </c>
      <c r="K10">
        <v>7.3939723129817496</v>
      </c>
      <c r="L10">
        <v>3.2407855068607313E-5</v>
      </c>
      <c r="M10">
        <v>1.7995486814221737E-6</v>
      </c>
      <c r="N10" s="1">
        <v>-5.7325987951682596E-7</v>
      </c>
      <c r="O10" s="1">
        <v>6.2319881199070902E-11</v>
      </c>
      <c r="P10" s="1">
        <v>1.81174959944287E-9</v>
      </c>
      <c r="Q10">
        <v>64.573212365770004</v>
      </c>
      <c r="S10">
        <v>21.860949826932799</v>
      </c>
      <c r="AA10">
        <v>2.9682311122521998</v>
      </c>
      <c r="AB10">
        <v>8.8741864251673999</v>
      </c>
      <c r="AC10">
        <v>1.7234202698775301</v>
      </c>
      <c r="AJ10">
        <v>0.76184293276334003</v>
      </c>
      <c r="AK10">
        <v>0.14081385835249499</v>
      </c>
      <c r="AL10">
        <v>9.7343208884164104E-2</v>
      </c>
    </row>
    <row r="11" spans="1:38" x14ac:dyDescent="0.2">
      <c r="A11">
        <v>34</v>
      </c>
      <c r="B11">
        <v>732</v>
      </c>
      <c r="C11">
        <v>275</v>
      </c>
      <c r="D11">
        <v>0.28356016514948101</v>
      </c>
      <c r="E11">
        <v>19.8318762488883</v>
      </c>
      <c r="F11">
        <v>2.5824046472891999</v>
      </c>
      <c r="G11">
        <v>-320.22744775454976</v>
      </c>
      <c r="H11">
        <v>-278.90797650127234</v>
      </c>
      <c r="I11">
        <v>41.107766257053498</v>
      </c>
      <c r="J11">
        <v>24.527519040473599</v>
      </c>
      <c r="K11">
        <v>7.6796160778699996</v>
      </c>
      <c r="L11">
        <v>3.258720191836347E-5</v>
      </c>
      <c r="M11">
        <v>1.8005828573904427E-6</v>
      </c>
      <c r="N11" s="1">
        <v>-6.36078864115951E-7</v>
      </c>
      <c r="O11" s="1">
        <v>6.4410471805641599E-11</v>
      </c>
      <c r="P11" s="1">
        <v>1.9966068377139298E-9</v>
      </c>
      <c r="Q11">
        <v>64.588073753684398</v>
      </c>
      <c r="S11">
        <v>21.853566933136801</v>
      </c>
      <c r="AA11">
        <v>2.95867244757412</v>
      </c>
      <c r="AB11">
        <v>8.8879490153711806</v>
      </c>
      <c r="AC11">
        <v>1.71173785023335</v>
      </c>
      <c r="AJ11">
        <v>0.76297241492479395</v>
      </c>
      <c r="AK11">
        <v>0.14035082166608201</v>
      </c>
      <c r="AL11">
        <v>9.66767634091239E-2</v>
      </c>
    </row>
    <row r="12" spans="1:38" x14ac:dyDescent="0.2">
      <c r="A12">
        <v>35</v>
      </c>
      <c r="B12">
        <v>730</v>
      </c>
      <c r="C12">
        <v>275</v>
      </c>
      <c r="D12">
        <v>0.28199222449285299</v>
      </c>
      <c r="E12">
        <v>20.319876357643398</v>
      </c>
      <c r="F12">
        <v>2.5825540549320198</v>
      </c>
      <c r="G12">
        <v>-328.03462321487518</v>
      </c>
      <c r="H12">
        <v>-285.83187776356874</v>
      </c>
      <c r="I12">
        <v>42.070224244934899</v>
      </c>
      <c r="J12">
        <v>25.174925283495501</v>
      </c>
      <c r="K12">
        <v>7.8681320605226599</v>
      </c>
      <c r="L12">
        <v>3.2775962107969157E-5</v>
      </c>
      <c r="M12">
        <v>1.8015762772877784E-6</v>
      </c>
      <c r="N12" s="1">
        <v>-6.9603654340029399E-7</v>
      </c>
      <c r="O12" s="1">
        <v>6.5643465959178394E-11</v>
      </c>
      <c r="P12" s="1">
        <v>2.1705804465278898E-9</v>
      </c>
      <c r="Q12">
        <v>64.599694707302504</v>
      </c>
      <c r="S12">
        <v>21.8485960117631</v>
      </c>
      <c r="AA12">
        <v>2.9518597958844901</v>
      </c>
      <c r="AB12">
        <v>8.9008137707733397</v>
      </c>
      <c r="AC12">
        <v>1.6990357142764601</v>
      </c>
      <c r="AJ12">
        <v>0.76402803858870405</v>
      </c>
      <c r="AK12">
        <v>0.14001871852558401</v>
      </c>
      <c r="AL12">
        <v>9.5953242885710596E-2</v>
      </c>
    </row>
    <row r="13" spans="1:38" x14ac:dyDescent="0.2">
      <c r="A13">
        <v>36</v>
      </c>
      <c r="B13">
        <v>728</v>
      </c>
      <c r="C13">
        <v>275</v>
      </c>
      <c r="D13">
        <v>0.280418019277831</v>
      </c>
      <c r="E13">
        <v>20.681420527191399</v>
      </c>
      <c r="F13">
        <v>2.5827188150615901</v>
      </c>
      <c r="G13">
        <v>-333.7979893080402</v>
      </c>
      <c r="H13">
        <v>-290.98030309265641</v>
      </c>
      <c r="I13">
        <v>42.768502437580402</v>
      </c>
      <c r="J13">
        <v>25.670581446493198</v>
      </c>
      <c r="K13">
        <v>8.0076160078224401</v>
      </c>
      <c r="L13">
        <v>3.2975755264540906E-5</v>
      </c>
      <c r="M13">
        <v>1.8025691076694931E-6</v>
      </c>
      <c r="N13" s="1">
        <v>-7.5632853472605295E-7</v>
      </c>
      <c r="O13" s="1">
        <v>6.64303748452685E-11</v>
      </c>
      <c r="P13" s="1">
        <v>2.3438805482124798E-9</v>
      </c>
      <c r="Q13">
        <v>64.609776399772002</v>
      </c>
      <c r="S13">
        <v>21.844762194290698</v>
      </c>
      <c r="AA13">
        <v>2.9463444321023702</v>
      </c>
      <c r="AB13">
        <v>8.9132294309487499</v>
      </c>
      <c r="AC13">
        <v>1.68588754288603</v>
      </c>
      <c r="AJ13">
        <v>0.76504666645522501</v>
      </c>
      <c r="AK13">
        <v>0.13974849740656201</v>
      </c>
      <c r="AL13">
        <v>9.5204836138211998E-2</v>
      </c>
    </row>
    <row r="14" spans="1:38" x14ac:dyDescent="0.2">
      <c r="A14">
        <v>37</v>
      </c>
      <c r="B14">
        <v>726</v>
      </c>
      <c r="C14">
        <v>275</v>
      </c>
      <c r="D14">
        <v>0.27883751188509998</v>
      </c>
      <c r="E14">
        <v>20.969292220198199</v>
      </c>
      <c r="F14">
        <v>2.5828923029602602</v>
      </c>
      <c r="G14">
        <v>-338.37036210862664</v>
      </c>
      <c r="H14">
        <v>-295.09460308697697</v>
      </c>
      <c r="I14">
        <v>43.3125747101532</v>
      </c>
      <c r="J14">
        <v>26.079652718141599</v>
      </c>
      <c r="K14">
        <v>8.1185313828862498</v>
      </c>
      <c r="L14">
        <v>3.3187688567012415E-5</v>
      </c>
      <c r="M14">
        <v>1.8035792127836689E-6</v>
      </c>
      <c r="N14" s="1">
        <v>-8.1833251530919197E-7</v>
      </c>
      <c r="O14" s="1">
        <v>6.6946426118967006E-11</v>
      </c>
      <c r="P14" s="1">
        <v>2.5208572005431399E-9</v>
      </c>
      <c r="Q14">
        <v>64.619024946906194</v>
      </c>
      <c r="S14">
        <v>21.841536242247901</v>
      </c>
      <c r="AA14">
        <v>2.9415249665979299</v>
      </c>
      <c r="AB14">
        <v>8.9253820696672399</v>
      </c>
      <c r="AC14">
        <v>1.67253177458067</v>
      </c>
      <c r="AJ14">
        <v>0.76604358405199402</v>
      </c>
      <c r="AK14">
        <v>0.139511495010714</v>
      </c>
      <c r="AL14">
        <v>9.4444920937290802E-2</v>
      </c>
    </row>
    <row r="15" spans="1:38" x14ac:dyDescent="0.2">
      <c r="A15">
        <v>47</v>
      </c>
      <c r="B15">
        <v>742</v>
      </c>
      <c r="C15">
        <v>250</v>
      </c>
      <c r="D15">
        <v>0.318396788651924</v>
      </c>
      <c r="E15">
        <v>21.037864271345398</v>
      </c>
      <c r="F15">
        <v>2.5247415373042101</v>
      </c>
      <c r="G15">
        <v>-331.16378075934051</v>
      </c>
      <c r="H15">
        <v>-287.36626228989621</v>
      </c>
      <c r="I15">
        <v>43.143888557793701</v>
      </c>
      <c r="J15">
        <v>25.0285688687541</v>
      </c>
      <c r="K15">
        <v>8.3326803795561908</v>
      </c>
      <c r="L15">
        <v>2.854663910891182E-5</v>
      </c>
      <c r="M15">
        <v>1.7915580655196555E-6</v>
      </c>
      <c r="N15" s="1">
        <v>-2.0147290062901601E-7</v>
      </c>
      <c r="O15" s="1">
        <v>7.9263174917406297E-11</v>
      </c>
      <c r="P15" s="1">
        <v>7.4938501532454396E-10</v>
      </c>
      <c r="Q15">
        <v>65.900811143119896</v>
      </c>
      <c r="S15">
        <v>18.975076709124</v>
      </c>
      <c r="AA15">
        <v>0.27757921582614098</v>
      </c>
      <c r="AB15">
        <v>4.2669775500528102</v>
      </c>
      <c r="AC15">
        <v>10.579555381877</v>
      </c>
      <c r="AJ15">
        <v>0.37492310035406301</v>
      </c>
      <c r="AK15">
        <v>1.3477817662725799E-2</v>
      </c>
      <c r="AL15">
        <v>0.61159908198321</v>
      </c>
    </row>
    <row r="16" spans="1:38" x14ac:dyDescent="0.2">
      <c r="A16">
        <v>48</v>
      </c>
      <c r="B16">
        <v>740</v>
      </c>
      <c r="C16">
        <v>250</v>
      </c>
      <c r="D16">
        <v>0.31691309282929903</v>
      </c>
      <c r="E16">
        <v>29.786777965395999</v>
      </c>
      <c r="F16">
        <v>2.5247975341118201</v>
      </c>
      <c r="G16">
        <v>-468.73088498217618</v>
      </c>
      <c r="H16">
        <v>-406.91712499409903</v>
      </c>
      <c r="I16">
        <v>61.011459298304402</v>
      </c>
      <c r="J16">
        <v>35.451222138720503</v>
      </c>
      <c r="K16">
        <v>11.7976897406446</v>
      </c>
      <c r="L16">
        <v>2.8590178720400071E-5</v>
      </c>
      <c r="M16">
        <v>1.7918160086461E-6</v>
      </c>
      <c r="N16" s="1">
        <v>-3.0565869951131101E-7</v>
      </c>
      <c r="O16" s="1">
        <v>1.12078325194612E-10</v>
      </c>
      <c r="P16" s="1">
        <v>1.1191599569005899E-9</v>
      </c>
      <c r="Q16">
        <v>65.902503918392398</v>
      </c>
      <c r="S16">
        <v>18.969267181451698</v>
      </c>
      <c r="AA16">
        <v>0.27239131004355899</v>
      </c>
      <c r="AB16">
        <v>4.2555193769015602</v>
      </c>
      <c r="AC16">
        <v>10.600318213210601</v>
      </c>
      <c r="AJ16">
        <v>0.37393815022747001</v>
      </c>
      <c r="AK16">
        <v>1.3226692035274899E-2</v>
      </c>
      <c r="AL16">
        <v>0.61283515773725505</v>
      </c>
    </row>
    <row r="17" spans="1:38" x14ac:dyDescent="0.2">
      <c r="A17">
        <v>49</v>
      </c>
      <c r="B17">
        <v>738</v>
      </c>
      <c r="C17">
        <v>250</v>
      </c>
      <c r="D17">
        <v>0.31542352766652099</v>
      </c>
      <c r="E17">
        <v>32.5250337939706</v>
      </c>
      <c r="F17">
        <v>2.5248505100374898</v>
      </c>
      <c r="G17">
        <v>-511.63691998510291</v>
      </c>
      <c r="H17">
        <v>-444.35945433322672</v>
      </c>
      <c r="I17">
        <v>66.535593781215596</v>
      </c>
      <c r="J17">
        <v>38.724826855794397</v>
      </c>
      <c r="K17">
        <v>12.8819641656676</v>
      </c>
      <c r="L17">
        <v>2.8629941566022141E-5</v>
      </c>
      <c r="M17">
        <v>1.7919854817919984E-6</v>
      </c>
      <c r="N17" s="1">
        <v>-3.5667439435816998E-7</v>
      </c>
      <c r="O17" s="1">
        <v>1.22221236097761E-10</v>
      </c>
      <c r="P17" s="1">
        <v>1.28716866770417E-9</v>
      </c>
      <c r="Q17">
        <v>65.901153799370903</v>
      </c>
      <c r="S17">
        <v>18.9629562611251</v>
      </c>
      <c r="AA17">
        <v>0.26749976797181402</v>
      </c>
      <c r="AB17">
        <v>4.2359658109407698</v>
      </c>
      <c r="AC17">
        <v>10.632424360591299</v>
      </c>
      <c r="AJ17">
        <v>0.372257018102644</v>
      </c>
      <c r="AK17">
        <v>1.2990463529390201E-2</v>
      </c>
      <c r="AL17">
        <v>0.61475251836796396</v>
      </c>
    </row>
    <row r="18" spans="1:38" x14ac:dyDescent="0.2">
      <c r="A18">
        <v>50</v>
      </c>
      <c r="B18">
        <v>736</v>
      </c>
      <c r="C18">
        <v>250</v>
      </c>
      <c r="D18">
        <v>0.31392805826685999</v>
      </c>
      <c r="E18">
        <v>33.8270490813306</v>
      </c>
      <c r="F18">
        <v>2.5249053554745799</v>
      </c>
      <c r="G18">
        <v>-531.92747705516172</v>
      </c>
      <c r="H18">
        <v>-462.18417825611562</v>
      </c>
      <c r="I18">
        <v>69.110933755185997</v>
      </c>
      <c r="J18">
        <v>40.291715859836401</v>
      </c>
      <c r="K18">
        <v>13.397353294049401</v>
      </c>
      <c r="L18">
        <v>2.8673009419910793E-5</v>
      </c>
      <c r="M18">
        <v>1.7921630583174635E-6</v>
      </c>
      <c r="N18" s="1">
        <v>-3.96310712473904E-7</v>
      </c>
      <c r="O18" s="1">
        <v>1.26935393238305E-10</v>
      </c>
      <c r="P18" s="1">
        <v>1.4106185973114599E-9</v>
      </c>
      <c r="Q18">
        <v>65.899708503216104</v>
      </c>
      <c r="S18">
        <v>18.956710641345101</v>
      </c>
      <c r="AA18">
        <v>0.262684307802515</v>
      </c>
      <c r="AB18">
        <v>4.2163713417143702</v>
      </c>
      <c r="AC18">
        <v>10.6645252059217</v>
      </c>
      <c r="AJ18">
        <v>0.37057203268689398</v>
      </c>
      <c r="AK18">
        <v>1.27578857021506E-2</v>
      </c>
      <c r="AL18">
        <v>0.61667008161095405</v>
      </c>
    </row>
    <row r="19" spans="1:38" x14ac:dyDescent="0.2">
      <c r="A19">
        <v>51</v>
      </c>
      <c r="B19">
        <v>734</v>
      </c>
      <c r="C19">
        <v>250</v>
      </c>
      <c r="D19">
        <v>0.31242664945638698</v>
      </c>
      <c r="E19">
        <v>34.608645040713803</v>
      </c>
      <c r="F19">
        <v>2.5249620288513701</v>
      </c>
      <c r="G19">
        <v>-544.02269477864411</v>
      </c>
      <c r="H19">
        <v>-472.90045167354128</v>
      </c>
      <c r="I19">
        <v>70.617329201313595</v>
      </c>
      <c r="J19">
        <v>41.241333947345403</v>
      </c>
      <c r="K19">
        <v>13.7066001964621</v>
      </c>
      <c r="L19">
        <v>2.8719497875358966E-5</v>
      </c>
      <c r="M19">
        <v>1.7923480652767966E-6</v>
      </c>
      <c r="N19" s="1">
        <v>-4.3303188586144798E-7</v>
      </c>
      <c r="O19" s="1">
        <v>1.2967334545700699E-10</v>
      </c>
      <c r="P19" s="1">
        <v>1.5212314847427901E-9</v>
      </c>
      <c r="Q19">
        <v>65.898129701906896</v>
      </c>
      <c r="S19">
        <v>18.950522370279302</v>
      </c>
      <c r="AA19">
        <v>0.25794731251229902</v>
      </c>
      <c r="AB19">
        <v>4.1966297105196499</v>
      </c>
      <c r="AC19">
        <v>10.696770904781699</v>
      </c>
      <c r="AJ19">
        <v>0.368874051311949</v>
      </c>
      <c r="AK19">
        <v>1.25290820224675E-2</v>
      </c>
      <c r="AL19">
        <v>0.618596866665583</v>
      </c>
    </row>
    <row r="20" spans="1:38" x14ac:dyDescent="0.2">
      <c r="A20">
        <v>52</v>
      </c>
      <c r="B20">
        <v>732</v>
      </c>
      <c r="C20">
        <v>250</v>
      </c>
      <c r="D20">
        <v>0.31091926578122597</v>
      </c>
      <c r="E20">
        <v>35.129188018021701</v>
      </c>
      <c r="F20">
        <v>2.5250205971398501</v>
      </c>
      <c r="G20">
        <v>-552.00723457827564</v>
      </c>
      <c r="H20">
        <v>-480.05112845530431</v>
      </c>
      <c r="I20">
        <v>71.587430854072807</v>
      </c>
      <c r="J20">
        <v>41.882309592043001</v>
      </c>
      <c r="K20">
        <v>13.9124362224265</v>
      </c>
      <c r="L20">
        <v>2.8769729830030024E-5</v>
      </c>
      <c r="M20">
        <v>1.7925425056649242E-6</v>
      </c>
      <c r="N20" s="1">
        <v>-4.6924729515931099E-7</v>
      </c>
      <c r="O20" s="1">
        <v>1.3141273751673899E-10</v>
      </c>
      <c r="P20" s="1">
        <v>1.6280039400154899E-9</v>
      </c>
      <c r="Q20">
        <v>65.896460254162506</v>
      </c>
      <c r="S20">
        <v>18.9443984429188</v>
      </c>
      <c r="AA20">
        <v>0.25328455254422799</v>
      </c>
      <c r="AB20">
        <v>4.1768547639930098</v>
      </c>
      <c r="AC20">
        <v>10.7290019863813</v>
      </c>
      <c r="AJ20">
        <v>0.36717286143950201</v>
      </c>
      <c r="AK20">
        <v>1.2303840529310999E-2</v>
      </c>
      <c r="AL20">
        <v>0.620523298031185</v>
      </c>
    </row>
    <row r="21" spans="1:38" x14ac:dyDescent="0.2">
      <c r="A21">
        <v>53</v>
      </c>
      <c r="B21">
        <v>730</v>
      </c>
      <c r="C21">
        <v>250</v>
      </c>
      <c r="D21">
        <v>0.30940587150476501</v>
      </c>
      <c r="E21">
        <v>35.497703316512002</v>
      </c>
      <c r="F21">
        <v>2.5250810813180702</v>
      </c>
      <c r="G21">
        <v>-557.59817475918385</v>
      </c>
      <c r="H21">
        <v>-485.12542199012654</v>
      </c>
      <c r="I21">
        <v>72.245180450637903</v>
      </c>
      <c r="J21">
        <v>42.344432837057099</v>
      </c>
      <c r="K21">
        <v>14.058044939286599</v>
      </c>
      <c r="L21">
        <v>2.8823968750032628E-5</v>
      </c>
      <c r="M21">
        <v>1.7927474671345033E-6</v>
      </c>
      <c r="N21" s="1">
        <v>-5.0598308148241304E-7</v>
      </c>
      <c r="O21" s="1">
        <v>1.32564531869663E-10</v>
      </c>
      <c r="P21" s="1">
        <v>1.7347339188185501E-9</v>
      </c>
      <c r="Q21">
        <v>65.894714370488003</v>
      </c>
      <c r="S21">
        <v>18.938340376411102</v>
      </c>
      <c r="AA21">
        <v>0.248693963733501</v>
      </c>
      <c r="AB21">
        <v>4.1570821468826704</v>
      </c>
      <c r="AC21">
        <v>10.761169142484601</v>
      </c>
      <c r="AJ21">
        <v>0.36547152868406901</v>
      </c>
      <c r="AK21">
        <v>1.20820597132556E-2</v>
      </c>
      <c r="AL21">
        <v>0.622446411602675</v>
      </c>
    </row>
    <row r="22" spans="1:38" x14ac:dyDescent="0.2">
      <c r="A22">
        <v>61</v>
      </c>
      <c r="B22">
        <v>746</v>
      </c>
      <c r="C22">
        <v>225</v>
      </c>
      <c r="D22">
        <v>0.34832998086640898</v>
      </c>
      <c r="E22">
        <v>21.372664992685301</v>
      </c>
      <c r="F22">
        <v>2.5236257180155199</v>
      </c>
      <c r="G22">
        <v>-337.00226168046794</v>
      </c>
      <c r="H22">
        <v>-292.19391428702187</v>
      </c>
      <c r="I22">
        <v>43.9663910056871</v>
      </c>
      <c r="J22">
        <v>25.420311524824399</v>
      </c>
      <c r="K22">
        <v>8.4690312196897093</v>
      </c>
      <c r="L22">
        <v>2.8511568803134996E-5</v>
      </c>
      <c r="M22">
        <v>1.7936765992289649E-6</v>
      </c>
      <c r="N22" s="1">
        <v>-1.7847142695878999E-7</v>
      </c>
      <c r="O22" s="1">
        <v>8.0664925223802596E-11</v>
      </c>
      <c r="P22" s="1">
        <v>6.8651991730152796E-10</v>
      </c>
      <c r="Q22">
        <v>65.927130057166494</v>
      </c>
      <c r="S22">
        <v>18.997013775013102</v>
      </c>
      <c r="AA22">
        <v>0.28953636101208402</v>
      </c>
      <c r="AB22">
        <v>4.38313870908339</v>
      </c>
      <c r="AC22">
        <v>10.403181097724699</v>
      </c>
      <c r="AJ22">
        <v>0.38490222297944998</v>
      </c>
      <c r="AK22">
        <v>1.4050090020818799E-2</v>
      </c>
      <c r="AL22">
        <v>0.60104768699972999</v>
      </c>
    </row>
    <row r="23" spans="1:38" x14ac:dyDescent="0.2">
      <c r="A23">
        <v>62</v>
      </c>
      <c r="B23">
        <v>744</v>
      </c>
      <c r="C23">
        <v>225</v>
      </c>
      <c r="D23">
        <v>0.34691097674876298</v>
      </c>
      <c r="E23">
        <v>29.837673271247301</v>
      </c>
      <c r="F23">
        <v>2.5236582112288599</v>
      </c>
      <c r="G23">
        <v>-470.27748699859592</v>
      </c>
      <c r="H23">
        <v>-407.92852987621865</v>
      </c>
      <c r="I23">
        <v>61.297701540949902</v>
      </c>
      <c r="J23">
        <v>35.4946419714813</v>
      </c>
      <c r="K23">
        <v>11.8231831626352</v>
      </c>
      <c r="L23">
        <v>2.8529515110402067E-5</v>
      </c>
      <c r="M23">
        <v>1.7936416183899113E-6</v>
      </c>
      <c r="N23" s="1">
        <v>-2.6523119637669402E-7</v>
      </c>
      <c r="O23" s="1">
        <v>1.1251604729971399E-10</v>
      </c>
      <c r="P23" s="1">
        <v>1.00429172267536E-9</v>
      </c>
      <c r="Q23">
        <v>65.920533860645307</v>
      </c>
      <c r="S23">
        <v>18.989304047051199</v>
      </c>
      <c r="AA23">
        <v>0.28471488878465101</v>
      </c>
      <c r="AB23">
        <v>4.3482273846247201</v>
      </c>
      <c r="AC23">
        <v>10.457219818893901</v>
      </c>
      <c r="AJ23">
        <v>0.38190432580215</v>
      </c>
      <c r="AK23">
        <v>1.3818576262958E-2</v>
      </c>
      <c r="AL23">
        <v>0.60427709793489104</v>
      </c>
    </row>
    <row r="24" spans="1:38" x14ac:dyDescent="0.2">
      <c r="A24">
        <v>63</v>
      </c>
      <c r="B24">
        <v>742</v>
      </c>
      <c r="C24">
        <v>225</v>
      </c>
      <c r="D24">
        <v>0.345486381322956</v>
      </c>
      <c r="E24">
        <v>32.579067218562699</v>
      </c>
      <c r="F24">
        <v>2.5237000089352799</v>
      </c>
      <c r="G24">
        <v>-513.2849154925924</v>
      </c>
      <c r="H24">
        <v>-445.42967705944119</v>
      </c>
      <c r="I24">
        <v>66.842573445452501</v>
      </c>
      <c r="J24">
        <v>38.765736950555201</v>
      </c>
      <c r="K24">
        <v>12.9092471780381</v>
      </c>
      <c r="L24">
        <v>2.8556801826433245E-5</v>
      </c>
      <c r="M24">
        <v>1.7937107562921653E-6</v>
      </c>
      <c r="N24" s="1">
        <v>-3.0898700599278302E-7</v>
      </c>
      <c r="O24" s="1">
        <v>1.2272644740118399E-10</v>
      </c>
      <c r="P24" s="1">
        <v>1.1518397847883001E-9</v>
      </c>
      <c r="Q24">
        <v>65.916826809378307</v>
      </c>
      <c r="S24">
        <v>18.982293068352199</v>
      </c>
      <c r="AA24">
        <v>0.27979574930580697</v>
      </c>
      <c r="AB24">
        <v>4.32158622749155</v>
      </c>
      <c r="AC24">
        <v>10.4994981454719</v>
      </c>
      <c r="AJ24">
        <v>0.37961589639133497</v>
      </c>
      <c r="AK24">
        <v>1.3581668000658799E-2</v>
      </c>
      <c r="AL24">
        <v>0.60680243560800495</v>
      </c>
    </row>
    <row r="25" spans="1:38" x14ac:dyDescent="0.2">
      <c r="A25">
        <v>64</v>
      </c>
      <c r="B25">
        <v>740</v>
      </c>
      <c r="C25">
        <v>225</v>
      </c>
      <c r="D25">
        <v>0.34405616147658602</v>
      </c>
      <c r="E25">
        <v>33.937512541043198</v>
      </c>
      <c r="F25">
        <v>2.52374644121412</v>
      </c>
      <c r="G25">
        <v>-534.48627591152353</v>
      </c>
      <c r="H25">
        <v>-464.03167046657973</v>
      </c>
      <c r="I25">
        <v>69.540152440353097</v>
      </c>
      <c r="J25">
        <v>40.394632574531499</v>
      </c>
      <c r="K25">
        <v>13.4472750458705</v>
      </c>
      <c r="L25">
        <v>2.8589535374295721E-5</v>
      </c>
      <c r="M25">
        <v>1.7938245362596119E-6</v>
      </c>
      <c r="N25" s="1">
        <v>-3.4367138566499397E-7</v>
      </c>
      <c r="O25" s="1">
        <v>1.2769611231462599E-10</v>
      </c>
      <c r="P25" s="1">
        <v>1.2619361835901701E-9</v>
      </c>
      <c r="Q25">
        <v>65.914179029491905</v>
      </c>
      <c r="S25">
        <v>18.9755922313153</v>
      </c>
      <c r="AA25">
        <v>0.27488531337830702</v>
      </c>
      <c r="AB25">
        <v>4.2981186765225301</v>
      </c>
      <c r="AC25">
        <v>10.537224749291701</v>
      </c>
      <c r="AJ25">
        <v>0.377599564955445</v>
      </c>
      <c r="AK25">
        <v>1.33449026424732E-2</v>
      </c>
      <c r="AL25">
        <v>0.60905553240208099</v>
      </c>
    </row>
    <row r="26" spans="1:38" x14ac:dyDescent="0.2">
      <c r="A26">
        <v>65</v>
      </c>
      <c r="B26">
        <v>738</v>
      </c>
      <c r="C26">
        <v>225</v>
      </c>
      <c r="D26">
        <v>0.34262028383523802</v>
      </c>
      <c r="E26">
        <v>34.755582101596502</v>
      </c>
      <c r="F26">
        <v>2.5237959605675999</v>
      </c>
      <c r="G26">
        <v>-547.1678655452489</v>
      </c>
      <c r="H26">
        <v>-475.24973598833827</v>
      </c>
      <c r="I26">
        <v>71.125084860713699</v>
      </c>
      <c r="J26">
        <v>41.3829197787948</v>
      </c>
      <c r="K26">
        <v>13.7711537083925</v>
      </c>
      <c r="L26">
        <v>2.8626472231628537E-5</v>
      </c>
      <c r="M26">
        <v>1.7939625354061646E-6</v>
      </c>
      <c r="N26" s="1">
        <v>-3.7586496401513202E-7</v>
      </c>
      <c r="O26" s="1">
        <v>1.3060953090491701E-10</v>
      </c>
      <c r="P26" s="1">
        <v>1.3603118486288801E-9</v>
      </c>
      <c r="Q26">
        <v>65.911950425434298</v>
      </c>
      <c r="S26">
        <v>18.969065998313599</v>
      </c>
      <c r="AA26">
        <v>0.27002111861843597</v>
      </c>
      <c r="AB26">
        <v>4.2760429835908003</v>
      </c>
      <c r="AC26">
        <v>10.572919474042701</v>
      </c>
      <c r="AJ26">
        <v>0.37570238419389801</v>
      </c>
      <c r="AK26">
        <v>1.31102330342108E-2</v>
      </c>
      <c r="AL26">
        <v>0.61118738277189</v>
      </c>
    </row>
    <row r="27" spans="1:38" x14ac:dyDescent="0.2">
      <c r="A27">
        <v>66</v>
      </c>
      <c r="B27">
        <v>736</v>
      </c>
      <c r="C27">
        <v>225</v>
      </c>
      <c r="D27">
        <v>0.34117871475994799</v>
      </c>
      <c r="E27">
        <v>35.3016859084793</v>
      </c>
      <c r="F27">
        <v>2.5238480085625699</v>
      </c>
      <c r="G27">
        <v>-555.5619583111187</v>
      </c>
      <c r="H27">
        <v>-482.75181473077021</v>
      </c>
      <c r="I27">
        <v>72.149971342563902</v>
      </c>
      <c r="J27">
        <v>42.049683466818301</v>
      </c>
      <c r="K27">
        <v>13.987247167306601</v>
      </c>
      <c r="L27">
        <v>2.8667294373615428E-5</v>
      </c>
      <c r="M27">
        <v>1.7941177214543867E-6</v>
      </c>
      <c r="N27" s="1">
        <v>-4.07694581937174E-7</v>
      </c>
      <c r="O27" s="1">
        <v>1.3248110003311199E-10</v>
      </c>
      <c r="P27" s="1">
        <v>1.4552328690083301E-9</v>
      </c>
      <c r="Q27">
        <v>65.9099090841367</v>
      </c>
      <c r="S27">
        <v>18.962664449126699</v>
      </c>
      <c r="AA27">
        <v>0.26521609407755797</v>
      </c>
      <c r="AB27">
        <v>4.2547114705100002</v>
      </c>
      <c r="AC27">
        <v>10.6074989021488</v>
      </c>
      <c r="AJ27">
        <v>0.373868753804243</v>
      </c>
      <c r="AK27">
        <v>1.28783350975456E-2</v>
      </c>
      <c r="AL27">
        <v>0.61325291109821001</v>
      </c>
    </row>
    <row r="28" spans="1:38" x14ac:dyDescent="0.2">
      <c r="A28">
        <v>67</v>
      </c>
      <c r="B28">
        <v>734</v>
      </c>
      <c r="C28">
        <v>225</v>
      </c>
      <c r="D28">
        <v>0.33973142034453802</v>
      </c>
      <c r="E28">
        <v>35.689101185762702</v>
      </c>
      <c r="F28">
        <v>2.5239023362771098</v>
      </c>
      <c r="G28">
        <v>-561.45471882889524</v>
      </c>
      <c r="H28">
        <v>-488.08579843625034</v>
      </c>
      <c r="I28">
        <v>72.848056786620603</v>
      </c>
      <c r="J28">
        <v>42.529634329661597</v>
      </c>
      <c r="K28">
        <v>14.140444609439999</v>
      </c>
      <c r="L28">
        <v>2.8711985207012082E-5</v>
      </c>
      <c r="M28">
        <v>1.7942873305178646E-6</v>
      </c>
      <c r="N28" s="1">
        <v>-4.4009106994506698E-7</v>
      </c>
      <c r="O28" s="1">
        <v>1.3373876249451901E-10</v>
      </c>
      <c r="P28" s="1">
        <v>1.55026585619498E-9</v>
      </c>
      <c r="Q28">
        <v>65.907952712788102</v>
      </c>
      <c r="S28">
        <v>18.956364829689299</v>
      </c>
      <c r="AA28">
        <v>0.26047533604761602</v>
      </c>
      <c r="AB28">
        <v>4.2338365304942798</v>
      </c>
      <c r="AC28">
        <v>10.6413705909806</v>
      </c>
      <c r="AJ28">
        <v>0.37207398452875701</v>
      </c>
      <c r="AK28">
        <v>1.2649478367854201E-2</v>
      </c>
      <c r="AL28">
        <v>0.61527653710338803</v>
      </c>
    </row>
    <row r="29" spans="1:38" x14ac:dyDescent="0.2">
      <c r="A29">
        <v>73</v>
      </c>
      <c r="B29">
        <v>750</v>
      </c>
      <c r="C29">
        <v>200</v>
      </c>
      <c r="D29">
        <v>0.37802912573913899</v>
      </c>
      <c r="E29">
        <v>24.5656398257895</v>
      </c>
      <c r="F29">
        <v>2.5225264557354898</v>
      </c>
      <c r="G29">
        <v>-387.98082766636759</v>
      </c>
      <c r="H29">
        <v>-336.12117151459546</v>
      </c>
      <c r="I29">
        <v>50.6862690238695</v>
      </c>
      <c r="J29">
        <v>29.211343071090599</v>
      </c>
      <c r="K29">
        <v>9.7385063177174498</v>
      </c>
      <c r="L29">
        <v>2.8475766294554518E-5</v>
      </c>
      <c r="M29">
        <v>1.7956530485774903E-6</v>
      </c>
      <c r="N29" s="1">
        <v>-1.7795577892977001E-7</v>
      </c>
      <c r="O29" s="1">
        <v>9.2860604314679903E-11</v>
      </c>
      <c r="P29" s="1">
        <v>7.1115801067007201E-10</v>
      </c>
      <c r="Q29">
        <v>65.947682650307698</v>
      </c>
      <c r="S29">
        <v>19.018609631808499</v>
      </c>
      <c r="AA29">
        <v>0.30255749735459397</v>
      </c>
      <c r="AB29">
        <v>4.4855554071546404</v>
      </c>
      <c r="AC29">
        <v>10.245594813374399</v>
      </c>
      <c r="AJ29">
        <v>0.39369079572410798</v>
      </c>
      <c r="AK29">
        <v>1.46743118852996E-2</v>
      </c>
      <c r="AL29">
        <v>0.59163489239059097</v>
      </c>
    </row>
    <row r="30" spans="1:38" x14ac:dyDescent="0.2">
      <c r="A30">
        <v>74</v>
      </c>
      <c r="B30">
        <v>748</v>
      </c>
      <c r="C30">
        <v>200</v>
      </c>
      <c r="D30">
        <v>0.37667384811242399</v>
      </c>
      <c r="E30">
        <v>30.641220302842498</v>
      </c>
      <c r="F30">
        <v>2.5225366586910001</v>
      </c>
      <c r="G30">
        <v>-483.70263744180136</v>
      </c>
      <c r="H30">
        <v>-419.23412781663797</v>
      </c>
      <c r="I30">
        <v>63.133241566041598</v>
      </c>
      <c r="J30">
        <v>36.437211746908602</v>
      </c>
      <c r="K30">
        <v>12.146987119998</v>
      </c>
      <c r="L30">
        <v>2.8478359618105603E-5</v>
      </c>
      <c r="M30">
        <v>1.795452063005456E-6</v>
      </c>
      <c r="N30" s="1">
        <v>-2.3544814367416199E-7</v>
      </c>
      <c r="O30" s="1">
        <v>1.1576029233276901E-10</v>
      </c>
      <c r="P30" s="1">
        <v>9.2558636763705897E-10</v>
      </c>
      <c r="Q30">
        <v>65.936677998270596</v>
      </c>
      <c r="S30">
        <v>19.009610624625498</v>
      </c>
      <c r="AA30">
        <v>0.29770100939577598</v>
      </c>
      <c r="AB30">
        <v>4.4374400628547797</v>
      </c>
      <c r="AC30">
        <v>10.3185703048532</v>
      </c>
      <c r="AJ30">
        <v>0.38956305524189699</v>
      </c>
      <c r="AK30">
        <v>1.4442299955702301E-2</v>
      </c>
      <c r="AL30">
        <v>0.59599464480240005</v>
      </c>
    </row>
    <row r="31" spans="1:38" x14ac:dyDescent="0.2">
      <c r="A31">
        <v>75</v>
      </c>
      <c r="B31">
        <v>746</v>
      </c>
      <c r="C31">
        <v>200</v>
      </c>
      <c r="D31">
        <v>0.37531325123877901</v>
      </c>
      <c r="E31">
        <v>32.951389975326599</v>
      </c>
      <c r="F31">
        <v>2.5225668772425398</v>
      </c>
      <c r="G31">
        <v>-519.95704727952648</v>
      </c>
      <c r="H31">
        <v>-450.85486514721839</v>
      </c>
      <c r="I31">
        <v>67.803740501700403</v>
      </c>
      <c r="J31">
        <v>39.190800259416498</v>
      </c>
      <c r="K31">
        <v>13.0626427678088</v>
      </c>
      <c r="L31">
        <v>2.8496270030224682E-5</v>
      </c>
      <c r="M31">
        <v>1.7954515765795189E-6</v>
      </c>
      <c r="N31" s="1">
        <v>-2.6988402642851902E-7</v>
      </c>
      <c r="O31" s="1">
        <v>1.2438631413697801E-10</v>
      </c>
      <c r="P31" s="1">
        <v>1.0430959759002E-9</v>
      </c>
      <c r="Q31">
        <v>65.931498472473393</v>
      </c>
      <c r="S31">
        <v>19.002014331262199</v>
      </c>
      <c r="AA31">
        <v>0.292642561127399</v>
      </c>
      <c r="AB31">
        <v>4.40598309669332</v>
      </c>
      <c r="AC31">
        <v>10.367861538443499</v>
      </c>
      <c r="AJ31">
        <v>0.38686333514440802</v>
      </c>
      <c r="AK31">
        <v>1.41991721366966E-2</v>
      </c>
      <c r="AL31">
        <v>0.59893749271889396</v>
      </c>
    </row>
    <row r="32" spans="1:38" x14ac:dyDescent="0.2">
      <c r="A32">
        <v>76</v>
      </c>
      <c r="B32">
        <v>744</v>
      </c>
      <c r="C32">
        <v>200</v>
      </c>
      <c r="D32">
        <v>0.373947303740848</v>
      </c>
      <c r="E32">
        <v>34.257496363124702</v>
      </c>
      <c r="F32">
        <v>2.52260354818244</v>
      </c>
      <c r="G32">
        <v>-540.35402719099386</v>
      </c>
      <c r="H32">
        <v>-468.74689577020831</v>
      </c>
      <c r="I32">
        <v>70.399775274822304</v>
      </c>
      <c r="J32">
        <v>40.753023464661197</v>
      </c>
      <c r="K32">
        <v>13.5802141354346</v>
      </c>
      <c r="L32">
        <v>2.8519765543264583E-5</v>
      </c>
      <c r="M32">
        <v>1.7955042758478873E-6</v>
      </c>
      <c r="N32" s="1">
        <v>-2.9937372078132602E-7</v>
      </c>
      <c r="O32" s="1">
        <v>1.29196266190171E-10</v>
      </c>
      <c r="P32" s="1">
        <v>1.1381304164412001E-9</v>
      </c>
      <c r="Q32">
        <v>65.927662797166604</v>
      </c>
      <c r="S32">
        <v>18.994818780963001</v>
      </c>
      <c r="AA32">
        <v>0.28760116084974402</v>
      </c>
      <c r="AB32">
        <v>4.3785714293380202</v>
      </c>
      <c r="AC32">
        <v>10.4113458316825</v>
      </c>
      <c r="AJ32">
        <v>0.38451009413918802</v>
      </c>
      <c r="AK32">
        <v>1.39565067975866E-2</v>
      </c>
      <c r="AL32">
        <v>0.60153339906322401</v>
      </c>
    </row>
    <row r="33" spans="1:38" x14ac:dyDescent="0.2">
      <c r="A33">
        <v>77</v>
      </c>
      <c r="B33">
        <v>742</v>
      </c>
      <c r="C33">
        <v>200</v>
      </c>
      <c r="D33">
        <v>0.37257597399398801</v>
      </c>
      <c r="E33">
        <v>35.044023843523803</v>
      </c>
      <c r="F33">
        <v>2.52264533550842</v>
      </c>
      <c r="G33">
        <v>-552.55038271659407</v>
      </c>
      <c r="H33">
        <v>-479.53717900081216</v>
      </c>
      <c r="I33">
        <v>71.923561755190505</v>
      </c>
      <c r="J33">
        <v>41.699742740052599</v>
      </c>
      <c r="K33">
        <v>13.8917759663828</v>
      </c>
      <c r="L33">
        <v>2.854842602022709E-5</v>
      </c>
      <c r="M33">
        <v>1.7956007985672971E-6</v>
      </c>
      <c r="N33" s="1">
        <v>-3.27002114937159E-7</v>
      </c>
      <c r="O33" s="1">
        <v>1.3202463485276999E-10</v>
      </c>
      <c r="P33" s="1">
        <v>1.2234759100464999E-9</v>
      </c>
      <c r="Q33">
        <v>65.924875450068399</v>
      </c>
      <c r="S33">
        <v>18.987946551172399</v>
      </c>
      <c r="AA33">
        <v>0.28258189024645802</v>
      </c>
      <c r="AB33">
        <v>4.3543435319345898</v>
      </c>
      <c r="AC33">
        <v>10.450252576578</v>
      </c>
      <c r="AJ33">
        <v>0.38242963213501702</v>
      </c>
      <c r="AK33">
        <v>1.37146258042677E-2</v>
      </c>
      <c r="AL33">
        <v>0.60385574206071502</v>
      </c>
    </row>
    <row r="34" spans="1:38" x14ac:dyDescent="0.2">
      <c r="A34">
        <v>78</v>
      </c>
      <c r="B34">
        <v>740</v>
      </c>
      <c r="C34">
        <v>200</v>
      </c>
      <c r="D34">
        <v>0.37119923012387401</v>
      </c>
      <c r="E34">
        <v>35.577978635540703</v>
      </c>
      <c r="F34">
        <v>2.5226904742777698</v>
      </c>
      <c r="G34">
        <v>-560.76017333887535</v>
      </c>
      <c r="H34">
        <v>-486.87532968204351</v>
      </c>
      <c r="I34">
        <v>72.925868486237704</v>
      </c>
      <c r="J34">
        <v>42.348039265101598</v>
      </c>
      <c r="K34">
        <v>14.1031882421986</v>
      </c>
      <c r="L34">
        <v>2.8581037799596843E-5</v>
      </c>
      <c r="M34">
        <v>1.7957210355781468E-6</v>
      </c>
      <c r="N34" s="1">
        <v>-3.54560170104258E-7</v>
      </c>
      <c r="O34" s="1">
        <v>1.33883210078854E-10</v>
      </c>
      <c r="P34" s="1">
        <v>1.3064226527887899E-9</v>
      </c>
      <c r="Q34">
        <v>65.922509617247201</v>
      </c>
      <c r="S34">
        <v>18.981257930171601</v>
      </c>
      <c r="AA34">
        <v>0.277615744180574</v>
      </c>
      <c r="AB34">
        <v>4.3315363108097502</v>
      </c>
      <c r="AC34">
        <v>10.487080397590701</v>
      </c>
      <c r="AJ34">
        <v>0.380470697542166</v>
      </c>
      <c r="AK34">
        <v>1.34751664300411E-2</v>
      </c>
      <c r="AL34">
        <v>0.60605413602779201</v>
      </c>
    </row>
    <row r="35" spans="1:38" x14ac:dyDescent="0.2">
      <c r="A35">
        <v>79</v>
      </c>
      <c r="B35">
        <v>738</v>
      </c>
      <c r="C35">
        <v>200</v>
      </c>
      <c r="D35">
        <v>0.36981704000395799</v>
      </c>
      <c r="E35">
        <v>35.960983664458901</v>
      </c>
      <c r="F35">
        <v>2.5227383835058599</v>
      </c>
      <c r="G35">
        <v>-566.58781954102085</v>
      </c>
      <c r="H35">
        <v>-492.1504848829141</v>
      </c>
      <c r="I35">
        <v>73.6165105653035</v>
      </c>
      <c r="J35">
        <v>42.818663186920901</v>
      </c>
      <c r="K35">
        <v>14.2547415536936</v>
      </c>
      <c r="L35">
        <v>2.8617363691419859E-5</v>
      </c>
      <c r="M35">
        <v>1.7958591177377903E-6</v>
      </c>
      <c r="N35" s="1">
        <v>-3.8276413287153102E-7</v>
      </c>
      <c r="O35" s="1">
        <v>1.35156762154704E-10</v>
      </c>
      <c r="P35" s="1">
        <v>1.38983111607444E-9</v>
      </c>
      <c r="Q35">
        <v>65.9203709503699</v>
      </c>
      <c r="S35">
        <v>18.974707872368199</v>
      </c>
      <c r="AA35">
        <v>0.27271090810394499</v>
      </c>
      <c r="AB35">
        <v>4.3095985782472903</v>
      </c>
      <c r="AC35">
        <v>10.5226116909104</v>
      </c>
      <c r="AJ35">
        <v>0.37858601609167802</v>
      </c>
      <c r="AK35">
        <v>1.3238569169759001E-2</v>
      </c>
      <c r="AL35">
        <v>0.60817541473856196</v>
      </c>
    </row>
    <row r="36" spans="1:38" x14ac:dyDescent="0.2">
      <c r="A36">
        <v>85</v>
      </c>
      <c r="B36">
        <v>756</v>
      </c>
      <c r="C36">
        <v>175</v>
      </c>
      <c r="D36">
        <v>0.40878443375601398</v>
      </c>
      <c r="E36">
        <v>17.5294869644041</v>
      </c>
      <c r="F36">
        <v>2.5214992964997802</v>
      </c>
      <c r="G36">
        <v>-277.47522024422682</v>
      </c>
      <c r="H36">
        <v>-240.0838871645108</v>
      </c>
      <c r="I36">
        <v>36.332248049085202</v>
      </c>
      <c r="J36">
        <v>20.846186151680399</v>
      </c>
      <c r="K36">
        <v>6.9520094606957201</v>
      </c>
      <c r="L36">
        <v>2.8474084087157209E-5</v>
      </c>
      <c r="M36">
        <v>1.798195226256632E-6</v>
      </c>
      <c r="N36" s="1">
        <v>-1.0458056017125701E-7</v>
      </c>
      <c r="O36" s="1">
        <v>6.6354181662151203E-11</v>
      </c>
      <c r="P36" s="1">
        <v>4.4307723205131202E-10</v>
      </c>
      <c r="Q36">
        <v>65.988001160575806</v>
      </c>
      <c r="S36">
        <v>19.052778025816298</v>
      </c>
      <c r="AA36">
        <v>0.32133899908572899</v>
      </c>
      <c r="AB36">
        <v>4.6649799325805699</v>
      </c>
      <c r="AC36">
        <v>9.9729018819414694</v>
      </c>
      <c r="AJ36">
        <v>0.40906555401343098</v>
      </c>
      <c r="AK36">
        <v>1.5571030581759401E-2</v>
      </c>
      <c r="AL36">
        <v>0.57536341540480795</v>
      </c>
    </row>
    <row r="37" spans="1:38" x14ac:dyDescent="0.2">
      <c r="A37">
        <v>86</v>
      </c>
      <c r="B37">
        <v>754</v>
      </c>
      <c r="C37">
        <v>175</v>
      </c>
      <c r="D37">
        <v>0.40749695760112897</v>
      </c>
      <c r="E37">
        <v>28.836591311770899</v>
      </c>
      <c r="F37">
        <v>2.52142243014843</v>
      </c>
      <c r="G37">
        <v>-456.13027204332286</v>
      </c>
      <c r="H37">
        <v>-394.84287085289412</v>
      </c>
      <c r="I37">
        <v>59.6674304536132</v>
      </c>
      <c r="J37">
        <v>34.280874137737499</v>
      </c>
      <c r="K37">
        <v>11.4366363077341</v>
      </c>
      <c r="L37">
        <v>2.843060026341439E-5</v>
      </c>
      <c r="M37">
        <v>1.797359425491082E-6</v>
      </c>
      <c r="N37" s="1">
        <v>-1.7961956296503299E-7</v>
      </c>
      <c r="O37" s="1">
        <v>1.09169184849033E-10</v>
      </c>
      <c r="P37" s="1">
        <v>7.50453393532227E-10</v>
      </c>
      <c r="Q37">
        <v>65.958796479174893</v>
      </c>
      <c r="S37">
        <v>19.0388254040971</v>
      </c>
      <c r="AA37">
        <v>0.31664245645526901</v>
      </c>
      <c r="AB37">
        <v>4.5633202541695201</v>
      </c>
      <c r="AC37">
        <v>10.1224154061031</v>
      </c>
      <c r="AJ37">
        <v>0.400357799198994</v>
      </c>
      <c r="AK37">
        <v>1.53513750098772E-2</v>
      </c>
      <c r="AL37">
        <v>0.58429082579112801</v>
      </c>
    </row>
    <row r="38" spans="1:38" x14ac:dyDescent="0.2">
      <c r="A38">
        <v>87</v>
      </c>
      <c r="B38">
        <v>752</v>
      </c>
      <c r="C38">
        <v>175</v>
      </c>
      <c r="D38">
        <v>0.406204457884214</v>
      </c>
      <c r="E38">
        <v>32.206968269141498</v>
      </c>
      <c r="F38">
        <v>2.5214244960426599</v>
      </c>
      <c r="G38">
        <v>-509.20011490344268</v>
      </c>
      <c r="H38">
        <v>-440.97724212166264</v>
      </c>
      <c r="I38">
        <v>66.549161373242896</v>
      </c>
      <c r="J38">
        <v>38.287686766336499</v>
      </c>
      <c r="K38">
        <v>12.7733225086413</v>
      </c>
      <c r="L38">
        <v>2.8430823087947318E-5</v>
      </c>
      <c r="M38">
        <v>1.7971751589396628E-6</v>
      </c>
      <c r="N38" s="1">
        <v>-2.1305124611818099E-7</v>
      </c>
      <c r="O38" s="1">
        <v>1.2187162915854999E-10</v>
      </c>
      <c r="P38" s="1">
        <v>8.7386602655810199E-10</v>
      </c>
      <c r="Q38">
        <v>65.948896837522099</v>
      </c>
      <c r="S38">
        <v>19.029688052171601</v>
      </c>
      <c r="AA38">
        <v>0.31141399360063998</v>
      </c>
      <c r="AB38">
        <v>4.5173046775344696</v>
      </c>
      <c r="AC38">
        <v>10.192696439171</v>
      </c>
      <c r="AJ38">
        <v>0.39641336152462903</v>
      </c>
      <c r="AK38">
        <v>1.51014210123155E-2</v>
      </c>
      <c r="AL38">
        <v>0.58848521746305404</v>
      </c>
    </row>
    <row r="39" spans="1:38" x14ac:dyDescent="0.2">
      <c r="A39">
        <v>88</v>
      </c>
      <c r="B39">
        <v>750</v>
      </c>
      <c r="C39">
        <v>175</v>
      </c>
      <c r="D39">
        <v>0.40490690514587502</v>
      </c>
      <c r="E39">
        <v>33.856043241361903</v>
      </c>
      <c r="F39">
        <v>2.5214453006045199</v>
      </c>
      <c r="G39">
        <v>-535.04804537850782</v>
      </c>
      <c r="H39">
        <v>-463.56608764732192</v>
      </c>
      <c r="I39">
        <v>69.864592416738404</v>
      </c>
      <c r="J39">
        <v>40.2521789852754</v>
      </c>
      <c r="K39">
        <v>13.427236844378401</v>
      </c>
      <c r="L39">
        <v>2.8442762355420016E-5</v>
      </c>
      <c r="M39">
        <v>1.7971452967816639E-6</v>
      </c>
      <c r="N39" s="1">
        <v>-2.3873698868756498E-7</v>
      </c>
      <c r="O39" s="1">
        <v>1.2802791965470499E-10</v>
      </c>
      <c r="P39" s="1">
        <v>9.6102403948262403E-10</v>
      </c>
      <c r="Q39">
        <v>65.943418893024301</v>
      </c>
      <c r="S39">
        <v>19.0217248290875</v>
      </c>
      <c r="AA39">
        <v>0.30612245647966102</v>
      </c>
      <c r="AB39">
        <v>4.4842207473322899</v>
      </c>
      <c r="AC39">
        <v>10.244513074076</v>
      </c>
      <c r="AJ39">
        <v>0.39357629260158999</v>
      </c>
      <c r="AK39">
        <v>1.48473151413182E-2</v>
      </c>
      <c r="AL39">
        <v>0.59157639225709102</v>
      </c>
    </row>
    <row r="40" spans="1:38" x14ac:dyDescent="0.2">
      <c r="A40">
        <v>89</v>
      </c>
      <c r="B40">
        <v>748</v>
      </c>
      <c r="C40">
        <v>175</v>
      </c>
      <c r="D40">
        <v>0.40360426969593199</v>
      </c>
      <c r="E40">
        <v>34.883959128613</v>
      </c>
      <c r="F40">
        <v>2.52147380016677</v>
      </c>
      <c r="G40">
        <v>-551.07236399902638</v>
      </c>
      <c r="H40">
        <v>-477.65935671171684</v>
      </c>
      <c r="I40">
        <v>71.892481307652801</v>
      </c>
      <c r="J40">
        <v>41.480518660121803</v>
      </c>
      <c r="K40">
        <v>13.8347497905017</v>
      </c>
      <c r="L40">
        <v>2.8460095707446168E-5</v>
      </c>
      <c r="M40">
        <v>1.7971710140645139E-6</v>
      </c>
      <c r="N40" s="1">
        <v>-2.6249871462850202E-7</v>
      </c>
      <c r="O40" s="1">
        <v>1.31814698185535E-10</v>
      </c>
      <c r="P40" s="1">
        <v>1.0375468575634E-9</v>
      </c>
      <c r="Q40">
        <v>65.939374936565898</v>
      </c>
      <c r="S40">
        <v>19.014212605075102</v>
      </c>
      <c r="AA40">
        <v>0.300868396705537</v>
      </c>
      <c r="AB40">
        <v>4.4555147352887303</v>
      </c>
      <c r="AC40">
        <v>10.2900293263645</v>
      </c>
      <c r="AJ40">
        <v>0.39111387852559498</v>
      </c>
      <c r="AK40">
        <v>1.45946170764087E-2</v>
      </c>
      <c r="AL40">
        <v>0.59429150439799505</v>
      </c>
    </row>
    <row r="41" spans="1:38" x14ac:dyDescent="0.2">
      <c r="A41">
        <v>90</v>
      </c>
      <c r="B41">
        <v>746</v>
      </c>
      <c r="C41">
        <v>175</v>
      </c>
      <c r="D41">
        <v>0.40229652161114798</v>
      </c>
      <c r="E41">
        <v>35.5507061176097</v>
      </c>
      <c r="F41">
        <v>2.5215081124760199</v>
      </c>
      <c r="G41">
        <v>-561.38849462536336</v>
      </c>
      <c r="H41">
        <v>-486.81463413518782</v>
      </c>
      <c r="I41">
        <v>73.172605102463294</v>
      </c>
      <c r="J41">
        <v>42.281567168487797</v>
      </c>
      <c r="K41">
        <v>14.0989854213478</v>
      </c>
      <c r="L41">
        <v>2.8482135165916751E-5</v>
      </c>
      <c r="M41">
        <v>1.7972391604170471E-6</v>
      </c>
      <c r="N41" s="1">
        <v>-2.8568021335350097E-7</v>
      </c>
      <c r="O41" s="1">
        <v>1.3421849673100599E-10</v>
      </c>
      <c r="P41" s="1">
        <v>1.1093887409345499E-9</v>
      </c>
      <c r="Q41">
        <v>65.936360127027797</v>
      </c>
      <c r="S41">
        <v>19.007042838542599</v>
      </c>
      <c r="AA41">
        <v>0.29565673049430702</v>
      </c>
      <c r="AB41">
        <v>4.4299999187825003</v>
      </c>
      <c r="AC41">
        <v>10.3309403851526</v>
      </c>
      <c r="AJ41">
        <v>0.388924607616493</v>
      </c>
      <c r="AK41">
        <v>1.43436693150656E-2</v>
      </c>
      <c r="AL41">
        <v>0.59673172306844002</v>
      </c>
    </row>
    <row r="42" spans="1:38" x14ac:dyDescent="0.2">
      <c r="A42">
        <v>91</v>
      </c>
      <c r="B42">
        <v>744</v>
      </c>
      <c r="C42">
        <v>175</v>
      </c>
      <c r="D42">
        <v>0.40098363073293403</v>
      </c>
      <c r="E42">
        <v>36.019352057974302</v>
      </c>
      <c r="F42">
        <v>2.5215464136813801</v>
      </c>
      <c r="G42">
        <v>-568.57397035587701</v>
      </c>
      <c r="H42">
        <v>-493.26164745978849</v>
      </c>
      <c r="I42">
        <v>74.042494121897903</v>
      </c>
      <c r="J42">
        <v>42.848867889498301</v>
      </c>
      <c r="K42">
        <v>14.2846278230457</v>
      </c>
      <c r="L42">
        <v>2.8507922319882696E-5</v>
      </c>
      <c r="M42">
        <v>1.7973331318466257E-6</v>
      </c>
      <c r="N42" s="1">
        <v>-3.0918743544461801E-7</v>
      </c>
      <c r="O42" s="1">
        <v>1.3585853631045401E-10</v>
      </c>
      <c r="P42" s="1">
        <v>1.1804555805859601E-9</v>
      </c>
      <c r="Q42">
        <v>65.9338598369621</v>
      </c>
      <c r="S42">
        <v>19.000090433452701</v>
      </c>
      <c r="AA42">
        <v>0.29050433361383798</v>
      </c>
      <c r="AB42">
        <v>4.40620152261355</v>
      </c>
      <c r="AC42">
        <v>10.3693438733577</v>
      </c>
      <c r="AJ42">
        <v>0.38688210247636201</v>
      </c>
      <c r="AK42">
        <v>1.4095409217578601E-2</v>
      </c>
      <c r="AL42">
        <v>0.59902248830605798</v>
      </c>
    </row>
    <row r="43" spans="1:38" x14ac:dyDescent="0.2">
      <c r="A43">
        <v>92</v>
      </c>
      <c r="B43">
        <v>742</v>
      </c>
      <c r="C43">
        <v>175</v>
      </c>
      <c r="D43">
        <v>0.39966556666502401</v>
      </c>
      <c r="E43">
        <v>36.3632372333795</v>
      </c>
      <c r="F43">
        <v>2.52158791926882</v>
      </c>
      <c r="G43">
        <v>-573.78824815832093</v>
      </c>
      <c r="H43">
        <v>-498.00319886960256</v>
      </c>
      <c r="I43">
        <v>74.654040574021906</v>
      </c>
      <c r="J43">
        <v>43.269512152483301</v>
      </c>
      <c r="K43">
        <v>14.4207691334132</v>
      </c>
      <c r="L43">
        <v>2.8537159235723465E-5</v>
      </c>
      <c r="M43">
        <v>1.7974462583972223E-6</v>
      </c>
      <c r="N43" s="1">
        <v>-3.3346514859078701E-7</v>
      </c>
      <c r="O43" s="1">
        <v>1.3701302906234901E-10</v>
      </c>
      <c r="P43" s="1">
        <v>1.2526015203261401E-9</v>
      </c>
      <c r="Q43">
        <v>65.931658823697006</v>
      </c>
      <c r="S43">
        <v>18.993301690351501</v>
      </c>
      <c r="AA43">
        <v>0.28541712739985098</v>
      </c>
      <c r="AB43">
        <v>4.3834991099293603</v>
      </c>
      <c r="AC43">
        <v>10.406123248622199</v>
      </c>
      <c r="AJ43">
        <v>0.38493320092697397</v>
      </c>
      <c r="AK43">
        <v>1.38501752782056E-2</v>
      </c>
      <c r="AL43">
        <v>0.60121662379481999</v>
      </c>
    </row>
    <row r="44" spans="1:38" x14ac:dyDescent="0.2">
      <c r="A44">
        <v>100</v>
      </c>
      <c r="B44">
        <v>762</v>
      </c>
      <c r="C44">
        <v>150</v>
      </c>
      <c r="D44">
        <v>0.439183210162781</v>
      </c>
      <c r="E44">
        <v>20.741935654499802</v>
      </c>
      <c r="F44">
        <v>2.5204537385303598</v>
      </c>
      <c r="G44">
        <v>-328.98313390540551</v>
      </c>
      <c r="H44">
        <v>-284.29614282362922</v>
      </c>
      <c r="I44">
        <v>43.1695803330689</v>
      </c>
      <c r="J44">
        <v>24.664557733890099</v>
      </c>
      <c r="K44">
        <v>8.22944509451467</v>
      </c>
      <c r="L44">
        <v>2.8444986350315728E-5</v>
      </c>
      <c r="M44">
        <v>1.8001011693678967E-6</v>
      </c>
      <c r="N44" s="1">
        <v>-9.9770945011538997E-8</v>
      </c>
      <c r="O44" s="1">
        <v>7.8625828451555195E-11</v>
      </c>
      <c r="P44" s="1">
        <v>4.5488715589676001E-10</v>
      </c>
      <c r="Q44">
        <v>66.006612604365699</v>
      </c>
      <c r="S44">
        <v>19.083783294459099</v>
      </c>
      <c r="AA44">
        <v>0.34257593721088803</v>
      </c>
      <c r="AB44">
        <v>4.7877388798674803</v>
      </c>
      <c r="AC44">
        <v>9.77928928409675</v>
      </c>
      <c r="AJ44">
        <v>0.41956846994359198</v>
      </c>
      <c r="AK44">
        <v>1.65897573042223E-2</v>
      </c>
      <c r="AL44">
        <v>0.56384177275218506</v>
      </c>
    </row>
    <row r="45" spans="1:38" x14ac:dyDescent="0.2">
      <c r="A45">
        <v>101</v>
      </c>
      <c r="B45">
        <v>760</v>
      </c>
      <c r="C45">
        <v>150</v>
      </c>
      <c r="D45">
        <v>0.43796205778444602</v>
      </c>
      <c r="E45">
        <v>29.460190124784599</v>
      </c>
      <c r="F45">
        <v>2.5203330266516599</v>
      </c>
      <c r="G45">
        <v>-466.9082193772557</v>
      </c>
      <c r="H45">
        <v>-403.66929517943333</v>
      </c>
      <c r="I45">
        <v>61.209818707663402</v>
      </c>
      <c r="J45">
        <v>35.016390852005898</v>
      </c>
      <c r="K45">
        <v>11.689006894427401</v>
      </c>
      <c r="L45">
        <v>2.8391788408958622E-5</v>
      </c>
      <c r="M45">
        <v>1.7991573440505072E-6</v>
      </c>
      <c r="N45" s="1">
        <v>-1.47595854851187E-7</v>
      </c>
      <c r="O45" s="1">
        <v>1.1171152895064001E-10</v>
      </c>
      <c r="P45" s="1">
        <v>6.62885951069771E-10</v>
      </c>
      <c r="Q45">
        <v>65.975164438880995</v>
      </c>
      <c r="S45">
        <v>19.0681919308457</v>
      </c>
      <c r="AA45">
        <v>0.33705090207893401</v>
      </c>
      <c r="AB45">
        <v>4.6767835425400897</v>
      </c>
      <c r="AC45">
        <v>9.9428091856541592</v>
      </c>
      <c r="AJ45">
        <v>0.41007588448707399</v>
      </c>
      <c r="AK45">
        <v>1.63313935587296E-2</v>
      </c>
      <c r="AL45">
        <v>0.57359272195419597</v>
      </c>
    </row>
    <row r="46" spans="1:38" x14ac:dyDescent="0.2">
      <c r="A46">
        <v>102</v>
      </c>
      <c r="B46">
        <v>758</v>
      </c>
      <c r="C46">
        <v>150</v>
      </c>
      <c r="D46">
        <v>0.43673616835572199</v>
      </c>
      <c r="E46">
        <v>32.561934225512999</v>
      </c>
      <c r="F46">
        <v>2.5203098829083799</v>
      </c>
      <c r="G46">
        <v>-515.80406845318043</v>
      </c>
      <c r="H46">
        <v>-446.14059659293491</v>
      </c>
      <c r="I46">
        <v>67.559008738055098</v>
      </c>
      <c r="J46">
        <v>38.699359107699301</v>
      </c>
      <c r="K46">
        <v>12.9198137285948</v>
      </c>
      <c r="L46">
        <v>2.8381426165310806E-5</v>
      </c>
      <c r="M46">
        <v>1.7988754117171795E-6</v>
      </c>
      <c r="N46" s="1">
        <v>-1.7303246798153599E-7</v>
      </c>
      <c r="O46" s="1">
        <v>1.2344385712505599E-10</v>
      </c>
      <c r="P46" s="1">
        <v>7.61196576730763E-10</v>
      </c>
      <c r="Q46">
        <v>65.963115683361707</v>
      </c>
      <c r="S46">
        <v>19.0579360727207</v>
      </c>
      <c r="AA46">
        <v>0.33140112649762898</v>
      </c>
      <c r="AB46">
        <v>4.6230464714664796</v>
      </c>
      <c r="AC46">
        <v>10.024500645953401</v>
      </c>
      <c r="AJ46">
        <v>0.40547468688725802</v>
      </c>
      <c r="AK46">
        <v>1.6062023564824501E-2</v>
      </c>
      <c r="AL46">
        <v>0.57846328954791604</v>
      </c>
    </row>
    <row r="47" spans="1:38" x14ac:dyDescent="0.2">
      <c r="A47">
        <v>103</v>
      </c>
      <c r="B47">
        <v>756</v>
      </c>
      <c r="C47">
        <v>150</v>
      </c>
      <c r="D47">
        <v>0.43550551425934297</v>
      </c>
      <c r="E47">
        <v>34.162195482879604</v>
      </c>
      <c r="F47">
        <v>2.52031374739656</v>
      </c>
      <c r="G47">
        <v>-540.91500409496962</v>
      </c>
      <c r="H47">
        <v>-468.06648814021071</v>
      </c>
      <c r="I47">
        <v>70.785129431821304</v>
      </c>
      <c r="J47">
        <v>40.601657099839997</v>
      </c>
      <c r="K47">
        <v>13.5547391741081</v>
      </c>
      <c r="L47">
        <v>2.8384244796768086E-5</v>
      </c>
      <c r="M47">
        <v>1.7987804633353484E-6</v>
      </c>
      <c r="N47" s="1">
        <v>-1.9346943275864699E-7</v>
      </c>
      <c r="O47" s="1">
        <v>1.2945432435558899E-10</v>
      </c>
      <c r="P47" s="1">
        <v>8.3301033429941105E-10</v>
      </c>
      <c r="Q47">
        <v>65.956441357261696</v>
      </c>
      <c r="S47">
        <v>19.049220805823399</v>
      </c>
      <c r="AA47">
        <v>0.32576830482170399</v>
      </c>
      <c r="AB47">
        <v>4.5853248883823996</v>
      </c>
      <c r="AC47">
        <v>10.0832446437107</v>
      </c>
      <c r="AJ47">
        <v>0.402243317726311</v>
      </c>
      <c r="AK47">
        <v>1.5792043943277101E-2</v>
      </c>
      <c r="AL47">
        <v>0.58196463833041101</v>
      </c>
    </row>
    <row r="48" spans="1:38" x14ac:dyDescent="0.2">
      <c r="A48">
        <v>104</v>
      </c>
      <c r="B48">
        <v>754</v>
      </c>
      <c r="C48">
        <v>150</v>
      </c>
      <c r="D48">
        <v>0.43427006766295001</v>
      </c>
      <c r="E48">
        <v>35.141819863861301</v>
      </c>
      <c r="F48">
        <v>2.5203298982160001</v>
      </c>
      <c r="G48">
        <v>-556.197603623144</v>
      </c>
      <c r="H48">
        <v>-481.50255547031952</v>
      </c>
      <c r="I48">
        <v>72.720681646131894</v>
      </c>
      <c r="J48">
        <v>41.768757222172198</v>
      </c>
      <c r="K48">
        <v>13.9433412620848</v>
      </c>
      <c r="L48">
        <v>2.8393721975130322E-5</v>
      </c>
      <c r="M48">
        <v>1.7987673069038685E-6</v>
      </c>
      <c r="N48" s="1">
        <v>-2.1247321999704799E-7</v>
      </c>
      <c r="O48" s="1">
        <v>1.3309342971289399E-10</v>
      </c>
      <c r="P48" s="1">
        <v>8.9566281872461895E-10</v>
      </c>
      <c r="Q48">
        <v>65.952004641270406</v>
      </c>
      <c r="S48">
        <v>19.041204061121199</v>
      </c>
      <c r="AA48">
        <v>0.32018965538025301</v>
      </c>
      <c r="AB48">
        <v>4.5544209661984603</v>
      </c>
      <c r="AC48">
        <v>10.132180676029501</v>
      </c>
      <c r="AJ48">
        <v>0.39959505953880498</v>
      </c>
      <c r="AK48">
        <v>1.5524049793853001E-2</v>
      </c>
      <c r="AL48">
        <v>0.58488089066734095</v>
      </c>
    </row>
    <row r="49" spans="1:38" x14ac:dyDescent="0.2">
      <c r="A49">
        <v>105</v>
      </c>
      <c r="B49">
        <v>752</v>
      </c>
      <c r="C49">
        <v>150</v>
      </c>
      <c r="D49">
        <v>0.43302980051699702</v>
      </c>
      <c r="E49">
        <v>35.830025244828498</v>
      </c>
      <c r="F49">
        <v>2.52035257549672</v>
      </c>
      <c r="G49">
        <v>-566.86454647872858</v>
      </c>
      <c r="H49">
        <v>-490.95247899598473</v>
      </c>
      <c r="I49">
        <v>74.049717097735595</v>
      </c>
      <c r="J49">
        <v>42.591182679048302</v>
      </c>
      <c r="K49">
        <v>14.2162749740547</v>
      </c>
      <c r="L49">
        <v>2.8407154178838808E-5</v>
      </c>
      <c r="M49">
        <v>1.7987919332321924E-6</v>
      </c>
      <c r="N49" s="1">
        <v>-2.3140573873824901E-7</v>
      </c>
      <c r="O49" s="1">
        <v>1.3561426042457499E-10</v>
      </c>
      <c r="P49" s="1">
        <v>9.55706247826419E-10</v>
      </c>
      <c r="Q49">
        <v>65.948479927897196</v>
      </c>
      <c r="S49">
        <v>19.033536733715099</v>
      </c>
      <c r="AA49">
        <v>0.31468647544280298</v>
      </c>
      <c r="AB49">
        <v>4.5264654358182499</v>
      </c>
      <c r="AC49">
        <v>10.176831427126499</v>
      </c>
      <c r="AJ49">
        <v>0.39719874585915099</v>
      </c>
      <c r="AK49">
        <v>1.5259402502442201E-2</v>
      </c>
      <c r="AL49">
        <v>0.587541851638406</v>
      </c>
    </row>
    <row r="50" spans="1:38" x14ac:dyDescent="0.2">
      <c r="A50">
        <v>106</v>
      </c>
      <c r="B50">
        <v>750</v>
      </c>
      <c r="C50">
        <v>150</v>
      </c>
      <c r="D50">
        <v>0.43178468455260599</v>
      </c>
      <c r="E50">
        <v>36.312496969222202</v>
      </c>
      <c r="F50">
        <v>2.5203807694601701</v>
      </c>
      <c r="G50">
        <v>-574.27575924576411</v>
      </c>
      <c r="H50">
        <v>-497.58933913543353</v>
      </c>
      <c r="I50">
        <v>74.951297571549105</v>
      </c>
      <c r="J50">
        <v>43.170756417562203</v>
      </c>
      <c r="K50">
        <v>14.4075440541469</v>
      </c>
      <c r="L50">
        <v>2.8424393818459412E-5</v>
      </c>
      <c r="M50">
        <v>1.798849807623683E-6</v>
      </c>
      <c r="N50" s="1">
        <v>-2.5061948301466202E-7</v>
      </c>
      <c r="O50" s="1">
        <v>1.37342280900385E-10</v>
      </c>
      <c r="P50" s="1">
        <v>1.0148338790761499E-9</v>
      </c>
      <c r="Q50">
        <v>65.945725908946301</v>
      </c>
      <c r="S50">
        <v>19.026170545555502</v>
      </c>
      <c r="AA50">
        <v>0.30925190745974201</v>
      </c>
      <c r="AB50">
        <v>4.5010168323205297</v>
      </c>
      <c r="AC50">
        <v>10.2178348057178</v>
      </c>
      <c r="AJ50">
        <v>0.395016734204923</v>
      </c>
      <c r="AK50">
        <v>1.4997816458546901E-2</v>
      </c>
      <c r="AL50">
        <v>0.58998544933652897</v>
      </c>
    </row>
    <row r="51" spans="1:38" x14ac:dyDescent="0.2">
      <c r="A51">
        <v>107</v>
      </c>
      <c r="B51">
        <v>748</v>
      </c>
      <c r="C51">
        <v>150</v>
      </c>
      <c r="D51">
        <v>0.43053469127944</v>
      </c>
      <c r="E51">
        <v>36.668203118188799</v>
      </c>
      <c r="F51">
        <v>2.5204130356666301</v>
      </c>
      <c r="G51">
        <v>-579.68121282864865</v>
      </c>
      <c r="H51">
        <v>-502.49303517740424</v>
      </c>
      <c r="I51">
        <v>75.589460560392098</v>
      </c>
      <c r="J51">
        <v>43.601159869619103</v>
      </c>
      <c r="K51">
        <v>14.5484897115247</v>
      </c>
      <c r="L51">
        <v>2.8444860318626063E-5</v>
      </c>
      <c r="M51">
        <v>1.7989300788789617E-6</v>
      </c>
      <c r="N51" s="1">
        <v>-2.7048632781838402E-7</v>
      </c>
      <c r="O51" s="1">
        <v>1.38577878529898E-10</v>
      </c>
      <c r="P51" s="1">
        <v>1.0747376336661401E-9</v>
      </c>
      <c r="Q51">
        <v>65.943406469747103</v>
      </c>
      <c r="S51">
        <v>19.019015813064101</v>
      </c>
      <c r="AA51">
        <v>0.30389038932415302</v>
      </c>
      <c r="AB51">
        <v>4.47709102502363</v>
      </c>
      <c r="AC51">
        <v>10.2565963028408</v>
      </c>
      <c r="AJ51">
        <v>0.39296477704878302</v>
      </c>
      <c r="AK51">
        <v>1.47395917986831E-2</v>
      </c>
      <c r="AL51">
        <v>0.59229563115253303</v>
      </c>
    </row>
    <row r="52" spans="1:38" x14ac:dyDescent="0.2">
      <c r="A52">
        <v>118</v>
      </c>
      <c r="B52">
        <v>770</v>
      </c>
      <c r="C52">
        <v>125</v>
      </c>
      <c r="D52">
        <v>0.47038345396155901</v>
      </c>
      <c r="E52">
        <v>21.724338460891001</v>
      </c>
      <c r="F52">
        <v>2.5194820747253801</v>
      </c>
      <c r="G52">
        <v>-345.4109009724304</v>
      </c>
      <c r="H52">
        <v>-297.98961853633278</v>
      </c>
      <c r="I52">
        <v>45.459696530793799</v>
      </c>
      <c r="J52">
        <v>25.836967187489801</v>
      </c>
      <c r="K52">
        <v>8.6225413861136104</v>
      </c>
      <c r="L52">
        <v>2.8434807066553191E-5</v>
      </c>
      <c r="M52">
        <v>1.8021386051876214E-6</v>
      </c>
      <c r="N52" s="1">
        <v>-7.8243028643499099E-8</v>
      </c>
      <c r="O52" s="1">
        <v>8.2445696737930403E-11</v>
      </c>
      <c r="P52" s="1">
        <v>4.0006867513489701E-10</v>
      </c>
      <c r="Q52">
        <v>66.029306988664104</v>
      </c>
      <c r="S52">
        <v>19.125934014431198</v>
      </c>
      <c r="AA52">
        <v>0.372055288452808</v>
      </c>
      <c r="AB52">
        <v>4.9488156908265299</v>
      </c>
      <c r="AC52">
        <v>9.5238880176252501</v>
      </c>
      <c r="AJ52">
        <v>0.43332989894389301</v>
      </c>
      <c r="AK52">
        <v>1.8002617256679902E-2</v>
      </c>
      <c r="AL52">
        <v>0.54866748379942598</v>
      </c>
    </row>
    <row r="53" spans="1:38" x14ac:dyDescent="0.2">
      <c r="A53">
        <v>119</v>
      </c>
      <c r="B53">
        <v>768</v>
      </c>
      <c r="C53">
        <v>125</v>
      </c>
      <c r="D53">
        <v>0.46923161888296799</v>
      </c>
      <c r="E53">
        <v>29.635617890503202</v>
      </c>
      <c r="F53">
        <v>2.5192816122060102</v>
      </c>
      <c r="G53">
        <v>-470.79928913996866</v>
      </c>
      <c r="H53">
        <v>-406.34835399812948</v>
      </c>
      <c r="I53">
        <v>61.903601922719297</v>
      </c>
      <c r="J53">
        <v>35.225583919305102</v>
      </c>
      <c r="K53">
        <v>11.763519309202101</v>
      </c>
      <c r="L53">
        <v>2.8364844806536045E-5</v>
      </c>
      <c r="M53">
        <v>1.8009690600542541E-6</v>
      </c>
      <c r="N53" s="1">
        <v>-1.10547369375333E-7</v>
      </c>
      <c r="O53" s="1">
        <v>1.12541632992289E-10</v>
      </c>
      <c r="P53" s="1">
        <v>5.5661932213481198E-10</v>
      </c>
      <c r="Q53">
        <v>65.992533275527407</v>
      </c>
      <c r="S53">
        <v>19.107179579520999</v>
      </c>
      <c r="AA53">
        <v>0.36516333085341302</v>
      </c>
      <c r="AB53">
        <v>4.8177002534690203</v>
      </c>
      <c r="AC53">
        <v>9.7174235606291202</v>
      </c>
      <c r="AJ53">
        <v>0.42212973403756199</v>
      </c>
      <c r="AK53">
        <v>1.7680889853956199E-2</v>
      </c>
      <c r="AL53">
        <v>0.56018937610847996</v>
      </c>
    </row>
    <row r="54" spans="1:38" x14ac:dyDescent="0.2">
      <c r="A54">
        <v>120</v>
      </c>
      <c r="B54">
        <v>766</v>
      </c>
      <c r="C54">
        <v>125</v>
      </c>
      <c r="D54">
        <v>0.46807535004571499</v>
      </c>
      <c r="E54">
        <v>32.747713643505897</v>
      </c>
      <c r="F54">
        <v>2.5192183003805302</v>
      </c>
      <c r="G54">
        <v>-519.94713691543723</v>
      </c>
      <c r="H54">
        <v>-448.96797535188472</v>
      </c>
      <c r="I54">
        <v>68.305020029401305</v>
      </c>
      <c r="J54">
        <v>38.916335414754599</v>
      </c>
      <c r="K54">
        <v>12.999156777544499</v>
      </c>
      <c r="L54">
        <v>2.8341706515709264E-5</v>
      </c>
      <c r="M54">
        <v>1.8005527250830144E-6</v>
      </c>
      <c r="N54" s="1">
        <v>-1.2940236125218399E-7</v>
      </c>
      <c r="O54" s="1">
        <v>1.24362739463565E-10</v>
      </c>
      <c r="P54" s="1">
        <v>6.3604712739667301E-10</v>
      </c>
      <c r="Q54">
        <v>65.977455599823003</v>
      </c>
      <c r="S54">
        <v>19.095182892373899</v>
      </c>
      <c r="AA54">
        <v>0.358784110621441</v>
      </c>
      <c r="AB54">
        <v>4.7526495865627103</v>
      </c>
      <c r="AC54">
        <v>9.8159278106188594</v>
      </c>
      <c r="AJ54">
        <v>0.41656746007586198</v>
      </c>
      <c r="AK54">
        <v>1.7377749757817799E-2</v>
      </c>
      <c r="AL54">
        <v>0.56605479016631899</v>
      </c>
    </row>
    <row r="55" spans="1:38" x14ac:dyDescent="0.2">
      <c r="A55">
        <v>121</v>
      </c>
      <c r="B55">
        <v>764</v>
      </c>
      <c r="C55">
        <v>125</v>
      </c>
      <c r="D55">
        <v>0.46691462180012799</v>
      </c>
      <c r="E55">
        <v>34.400292904396103</v>
      </c>
      <c r="F55">
        <v>2.5191964768175898</v>
      </c>
      <c r="G55">
        <v>-545.92869855579511</v>
      </c>
      <c r="H55">
        <v>-471.61121056219082</v>
      </c>
      <c r="I55">
        <v>71.655486664035394</v>
      </c>
      <c r="J55">
        <v>40.876500349508298</v>
      </c>
      <c r="K55">
        <v>13.655263978398599</v>
      </c>
      <c r="L55">
        <v>2.8334175200631574E-5</v>
      </c>
      <c r="M55">
        <v>1.8003738628529279E-6</v>
      </c>
      <c r="N55" s="1">
        <v>-1.44945552771894E-7</v>
      </c>
      <c r="O55" s="1">
        <v>1.3061295047606099E-10</v>
      </c>
      <c r="P55" s="1">
        <v>6.9427368472077102E-10</v>
      </c>
      <c r="Q55">
        <v>65.969171501911703</v>
      </c>
      <c r="S55">
        <v>19.085343013808401</v>
      </c>
      <c r="AA55">
        <v>0.352599091049347</v>
      </c>
      <c r="AB55">
        <v>4.7083923976121103</v>
      </c>
      <c r="AC55">
        <v>9.8844939956183193</v>
      </c>
      <c r="AJ55">
        <v>0.41278108627286397</v>
      </c>
      <c r="AK55">
        <v>1.70820157729429E-2</v>
      </c>
      <c r="AL55">
        <v>0.57013689795419198</v>
      </c>
    </row>
    <row r="56" spans="1:38" x14ac:dyDescent="0.2">
      <c r="A56">
        <v>122</v>
      </c>
      <c r="B56">
        <v>762</v>
      </c>
      <c r="C56">
        <v>125</v>
      </c>
      <c r="D56">
        <v>0.46574940829831801</v>
      </c>
      <c r="E56">
        <v>35.424017077607701</v>
      </c>
      <c r="F56">
        <v>2.5191934156907001</v>
      </c>
      <c r="G56">
        <v>-561.93302475043652</v>
      </c>
      <c r="H56">
        <v>-485.65076794118374</v>
      </c>
      <c r="I56">
        <v>73.691983586197907</v>
      </c>
      <c r="J56">
        <v>42.091801937841801</v>
      </c>
      <c r="K56">
        <v>14.0616503905458</v>
      </c>
      <c r="L56">
        <v>2.8334305995107847E-5</v>
      </c>
      <c r="M56">
        <v>1.8003009882273918E-6</v>
      </c>
      <c r="N56" s="1">
        <v>-1.5954202516541399E-7</v>
      </c>
      <c r="O56" s="1">
        <v>1.3445740405617E-10</v>
      </c>
      <c r="P56" s="1">
        <v>7.4473424126157796E-10</v>
      </c>
      <c r="Q56">
        <v>65.963834822867199</v>
      </c>
      <c r="S56">
        <v>19.076494353704099</v>
      </c>
      <c r="AA56">
        <v>0.34654409695819099</v>
      </c>
      <c r="AB56">
        <v>4.6733019816349497</v>
      </c>
      <c r="AC56">
        <v>9.9398247448354606</v>
      </c>
      <c r="AJ56">
        <v>0.40977776585595299</v>
      </c>
      <c r="AK56">
        <v>1.6791668069834599E-2</v>
      </c>
      <c r="AL56">
        <v>0.57343056607421194</v>
      </c>
    </row>
    <row r="57" spans="1:38" x14ac:dyDescent="0.2">
      <c r="A57">
        <v>123</v>
      </c>
      <c r="B57">
        <v>760</v>
      </c>
      <c r="C57">
        <v>125</v>
      </c>
      <c r="D57">
        <v>0.464579683492232</v>
      </c>
      <c r="E57">
        <v>36.117243587921898</v>
      </c>
      <c r="F57">
        <v>2.5192010727665899</v>
      </c>
      <c r="G57">
        <v>-572.69540273276959</v>
      </c>
      <c r="H57">
        <v>-495.16978972157966</v>
      </c>
      <c r="I57">
        <v>75.038099996312198</v>
      </c>
      <c r="J57">
        <v>42.916134048639499</v>
      </c>
      <c r="K57">
        <v>14.3367847760789</v>
      </c>
      <c r="L57">
        <v>2.8339244774110151E-5</v>
      </c>
      <c r="M57">
        <v>1.8002861909297068E-6</v>
      </c>
      <c r="N57" s="1">
        <v>-1.7403591157055399E-7</v>
      </c>
      <c r="O57" s="1">
        <v>1.37033707519011E-10</v>
      </c>
      <c r="P57" s="1">
        <v>7.9223178084812796E-10</v>
      </c>
      <c r="Q57">
        <v>65.960032804947403</v>
      </c>
      <c r="S57">
        <v>19.068210780427801</v>
      </c>
      <c r="AA57">
        <v>0.34059721309292201</v>
      </c>
      <c r="AB57">
        <v>4.6431129242749298</v>
      </c>
      <c r="AC57">
        <v>9.9880462772568492</v>
      </c>
      <c r="AJ57">
        <v>0.40719309284974903</v>
      </c>
      <c r="AK57">
        <v>1.6506045454097E-2</v>
      </c>
      <c r="AL57">
        <v>0.57630086169615402</v>
      </c>
    </row>
    <row r="58" spans="1:38" x14ac:dyDescent="0.2">
      <c r="A58">
        <v>124</v>
      </c>
      <c r="B58">
        <v>758</v>
      </c>
      <c r="C58">
        <v>125</v>
      </c>
      <c r="D58">
        <v>0.46340542113174599</v>
      </c>
      <c r="E58">
        <v>36.613721317494203</v>
      </c>
      <c r="F58">
        <v>2.51921585411753</v>
      </c>
      <c r="G58">
        <v>-580.33807330809987</v>
      </c>
      <c r="H58">
        <v>-501.99819055955334</v>
      </c>
      <c r="I58">
        <v>75.973314016919403</v>
      </c>
      <c r="J58">
        <v>43.508115462058498</v>
      </c>
      <c r="K58">
        <v>14.5337769519237</v>
      </c>
      <c r="L58">
        <v>2.8347745738827002E-5</v>
      </c>
      <c r="M58">
        <v>1.8003078484682142E-6</v>
      </c>
      <c r="N58" s="1">
        <v>-1.8882378806275299E-7</v>
      </c>
      <c r="O58" s="1">
        <v>1.38851890093311E-10</v>
      </c>
      <c r="P58" s="1">
        <v>8.3896704321656398E-10</v>
      </c>
      <c r="Q58">
        <v>65.957121866786196</v>
      </c>
      <c r="S58">
        <v>19.0602979317162</v>
      </c>
      <c r="AA58">
        <v>0.33474825950956899</v>
      </c>
      <c r="AB58">
        <v>4.6158814930228198</v>
      </c>
      <c r="AC58">
        <v>10.0319504489651</v>
      </c>
      <c r="AJ58">
        <v>0.40486096461652099</v>
      </c>
      <c r="AK58">
        <v>1.6224838147378601E-2</v>
      </c>
      <c r="AL58">
        <v>0.57891419723609905</v>
      </c>
    </row>
    <row r="59" spans="1:38" x14ac:dyDescent="0.2">
      <c r="A59">
        <v>125</v>
      </c>
      <c r="B59">
        <v>756</v>
      </c>
      <c r="C59">
        <v>125</v>
      </c>
      <c r="D59">
        <v>0.46222659476266797</v>
      </c>
      <c r="E59">
        <v>37.006476128884898</v>
      </c>
      <c r="F59">
        <v>2.5192350889306701</v>
      </c>
      <c r="G59">
        <v>-586.33482917795061</v>
      </c>
      <c r="H59">
        <v>-507.40795326530809</v>
      </c>
      <c r="I59">
        <v>76.691323823196299</v>
      </c>
      <c r="J59">
        <v>43.9779736135973</v>
      </c>
      <c r="K59">
        <v>14.6895683898214</v>
      </c>
      <c r="L59">
        <v>2.8358741809028739E-5</v>
      </c>
      <c r="M59">
        <v>1.8003476851625391E-6</v>
      </c>
      <c r="N59" s="1">
        <v>-2.04225342928978E-7</v>
      </c>
      <c r="O59" s="1">
        <v>1.4026688982311301E-10</v>
      </c>
      <c r="P59" s="1">
        <v>8.8659374142664104E-10</v>
      </c>
      <c r="Q59">
        <v>65.954550561857303</v>
      </c>
      <c r="S59">
        <v>19.0525991769257</v>
      </c>
      <c r="AA59">
        <v>0.32899668683163902</v>
      </c>
      <c r="AB59">
        <v>4.58996819126709</v>
      </c>
      <c r="AC59">
        <v>10.0738853831181</v>
      </c>
      <c r="AJ59">
        <v>0.40264112454684697</v>
      </c>
      <c r="AK59">
        <v>1.594816679852E-2</v>
      </c>
      <c r="AL59">
        <v>0.58141070865463196</v>
      </c>
    </row>
    <row r="60" spans="1:38" x14ac:dyDescent="0.2">
      <c r="A60">
        <v>126</v>
      </c>
      <c r="B60">
        <v>754</v>
      </c>
      <c r="C60">
        <v>125</v>
      </c>
      <c r="D60">
        <v>0.46104317772477099</v>
      </c>
      <c r="E60">
        <v>37.296665343272501</v>
      </c>
      <c r="F60">
        <v>2.51925904086022</v>
      </c>
      <c r="G60">
        <v>-590.70704166504959</v>
      </c>
      <c r="H60">
        <v>-511.41566000569605</v>
      </c>
      <c r="I60">
        <v>77.195523204355297</v>
      </c>
      <c r="J60">
        <v>44.327260659435296</v>
      </c>
      <c r="K60">
        <v>14.804617047454199</v>
      </c>
      <c r="L60">
        <v>2.8372670080630928E-5</v>
      </c>
      <c r="M60">
        <v>1.800410737658699E-6</v>
      </c>
      <c r="N60" s="1">
        <v>-2.20258658813027E-7</v>
      </c>
      <c r="O60" s="1">
        <v>1.4128237176073E-10</v>
      </c>
      <c r="P60" s="1">
        <v>9.3516564521065491E-10</v>
      </c>
      <c r="Q60">
        <v>65.952465992221306</v>
      </c>
      <c r="S60">
        <v>19.045142639532799</v>
      </c>
      <c r="AA60">
        <v>0.32333137296035103</v>
      </c>
      <c r="AB60">
        <v>4.5657745574120501</v>
      </c>
      <c r="AC60">
        <v>10.1132854378733</v>
      </c>
      <c r="AJ60">
        <v>0.40056807298858199</v>
      </c>
      <c r="AK60">
        <v>1.5675467582484601E-2</v>
      </c>
      <c r="AL60">
        <v>0.58375645942893195</v>
      </c>
    </row>
    <row r="61" spans="1:38" x14ac:dyDescent="0.2">
      <c r="A61">
        <v>139</v>
      </c>
      <c r="B61">
        <v>782</v>
      </c>
      <c r="C61">
        <v>100</v>
      </c>
      <c r="D61">
        <v>0.50326541250059598</v>
      </c>
      <c r="E61">
        <v>14.3591506003643</v>
      </c>
      <c r="F61">
        <v>2.5190296104860299</v>
      </c>
      <c r="G61">
        <v>-229.19806666219867</v>
      </c>
      <c r="H61">
        <v>-197.22241027204797</v>
      </c>
      <c r="I61">
        <v>30.3043703645459</v>
      </c>
      <c r="J61">
        <v>17.099165308311001</v>
      </c>
      <c r="K61">
        <v>5.7002706679552704</v>
      </c>
      <c r="L61">
        <v>2.8544003324102014E-5</v>
      </c>
      <c r="M61">
        <v>1.805799080100852E-6</v>
      </c>
      <c r="N61" s="1">
        <v>-3.4293616673720701E-8</v>
      </c>
      <c r="O61" s="1">
        <v>5.44709309467653E-11</v>
      </c>
      <c r="P61" s="1">
        <v>2.1352388388406099E-10</v>
      </c>
      <c r="Q61">
        <v>66.096570772689503</v>
      </c>
      <c r="S61">
        <v>19.206413838082302</v>
      </c>
      <c r="AA61">
        <v>0.42275688256500898</v>
      </c>
      <c r="AB61">
        <v>5.3096977477793699</v>
      </c>
      <c r="AC61">
        <v>8.9645607588836906</v>
      </c>
      <c r="AJ61">
        <v>0.464080149440598</v>
      </c>
      <c r="AK61">
        <v>2.0418539265572501E-2</v>
      </c>
      <c r="AL61">
        <v>0.51550131129382804</v>
      </c>
    </row>
    <row r="62" spans="1:38" x14ac:dyDescent="0.2">
      <c r="A62">
        <v>140</v>
      </c>
      <c r="B62">
        <v>780</v>
      </c>
      <c r="C62">
        <v>100</v>
      </c>
      <c r="D62">
        <v>0.50218914684517901</v>
      </c>
      <c r="E62">
        <v>26.786621521736802</v>
      </c>
      <c r="F62">
        <v>2.5184448787546199</v>
      </c>
      <c r="G62">
        <v>-426.98487730918526</v>
      </c>
      <c r="H62">
        <v>-367.58649083295086</v>
      </c>
      <c r="I62">
        <v>56.400689812689798</v>
      </c>
      <c r="J62">
        <v>31.860144381046599</v>
      </c>
      <c r="K62">
        <v>10.636175422264101</v>
      </c>
      <c r="L62">
        <v>2.8396039267890887E-5</v>
      </c>
      <c r="M62">
        <v>1.8033556435592174E-6</v>
      </c>
      <c r="N62" s="1">
        <v>-6.3513662167749105E-8</v>
      </c>
      <c r="O62" s="1">
        <v>1.017932000968E-10</v>
      </c>
      <c r="P62" s="1">
        <v>3.96644131715998E-10</v>
      </c>
      <c r="Q62">
        <v>66.026555585343601</v>
      </c>
      <c r="S62">
        <v>19.172094615644301</v>
      </c>
      <c r="AA62">
        <v>0.410780259451129</v>
      </c>
      <c r="AB62">
        <v>5.0637003534188203</v>
      </c>
      <c r="AC62">
        <v>9.3268691861420603</v>
      </c>
      <c r="AJ62">
        <v>0.44313104630811501</v>
      </c>
      <c r="AK62">
        <v>1.9864815477815101E-2</v>
      </c>
      <c r="AL62">
        <v>0.537004138214069</v>
      </c>
    </row>
    <row r="63" spans="1:38" x14ac:dyDescent="0.2">
      <c r="A63">
        <v>141</v>
      </c>
      <c r="B63">
        <v>778</v>
      </c>
      <c r="C63">
        <v>100</v>
      </c>
      <c r="D63">
        <v>0.501108785615755</v>
      </c>
      <c r="E63">
        <v>31.560993897812502</v>
      </c>
      <c r="F63">
        <v>2.5182433710227299</v>
      </c>
      <c r="G63">
        <v>-502.70835261129702</v>
      </c>
      <c r="H63">
        <v>-432.97111035501422</v>
      </c>
      <c r="I63">
        <v>66.343758984239003</v>
      </c>
      <c r="J63">
        <v>37.520148304852</v>
      </c>
      <c r="K63">
        <v>12.532940326968699</v>
      </c>
      <c r="L63">
        <v>2.8338702249559605E-5</v>
      </c>
      <c r="M63">
        <v>1.8024445506505725E-6</v>
      </c>
      <c r="N63" s="1">
        <v>-7.8404049446716002E-8</v>
      </c>
      <c r="O63" s="1">
        <v>1.20004787602967E-10</v>
      </c>
      <c r="P63" s="1">
        <v>4.7766773678037E-10</v>
      </c>
      <c r="Q63">
        <v>65.998696810705795</v>
      </c>
      <c r="S63">
        <v>19.1540269047088</v>
      </c>
      <c r="AA63">
        <v>0.40237467713867903</v>
      </c>
      <c r="AB63">
        <v>4.9542517146863396</v>
      </c>
      <c r="AC63">
        <v>9.4906498927602403</v>
      </c>
      <c r="AJ63">
        <v>0.43379364913693802</v>
      </c>
      <c r="AK63">
        <v>1.9469130345197701E-2</v>
      </c>
      <c r="AL63">
        <v>0.546737220517863</v>
      </c>
    </row>
    <row r="64" spans="1:38" x14ac:dyDescent="0.2">
      <c r="A64">
        <v>142</v>
      </c>
      <c r="B64">
        <v>776</v>
      </c>
      <c r="C64">
        <v>100</v>
      </c>
      <c r="D64">
        <v>0.50002430539008103</v>
      </c>
      <c r="E64">
        <v>33.903347213167102</v>
      </c>
      <c r="F64">
        <v>2.5181533080027898</v>
      </c>
      <c r="G64">
        <v>-539.71403307078947</v>
      </c>
      <c r="H64">
        <v>-465.05019513124449</v>
      </c>
      <c r="I64">
        <v>71.166027679116297</v>
      </c>
      <c r="J64">
        <v>40.294181144929297</v>
      </c>
      <c r="K64">
        <v>13.4635755120313</v>
      </c>
      <c r="L64">
        <v>2.8311705159458732E-5</v>
      </c>
      <c r="M64">
        <v>1.8020335074453913E-6</v>
      </c>
      <c r="N64" s="1">
        <v>-8.97764536084109E-8</v>
      </c>
      <c r="O64" s="1">
        <v>1.2893243637424199E-10</v>
      </c>
      <c r="P64" s="1">
        <v>5.29318641753269E-10</v>
      </c>
      <c r="Q64">
        <v>65.984870147392996</v>
      </c>
      <c r="S64">
        <v>19.1411255011494</v>
      </c>
      <c r="AA64">
        <v>0.39495714996377601</v>
      </c>
      <c r="AB64">
        <v>4.8896170301217303</v>
      </c>
      <c r="AC64">
        <v>9.5894301713720491</v>
      </c>
      <c r="AJ64">
        <v>0.42827462134087102</v>
      </c>
      <c r="AK64">
        <v>1.9116494898698499E-2</v>
      </c>
      <c r="AL64">
        <v>0.55260888376042905</v>
      </c>
    </row>
    <row r="65" spans="1:38" x14ac:dyDescent="0.2">
      <c r="A65">
        <v>143</v>
      </c>
      <c r="B65">
        <v>774</v>
      </c>
      <c r="C65">
        <v>100</v>
      </c>
      <c r="D65">
        <v>0.49893568256697302</v>
      </c>
      <c r="E65">
        <v>35.280333452939999</v>
      </c>
      <c r="F65">
        <v>2.5181070978809998</v>
      </c>
      <c r="G65">
        <v>-561.36332610965144</v>
      </c>
      <c r="H65">
        <v>-483.91862960525748</v>
      </c>
      <c r="I65">
        <v>73.957595859613093</v>
      </c>
      <c r="J65">
        <v>41.923970101282201</v>
      </c>
      <c r="K65">
        <v>14.010656450088399</v>
      </c>
      <c r="L65">
        <v>2.8297579818051662E-5</v>
      </c>
      <c r="M65">
        <v>1.8018253847010989E-6</v>
      </c>
      <c r="N65" s="1">
        <v>-1.00178128301239E-7</v>
      </c>
      <c r="O65" s="1">
        <v>1.34167095873966E-10</v>
      </c>
      <c r="P65" s="1">
        <v>5.7054563745323598E-10</v>
      </c>
      <c r="Q65">
        <v>65.976712493310799</v>
      </c>
      <c r="S65">
        <v>19.1303405157466</v>
      </c>
      <c r="AA65">
        <v>0.38796290363486802</v>
      </c>
      <c r="AB65">
        <v>4.84316389401845</v>
      </c>
      <c r="AC65">
        <v>9.6618201932891701</v>
      </c>
      <c r="AJ65">
        <v>0.42430585965661199</v>
      </c>
      <c r="AK65">
        <v>1.8782390034960201E-2</v>
      </c>
      <c r="AL65">
        <v>0.55691175030842699</v>
      </c>
    </row>
    <row r="66" spans="1:38" x14ac:dyDescent="0.2">
      <c r="A66">
        <v>144</v>
      </c>
      <c r="B66">
        <v>772</v>
      </c>
      <c r="C66">
        <v>100</v>
      </c>
      <c r="D66">
        <v>0.49784289336458698</v>
      </c>
      <c r="E66">
        <v>36.181244199832797</v>
      </c>
      <c r="F66">
        <v>2.5180831422274199</v>
      </c>
      <c r="G66">
        <v>-575.44321057302216</v>
      </c>
      <c r="H66">
        <v>-496.27493808285294</v>
      </c>
      <c r="I66">
        <v>75.748239477748697</v>
      </c>
      <c r="J66">
        <v>42.990032306399399</v>
      </c>
      <c r="K66">
        <v>14.3685661498166</v>
      </c>
      <c r="L66">
        <v>2.8290420290050462E-5</v>
      </c>
      <c r="M66">
        <v>1.8017195364412457E-6</v>
      </c>
      <c r="N66" s="1">
        <v>-1.10400871025679E-7</v>
      </c>
      <c r="O66" s="1">
        <v>1.3757675242045E-10</v>
      </c>
      <c r="P66" s="1">
        <v>6.0749157860991103E-10</v>
      </c>
      <c r="Q66">
        <v>65.971354917507199</v>
      </c>
      <c r="S66">
        <v>19.120650536529698</v>
      </c>
      <c r="AA66">
        <v>0.381218688634539</v>
      </c>
      <c r="AB66">
        <v>4.8058212833015501</v>
      </c>
      <c r="AC66">
        <v>9.7209545740268997</v>
      </c>
      <c r="AJ66">
        <v>0.42111411654766101</v>
      </c>
      <c r="AK66">
        <v>1.8459381991518999E-2</v>
      </c>
      <c r="AL66">
        <v>0.56042650146081896</v>
      </c>
    </row>
    <row r="67" spans="1:38" x14ac:dyDescent="0.2">
      <c r="A67">
        <v>145</v>
      </c>
      <c r="B67">
        <v>770</v>
      </c>
      <c r="C67">
        <v>100</v>
      </c>
      <c r="D67">
        <v>0.49674591381872402</v>
      </c>
      <c r="E67">
        <v>36.811660539204901</v>
      </c>
      <c r="F67">
        <v>2.5180725425774799</v>
      </c>
      <c r="G67">
        <v>-585.22394914408369</v>
      </c>
      <c r="H67">
        <v>-504.93228633419585</v>
      </c>
      <c r="I67">
        <v>76.970390461475006</v>
      </c>
      <c r="J67">
        <v>43.736163161398203</v>
      </c>
      <c r="K67">
        <v>14.618983336169</v>
      </c>
      <c r="L67">
        <v>2.8287745938677386E-5</v>
      </c>
      <c r="M67">
        <v>1.80167326693821E-6</v>
      </c>
      <c r="N67" s="1">
        <v>-1.2077676847383301E-7</v>
      </c>
      <c r="O67" s="1">
        <v>1.39946811809438E-10</v>
      </c>
      <c r="P67" s="1">
        <v>6.4273147070852005E-10</v>
      </c>
      <c r="Q67">
        <v>65.967570257240595</v>
      </c>
      <c r="S67">
        <v>19.111622821358399</v>
      </c>
      <c r="AA67">
        <v>0.37465382991533602</v>
      </c>
      <c r="AB67">
        <v>4.7737200418181098</v>
      </c>
      <c r="AC67">
        <v>9.7724330496674803</v>
      </c>
      <c r="AJ67">
        <v>0.41836940274713402</v>
      </c>
      <c r="AK67">
        <v>1.8144455339025901E-2</v>
      </c>
      <c r="AL67">
        <v>0.56348614191383894</v>
      </c>
    </row>
    <row r="68" spans="1:38" x14ac:dyDescent="0.2">
      <c r="A68">
        <v>146</v>
      </c>
      <c r="B68">
        <v>768</v>
      </c>
      <c r="C68">
        <v>100</v>
      </c>
      <c r="D68">
        <v>0.49564471978101199</v>
      </c>
      <c r="E68">
        <v>37.272820022818401</v>
      </c>
      <c r="F68">
        <v>2.5180709560891898</v>
      </c>
      <c r="G68">
        <v>-592.31549428573544</v>
      </c>
      <c r="H68">
        <v>-511.27557399482481</v>
      </c>
      <c r="I68">
        <v>77.836930596850095</v>
      </c>
      <c r="J68">
        <v>44.282392229085502</v>
      </c>
      <c r="K68">
        <v>14.8021325343058</v>
      </c>
      <c r="L68">
        <v>2.8288355640836083E-5</v>
      </c>
      <c r="M68">
        <v>1.8016654453451083E-6</v>
      </c>
      <c r="N68" s="1">
        <v>-1.3148100547953701E-7</v>
      </c>
      <c r="O68" s="1">
        <v>1.4166413118283599E-10</v>
      </c>
      <c r="P68" s="1">
        <v>6.7756425107399E-10</v>
      </c>
      <c r="Q68">
        <v>65.964746315840401</v>
      </c>
      <c r="S68">
        <v>19.1030420532425</v>
      </c>
      <c r="AA68">
        <v>0.368233536479674</v>
      </c>
      <c r="AB68">
        <v>4.7449314406295304</v>
      </c>
      <c r="AC68">
        <v>9.8190466538078809</v>
      </c>
      <c r="AJ68">
        <v>0.41590716933573901</v>
      </c>
      <c r="AK68">
        <v>1.7836128568829102E-2</v>
      </c>
      <c r="AL68">
        <v>0.566256702095431</v>
      </c>
    </row>
    <row r="69" spans="1:38" x14ac:dyDescent="0.2">
      <c r="A69">
        <v>147</v>
      </c>
      <c r="B69">
        <v>766</v>
      </c>
      <c r="C69">
        <v>100</v>
      </c>
      <c r="D69">
        <v>0.49453928691719501</v>
      </c>
      <c r="E69">
        <v>37.620487835647602</v>
      </c>
      <c r="F69">
        <v>2.51807599772832</v>
      </c>
      <c r="G69">
        <v>-597.60448224155482</v>
      </c>
      <c r="H69">
        <v>-516.06747337341142</v>
      </c>
      <c r="I69">
        <v>78.465100195489896</v>
      </c>
      <c r="J69">
        <v>44.694834785028299</v>
      </c>
      <c r="K69">
        <v>14.940171730156999</v>
      </c>
      <c r="L69">
        <v>2.829161431565311E-5</v>
      </c>
      <c r="M69">
        <v>1.8016844316990046E-6</v>
      </c>
      <c r="N69" s="1">
        <v>-1.4262525168307001E-7</v>
      </c>
      <c r="O69" s="1">
        <v>1.4294175912570699E-10</v>
      </c>
      <c r="P69" s="1">
        <v>7.1274690703371495E-10</v>
      </c>
      <c r="Q69">
        <v>65.962542492425101</v>
      </c>
      <c r="S69">
        <v>19.094788198818701</v>
      </c>
      <c r="AA69">
        <v>0.36193825413307601</v>
      </c>
      <c r="AB69">
        <v>4.7183817858667298</v>
      </c>
      <c r="AC69">
        <v>9.8623492687563008</v>
      </c>
      <c r="AJ69">
        <v>0.41363579378021897</v>
      </c>
      <c r="AK69">
        <v>1.7533568401788699E-2</v>
      </c>
      <c r="AL69">
        <v>0.56883063781799104</v>
      </c>
    </row>
    <row r="70" spans="1:38" x14ac:dyDescent="0.2">
      <c r="A70">
        <v>148</v>
      </c>
      <c r="B70">
        <v>764</v>
      </c>
      <c r="C70">
        <v>100</v>
      </c>
      <c r="D70">
        <v>0.49342959070530001</v>
      </c>
      <c r="E70">
        <v>37.888021391438301</v>
      </c>
      <c r="F70">
        <v>2.5180862396405801</v>
      </c>
      <c r="G70">
        <v>-601.62119716703796</v>
      </c>
      <c r="H70">
        <v>-519.76411125568995</v>
      </c>
      <c r="I70">
        <v>78.925021367543806</v>
      </c>
      <c r="J70">
        <v>45.013047088513297</v>
      </c>
      <c r="K70">
        <v>15.046355758191201</v>
      </c>
      <c r="L70">
        <v>2.8297170811689808E-5</v>
      </c>
      <c r="M70">
        <v>1.8017233062581897E-6</v>
      </c>
      <c r="N70" s="1">
        <v>-1.5429271385382701E-7</v>
      </c>
      <c r="O70" s="1">
        <v>1.4390704325402301E-10</v>
      </c>
      <c r="P70" s="1">
        <v>7.4877743051858703E-10</v>
      </c>
      <c r="Q70">
        <v>65.960753439578298</v>
      </c>
      <c r="S70">
        <v>19.086788468130599</v>
      </c>
      <c r="AA70">
        <v>0.35575584542862898</v>
      </c>
      <c r="AB70">
        <v>4.6934226434882396</v>
      </c>
      <c r="AC70">
        <v>9.9032796033740595</v>
      </c>
      <c r="AJ70">
        <v>0.411499933297929</v>
      </c>
      <c r="AK70">
        <v>1.7236256164459E-2</v>
      </c>
      <c r="AL70">
        <v>0.57126381053761099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FDD7-9B55-4F06-9CC9-DE929CA50ECD}">
  <sheetPr codeName="Sheet11"/>
  <dimension ref="A1:AL176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13</v>
      </c>
      <c r="B2">
        <v>736</v>
      </c>
      <c r="C2">
        <v>300</v>
      </c>
      <c r="D2">
        <v>0.25942674528068399</v>
      </c>
      <c r="E2">
        <v>0.29565589696335798</v>
      </c>
      <c r="F2">
        <v>2.5267130983640498</v>
      </c>
      <c r="G2">
        <v>-4.6356651698204692</v>
      </c>
      <c r="H2">
        <v>-4.0276066066165184</v>
      </c>
      <c r="I2">
        <v>0.60254527394733304</v>
      </c>
      <c r="J2">
        <v>0.35135598847381699</v>
      </c>
      <c r="K2">
        <v>0.117012056950503</v>
      </c>
      <c r="L2">
        <v>2.842349388416588E-5</v>
      </c>
      <c r="M2">
        <v>1.7851120687225007E-6</v>
      </c>
      <c r="N2" s="1">
        <v>-3.2564685458709402E-9</v>
      </c>
      <c r="O2" s="1">
        <v>1.1140381937777E-12</v>
      </c>
      <c r="P2" s="1">
        <v>1.1722382471397299E-11</v>
      </c>
      <c r="Q2">
        <v>65.790408859668901</v>
      </c>
      <c r="S2">
        <v>18.9087087738748</v>
      </c>
      <c r="AA2">
        <v>0.248585853239674</v>
      </c>
      <c r="AB2">
        <v>3.8469598102403499</v>
      </c>
      <c r="AC2">
        <v>11.2053367029761</v>
      </c>
      <c r="AJ2">
        <v>0.33874163190138101</v>
      </c>
      <c r="AK2">
        <v>1.2095898289490301E-2</v>
      </c>
      <c r="AL2">
        <v>0.64916246980912795</v>
      </c>
    </row>
    <row r="3" spans="1:38" x14ac:dyDescent="0.2">
      <c r="A3">
        <v>14</v>
      </c>
      <c r="B3">
        <v>734</v>
      </c>
      <c r="C3">
        <v>300</v>
      </c>
      <c r="D3">
        <v>0.25781710768008598</v>
      </c>
      <c r="E3">
        <v>24.631902582307301</v>
      </c>
      <c r="F3">
        <v>2.5270678575907799</v>
      </c>
      <c r="G3">
        <v>-386.46519448873477</v>
      </c>
      <c r="H3">
        <v>-335.90202348204372</v>
      </c>
      <c r="I3">
        <v>50.204210898764899</v>
      </c>
      <c r="J3">
        <v>29.336073067594199</v>
      </c>
      <c r="K3">
        <v>9.7472264182848303</v>
      </c>
      <c r="L3">
        <v>2.8671078797918688E-5</v>
      </c>
      <c r="M3">
        <v>1.7876321581097323E-6</v>
      </c>
      <c r="N3" s="1">
        <v>-3.1087030028972599E-7</v>
      </c>
      <c r="O3" s="1">
        <v>9.2354969225162998E-11</v>
      </c>
      <c r="P3" s="1">
        <v>1.0900312795345799E-9</v>
      </c>
      <c r="Q3">
        <v>65.852957447594207</v>
      </c>
      <c r="S3">
        <v>18.9344837304699</v>
      </c>
      <c r="AA3">
        <v>0.25525559844666101</v>
      </c>
      <c r="AB3">
        <v>4.0539183843976998</v>
      </c>
      <c r="AC3">
        <v>10.9033848390913</v>
      </c>
      <c r="AJ3">
        <v>0.35658901204176002</v>
      </c>
      <c r="AK3">
        <v>1.2407349676009601E-2</v>
      </c>
      <c r="AL3">
        <v>0.63100363828223005</v>
      </c>
    </row>
    <row r="4" spans="1:38" x14ac:dyDescent="0.2">
      <c r="A4">
        <v>14</v>
      </c>
      <c r="B4">
        <v>734</v>
      </c>
      <c r="C4">
        <v>300</v>
      </c>
      <c r="D4">
        <v>0.25781710768008598</v>
      </c>
      <c r="E4">
        <v>14.1961738837672</v>
      </c>
      <c r="F4">
        <v>2.5846637025160799</v>
      </c>
      <c r="G4">
        <v>-229.17837785558086</v>
      </c>
      <c r="H4">
        <v>-199.51858011135965</v>
      </c>
      <c r="I4">
        <v>29.449235708902499</v>
      </c>
      <c r="J4">
        <v>17.535083888315299</v>
      </c>
      <c r="K4">
        <v>5.4924645979853004</v>
      </c>
      <c r="L4">
        <v>3.2413153630778024E-5</v>
      </c>
      <c r="M4">
        <v>1.7953288764074566E-6</v>
      </c>
      <c r="N4" s="1">
        <v>-4.3412955108112198E-7</v>
      </c>
      <c r="O4" s="1">
        <v>4.6148375374204401E-11</v>
      </c>
      <c r="P4" s="1">
        <v>1.3698073466947201E-9</v>
      </c>
      <c r="Q4">
        <v>64.443556976193605</v>
      </c>
      <c r="S4">
        <v>21.9578861963886</v>
      </c>
      <c r="AA4">
        <v>3.0784579222572401</v>
      </c>
      <c r="AB4">
        <v>8.8393876364571096</v>
      </c>
      <c r="AC4">
        <v>1.6807112687032699</v>
      </c>
      <c r="AJ4">
        <v>0.75898494080932799</v>
      </c>
      <c r="AK4">
        <v>0.14606796932823099</v>
      </c>
      <c r="AL4">
        <v>9.4947089862440298E-2</v>
      </c>
    </row>
    <row r="5" spans="1:38" x14ac:dyDescent="0.2">
      <c r="A5">
        <v>15</v>
      </c>
      <c r="B5">
        <v>732</v>
      </c>
      <c r="C5">
        <v>300</v>
      </c>
      <c r="D5">
        <v>0.256201064517732</v>
      </c>
      <c r="E5">
        <v>30.753556626416099</v>
      </c>
      <c r="F5">
        <v>2.52713966273997</v>
      </c>
      <c r="G5">
        <v>-482.41734704536287</v>
      </c>
      <c r="H5">
        <v>-419.4802991722197</v>
      </c>
      <c r="I5">
        <v>62.614582771868001</v>
      </c>
      <c r="J5">
        <v>36.656341023586897</v>
      </c>
      <c r="K5">
        <v>12.1693142171147</v>
      </c>
      <c r="L5">
        <v>2.8758272148489764E-5</v>
      </c>
      <c r="M5">
        <v>1.7882956731716506E-6</v>
      </c>
      <c r="N5" s="1">
        <v>-4.1899868143535298E-7</v>
      </c>
      <c r="O5" s="1">
        <v>1.1505852296334E-10</v>
      </c>
      <c r="P5" s="1">
        <v>1.4483670244726301E-9</v>
      </c>
      <c r="Q5">
        <v>65.865568489735097</v>
      </c>
      <c r="S5">
        <v>18.930893187700899</v>
      </c>
      <c r="AA5">
        <v>0.249350749618442</v>
      </c>
      <c r="AB5">
        <v>4.0726083409603397</v>
      </c>
      <c r="AC5">
        <v>10.881579231985</v>
      </c>
      <c r="AJ5">
        <v>0.358198967523986</v>
      </c>
      <c r="AK5">
        <v>1.2119177654033499E-2</v>
      </c>
      <c r="AL5">
        <v>0.62968185482198002</v>
      </c>
    </row>
    <row r="6" spans="1:38" x14ac:dyDescent="0.2">
      <c r="A6">
        <v>15</v>
      </c>
      <c r="B6">
        <v>732</v>
      </c>
      <c r="C6">
        <v>300</v>
      </c>
      <c r="D6">
        <v>0.256201064517732</v>
      </c>
      <c r="E6">
        <v>18.026392123107499</v>
      </c>
      <c r="F6">
        <v>2.5840273604602801</v>
      </c>
      <c r="G6">
        <v>-290.91814477997508</v>
      </c>
      <c r="H6">
        <v>-253.36907232420714</v>
      </c>
      <c r="I6">
        <v>37.3566855253125</v>
      </c>
      <c r="J6">
        <v>22.307153110355301</v>
      </c>
      <c r="K6">
        <v>6.9760840767168002</v>
      </c>
      <c r="L6">
        <v>3.2641359096855043E-5</v>
      </c>
      <c r="M6">
        <v>1.7982110640258905E-6</v>
      </c>
      <c r="N6" s="1">
        <v>-5.9050186762579196E-7</v>
      </c>
      <c r="O6" s="1">
        <v>5.8385047652849605E-11</v>
      </c>
      <c r="P6" s="1">
        <v>1.8501948854932E-9</v>
      </c>
      <c r="Q6">
        <v>64.539648962044396</v>
      </c>
      <c r="S6">
        <v>21.890021092899101</v>
      </c>
      <c r="AA6">
        <v>3.0000467657586301</v>
      </c>
      <c r="AB6">
        <v>8.8756062828159106</v>
      </c>
      <c r="AC6">
        <v>1.6946768964818399</v>
      </c>
      <c r="AJ6">
        <v>0.761958929617089</v>
      </c>
      <c r="AK6">
        <v>0.14232210193657899</v>
      </c>
      <c r="AL6">
        <v>9.5718968446331196E-2</v>
      </c>
    </row>
    <row r="7" spans="1:38" x14ac:dyDescent="0.2">
      <c r="A7">
        <v>16</v>
      </c>
      <c r="B7">
        <v>730</v>
      </c>
      <c r="C7">
        <v>300</v>
      </c>
      <c r="D7">
        <v>0.25457857748093798</v>
      </c>
      <c r="E7">
        <v>32.771864363103198</v>
      </c>
      <c r="F7">
        <v>2.5272070872377999</v>
      </c>
      <c r="G7">
        <v>-513.92146357205445</v>
      </c>
      <c r="H7">
        <v>-447.06882163642615</v>
      </c>
      <c r="I7">
        <v>66.642717375894307</v>
      </c>
      <c r="J7">
        <v>39.087719201262502</v>
      </c>
      <c r="K7">
        <v>12.967621264042201</v>
      </c>
      <c r="L7">
        <v>2.8826166478626018E-5</v>
      </c>
      <c r="M7">
        <v>1.7886608690794002E-6</v>
      </c>
      <c r="N7" s="1">
        <v>-4.7806465499625096E-7</v>
      </c>
      <c r="O7" s="1">
        <v>1.2237399674812799E-10</v>
      </c>
      <c r="P7" s="1">
        <v>1.6324032249492699E-9</v>
      </c>
      <c r="Q7">
        <v>65.868552721249898</v>
      </c>
      <c r="S7">
        <v>18.9257183600498</v>
      </c>
      <c r="AA7">
        <v>0.24438513419330299</v>
      </c>
      <c r="AB7">
        <v>4.0656920574218196</v>
      </c>
      <c r="AC7">
        <v>10.895651727085101</v>
      </c>
      <c r="AJ7">
        <v>0.35760328980103601</v>
      </c>
      <c r="AK7">
        <v>1.1878253757534899E-2</v>
      </c>
      <c r="AL7">
        <v>0.63051845644142801</v>
      </c>
    </row>
    <row r="8" spans="1:38" x14ac:dyDescent="0.2">
      <c r="A8">
        <v>16</v>
      </c>
      <c r="B8">
        <v>730</v>
      </c>
      <c r="C8">
        <v>300</v>
      </c>
      <c r="D8">
        <v>0.25457857748093798</v>
      </c>
      <c r="E8">
        <v>19.358297244210402</v>
      </c>
      <c r="F8">
        <v>2.5839457036290998</v>
      </c>
      <c r="G8">
        <v>-312.33444906991275</v>
      </c>
      <c r="H8">
        <v>-272.13653082230087</v>
      </c>
      <c r="I8">
        <v>40.0716924164999</v>
      </c>
      <c r="J8">
        <v>23.9993787056065</v>
      </c>
      <c r="K8">
        <v>7.4917585214821196</v>
      </c>
      <c r="L8">
        <v>3.284801578099162E-5</v>
      </c>
      <c r="M8">
        <v>1.7997775893126998E-6</v>
      </c>
      <c r="N8" s="1">
        <v>-6.7772813077484103E-7</v>
      </c>
      <c r="O8" s="1">
        <v>6.2383938801432801E-11</v>
      </c>
      <c r="P8" s="1">
        <v>2.1096918252706499E-9</v>
      </c>
      <c r="Q8">
        <v>64.5761142534692</v>
      </c>
      <c r="S8">
        <v>21.866532482375</v>
      </c>
      <c r="AA8">
        <v>2.9721597443306398</v>
      </c>
      <c r="AB8">
        <v>8.89528878334872</v>
      </c>
      <c r="AC8">
        <v>1.68990473647629</v>
      </c>
      <c r="AJ8">
        <v>0.76357441480953003</v>
      </c>
      <c r="AK8">
        <v>0.14098543677523401</v>
      </c>
      <c r="AL8">
        <v>9.5440148415234197E-2</v>
      </c>
    </row>
    <row r="9" spans="1:38" x14ac:dyDescent="0.2">
      <c r="A9">
        <v>17</v>
      </c>
      <c r="B9">
        <v>728</v>
      </c>
      <c r="C9">
        <v>300</v>
      </c>
      <c r="D9">
        <v>0.25294960795086002</v>
      </c>
      <c r="E9">
        <v>33.8174571803549</v>
      </c>
      <c r="F9">
        <v>2.5272746161144601</v>
      </c>
      <c r="G9">
        <v>-530.1431363074845</v>
      </c>
      <c r="H9">
        <v>-461.38166423571033</v>
      </c>
      <c r="I9">
        <v>68.682487211481003</v>
      </c>
      <c r="J9">
        <v>40.361344051503401</v>
      </c>
      <c r="K9">
        <v>13.380998236094801</v>
      </c>
      <c r="L9">
        <v>2.8892638453873178E-5</v>
      </c>
      <c r="M9">
        <v>1.7889611905659071E-6</v>
      </c>
      <c r="N9" s="1">
        <v>-5.2685282224695505E-7</v>
      </c>
      <c r="O9" s="1">
        <v>1.26033288615018E-10</v>
      </c>
      <c r="P9" s="1">
        <v>1.7787080052183801E-9</v>
      </c>
      <c r="Q9">
        <v>65.869108774782006</v>
      </c>
      <c r="S9">
        <v>18.920202109247001</v>
      </c>
      <c r="AA9">
        <v>0.23970442330911901</v>
      </c>
      <c r="AB9">
        <v>4.0524696242626703</v>
      </c>
      <c r="AC9">
        <v>10.918515068399101</v>
      </c>
      <c r="AJ9">
        <v>0.35646432839088099</v>
      </c>
      <c r="AK9">
        <v>1.16515350664631E-2</v>
      </c>
      <c r="AL9">
        <v>0.63188413654265496</v>
      </c>
    </row>
    <row r="10" spans="1:38" x14ac:dyDescent="0.2">
      <c r="A10">
        <v>17</v>
      </c>
      <c r="B10">
        <v>728</v>
      </c>
      <c r="C10">
        <v>300</v>
      </c>
      <c r="D10">
        <v>0.25294960795086002</v>
      </c>
      <c r="E10">
        <v>20.096143016739401</v>
      </c>
      <c r="F10">
        <v>2.5839996604622599</v>
      </c>
      <c r="G10">
        <v>-324.16330994871601</v>
      </c>
      <c r="H10">
        <v>-282.56455189670254</v>
      </c>
      <c r="I10">
        <v>41.550974431417302</v>
      </c>
      <c r="J10">
        <v>24.962267841395299</v>
      </c>
      <c r="K10">
        <v>7.7771461522345504</v>
      </c>
      <c r="L10">
        <v>3.3058892299437898E-5</v>
      </c>
      <c r="M10">
        <v>1.8010538869765634E-6</v>
      </c>
      <c r="N10" s="1">
        <v>-7.5130569054956896E-7</v>
      </c>
      <c r="O10" s="1">
        <v>6.43978777161083E-11</v>
      </c>
      <c r="P10" s="1">
        <v>2.3242538127265502E-9</v>
      </c>
      <c r="Q10">
        <v>64.598169226592503</v>
      </c>
      <c r="S10">
        <v>21.8537817075417</v>
      </c>
      <c r="AA10">
        <v>2.95649399806811</v>
      </c>
      <c r="AB10">
        <v>8.9110092944742192</v>
      </c>
      <c r="AC10">
        <v>1.68054577332333</v>
      </c>
      <c r="AJ10">
        <v>0.76486437680282304</v>
      </c>
      <c r="AK10">
        <v>0.14023141932737701</v>
      </c>
      <c r="AL10">
        <v>9.49042038697991E-2</v>
      </c>
    </row>
    <row r="11" spans="1:38" x14ac:dyDescent="0.2">
      <c r="A11">
        <v>18</v>
      </c>
      <c r="B11">
        <v>726</v>
      </c>
      <c r="C11">
        <v>300</v>
      </c>
      <c r="D11">
        <v>0.251314116999449</v>
      </c>
      <c r="E11">
        <v>34.460906494281602</v>
      </c>
      <c r="F11">
        <v>2.5273432929608299</v>
      </c>
      <c r="G11">
        <v>-540.04623255905449</v>
      </c>
      <c r="H11">
        <v>-470.20571346548633</v>
      </c>
      <c r="I11">
        <v>69.899934037500103</v>
      </c>
      <c r="J11">
        <v>41.157621394219198</v>
      </c>
      <c r="K11">
        <v>13.635229764892699</v>
      </c>
      <c r="L11">
        <v>2.8961340234974169E-5</v>
      </c>
      <c r="M11">
        <v>1.7892425771033627E-6</v>
      </c>
      <c r="N11" s="1">
        <v>-5.72461545444673E-7</v>
      </c>
      <c r="O11" s="1">
        <v>1.28173645871611E-10</v>
      </c>
      <c r="P11" s="1">
        <v>1.9122258977828301E-9</v>
      </c>
      <c r="Q11">
        <v>65.868635024857795</v>
      </c>
      <c r="S11">
        <v>18.914584721423999</v>
      </c>
      <c r="AA11">
        <v>0.235180563905933</v>
      </c>
      <c r="AB11">
        <v>4.0366871854697797</v>
      </c>
      <c r="AC11">
        <v>10.944912504342399</v>
      </c>
      <c r="AJ11">
        <v>0.355104642359718</v>
      </c>
      <c r="AK11">
        <v>1.1432559535801299E-2</v>
      </c>
      <c r="AL11">
        <v>0.63346279810448003</v>
      </c>
    </row>
    <row r="12" spans="1:38" x14ac:dyDescent="0.2">
      <c r="A12">
        <v>18</v>
      </c>
      <c r="B12">
        <v>726</v>
      </c>
      <c r="C12">
        <v>300</v>
      </c>
      <c r="D12">
        <v>0.251314116999449</v>
      </c>
      <c r="E12">
        <v>20.5903104150016</v>
      </c>
      <c r="F12">
        <v>2.58410866205524</v>
      </c>
      <c r="G12">
        <v>-332.05923053708472</v>
      </c>
      <c r="H12">
        <v>-289.57251724586035</v>
      </c>
      <c r="I12">
        <v>42.522857720286602</v>
      </c>
      <c r="J12">
        <v>25.6285504190969</v>
      </c>
      <c r="K12">
        <v>7.9680513119852403</v>
      </c>
      <c r="L12">
        <v>3.3279460628307847E-5</v>
      </c>
      <c r="M12">
        <v>1.802236811267528E-6</v>
      </c>
      <c r="N12" s="1">
        <v>-8.2144189674067899E-7</v>
      </c>
      <c r="O12" s="1">
        <v>6.5581198611255494E-11</v>
      </c>
      <c r="P12" s="1">
        <v>2.5261822018124701E-9</v>
      </c>
      <c r="Q12">
        <v>64.614448671620096</v>
      </c>
      <c r="S12">
        <v>21.845328653691698</v>
      </c>
      <c r="AA12">
        <v>2.9457215561465802</v>
      </c>
      <c r="AB12">
        <v>8.9251263852094294</v>
      </c>
      <c r="AC12">
        <v>1.6693747333320801</v>
      </c>
      <c r="AJ12">
        <v>0.76602254339115305</v>
      </c>
      <c r="AK12">
        <v>0.13971069696611399</v>
      </c>
      <c r="AL12">
        <v>9.4266759642731401E-2</v>
      </c>
    </row>
    <row r="13" spans="1:38" x14ac:dyDescent="0.2">
      <c r="A13">
        <v>19</v>
      </c>
      <c r="B13">
        <v>724</v>
      </c>
      <c r="C13">
        <v>300</v>
      </c>
      <c r="D13">
        <v>0.249672065386352</v>
      </c>
      <c r="E13">
        <v>34.894786852620697</v>
      </c>
      <c r="F13">
        <v>2.5274134988767498</v>
      </c>
      <c r="G13">
        <v>-546.65663461121676</v>
      </c>
      <c r="H13">
        <v>-476.1693603894791</v>
      </c>
      <c r="I13">
        <v>70.688737122536807</v>
      </c>
      <c r="J13">
        <v>41.706290124458398</v>
      </c>
      <c r="K13">
        <v>13.8065207248947</v>
      </c>
      <c r="L13">
        <v>2.9033639989396834E-5</v>
      </c>
      <c r="M13">
        <v>1.7895208468617273E-6</v>
      </c>
      <c r="N13" s="1">
        <v>-6.1721059643667597E-7</v>
      </c>
      <c r="O13" s="1">
        <v>1.2951711501882599E-10</v>
      </c>
      <c r="P13" s="1">
        <v>2.04112462099934E-9</v>
      </c>
      <c r="Q13">
        <v>65.867601168710294</v>
      </c>
      <c r="S13">
        <v>18.908946226545801</v>
      </c>
      <c r="AA13">
        <v>0.230769984096131</v>
      </c>
      <c r="AB13">
        <v>4.0196012451007803</v>
      </c>
      <c r="AC13">
        <v>10.9730813755468</v>
      </c>
      <c r="AJ13">
        <v>0.35363240678640701</v>
      </c>
      <c r="AK13">
        <v>1.12191303825379E-2</v>
      </c>
      <c r="AL13">
        <v>0.63514846283105397</v>
      </c>
    </row>
    <row r="14" spans="1:38" x14ac:dyDescent="0.2">
      <c r="A14">
        <v>19</v>
      </c>
      <c r="B14">
        <v>724</v>
      </c>
      <c r="C14">
        <v>300</v>
      </c>
      <c r="D14">
        <v>0.249672065386352</v>
      </c>
      <c r="E14">
        <v>20.958569449172401</v>
      </c>
      <c r="F14">
        <v>2.5842458462759801</v>
      </c>
      <c r="G14">
        <v>-337.92271695182757</v>
      </c>
      <c r="H14">
        <v>-294.813734314844</v>
      </c>
      <c r="I14">
        <v>43.232194390997897</v>
      </c>
      <c r="J14">
        <v>26.143837778366098</v>
      </c>
      <c r="K14">
        <v>8.1101298776874096</v>
      </c>
      <c r="L14">
        <v>3.3512023443984886E-5</v>
      </c>
      <c r="M14">
        <v>1.8033931427553292E-6</v>
      </c>
      <c r="N14" s="1">
        <v>-8.9152114251890498E-7</v>
      </c>
      <c r="O14" s="1">
        <v>6.6323028441068303E-11</v>
      </c>
      <c r="P14" s="1">
        <v>2.7261412692249702E-9</v>
      </c>
      <c r="Q14">
        <v>64.627827477749094</v>
      </c>
      <c r="S14">
        <v>21.839026821573899</v>
      </c>
      <c r="AA14">
        <v>2.9374007186136</v>
      </c>
      <c r="AB14">
        <v>8.9384192651341294</v>
      </c>
      <c r="AC14">
        <v>1.65732571692915</v>
      </c>
      <c r="AJ14">
        <v>0.767112913674315</v>
      </c>
      <c r="AK14">
        <v>0.13930687790525301</v>
      </c>
      <c r="AL14">
        <v>9.3580208420430203E-2</v>
      </c>
    </row>
    <row r="15" spans="1:38" x14ac:dyDescent="0.2">
      <c r="A15">
        <v>31</v>
      </c>
      <c r="B15">
        <v>738</v>
      </c>
      <c r="C15">
        <v>275</v>
      </c>
      <c r="D15">
        <v>0.28822677149780002</v>
      </c>
      <c r="E15">
        <v>22.740227387908298</v>
      </c>
      <c r="F15">
        <v>2.5258898327789701</v>
      </c>
      <c r="G15">
        <v>-357.36594396295988</v>
      </c>
      <c r="H15">
        <v>-310.35652883893135</v>
      </c>
      <c r="I15">
        <v>46.4910400277194</v>
      </c>
      <c r="J15">
        <v>27.065468005951399</v>
      </c>
      <c r="K15">
        <v>9.0028579603131593</v>
      </c>
      <c r="L15">
        <v>2.8597931881752436E-5</v>
      </c>
      <c r="M15">
        <v>1.7895261160976215E-6</v>
      </c>
      <c r="N15" s="1">
        <v>-2.4987030110593299E-7</v>
      </c>
      <c r="O15" s="1">
        <v>8.5491534468763796E-11</v>
      </c>
      <c r="P15" s="1">
        <v>9.0124583366123198E-10</v>
      </c>
      <c r="Q15">
        <v>65.875592676624194</v>
      </c>
      <c r="S15">
        <v>18.954183579651399</v>
      </c>
      <c r="AA15">
        <v>0.266226554480957</v>
      </c>
      <c r="AB15">
        <v>4.1560054944227502</v>
      </c>
      <c r="AC15">
        <v>10.7479916948206</v>
      </c>
      <c r="AJ15">
        <v>0.36537873554700001</v>
      </c>
      <c r="AK15">
        <v>1.2933894594996101E-2</v>
      </c>
      <c r="AL15">
        <v>0.62168736985800299</v>
      </c>
    </row>
    <row r="16" spans="1:38" x14ac:dyDescent="0.2">
      <c r="A16">
        <v>31</v>
      </c>
      <c r="B16">
        <v>738</v>
      </c>
      <c r="C16">
        <v>275</v>
      </c>
      <c r="D16">
        <v>0.28822677149780002</v>
      </c>
      <c r="E16">
        <v>13.4414379488141</v>
      </c>
      <c r="F16">
        <v>2.58261822133601</v>
      </c>
      <c r="G16">
        <v>-217.20346709868491</v>
      </c>
      <c r="H16">
        <v>-188.93676575001081</v>
      </c>
      <c r="I16">
        <v>27.955003064504801</v>
      </c>
      <c r="J16">
        <v>16.545960139234399</v>
      </c>
      <c r="K16">
        <v>5.2045779890226296</v>
      </c>
      <c r="L16">
        <v>3.2047826110623498E-5</v>
      </c>
      <c r="M16">
        <v>1.7962199416933281E-6</v>
      </c>
      <c r="N16" s="1">
        <v>-3.5288849355542901E-7</v>
      </c>
      <c r="O16" s="1">
        <v>4.42202675475331E-11</v>
      </c>
      <c r="P16" s="1">
        <v>1.1318930650817099E-9</v>
      </c>
      <c r="Q16">
        <v>64.483498534981194</v>
      </c>
      <c r="S16">
        <v>21.9205604825957</v>
      </c>
      <c r="AA16">
        <v>3.0383440094863299</v>
      </c>
      <c r="AB16">
        <v>8.8305410472524297</v>
      </c>
      <c r="AC16">
        <v>1.72705592568419</v>
      </c>
      <c r="AJ16">
        <v>0.75825933267416801</v>
      </c>
      <c r="AK16">
        <v>0.14417109112902701</v>
      </c>
      <c r="AL16">
        <v>9.7569576196803898E-2</v>
      </c>
    </row>
    <row r="17" spans="1:38" x14ac:dyDescent="0.2">
      <c r="A17">
        <v>32</v>
      </c>
      <c r="B17">
        <v>736</v>
      </c>
      <c r="C17">
        <v>275</v>
      </c>
      <c r="D17">
        <v>0.28667740177377199</v>
      </c>
      <c r="E17">
        <v>30.293767825808899</v>
      </c>
      <c r="F17">
        <v>2.52595784614478</v>
      </c>
      <c r="G17">
        <v>-475.95352501058068</v>
      </c>
      <c r="H17">
        <v>-413.52326375706133</v>
      </c>
      <c r="I17">
        <v>61.864203788851299</v>
      </c>
      <c r="J17">
        <v>36.077813917867203</v>
      </c>
      <c r="K17">
        <v>11.992982334223999</v>
      </c>
      <c r="L17">
        <v>2.8664962294914484E-5</v>
      </c>
      <c r="M17">
        <v>1.7900216685332064E-6</v>
      </c>
      <c r="N17" s="1">
        <v>-3.58403265567912E-7</v>
      </c>
      <c r="O17" s="1">
        <v>1.1368906972827299E-10</v>
      </c>
      <c r="P17" s="1">
        <v>1.27319201379311E-9</v>
      </c>
      <c r="Q17">
        <v>65.883856102583906</v>
      </c>
      <c r="S17">
        <v>18.9497494233362</v>
      </c>
      <c r="AA17">
        <v>0.260640172639373</v>
      </c>
      <c r="AB17">
        <v>4.1627953788469698</v>
      </c>
      <c r="AC17">
        <v>10.742958922593299</v>
      </c>
      <c r="AJ17">
        <v>0.36596307289119101</v>
      </c>
      <c r="AK17">
        <v>1.26620594065531E-2</v>
      </c>
      <c r="AL17">
        <v>0.62137486770225503</v>
      </c>
    </row>
    <row r="18" spans="1:38" x14ac:dyDescent="0.2">
      <c r="A18">
        <v>32</v>
      </c>
      <c r="B18">
        <v>736</v>
      </c>
      <c r="C18">
        <v>275</v>
      </c>
      <c r="D18">
        <v>0.28667740177377199</v>
      </c>
      <c r="E18">
        <v>17.715168136938399</v>
      </c>
      <c r="F18">
        <v>2.5822513727207501</v>
      </c>
      <c r="G18">
        <v>-286.18087516148944</v>
      </c>
      <c r="H18">
        <v>-249.03974106227855</v>
      </c>
      <c r="I18">
        <v>36.804374076411598</v>
      </c>
      <c r="J18">
        <v>21.8400204095982</v>
      </c>
      <c r="K18">
        <v>6.8603577188819704</v>
      </c>
      <c r="L18">
        <v>3.2234338287480842E-5</v>
      </c>
      <c r="M18">
        <v>1.7983497059774606E-6</v>
      </c>
      <c r="N18" s="1">
        <v>-4.9772195643977203E-7</v>
      </c>
      <c r="O18" s="1">
        <v>5.80811053134919E-11</v>
      </c>
      <c r="P18" s="1">
        <v>1.5843120103087099E-9</v>
      </c>
      <c r="Q18">
        <v>64.549672926289603</v>
      </c>
      <c r="S18">
        <v>21.874817471401801</v>
      </c>
      <c r="AA18">
        <v>2.9851646673304701</v>
      </c>
      <c r="AB18">
        <v>8.8580858793121706</v>
      </c>
      <c r="AC18">
        <v>1.73225905566579</v>
      </c>
      <c r="AJ18">
        <v>0.76052128745742298</v>
      </c>
      <c r="AK18">
        <v>0.14162847250938099</v>
      </c>
      <c r="AL18">
        <v>9.7850240033194702E-2</v>
      </c>
    </row>
    <row r="19" spans="1:38" x14ac:dyDescent="0.2">
      <c r="A19">
        <v>33</v>
      </c>
      <c r="B19">
        <v>734</v>
      </c>
      <c r="C19">
        <v>275</v>
      </c>
      <c r="D19">
        <v>0.28512187856823701</v>
      </c>
      <c r="E19">
        <v>32.638183570932597</v>
      </c>
      <c r="F19">
        <v>2.52601954984699</v>
      </c>
      <c r="G19">
        <v>-512.61960466725748</v>
      </c>
      <c r="H19">
        <v>-445.57425500616989</v>
      </c>
      <c r="I19">
        <v>66.569378604068504</v>
      </c>
      <c r="J19">
        <v>38.889935171894997</v>
      </c>
      <c r="K19">
        <v>12.9207961090046</v>
      </c>
      <c r="L19">
        <v>2.8718922147787927E-5</v>
      </c>
      <c r="M19">
        <v>1.7902990996811657E-6</v>
      </c>
      <c r="N19" s="1">
        <v>-4.13261481915562E-7</v>
      </c>
      <c r="O19" s="1">
        <v>1.2228923105980201E-10</v>
      </c>
      <c r="P19" s="1">
        <v>1.44851571646254E-9</v>
      </c>
      <c r="Q19">
        <v>65.885027086562999</v>
      </c>
      <c r="S19">
        <v>18.9440985517796</v>
      </c>
      <c r="AA19">
        <v>0.25570491264171302</v>
      </c>
      <c r="AB19">
        <v>4.1505903594094802</v>
      </c>
      <c r="AC19">
        <v>10.7645790896061</v>
      </c>
      <c r="AJ19">
        <v>0.36491280043194901</v>
      </c>
      <c r="AK19">
        <v>1.2423074424238701E-2</v>
      </c>
      <c r="AL19">
        <v>0.62266412514381098</v>
      </c>
    </row>
    <row r="20" spans="1:38" x14ac:dyDescent="0.2">
      <c r="A20">
        <v>33</v>
      </c>
      <c r="B20">
        <v>734</v>
      </c>
      <c r="C20">
        <v>275</v>
      </c>
      <c r="D20">
        <v>0.28512187856823701</v>
      </c>
      <c r="E20">
        <v>19.093355909264002</v>
      </c>
      <c r="F20">
        <v>2.5822866385016598</v>
      </c>
      <c r="G20">
        <v>-308.37199518454912</v>
      </c>
      <c r="H20">
        <v>-268.46602276171757</v>
      </c>
      <c r="I20">
        <v>39.622670329972202</v>
      </c>
      <c r="J20">
        <v>23.575523796675601</v>
      </c>
      <c r="K20">
        <v>7.3939723129817496</v>
      </c>
      <c r="L20">
        <v>3.2407855068607313E-5</v>
      </c>
      <c r="M20">
        <v>1.7995486814221737E-6</v>
      </c>
      <c r="N20" s="1">
        <v>-5.7325987951682596E-7</v>
      </c>
      <c r="O20" s="1">
        <v>6.2319881199070902E-11</v>
      </c>
      <c r="P20" s="1">
        <v>1.81174959944287E-9</v>
      </c>
      <c r="Q20">
        <v>64.573212365770004</v>
      </c>
      <c r="S20">
        <v>21.860949826932799</v>
      </c>
      <c r="AA20">
        <v>2.9682311122521998</v>
      </c>
      <c r="AB20">
        <v>8.8741864251673999</v>
      </c>
      <c r="AC20">
        <v>1.7234202698775301</v>
      </c>
      <c r="AJ20">
        <v>0.76184293276334003</v>
      </c>
      <c r="AK20">
        <v>0.14081385835249499</v>
      </c>
      <c r="AL20">
        <v>9.7343208884164104E-2</v>
      </c>
    </row>
    <row r="21" spans="1:38" x14ac:dyDescent="0.2">
      <c r="A21">
        <v>34</v>
      </c>
      <c r="B21">
        <v>732</v>
      </c>
      <c r="C21">
        <v>275</v>
      </c>
      <c r="D21">
        <v>0.28356016514948101</v>
      </c>
      <c r="E21">
        <v>33.814348747458503</v>
      </c>
      <c r="F21">
        <v>2.5260813539599498</v>
      </c>
      <c r="G21">
        <v>-530.91031099914699</v>
      </c>
      <c r="H21">
        <v>-461.6744569385919</v>
      </c>
      <c r="I21">
        <v>68.8811163115505</v>
      </c>
      <c r="J21">
        <v>40.312772392553001</v>
      </c>
      <c r="K21">
        <v>13.3860885732956</v>
      </c>
      <c r="L21">
        <v>2.87732591955424E-5</v>
      </c>
      <c r="M21">
        <v>1.7905393773296113E-6</v>
      </c>
      <c r="N21" s="1">
        <v>-4.5750509780457201E-7</v>
      </c>
      <c r="O21" s="1">
        <v>1.2648437547649399E-10</v>
      </c>
      <c r="P21" s="1">
        <v>1.5836036937496499E-9</v>
      </c>
      <c r="Q21">
        <v>65.884668814227396</v>
      </c>
      <c r="S21">
        <v>18.938248435780899</v>
      </c>
      <c r="AA21">
        <v>0.250962104994018</v>
      </c>
      <c r="AB21">
        <v>4.1344551290618101</v>
      </c>
      <c r="AC21">
        <v>10.791665515935801</v>
      </c>
      <c r="AJ21">
        <v>0.36352410861597201</v>
      </c>
      <c r="AK21">
        <v>1.2193654181458799E-2</v>
      </c>
      <c r="AL21">
        <v>0.62428223720256804</v>
      </c>
    </row>
    <row r="22" spans="1:38" x14ac:dyDescent="0.2">
      <c r="A22">
        <v>34</v>
      </c>
      <c r="B22">
        <v>732</v>
      </c>
      <c r="C22">
        <v>275</v>
      </c>
      <c r="D22">
        <v>0.28356016514948101</v>
      </c>
      <c r="E22">
        <v>19.8318762488883</v>
      </c>
      <c r="F22">
        <v>2.5824046472891999</v>
      </c>
      <c r="G22">
        <v>-320.22744775454976</v>
      </c>
      <c r="H22">
        <v>-278.90797650127234</v>
      </c>
      <c r="I22">
        <v>41.107766257053498</v>
      </c>
      <c r="J22">
        <v>24.527519040473599</v>
      </c>
      <c r="K22">
        <v>7.6796160778699996</v>
      </c>
      <c r="L22">
        <v>3.258720191836347E-5</v>
      </c>
      <c r="M22">
        <v>1.8005828573904427E-6</v>
      </c>
      <c r="N22" s="1">
        <v>-6.36078864115951E-7</v>
      </c>
      <c r="O22" s="1">
        <v>6.4410471805641599E-11</v>
      </c>
      <c r="P22" s="1">
        <v>1.9966068377139298E-9</v>
      </c>
      <c r="Q22">
        <v>64.588073753684398</v>
      </c>
      <c r="S22">
        <v>21.853566933136801</v>
      </c>
      <c r="AA22">
        <v>2.95867244757412</v>
      </c>
      <c r="AB22">
        <v>8.8879490153711806</v>
      </c>
      <c r="AC22">
        <v>1.71173785023335</v>
      </c>
      <c r="AJ22">
        <v>0.76297241492479395</v>
      </c>
      <c r="AK22">
        <v>0.14035082166608201</v>
      </c>
      <c r="AL22">
        <v>9.66767634091239E-2</v>
      </c>
    </row>
    <row r="23" spans="1:38" x14ac:dyDescent="0.2">
      <c r="A23">
        <v>35</v>
      </c>
      <c r="B23">
        <v>730</v>
      </c>
      <c r="C23">
        <v>275</v>
      </c>
      <c r="D23">
        <v>0.28199222449285299</v>
      </c>
      <c r="E23">
        <v>34.528127825151202</v>
      </c>
      <c r="F23">
        <v>2.5261443721282202</v>
      </c>
      <c r="G23">
        <v>-541.92788383370203</v>
      </c>
      <c r="H23">
        <v>-471.46134247106772</v>
      </c>
      <c r="I23">
        <v>70.245268766021397</v>
      </c>
      <c r="J23">
        <v>41.186967933201899</v>
      </c>
      <c r="K23">
        <v>13.668311362609</v>
      </c>
      <c r="L23">
        <v>2.8830343643064813E-5</v>
      </c>
      <c r="M23">
        <v>1.7907723924046199E-6</v>
      </c>
      <c r="N23" s="1">
        <v>-4.9871935406185299E-7</v>
      </c>
      <c r="O23" s="1">
        <v>1.2892742838237001E-10</v>
      </c>
      <c r="P23" s="1">
        <v>1.7059287315607201E-9</v>
      </c>
      <c r="Q23">
        <v>65.883682692047401</v>
      </c>
      <c r="S23">
        <v>18.932363003988598</v>
      </c>
      <c r="AA23">
        <v>0.24633666163291301</v>
      </c>
      <c r="AB23">
        <v>4.1168281840556897</v>
      </c>
      <c r="AC23">
        <v>10.8207894582753</v>
      </c>
      <c r="AJ23">
        <v>0.36200676567703099</v>
      </c>
      <c r="AK23">
        <v>1.19699899863051E-2</v>
      </c>
      <c r="AL23">
        <v>0.62602324433666301</v>
      </c>
    </row>
    <row r="24" spans="1:38" x14ac:dyDescent="0.2">
      <c r="A24">
        <v>35</v>
      </c>
      <c r="B24">
        <v>730</v>
      </c>
      <c r="C24">
        <v>275</v>
      </c>
      <c r="D24">
        <v>0.28199222449285299</v>
      </c>
      <c r="E24">
        <v>20.319876357643398</v>
      </c>
      <c r="F24">
        <v>2.5825540549320198</v>
      </c>
      <c r="G24">
        <v>-328.03462321487518</v>
      </c>
      <c r="H24">
        <v>-285.83187776356874</v>
      </c>
      <c r="I24">
        <v>42.070224244934899</v>
      </c>
      <c r="J24">
        <v>25.174925283495501</v>
      </c>
      <c r="K24">
        <v>7.8681320605226599</v>
      </c>
      <c r="L24">
        <v>3.2775962107969157E-5</v>
      </c>
      <c r="M24">
        <v>1.8015762772877784E-6</v>
      </c>
      <c r="N24" s="1">
        <v>-6.9603654340029399E-7</v>
      </c>
      <c r="O24" s="1">
        <v>6.5643465959178394E-11</v>
      </c>
      <c r="P24" s="1">
        <v>2.1705804465278898E-9</v>
      </c>
      <c r="Q24">
        <v>64.599694707302504</v>
      </c>
      <c r="S24">
        <v>21.8485960117631</v>
      </c>
      <c r="AA24">
        <v>2.9518597958844901</v>
      </c>
      <c r="AB24">
        <v>8.9008137707733397</v>
      </c>
      <c r="AC24">
        <v>1.6990357142764601</v>
      </c>
      <c r="AJ24">
        <v>0.76402803858870405</v>
      </c>
      <c r="AK24">
        <v>0.14001871852558401</v>
      </c>
      <c r="AL24">
        <v>9.5953242885710596E-2</v>
      </c>
    </row>
    <row r="25" spans="1:38" x14ac:dyDescent="0.2">
      <c r="A25">
        <v>36</v>
      </c>
      <c r="B25">
        <v>728</v>
      </c>
      <c r="C25">
        <v>275</v>
      </c>
      <c r="D25">
        <v>0.280418019277831</v>
      </c>
      <c r="E25">
        <v>35.006070584347803</v>
      </c>
      <c r="F25">
        <v>2.52620896642917</v>
      </c>
      <c r="G25">
        <v>-549.23602080473177</v>
      </c>
      <c r="H25">
        <v>-478.02821507784608</v>
      </c>
      <c r="I25">
        <v>71.126010814449003</v>
      </c>
      <c r="J25">
        <v>41.782415092989098</v>
      </c>
      <c r="K25">
        <v>13.8571555439569</v>
      </c>
      <c r="L25">
        <v>2.8891082230620169E-5</v>
      </c>
      <c r="M25">
        <v>1.7910079977542244E-6</v>
      </c>
      <c r="N25" s="1">
        <v>-5.3933025476948403E-7</v>
      </c>
      <c r="O25" s="1">
        <v>1.30469998629512E-10</v>
      </c>
      <c r="P25" s="1">
        <v>1.82425587332262E-9</v>
      </c>
      <c r="Q25">
        <v>65.882352661426793</v>
      </c>
      <c r="S25">
        <v>18.926493154047499</v>
      </c>
      <c r="AA25">
        <v>0.24180431979168501</v>
      </c>
      <c r="AB25">
        <v>4.0984757073778697</v>
      </c>
      <c r="AC25">
        <v>10.850874157355999</v>
      </c>
      <c r="AJ25">
        <v>0.36042667639878301</v>
      </c>
      <c r="AK25">
        <v>1.17508533776907E-2</v>
      </c>
      <c r="AL25">
        <v>0.627822470223525</v>
      </c>
    </row>
    <row r="26" spans="1:38" x14ac:dyDescent="0.2">
      <c r="A26">
        <v>36</v>
      </c>
      <c r="B26">
        <v>728</v>
      </c>
      <c r="C26">
        <v>275</v>
      </c>
      <c r="D26">
        <v>0.280418019277831</v>
      </c>
      <c r="E26">
        <v>20.681420527191399</v>
      </c>
      <c r="F26">
        <v>2.5827188150615901</v>
      </c>
      <c r="G26">
        <v>-333.7979893080402</v>
      </c>
      <c r="H26">
        <v>-290.98030309265641</v>
      </c>
      <c r="I26">
        <v>42.768502437580402</v>
      </c>
      <c r="J26">
        <v>25.670581446493198</v>
      </c>
      <c r="K26">
        <v>8.0076160078224401</v>
      </c>
      <c r="L26">
        <v>3.2975755264540906E-5</v>
      </c>
      <c r="M26">
        <v>1.8025691076694931E-6</v>
      </c>
      <c r="N26" s="1">
        <v>-7.5632853472605295E-7</v>
      </c>
      <c r="O26" s="1">
        <v>6.64303748452685E-11</v>
      </c>
      <c r="P26" s="1">
        <v>2.3438805482124798E-9</v>
      </c>
      <c r="Q26">
        <v>64.609776399772002</v>
      </c>
      <c r="S26">
        <v>21.844762194290698</v>
      </c>
      <c r="AA26">
        <v>2.9463444321023702</v>
      </c>
      <c r="AB26">
        <v>8.9132294309487499</v>
      </c>
      <c r="AC26">
        <v>1.68588754288603</v>
      </c>
      <c r="AJ26">
        <v>0.76504666645522501</v>
      </c>
      <c r="AK26">
        <v>0.13974849740656201</v>
      </c>
      <c r="AL26">
        <v>9.5204836138211998E-2</v>
      </c>
    </row>
    <row r="27" spans="1:38" x14ac:dyDescent="0.2">
      <c r="A27">
        <v>37</v>
      </c>
      <c r="B27">
        <v>726</v>
      </c>
      <c r="C27">
        <v>275</v>
      </c>
      <c r="D27">
        <v>0.27883751188509998</v>
      </c>
      <c r="E27">
        <v>35.345297063970399</v>
      </c>
      <c r="F27">
        <v>2.5262752936225898</v>
      </c>
      <c r="G27">
        <v>-554.36257239453892</v>
      </c>
      <c r="H27">
        <v>-482.70116154561128</v>
      </c>
      <c r="I27">
        <v>71.722374867565094</v>
      </c>
      <c r="J27">
        <v>42.214875453463598</v>
      </c>
      <c r="K27">
        <v>13.991071025868401</v>
      </c>
      <c r="L27">
        <v>2.8955988991219496E-5</v>
      </c>
      <c r="M27">
        <v>1.7912506759362287E-6</v>
      </c>
      <c r="N27" s="1">
        <v>-5.8034588029570001E-7</v>
      </c>
      <c r="O27" s="1">
        <v>1.31477558399338E-10</v>
      </c>
      <c r="P27" s="1">
        <v>1.9422238986512799E-9</v>
      </c>
      <c r="Q27">
        <v>65.880797518448205</v>
      </c>
      <c r="S27">
        <v>18.920659567316701</v>
      </c>
      <c r="AA27">
        <v>0.237354422361507</v>
      </c>
      <c r="AB27">
        <v>4.0797166486008898</v>
      </c>
      <c r="AC27">
        <v>10.8814718432725</v>
      </c>
      <c r="AJ27">
        <v>0.35881127477746</v>
      </c>
      <c r="AK27">
        <v>1.15357065205253E-2</v>
      </c>
      <c r="AL27">
        <v>0.62965301870201296</v>
      </c>
    </row>
    <row r="28" spans="1:38" x14ac:dyDescent="0.2">
      <c r="A28">
        <v>37</v>
      </c>
      <c r="B28">
        <v>726</v>
      </c>
      <c r="C28">
        <v>275</v>
      </c>
      <c r="D28">
        <v>0.27883751188509998</v>
      </c>
      <c r="E28">
        <v>20.969292220198199</v>
      </c>
      <c r="F28">
        <v>2.5828923029602602</v>
      </c>
      <c r="G28">
        <v>-338.37036210862664</v>
      </c>
      <c r="H28">
        <v>-295.09460308697697</v>
      </c>
      <c r="I28">
        <v>43.3125747101532</v>
      </c>
      <c r="J28">
        <v>26.079652718141599</v>
      </c>
      <c r="K28">
        <v>8.1185313828862498</v>
      </c>
      <c r="L28">
        <v>3.3187688567012415E-5</v>
      </c>
      <c r="M28">
        <v>1.8035792127836689E-6</v>
      </c>
      <c r="N28" s="1">
        <v>-8.1833251530919197E-7</v>
      </c>
      <c r="O28" s="1">
        <v>6.6946426118967006E-11</v>
      </c>
      <c r="P28" s="1">
        <v>2.5208572005431399E-9</v>
      </c>
      <c r="Q28">
        <v>64.619024946906194</v>
      </c>
      <c r="S28">
        <v>21.841536242247901</v>
      </c>
      <c r="AA28">
        <v>2.9415249665979299</v>
      </c>
      <c r="AB28">
        <v>8.9253820696672399</v>
      </c>
      <c r="AC28">
        <v>1.67253177458067</v>
      </c>
      <c r="AJ28">
        <v>0.76604358405199402</v>
      </c>
      <c r="AK28">
        <v>0.139511495010714</v>
      </c>
      <c r="AL28">
        <v>9.4444920937290802E-2</v>
      </c>
    </row>
    <row r="29" spans="1:38" x14ac:dyDescent="0.2">
      <c r="A29">
        <v>46</v>
      </c>
      <c r="B29">
        <v>744</v>
      </c>
      <c r="C29">
        <v>250</v>
      </c>
      <c r="D29">
        <v>0.31987464975667701</v>
      </c>
      <c r="E29">
        <v>1.3273646703178801</v>
      </c>
      <c r="F29">
        <v>2.5821513899768598</v>
      </c>
      <c r="G29">
        <v>-21.483155788228967</v>
      </c>
      <c r="H29">
        <v>-18.665488406878453</v>
      </c>
      <c r="I29">
        <v>2.7701591518955002</v>
      </c>
      <c r="J29">
        <v>1.62740588912316</v>
      </c>
      <c r="K29">
        <v>0.51405377526287399</v>
      </c>
      <c r="L29">
        <v>3.15636507520141E-5</v>
      </c>
      <c r="M29">
        <v>1.7935787614361858E-6</v>
      </c>
      <c r="N29" s="1">
        <v>-2.8045927875000299E-8</v>
      </c>
      <c r="O29" s="1">
        <v>4.4124674772219996E-12</v>
      </c>
      <c r="P29" s="1">
        <v>9.2395111363486698E-11</v>
      </c>
      <c r="Q29">
        <v>64.370522133600602</v>
      </c>
      <c r="S29">
        <v>22.0102904754355</v>
      </c>
      <c r="AA29">
        <v>3.1387336711165799</v>
      </c>
      <c r="AB29">
        <v>8.8140180362527705</v>
      </c>
      <c r="AC29">
        <v>1.6664356835944401</v>
      </c>
      <c r="AJ29">
        <v>0.75690107106049997</v>
      </c>
      <c r="AK29">
        <v>0.148946547721445</v>
      </c>
      <c r="AL29">
        <v>9.4152381218053693E-2</v>
      </c>
    </row>
    <row r="30" spans="1:38" x14ac:dyDescent="0.2">
      <c r="A30">
        <v>47</v>
      </c>
      <c r="B30">
        <v>742</v>
      </c>
      <c r="C30">
        <v>250</v>
      </c>
      <c r="D30">
        <v>0.318396788651924</v>
      </c>
      <c r="E30">
        <v>12.932255742152201</v>
      </c>
      <c r="F30">
        <v>2.58040653027596</v>
      </c>
      <c r="G30">
        <v>-209.17186079906142</v>
      </c>
      <c r="H30">
        <v>-181.79839503459624</v>
      </c>
      <c r="I30">
        <v>26.96494682014</v>
      </c>
      <c r="J30">
        <v>15.8730795976912</v>
      </c>
      <c r="K30">
        <v>5.0117125307263599</v>
      </c>
      <c r="L30">
        <v>3.1740310681241724E-5</v>
      </c>
      <c r="M30">
        <v>1.7976257413327874E-6</v>
      </c>
      <c r="N30" s="1">
        <v>-2.9172763154844998E-7</v>
      </c>
      <c r="O30" s="1">
        <v>4.3002209206240201E-11</v>
      </c>
      <c r="P30" s="1">
        <v>9.5276536370476807E-10</v>
      </c>
      <c r="Q30">
        <v>64.5403315839187</v>
      </c>
      <c r="S30">
        <v>21.870245721669502</v>
      </c>
      <c r="AA30">
        <v>2.98357260152829</v>
      </c>
      <c r="AB30">
        <v>8.82528376241026</v>
      </c>
      <c r="AC30">
        <v>1.7805663304730299</v>
      </c>
      <c r="AJ30">
        <v>0.75782859627077404</v>
      </c>
      <c r="AK30">
        <v>0.141576023990761</v>
      </c>
      <c r="AL30">
        <v>0.100595379738463</v>
      </c>
    </row>
    <row r="31" spans="1:38" x14ac:dyDescent="0.2">
      <c r="A31">
        <v>47</v>
      </c>
      <c r="B31">
        <v>742</v>
      </c>
      <c r="C31">
        <v>250</v>
      </c>
      <c r="D31">
        <v>0.318396788651924</v>
      </c>
      <c r="E31">
        <v>21.037864271345398</v>
      </c>
      <c r="F31">
        <v>2.5247415373042101</v>
      </c>
      <c r="G31">
        <v>-331.16378075934051</v>
      </c>
      <c r="H31">
        <v>-287.36626228989621</v>
      </c>
      <c r="I31">
        <v>43.143888557793701</v>
      </c>
      <c r="J31">
        <v>25.0285688687541</v>
      </c>
      <c r="K31">
        <v>8.3326803795561908</v>
      </c>
      <c r="L31">
        <v>2.854663910891182E-5</v>
      </c>
      <c r="M31">
        <v>1.7915580655196555E-6</v>
      </c>
      <c r="N31" s="1">
        <v>-2.0147290062901601E-7</v>
      </c>
      <c r="O31" s="1">
        <v>7.9263174917406297E-11</v>
      </c>
      <c r="P31" s="1">
        <v>7.4938501532454396E-10</v>
      </c>
      <c r="Q31">
        <v>65.900811143119896</v>
      </c>
      <c r="S31">
        <v>18.975076709124</v>
      </c>
      <c r="AA31">
        <v>0.27757921582614098</v>
      </c>
      <c r="AB31">
        <v>4.2669775500528102</v>
      </c>
      <c r="AC31">
        <v>10.579555381877</v>
      </c>
      <c r="AJ31">
        <v>0.37492310035406301</v>
      </c>
      <c r="AK31">
        <v>1.3477817662725799E-2</v>
      </c>
      <c r="AL31">
        <v>0.61159908198321</v>
      </c>
    </row>
    <row r="32" spans="1:38" x14ac:dyDescent="0.2">
      <c r="A32">
        <v>48</v>
      </c>
      <c r="B32">
        <v>740</v>
      </c>
      <c r="C32">
        <v>250</v>
      </c>
      <c r="D32">
        <v>0.31691309282929903</v>
      </c>
      <c r="E32">
        <v>17.414902205833201</v>
      </c>
      <c r="F32">
        <v>2.5804300922992098</v>
      </c>
      <c r="G32">
        <v>-281.60905784699844</v>
      </c>
      <c r="H32">
        <v>-244.86091169325047</v>
      </c>
      <c r="I32">
        <v>36.2711801349731</v>
      </c>
      <c r="J32">
        <v>21.401460202327499</v>
      </c>
      <c r="K32">
        <v>6.7488370476706896</v>
      </c>
      <c r="L32">
        <v>3.1883560534407796E-5</v>
      </c>
      <c r="M32">
        <v>1.7987526037474981E-6</v>
      </c>
      <c r="N32" s="1">
        <v>-4.1970233870518499E-7</v>
      </c>
      <c r="O32" s="1">
        <v>5.7705544333460202E-11</v>
      </c>
      <c r="P32" s="1">
        <v>1.3594593844327299E-9</v>
      </c>
      <c r="Q32">
        <v>64.564660663985407</v>
      </c>
      <c r="S32">
        <v>21.855775714666802</v>
      </c>
      <c r="AA32">
        <v>2.96595783935628</v>
      </c>
      <c r="AB32">
        <v>8.8415648082787204</v>
      </c>
      <c r="AC32">
        <v>1.7720409737126701</v>
      </c>
      <c r="AJ32">
        <v>0.75916549995217897</v>
      </c>
      <c r="AK32">
        <v>0.140728835011938</v>
      </c>
      <c r="AL32">
        <v>0.100105665035882</v>
      </c>
    </row>
    <row r="33" spans="1:38" x14ac:dyDescent="0.2">
      <c r="A33">
        <v>48</v>
      </c>
      <c r="B33">
        <v>740</v>
      </c>
      <c r="C33">
        <v>250</v>
      </c>
      <c r="D33">
        <v>0.31691309282929903</v>
      </c>
      <c r="E33">
        <v>29.786777965395999</v>
      </c>
      <c r="F33">
        <v>2.5247975341118201</v>
      </c>
      <c r="G33">
        <v>-468.73088498217618</v>
      </c>
      <c r="H33">
        <v>-406.91712499409903</v>
      </c>
      <c r="I33">
        <v>61.011459298304402</v>
      </c>
      <c r="J33">
        <v>35.451222138720503</v>
      </c>
      <c r="K33">
        <v>11.7976897406446</v>
      </c>
      <c r="L33">
        <v>2.8590178720400071E-5</v>
      </c>
      <c r="M33">
        <v>1.7918160086461E-6</v>
      </c>
      <c r="N33" s="1">
        <v>-3.0565869951131101E-7</v>
      </c>
      <c r="O33" s="1">
        <v>1.12078325194612E-10</v>
      </c>
      <c r="P33" s="1">
        <v>1.1191599569005899E-9</v>
      </c>
      <c r="Q33">
        <v>65.902503918392398</v>
      </c>
      <c r="S33">
        <v>18.969267181451698</v>
      </c>
      <c r="AA33">
        <v>0.27239131004355899</v>
      </c>
      <c r="AB33">
        <v>4.2555193769015602</v>
      </c>
      <c r="AC33">
        <v>10.600318213210601</v>
      </c>
      <c r="AJ33">
        <v>0.37393815022747001</v>
      </c>
      <c r="AK33">
        <v>1.3226692035274899E-2</v>
      </c>
      <c r="AL33">
        <v>0.61283515773725505</v>
      </c>
    </row>
    <row r="34" spans="1:38" x14ac:dyDescent="0.2">
      <c r="A34">
        <v>49</v>
      </c>
      <c r="B34">
        <v>738</v>
      </c>
      <c r="C34">
        <v>250</v>
      </c>
      <c r="D34">
        <v>0.31542352766652099</v>
      </c>
      <c r="E34">
        <v>18.837945563236499</v>
      </c>
      <c r="F34">
        <v>2.5806212155443302</v>
      </c>
      <c r="G34">
        <v>-304.55485041808407</v>
      </c>
      <c r="H34">
        <v>-264.92792160780806</v>
      </c>
      <c r="I34">
        <v>39.189960747936503</v>
      </c>
      <c r="J34">
        <v>23.1801250209381</v>
      </c>
      <c r="K34">
        <v>7.2997716401641597</v>
      </c>
      <c r="L34">
        <v>3.202606522644721E-5</v>
      </c>
      <c r="M34">
        <v>1.799511945807282E-6</v>
      </c>
      <c r="N34" s="1">
        <v>-4.8482092618391996E-7</v>
      </c>
      <c r="O34" s="1">
        <v>6.2166790420356203E-11</v>
      </c>
      <c r="P34" s="1">
        <v>1.5581287609163401E-9</v>
      </c>
      <c r="Q34">
        <v>64.571488913225593</v>
      </c>
      <c r="S34">
        <v>21.8544429319704</v>
      </c>
      <c r="AA34">
        <v>2.9632650013731001</v>
      </c>
      <c r="AB34">
        <v>8.8532871324822295</v>
      </c>
      <c r="AC34">
        <v>1.7575160209485401</v>
      </c>
      <c r="AJ34">
        <v>0.76012777184926295</v>
      </c>
      <c r="AK34">
        <v>0.14059288164477901</v>
      </c>
      <c r="AL34">
        <v>9.9279346505957294E-2</v>
      </c>
    </row>
    <row r="35" spans="1:38" x14ac:dyDescent="0.2">
      <c r="A35">
        <v>49</v>
      </c>
      <c r="B35">
        <v>738</v>
      </c>
      <c r="C35">
        <v>250</v>
      </c>
      <c r="D35">
        <v>0.31542352766652099</v>
      </c>
      <c r="E35">
        <v>32.5250337939706</v>
      </c>
      <c r="F35">
        <v>2.5248505100374898</v>
      </c>
      <c r="G35">
        <v>-511.63691998510291</v>
      </c>
      <c r="H35">
        <v>-444.35945433322672</v>
      </c>
      <c r="I35">
        <v>66.535593781215596</v>
      </c>
      <c r="J35">
        <v>38.724826855794397</v>
      </c>
      <c r="K35">
        <v>12.8819641656676</v>
      </c>
      <c r="L35">
        <v>2.8629941566022141E-5</v>
      </c>
      <c r="M35">
        <v>1.7919854817919984E-6</v>
      </c>
      <c r="N35" s="1">
        <v>-3.5667439435816998E-7</v>
      </c>
      <c r="O35" s="1">
        <v>1.22221236097761E-10</v>
      </c>
      <c r="P35" s="1">
        <v>1.28716866770417E-9</v>
      </c>
      <c r="Q35">
        <v>65.901153799370903</v>
      </c>
      <c r="S35">
        <v>18.9629562611251</v>
      </c>
      <c r="AA35">
        <v>0.26749976797181402</v>
      </c>
      <c r="AB35">
        <v>4.2359658109407698</v>
      </c>
      <c r="AC35">
        <v>10.632424360591299</v>
      </c>
      <c r="AJ35">
        <v>0.372257018102644</v>
      </c>
      <c r="AK35">
        <v>1.2990463529390201E-2</v>
      </c>
      <c r="AL35">
        <v>0.61475251836796396</v>
      </c>
    </row>
    <row r="36" spans="1:38" x14ac:dyDescent="0.2">
      <c r="A36">
        <v>50</v>
      </c>
      <c r="B36">
        <v>736</v>
      </c>
      <c r="C36">
        <v>250</v>
      </c>
      <c r="D36">
        <v>0.31392805826685999</v>
      </c>
      <c r="E36">
        <v>19.567445491735899</v>
      </c>
      <c r="F36">
        <v>2.5808129584547399</v>
      </c>
      <c r="G36">
        <v>-316.2805799963653</v>
      </c>
      <c r="H36">
        <v>-275.24794527672282</v>
      </c>
      <c r="I36">
        <v>40.660590318230597</v>
      </c>
      <c r="J36">
        <v>24.1110371366062</v>
      </c>
      <c r="K36">
        <v>7.5818921427966899</v>
      </c>
      <c r="L36">
        <v>3.2177488172262082E-5</v>
      </c>
      <c r="M36">
        <v>1.8002967627496003E-6</v>
      </c>
      <c r="N36" s="1">
        <v>-5.37844348438254E-7</v>
      </c>
      <c r="O36" s="1">
        <v>6.4293063631832601E-11</v>
      </c>
      <c r="P36" s="1">
        <v>1.71560603545164E-9</v>
      </c>
      <c r="Q36">
        <v>64.578304890427404</v>
      </c>
      <c r="S36">
        <v>21.853101821324302</v>
      </c>
      <c r="AA36">
        <v>2.96056815625855</v>
      </c>
      <c r="AB36">
        <v>8.8649602763033304</v>
      </c>
      <c r="AC36">
        <v>1.74306485568628</v>
      </c>
      <c r="AJ36">
        <v>0.761085895530767</v>
      </c>
      <c r="AK36">
        <v>0.14045678833688499</v>
      </c>
      <c r="AL36">
        <v>9.8457316132346998E-2</v>
      </c>
    </row>
    <row r="37" spans="1:38" x14ac:dyDescent="0.2">
      <c r="A37">
        <v>50</v>
      </c>
      <c r="B37">
        <v>736</v>
      </c>
      <c r="C37">
        <v>250</v>
      </c>
      <c r="D37">
        <v>0.31392805826685999</v>
      </c>
      <c r="E37">
        <v>33.8270490813306</v>
      </c>
      <c r="F37">
        <v>2.5249053554745799</v>
      </c>
      <c r="G37">
        <v>-531.92747705516172</v>
      </c>
      <c r="H37">
        <v>-462.18417825611562</v>
      </c>
      <c r="I37">
        <v>69.110933755185997</v>
      </c>
      <c r="J37">
        <v>40.291715859836401</v>
      </c>
      <c r="K37">
        <v>13.397353294049401</v>
      </c>
      <c r="L37">
        <v>2.8673009419910793E-5</v>
      </c>
      <c r="M37">
        <v>1.7921630583174635E-6</v>
      </c>
      <c r="N37" s="1">
        <v>-3.96310712473904E-7</v>
      </c>
      <c r="O37" s="1">
        <v>1.26935393238305E-10</v>
      </c>
      <c r="P37" s="1">
        <v>1.4106185973114599E-9</v>
      </c>
      <c r="Q37">
        <v>65.899708503216104</v>
      </c>
      <c r="S37">
        <v>18.956710641345101</v>
      </c>
      <c r="AA37">
        <v>0.262684307802515</v>
      </c>
      <c r="AB37">
        <v>4.2163713417143702</v>
      </c>
      <c r="AC37">
        <v>10.6645252059217</v>
      </c>
      <c r="AJ37">
        <v>0.37057203268689398</v>
      </c>
      <c r="AK37">
        <v>1.27578857021506E-2</v>
      </c>
      <c r="AL37">
        <v>0.61667008161095405</v>
      </c>
    </row>
    <row r="38" spans="1:38" x14ac:dyDescent="0.2">
      <c r="A38">
        <v>51</v>
      </c>
      <c r="B38">
        <v>734</v>
      </c>
      <c r="C38">
        <v>250</v>
      </c>
      <c r="D38">
        <v>0.31242664945638698</v>
      </c>
      <c r="E38">
        <v>20.0449835880585</v>
      </c>
      <c r="F38">
        <v>2.5810076370399999</v>
      </c>
      <c r="G38">
        <v>-323.92961039233154</v>
      </c>
      <c r="H38">
        <v>-282.0275825016555</v>
      </c>
      <c r="I38">
        <v>41.604555320137102</v>
      </c>
      <c r="J38">
        <v>24.735979066273501</v>
      </c>
      <c r="K38">
        <v>7.7663402852410304</v>
      </c>
      <c r="L38">
        <v>3.2338318017108471E-5</v>
      </c>
      <c r="M38">
        <v>1.8011033941239919E-6</v>
      </c>
      <c r="N38" s="1">
        <v>-5.8846772563658304E-7</v>
      </c>
      <c r="O38" s="1">
        <v>6.5555360300544806E-11</v>
      </c>
      <c r="P38" s="1">
        <v>1.86362502224566E-9</v>
      </c>
      <c r="Q38">
        <v>64.584868675526593</v>
      </c>
      <c r="S38">
        <v>21.851932083073802</v>
      </c>
      <c r="AA38">
        <v>2.9580715407045002</v>
      </c>
      <c r="AB38">
        <v>8.8765206985608494</v>
      </c>
      <c r="AC38">
        <v>1.72860700213407</v>
      </c>
      <c r="AJ38">
        <v>0.76203465480522503</v>
      </c>
      <c r="AK38">
        <v>0.14033028765233399</v>
      </c>
      <c r="AL38">
        <v>9.7635057542440104E-2</v>
      </c>
    </row>
    <row r="39" spans="1:38" x14ac:dyDescent="0.2">
      <c r="A39">
        <v>51</v>
      </c>
      <c r="B39">
        <v>734</v>
      </c>
      <c r="C39">
        <v>250</v>
      </c>
      <c r="D39">
        <v>0.31242664945638698</v>
      </c>
      <c r="E39">
        <v>34.608645040713803</v>
      </c>
      <c r="F39">
        <v>2.5249620288513701</v>
      </c>
      <c r="G39">
        <v>-544.02269477864411</v>
      </c>
      <c r="H39">
        <v>-472.90045167354128</v>
      </c>
      <c r="I39">
        <v>70.617329201313595</v>
      </c>
      <c r="J39">
        <v>41.241333947345403</v>
      </c>
      <c r="K39">
        <v>13.7066001964621</v>
      </c>
      <c r="L39">
        <v>2.8719497875358966E-5</v>
      </c>
      <c r="M39">
        <v>1.7923480652767966E-6</v>
      </c>
      <c r="N39" s="1">
        <v>-4.3303188586144798E-7</v>
      </c>
      <c r="O39" s="1">
        <v>1.2967334545700699E-10</v>
      </c>
      <c r="P39" s="1">
        <v>1.5212314847427901E-9</v>
      </c>
      <c r="Q39">
        <v>65.898129701906896</v>
      </c>
      <c r="S39">
        <v>18.950522370279302</v>
      </c>
      <c r="AA39">
        <v>0.25794731251229902</v>
      </c>
      <c r="AB39">
        <v>4.1966297105196499</v>
      </c>
      <c r="AC39">
        <v>10.696770904781699</v>
      </c>
      <c r="AJ39">
        <v>0.368874051311949</v>
      </c>
      <c r="AK39">
        <v>1.25290820224675E-2</v>
      </c>
      <c r="AL39">
        <v>0.618596866665583</v>
      </c>
    </row>
    <row r="40" spans="1:38" x14ac:dyDescent="0.2">
      <c r="A40">
        <v>52</v>
      </c>
      <c r="B40">
        <v>732</v>
      </c>
      <c r="C40">
        <v>250</v>
      </c>
      <c r="D40">
        <v>0.31091926578122597</v>
      </c>
      <c r="E40">
        <v>20.397611365362099</v>
      </c>
      <c r="F40">
        <v>2.5812029481574199</v>
      </c>
      <c r="G40">
        <v>-329.5572036069463</v>
      </c>
      <c r="H40">
        <v>-287.05235369033318</v>
      </c>
      <c r="I40">
        <v>42.287071498396301</v>
      </c>
      <c r="J40">
        <v>25.210964054003298</v>
      </c>
      <c r="K40">
        <v>7.9023663675585301</v>
      </c>
      <c r="L40">
        <v>3.2509338120421557E-5</v>
      </c>
      <c r="M40">
        <v>1.8019392252127549E-6</v>
      </c>
      <c r="N40" s="1">
        <v>-6.3956184043335597E-7</v>
      </c>
      <c r="O40" s="1">
        <v>6.6376851542018904E-11</v>
      </c>
      <c r="P40" s="1">
        <v>2.0115134821823899E-9</v>
      </c>
      <c r="Q40">
        <v>64.5914280379166</v>
      </c>
      <c r="S40">
        <v>21.850747833053301</v>
      </c>
      <c r="AA40">
        <v>2.9555639847703401</v>
      </c>
      <c r="AB40">
        <v>8.8880332205560197</v>
      </c>
      <c r="AC40">
        <v>1.71422692370365</v>
      </c>
      <c r="AJ40">
        <v>0.76297937504341395</v>
      </c>
      <c r="AK40">
        <v>0.140203315914469</v>
      </c>
      <c r="AL40">
        <v>9.6817309042114996E-2</v>
      </c>
    </row>
    <row r="41" spans="1:38" x14ac:dyDescent="0.2">
      <c r="A41">
        <v>52</v>
      </c>
      <c r="B41">
        <v>732</v>
      </c>
      <c r="C41">
        <v>250</v>
      </c>
      <c r="D41">
        <v>0.31091926578122597</v>
      </c>
      <c r="E41">
        <v>35.129188018021701</v>
      </c>
      <c r="F41">
        <v>2.5250205971398501</v>
      </c>
      <c r="G41">
        <v>-552.00723457827564</v>
      </c>
      <c r="H41">
        <v>-480.05112845530431</v>
      </c>
      <c r="I41">
        <v>71.587430854072807</v>
      </c>
      <c r="J41">
        <v>41.882309592043001</v>
      </c>
      <c r="K41">
        <v>13.9124362224265</v>
      </c>
      <c r="L41">
        <v>2.8769729830030024E-5</v>
      </c>
      <c r="M41">
        <v>1.7925425056649242E-6</v>
      </c>
      <c r="N41" s="1">
        <v>-4.6924729515931099E-7</v>
      </c>
      <c r="O41" s="1">
        <v>1.3141273751673899E-10</v>
      </c>
      <c r="P41" s="1">
        <v>1.6280039400154899E-9</v>
      </c>
      <c r="Q41">
        <v>65.896460254162506</v>
      </c>
      <c r="S41">
        <v>18.9443984429188</v>
      </c>
      <c r="AA41">
        <v>0.25328455254422799</v>
      </c>
      <c r="AB41">
        <v>4.1768547639930098</v>
      </c>
      <c r="AC41">
        <v>10.7290019863813</v>
      </c>
      <c r="AJ41">
        <v>0.36717286143950201</v>
      </c>
      <c r="AK41">
        <v>1.2303840529310999E-2</v>
      </c>
      <c r="AL41">
        <v>0.620523298031185</v>
      </c>
    </row>
    <row r="42" spans="1:38" x14ac:dyDescent="0.2">
      <c r="A42">
        <v>53</v>
      </c>
      <c r="B42">
        <v>730</v>
      </c>
      <c r="C42">
        <v>250</v>
      </c>
      <c r="D42">
        <v>0.30940587150476501</v>
      </c>
      <c r="E42">
        <v>20.678266793612998</v>
      </c>
      <c r="F42">
        <v>2.5813982128776498</v>
      </c>
      <c r="G42">
        <v>-334.0197483342713</v>
      </c>
      <c r="H42">
        <v>-291.06621494125375</v>
      </c>
      <c r="I42">
        <v>42.818654630930098</v>
      </c>
      <c r="J42">
        <v>25.6011270321059</v>
      </c>
      <c r="K42">
        <v>8.0104908612924302</v>
      </c>
      <c r="L42">
        <v>3.2691274922943781E-5</v>
      </c>
      <c r="M42">
        <v>1.8028079262333581E-6</v>
      </c>
      <c r="N42" s="1">
        <v>-6.9239832733455895E-7</v>
      </c>
      <c r="O42" s="1">
        <v>6.6933407432085306E-11</v>
      </c>
      <c r="P42" s="1">
        <v>2.1633394813179901E-9</v>
      </c>
      <c r="Q42">
        <v>64.598061109122099</v>
      </c>
      <c r="S42">
        <v>21.849490720506399</v>
      </c>
      <c r="AA42">
        <v>2.9529791175614402</v>
      </c>
      <c r="AB42">
        <v>8.8995189801088799</v>
      </c>
      <c r="AC42">
        <v>1.6999500727011101</v>
      </c>
      <c r="AJ42">
        <v>0.76392179290367901</v>
      </c>
      <c r="AK42">
        <v>0.140072710338424</v>
      </c>
      <c r="AL42">
        <v>9.6005496757895895E-2</v>
      </c>
    </row>
    <row r="43" spans="1:38" x14ac:dyDescent="0.2">
      <c r="A43">
        <v>53</v>
      </c>
      <c r="B43">
        <v>730</v>
      </c>
      <c r="C43">
        <v>250</v>
      </c>
      <c r="D43">
        <v>0.30940587150476501</v>
      </c>
      <c r="E43">
        <v>35.497703316512002</v>
      </c>
      <c r="F43">
        <v>2.5250810813180702</v>
      </c>
      <c r="G43">
        <v>-557.59817475918385</v>
      </c>
      <c r="H43">
        <v>-485.12542199012654</v>
      </c>
      <c r="I43">
        <v>72.245180450637903</v>
      </c>
      <c r="J43">
        <v>42.344432837057099</v>
      </c>
      <c r="K43">
        <v>14.058044939286599</v>
      </c>
      <c r="L43">
        <v>2.8823968750032628E-5</v>
      </c>
      <c r="M43">
        <v>1.7927474671345033E-6</v>
      </c>
      <c r="N43" s="1">
        <v>-5.0598308148241304E-7</v>
      </c>
      <c r="O43" s="1">
        <v>1.32564531869663E-10</v>
      </c>
      <c r="P43" s="1">
        <v>1.7347339188185501E-9</v>
      </c>
      <c r="Q43">
        <v>65.894714370488003</v>
      </c>
      <c r="S43">
        <v>18.938340376411102</v>
      </c>
      <c r="AA43">
        <v>0.248693963733501</v>
      </c>
      <c r="AB43">
        <v>4.1570821468826704</v>
      </c>
      <c r="AC43">
        <v>10.761169142484601</v>
      </c>
      <c r="AJ43">
        <v>0.36547152868406901</v>
      </c>
      <c r="AK43">
        <v>1.20820597132556E-2</v>
      </c>
      <c r="AL43">
        <v>0.622446411602675</v>
      </c>
    </row>
    <row r="44" spans="1:38" x14ac:dyDescent="0.2">
      <c r="A44">
        <v>59</v>
      </c>
      <c r="B44">
        <v>750</v>
      </c>
      <c r="C44">
        <v>225</v>
      </c>
      <c r="D44">
        <v>0.35115134633240402</v>
      </c>
      <c r="E44">
        <v>0.81583277191913595</v>
      </c>
      <c r="F44">
        <v>2.5814312997964701</v>
      </c>
      <c r="G44">
        <v>-13.226739480949986</v>
      </c>
      <c r="H44">
        <v>-11.478531678149585</v>
      </c>
      <c r="I44">
        <v>1.7086524974836499</v>
      </c>
      <c r="J44">
        <v>0.99745042213806001</v>
      </c>
      <c r="K44">
        <v>0.316038924601037</v>
      </c>
      <c r="L44">
        <v>3.1226767814332617E-5</v>
      </c>
      <c r="M44">
        <v>1.7929985431865555E-6</v>
      </c>
      <c r="N44" s="1">
        <v>-1.40123208057231E-8</v>
      </c>
      <c r="O44" s="1">
        <v>2.73438893434603E-12</v>
      </c>
      <c r="P44" s="1">
        <v>4.7555155045406002E-11</v>
      </c>
      <c r="Q44">
        <v>64.325435543487302</v>
      </c>
      <c r="S44">
        <v>22.065396773042</v>
      </c>
      <c r="AA44">
        <v>3.1947172703151101</v>
      </c>
      <c r="AB44">
        <v>8.8580133111144193</v>
      </c>
      <c r="AC44">
        <v>1.5564371020411001</v>
      </c>
      <c r="AJ44">
        <v>0.760511909590461</v>
      </c>
      <c r="AK44">
        <v>0.15156988138687499</v>
      </c>
      <c r="AL44">
        <v>8.7918209022663105E-2</v>
      </c>
    </row>
    <row r="45" spans="1:38" x14ac:dyDescent="0.2">
      <c r="A45">
        <v>60</v>
      </c>
      <c r="B45">
        <v>748</v>
      </c>
      <c r="C45">
        <v>225</v>
      </c>
      <c r="D45">
        <v>0.34974342652891699</v>
      </c>
      <c r="E45">
        <v>2.8153002544663002</v>
      </c>
      <c r="F45">
        <v>2.5787229557500302</v>
      </c>
      <c r="G45">
        <v>-45.600847389402752</v>
      </c>
      <c r="H45">
        <v>-39.58465693025358</v>
      </c>
      <c r="I45">
        <v>5.89158346878438</v>
      </c>
      <c r="J45">
        <v>3.44450794577399</v>
      </c>
      <c r="K45">
        <v>1.0917420377356699</v>
      </c>
      <c r="L45">
        <v>3.1382994126374379E-5</v>
      </c>
      <c r="M45">
        <v>1.7981063709946354E-6</v>
      </c>
      <c r="N45" s="1">
        <v>-5.1428876955348301E-8</v>
      </c>
      <c r="O45" s="1">
        <v>9.4635633030679006E-12</v>
      </c>
      <c r="P45" s="1">
        <v>1.7286742666018199E-10</v>
      </c>
      <c r="Q45">
        <v>64.558325055350906</v>
      </c>
      <c r="S45">
        <v>21.862402441204601</v>
      </c>
      <c r="AA45">
        <v>2.97290328426373</v>
      </c>
      <c r="AB45">
        <v>8.8448190692904802</v>
      </c>
      <c r="AC45">
        <v>1.76155014989019</v>
      </c>
      <c r="AJ45">
        <v>0.75943252422153895</v>
      </c>
      <c r="AK45">
        <v>0.14105608000608699</v>
      </c>
      <c r="AL45">
        <v>9.9511395772373001E-2</v>
      </c>
    </row>
    <row r="46" spans="1:38" x14ac:dyDescent="0.2">
      <c r="A46">
        <v>61</v>
      </c>
      <c r="B46">
        <v>746</v>
      </c>
      <c r="C46">
        <v>225</v>
      </c>
      <c r="D46">
        <v>0.34832998086640898</v>
      </c>
      <c r="E46">
        <v>13.4786341176201</v>
      </c>
      <c r="F46">
        <v>2.5781137027118199</v>
      </c>
      <c r="G46">
        <v>-218.21087932330997</v>
      </c>
      <c r="H46">
        <v>-189.49550703598959</v>
      </c>
      <c r="I46">
        <v>28.175805609890901</v>
      </c>
      <c r="J46">
        <v>16.5030167270011</v>
      </c>
      <c r="K46">
        <v>5.2280991732220601</v>
      </c>
      <c r="L46">
        <v>3.1477669817269545E-5</v>
      </c>
      <c r="M46">
        <v>1.7993027723731824E-6</v>
      </c>
      <c r="N46" s="1">
        <v>-2.6151706753394498E-7</v>
      </c>
      <c r="O46" s="1">
        <v>4.52455359311343E-11</v>
      </c>
      <c r="P46" s="1">
        <v>8.7126953977124697E-10</v>
      </c>
      <c r="Q46">
        <v>64.6043528674371</v>
      </c>
      <c r="S46">
        <v>21.814033906133599</v>
      </c>
      <c r="AA46">
        <v>2.92225878686618</v>
      </c>
      <c r="AB46">
        <v>8.8205851775847393</v>
      </c>
      <c r="AC46">
        <v>1.8387692619782701</v>
      </c>
      <c r="AJ46">
        <v>0.75744381609670897</v>
      </c>
      <c r="AK46">
        <v>0.13866999172064501</v>
      </c>
      <c r="AL46">
        <v>0.103886192182644</v>
      </c>
    </row>
    <row r="47" spans="1:38" x14ac:dyDescent="0.2">
      <c r="A47">
        <v>61</v>
      </c>
      <c r="B47">
        <v>746</v>
      </c>
      <c r="C47">
        <v>225</v>
      </c>
      <c r="D47">
        <v>0.34832998086640898</v>
      </c>
      <c r="E47">
        <v>21.372664992685301</v>
      </c>
      <c r="F47">
        <v>2.5236257180155199</v>
      </c>
      <c r="G47">
        <v>-337.00226168046794</v>
      </c>
      <c r="H47">
        <v>-292.19391428702187</v>
      </c>
      <c r="I47">
        <v>43.9663910056871</v>
      </c>
      <c r="J47">
        <v>25.420311524824399</v>
      </c>
      <c r="K47">
        <v>8.4690312196897093</v>
      </c>
      <c r="L47">
        <v>2.8511568803134996E-5</v>
      </c>
      <c r="M47">
        <v>1.7936765992289649E-6</v>
      </c>
      <c r="N47" s="1">
        <v>-1.7847142695878999E-7</v>
      </c>
      <c r="O47" s="1">
        <v>8.0664925223802596E-11</v>
      </c>
      <c r="P47" s="1">
        <v>6.8651991730152796E-10</v>
      </c>
      <c r="Q47">
        <v>65.927130057166494</v>
      </c>
      <c r="S47">
        <v>18.997013775013102</v>
      </c>
      <c r="AA47">
        <v>0.28953636101208402</v>
      </c>
      <c r="AB47">
        <v>4.38313870908339</v>
      </c>
      <c r="AC47">
        <v>10.403181097724699</v>
      </c>
      <c r="AJ47">
        <v>0.38490222297944998</v>
      </c>
      <c r="AK47">
        <v>1.4050090020818799E-2</v>
      </c>
      <c r="AL47">
        <v>0.60104768699972999</v>
      </c>
    </row>
    <row r="48" spans="1:38" x14ac:dyDescent="0.2">
      <c r="A48">
        <v>62</v>
      </c>
      <c r="B48">
        <v>744</v>
      </c>
      <c r="C48">
        <v>225</v>
      </c>
      <c r="D48">
        <v>0.34691097674876298</v>
      </c>
      <c r="E48">
        <v>17.365959180336802</v>
      </c>
      <c r="F48">
        <v>2.5786164094823798</v>
      </c>
      <c r="G48">
        <v>-281.09593174327534</v>
      </c>
      <c r="H48">
        <v>-244.21520880742153</v>
      </c>
      <c r="I48">
        <v>36.2588830908457</v>
      </c>
      <c r="J48">
        <v>21.283336343904001</v>
      </c>
      <c r="K48">
        <v>6.7346035325287996</v>
      </c>
      <c r="L48">
        <v>3.1578153842648061E-5</v>
      </c>
      <c r="M48">
        <v>1.7992688969086528E-6</v>
      </c>
      <c r="N48" s="1">
        <v>-3.5923077346817001E-7</v>
      </c>
      <c r="O48" s="1">
        <v>5.8071173473587498E-11</v>
      </c>
      <c r="P48" s="1">
        <v>1.1862353420519501E-9</v>
      </c>
      <c r="Q48">
        <v>64.578891817765793</v>
      </c>
      <c r="S48">
        <v>21.837164190436901</v>
      </c>
      <c r="AA48">
        <v>2.9472824961175599</v>
      </c>
      <c r="AB48">
        <v>8.8244856410024202</v>
      </c>
      <c r="AC48">
        <v>1.81217585467719</v>
      </c>
      <c r="AJ48">
        <v>0.75776365827967695</v>
      </c>
      <c r="AK48">
        <v>0.139854655380696</v>
      </c>
      <c r="AL48">
        <v>0.10238168633962499</v>
      </c>
    </row>
    <row r="49" spans="1:38" x14ac:dyDescent="0.2">
      <c r="A49">
        <v>62</v>
      </c>
      <c r="B49">
        <v>744</v>
      </c>
      <c r="C49">
        <v>225</v>
      </c>
      <c r="D49">
        <v>0.34691097674876298</v>
      </c>
      <c r="E49">
        <v>29.837673271247301</v>
      </c>
      <c r="F49">
        <v>2.5236582112288599</v>
      </c>
      <c r="G49">
        <v>-470.27748699859592</v>
      </c>
      <c r="H49">
        <v>-407.92852987621865</v>
      </c>
      <c r="I49">
        <v>61.297701540949902</v>
      </c>
      <c r="J49">
        <v>35.4946419714813</v>
      </c>
      <c r="K49">
        <v>11.8231831626352</v>
      </c>
      <c r="L49">
        <v>2.8529515110402067E-5</v>
      </c>
      <c r="M49">
        <v>1.7936416183899113E-6</v>
      </c>
      <c r="N49" s="1">
        <v>-2.6523119637669402E-7</v>
      </c>
      <c r="O49" s="1">
        <v>1.1251604729971399E-10</v>
      </c>
      <c r="P49" s="1">
        <v>1.00429172267536E-9</v>
      </c>
      <c r="Q49">
        <v>65.920533860645307</v>
      </c>
      <c r="S49">
        <v>18.989304047051199</v>
      </c>
      <c r="AA49">
        <v>0.28471488878465101</v>
      </c>
      <c r="AB49">
        <v>4.3482273846247201</v>
      </c>
      <c r="AC49">
        <v>10.457219818893901</v>
      </c>
      <c r="AJ49">
        <v>0.38190432580215</v>
      </c>
      <c r="AK49">
        <v>1.3818576262958E-2</v>
      </c>
      <c r="AL49">
        <v>0.60427709793489104</v>
      </c>
    </row>
    <row r="50" spans="1:38" x14ac:dyDescent="0.2">
      <c r="A50">
        <v>63</v>
      </c>
      <c r="B50">
        <v>742</v>
      </c>
      <c r="C50">
        <v>225</v>
      </c>
      <c r="D50">
        <v>0.345486381322956</v>
      </c>
      <c r="E50">
        <v>18.655221965018001</v>
      </c>
      <c r="F50">
        <v>2.57895273458371</v>
      </c>
      <c r="G50">
        <v>-301.90571425144429</v>
      </c>
      <c r="H50">
        <v>-262.410803671667</v>
      </c>
      <c r="I50">
        <v>38.905492370366197</v>
      </c>
      <c r="J50">
        <v>22.887955643532599</v>
      </c>
      <c r="K50">
        <v>7.2336424451878498</v>
      </c>
      <c r="L50">
        <v>3.1694148233914433E-5</v>
      </c>
      <c r="M50">
        <v>1.7996341979213723E-6</v>
      </c>
      <c r="N50" s="1">
        <v>-4.1174152538520701E-7</v>
      </c>
      <c r="O50" s="1">
        <v>6.2148640123537295E-11</v>
      </c>
      <c r="P50" s="1">
        <v>1.3480083412238499E-9</v>
      </c>
      <c r="Q50">
        <v>64.570505363104004</v>
      </c>
      <c r="S50">
        <v>21.847336434587401</v>
      </c>
      <c r="AA50">
        <v>2.95763156624235</v>
      </c>
      <c r="AB50">
        <v>8.8324647369747993</v>
      </c>
      <c r="AC50">
        <v>1.7920618990913399</v>
      </c>
      <c r="AJ50">
        <v>0.75841857813719504</v>
      </c>
      <c r="AK50">
        <v>0.14034014268127801</v>
      </c>
      <c r="AL50">
        <v>0.10124127918152601</v>
      </c>
    </row>
    <row r="51" spans="1:38" x14ac:dyDescent="0.2">
      <c r="A51">
        <v>63</v>
      </c>
      <c r="B51">
        <v>742</v>
      </c>
      <c r="C51">
        <v>225</v>
      </c>
      <c r="D51">
        <v>0.345486381322956</v>
      </c>
      <c r="E51">
        <v>32.579067218562699</v>
      </c>
      <c r="F51">
        <v>2.5237000089352799</v>
      </c>
      <c r="G51">
        <v>-513.2849154925924</v>
      </c>
      <c r="H51">
        <v>-445.42967705944119</v>
      </c>
      <c r="I51">
        <v>66.842573445452501</v>
      </c>
      <c r="J51">
        <v>38.765736950555201</v>
      </c>
      <c r="K51">
        <v>12.9092471780381</v>
      </c>
      <c r="L51">
        <v>2.8556801826433245E-5</v>
      </c>
      <c r="M51">
        <v>1.7937107562921653E-6</v>
      </c>
      <c r="N51" s="1">
        <v>-3.0898700599278302E-7</v>
      </c>
      <c r="O51" s="1">
        <v>1.2272644740118399E-10</v>
      </c>
      <c r="P51" s="1">
        <v>1.1518397847883001E-9</v>
      </c>
      <c r="Q51">
        <v>65.916826809378307</v>
      </c>
      <c r="S51">
        <v>18.982293068352199</v>
      </c>
      <c r="AA51">
        <v>0.27979574930580697</v>
      </c>
      <c r="AB51">
        <v>4.32158622749155</v>
      </c>
      <c r="AC51">
        <v>10.4994981454719</v>
      </c>
      <c r="AJ51">
        <v>0.37961589639133497</v>
      </c>
      <c r="AK51">
        <v>1.3581668000658799E-2</v>
      </c>
      <c r="AL51">
        <v>0.60680243560800495</v>
      </c>
    </row>
    <row r="52" spans="1:38" x14ac:dyDescent="0.2">
      <c r="A52">
        <v>64</v>
      </c>
      <c r="B52">
        <v>740</v>
      </c>
      <c r="C52">
        <v>225</v>
      </c>
      <c r="D52">
        <v>0.34405616147658602</v>
      </c>
      <c r="E52">
        <v>19.338551760028398</v>
      </c>
      <c r="F52">
        <v>2.5792246864137902</v>
      </c>
      <c r="G52">
        <v>-312.90037191582439</v>
      </c>
      <c r="H52">
        <v>-272.08672075277406</v>
      </c>
      <c r="I52">
        <v>40.283917646005399</v>
      </c>
      <c r="J52">
        <v>23.753863346772</v>
      </c>
      <c r="K52">
        <v>7.4978158598959199</v>
      </c>
      <c r="L52">
        <v>3.1821048727996768E-5</v>
      </c>
      <c r="M52">
        <v>1.8001695002783414E-6</v>
      </c>
      <c r="N52" s="1">
        <v>-4.5558966843742002E-7</v>
      </c>
      <c r="O52" s="1">
        <v>6.4175859157983702E-11</v>
      </c>
      <c r="P52" s="1">
        <v>1.4792951870497699E-9</v>
      </c>
      <c r="Q52">
        <v>64.568780856526004</v>
      </c>
      <c r="S52">
        <v>21.852450355829902</v>
      </c>
      <c r="AA52">
        <v>2.9622529936642099</v>
      </c>
      <c r="AB52">
        <v>8.84202857592242</v>
      </c>
      <c r="AC52">
        <v>1.7744872180573601</v>
      </c>
      <c r="AJ52">
        <v>0.75920363088395504</v>
      </c>
      <c r="AK52">
        <v>0.14055273459839701</v>
      </c>
      <c r="AL52">
        <v>0.10024363451764599</v>
      </c>
    </row>
    <row r="53" spans="1:38" x14ac:dyDescent="0.2">
      <c r="A53">
        <v>64</v>
      </c>
      <c r="B53">
        <v>740</v>
      </c>
      <c r="C53">
        <v>225</v>
      </c>
      <c r="D53">
        <v>0.34405616147658602</v>
      </c>
      <c r="E53">
        <v>33.937512541043198</v>
      </c>
      <c r="F53">
        <v>2.52374644121412</v>
      </c>
      <c r="G53">
        <v>-534.48627591152353</v>
      </c>
      <c r="H53">
        <v>-464.03167046657973</v>
      </c>
      <c r="I53">
        <v>69.540152440353097</v>
      </c>
      <c r="J53">
        <v>40.394632574531499</v>
      </c>
      <c r="K53">
        <v>13.4472750458705</v>
      </c>
      <c r="L53">
        <v>2.8589535374295721E-5</v>
      </c>
      <c r="M53">
        <v>1.7938245362596119E-6</v>
      </c>
      <c r="N53" s="1">
        <v>-3.4367138566499397E-7</v>
      </c>
      <c r="O53" s="1">
        <v>1.2769611231462599E-10</v>
      </c>
      <c r="P53" s="1">
        <v>1.2619361835901701E-9</v>
      </c>
      <c r="Q53">
        <v>65.914179029491905</v>
      </c>
      <c r="S53">
        <v>18.9755922313153</v>
      </c>
      <c r="AA53">
        <v>0.27488531337830702</v>
      </c>
      <c r="AB53">
        <v>4.2981186765225301</v>
      </c>
      <c r="AC53">
        <v>10.537224749291701</v>
      </c>
      <c r="AJ53">
        <v>0.377599564955445</v>
      </c>
      <c r="AK53">
        <v>1.33449026424732E-2</v>
      </c>
      <c r="AL53">
        <v>0.60905553240208099</v>
      </c>
    </row>
    <row r="54" spans="1:38" x14ac:dyDescent="0.2">
      <c r="A54">
        <v>65</v>
      </c>
      <c r="B54">
        <v>738</v>
      </c>
      <c r="C54">
        <v>225</v>
      </c>
      <c r="D54">
        <v>0.34262028383523802</v>
      </c>
      <c r="E54">
        <v>19.789183741531101</v>
      </c>
      <c r="F54">
        <v>2.5794682165936398</v>
      </c>
      <c r="G54">
        <v>-320.12493025754276</v>
      </c>
      <c r="H54">
        <v>-278.49091878507329</v>
      </c>
      <c r="I54">
        <v>41.174911212450702</v>
      </c>
      <c r="J54">
        <v>24.337727280707401</v>
      </c>
      <c r="K54">
        <v>7.6718075509625896</v>
      </c>
      <c r="L54">
        <v>3.1957563049108449E-5</v>
      </c>
      <c r="M54">
        <v>1.8007944018080333E-6</v>
      </c>
      <c r="N54" s="1">
        <v>-4.9775630338254095E-7</v>
      </c>
      <c r="O54" s="1">
        <v>6.5403743680215805E-11</v>
      </c>
      <c r="P54" s="1">
        <v>1.6034474916343199E-9</v>
      </c>
      <c r="Q54">
        <v>64.570029067081506</v>
      </c>
      <c r="S54">
        <v>21.8552986405087</v>
      </c>
      <c r="AA54">
        <v>2.9643116048193199</v>
      </c>
      <c r="AB54">
        <v>8.85227729480685</v>
      </c>
      <c r="AC54">
        <v>1.75808339278346</v>
      </c>
      <c r="AJ54">
        <v>0.76004486656966896</v>
      </c>
      <c r="AK54">
        <v>0.140643240752749</v>
      </c>
      <c r="AL54">
        <v>9.9311892677580602E-2</v>
      </c>
    </row>
    <row r="55" spans="1:38" x14ac:dyDescent="0.2">
      <c r="A55">
        <v>65</v>
      </c>
      <c r="B55">
        <v>738</v>
      </c>
      <c r="C55">
        <v>225</v>
      </c>
      <c r="D55">
        <v>0.34262028383523802</v>
      </c>
      <c r="E55">
        <v>34.755582101596502</v>
      </c>
      <c r="F55">
        <v>2.5237959605675999</v>
      </c>
      <c r="G55">
        <v>-547.1678655452489</v>
      </c>
      <c r="H55">
        <v>-475.24973598833827</v>
      </c>
      <c r="I55">
        <v>71.125084860713699</v>
      </c>
      <c r="J55">
        <v>41.3829197787948</v>
      </c>
      <c r="K55">
        <v>13.7711537083925</v>
      </c>
      <c r="L55">
        <v>2.8626472231628537E-5</v>
      </c>
      <c r="M55">
        <v>1.7939625354061646E-6</v>
      </c>
      <c r="N55" s="1">
        <v>-3.7586496401513202E-7</v>
      </c>
      <c r="O55" s="1">
        <v>1.3060953090491701E-10</v>
      </c>
      <c r="P55" s="1">
        <v>1.3603118486288801E-9</v>
      </c>
      <c r="Q55">
        <v>65.911950425434298</v>
      </c>
      <c r="S55">
        <v>18.969065998313599</v>
      </c>
      <c r="AA55">
        <v>0.27002111861843597</v>
      </c>
      <c r="AB55">
        <v>4.2760429835908003</v>
      </c>
      <c r="AC55">
        <v>10.572919474042701</v>
      </c>
      <c r="AJ55">
        <v>0.37570238419389801</v>
      </c>
      <c r="AK55">
        <v>1.31102330342108E-2</v>
      </c>
      <c r="AL55">
        <v>0.61118738277189</v>
      </c>
    </row>
    <row r="56" spans="1:38" x14ac:dyDescent="0.2">
      <c r="A56">
        <v>66</v>
      </c>
      <c r="B56">
        <v>736</v>
      </c>
      <c r="C56">
        <v>225</v>
      </c>
      <c r="D56">
        <v>0.34117871475994799</v>
      </c>
      <c r="E56">
        <v>20.1241510775432</v>
      </c>
      <c r="F56">
        <v>2.5796964505196001</v>
      </c>
      <c r="G56">
        <v>-325.47506514149239</v>
      </c>
      <c r="H56">
        <v>-283.2690933310484</v>
      </c>
      <c r="I56">
        <v>41.823288718668202</v>
      </c>
      <c r="J56">
        <v>24.782852477800201</v>
      </c>
      <c r="K56">
        <v>7.8009763797945197</v>
      </c>
      <c r="L56">
        <v>3.2103595486224147E-5</v>
      </c>
      <c r="M56">
        <v>1.8014806240820784E-6</v>
      </c>
      <c r="N56" s="1">
        <v>-5.4053528320510102E-7</v>
      </c>
      <c r="O56" s="1">
        <v>6.6223404415195404E-11</v>
      </c>
      <c r="P56" s="1">
        <v>1.72806252801501E-9</v>
      </c>
      <c r="Q56">
        <v>64.5729044977124</v>
      </c>
      <c r="S56">
        <v>21.856899397548698</v>
      </c>
      <c r="AA56">
        <v>2.96496130333965</v>
      </c>
      <c r="AB56">
        <v>8.8628816304859903</v>
      </c>
      <c r="AC56">
        <v>1.74235317091324</v>
      </c>
      <c r="AJ56">
        <v>0.76091522590209504</v>
      </c>
      <c r="AK56">
        <v>0.14066665016782001</v>
      </c>
      <c r="AL56">
        <v>9.8418123930084603E-2</v>
      </c>
    </row>
    <row r="57" spans="1:38" x14ac:dyDescent="0.2">
      <c r="A57">
        <v>66</v>
      </c>
      <c r="B57">
        <v>736</v>
      </c>
      <c r="C57">
        <v>225</v>
      </c>
      <c r="D57">
        <v>0.34117871475994799</v>
      </c>
      <c r="E57">
        <v>35.3016859084793</v>
      </c>
      <c r="F57">
        <v>2.5238480085625699</v>
      </c>
      <c r="G57">
        <v>-555.5619583111187</v>
      </c>
      <c r="H57">
        <v>-482.75181473077021</v>
      </c>
      <c r="I57">
        <v>72.149971342563902</v>
      </c>
      <c r="J57">
        <v>42.049683466818301</v>
      </c>
      <c r="K57">
        <v>13.987247167306601</v>
      </c>
      <c r="L57">
        <v>2.8667294373615428E-5</v>
      </c>
      <c r="M57">
        <v>1.7941177214543867E-6</v>
      </c>
      <c r="N57" s="1">
        <v>-4.07694581937174E-7</v>
      </c>
      <c r="O57" s="1">
        <v>1.3248110003311199E-10</v>
      </c>
      <c r="P57" s="1">
        <v>1.4552328690083301E-9</v>
      </c>
      <c r="Q57">
        <v>65.9099090841367</v>
      </c>
      <c r="S57">
        <v>18.962664449126699</v>
      </c>
      <c r="AA57">
        <v>0.26521609407755797</v>
      </c>
      <c r="AB57">
        <v>4.2547114705100002</v>
      </c>
      <c r="AC57">
        <v>10.6074989021488</v>
      </c>
      <c r="AJ57">
        <v>0.373868753804243</v>
      </c>
      <c r="AK57">
        <v>1.28783350975456E-2</v>
      </c>
      <c r="AL57">
        <v>0.61325291109821001</v>
      </c>
    </row>
    <row r="58" spans="1:38" x14ac:dyDescent="0.2">
      <c r="A58">
        <v>67</v>
      </c>
      <c r="B58">
        <v>734</v>
      </c>
      <c r="C58">
        <v>225</v>
      </c>
      <c r="D58">
        <v>0.33973142034453802</v>
      </c>
      <c r="E58">
        <v>20.392382859054202</v>
      </c>
      <c r="F58">
        <v>2.5799152499832498</v>
      </c>
      <c r="G58">
        <v>-329.74337062214556</v>
      </c>
      <c r="H58">
        <v>-287.10929345327634</v>
      </c>
      <c r="I58">
        <v>42.331407604497102</v>
      </c>
      <c r="J58">
        <v>25.149264357379799</v>
      </c>
      <c r="K58">
        <v>7.90428401056454</v>
      </c>
      <c r="L58">
        <v>3.2259457646846787E-5</v>
      </c>
      <c r="M58">
        <v>1.8022165992656391E-6</v>
      </c>
      <c r="N58" s="1">
        <v>-5.8497944325640903E-7</v>
      </c>
      <c r="O58" s="1">
        <v>6.6797634313317206E-11</v>
      </c>
      <c r="P58" s="1">
        <v>1.85655999601598E-9</v>
      </c>
      <c r="Q58">
        <v>64.576809386888002</v>
      </c>
      <c r="S58">
        <v>21.857705051343501</v>
      </c>
      <c r="AA58">
        <v>2.9647148234637899</v>
      </c>
      <c r="AB58">
        <v>8.8736955928075307</v>
      </c>
      <c r="AC58">
        <v>1.7270751454970501</v>
      </c>
      <c r="AJ58">
        <v>0.76180271087750195</v>
      </c>
      <c r="AK58">
        <v>0.140647398150857</v>
      </c>
      <c r="AL58">
        <v>9.7549890971639297E-2</v>
      </c>
    </row>
    <row r="59" spans="1:38" x14ac:dyDescent="0.2">
      <c r="A59">
        <v>67</v>
      </c>
      <c r="B59">
        <v>734</v>
      </c>
      <c r="C59">
        <v>225</v>
      </c>
      <c r="D59">
        <v>0.33973142034453802</v>
      </c>
      <c r="E59">
        <v>35.689101185762702</v>
      </c>
      <c r="F59">
        <v>2.5239023362771098</v>
      </c>
      <c r="G59">
        <v>-561.45471882889524</v>
      </c>
      <c r="H59">
        <v>-488.08579843625034</v>
      </c>
      <c r="I59">
        <v>72.848056786620603</v>
      </c>
      <c r="J59">
        <v>42.529634329661597</v>
      </c>
      <c r="K59">
        <v>14.140444609439999</v>
      </c>
      <c r="L59">
        <v>2.8711985207012082E-5</v>
      </c>
      <c r="M59">
        <v>1.7942873305178646E-6</v>
      </c>
      <c r="N59" s="1">
        <v>-4.4009106994506698E-7</v>
      </c>
      <c r="O59" s="1">
        <v>1.3373876249451901E-10</v>
      </c>
      <c r="P59" s="1">
        <v>1.55026585619498E-9</v>
      </c>
      <c r="Q59">
        <v>65.907952712788102</v>
      </c>
      <c r="S59">
        <v>18.956364829689299</v>
      </c>
      <c r="AA59">
        <v>0.26047533604761602</v>
      </c>
      <c r="AB59">
        <v>4.2338365304942798</v>
      </c>
      <c r="AC59">
        <v>10.6413705909806</v>
      </c>
      <c r="AJ59">
        <v>0.37207398452875701</v>
      </c>
      <c r="AK59">
        <v>1.2649478367854201E-2</v>
      </c>
      <c r="AL59">
        <v>0.61527653710338803</v>
      </c>
    </row>
    <row r="60" spans="1:38" x14ac:dyDescent="0.2">
      <c r="A60">
        <v>70</v>
      </c>
      <c r="B60">
        <v>756</v>
      </c>
      <c r="C60">
        <v>200</v>
      </c>
      <c r="D60">
        <v>0.38206335325268598</v>
      </c>
      <c r="E60">
        <v>0.813700302144854</v>
      </c>
      <c r="F60">
        <v>2.57985441484806</v>
      </c>
      <c r="G60">
        <v>-13.212064290408915</v>
      </c>
      <c r="H60">
        <v>-11.451870083871983</v>
      </c>
      <c r="I60">
        <v>1.7103378579769</v>
      </c>
      <c r="J60">
        <v>0.99265243907039702</v>
      </c>
      <c r="K60">
        <v>0.31540551182333898</v>
      </c>
      <c r="L60">
        <v>3.0968181172351202E-5</v>
      </c>
      <c r="M60">
        <v>1.7939836846514653E-6</v>
      </c>
      <c r="N60" s="1">
        <v>-1.13830747708118E-8</v>
      </c>
      <c r="O60" s="1">
        <v>2.7492366068623398E-12</v>
      </c>
      <c r="P60" s="1">
        <v>3.9968471104476202E-11</v>
      </c>
      <c r="Q60">
        <v>64.349788404714104</v>
      </c>
      <c r="S60">
        <v>22.059523740090299</v>
      </c>
      <c r="AA60">
        <v>3.18418955075254</v>
      </c>
      <c r="AB60">
        <v>8.8968854371808597</v>
      </c>
      <c r="AC60">
        <v>1.5096128672621301</v>
      </c>
      <c r="AJ60">
        <v>0.76370193684669097</v>
      </c>
      <c r="AK60">
        <v>0.151041258952853</v>
      </c>
      <c r="AL60">
        <v>8.5256804200455602E-2</v>
      </c>
    </row>
    <row r="61" spans="1:38" x14ac:dyDescent="0.2">
      <c r="A61">
        <v>71</v>
      </c>
      <c r="B61">
        <v>754</v>
      </c>
      <c r="C61">
        <v>200</v>
      </c>
      <c r="D61">
        <v>0.38072384753930699</v>
      </c>
      <c r="E61">
        <v>2.7460237591096899</v>
      </c>
      <c r="F61">
        <v>2.5773909484596098</v>
      </c>
      <c r="G61">
        <v>-44.549055845388629</v>
      </c>
      <c r="H61">
        <v>-38.625139212896883</v>
      </c>
      <c r="I61">
        <v>5.7673335272275201</v>
      </c>
      <c r="J61">
        <v>3.35186948372287</v>
      </c>
      <c r="K61">
        <v>1.0654277189693899</v>
      </c>
      <c r="L61">
        <v>3.1107028565453373E-5</v>
      </c>
      <c r="M61">
        <v>1.7987576667765236E-6</v>
      </c>
      <c r="N61" s="1">
        <v>-4.0858757859860898E-8</v>
      </c>
      <c r="O61" s="1">
        <v>9.3050472052389002E-12</v>
      </c>
      <c r="P61" s="1">
        <v>1.41877861975762E-10</v>
      </c>
      <c r="Q61">
        <v>64.566402170993101</v>
      </c>
      <c r="S61">
        <v>21.872531804899399</v>
      </c>
      <c r="AA61">
        <v>2.9793754285145</v>
      </c>
      <c r="AB61">
        <v>8.8893739322546192</v>
      </c>
      <c r="AC61">
        <v>1.69231666333824</v>
      </c>
      <c r="AJ61">
        <v>0.76308899228562099</v>
      </c>
      <c r="AK61">
        <v>0.14133184734874399</v>
      </c>
      <c r="AL61">
        <v>9.5579160365633506E-2</v>
      </c>
    </row>
    <row r="62" spans="1:38" x14ac:dyDescent="0.2">
      <c r="A62">
        <v>72</v>
      </c>
      <c r="B62">
        <v>752</v>
      </c>
      <c r="C62">
        <v>200</v>
      </c>
      <c r="D62">
        <v>0.37937911525142798</v>
      </c>
      <c r="E62">
        <v>4.7977275697040502</v>
      </c>
      <c r="F62">
        <v>2.5746186381832699</v>
      </c>
      <c r="G62">
        <v>-77.755569273830162</v>
      </c>
      <c r="H62">
        <v>-67.434546801632166</v>
      </c>
      <c r="I62">
        <v>10.0678168777232</v>
      </c>
      <c r="J62">
        <v>5.8588420995556296</v>
      </c>
      <c r="K62">
        <v>1.86347115590271</v>
      </c>
      <c r="L62">
        <v>3.1227205063830538E-5</v>
      </c>
      <c r="M62">
        <v>1.8032601556873481E-6</v>
      </c>
      <c r="N62" s="1">
        <v>-7.5640701903741495E-8</v>
      </c>
      <c r="O62" s="1">
        <v>1.63117785013735E-11</v>
      </c>
      <c r="P62" s="1">
        <v>2.6001850487957202E-10</v>
      </c>
      <c r="Q62">
        <v>64.782069310499395</v>
      </c>
      <c r="S62">
        <v>21.674843200097001</v>
      </c>
      <c r="AA62">
        <v>2.765957326738</v>
      </c>
      <c r="AB62">
        <v>8.8517102102727296</v>
      </c>
      <c r="AC62">
        <v>1.92541995239279</v>
      </c>
      <c r="AJ62">
        <v>0.76000155630756905</v>
      </c>
      <c r="AK62">
        <v>0.13123315201501401</v>
      </c>
      <c r="AL62">
        <v>0.108765291677416</v>
      </c>
    </row>
    <row r="63" spans="1:38" x14ac:dyDescent="0.2">
      <c r="A63">
        <v>73</v>
      </c>
      <c r="B63">
        <v>750</v>
      </c>
      <c r="C63">
        <v>200</v>
      </c>
      <c r="D63">
        <v>0.37802912573913899</v>
      </c>
      <c r="E63">
        <v>15.096008821692999</v>
      </c>
      <c r="F63">
        <v>2.5761178679936099</v>
      </c>
      <c r="G63">
        <v>-244.63057344842878</v>
      </c>
      <c r="H63">
        <v>-212.26342943735369</v>
      </c>
      <c r="I63">
        <v>31.634798427478799</v>
      </c>
      <c r="J63">
        <v>18.443742754602901</v>
      </c>
      <c r="K63">
        <v>5.8599837411362099</v>
      </c>
      <c r="L63">
        <v>3.1234620402043798E-5</v>
      </c>
      <c r="M63">
        <v>1.800372799538158E-6</v>
      </c>
      <c r="N63" s="1">
        <v>-2.5190489594720099E-7</v>
      </c>
      <c r="O63" s="1">
        <v>5.1068985332634398E-11</v>
      </c>
      <c r="P63" s="1">
        <v>8.5805180659842203E-10</v>
      </c>
      <c r="Q63">
        <v>64.636763835123205</v>
      </c>
      <c r="S63">
        <v>21.781314032448499</v>
      </c>
      <c r="AA63">
        <v>2.8877018998280399</v>
      </c>
      <c r="AB63">
        <v>8.8070318785272601</v>
      </c>
      <c r="AC63">
        <v>1.88718835407289</v>
      </c>
      <c r="AJ63">
        <v>0.75633148086937196</v>
      </c>
      <c r="AK63">
        <v>0.137039497672958</v>
      </c>
      <c r="AL63">
        <v>0.10662902145766801</v>
      </c>
    </row>
    <row r="64" spans="1:38" x14ac:dyDescent="0.2">
      <c r="A64">
        <v>73</v>
      </c>
      <c r="B64">
        <v>750</v>
      </c>
      <c r="C64">
        <v>200</v>
      </c>
      <c r="D64">
        <v>0.37802912573913899</v>
      </c>
      <c r="E64">
        <v>24.5656398257895</v>
      </c>
      <c r="F64">
        <v>2.5225264557354898</v>
      </c>
      <c r="G64">
        <v>-387.98082766636759</v>
      </c>
      <c r="H64">
        <v>-336.12117151459546</v>
      </c>
      <c r="I64">
        <v>50.6862690238695</v>
      </c>
      <c r="J64">
        <v>29.211343071090599</v>
      </c>
      <c r="K64">
        <v>9.7385063177174498</v>
      </c>
      <c r="L64">
        <v>2.8475766294554518E-5</v>
      </c>
      <c r="M64">
        <v>1.7956530485774903E-6</v>
      </c>
      <c r="N64" s="1">
        <v>-1.7795577892977001E-7</v>
      </c>
      <c r="O64" s="1">
        <v>9.2860604314679903E-11</v>
      </c>
      <c r="P64" s="1">
        <v>7.1115801067007201E-10</v>
      </c>
      <c r="Q64">
        <v>65.947682650307698</v>
      </c>
      <c r="S64">
        <v>19.018609631808499</v>
      </c>
      <c r="AA64">
        <v>0.30255749735459397</v>
      </c>
      <c r="AB64">
        <v>4.4855554071546404</v>
      </c>
      <c r="AC64">
        <v>10.245594813374399</v>
      </c>
      <c r="AJ64">
        <v>0.39369079572410798</v>
      </c>
      <c r="AK64">
        <v>1.46743118852996E-2</v>
      </c>
      <c r="AL64">
        <v>0.59163489239059097</v>
      </c>
    </row>
    <row r="65" spans="1:38" x14ac:dyDescent="0.2">
      <c r="A65">
        <v>74</v>
      </c>
      <c r="B65">
        <v>748</v>
      </c>
      <c r="C65">
        <v>200</v>
      </c>
      <c r="D65">
        <v>0.37667384811242399</v>
      </c>
      <c r="E65">
        <v>17.589620666171299</v>
      </c>
      <c r="F65">
        <v>2.57687772907699</v>
      </c>
      <c r="G65">
        <v>-285.00111042169038</v>
      </c>
      <c r="H65">
        <v>-247.40689764460501</v>
      </c>
      <c r="I65">
        <v>36.815563606801497</v>
      </c>
      <c r="J65">
        <v>21.507330193453701</v>
      </c>
      <c r="K65">
        <v>6.8259430657859301</v>
      </c>
      <c r="L65">
        <v>3.1308021608509306E-5</v>
      </c>
      <c r="M65">
        <v>1.7997257882033898E-6</v>
      </c>
      <c r="N65" s="1">
        <v>-3.1253332655634601E-7</v>
      </c>
      <c r="O65" s="1">
        <v>5.9275988223494196E-11</v>
      </c>
      <c r="P65" s="1">
        <v>1.05432255065601E-9</v>
      </c>
      <c r="Q65">
        <v>64.585432355829695</v>
      </c>
      <c r="S65">
        <v>21.8242436235684</v>
      </c>
      <c r="AA65">
        <v>2.9350967510126802</v>
      </c>
      <c r="AB65">
        <v>8.8051879335543095</v>
      </c>
      <c r="AC65">
        <v>1.85003933603472</v>
      </c>
      <c r="AJ65">
        <v>0.75617928837450799</v>
      </c>
      <c r="AK65">
        <v>0.13928981455220901</v>
      </c>
      <c r="AL65">
        <v>0.104530897073281</v>
      </c>
    </row>
    <row r="66" spans="1:38" x14ac:dyDescent="0.2">
      <c r="A66">
        <v>74</v>
      </c>
      <c r="B66">
        <v>748</v>
      </c>
      <c r="C66">
        <v>200</v>
      </c>
      <c r="D66">
        <v>0.37667384811242399</v>
      </c>
      <c r="E66">
        <v>30.641220302842498</v>
      </c>
      <c r="F66">
        <v>2.5225366586910001</v>
      </c>
      <c r="G66">
        <v>-483.70263744180136</v>
      </c>
      <c r="H66">
        <v>-419.23412781663797</v>
      </c>
      <c r="I66">
        <v>63.133241566041598</v>
      </c>
      <c r="J66">
        <v>36.437211746908602</v>
      </c>
      <c r="K66">
        <v>12.146987119998</v>
      </c>
      <c r="L66">
        <v>2.8478359618105603E-5</v>
      </c>
      <c r="M66">
        <v>1.795452063005456E-6</v>
      </c>
      <c r="N66" s="1">
        <v>-2.3544814367416199E-7</v>
      </c>
      <c r="O66" s="1">
        <v>1.1576029233276901E-10</v>
      </c>
      <c r="P66" s="1">
        <v>9.2558636763705897E-10</v>
      </c>
      <c r="Q66">
        <v>65.936677998270596</v>
      </c>
      <c r="S66">
        <v>19.009610624625498</v>
      </c>
      <c r="AA66">
        <v>0.29770100939577598</v>
      </c>
      <c r="AB66">
        <v>4.4374400628547797</v>
      </c>
      <c r="AC66">
        <v>10.3185703048532</v>
      </c>
      <c r="AJ66">
        <v>0.38956305524189699</v>
      </c>
      <c r="AK66">
        <v>1.4442299955702301E-2</v>
      </c>
      <c r="AL66">
        <v>0.59599464480240005</v>
      </c>
    </row>
    <row r="67" spans="1:38" x14ac:dyDescent="0.2">
      <c r="A67">
        <v>75</v>
      </c>
      <c r="B67">
        <v>746</v>
      </c>
      <c r="C67">
        <v>200</v>
      </c>
      <c r="D67">
        <v>0.37531325123877901</v>
      </c>
      <c r="E67">
        <v>18.586344997162001</v>
      </c>
      <c r="F67">
        <v>2.5773092394680499</v>
      </c>
      <c r="G67">
        <v>-301.09611625187983</v>
      </c>
      <c r="H67">
        <v>-261.49569418669205</v>
      </c>
      <c r="I67">
        <v>38.856323470723403</v>
      </c>
      <c r="J67">
        <v>22.746402305759599</v>
      </c>
      <c r="K67">
        <v>7.2115308138181096</v>
      </c>
      <c r="L67">
        <v>3.140337581444163E-5</v>
      </c>
      <c r="M67">
        <v>1.7998288810325499E-6</v>
      </c>
      <c r="N67" s="1">
        <v>-3.5208639442526699E-7</v>
      </c>
      <c r="O67" s="1">
        <v>6.2420634902216796E-11</v>
      </c>
      <c r="P67" s="1">
        <v>1.1765923571674701E-9</v>
      </c>
      <c r="Q67">
        <v>64.567298968689599</v>
      </c>
      <c r="S67">
        <v>21.841867605447199</v>
      </c>
      <c r="AA67">
        <v>2.9538678945076802</v>
      </c>
      <c r="AB67">
        <v>8.8109822123551407</v>
      </c>
      <c r="AC67">
        <v>1.82598331900019</v>
      </c>
      <c r="AJ67">
        <v>0.75665479355885601</v>
      </c>
      <c r="AK67">
        <v>0.140176535510498</v>
      </c>
      <c r="AL67">
        <v>0.103168670930645</v>
      </c>
    </row>
    <row r="68" spans="1:38" x14ac:dyDescent="0.2">
      <c r="A68">
        <v>75</v>
      </c>
      <c r="B68">
        <v>746</v>
      </c>
      <c r="C68">
        <v>200</v>
      </c>
      <c r="D68">
        <v>0.37531325123877901</v>
      </c>
      <c r="E68">
        <v>32.951389975326599</v>
      </c>
      <c r="F68">
        <v>2.5225668772425398</v>
      </c>
      <c r="G68">
        <v>-519.95704727952648</v>
      </c>
      <c r="H68">
        <v>-450.85486514721839</v>
      </c>
      <c r="I68">
        <v>67.803740501700403</v>
      </c>
      <c r="J68">
        <v>39.190800259416498</v>
      </c>
      <c r="K68">
        <v>13.0626427678088</v>
      </c>
      <c r="L68">
        <v>2.8496270030224682E-5</v>
      </c>
      <c r="M68">
        <v>1.7954515765795189E-6</v>
      </c>
      <c r="N68" s="1">
        <v>-2.6988402642851902E-7</v>
      </c>
      <c r="O68" s="1">
        <v>1.2438631413697801E-10</v>
      </c>
      <c r="P68" s="1">
        <v>1.0430959759002E-9</v>
      </c>
      <c r="Q68">
        <v>65.931498472473393</v>
      </c>
      <c r="S68">
        <v>19.002014331262199</v>
      </c>
      <c r="AA68">
        <v>0.292642561127399</v>
      </c>
      <c r="AB68">
        <v>4.40598309669332</v>
      </c>
      <c r="AC68">
        <v>10.367861538443499</v>
      </c>
      <c r="AJ68">
        <v>0.38686333514440802</v>
      </c>
      <c r="AK68">
        <v>1.41991721366966E-2</v>
      </c>
      <c r="AL68">
        <v>0.59893749271889396</v>
      </c>
    </row>
    <row r="69" spans="1:38" x14ac:dyDescent="0.2">
      <c r="A69">
        <v>76</v>
      </c>
      <c r="B69">
        <v>744</v>
      </c>
      <c r="C69">
        <v>200</v>
      </c>
      <c r="D69">
        <v>0.373947303740848</v>
      </c>
      <c r="E69">
        <v>19.1749207976473</v>
      </c>
      <c r="F69">
        <v>2.5776608111781298</v>
      </c>
      <c r="G69">
        <v>-310.5709555965035</v>
      </c>
      <c r="H69">
        <v>-269.84395108895438</v>
      </c>
      <c r="I69">
        <v>40.040313137245299</v>
      </c>
      <c r="J69">
        <v>23.489525780158399</v>
      </c>
      <c r="K69">
        <v>7.4388844003425403</v>
      </c>
      <c r="L69">
        <v>3.1509048578950012E-5</v>
      </c>
      <c r="M69">
        <v>1.8001294980504698E-6</v>
      </c>
      <c r="N69" s="1">
        <v>-3.8744312789609298E-7</v>
      </c>
      <c r="O69" s="1">
        <v>6.4173509232658402E-11</v>
      </c>
      <c r="P69" s="1">
        <v>1.28303161756413E-9</v>
      </c>
      <c r="Q69">
        <v>64.557269480890398</v>
      </c>
      <c r="S69">
        <v>21.8532999272533</v>
      </c>
      <c r="AA69">
        <v>2.9656399209213902</v>
      </c>
      <c r="AB69">
        <v>8.8186033544720903</v>
      </c>
      <c r="AC69">
        <v>1.8051873164626899</v>
      </c>
      <c r="AJ69">
        <v>0.75728038733243197</v>
      </c>
      <c r="AK69">
        <v>0.140729812656087</v>
      </c>
      <c r="AL69">
        <v>0.101989800011479</v>
      </c>
    </row>
    <row r="70" spans="1:38" x14ac:dyDescent="0.2">
      <c r="A70">
        <v>76</v>
      </c>
      <c r="B70">
        <v>744</v>
      </c>
      <c r="C70">
        <v>200</v>
      </c>
      <c r="D70">
        <v>0.373947303740848</v>
      </c>
      <c r="E70">
        <v>34.257496363124702</v>
      </c>
      <c r="F70">
        <v>2.52260354818244</v>
      </c>
      <c r="G70">
        <v>-540.35402719099386</v>
      </c>
      <c r="H70">
        <v>-468.74689577020831</v>
      </c>
      <c r="I70">
        <v>70.399775274822304</v>
      </c>
      <c r="J70">
        <v>40.753023464661197</v>
      </c>
      <c r="K70">
        <v>13.5802141354346</v>
      </c>
      <c r="L70">
        <v>2.8519765543264583E-5</v>
      </c>
      <c r="M70">
        <v>1.7955042758478873E-6</v>
      </c>
      <c r="N70" s="1">
        <v>-2.9937372078132602E-7</v>
      </c>
      <c r="O70" s="1">
        <v>1.29196266190171E-10</v>
      </c>
      <c r="P70" s="1">
        <v>1.1381304164412001E-9</v>
      </c>
      <c r="Q70">
        <v>65.927662797166604</v>
      </c>
      <c r="S70">
        <v>18.994818780963001</v>
      </c>
      <c r="AA70">
        <v>0.28760116084974402</v>
      </c>
      <c r="AB70">
        <v>4.3785714293380202</v>
      </c>
      <c r="AC70">
        <v>10.4113458316825</v>
      </c>
      <c r="AJ70">
        <v>0.38451009413918802</v>
      </c>
      <c r="AK70">
        <v>1.39565067975866E-2</v>
      </c>
      <c r="AL70">
        <v>0.60153339906322401</v>
      </c>
    </row>
    <row r="71" spans="1:38" x14ac:dyDescent="0.2">
      <c r="A71">
        <v>77</v>
      </c>
      <c r="B71">
        <v>742</v>
      </c>
      <c r="C71">
        <v>200</v>
      </c>
      <c r="D71">
        <v>0.37257597399398801</v>
      </c>
      <c r="E71">
        <v>19.5727351570645</v>
      </c>
      <c r="F71">
        <v>2.5779485519135799</v>
      </c>
      <c r="G71">
        <v>-316.95015587055406</v>
      </c>
      <c r="H71">
        <v>-275.50782378004288</v>
      </c>
      <c r="I71">
        <v>40.823850751624001</v>
      </c>
      <c r="J71">
        <v>24.0020819588816</v>
      </c>
      <c r="K71">
        <v>7.5923684134564597</v>
      </c>
      <c r="L71">
        <v>3.1624837764146183E-5</v>
      </c>
      <c r="M71">
        <v>1.8005954417073249E-6</v>
      </c>
      <c r="N71" s="1">
        <v>-4.22014159829183E-7</v>
      </c>
      <c r="O71" s="1">
        <v>6.5270668410295706E-11</v>
      </c>
      <c r="P71" s="1">
        <v>1.38535212688157E-9</v>
      </c>
      <c r="Q71">
        <v>64.553792482446099</v>
      </c>
      <c r="S71">
        <v>21.859743321651798</v>
      </c>
      <c r="AA71">
        <v>2.9717670973285402</v>
      </c>
      <c r="AB71">
        <v>8.8277472459822093</v>
      </c>
      <c r="AC71">
        <v>1.78694985259123</v>
      </c>
      <c r="AJ71">
        <v>0.75803104565817203</v>
      </c>
      <c r="AK71">
        <v>0.14101413998670001</v>
      </c>
      <c r="AL71">
        <v>0.100954814355127</v>
      </c>
    </row>
    <row r="72" spans="1:38" x14ac:dyDescent="0.2">
      <c r="A72">
        <v>77</v>
      </c>
      <c r="B72">
        <v>742</v>
      </c>
      <c r="C72">
        <v>200</v>
      </c>
      <c r="D72">
        <v>0.37257597399398801</v>
      </c>
      <c r="E72">
        <v>35.044023843523803</v>
      </c>
      <c r="F72">
        <v>2.52264533550842</v>
      </c>
      <c r="G72">
        <v>-552.55038271659407</v>
      </c>
      <c r="H72">
        <v>-479.53717900081216</v>
      </c>
      <c r="I72">
        <v>71.923561755190505</v>
      </c>
      <c r="J72">
        <v>41.699742740052599</v>
      </c>
      <c r="K72">
        <v>13.8917759663828</v>
      </c>
      <c r="L72">
        <v>2.854842602022709E-5</v>
      </c>
      <c r="M72">
        <v>1.7956007985672971E-6</v>
      </c>
      <c r="N72" s="1">
        <v>-3.27002114937159E-7</v>
      </c>
      <c r="O72" s="1">
        <v>1.3202463485276999E-10</v>
      </c>
      <c r="P72" s="1">
        <v>1.2234759100464999E-9</v>
      </c>
      <c r="Q72">
        <v>65.924875450068399</v>
      </c>
      <c r="S72">
        <v>18.987946551172399</v>
      </c>
      <c r="AA72">
        <v>0.28258189024645802</v>
      </c>
      <c r="AB72">
        <v>4.3543435319345898</v>
      </c>
      <c r="AC72">
        <v>10.450252576578</v>
      </c>
      <c r="AJ72">
        <v>0.38242963213501702</v>
      </c>
      <c r="AK72">
        <v>1.37146258042677E-2</v>
      </c>
      <c r="AL72">
        <v>0.60385574206071502</v>
      </c>
    </row>
    <row r="73" spans="1:38" x14ac:dyDescent="0.2">
      <c r="A73">
        <v>78</v>
      </c>
      <c r="B73">
        <v>740</v>
      </c>
      <c r="C73">
        <v>200</v>
      </c>
      <c r="D73">
        <v>0.37119923012387401</v>
      </c>
      <c r="E73">
        <v>19.875890942449299</v>
      </c>
      <c r="F73">
        <v>2.5782076344519398</v>
      </c>
      <c r="G73">
        <v>-321.79291489248783</v>
      </c>
      <c r="H73">
        <v>-279.84009059265219</v>
      </c>
      <c r="I73">
        <v>41.4083050879293</v>
      </c>
      <c r="J73">
        <v>24.4014435650035</v>
      </c>
      <c r="K73">
        <v>7.7091893906653599</v>
      </c>
      <c r="L73">
        <v>3.1749480644164447E-5</v>
      </c>
      <c r="M73">
        <v>1.8011485649544901E-6</v>
      </c>
      <c r="N73" s="1">
        <v>-4.5743537677300402E-7</v>
      </c>
      <c r="O73" s="1">
        <v>6.6032544702215399E-11</v>
      </c>
      <c r="P73" s="1">
        <v>1.4890840119475201E-9</v>
      </c>
      <c r="Q73">
        <v>64.553280292706802</v>
      </c>
      <c r="S73">
        <v>21.863919731054899</v>
      </c>
      <c r="AA73">
        <v>2.9753321903227499</v>
      </c>
      <c r="AB73">
        <v>8.8375548588311599</v>
      </c>
      <c r="AC73">
        <v>1.7699129270842999</v>
      </c>
      <c r="AJ73">
        <v>0.75883616443244795</v>
      </c>
      <c r="AK73">
        <v>0.14117641482916701</v>
      </c>
      <c r="AL73">
        <v>9.9987420738384E-2</v>
      </c>
    </row>
    <row r="74" spans="1:38" x14ac:dyDescent="0.2">
      <c r="A74">
        <v>78</v>
      </c>
      <c r="B74">
        <v>740</v>
      </c>
      <c r="C74">
        <v>200</v>
      </c>
      <c r="D74">
        <v>0.37119923012387401</v>
      </c>
      <c r="E74">
        <v>35.577978635540703</v>
      </c>
      <c r="F74">
        <v>2.5226904742777698</v>
      </c>
      <c r="G74">
        <v>-560.76017333887535</v>
      </c>
      <c r="H74">
        <v>-486.87532968204351</v>
      </c>
      <c r="I74">
        <v>72.925868486237704</v>
      </c>
      <c r="J74">
        <v>42.348039265101598</v>
      </c>
      <c r="K74">
        <v>14.1031882421986</v>
      </c>
      <c r="L74">
        <v>2.8581037799596843E-5</v>
      </c>
      <c r="M74">
        <v>1.7957210355781468E-6</v>
      </c>
      <c r="N74" s="1">
        <v>-3.54560170104258E-7</v>
      </c>
      <c r="O74" s="1">
        <v>1.33883210078854E-10</v>
      </c>
      <c r="P74" s="1">
        <v>1.3064226527887899E-9</v>
      </c>
      <c r="Q74">
        <v>65.922509617247201</v>
      </c>
      <c r="S74">
        <v>18.981257930171601</v>
      </c>
      <c r="AA74">
        <v>0.277615744180574</v>
      </c>
      <c r="AB74">
        <v>4.3315363108097502</v>
      </c>
      <c r="AC74">
        <v>10.487080397590701</v>
      </c>
      <c r="AJ74">
        <v>0.380470697542166</v>
      </c>
      <c r="AK74">
        <v>1.34751664300411E-2</v>
      </c>
      <c r="AL74">
        <v>0.60605413602779201</v>
      </c>
    </row>
    <row r="75" spans="1:38" x14ac:dyDescent="0.2">
      <c r="A75">
        <v>79</v>
      </c>
      <c r="B75">
        <v>738</v>
      </c>
      <c r="C75">
        <v>200</v>
      </c>
      <c r="D75">
        <v>0.36981704000395799</v>
      </c>
      <c r="E75">
        <v>20.123092051694201</v>
      </c>
      <c r="F75">
        <v>2.5784490398001898</v>
      </c>
      <c r="G75">
        <v>-325.72711444535355</v>
      </c>
      <c r="H75">
        <v>-283.38538781072032</v>
      </c>
      <c r="I75">
        <v>41.874822365260499</v>
      </c>
      <c r="J75">
        <v>24.734982360134499</v>
      </c>
      <c r="K75">
        <v>7.8043396402565799</v>
      </c>
      <c r="L75">
        <v>3.1882963979752431E-5</v>
      </c>
      <c r="M75">
        <v>1.8017657129517385E-6</v>
      </c>
      <c r="N75" s="1">
        <v>-4.9445595458974805E-7</v>
      </c>
      <c r="O75" s="1">
        <v>6.6587895479936698E-11</v>
      </c>
      <c r="P75" s="1">
        <v>1.5966944973008699E-9</v>
      </c>
      <c r="Q75">
        <v>64.554619649045705</v>
      </c>
      <c r="S75">
        <v>21.8666749469484</v>
      </c>
      <c r="AA75">
        <v>2.97729275115451</v>
      </c>
      <c r="AB75">
        <v>8.8477626992863208</v>
      </c>
      <c r="AC75">
        <v>1.7536499535649599</v>
      </c>
      <c r="AJ75">
        <v>0.75967408342479104</v>
      </c>
      <c r="AK75">
        <v>0.14126226802345601</v>
      </c>
      <c r="AL75">
        <v>9.9063648551752301E-2</v>
      </c>
    </row>
    <row r="76" spans="1:38" x14ac:dyDescent="0.2">
      <c r="A76">
        <v>79</v>
      </c>
      <c r="B76">
        <v>738</v>
      </c>
      <c r="C76">
        <v>200</v>
      </c>
      <c r="D76">
        <v>0.36981704000395799</v>
      </c>
      <c r="E76">
        <v>35.960983664458901</v>
      </c>
      <c r="F76">
        <v>2.5227383835058599</v>
      </c>
      <c r="G76">
        <v>-566.58781954102085</v>
      </c>
      <c r="H76">
        <v>-492.1504848829141</v>
      </c>
      <c r="I76">
        <v>73.6165105653035</v>
      </c>
      <c r="J76">
        <v>42.818663186920901</v>
      </c>
      <c r="K76">
        <v>14.2547415536936</v>
      </c>
      <c r="L76">
        <v>2.8617363691419859E-5</v>
      </c>
      <c r="M76">
        <v>1.7958591177377903E-6</v>
      </c>
      <c r="N76" s="1">
        <v>-3.8276413287153102E-7</v>
      </c>
      <c r="O76" s="1">
        <v>1.35156762154704E-10</v>
      </c>
      <c r="P76" s="1">
        <v>1.38983111607444E-9</v>
      </c>
      <c r="Q76">
        <v>65.9203709503699</v>
      </c>
      <c r="S76">
        <v>18.974707872368199</v>
      </c>
      <c r="AA76">
        <v>0.27271090810394499</v>
      </c>
      <c r="AB76">
        <v>4.3095985782472903</v>
      </c>
      <c r="AC76">
        <v>10.5226116909104</v>
      </c>
      <c r="AJ76">
        <v>0.37858601609167802</v>
      </c>
      <c r="AK76">
        <v>1.3238569169759001E-2</v>
      </c>
      <c r="AL76">
        <v>0.60817541473856196</v>
      </c>
    </row>
    <row r="77" spans="1:38" x14ac:dyDescent="0.2">
      <c r="A77">
        <v>81</v>
      </c>
      <c r="B77">
        <v>764</v>
      </c>
      <c r="C77">
        <v>175</v>
      </c>
      <c r="D77">
        <v>0.41388468398978101</v>
      </c>
      <c r="E77">
        <v>0.29319511266609</v>
      </c>
      <c r="F77">
        <v>2.5787349116604799</v>
      </c>
      <c r="G77">
        <v>-4.769503969707138</v>
      </c>
      <c r="H77">
        <v>-4.1274065465654983</v>
      </c>
      <c r="I77">
        <v>0.61909793486153297</v>
      </c>
      <c r="J77">
        <v>0.356884993605256</v>
      </c>
      <c r="K77">
        <v>0.113697267346219</v>
      </c>
      <c r="L77">
        <v>3.0672123795006141E-5</v>
      </c>
      <c r="M77">
        <v>1.7934387683283372E-6</v>
      </c>
      <c r="N77" s="1">
        <v>-3.14124579755143E-9</v>
      </c>
      <c r="O77" s="1">
        <v>9.9761590820741892E-13</v>
      </c>
      <c r="P77" s="1">
        <v>1.16243036278593E-11</v>
      </c>
      <c r="Q77">
        <v>64.312874376278501</v>
      </c>
      <c r="S77">
        <v>22.101264756336001</v>
      </c>
      <c r="AA77">
        <v>3.22723970043746</v>
      </c>
      <c r="AB77">
        <v>8.9240540048538204</v>
      </c>
      <c r="AC77">
        <v>1.4345671620940901</v>
      </c>
      <c r="AJ77">
        <v>0.76592995633472305</v>
      </c>
      <c r="AK77">
        <v>0.15306252716782301</v>
      </c>
      <c r="AL77">
        <v>8.10075164974534E-2</v>
      </c>
    </row>
    <row r="78" spans="1:38" x14ac:dyDescent="0.2">
      <c r="A78">
        <v>82</v>
      </c>
      <c r="B78">
        <v>762</v>
      </c>
      <c r="C78">
        <v>175</v>
      </c>
      <c r="D78">
        <v>0.41261701202724399</v>
      </c>
      <c r="E78">
        <v>1.5890573259037299</v>
      </c>
      <c r="F78">
        <v>2.5771801346502001</v>
      </c>
      <c r="G78">
        <v>-25.834164738049029</v>
      </c>
      <c r="H78">
        <v>-22.363827430320377</v>
      </c>
      <c r="I78">
        <v>3.35249703688224</v>
      </c>
      <c r="J78">
        <v>1.9352095249657799</v>
      </c>
      <c r="K78">
        <v>0.61658760462214102</v>
      </c>
      <c r="L78">
        <v>3.0786854806436551E-5</v>
      </c>
      <c r="M78">
        <v>1.7970208222302524E-6</v>
      </c>
      <c r="N78" s="1">
        <v>-1.81425598470058E-8</v>
      </c>
      <c r="O78" s="1">
        <v>5.4157114711538802E-12</v>
      </c>
      <c r="P78" s="1">
        <v>6.6223790155186394E-11</v>
      </c>
      <c r="Q78">
        <v>64.4670864667291</v>
      </c>
      <c r="S78">
        <v>21.9742281114939</v>
      </c>
      <c r="AA78">
        <v>3.0864498845992201</v>
      </c>
      <c r="AB78">
        <v>8.9346642995568004</v>
      </c>
      <c r="AC78">
        <v>1.5375712376209001</v>
      </c>
      <c r="AJ78">
        <v>0.76680250671586303</v>
      </c>
      <c r="AK78">
        <v>0.146377829931643</v>
      </c>
      <c r="AL78">
        <v>8.6819663352493595E-2</v>
      </c>
    </row>
    <row r="79" spans="1:38" x14ac:dyDescent="0.2">
      <c r="A79">
        <v>83</v>
      </c>
      <c r="B79">
        <v>760</v>
      </c>
      <c r="C79">
        <v>175</v>
      </c>
      <c r="D79">
        <v>0.41134443207665999</v>
      </c>
      <c r="E79">
        <v>3.4891379998091501</v>
      </c>
      <c r="F79">
        <v>2.5748519146061102</v>
      </c>
      <c r="G79">
        <v>-56.677172993602419</v>
      </c>
      <c r="H79">
        <v>-49.078223845107416</v>
      </c>
      <c r="I79">
        <v>7.3551266984416497</v>
      </c>
      <c r="J79">
        <v>4.2508972908454199</v>
      </c>
      <c r="K79">
        <v>1.3550829777886</v>
      </c>
      <c r="L79">
        <v>3.0902832360449984E-5</v>
      </c>
      <c r="M79">
        <v>1.801356266939018E-6</v>
      </c>
      <c r="N79" s="1">
        <v>-4.2318297689733199E-8</v>
      </c>
      <c r="O79" s="1">
        <v>1.1927195155156499E-11</v>
      </c>
      <c r="P79" s="1">
        <v>1.5253680368423299E-10</v>
      </c>
      <c r="Q79">
        <v>64.666699992717099</v>
      </c>
      <c r="S79">
        <v>21.799582927019301</v>
      </c>
      <c r="AA79">
        <v>2.89578873178638</v>
      </c>
      <c r="AB79">
        <v>8.9216372828481703</v>
      </c>
      <c r="AC79">
        <v>1.71629106562898</v>
      </c>
      <c r="AJ79">
        <v>0.76573717682715203</v>
      </c>
      <c r="AK79">
        <v>0.137344993865058</v>
      </c>
      <c r="AL79">
        <v>9.6917829307789305E-2</v>
      </c>
    </row>
    <row r="80" spans="1:38" x14ac:dyDescent="0.2">
      <c r="A80">
        <v>84</v>
      </c>
      <c r="B80">
        <v>758</v>
      </c>
      <c r="C80">
        <v>175</v>
      </c>
      <c r="D80">
        <v>0.41006691557969399</v>
      </c>
      <c r="E80">
        <v>5.4966758562556599</v>
      </c>
      <c r="F80">
        <v>2.5722519047423802</v>
      </c>
      <c r="G80">
        <v>-89.200053983410172</v>
      </c>
      <c r="H80">
        <v>-77.262556705181069</v>
      </c>
      <c r="I80">
        <v>11.576877542771699</v>
      </c>
      <c r="J80">
        <v>6.6986064256352797</v>
      </c>
      <c r="K80">
        <v>2.1369119587866101</v>
      </c>
      <c r="L80">
        <v>3.1001294928684261E-5</v>
      </c>
      <c r="M80">
        <v>1.8054129148074739E-6</v>
      </c>
      <c r="N80" s="1">
        <v>-7.0558592020566098E-8</v>
      </c>
      <c r="O80" s="1">
        <v>1.88530121764235E-11</v>
      </c>
      <c r="P80" s="1">
        <v>2.5144054039798E-10</v>
      </c>
      <c r="Q80">
        <v>64.864073042471304</v>
      </c>
      <c r="S80">
        <v>21.6161104872225</v>
      </c>
      <c r="AA80">
        <v>2.6983677874488299</v>
      </c>
      <c r="AB80">
        <v>8.8804756875336004</v>
      </c>
      <c r="AC80">
        <v>1.9409729953236701</v>
      </c>
      <c r="AJ80">
        <v>0.762363450690416</v>
      </c>
      <c r="AK80">
        <v>0.12800819433819099</v>
      </c>
      <c r="AL80">
        <v>0.10962835497139101</v>
      </c>
    </row>
    <row r="81" spans="1:38" x14ac:dyDescent="0.2">
      <c r="A81">
        <v>85</v>
      </c>
      <c r="B81">
        <v>756</v>
      </c>
      <c r="C81">
        <v>175</v>
      </c>
      <c r="D81">
        <v>0.40878443375601398</v>
      </c>
      <c r="E81">
        <v>12.7327585790136</v>
      </c>
      <c r="F81">
        <v>2.5728389961482199</v>
      </c>
      <c r="G81">
        <v>-206.54331262869874</v>
      </c>
      <c r="H81">
        <v>-178.98073667351852</v>
      </c>
      <c r="I81">
        <v>26.781884035544</v>
      </c>
      <c r="J81">
        <v>15.5192298351798</v>
      </c>
      <c r="K81">
        <v>4.9489138644414696</v>
      </c>
      <c r="L81">
        <v>3.0987457842017581E-5</v>
      </c>
      <c r="M81">
        <v>1.8032884001236903E-6</v>
      </c>
      <c r="N81" s="1">
        <v>-1.7210734963677501E-7</v>
      </c>
      <c r="O81" s="1">
        <v>4.3552463377288E-11</v>
      </c>
      <c r="P81" s="1">
        <v>6.0735205398780796E-10</v>
      </c>
      <c r="Q81">
        <v>64.769832987604602</v>
      </c>
      <c r="S81">
        <v>21.666871835264299</v>
      </c>
      <c r="AA81">
        <v>2.76223604779701</v>
      </c>
      <c r="AB81">
        <v>8.8035442515302407</v>
      </c>
      <c r="AC81">
        <v>1.99751487780368</v>
      </c>
      <c r="AJ81">
        <v>0.75604711553544202</v>
      </c>
      <c r="AK81">
        <v>0.13108798510633299</v>
      </c>
      <c r="AL81">
        <v>0.112864899358223</v>
      </c>
    </row>
    <row r="82" spans="1:38" x14ac:dyDescent="0.2">
      <c r="A82">
        <v>85</v>
      </c>
      <c r="B82">
        <v>756</v>
      </c>
      <c r="C82">
        <v>175</v>
      </c>
      <c r="D82">
        <v>0.40878443375601398</v>
      </c>
      <c r="E82">
        <v>17.5294869644041</v>
      </c>
      <c r="F82">
        <v>2.5214992964997802</v>
      </c>
      <c r="G82">
        <v>-277.47522024422682</v>
      </c>
      <c r="H82">
        <v>-240.0838871645108</v>
      </c>
      <c r="I82">
        <v>36.332248049085202</v>
      </c>
      <c r="J82">
        <v>20.846186151680399</v>
      </c>
      <c r="K82">
        <v>6.9520094606957201</v>
      </c>
      <c r="L82">
        <v>2.8474084087157209E-5</v>
      </c>
      <c r="M82">
        <v>1.798195226256632E-6</v>
      </c>
      <c r="N82" s="1">
        <v>-1.0458056017125701E-7</v>
      </c>
      <c r="O82" s="1">
        <v>6.6354181662151203E-11</v>
      </c>
      <c r="P82" s="1">
        <v>4.4307723205131202E-10</v>
      </c>
      <c r="Q82">
        <v>65.988001160575806</v>
      </c>
      <c r="S82">
        <v>19.052778025816298</v>
      </c>
      <c r="AA82">
        <v>0.32133899908572899</v>
      </c>
      <c r="AB82">
        <v>4.6649799325805699</v>
      </c>
      <c r="AC82">
        <v>9.9729018819414694</v>
      </c>
      <c r="AJ82">
        <v>0.40906555401343098</v>
      </c>
      <c r="AK82">
        <v>1.5571030581759401E-2</v>
      </c>
      <c r="AL82">
        <v>0.57536341540480795</v>
      </c>
    </row>
    <row r="83" spans="1:38" x14ac:dyDescent="0.2">
      <c r="A83">
        <v>86</v>
      </c>
      <c r="B83">
        <v>754</v>
      </c>
      <c r="C83">
        <v>175</v>
      </c>
      <c r="D83">
        <v>0.40749695760112897</v>
      </c>
      <c r="E83">
        <v>16.731231196854001</v>
      </c>
      <c r="F83">
        <v>2.5746111630867299</v>
      </c>
      <c r="G83">
        <v>-271.40906496613286</v>
      </c>
      <c r="H83">
        <v>-235.31020672673344</v>
      </c>
      <c r="I83">
        <v>35.144680172710302</v>
      </c>
      <c r="J83">
        <v>20.403102724061402</v>
      </c>
      <c r="K83">
        <v>6.4985468239774002</v>
      </c>
      <c r="L83">
        <v>3.0998805743197874E-5</v>
      </c>
      <c r="M83">
        <v>1.8004349467514947E-6</v>
      </c>
      <c r="N83" s="1">
        <v>-2.3995804442211001E-7</v>
      </c>
      <c r="O83" s="1">
        <v>5.6932823133925503E-11</v>
      </c>
      <c r="P83" s="1">
        <v>8.3790827876894705E-10</v>
      </c>
      <c r="Q83">
        <v>64.619550877840197</v>
      </c>
      <c r="S83">
        <v>21.78621438423</v>
      </c>
      <c r="AA83">
        <v>2.8957611484891901</v>
      </c>
      <c r="AB83">
        <v>8.78152063542848</v>
      </c>
      <c r="AC83">
        <v>1.9169529540119901</v>
      </c>
      <c r="AJ83">
        <v>0.75423614761993996</v>
      </c>
      <c r="AK83">
        <v>0.13743936620810401</v>
      </c>
      <c r="AL83">
        <v>0.108324486171954</v>
      </c>
    </row>
    <row r="84" spans="1:38" x14ac:dyDescent="0.2">
      <c r="A84">
        <v>86</v>
      </c>
      <c r="B84">
        <v>754</v>
      </c>
      <c r="C84">
        <v>175</v>
      </c>
      <c r="D84">
        <v>0.40749695760112897</v>
      </c>
      <c r="E84">
        <v>28.836591311770899</v>
      </c>
      <c r="F84">
        <v>2.52142243014843</v>
      </c>
      <c r="G84">
        <v>-456.13027204332286</v>
      </c>
      <c r="H84">
        <v>-394.84287085289412</v>
      </c>
      <c r="I84">
        <v>59.6674304536132</v>
      </c>
      <c r="J84">
        <v>34.280874137737499</v>
      </c>
      <c r="K84">
        <v>11.4366363077341</v>
      </c>
      <c r="L84">
        <v>2.843060026341439E-5</v>
      </c>
      <c r="M84">
        <v>1.797359425491082E-6</v>
      </c>
      <c r="N84" s="1">
        <v>-1.7961956296503299E-7</v>
      </c>
      <c r="O84" s="1">
        <v>1.09169184849033E-10</v>
      </c>
      <c r="P84" s="1">
        <v>7.50453393532227E-10</v>
      </c>
      <c r="Q84">
        <v>65.958796479174893</v>
      </c>
      <c r="S84">
        <v>19.0388254040971</v>
      </c>
      <c r="AA84">
        <v>0.31664245645526901</v>
      </c>
      <c r="AB84">
        <v>4.5633202541695201</v>
      </c>
      <c r="AC84">
        <v>10.1224154061031</v>
      </c>
      <c r="AJ84">
        <v>0.400357799198994</v>
      </c>
      <c r="AK84">
        <v>1.53513750098772E-2</v>
      </c>
      <c r="AL84">
        <v>0.58429082579112801</v>
      </c>
    </row>
    <row r="85" spans="1:38" x14ac:dyDescent="0.2">
      <c r="A85">
        <v>87</v>
      </c>
      <c r="B85">
        <v>752</v>
      </c>
      <c r="C85">
        <v>175</v>
      </c>
      <c r="D85">
        <v>0.406204457884214</v>
      </c>
      <c r="E85">
        <v>17.983037684031899</v>
      </c>
      <c r="F85">
        <v>2.57532373136273</v>
      </c>
      <c r="G85">
        <v>-291.67452398761759</v>
      </c>
      <c r="H85">
        <v>-252.99668333498087</v>
      </c>
      <c r="I85">
        <v>37.7289573746638</v>
      </c>
      <c r="J85">
        <v>21.9443366872522</v>
      </c>
      <c r="K85">
        <v>6.9828260676634102</v>
      </c>
      <c r="L85">
        <v>3.1062455191042826E-5</v>
      </c>
      <c r="M85">
        <v>1.7998671046139409E-6</v>
      </c>
      <c r="N85" s="1">
        <v>-2.74559121331602E-7</v>
      </c>
      <c r="O85" s="1">
        <v>6.0986756885555694E-11</v>
      </c>
      <c r="P85" s="1">
        <v>9.4849975099556409E-10</v>
      </c>
      <c r="Q85">
        <v>64.573359231930596</v>
      </c>
      <c r="S85">
        <v>21.825392079819</v>
      </c>
      <c r="AA85">
        <v>2.9388613375903598</v>
      </c>
      <c r="AB85">
        <v>8.7812944516505702</v>
      </c>
      <c r="AC85">
        <v>1.8810928990093101</v>
      </c>
      <c r="AJ85">
        <v>0.75421687087446998</v>
      </c>
      <c r="AK85">
        <v>0.13948502628767701</v>
      </c>
      <c r="AL85">
        <v>0.106298102837851</v>
      </c>
    </row>
    <row r="86" spans="1:38" x14ac:dyDescent="0.2">
      <c r="A86">
        <v>87</v>
      </c>
      <c r="B86">
        <v>752</v>
      </c>
      <c r="C86">
        <v>175</v>
      </c>
      <c r="D86">
        <v>0.406204457884214</v>
      </c>
      <c r="E86">
        <v>32.206968269141498</v>
      </c>
      <c r="F86">
        <v>2.5214244960426599</v>
      </c>
      <c r="G86">
        <v>-509.20011490344268</v>
      </c>
      <c r="H86">
        <v>-440.97724212166264</v>
      </c>
      <c r="I86">
        <v>66.549161373242896</v>
      </c>
      <c r="J86">
        <v>38.287686766336499</v>
      </c>
      <c r="K86">
        <v>12.7733225086413</v>
      </c>
      <c r="L86">
        <v>2.8430823087947318E-5</v>
      </c>
      <c r="M86">
        <v>1.7971751589396628E-6</v>
      </c>
      <c r="N86" s="1">
        <v>-2.1305124611818099E-7</v>
      </c>
      <c r="O86" s="1">
        <v>1.2187162915854999E-10</v>
      </c>
      <c r="P86" s="1">
        <v>8.7386602655810199E-10</v>
      </c>
      <c r="Q86">
        <v>65.948896837522099</v>
      </c>
      <c r="S86">
        <v>19.029688052171601</v>
      </c>
      <c r="AA86">
        <v>0.31141399360063998</v>
      </c>
      <c r="AB86">
        <v>4.5173046775344696</v>
      </c>
      <c r="AC86">
        <v>10.192696439171</v>
      </c>
      <c r="AJ86">
        <v>0.39641336152462903</v>
      </c>
      <c r="AK86">
        <v>1.51014210123155E-2</v>
      </c>
      <c r="AL86">
        <v>0.58848521746305404</v>
      </c>
    </row>
    <row r="87" spans="1:38" x14ac:dyDescent="0.2">
      <c r="A87">
        <v>88</v>
      </c>
      <c r="B87">
        <v>750</v>
      </c>
      <c r="C87">
        <v>175</v>
      </c>
      <c r="D87">
        <v>0.40490690514587502</v>
      </c>
      <c r="E87">
        <v>18.642283820978498</v>
      </c>
      <c r="F87">
        <v>2.5757858899185302</v>
      </c>
      <c r="G87">
        <v>-302.3136180465192</v>
      </c>
      <c r="H87">
        <v>-262.34259890206255</v>
      </c>
      <c r="I87">
        <v>39.066626735528899</v>
      </c>
      <c r="J87">
        <v>22.765915325419002</v>
      </c>
      <c r="K87">
        <v>7.2375129834910901</v>
      </c>
      <c r="L87">
        <v>3.114289300378414E-5</v>
      </c>
      <c r="M87">
        <v>1.7998635408109902E-6</v>
      </c>
      <c r="N87" s="1">
        <v>-3.0328955147401099E-7</v>
      </c>
      <c r="O87" s="1">
        <v>6.30294808375997E-11</v>
      </c>
      <c r="P87" s="1">
        <v>1.03688233725391E-9</v>
      </c>
      <c r="Q87">
        <v>64.552170333951693</v>
      </c>
      <c r="S87">
        <v>21.845414838678199</v>
      </c>
      <c r="AA87">
        <v>2.9603244583384498</v>
      </c>
      <c r="AB87">
        <v>8.7865683940934005</v>
      </c>
      <c r="AC87">
        <v>1.85552197493816</v>
      </c>
      <c r="AJ87">
        <v>0.75464970859804903</v>
      </c>
      <c r="AK87">
        <v>0.14049996577375101</v>
      </c>
      <c r="AL87">
        <v>0.104850325628198</v>
      </c>
    </row>
    <row r="88" spans="1:38" x14ac:dyDescent="0.2">
      <c r="A88">
        <v>88</v>
      </c>
      <c r="B88">
        <v>750</v>
      </c>
      <c r="C88">
        <v>175</v>
      </c>
      <c r="D88">
        <v>0.40490690514587502</v>
      </c>
      <c r="E88">
        <v>33.856043241361903</v>
      </c>
      <c r="F88">
        <v>2.5214453006045199</v>
      </c>
      <c r="G88">
        <v>-535.04804537850782</v>
      </c>
      <c r="H88">
        <v>-463.56608764732192</v>
      </c>
      <c r="I88">
        <v>69.864592416738404</v>
      </c>
      <c r="J88">
        <v>40.2521789852754</v>
      </c>
      <c r="K88">
        <v>13.427236844378401</v>
      </c>
      <c r="L88">
        <v>2.8442762355420016E-5</v>
      </c>
      <c r="M88">
        <v>1.7971452967816639E-6</v>
      </c>
      <c r="N88" s="1">
        <v>-2.3873698868756498E-7</v>
      </c>
      <c r="O88" s="1">
        <v>1.2802791965470499E-10</v>
      </c>
      <c r="P88" s="1">
        <v>9.6102403948262403E-10</v>
      </c>
      <c r="Q88">
        <v>65.943418893024301</v>
      </c>
      <c r="S88">
        <v>19.0217248290875</v>
      </c>
      <c r="AA88">
        <v>0.30612245647966102</v>
      </c>
      <c r="AB88">
        <v>4.4842207473322899</v>
      </c>
      <c r="AC88">
        <v>10.244513074076</v>
      </c>
      <c r="AJ88">
        <v>0.39357629260158999</v>
      </c>
      <c r="AK88">
        <v>1.48473151413182E-2</v>
      </c>
      <c r="AL88">
        <v>0.59157639225709102</v>
      </c>
    </row>
    <row r="89" spans="1:38" x14ac:dyDescent="0.2">
      <c r="A89">
        <v>89</v>
      </c>
      <c r="B89">
        <v>748</v>
      </c>
      <c r="C89">
        <v>175</v>
      </c>
      <c r="D89">
        <v>0.40360426969593199</v>
      </c>
      <c r="E89">
        <v>19.0807412035245</v>
      </c>
      <c r="F89">
        <v>2.5761628817876301</v>
      </c>
      <c r="G89">
        <v>-309.36530285140537</v>
      </c>
      <c r="H89">
        <v>-268.58124671210595</v>
      </c>
      <c r="I89">
        <v>39.939339116975397</v>
      </c>
      <c r="J89">
        <v>23.320434228632099</v>
      </c>
      <c r="K89">
        <v>7.4066517060769801</v>
      </c>
      <c r="L89">
        <v>3.1232793936445614E-5</v>
      </c>
      <c r="M89">
        <v>1.8000634483745373E-6</v>
      </c>
      <c r="N89" s="1">
        <v>-3.30932488629583E-7</v>
      </c>
      <c r="O89" s="1">
        <v>6.4314169249036894E-11</v>
      </c>
      <c r="P89" s="1">
        <v>1.1200842662002701E-9</v>
      </c>
      <c r="Q89">
        <v>64.539510740976098</v>
      </c>
      <c r="S89">
        <v>21.8588941046429</v>
      </c>
      <c r="AA89">
        <v>2.9743989337290602</v>
      </c>
      <c r="AB89">
        <v>8.7936948180780199</v>
      </c>
      <c r="AC89">
        <v>1.8335014025738601</v>
      </c>
      <c r="AJ89">
        <v>0.75523478677576195</v>
      </c>
      <c r="AK89">
        <v>0.14116291024479499</v>
      </c>
      <c r="AL89">
        <v>0.10360230297944199</v>
      </c>
    </row>
    <row r="90" spans="1:38" x14ac:dyDescent="0.2">
      <c r="A90">
        <v>89</v>
      </c>
      <c r="B90">
        <v>748</v>
      </c>
      <c r="C90">
        <v>175</v>
      </c>
      <c r="D90">
        <v>0.40360426969593199</v>
      </c>
      <c r="E90">
        <v>34.883959128613</v>
      </c>
      <c r="F90">
        <v>2.52147380016677</v>
      </c>
      <c r="G90">
        <v>-551.07236399902638</v>
      </c>
      <c r="H90">
        <v>-477.65935671171684</v>
      </c>
      <c r="I90">
        <v>71.892481307652801</v>
      </c>
      <c r="J90">
        <v>41.480518660121803</v>
      </c>
      <c r="K90">
        <v>13.8347497905017</v>
      </c>
      <c r="L90">
        <v>2.8460095707446168E-5</v>
      </c>
      <c r="M90">
        <v>1.7971710140645139E-6</v>
      </c>
      <c r="N90" s="1">
        <v>-2.6249871462850202E-7</v>
      </c>
      <c r="O90" s="1">
        <v>1.31814698185535E-10</v>
      </c>
      <c r="P90" s="1">
        <v>1.0375468575634E-9</v>
      </c>
      <c r="Q90">
        <v>65.939374936565898</v>
      </c>
      <c r="S90">
        <v>19.014212605075102</v>
      </c>
      <c r="AA90">
        <v>0.300868396705537</v>
      </c>
      <c r="AB90">
        <v>4.4555147352887303</v>
      </c>
      <c r="AC90">
        <v>10.2900293263645</v>
      </c>
      <c r="AJ90">
        <v>0.39111387852559498</v>
      </c>
      <c r="AK90">
        <v>1.45946170764087E-2</v>
      </c>
      <c r="AL90">
        <v>0.59429150439799505</v>
      </c>
    </row>
    <row r="91" spans="1:38" x14ac:dyDescent="0.2">
      <c r="A91">
        <v>90</v>
      </c>
      <c r="B91">
        <v>746</v>
      </c>
      <c r="C91">
        <v>175</v>
      </c>
      <c r="D91">
        <v>0.40229652161114798</v>
      </c>
      <c r="E91">
        <v>19.4024499966308</v>
      </c>
      <c r="F91">
        <v>2.5764769594900101</v>
      </c>
      <c r="G91">
        <v>-314.51892657122295</v>
      </c>
      <c r="H91">
        <v>-273.17597470347908</v>
      </c>
      <c r="I91">
        <v>40.566110845060798</v>
      </c>
      <c r="J91">
        <v>23.7346625498467</v>
      </c>
      <c r="K91">
        <v>7.5306126550696098</v>
      </c>
      <c r="L91">
        <v>3.1331602197570274E-5</v>
      </c>
      <c r="M91">
        <v>1.8004211453163834E-6</v>
      </c>
      <c r="N91" s="1">
        <v>-3.5889161122049101E-7</v>
      </c>
      <c r="O91" s="1">
        <v>6.5193693393029701E-11</v>
      </c>
      <c r="P91" s="1">
        <v>1.2030444956106201E-9</v>
      </c>
      <c r="Q91">
        <v>64.533223684150101</v>
      </c>
      <c r="S91">
        <v>21.867498570280901</v>
      </c>
      <c r="AA91">
        <v>2.9829647047438401</v>
      </c>
      <c r="AB91">
        <v>8.8022421743666204</v>
      </c>
      <c r="AC91">
        <v>1.8140708664584999</v>
      </c>
      <c r="AJ91">
        <v>0.755936603097908</v>
      </c>
      <c r="AK91">
        <v>0.14156339412589899</v>
      </c>
      <c r="AL91">
        <v>0.10250000277619099</v>
      </c>
    </row>
    <row r="92" spans="1:38" x14ac:dyDescent="0.2">
      <c r="A92">
        <v>90</v>
      </c>
      <c r="B92">
        <v>746</v>
      </c>
      <c r="C92">
        <v>175</v>
      </c>
      <c r="D92">
        <v>0.40229652161114798</v>
      </c>
      <c r="E92">
        <v>35.5507061176097</v>
      </c>
      <c r="F92">
        <v>2.5215081124760199</v>
      </c>
      <c r="G92">
        <v>-561.38849462536336</v>
      </c>
      <c r="H92">
        <v>-486.81463413518782</v>
      </c>
      <c r="I92">
        <v>73.172605102463294</v>
      </c>
      <c r="J92">
        <v>42.281567168487797</v>
      </c>
      <c r="K92">
        <v>14.0989854213478</v>
      </c>
      <c r="L92">
        <v>2.8482135165916751E-5</v>
      </c>
      <c r="M92">
        <v>1.7972391604170471E-6</v>
      </c>
      <c r="N92" s="1">
        <v>-2.8568021335350097E-7</v>
      </c>
      <c r="O92" s="1">
        <v>1.3421849673100599E-10</v>
      </c>
      <c r="P92" s="1">
        <v>1.1093887409345499E-9</v>
      </c>
      <c r="Q92">
        <v>65.936360127027797</v>
      </c>
      <c r="S92">
        <v>19.007042838542599</v>
      </c>
      <c r="AA92">
        <v>0.29565673049430702</v>
      </c>
      <c r="AB92">
        <v>4.4299999187825003</v>
      </c>
      <c r="AC92">
        <v>10.3309403851526</v>
      </c>
      <c r="AJ92">
        <v>0.388924607616493</v>
      </c>
      <c r="AK92">
        <v>1.43436693150656E-2</v>
      </c>
      <c r="AL92">
        <v>0.59673172306844002</v>
      </c>
    </row>
    <row r="93" spans="1:38" x14ac:dyDescent="0.2">
      <c r="A93">
        <v>91</v>
      </c>
      <c r="B93">
        <v>744</v>
      </c>
      <c r="C93">
        <v>175</v>
      </c>
      <c r="D93">
        <v>0.40098363073293403</v>
      </c>
      <c r="E93">
        <v>19.659637322569701</v>
      </c>
      <c r="F93">
        <v>2.5767569250530298</v>
      </c>
      <c r="G93">
        <v>-318.6232309542782</v>
      </c>
      <c r="H93">
        <v>-276.86243505285023</v>
      </c>
      <c r="I93">
        <v>41.056673943300297</v>
      </c>
      <c r="J93">
        <v>24.072274014846499</v>
      </c>
      <c r="K93">
        <v>7.6296049237027503</v>
      </c>
      <c r="L93">
        <v>3.1438364991990461E-5</v>
      </c>
      <c r="M93">
        <v>1.8008739464078554E-6</v>
      </c>
      <c r="N93" s="1">
        <v>-3.87957104039198E-7</v>
      </c>
      <c r="O93" s="1">
        <v>6.5842022566973302E-11</v>
      </c>
      <c r="P93" s="1">
        <v>1.28847836601757E-9</v>
      </c>
      <c r="Q93">
        <v>64.530413077084603</v>
      </c>
      <c r="S93">
        <v>21.873437444514</v>
      </c>
      <c r="AA93">
        <v>2.98852015353066</v>
      </c>
      <c r="AB93">
        <v>8.8115484181285204</v>
      </c>
      <c r="AC93">
        <v>1.79608090674207</v>
      </c>
      <c r="AJ93">
        <v>0.75670072420603096</v>
      </c>
      <c r="AK93">
        <v>0.141820462354452</v>
      </c>
      <c r="AL93">
        <v>0.10147881343951599</v>
      </c>
    </row>
    <row r="94" spans="1:38" x14ac:dyDescent="0.2">
      <c r="A94">
        <v>91</v>
      </c>
      <c r="B94">
        <v>744</v>
      </c>
      <c r="C94">
        <v>175</v>
      </c>
      <c r="D94">
        <v>0.40098363073293403</v>
      </c>
      <c r="E94">
        <v>36.019352057974302</v>
      </c>
      <c r="F94">
        <v>2.5215464136813801</v>
      </c>
      <c r="G94">
        <v>-568.57397035587701</v>
      </c>
      <c r="H94">
        <v>-493.26164745978849</v>
      </c>
      <c r="I94">
        <v>74.042494121897903</v>
      </c>
      <c r="J94">
        <v>42.848867889498301</v>
      </c>
      <c r="K94">
        <v>14.2846278230457</v>
      </c>
      <c r="L94">
        <v>2.8507922319882696E-5</v>
      </c>
      <c r="M94">
        <v>1.7973331318466257E-6</v>
      </c>
      <c r="N94" s="1">
        <v>-3.0918743544461801E-7</v>
      </c>
      <c r="O94" s="1">
        <v>1.3585853631045401E-10</v>
      </c>
      <c r="P94" s="1">
        <v>1.1804555805859601E-9</v>
      </c>
      <c r="Q94">
        <v>65.9338598369621</v>
      </c>
      <c r="S94">
        <v>19.000090433452701</v>
      </c>
      <c r="AA94">
        <v>0.29050433361383798</v>
      </c>
      <c r="AB94">
        <v>4.40620152261355</v>
      </c>
      <c r="AC94">
        <v>10.3693438733577</v>
      </c>
      <c r="AJ94">
        <v>0.38688210247636201</v>
      </c>
      <c r="AK94">
        <v>1.4095409217578601E-2</v>
      </c>
      <c r="AL94">
        <v>0.59902248830605798</v>
      </c>
    </row>
    <row r="95" spans="1:38" x14ac:dyDescent="0.2">
      <c r="A95">
        <v>92</v>
      </c>
      <c r="B95">
        <v>742</v>
      </c>
      <c r="C95">
        <v>175</v>
      </c>
      <c r="D95">
        <v>0.39966556666502401</v>
      </c>
      <c r="E95">
        <v>19.8765776883237</v>
      </c>
      <c r="F95">
        <v>2.5770149050495701</v>
      </c>
      <c r="G95">
        <v>-322.0726876050681</v>
      </c>
      <c r="H95">
        <v>-279.98249004104343</v>
      </c>
      <c r="I95">
        <v>41.462047543737</v>
      </c>
      <c r="J95">
        <v>24.362942233640801</v>
      </c>
      <c r="K95">
        <v>7.71302395239403</v>
      </c>
      <c r="L95">
        <v>3.1552956727047532E-5</v>
      </c>
      <c r="M95">
        <v>1.8013963150164749E-6</v>
      </c>
      <c r="N95" s="1">
        <v>-4.1857498969995802E-7</v>
      </c>
      <c r="O95" s="1">
        <v>6.6339542674503603E-11</v>
      </c>
      <c r="P95" s="1">
        <v>1.3778612190539801E-9</v>
      </c>
      <c r="Q95">
        <v>64.529862853657605</v>
      </c>
      <c r="S95">
        <v>21.877638770142799</v>
      </c>
      <c r="AA95">
        <v>2.9921146773071601</v>
      </c>
      <c r="AB95">
        <v>8.8213365960686208</v>
      </c>
      <c r="AC95">
        <v>1.77904710282371</v>
      </c>
      <c r="AJ95">
        <v>0.75750437627287903</v>
      </c>
      <c r="AK95">
        <v>0.14198412103230099</v>
      </c>
      <c r="AL95">
        <v>0.100511502694818</v>
      </c>
    </row>
    <row r="96" spans="1:38" x14ac:dyDescent="0.2">
      <c r="A96">
        <v>92</v>
      </c>
      <c r="B96">
        <v>742</v>
      </c>
      <c r="C96">
        <v>175</v>
      </c>
      <c r="D96">
        <v>0.39966556666502401</v>
      </c>
      <c r="E96">
        <v>36.3632372333795</v>
      </c>
      <c r="F96">
        <v>2.52158791926882</v>
      </c>
      <c r="G96">
        <v>-573.78824815832093</v>
      </c>
      <c r="H96">
        <v>-498.00319886960256</v>
      </c>
      <c r="I96">
        <v>74.654040574021906</v>
      </c>
      <c r="J96">
        <v>43.269512152483301</v>
      </c>
      <c r="K96">
        <v>14.4207691334132</v>
      </c>
      <c r="L96">
        <v>2.8537159235723465E-5</v>
      </c>
      <c r="M96">
        <v>1.7974462583972223E-6</v>
      </c>
      <c r="N96" s="1">
        <v>-3.3346514859078701E-7</v>
      </c>
      <c r="O96" s="1">
        <v>1.3701302906234901E-10</v>
      </c>
      <c r="P96" s="1">
        <v>1.2526015203261401E-9</v>
      </c>
      <c r="Q96">
        <v>65.931658823697006</v>
      </c>
      <c r="S96">
        <v>18.993301690351501</v>
      </c>
      <c r="AA96">
        <v>0.28541712739985098</v>
      </c>
      <c r="AB96">
        <v>4.3834991099293603</v>
      </c>
      <c r="AC96">
        <v>10.406123248622199</v>
      </c>
      <c r="AJ96">
        <v>0.38493320092697397</v>
      </c>
      <c r="AK96">
        <v>1.38501752782056E-2</v>
      </c>
      <c r="AL96">
        <v>0.60121662379481999</v>
      </c>
    </row>
    <row r="97" spans="1:38" x14ac:dyDescent="0.2">
      <c r="A97">
        <v>94</v>
      </c>
      <c r="B97">
        <v>774</v>
      </c>
      <c r="C97">
        <v>150</v>
      </c>
      <c r="D97">
        <v>0.44641216635630598</v>
      </c>
      <c r="E97">
        <v>0.51125107014136595</v>
      </c>
      <c r="F97">
        <v>2.5765023456778802</v>
      </c>
      <c r="G97">
        <v>-8.3323052325113451</v>
      </c>
      <c r="H97">
        <v>-7.1953932856880281</v>
      </c>
      <c r="I97">
        <v>1.0857202376195501</v>
      </c>
      <c r="J97">
        <v>0.62111356518897198</v>
      </c>
      <c r="K97">
        <v>0.19842833483113101</v>
      </c>
      <c r="L97">
        <v>3.0411432486432538E-5</v>
      </c>
      <c r="M97">
        <v>1.794210679304934E-6</v>
      </c>
      <c r="N97" s="1">
        <v>-3.93715020943945E-9</v>
      </c>
      <c r="O97" s="1">
        <v>1.7540685984544601E-12</v>
      </c>
      <c r="P97" s="1">
        <v>1.57842011424741E-11</v>
      </c>
      <c r="Q97">
        <v>64.348113114321094</v>
      </c>
      <c r="S97">
        <v>22.076566846530099</v>
      </c>
      <c r="AA97">
        <v>3.1986411941833901</v>
      </c>
      <c r="AB97">
        <v>8.9378328616526392</v>
      </c>
      <c r="AC97">
        <v>1.4388459833126199</v>
      </c>
      <c r="AJ97">
        <v>0.767060521278215</v>
      </c>
      <c r="AK97">
        <v>0.15169585656906101</v>
      </c>
      <c r="AL97">
        <v>8.1243622152723294E-2</v>
      </c>
    </row>
    <row r="98" spans="1:38" x14ac:dyDescent="0.2">
      <c r="A98">
        <v>95</v>
      </c>
      <c r="B98">
        <v>772</v>
      </c>
      <c r="C98">
        <v>150</v>
      </c>
      <c r="D98">
        <v>0.44521886810505501</v>
      </c>
      <c r="E98">
        <v>1.18519036868591</v>
      </c>
      <c r="F98">
        <v>2.57571095339281</v>
      </c>
      <c r="G98">
        <v>-19.308056877469841</v>
      </c>
      <c r="H98">
        <v>-16.67994486920858</v>
      </c>
      <c r="I98">
        <v>2.5145787765021801</v>
      </c>
      <c r="J98">
        <v>1.44040417591048</v>
      </c>
      <c r="K98">
        <v>0.46014106013127598</v>
      </c>
      <c r="L98">
        <v>3.0494582436001917E-5</v>
      </c>
      <c r="M98">
        <v>1.7965357615438412E-6</v>
      </c>
      <c r="N98" s="1">
        <v>-9.7393405829006495E-9</v>
      </c>
      <c r="O98" s="1">
        <v>4.0687071190947603E-12</v>
      </c>
      <c r="P98" s="1">
        <v>3.8370759988596997E-11</v>
      </c>
      <c r="Q98">
        <v>64.441757766802994</v>
      </c>
      <c r="S98">
        <v>22.003382328638999</v>
      </c>
      <c r="AA98">
        <v>3.1164125181214901</v>
      </c>
      <c r="AB98">
        <v>8.9546522203949408</v>
      </c>
      <c r="AC98">
        <v>1.4837951660414399</v>
      </c>
      <c r="AJ98">
        <v>0.76844113401659697</v>
      </c>
      <c r="AK98">
        <v>0.14778406603840299</v>
      </c>
      <c r="AL98">
        <v>8.3774799944998896E-2</v>
      </c>
    </row>
    <row r="99" spans="1:38" x14ac:dyDescent="0.2">
      <c r="A99">
        <v>96</v>
      </c>
      <c r="B99">
        <v>770</v>
      </c>
      <c r="C99">
        <v>150</v>
      </c>
      <c r="D99">
        <v>0.44402099410439499</v>
      </c>
      <c r="E99">
        <v>1.8605013639610699</v>
      </c>
      <c r="F99">
        <v>2.5749370304729098</v>
      </c>
      <c r="G99">
        <v>-30.296935974903764</v>
      </c>
      <c r="H99">
        <v>-26.18314960223509</v>
      </c>
      <c r="I99">
        <v>3.9436192040154001</v>
      </c>
      <c r="J99">
        <v>2.2620055683749301</v>
      </c>
      <c r="K99">
        <v>0.72254247072573097</v>
      </c>
      <c r="L99">
        <v>3.0577799007202214E-5</v>
      </c>
      <c r="M99">
        <v>1.7987734889154029E-6</v>
      </c>
      <c r="N99" s="1">
        <v>-1.63038360242388E-8</v>
      </c>
      <c r="O99" s="1">
        <v>6.3900277529110302E-12</v>
      </c>
      <c r="P99" s="1">
        <v>6.31815579170627E-11</v>
      </c>
      <c r="Q99">
        <v>64.531780153852296</v>
      </c>
      <c r="S99">
        <v>21.932367244501801</v>
      </c>
      <c r="AA99">
        <v>3.0368188532388598</v>
      </c>
      <c r="AB99">
        <v>8.9690870074699909</v>
      </c>
      <c r="AC99">
        <v>1.52994674093703</v>
      </c>
      <c r="AJ99">
        <v>0.76962597875541705</v>
      </c>
      <c r="AK99">
        <v>0.14399955802901099</v>
      </c>
      <c r="AL99">
        <v>8.6374463215570907E-2</v>
      </c>
    </row>
    <row r="100" spans="1:38" x14ac:dyDescent="0.2">
      <c r="A100">
        <v>97</v>
      </c>
      <c r="B100">
        <v>768</v>
      </c>
      <c r="C100">
        <v>150</v>
      </c>
      <c r="D100">
        <v>0.442818517984921</v>
      </c>
      <c r="E100">
        <v>3.5660379761451901</v>
      </c>
      <c r="F100">
        <v>2.5729553761954</v>
      </c>
      <c r="G100">
        <v>-58.026739055802658</v>
      </c>
      <c r="H100">
        <v>-50.163577604891074</v>
      </c>
      <c r="I100">
        <v>7.5523809738381402</v>
      </c>
      <c r="J100">
        <v>4.3367956151504199</v>
      </c>
      <c r="K100">
        <v>1.3859696165497599</v>
      </c>
      <c r="L100">
        <v>3.0673978628098957E-5</v>
      </c>
      <c r="M100">
        <v>1.8025416762444686E-6</v>
      </c>
      <c r="N100" s="1">
        <v>-3.3210903264475097E-8</v>
      </c>
      <c r="O100" s="1">
        <v>1.2280886012199901E-11</v>
      </c>
      <c r="P100" s="1">
        <v>1.2676051910003499E-10</v>
      </c>
      <c r="Q100">
        <v>64.704505630023704</v>
      </c>
      <c r="S100">
        <v>21.781945272892202</v>
      </c>
      <c r="AA100">
        <v>2.8724160579070901</v>
      </c>
      <c r="AB100">
        <v>8.95964571518296</v>
      </c>
      <c r="AC100">
        <v>1.681487323994</v>
      </c>
      <c r="AJ100">
        <v>0.768854603296662</v>
      </c>
      <c r="AK100">
        <v>0.13621079200797701</v>
      </c>
      <c r="AL100">
        <v>9.4934604695360303E-2</v>
      </c>
    </row>
    <row r="101" spans="1:38" x14ac:dyDescent="0.2">
      <c r="A101">
        <v>98</v>
      </c>
      <c r="B101">
        <v>766</v>
      </c>
      <c r="C101">
        <v>150</v>
      </c>
      <c r="D101">
        <v>0.44161141317423203</v>
      </c>
      <c r="E101">
        <v>5.4811397304279899</v>
      </c>
      <c r="F101">
        <v>2.5706290909494598</v>
      </c>
      <c r="G101">
        <v>-89.109360070020841</v>
      </c>
      <c r="H101">
        <v>-77.05716514234031</v>
      </c>
      <c r="I101">
        <v>11.598128208324599</v>
      </c>
      <c r="J101">
        <v>6.6669596111474299</v>
      </c>
      <c r="K101">
        <v>2.1322172653089799</v>
      </c>
      <c r="L101">
        <v>3.075806171196718E-5</v>
      </c>
      <c r="M101">
        <v>1.8062543085963866E-6</v>
      </c>
      <c r="N101" s="1">
        <v>-5.4055993400012499E-8</v>
      </c>
      <c r="O101" s="1">
        <v>1.8936930527027199E-11</v>
      </c>
      <c r="P101" s="1">
        <v>2.0349202146965499E-10</v>
      </c>
      <c r="Q101">
        <v>64.884296880419498</v>
      </c>
      <c r="S101">
        <v>21.616013689462701</v>
      </c>
      <c r="AA101">
        <v>2.6935689721982001</v>
      </c>
      <c r="AB101">
        <v>8.9252896581302199</v>
      </c>
      <c r="AC101">
        <v>1.8808307997893501</v>
      </c>
      <c r="AJ101">
        <v>0.76604008119369005</v>
      </c>
      <c r="AK101">
        <v>0.12775210510542501</v>
      </c>
      <c r="AL101">
        <v>0.106207813700884</v>
      </c>
    </row>
    <row r="102" spans="1:38" x14ac:dyDescent="0.2">
      <c r="A102">
        <v>99</v>
      </c>
      <c r="B102">
        <v>764</v>
      </c>
      <c r="C102">
        <v>150</v>
      </c>
      <c r="D102">
        <v>0.44039965289495597</v>
      </c>
      <c r="E102">
        <v>7.5371274637168604</v>
      </c>
      <c r="F102">
        <v>2.5679455765401098</v>
      </c>
      <c r="G102">
        <v>-122.403281152898</v>
      </c>
      <c r="H102">
        <v>-105.87776482312879</v>
      </c>
      <c r="I102">
        <v>15.933583695482</v>
      </c>
      <c r="J102">
        <v>9.1678809247477702</v>
      </c>
      <c r="K102">
        <v>2.9350806857331802</v>
      </c>
      <c r="L102">
        <v>3.0821133831849447E-5</v>
      </c>
      <c r="M102">
        <v>1.8096856832880192E-6</v>
      </c>
      <c r="N102" s="1">
        <v>-7.8341711553826495E-8</v>
      </c>
      <c r="O102" s="1">
        <v>2.6137529729761699E-11</v>
      </c>
      <c r="P102" s="1">
        <v>2.9130456613387601E-10</v>
      </c>
      <c r="Q102">
        <v>65.063976515676202</v>
      </c>
      <c r="S102">
        <v>21.4372070566614</v>
      </c>
      <c r="AA102">
        <v>2.5041258827944799</v>
      </c>
      <c r="AB102">
        <v>8.8569312569260799</v>
      </c>
      <c r="AC102">
        <v>2.13775928794171</v>
      </c>
      <c r="AJ102">
        <v>0.76043437372262002</v>
      </c>
      <c r="AK102">
        <v>0.11880792570312899</v>
      </c>
      <c r="AL102">
        <v>0.12075770057425</v>
      </c>
    </row>
    <row r="103" spans="1:38" x14ac:dyDescent="0.2">
      <c r="A103">
        <v>100</v>
      </c>
      <c r="B103">
        <v>762</v>
      </c>
      <c r="C103">
        <v>150</v>
      </c>
      <c r="D103">
        <v>0.439183210162781</v>
      </c>
      <c r="E103">
        <v>14.110224905978299</v>
      </c>
      <c r="F103">
        <v>2.5706763000040298</v>
      </c>
      <c r="G103">
        <v>-229.15596533658018</v>
      </c>
      <c r="H103">
        <v>-198.32585308233803</v>
      </c>
      <c r="I103">
        <v>29.783231661345798</v>
      </c>
      <c r="J103">
        <v>17.163522909467599</v>
      </c>
      <c r="K103">
        <v>5.4889154678697398</v>
      </c>
      <c r="L103">
        <v>3.0736798815503963E-5</v>
      </c>
      <c r="M103">
        <v>1.8038583857142295E-6</v>
      </c>
      <c r="N103" s="1">
        <v>-1.54120601580936E-7</v>
      </c>
      <c r="O103" s="1">
        <v>4.8622142360722303E-11</v>
      </c>
      <c r="P103" s="1">
        <v>5.6703581203068496E-10</v>
      </c>
      <c r="Q103">
        <v>64.789953458826503</v>
      </c>
      <c r="S103">
        <v>21.638152681727998</v>
      </c>
      <c r="AA103">
        <v>2.7338476151737501</v>
      </c>
      <c r="AB103">
        <v>8.7730906480914808</v>
      </c>
      <c r="AC103">
        <v>2.06495559618015</v>
      </c>
      <c r="AJ103">
        <v>0.75354630857483595</v>
      </c>
      <c r="AK103">
        <v>0.12976047408553401</v>
      </c>
      <c r="AL103">
        <v>0.11669321733962799</v>
      </c>
    </row>
    <row r="104" spans="1:38" x14ac:dyDescent="0.2">
      <c r="A104">
        <v>100</v>
      </c>
      <c r="B104">
        <v>762</v>
      </c>
      <c r="C104">
        <v>150</v>
      </c>
      <c r="D104">
        <v>0.439183210162781</v>
      </c>
      <c r="E104">
        <v>20.741935654499802</v>
      </c>
      <c r="F104">
        <v>2.5204537385303598</v>
      </c>
      <c r="G104">
        <v>-328.98313390540551</v>
      </c>
      <c r="H104">
        <v>-284.29614282362922</v>
      </c>
      <c r="I104">
        <v>43.1695803330689</v>
      </c>
      <c r="J104">
        <v>24.664557733890099</v>
      </c>
      <c r="K104">
        <v>8.22944509451467</v>
      </c>
      <c r="L104">
        <v>2.8444986350315728E-5</v>
      </c>
      <c r="M104">
        <v>1.8001011693678967E-6</v>
      </c>
      <c r="N104" s="1">
        <v>-9.9770945011538997E-8</v>
      </c>
      <c r="O104" s="1">
        <v>7.8625828451555195E-11</v>
      </c>
      <c r="P104" s="1">
        <v>4.5488715589676001E-10</v>
      </c>
      <c r="Q104">
        <v>66.006612604365699</v>
      </c>
      <c r="S104">
        <v>19.083783294459099</v>
      </c>
      <c r="AA104">
        <v>0.34257593721088803</v>
      </c>
      <c r="AB104">
        <v>4.7877388798674803</v>
      </c>
      <c r="AC104">
        <v>9.77928928409675</v>
      </c>
      <c r="AJ104">
        <v>0.41956846994359198</v>
      </c>
      <c r="AK104">
        <v>1.65897573042223E-2</v>
      </c>
      <c r="AL104">
        <v>0.56384177275218506</v>
      </c>
    </row>
    <row r="105" spans="1:38" x14ac:dyDescent="0.2">
      <c r="A105">
        <v>101</v>
      </c>
      <c r="B105">
        <v>760</v>
      </c>
      <c r="C105">
        <v>150</v>
      </c>
      <c r="D105">
        <v>0.43796205778444602</v>
      </c>
      <c r="E105">
        <v>16.754633145090001</v>
      </c>
      <c r="F105">
        <v>2.5725907599097302</v>
      </c>
      <c r="G105">
        <v>-272.11470419446664</v>
      </c>
      <c r="H105">
        <v>-235.62673886201287</v>
      </c>
      <c r="I105">
        <v>35.317200147561998</v>
      </c>
      <c r="J105">
        <v>20.387818305264801</v>
      </c>
      <c r="K105">
        <v>6.5127471520880098</v>
      </c>
      <c r="L105">
        <v>3.0731554218322969E-5</v>
      </c>
      <c r="M105">
        <v>1.8007407005232254E-6</v>
      </c>
      <c r="N105" s="1">
        <v>-1.9407382885752801E-7</v>
      </c>
      <c r="O105" s="1">
        <v>5.7445008512027597E-11</v>
      </c>
      <c r="P105" s="1">
        <v>7.0542903223905305E-10</v>
      </c>
      <c r="Q105">
        <v>64.628432872217303</v>
      </c>
      <c r="S105">
        <v>21.767058925849</v>
      </c>
      <c r="AA105">
        <v>2.87788520722538</v>
      </c>
      <c r="AB105">
        <v>8.7510951591389592</v>
      </c>
      <c r="AC105">
        <v>1.97552783556926</v>
      </c>
      <c r="AJ105">
        <v>0.751736939873351</v>
      </c>
      <c r="AK105">
        <v>0.136611651807167</v>
      </c>
      <c r="AL105">
        <v>0.11165140831948001</v>
      </c>
    </row>
    <row r="106" spans="1:38" x14ac:dyDescent="0.2">
      <c r="A106">
        <v>101</v>
      </c>
      <c r="B106">
        <v>760</v>
      </c>
      <c r="C106">
        <v>150</v>
      </c>
      <c r="D106">
        <v>0.43796205778444602</v>
      </c>
      <c r="E106">
        <v>29.460190124784599</v>
      </c>
      <c r="F106">
        <v>2.5203330266516599</v>
      </c>
      <c r="G106">
        <v>-466.9082193772557</v>
      </c>
      <c r="H106">
        <v>-403.66929517943333</v>
      </c>
      <c r="I106">
        <v>61.209818707663402</v>
      </c>
      <c r="J106">
        <v>35.016390852005898</v>
      </c>
      <c r="K106">
        <v>11.689006894427401</v>
      </c>
      <c r="L106">
        <v>2.8391788408958622E-5</v>
      </c>
      <c r="M106">
        <v>1.7991573440505072E-6</v>
      </c>
      <c r="N106" s="1">
        <v>-1.47595854851187E-7</v>
      </c>
      <c r="O106" s="1">
        <v>1.1171152895064001E-10</v>
      </c>
      <c r="P106" s="1">
        <v>6.62885951069771E-10</v>
      </c>
      <c r="Q106">
        <v>65.975164438880995</v>
      </c>
      <c r="S106">
        <v>19.0681919308457</v>
      </c>
      <c r="AA106">
        <v>0.33705090207893401</v>
      </c>
      <c r="AB106">
        <v>4.6767835425400897</v>
      </c>
      <c r="AC106">
        <v>9.9428091856541592</v>
      </c>
      <c r="AJ106">
        <v>0.41007588448707399</v>
      </c>
      <c r="AK106">
        <v>1.63313935587296E-2</v>
      </c>
      <c r="AL106">
        <v>0.57359272195419597</v>
      </c>
    </row>
    <row r="107" spans="1:38" x14ac:dyDescent="0.2">
      <c r="A107">
        <v>102</v>
      </c>
      <c r="B107">
        <v>758</v>
      </c>
      <c r="C107">
        <v>150</v>
      </c>
      <c r="D107">
        <v>0.43673616835572199</v>
      </c>
      <c r="E107">
        <v>17.765206232942599</v>
      </c>
      <c r="F107">
        <v>2.5734435933914099</v>
      </c>
      <c r="G107">
        <v>-288.49347840503924</v>
      </c>
      <c r="H107">
        <v>-249.92602921948762</v>
      </c>
      <c r="I107">
        <v>37.402365500219702</v>
      </c>
      <c r="J107">
        <v>21.628511881094099</v>
      </c>
      <c r="K107">
        <v>6.9032817655547403</v>
      </c>
      <c r="L107">
        <v>3.0774802376028013E-5</v>
      </c>
      <c r="M107">
        <v>1.7998428790045629E-6</v>
      </c>
      <c r="N107" s="1">
        <v>-2.1889531456417501E-7</v>
      </c>
      <c r="O107" s="1">
        <v>6.0716929344627705E-11</v>
      </c>
      <c r="P107" s="1">
        <v>7.8590669227323601E-10</v>
      </c>
      <c r="Q107">
        <v>64.568959236641106</v>
      </c>
      <c r="S107">
        <v>21.816690340161198</v>
      </c>
      <c r="AA107">
        <v>2.9327089920229601</v>
      </c>
      <c r="AB107">
        <v>8.7486765562497801</v>
      </c>
      <c r="AC107">
        <v>1.93296487492489</v>
      </c>
      <c r="AJ107">
        <v>0.75153733053732896</v>
      </c>
      <c r="AK107">
        <v>0.139215617553024</v>
      </c>
      <c r="AL107">
        <v>0.109247051909646</v>
      </c>
    </row>
    <row r="108" spans="1:38" x14ac:dyDescent="0.2">
      <c r="A108">
        <v>102</v>
      </c>
      <c r="B108">
        <v>758</v>
      </c>
      <c r="C108">
        <v>150</v>
      </c>
      <c r="D108">
        <v>0.43673616835572199</v>
      </c>
      <c r="E108">
        <v>32.561934225512999</v>
      </c>
      <c r="F108">
        <v>2.5203098829083799</v>
      </c>
      <c r="G108">
        <v>-515.80406845318043</v>
      </c>
      <c r="H108">
        <v>-446.14059659293491</v>
      </c>
      <c r="I108">
        <v>67.559008738055098</v>
      </c>
      <c r="J108">
        <v>38.699359107699301</v>
      </c>
      <c r="K108">
        <v>12.9198137285948</v>
      </c>
      <c r="L108">
        <v>2.8381426165310806E-5</v>
      </c>
      <c r="M108">
        <v>1.7988754117171795E-6</v>
      </c>
      <c r="N108" s="1">
        <v>-1.7303246798153599E-7</v>
      </c>
      <c r="O108" s="1">
        <v>1.2344385712505599E-10</v>
      </c>
      <c r="P108" s="1">
        <v>7.61196576730763E-10</v>
      </c>
      <c r="Q108">
        <v>65.963115683361707</v>
      </c>
      <c r="S108">
        <v>19.0579360727207</v>
      </c>
      <c r="AA108">
        <v>0.33140112649762898</v>
      </c>
      <c r="AB108">
        <v>4.6230464714664796</v>
      </c>
      <c r="AC108">
        <v>10.024500645953401</v>
      </c>
      <c r="AJ108">
        <v>0.40547468688725802</v>
      </c>
      <c r="AK108">
        <v>1.6062023564824501E-2</v>
      </c>
      <c r="AL108">
        <v>0.57846328954791604</v>
      </c>
    </row>
    <row r="109" spans="1:38" x14ac:dyDescent="0.2">
      <c r="A109">
        <v>103</v>
      </c>
      <c r="B109">
        <v>756</v>
      </c>
      <c r="C109">
        <v>150</v>
      </c>
      <c r="D109">
        <v>0.43550551425934297</v>
      </c>
      <c r="E109">
        <v>18.334641327871399</v>
      </c>
      <c r="F109">
        <v>2.5739934295656601</v>
      </c>
      <c r="G109">
        <v>-297.69198450229283</v>
      </c>
      <c r="H109">
        <v>-258.0116509626738</v>
      </c>
      <c r="I109">
        <v>38.5564140694933</v>
      </c>
      <c r="J109">
        <v>22.334719469538602</v>
      </c>
      <c r="K109">
        <v>7.12303346126461</v>
      </c>
      <c r="L109">
        <v>3.083550648141685E-5</v>
      </c>
      <c r="M109">
        <v>1.7996053495564644E-6</v>
      </c>
      <c r="N109" s="1">
        <v>-2.40554956248033E-7</v>
      </c>
      <c r="O109" s="1">
        <v>6.2492248708660702E-11</v>
      </c>
      <c r="P109" s="1">
        <v>8.5336155081246498E-10</v>
      </c>
      <c r="Q109">
        <v>64.539189597852797</v>
      </c>
      <c r="S109">
        <v>21.8434077549691</v>
      </c>
      <c r="AA109">
        <v>2.9616974710381401</v>
      </c>
      <c r="AB109">
        <v>8.7523796888141998</v>
      </c>
      <c r="AC109">
        <v>1.90332548732565</v>
      </c>
      <c r="AJ109">
        <v>0.75184112749486298</v>
      </c>
      <c r="AK109">
        <v>0.14058902342082699</v>
      </c>
      <c r="AL109">
        <v>0.107569849084309</v>
      </c>
    </row>
    <row r="110" spans="1:38" x14ac:dyDescent="0.2">
      <c r="A110">
        <v>103</v>
      </c>
      <c r="B110">
        <v>756</v>
      </c>
      <c r="C110">
        <v>150</v>
      </c>
      <c r="D110">
        <v>0.43550551425934297</v>
      </c>
      <c r="E110">
        <v>34.162195482879604</v>
      </c>
      <c r="F110">
        <v>2.52031374739656</v>
      </c>
      <c r="G110">
        <v>-540.91500409496962</v>
      </c>
      <c r="H110">
        <v>-468.06648814021071</v>
      </c>
      <c r="I110">
        <v>70.785129431821304</v>
      </c>
      <c r="J110">
        <v>40.601657099839997</v>
      </c>
      <c r="K110">
        <v>13.5547391741081</v>
      </c>
      <c r="L110">
        <v>2.8384244796768086E-5</v>
      </c>
      <c r="M110">
        <v>1.7987804633353484E-6</v>
      </c>
      <c r="N110" s="1">
        <v>-1.9346943275864699E-7</v>
      </c>
      <c r="O110" s="1">
        <v>1.2945432435558899E-10</v>
      </c>
      <c r="P110" s="1">
        <v>8.3301033429941105E-10</v>
      </c>
      <c r="Q110">
        <v>65.956441357261696</v>
      </c>
      <c r="S110">
        <v>19.049220805823399</v>
      </c>
      <c r="AA110">
        <v>0.32576830482170399</v>
      </c>
      <c r="AB110">
        <v>4.5853248883823996</v>
      </c>
      <c r="AC110">
        <v>10.0832446437107</v>
      </c>
      <c r="AJ110">
        <v>0.402243317726311</v>
      </c>
      <c r="AK110">
        <v>1.5792043943277101E-2</v>
      </c>
      <c r="AL110">
        <v>0.58196463833041101</v>
      </c>
    </row>
    <row r="111" spans="1:38" x14ac:dyDescent="0.2">
      <c r="A111">
        <v>104</v>
      </c>
      <c r="B111">
        <v>754</v>
      </c>
      <c r="C111">
        <v>150</v>
      </c>
      <c r="D111">
        <v>0.43427006766295001</v>
      </c>
      <c r="E111">
        <v>18.722729417597598</v>
      </c>
      <c r="F111">
        <v>2.5744128618279101</v>
      </c>
      <c r="G111">
        <v>-303.93764884957375</v>
      </c>
      <c r="H111">
        <v>-263.54247740245739</v>
      </c>
      <c r="I111">
        <v>39.327431677083503</v>
      </c>
      <c r="J111">
        <v>22.822033732322399</v>
      </c>
      <c r="K111">
        <v>7.2726211460518897</v>
      </c>
      <c r="L111">
        <v>3.0906462798210804E-5</v>
      </c>
      <c r="M111">
        <v>1.799663114435007E-6</v>
      </c>
      <c r="N111" s="1">
        <v>-2.6170638537790099E-7</v>
      </c>
      <c r="O111" s="1">
        <v>6.3648063921555504E-11</v>
      </c>
      <c r="P111" s="1">
        <v>9.1769997827130497E-10</v>
      </c>
      <c r="Q111">
        <v>64.522317241573305</v>
      </c>
      <c r="S111">
        <v>21.8601972666515</v>
      </c>
      <c r="AA111">
        <v>2.9794859237648899</v>
      </c>
      <c r="AB111">
        <v>8.7587964351657099</v>
      </c>
      <c r="AC111">
        <v>1.87920313284451</v>
      </c>
      <c r="AJ111">
        <v>0.75236804038201399</v>
      </c>
      <c r="AK111">
        <v>0.141428857937311</v>
      </c>
      <c r="AL111">
        <v>0.106203101680673</v>
      </c>
    </row>
    <row r="112" spans="1:38" x14ac:dyDescent="0.2">
      <c r="A112">
        <v>104</v>
      </c>
      <c r="B112">
        <v>754</v>
      </c>
      <c r="C112">
        <v>150</v>
      </c>
      <c r="D112">
        <v>0.43427006766295001</v>
      </c>
      <c r="E112">
        <v>35.141819863861301</v>
      </c>
      <c r="F112">
        <v>2.5203298982160001</v>
      </c>
      <c r="G112">
        <v>-556.197603623144</v>
      </c>
      <c r="H112">
        <v>-481.50255547031952</v>
      </c>
      <c r="I112">
        <v>72.720681646131894</v>
      </c>
      <c r="J112">
        <v>41.768757222172198</v>
      </c>
      <c r="K112">
        <v>13.9433412620848</v>
      </c>
      <c r="L112">
        <v>2.8393721975130322E-5</v>
      </c>
      <c r="M112">
        <v>1.7987673069038685E-6</v>
      </c>
      <c r="N112" s="1">
        <v>-2.1247321999704799E-7</v>
      </c>
      <c r="O112" s="1">
        <v>1.3309342971289399E-10</v>
      </c>
      <c r="P112" s="1">
        <v>8.9566281872461895E-10</v>
      </c>
      <c r="Q112">
        <v>65.952004641270406</v>
      </c>
      <c r="S112">
        <v>19.041204061121199</v>
      </c>
      <c r="AA112">
        <v>0.32018965538025301</v>
      </c>
      <c r="AB112">
        <v>4.5544209661984603</v>
      </c>
      <c r="AC112">
        <v>10.132180676029501</v>
      </c>
      <c r="AJ112">
        <v>0.39959505953880498</v>
      </c>
      <c r="AK112">
        <v>1.5524049793853001E-2</v>
      </c>
      <c r="AL112">
        <v>0.58488089066734095</v>
      </c>
    </row>
    <row r="113" spans="1:38" x14ac:dyDescent="0.2">
      <c r="A113">
        <v>105</v>
      </c>
      <c r="B113">
        <v>752</v>
      </c>
      <c r="C113">
        <v>150</v>
      </c>
      <c r="D113">
        <v>0.43302980051699702</v>
      </c>
      <c r="E113">
        <v>19.019906089881101</v>
      </c>
      <c r="F113">
        <v>2.5747756556813601</v>
      </c>
      <c r="G113">
        <v>-308.70287763382248</v>
      </c>
      <c r="H113">
        <v>-267.79318089447258</v>
      </c>
      <c r="I113">
        <v>39.906059346778399</v>
      </c>
      <c r="J113">
        <v>23.200324642663599</v>
      </c>
      <c r="K113">
        <v>7.3870148833793801</v>
      </c>
      <c r="L113">
        <v>3.098464222296761E-5</v>
      </c>
      <c r="M113">
        <v>1.7998572032038565E-6</v>
      </c>
      <c r="N113" s="1">
        <v>-2.8333100300090799E-7</v>
      </c>
      <c r="O113" s="1">
        <v>6.4486717484914497E-11</v>
      </c>
      <c r="P113" s="1">
        <v>9.8252974438325901E-10</v>
      </c>
      <c r="Q113">
        <v>64.511047947937598</v>
      </c>
      <c r="S113">
        <v>21.8726609849951</v>
      </c>
      <c r="AA113">
        <v>2.9923981546254499</v>
      </c>
      <c r="AB113">
        <v>8.76635867656565</v>
      </c>
      <c r="AC113">
        <v>1.85753423587611</v>
      </c>
      <c r="AJ113">
        <v>0.75298910246371797</v>
      </c>
      <c r="AK113">
        <v>0.14203638932321999</v>
      </c>
      <c r="AL113">
        <v>0.10497450821305999</v>
      </c>
    </row>
    <row r="114" spans="1:38" x14ac:dyDescent="0.2">
      <c r="A114">
        <v>105</v>
      </c>
      <c r="B114">
        <v>752</v>
      </c>
      <c r="C114">
        <v>150</v>
      </c>
      <c r="D114">
        <v>0.43302980051699702</v>
      </c>
      <c r="E114">
        <v>35.830025244828498</v>
      </c>
      <c r="F114">
        <v>2.52035257549672</v>
      </c>
      <c r="G114">
        <v>-566.86454647872858</v>
      </c>
      <c r="H114">
        <v>-490.95247899598473</v>
      </c>
      <c r="I114">
        <v>74.049717097735595</v>
      </c>
      <c r="J114">
        <v>42.591182679048302</v>
      </c>
      <c r="K114">
        <v>14.2162749740547</v>
      </c>
      <c r="L114">
        <v>2.8407154178838808E-5</v>
      </c>
      <c r="M114">
        <v>1.7987919332321924E-6</v>
      </c>
      <c r="N114" s="1">
        <v>-2.3140573873824901E-7</v>
      </c>
      <c r="O114" s="1">
        <v>1.3561426042457499E-10</v>
      </c>
      <c r="P114" s="1">
        <v>9.55706247826419E-10</v>
      </c>
      <c r="Q114">
        <v>65.948479927897196</v>
      </c>
      <c r="S114">
        <v>19.033536733715099</v>
      </c>
      <c r="AA114">
        <v>0.31468647544280298</v>
      </c>
      <c r="AB114">
        <v>4.5264654358182499</v>
      </c>
      <c r="AC114">
        <v>10.176831427126499</v>
      </c>
      <c r="AJ114">
        <v>0.39719874585915099</v>
      </c>
      <c r="AK114">
        <v>1.5259402502442201E-2</v>
      </c>
      <c r="AL114">
        <v>0.587541851638406</v>
      </c>
    </row>
    <row r="115" spans="1:38" x14ac:dyDescent="0.2">
      <c r="A115">
        <v>106</v>
      </c>
      <c r="B115">
        <v>750</v>
      </c>
      <c r="C115">
        <v>150</v>
      </c>
      <c r="D115">
        <v>0.43178468455260599</v>
      </c>
      <c r="E115">
        <v>19.260658772823799</v>
      </c>
      <c r="F115">
        <v>2.5750895825312399</v>
      </c>
      <c r="G115">
        <v>-312.5484365452532</v>
      </c>
      <c r="H115">
        <v>-271.24878804643055</v>
      </c>
      <c r="I115">
        <v>40.365194251891303</v>
      </c>
      <c r="J115">
        <v>23.511597079764201</v>
      </c>
      <c r="K115">
        <v>7.4796072740471704</v>
      </c>
      <c r="L115">
        <v>3.1070103375217802E-5</v>
      </c>
      <c r="M115">
        <v>1.8001736413134705E-6</v>
      </c>
      <c r="N115" s="1">
        <v>-3.0586950575280501E-7</v>
      </c>
      <c r="O115" s="1">
        <v>6.5125534037975402E-11</v>
      </c>
      <c r="P115" s="1">
        <v>1.04940850378581E-9</v>
      </c>
      <c r="Q115">
        <v>64.504675234266401</v>
      </c>
      <c r="S115">
        <v>21.881359538355301</v>
      </c>
      <c r="AA115">
        <v>3.0010615358282502</v>
      </c>
      <c r="AB115">
        <v>8.7749618143633104</v>
      </c>
      <c r="AC115">
        <v>1.83794187718672</v>
      </c>
      <c r="AJ115">
        <v>0.75369569030194905</v>
      </c>
      <c r="AK115">
        <v>0.14244148333742199</v>
      </c>
      <c r="AL115">
        <v>0.103862826360628</v>
      </c>
    </row>
    <row r="116" spans="1:38" x14ac:dyDescent="0.2">
      <c r="A116">
        <v>106</v>
      </c>
      <c r="B116">
        <v>750</v>
      </c>
      <c r="C116">
        <v>150</v>
      </c>
      <c r="D116">
        <v>0.43178468455260599</v>
      </c>
      <c r="E116">
        <v>36.312496969222202</v>
      </c>
      <c r="F116">
        <v>2.5203807694601701</v>
      </c>
      <c r="G116">
        <v>-574.27575924576411</v>
      </c>
      <c r="H116">
        <v>-497.58933913543353</v>
      </c>
      <c r="I116">
        <v>74.951297571549105</v>
      </c>
      <c r="J116">
        <v>43.170756417562203</v>
      </c>
      <c r="K116">
        <v>14.4075440541469</v>
      </c>
      <c r="L116">
        <v>2.8424393818459412E-5</v>
      </c>
      <c r="M116">
        <v>1.798849807623683E-6</v>
      </c>
      <c r="N116" s="1">
        <v>-2.5061948301466202E-7</v>
      </c>
      <c r="O116" s="1">
        <v>1.37342280900385E-10</v>
      </c>
      <c r="P116" s="1">
        <v>1.0148338790761499E-9</v>
      </c>
      <c r="Q116">
        <v>65.945725908946301</v>
      </c>
      <c r="S116">
        <v>19.026170545555502</v>
      </c>
      <c r="AA116">
        <v>0.30925190745974201</v>
      </c>
      <c r="AB116">
        <v>4.5010168323205297</v>
      </c>
      <c r="AC116">
        <v>10.2178348057178</v>
      </c>
      <c r="AJ116">
        <v>0.395016734204923</v>
      </c>
      <c r="AK116">
        <v>1.4997816458546901E-2</v>
      </c>
      <c r="AL116">
        <v>0.58998544933652897</v>
      </c>
    </row>
    <row r="117" spans="1:38" x14ac:dyDescent="0.2">
      <c r="A117">
        <v>107</v>
      </c>
      <c r="B117">
        <v>748</v>
      </c>
      <c r="C117">
        <v>150</v>
      </c>
      <c r="D117">
        <v>0.43053469127944</v>
      </c>
      <c r="E117">
        <v>19.466205775612298</v>
      </c>
      <c r="F117">
        <v>2.5753735330773901</v>
      </c>
      <c r="G117">
        <v>-315.81990247967582</v>
      </c>
      <c r="H117">
        <v>-274.20850904289625</v>
      </c>
      <c r="I117">
        <v>40.749540651990003</v>
      </c>
      <c r="J117">
        <v>23.781710156316699</v>
      </c>
      <c r="K117">
        <v>7.5585951030379404</v>
      </c>
      <c r="L117">
        <v>3.1162334069836746E-5</v>
      </c>
      <c r="M117">
        <v>1.8005722186857043E-6</v>
      </c>
      <c r="N117" s="1">
        <v>-3.2964495143820799E-7</v>
      </c>
      <c r="O117" s="1">
        <v>6.5634383046175497E-11</v>
      </c>
      <c r="P117" s="1">
        <v>1.11943829505915E-9</v>
      </c>
      <c r="Q117">
        <v>64.501322805935203</v>
      </c>
      <c r="S117">
        <v>21.887730932978201</v>
      </c>
      <c r="AA117">
        <v>3.0071002449505202</v>
      </c>
      <c r="AB117">
        <v>8.7841945469192204</v>
      </c>
      <c r="AC117">
        <v>1.81965146921675</v>
      </c>
      <c r="AJ117">
        <v>0.75445397291472505</v>
      </c>
      <c r="AK117">
        <v>0.1427215325407</v>
      </c>
      <c r="AL117">
        <v>0.102824494544574</v>
      </c>
    </row>
    <row r="118" spans="1:38" x14ac:dyDescent="0.2">
      <c r="A118">
        <v>107</v>
      </c>
      <c r="B118">
        <v>748</v>
      </c>
      <c r="C118">
        <v>150</v>
      </c>
      <c r="D118">
        <v>0.43053469127944</v>
      </c>
      <c r="E118">
        <v>36.668203118188799</v>
      </c>
      <c r="F118">
        <v>2.5204130356666301</v>
      </c>
      <c r="G118">
        <v>-579.68121282864865</v>
      </c>
      <c r="H118">
        <v>-502.49303517740424</v>
      </c>
      <c r="I118">
        <v>75.589460560392098</v>
      </c>
      <c r="J118">
        <v>43.601159869619103</v>
      </c>
      <c r="K118">
        <v>14.5484897115247</v>
      </c>
      <c r="L118">
        <v>2.8444860318626063E-5</v>
      </c>
      <c r="M118">
        <v>1.7989300788789617E-6</v>
      </c>
      <c r="N118" s="1">
        <v>-2.7048632781838402E-7</v>
      </c>
      <c r="O118" s="1">
        <v>1.38577878529898E-10</v>
      </c>
      <c r="P118" s="1">
        <v>1.0747376336661401E-9</v>
      </c>
      <c r="Q118">
        <v>65.943406469747103</v>
      </c>
      <c r="S118">
        <v>19.019015813064101</v>
      </c>
      <c r="AA118">
        <v>0.30389038932415302</v>
      </c>
      <c r="AB118">
        <v>4.47709102502363</v>
      </c>
      <c r="AC118">
        <v>10.2565963028408</v>
      </c>
      <c r="AJ118">
        <v>0.39296477704878302</v>
      </c>
      <c r="AK118">
        <v>1.47395917986831E-2</v>
      </c>
      <c r="AL118">
        <v>0.59229563115253303</v>
      </c>
    </row>
    <row r="119" spans="1:38" x14ac:dyDescent="0.2">
      <c r="A119">
        <v>109</v>
      </c>
      <c r="B119">
        <v>788</v>
      </c>
      <c r="C119">
        <v>125</v>
      </c>
      <c r="D119">
        <v>0.48055458700466802</v>
      </c>
      <c r="E119">
        <v>0.142896233781035</v>
      </c>
      <c r="F119">
        <v>2.5745954186866</v>
      </c>
      <c r="G119">
        <v>-2.3347317700239474</v>
      </c>
      <c r="H119">
        <v>-2.0102390233655703</v>
      </c>
      <c r="I119">
        <v>0.30579347562397002</v>
      </c>
      <c r="J119">
        <v>0.17333761059931499</v>
      </c>
      <c r="K119">
        <v>5.5502403501491403E-2</v>
      </c>
      <c r="L119">
        <v>3.0137107279834233E-5</v>
      </c>
      <c r="M119">
        <v>1.7933186168290625E-6</v>
      </c>
      <c r="N119" s="1">
        <v>-6.8797181199946496E-10</v>
      </c>
      <c r="O119" s="1">
        <v>4.9361213758941202E-13</v>
      </c>
      <c r="P119" s="1">
        <v>3.2014196855941001E-12</v>
      </c>
      <c r="Q119">
        <v>64.319342722828097</v>
      </c>
      <c r="S119">
        <v>22.101150775618098</v>
      </c>
      <c r="AA119">
        <v>3.2256363649386999</v>
      </c>
      <c r="AB119">
        <v>8.9381695530500505</v>
      </c>
      <c r="AC119">
        <v>1.4157005835649901</v>
      </c>
      <c r="AJ119">
        <v>0.76708768919107595</v>
      </c>
      <c r="AK119">
        <v>0.152975760544592</v>
      </c>
      <c r="AL119">
        <v>7.99365502643304E-2</v>
      </c>
    </row>
    <row r="120" spans="1:38" x14ac:dyDescent="0.2">
      <c r="A120">
        <v>110</v>
      </c>
      <c r="B120">
        <v>786</v>
      </c>
      <c r="C120">
        <v>125</v>
      </c>
      <c r="D120">
        <v>0.47944153330501299</v>
      </c>
      <c r="E120">
        <v>0.78878015737733898</v>
      </c>
      <c r="F120">
        <v>2.5738506069827398</v>
      </c>
      <c r="G120">
        <v>-12.882389301173252</v>
      </c>
      <c r="H120">
        <v>-11.096220594593367</v>
      </c>
      <c r="I120">
        <v>1.68641713315383</v>
      </c>
      <c r="J120">
        <v>0.95700739598276996</v>
      </c>
      <c r="K120">
        <v>0.306459184242245</v>
      </c>
      <c r="L120">
        <v>3.020314270715598E-5</v>
      </c>
      <c r="M120">
        <v>1.7955179881778058E-6</v>
      </c>
      <c r="N120" s="1">
        <v>-4.0679287248223998E-9</v>
      </c>
      <c r="O120" s="1">
        <v>2.72719954412344E-12</v>
      </c>
      <c r="P120" s="1">
        <v>1.84638282193946E-11</v>
      </c>
      <c r="Q120">
        <v>64.409059953618595</v>
      </c>
      <c r="S120">
        <v>22.031398532920601</v>
      </c>
      <c r="AA120">
        <v>3.1471557612156</v>
      </c>
      <c r="AB120">
        <v>8.9552350187792999</v>
      </c>
      <c r="AC120">
        <v>1.45715073346582</v>
      </c>
      <c r="AJ120">
        <v>0.76848841481651597</v>
      </c>
      <c r="AK120">
        <v>0.149241417422498</v>
      </c>
      <c r="AL120">
        <v>8.2270167760984503E-2</v>
      </c>
    </row>
    <row r="121" spans="1:38" x14ac:dyDescent="0.2">
      <c r="A121">
        <v>111</v>
      </c>
      <c r="B121">
        <v>784</v>
      </c>
      <c r="C121">
        <v>125</v>
      </c>
      <c r="D121">
        <v>0.47832426807926898</v>
      </c>
      <c r="E121">
        <v>1.4355645640416499</v>
      </c>
      <c r="F121">
        <v>2.5731227697159702</v>
      </c>
      <c r="G121">
        <v>-23.436157875929656</v>
      </c>
      <c r="H121">
        <v>-20.194517051900394</v>
      </c>
      <c r="I121">
        <v>3.06639627680959</v>
      </c>
      <c r="J121">
        <v>1.74210309229564</v>
      </c>
      <c r="K121">
        <v>0.55790752813559397</v>
      </c>
      <c r="L121">
        <v>3.0268660521005339E-5</v>
      </c>
      <c r="M121">
        <v>1.797635864777931E-6</v>
      </c>
      <c r="N121" s="1">
        <v>-7.9208253777708404E-9</v>
      </c>
      <c r="O121" s="1">
        <v>4.9675344841339304E-12</v>
      </c>
      <c r="P121" s="1">
        <v>3.5117902479847003E-11</v>
      </c>
      <c r="Q121">
        <v>64.495444285151606</v>
      </c>
      <c r="S121">
        <v>21.963671570315601</v>
      </c>
      <c r="AA121">
        <v>3.0711237207840498</v>
      </c>
      <c r="AB121">
        <v>8.9701828322830401</v>
      </c>
      <c r="AC121">
        <v>1.49957759146559</v>
      </c>
      <c r="AJ121">
        <v>0.76971525370188998</v>
      </c>
      <c r="AK121">
        <v>0.14562532276260901</v>
      </c>
      <c r="AL121">
        <v>8.4659423535500503E-2</v>
      </c>
    </row>
    <row r="122" spans="1:38" x14ac:dyDescent="0.2">
      <c r="A122">
        <v>112</v>
      </c>
      <c r="B122">
        <v>782</v>
      </c>
      <c r="C122">
        <v>125</v>
      </c>
      <c r="D122">
        <v>0.47720276737904699</v>
      </c>
      <c r="E122">
        <v>2.0827258233236101</v>
      </c>
      <c r="F122">
        <v>2.5724116196813198</v>
      </c>
      <c r="G122">
        <v>-33.987407382348806</v>
      </c>
      <c r="H122">
        <v>-29.297726020381383</v>
      </c>
      <c r="I122">
        <v>4.4445636752759503</v>
      </c>
      <c r="J122">
        <v>2.5280166415558298</v>
      </c>
      <c r="K122">
        <v>0.80963940894561204</v>
      </c>
      <c r="L122">
        <v>3.0333761112658666E-5</v>
      </c>
      <c r="M122">
        <v>1.7996735566418148E-6</v>
      </c>
      <c r="N122" s="1">
        <v>-1.22809824095293E-8</v>
      </c>
      <c r="O122" s="1">
        <v>7.2122056653541196E-12</v>
      </c>
      <c r="P122" s="1">
        <v>5.32575056840425E-11</v>
      </c>
      <c r="Q122">
        <v>64.578535741517399</v>
      </c>
      <c r="S122">
        <v>21.897941461223802</v>
      </c>
      <c r="AA122">
        <v>2.9975074523508898</v>
      </c>
      <c r="AB122">
        <v>8.9830276611269007</v>
      </c>
      <c r="AC122">
        <v>1.54298768378093</v>
      </c>
      <c r="AJ122">
        <v>0.770769485154711</v>
      </c>
      <c r="AK122">
        <v>0.142125772228369</v>
      </c>
      <c r="AL122">
        <v>8.71047426169195E-2</v>
      </c>
    </row>
    <row r="123" spans="1:38" x14ac:dyDescent="0.2">
      <c r="A123">
        <v>113</v>
      </c>
      <c r="B123">
        <v>780</v>
      </c>
      <c r="C123">
        <v>125</v>
      </c>
      <c r="D123">
        <v>0.47607700707401701</v>
      </c>
      <c r="E123">
        <v>2.7297539634754302</v>
      </c>
      <c r="F123">
        <v>2.5717167834069401</v>
      </c>
      <c r="G123">
        <v>-44.527743604047771</v>
      </c>
      <c r="H123">
        <v>-38.398635913334978</v>
      </c>
      <c r="I123">
        <v>5.8197860615418398</v>
      </c>
      <c r="J123">
        <v>3.3141591130484702</v>
      </c>
      <c r="K123">
        <v>1.06145201566835</v>
      </c>
      <c r="L123">
        <v>3.0398555406191246E-5</v>
      </c>
      <c r="M123">
        <v>1.8016326323927006E-6</v>
      </c>
      <c r="N123" s="1">
        <v>-1.7185214798398201E-8</v>
      </c>
      <c r="O123" s="1">
        <v>9.4588260829767698E-12</v>
      </c>
      <c r="P123" s="1">
        <v>7.2983515629471104E-11</v>
      </c>
      <c r="Q123">
        <v>64.658385063101207</v>
      </c>
      <c r="S123">
        <v>21.8341720119152</v>
      </c>
      <c r="AA123">
        <v>2.9262652561429099</v>
      </c>
      <c r="AB123">
        <v>8.9937876909704109</v>
      </c>
      <c r="AC123">
        <v>1.5873899778701499</v>
      </c>
      <c r="AJ123">
        <v>0.77165266555577405</v>
      </c>
      <c r="AK123">
        <v>0.138740645468962</v>
      </c>
      <c r="AL123">
        <v>8.9606688975262694E-2</v>
      </c>
    </row>
    <row r="124" spans="1:38" x14ac:dyDescent="0.2">
      <c r="A124">
        <v>114</v>
      </c>
      <c r="B124">
        <v>778</v>
      </c>
      <c r="C124">
        <v>125</v>
      </c>
      <c r="D124">
        <v>0.47494696285021398</v>
      </c>
      <c r="E124">
        <v>3.7446756217730899</v>
      </c>
      <c r="F124">
        <v>2.57061277387439</v>
      </c>
      <c r="G124">
        <v>-61.050758590087618</v>
      </c>
      <c r="H124">
        <v>-52.666585562828082</v>
      </c>
      <c r="I124">
        <v>7.9761908645383803</v>
      </c>
      <c r="J124">
        <v>4.5472701133848803</v>
      </c>
      <c r="K124">
        <v>1.45672489448076</v>
      </c>
      <c r="L124">
        <v>3.0467044317967548E-5</v>
      </c>
      <c r="M124">
        <v>1.8040530296890433E-6</v>
      </c>
      <c r="N124" s="1">
        <v>-2.5118359360738599E-8</v>
      </c>
      <c r="O124" s="1">
        <v>1.29930570649483E-11</v>
      </c>
      <c r="P124" s="1">
        <v>1.0461287937135799E-10</v>
      </c>
      <c r="Q124">
        <v>64.764189757613806</v>
      </c>
      <c r="S124">
        <v>21.744395195158599</v>
      </c>
      <c r="AA124">
        <v>2.8275103840560001</v>
      </c>
      <c r="AB124">
        <v>8.9942061827607205</v>
      </c>
      <c r="AC124">
        <v>1.66969848041078</v>
      </c>
      <c r="AJ124">
        <v>0.77168860265764105</v>
      </c>
      <c r="AK124">
        <v>0.13405846608651401</v>
      </c>
      <c r="AL124">
        <v>9.4252931255843803E-2</v>
      </c>
    </row>
    <row r="125" spans="1:38" x14ac:dyDescent="0.2">
      <c r="A125">
        <v>115</v>
      </c>
      <c r="B125">
        <v>776</v>
      </c>
      <c r="C125">
        <v>125</v>
      </c>
      <c r="D125">
        <v>0.47381261020826598</v>
      </c>
      <c r="E125">
        <v>5.57989815678705</v>
      </c>
      <c r="F125">
        <v>2.56851125982055</v>
      </c>
      <c r="G125">
        <v>-90.894820754104089</v>
      </c>
      <c r="H125">
        <v>-78.43641203063315</v>
      </c>
      <c r="I125">
        <v>11.8747640694571</v>
      </c>
      <c r="J125">
        <v>6.7761593272255203</v>
      </c>
      <c r="K125">
        <v>2.17242503238116</v>
      </c>
      <c r="L125">
        <v>3.0535085413830304E-5</v>
      </c>
      <c r="M125">
        <v>1.8074064969935952E-6</v>
      </c>
      <c r="N125" s="1">
        <v>-3.9678523510699601E-8</v>
      </c>
      <c r="O125" s="1">
        <v>1.94211037392592E-11</v>
      </c>
      <c r="P125" s="1">
        <v>1.6238707512729301E-10</v>
      </c>
      <c r="Q125">
        <v>64.927170069494395</v>
      </c>
      <c r="S125">
        <v>21.593889999776401</v>
      </c>
      <c r="AA125">
        <v>2.6653128291219601</v>
      </c>
      <c r="AB125">
        <v>8.9628301324266602</v>
      </c>
      <c r="AC125">
        <v>1.85079696918051</v>
      </c>
      <c r="AJ125">
        <v>0.76911911970689695</v>
      </c>
      <c r="AK125">
        <v>0.126388460015842</v>
      </c>
      <c r="AL125">
        <v>0.10449242027726</v>
      </c>
    </row>
    <row r="126" spans="1:38" x14ac:dyDescent="0.2">
      <c r="A126">
        <v>116</v>
      </c>
      <c r="B126">
        <v>774</v>
      </c>
      <c r="C126">
        <v>125</v>
      </c>
      <c r="D126">
        <v>0.47267392446163797</v>
      </c>
      <c r="E126">
        <v>7.5163623754784297</v>
      </c>
      <c r="F126">
        <v>2.56615950199736</v>
      </c>
      <c r="G126">
        <v>-122.32074543178405</v>
      </c>
      <c r="H126">
        <v>-105.58641217328591</v>
      </c>
      <c r="I126">
        <v>15.980836803226</v>
      </c>
      <c r="J126">
        <v>9.1271581745181205</v>
      </c>
      <c r="K126">
        <v>2.92903164032791</v>
      </c>
      <c r="L126">
        <v>3.0586590826879942E-5</v>
      </c>
      <c r="M126">
        <v>1.8104868828423871E-6</v>
      </c>
      <c r="N126" s="1">
        <v>-5.64203158810184E-8</v>
      </c>
      <c r="O126" s="1">
        <v>2.6251174891088498E-11</v>
      </c>
      <c r="P126" s="1">
        <v>2.2730246866691301E-10</v>
      </c>
      <c r="Q126">
        <v>65.087413694275099</v>
      </c>
      <c r="S126">
        <v>21.4354835524089</v>
      </c>
      <c r="AA126">
        <v>2.4972352289195801</v>
      </c>
      <c r="AB126">
        <v>8.9046413623135603</v>
      </c>
      <c r="AC126">
        <v>2.0752261620827599</v>
      </c>
      <c r="AJ126">
        <v>0.76434951338470303</v>
      </c>
      <c r="AK126">
        <v>0.118452928971197</v>
      </c>
      <c r="AL126">
        <v>0.117197557644098</v>
      </c>
    </row>
    <row r="127" spans="1:38" x14ac:dyDescent="0.2">
      <c r="A127">
        <v>117</v>
      </c>
      <c r="B127">
        <v>772</v>
      </c>
      <c r="C127">
        <v>125</v>
      </c>
      <c r="D127">
        <v>0.47153088073482102</v>
      </c>
      <c r="E127">
        <v>9.6471440025541604</v>
      </c>
      <c r="F127">
        <v>2.56333164415254</v>
      </c>
      <c r="G127">
        <v>-156.80987625862426</v>
      </c>
      <c r="H127">
        <v>-135.39449522971387</v>
      </c>
      <c r="I127">
        <v>20.4902464037797</v>
      </c>
      <c r="J127">
        <v>11.7114113440214</v>
      </c>
      <c r="K127">
        <v>3.7635176956369101</v>
      </c>
      <c r="L127">
        <v>3.0612511754597924E-5</v>
      </c>
      <c r="M127">
        <v>1.8132748673842559E-6</v>
      </c>
      <c r="N127" s="1">
        <v>-7.5946778066103696E-8</v>
      </c>
      <c r="O127" s="1">
        <v>3.3833362958650602E-11</v>
      </c>
      <c r="P127" s="1">
        <v>3.0184724195330901E-10</v>
      </c>
      <c r="Q127">
        <v>65.250203670518999</v>
      </c>
      <c r="S127">
        <v>21.258678520577401</v>
      </c>
      <c r="AA127">
        <v>2.31338445184495</v>
      </c>
      <c r="AB127">
        <v>8.8038927187548008</v>
      </c>
      <c r="AC127">
        <v>2.3738406383037201</v>
      </c>
      <c r="AJ127">
        <v>0.756083020545954</v>
      </c>
      <c r="AK127">
        <v>0.109787613850376</v>
      </c>
      <c r="AL127">
        <v>0.134129365603668</v>
      </c>
    </row>
    <row r="128" spans="1:38" x14ac:dyDescent="0.2">
      <c r="A128">
        <v>118</v>
      </c>
      <c r="B128">
        <v>770</v>
      </c>
      <c r="C128">
        <v>125</v>
      </c>
      <c r="D128">
        <v>0.47038345396155901</v>
      </c>
      <c r="E128">
        <v>14.523337645996801</v>
      </c>
      <c r="F128">
        <v>2.5679794748012701</v>
      </c>
      <c r="G128">
        <v>-236.17808332384206</v>
      </c>
      <c r="H128">
        <v>-204.05339566636101</v>
      </c>
      <c r="I128">
        <v>30.795846865245601</v>
      </c>
      <c r="J128">
        <v>17.631259106161199</v>
      </c>
      <c r="K128">
        <v>5.6555505168594502</v>
      </c>
      <c r="L128">
        <v>3.0483748485490817E-5</v>
      </c>
      <c r="M128">
        <v>1.8047031187942282E-6</v>
      </c>
      <c r="N128" s="1">
        <v>-1.2028393408873299E-7</v>
      </c>
      <c r="O128" s="1">
        <v>5.0457945156434403E-11</v>
      </c>
      <c r="P128" s="1">
        <v>4.72020392243232E-10</v>
      </c>
      <c r="Q128">
        <v>64.834568595086395</v>
      </c>
      <c r="S128">
        <v>21.5852752472912</v>
      </c>
      <c r="AA128">
        <v>2.6798128582235301</v>
      </c>
      <c r="AB128">
        <v>8.7338880181671001</v>
      </c>
      <c r="AC128">
        <v>2.1664552812316402</v>
      </c>
      <c r="AJ128">
        <v>0.75032620617490198</v>
      </c>
      <c r="AK128">
        <v>0.12722069175199899</v>
      </c>
      <c r="AL128">
        <v>0.12245310207309799</v>
      </c>
    </row>
    <row r="129" spans="1:38" x14ac:dyDescent="0.2">
      <c r="A129">
        <v>118</v>
      </c>
      <c r="B129">
        <v>770</v>
      </c>
      <c r="C129">
        <v>125</v>
      </c>
      <c r="D129">
        <v>0.47038345396155901</v>
      </c>
      <c r="E129">
        <v>21.724338460891001</v>
      </c>
      <c r="F129">
        <v>2.5194820747253801</v>
      </c>
      <c r="G129">
        <v>-345.4109009724304</v>
      </c>
      <c r="H129">
        <v>-297.98961853633278</v>
      </c>
      <c r="I129">
        <v>45.459696530793799</v>
      </c>
      <c r="J129">
        <v>25.836967187489801</v>
      </c>
      <c r="K129">
        <v>8.6225413861136104</v>
      </c>
      <c r="L129">
        <v>2.8434807066553191E-5</v>
      </c>
      <c r="M129">
        <v>1.8021386051876214E-6</v>
      </c>
      <c r="N129" s="1">
        <v>-7.8243028643499099E-8</v>
      </c>
      <c r="O129" s="1">
        <v>8.2445696737930403E-11</v>
      </c>
      <c r="P129" s="1">
        <v>4.0006867513489701E-10</v>
      </c>
      <c r="Q129">
        <v>66.029306988664104</v>
      </c>
      <c r="S129">
        <v>19.125934014431198</v>
      </c>
      <c r="AA129">
        <v>0.372055288452808</v>
      </c>
      <c r="AB129">
        <v>4.9488156908265299</v>
      </c>
      <c r="AC129">
        <v>9.5238880176252501</v>
      </c>
      <c r="AJ129">
        <v>0.43332989894389301</v>
      </c>
      <c r="AK129">
        <v>1.8002617256679902E-2</v>
      </c>
      <c r="AL129">
        <v>0.54866748379942598</v>
      </c>
    </row>
    <row r="130" spans="1:38" x14ac:dyDescent="0.2">
      <c r="A130">
        <v>119</v>
      </c>
      <c r="B130">
        <v>768</v>
      </c>
      <c r="C130">
        <v>125</v>
      </c>
      <c r="D130">
        <v>0.46923161888296799</v>
      </c>
      <c r="E130">
        <v>16.497508695146799</v>
      </c>
      <c r="F130">
        <v>2.5702187963312602</v>
      </c>
      <c r="G130">
        <v>-268.31059292275017</v>
      </c>
      <c r="H130">
        <v>-231.93881915312173</v>
      </c>
      <c r="I130">
        <v>34.934230197021002</v>
      </c>
      <c r="J130">
        <v>20.032708123514102</v>
      </c>
      <c r="K130">
        <v>6.4187176277347904</v>
      </c>
      <c r="L130">
        <v>3.0456169054361399E-5</v>
      </c>
      <c r="M130">
        <v>1.8009993866048744E-6</v>
      </c>
      <c r="N130" s="1">
        <v>-1.44853054415235E-7</v>
      </c>
      <c r="O130" s="1">
        <v>5.7019837325338701E-11</v>
      </c>
      <c r="P130" s="1">
        <v>5.6023817063027703E-10</v>
      </c>
      <c r="Q130">
        <v>64.6462316162512</v>
      </c>
      <c r="S130">
        <v>21.736496353345299</v>
      </c>
      <c r="AA130">
        <v>2.84851767837822</v>
      </c>
      <c r="AB130">
        <v>8.7106349486642394</v>
      </c>
      <c r="AC130">
        <v>2.0581194033608599</v>
      </c>
      <c r="AJ130">
        <v>0.748412374835426</v>
      </c>
      <c r="AK130">
        <v>0.13524488715853999</v>
      </c>
      <c r="AL130">
        <v>0.11634273800603299</v>
      </c>
    </row>
    <row r="131" spans="1:38" x14ac:dyDescent="0.2">
      <c r="A131">
        <v>119</v>
      </c>
      <c r="B131">
        <v>768</v>
      </c>
      <c r="C131">
        <v>125</v>
      </c>
      <c r="D131">
        <v>0.46923161888296799</v>
      </c>
      <c r="E131">
        <v>29.635617890503202</v>
      </c>
      <c r="F131">
        <v>2.5192816122060102</v>
      </c>
      <c r="G131">
        <v>-470.79928913996866</v>
      </c>
      <c r="H131">
        <v>-406.34835399812948</v>
      </c>
      <c r="I131">
        <v>61.903601922719297</v>
      </c>
      <c r="J131">
        <v>35.225583919305102</v>
      </c>
      <c r="K131">
        <v>11.763519309202101</v>
      </c>
      <c r="L131">
        <v>2.8364844806536045E-5</v>
      </c>
      <c r="M131">
        <v>1.8009690600542541E-6</v>
      </c>
      <c r="N131" s="1">
        <v>-1.10547369375333E-7</v>
      </c>
      <c r="O131" s="1">
        <v>1.12541632992289E-10</v>
      </c>
      <c r="P131" s="1">
        <v>5.5661932213481198E-10</v>
      </c>
      <c r="Q131">
        <v>65.992533275527407</v>
      </c>
      <c r="S131">
        <v>19.107179579520999</v>
      </c>
      <c r="AA131">
        <v>0.36516333085341302</v>
      </c>
      <c r="AB131">
        <v>4.8177002534690203</v>
      </c>
      <c r="AC131">
        <v>9.7174235606291202</v>
      </c>
      <c r="AJ131">
        <v>0.42212973403756199</v>
      </c>
      <c r="AK131">
        <v>1.7680889853956199E-2</v>
      </c>
      <c r="AL131">
        <v>0.56018937610847996</v>
      </c>
    </row>
    <row r="132" spans="1:38" x14ac:dyDescent="0.2">
      <c r="A132">
        <v>120</v>
      </c>
      <c r="B132">
        <v>766</v>
      </c>
      <c r="C132">
        <v>125</v>
      </c>
      <c r="D132">
        <v>0.46807535004571499</v>
      </c>
      <c r="E132">
        <v>17.360429093775899</v>
      </c>
      <c r="F132">
        <v>2.5712713964646299</v>
      </c>
      <c r="G132">
        <v>-282.32085058696009</v>
      </c>
      <c r="H132">
        <v>-244.16640048928178</v>
      </c>
      <c r="I132">
        <v>36.716980318219903</v>
      </c>
      <c r="J132">
        <v>21.0878267018706</v>
      </c>
      <c r="K132">
        <v>6.7516906685329401</v>
      </c>
      <c r="L132">
        <v>3.0477256847278485E-5</v>
      </c>
      <c r="M132">
        <v>1.7996691577496006E-6</v>
      </c>
      <c r="N132" s="1">
        <v>-1.6208048414919301E-7</v>
      </c>
      <c r="O132" s="1">
        <v>5.98168264582069E-11</v>
      </c>
      <c r="P132" s="1">
        <v>6.1764392700463805E-10</v>
      </c>
      <c r="Q132">
        <v>64.568505955351498</v>
      </c>
      <c r="S132">
        <v>21.800694091914799</v>
      </c>
      <c r="AA132">
        <v>2.9196176904233901</v>
      </c>
      <c r="AB132">
        <v>8.7057301987678208</v>
      </c>
      <c r="AC132">
        <v>2.00545206354241</v>
      </c>
      <c r="AJ132">
        <v>0.74800806645891105</v>
      </c>
      <c r="AK132">
        <v>0.13862381744521601</v>
      </c>
      <c r="AL132">
        <v>0.113368116095871</v>
      </c>
    </row>
    <row r="133" spans="1:38" x14ac:dyDescent="0.2">
      <c r="A133">
        <v>120</v>
      </c>
      <c r="B133">
        <v>766</v>
      </c>
      <c r="C133">
        <v>125</v>
      </c>
      <c r="D133">
        <v>0.46807535004571499</v>
      </c>
      <c r="E133">
        <v>32.747713643505897</v>
      </c>
      <c r="F133">
        <v>2.5192183003805302</v>
      </c>
      <c r="G133">
        <v>-519.94713691543723</v>
      </c>
      <c r="H133">
        <v>-448.96797535188472</v>
      </c>
      <c r="I133">
        <v>68.305020029401305</v>
      </c>
      <c r="J133">
        <v>38.916335414754599</v>
      </c>
      <c r="K133">
        <v>12.999156777544499</v>
      </c>
      <c r="L133">
        <v>2.8341706515709264E-5</v>
      </c>
      <c r="M133">
        <v>1.8005527250830144E-6</v>
      </c>
      <c r="N133" s="1">
        <v>-1.2940236125218399E-7</v>
      </c>
      <c r="O133" s="1">
        <v>1.24362739463565E-10</v>
      </c>
      <c r="P133" s="1">
        <v>6.3604712739667301E-10</v>
      </c>
      <c r="Q133">
        <v>65.977455599823003</v>
      </c>
      <c r="S133">
        <v>19.095182892373899</v>
      </c>
      <c r="AA133">
        <v>0.358784110621441</v>
      </c>
      <c r="AB133">
        <v>4.7526495865627103</v>
      </c>
      <c r="AC133">
        <v>9.8159278106188594</v>
      </c>
      <c r="AJ133">
        <v>0.41656746007586198</v>
      </c>
      <c r="AK133">
        <v>1.7377749757817799E-2</v>
      </c>
      <c r="AL133">
        <v>0.56605479016631899</v>
      </c>
    </row>
    <row r="134" spans="1:38" x14ac:dyDescent="0.2">
      <c r="A134">
        <v>121</v>
      </c>
      <c r="B134">
        <v>764</v>
      </c>
      <c r="C134">
        <v>125</v>
      </c>
      <c r="D134">
        <v>0.46691462180012799</v>
      </c>
      <c r="E134">
        <v>17.8706084982832</v>
      </c>
      <c r="F134">
        <v>2.57194136379914</v>
      </c>
      <c r="G134">
        <v>-290.57559061145241</v>
      </c>
      <c r="H134">
        <v>-251.42096782912446</v>
      </c>
      <c r="I134">
        <v>37.752131111534403</v>
      </c>
      <c r="J134">
        <v>21.716372985198401</v>
      </c>
      <c r="K134">
        <v>6.9482954587602501</v>
      </c>
      <c r="L134">
        <v>3.0517173187098441E-5</v>
      </c>
      <c r="M134">
        <v>1.7991398683100647E-6</v>
      </c>
      <c r="N134" s="1">
        <v>-1.77592216714244E-7</v>
      </c>
      <c r="O134" s="1">
        <v>6.1422455145665997E-11</v>
      </c>
      <c r="P134" s="1">
        <v>6.6701682073559997E-10</v>
      </c>
      <c r="Q134">
        <v>64.527393523079397</v>
      </c>
      <c r="S134">
        <v>21.8363772422544</v>
      </c>
      <c r="AA134">
        <v>2.9586496788474999</v>
      </c>
      <c r="AB134">
        <v>8.7076613655513704</v>
      </c>
      <c r="AC134">
        <v>1.9699181902672001</v>
      </c>
      <c r="AJ134">
        <v>0.74816618112012101</v>
      </c>
      <c r="AK134">
        <v>0.140475594079082</v>
      </c>
      <c r="AL134">
        <v>0.11135822480079501</v>
      </c>
    </row>
    <row r="135" spans="1:38" x14ac:dyDescent="0.2">
      <c r="A135">
        <v>121</v>
      </c>
      <c r="B135">
        <v>764</v>
      </c>
      <c r="C135">
        <v>125</v>
      </c>
      <c r="D135">
        <v>0.46691462180012799</v>
      </c>
      <c r="E135">
        <v>34.400292904396103</v>
      </c>
      <c r="F135">
        <v>2.5191964768175898</v>
      </c>
      <c r="G135">
        <v>-545.92869855579511</v>
      </c>
      <c r="H135">
        <v>-471.61121056219082</v>
      </c>
      <c r="I135">
        <v>71.655486664035394</v>
      </c>
      <c r="J135">
        <v>40.876500349508298</v>
      </c>
      <c r="K135">
        <v>13.655263978398599</v>
      </c>
      <c r="L135">
        <v>2.8334175200631574E-5</v>
      </c>
      <c r="M135">
        <v>1.8003738628529279E-6</v>
      </c>
      <c r="N135" s="1">
        <v>-1.44945552771894E-7</v>
      </c>
      <c r="O135" s="1">
        <v>1.3061295047606099E-10</v>
      </c>
      <c r="P135" s="1">
        <v>6.9427368472077102E-10</v>
      </c>
      <c r="Q135">
        <v>65.969171501911703</v>
      </c>
      <c r="S135">
        <v>19.085343013808401</v>
      </c>
      <c r="AA135">
        <v>0.352599091049347</v>
      </c>
      <c r="AB135">
        <v>4.7083923976121103</v>
      </c>
      <c r="AC135">
        <v>9.8844939956183193</v>
      </c>
      <c r="AJ135">
        <v>0.41278108627286397</v>
      </c>
      <c r="AK135">
        <v>1.70820157729429E-2</v>
      </c>
      <c r="AL135">
        <v>0.57013689795419198</v>
      </c>
    </row>
    <row r="136" spans="1:38" x14ac:dyDescent="0.2">
      <c r="A136">
        <v>122</v>
      </c>
      <c r="B136">
        <v>762</v>
      </c>
      <c r="C136">
        <v>125</v>
      </c>
      <c r="D136">
        <v>0.46574940829831801</v>
      </c>
      <c r="E136">
        <v>18.2275722219816</v>
      </c>
      <c r="F136">
        <v>2.57244036906638</v>
      </c>
      <c r="G136">
        <v>-296.32931297654528</v>
      </c>
      <c r="H136">
        <v>-256.51501846148699</v>
      </c>
      <c r="I136">
        <v>38.462343153222498</v>
      </c>
      <c r="J136">
        <v>22.160228527768599</v>
      </c>
      <c r="K136">
        <v>7.0857122447494998</v>
      </c>
      <c r="L136">
        <v>3.0567626039803352E-5</v>
      </c>
      <c r="M136">
        <v>1.7989800933890265E-6</v>
      </c>
      <c r="N136" s="1">
        <v>-1.9290110703710299E-7</v>
      </c>
      <c r="O136" s="1">
        <v>6.2508375779063398E-11</v>
      </c>
      <c r="P136" s="1">
        <v>7.1444187600694303E-10</v>
      </c>
      <c r="Q136">
        <v>64.502834680734196</v>
      </c>
      <c r="S136">
        <v>21.8592179796632</v>
      </c>
      <c r="AA136">
        <v>2.9832239912005698</v>
      </c>
      <c r="AB136">
        <v>8.7128132647931995</v>
      </c>
      <c r="AC136">
        <v>1.94191008360872</v>
      </c>
      <c r="AJ136">
        <v>0.74858925730063197</v>
      </c>
      <c r="AK136">
        <v>0.14163866917911</v>
      </c>
      <c r="AL136">
        <v>0.109772073520257</v>
      </c>
    </row>
    <row r="137" spans="1:38" x14ac:dyDescent="0.2">
      <c r="A137">
        <v>122</v>
      </c>
      <c r="B137">
        <v>762</v>
      </c>
      <c r="C137">
        <v>125</v>
      </c>
      <c r="D137">
        <v>0.46574940829831801</v>
      </c>
      <c r="E137">
        <v>35.424017077607701</v>
      </c>
      <c r="F137">
        <v>2.5191934156907001</v>
      </c>
      <c r="G137">
        <v>-561.93302475043652</v>
      </c>
      <c r="H137">
        <v>-485.65076794118374</v>
      </c>
      <c r="I137">
        <v>73.691983586197907</v>
      </c>
      <c r="J137">
        <v>42.091801937841801</v>
      </c>
      <c r="K137">
        <v>14.0616503905458</v>
      </c>
      <c r="L137">
        <v>2.8334305995107847E-5</v>
      </c>
      <c r="M137">
        <v>1.8003009882273918E-6</v>
      </c>
      <c r="N137" s="1">
        <v>-1.5954202516541399E-7</v>
      </c>
      <c r="O137" s="1">
        <v>1.3445740405617E-10</v>
      </c>
      <c r="P137" s="1">
        <v>7.4473424126157796E-10</v>
      </c>
      <c r="Q137">
        <v>65.963834822867199</v>
      </c>
      <c r="S137">
        <v>19.076494353704099</v>
      </c>
      <c r="AA137">
        <v>0.34654409695819099</v>
      </c>
      <c r="AB137">
        <v>4.6733019816349497</v>
      </c>
      <c r="AC137">
        <v>9.9398247448354606</v>
      </c>
      <c r="AJ137">
        <v>0.40977776585595299</v>
      </c>
      <c r="AK137">
        <v>1.6791668069834599E-2</v>
      </c>
      <c r="AL137">
        <v>0.57343056607421194</v>
      </c>
    </row>
    <row r="138" spans="1:38" x14ac:dyDescent="0.2">
      <c r="A138">
        <v>123</v>
      </c>
      <c r="B138">
        <v>760</v>
      </c>
      <c r="C138">
        <v>125</v>
      </c>
      <c r="D138">
        <v>0.464579683492232</v>
      </c>
      <c r="E138">
        <v>18.504113065006099</v>
      </c>
      <c r="F138">
        <v>2.5728469702304002</v>
      </c>
      <c r="G138">
        <v>-300.76965769862784</v>
      </c>
      <c r="H138">
        <v>-260.47499219586763</v>
      </c>
      <c r="I138">
        <v>39.001757249925198</v>
      </c>
      <c r="J138">
        <v>22.507660402831501</v>
      </c>
      <c r="K138">
        <v>7.1920768234999599</v>
      </c>
      <c r="L138">
        <v>3.0625583644255069E-5</v>
      </c>
      <c r="M138">
        <v>1.7990271671050859E-6</v>
      </c>
      <c r="N138" s="1">
        <v>-2.0860085938170801E-7</v>
      </c>
      <c r="O138" s="1">
        <v>6.3318292969058402E-11</v>
      </c>
      <c r="P138" s="1">
        <v>7.6225558809279997E-10</v>
      </c>
      <c r="Q138">
        <v>64.487289244028901</v>
      </c>
      <c r="S138">
        <v>21.875077111180801</v>
      </c>
      <c r="AA138">
        <v>2.9999352522225702</v>
      </c>
      <c r="AB138">
        <v>8.7197478677096196</v>
      </c>
      <c r="AC138">
        <v>1.91795052485798</v>
      </c>
      <c r="AJ138">
        <v>0.749158958371276</v>
      </c>
      <c r="AK138">
        <v>0.14242712946717101</v>
      </c>
      <c r="AL138">
        <v>0.108413912161552</v>
      </c>
    </row>
    <row r="139" spans="1:38" x14ac:dyDescent="0.2">
      <c r="A139">
        <v>123</v>
      </c>
      <c r="B139">
        <v>760</v>
      </c>
      <c r="C139">
        <v>125</v>
      </c>
      <c r="D139">
        <v>0.464579683492232</v>
      </c>
      <c r="E139">
        <v>36.117243587921898</v>
      </c>
      <c r="F139">
        <v>2.5192010727665899</v>
      </c>
      <c r="G139">
        <v>-572.69540273276959</v>
      </c>
      <c r="H139">
        <v>-495.16978972157966</v>
      </c>
      <c r="I139">
        <v>75.038099996312198</v>
      </c>
      <c r="J139">
        <v>42.916134048639499</v>
      </c>
      <c r="K139">
        <v>14.3367847760789</v>
      </c>
      <c r="L139">
        <v>2.8339244774110151E-5</v>
      </c>
      <c r="M139">
        <v>1.8002861909297068E-6</v>
      </c>
      <c r="N139" s="1">
        <v>-1.7403591157055399E-7</v>
      </c>
      <c r="O139" s="1">
        <v>1.37033707519011E-10</v>
      </c>
      <c r="P139" s="1">
        <v>7.9223178084812796E-10</v>
      </c>
      <c r="Q139">
        <v>65.960032804947403</v>
      </c>
      <c r="S139">
        <v>19.068210780427801</v>
      </c>
      <c r="AA139">
        <v>0.34059721309292201</v>
      </c>
      <c r="AB139">
        <v>4.6431129242749298</v>
      </c>
      <c r="AC139">
        <v>9.9880462772568492</v>
      </c>
      <c r="AJ139">
        <v>0.40719309284974903</v>
      </c>
      <c r="AK139">
        <v>1.6506045454097E-2</v>
      </c>
      <c r="AL139">
        <v>0.57630086169615402</v>
      </c>
    </row>
    <row r="140" spans="1:38" x14ac:dyDescent="0.2">
      <c r="A140">
        <v>124</v>
      </c>
      <c r="B140">
        <v>758</v>
      </c>
      <c r="C140">
        <v>125</v>
      </c>
      <c r="D140">
        <v>0.46340542113174599</v>
      </c>
      <c r="E140">
        <v>18.732976674779302</v>
      </c>
      <c r="F140">
        <v>2.5731972230862898</v>
      </c>
      <c r="G140">
        <v>-304.43098194450386</v>
      </c>
      <c r="H140">
        <v>-263.76273827432436</v>
      </c>
      <c r="I140">
        <v>39.439697105347797</v>
      </c>
      <c r="J140">
        <v>22.798410008630899</v>
      </c>
      <c r="K140">
        <v>7.2800392083087004</v>
      </c>
      <c r="L140">
        <v>3.0689763777766636E-5</v>
      </c>
      <c r="M140">
        <v>1.7992060466113121E-6</v>
      </c>
      <c r="N140" s="1">
        <v>-2.25001261498799E-7</v>
      </c>
      <c r="O140" s="1">
        <v>6.3961189822251598E-11</v>
      </c>
      <c r="P140" s="1">
        <v>8.1162787657450103E-10</v>
      </c>
      <c r="Q140">
        <v>64.477271925954895</v>
      </c>
      <c r="S140">
        <v>21.886655805373099</v>
      </c>
      <c r="AA140">
        <v>3.0118251977146699</v>
      </c>
      <c r="AB140">
        <v>8.7277798636468393</v>
      </c>
      <c r="AC140">
        <v>1.8964672073104101</v>
      </c>
      <c r="AJ140">
        <v>0.74981888463377</v>
      </c>
      <c r="AK140">
        <v>0.142985876910114</v>
      </c>
      <c r="AL140">
        <v>0.10719523845611401</v>
      </c>
    </row>
    <row r="141" spans="1:38" x14ac:dyDescent="0.2">
      <c r="A141">
        <v>124</v>
      </c>
      <c r="B141">
        <v>758</v>
      </c>
      <c r="C141">
        <v>125</v>
      </c>
      <c r="D141">
        <v>0.46340542113174599</v>
      </c>
      <c r="E141">
        <v>36.613721317494203</v>
      </c>
      <c r="F141">
        <v>2.51921585411753</v>
      </c>
      <c r="G141">
        <v>-580.33807330809987</v>
      </c>
      <c r="H141">
        <v>-501.99819055955334</v>
      </c>
      <c r="I141">
        <v>75.973314016919403</v>
      </c>
      <c r="J141">
        <v>43.508115462058498</v>
      </c>
      <c r="K141">
        <v>14.5337769519237</v>
      </c>
      <c r="L141">
        <v>2.8347745738827002E-5</v>
      </c>
      <c r="M141">
        <v>1.8003078484682142E-6</v>
      </c>
      <c r="N141" s="1">
        <v>-1.8882378806275299E-7</v>
      </c>
      <c r="O141" s="1">
        <v>1.38851890093311E-10</v>
      </c>
      <c r="P141" s="1">
        <v>8.3896704321656398E-10</v>
      </c>
      <c r="Q141">
        <v>65.957121866786196</v>
      </c>
      <c r="S141">
        <v>19.0602979317162</v>
      </c>
      <c r="AA141">
        <v>0.33474825950956899</v>
      </c>
      <c r="AB141">
        <v>4.6158814930228198</v>
      </c>
      <c r="AC141">
        <v>10.0319504489651</v>
      </c>
      <c r="AJ141">
        <v>0.40486096461652099</v>
      </c>
      <c r="AK141">
        <v>1.6224838147378601E-2</v>
      </c>
      <c r="AL141">
        <v>0.57891419723609905</v>
      </c>
    </row>
    <row r="142" spans="1:38" x14ac:dyDescent="0.2">
      <c r="A142">
        <v>125</v>
      </c>
      <c r="B142">
        <v>756</v>
      </c>
      <c r="C142">
        <v>125</v>
      </c>
      <c r="D142">
        <v>0.46222659476266797</v>
      </c>
      <c r="E142">
        <v>18.931124368094501</v>
      </c>
      <c r="F142">
        <v>2.5735222665706301</v>
      </c>
      <c r="G142">
        <v>-307.59063047777755</v>
      </c>
      <c r="H142">
        <v>-266.61812672992545</v>
      </c>
      <c r="I142">
        <v>39.811984402518704</v>
      </c>
      <c r="J142">
        <v>23.053064637409001</v>
      </c>
      <c r="K142">
        <v>7.3561144638244498</v>
      </c>
      <c r="L142">
        <v>3.0759022661093259E-5</v>
      </c>
      <c r="M142">
        <v>1.7994499304072233E-6</v>
      </c>
      <c r="N142" s="1">
        <v>-2.4229510309298401E-7</v>
      </c>
      <c r="O142" s="1">
        <v>6.4491589740101094E-11</v>
      </c>
      <c r="P142" s="1">
        <v>8.6325407479950605E-10</v>
      </c>
      <c r="Q142">
        <v>64.469704633830503</v>
      </c>
      <c r="S142">
        <v>21.896318445525999</v>
      </c>
      <c r="AA142">
        <v>3.0215626989440301</v>
      </c>
      <c r="AB142">
        <v>8.7362484262792801</v>
      </c>
      <c r="AC142">
        <v>1.8761657954201301</v>
      </c>
      <c r="AJ142">
        <v>0.75051466783107501</v>
      </c>
      <c r="AK142">
        <v>0.143442091832888</v>
      </c>
      <c r="AL142">
        <v>0.106043240336035</v>
      </c>
    </row>
    <row r="143" spans="1:38" x14ac:dyDescent="0.2">
      <c r="A143">
        <v>125</v>
      </c>
      <c r="B143">
        <v>756</v>
      </c>
      <c r="C143">
        <v>125</v>
      </c>
      <c r="D143">
        <v>0.46222659476266797</v>
      </c>
      <c r="E143">
        <v>37.006476128884898</v>
      </c>
      <c r="F143">
        <v>2.5192350889306701</v>
      </c>
      <c r="G143">
        <v>-586.33482917795061</v>
      </c>
      <c r="H143">
        <v>-507.40795326530809</v>
      </c>
      <c r="I143">
        <v>76.691323823196299</v>
      </c>
      <c r="J143">
        <v>43.9779736135973</v>
      </c>
      <c r="K143">
        <v>14.6895683898214</v>
      </c>
      <c r="L143">
        <v>2.8358741809028739E-5</v>
      </c>
      <c r="M143">
        <v>1.8003476851625391E-6</v>
      </c>
      <c r="N143" s="1">
        <v>-2.04225342928978E-7</v>
      </c>
      <c r="O143" s="1">
        <v>1.4026688982311301E-10</v>
      </c>
      <c r="P143" s="1">
        <v>8.8659374142664104E-10</v>
      </c>
      <c r="Q143">
        <v>65.954550561857303</v>
      </c>
      <c r="S143">
        <v>19.0525991769257</v>
      </c>
      <c r="AA143">
        <v>0.32899668683163902</v>
      </c>
      <c r="AB143">
        <v>4.58996819126709</v>
      </c>
      <c r="AC143">
        <v>10.0738853831181</v>
      </c>
      <c r="AJ143">
        <v>0.40264112454684697</v>
      </c>
      <c r="AK143">
        <v>1.594816679852E-2</v>
      </c>
      <c r="AL143">
        <v>0.58141070865463196</v>
      </c>
    </row>
    <row r="144" spans="1:38" x14ac:dyDescent="0.2">
      <c r="A144">
        <v>126</v>
      </c>
      <c r="B144">
        <v>754</v>
      </c>
      <c r="C144">
        <v>125</v>
      </c>
      <c r="D144">
        <v>0.46104317772477099</v>
      </c>
      <c r="E144">
        <v>19.107493078525</v>
      </c>
      <c r="F144">
        <v>2.5738138417378802</v>
      </c>
      <c r="G144">
        <v>-310.39370859075251</v>
      </c>
      <c r="H144">
        <v>-269.16630169909615</v>
      </c>
      <c r="I144">
        <v>40.137669173593302</v>
      </c>
      <c r="J144">
        <v>23.282580361243799</v>
      </c>
      <c r="K144">
        <v>7.4238053928653098</v>
      </c>
      <c r="L144">
        <v>3.0834085389787448E-5</v>
      </c>
      <c r="M144">
        <v>1.7997794930097351E-6</v>
      </c>
      <c r="N144" s="1">
        <v>-2.6064535313053903E-7</v>
      </c>
      <c r="O144" s="1">
        <v>6.4940878760967105E-11</v>
      </c>
      <c r="P144" s="1">
        <v>9.1767110868154098E-10</v>
      </c>
      <c r="Q144">
        <v>64.465467873882702</v>
      </c>
      <c r="S144">
        <v>21.903407460732101</v>
      </c>
      <c r="AA144">
        <v>3.02839979908837</v>
      </c>
      <c r="AB144">
        <v>8.7453918088994609</v>
      </c>
      <c r="AC144">
        <v>1.85733305739721</v>
      </c>
      <c r="AJ144">
        <v>0.75126588793737203</v>
      </c>
      <c r="AK144">
        <v>0.14376011029118901</v>
      </c>
      <c r="AL144">
        <v>0.10497400177143799</v>
      </c>
    </row>
    <row r="145" spans="1:38" x14ac:dyDescent="0.2">
      <c r="A145">
        <v>126</v>
      </c>
      <c r="B145">
        <v>754</v>
      </c>
      <c r="C145">
        <v>125</v>
      </c>
      <c r="D145">
        <v>0.46104317772477099</v>
      </c>
      <c r="E145">
        <v>37.296665343272501</v>
      </c>
      <c r="F145">
        <v>2.51925904086022</v>
      </c>
      <c r="G145">
        <v>-590.70704166504959</v>
      </c>
      <c r="H145">
        <v>-511.41566000569605</v>
      </c>
      <c r="I145">
        <v>77.195523204355297</v>
      </c>
      <c r="J145">
        <v>44.327260659435296</v>
      </c>
      <c r="K145">
        <v>14.804617047454199</v>
      </c>
      <c r="L145">
        <v>2.8372670080630928E-5</v>
      </c>
      <c r="M145">
        <v>1.800410737658699E-6</v>
      </c>
      <c r="N145" s="1">
        <v>-2.20258658813027E-7</v>
      </c>
      <c r="O145" s="1">
        <v>1.4128237176073E-10</v>
      </c>
      <c r="P145" s="1">
        <v>9.3516564521065491E-10</v>
      </c>
      <c r="Q145">
        <v>65.952465992221306</v>
      </c>
      <c r="S145">
        <v>19.045142639532799</v>
      </c>
      <c r="AA145">
        <v>0.32333137296035103</v>
      </c>
      <c r="AB145">
        <v>4.5657745574120501</v>
      </c>
      <c r="AC145">
        <v>10.1132854378733</v>
      </c>
      <c r="AJ145">
        <v>0.40056807298858199</v>
      </c>
      <c r="AK145">
        <v>1.5675467582484601E-2</v>
      </c>
      <c r="AL145">
        <v>0.58375645942893195</v>
      </c>
    </row>
    <row r="146" spans="1:38" x14ac:dyDescent="0.2">
      <c r="A146">
        <v>128</v>
      </c>
      <c r="B146">
        <v>804</v>
      </c>
      <c r="C146">
        <v>100</v>
      </c>
      <c r="D146">
        <v>0.514840551455232</v>
      </c>
      <c r="E146">
        <v>0.226656563683996</v>
      </c>
      <c r="F146">
        <v>2.5715967488065701</v>
      </c>
      <c r="G146">
        <v>-3.7129666197458548</v>
      </c>
      <c r="H146">
        <v>-3.1859474097324187</v>
      </c>
      <c r="I146">
        <v>0.48927188415117301</v>
      </c>
      <c r="J146">
        <v>0.27478313404211302</v>
      </c>
      <c r="K146">
        <v>8.8138454751579207E-2</v>
      </c>
      <c r="L146">
        <v>2.9976217494380079E-5</v>
      </c>
      <c r="M146">
        <v>1.7945521059500253E-6</v>
      </c>
      <c r="N146" s="1">
        <v>-6.0605243436793101E-10</v>
      </c>
      <c r="O146" s="1">
        <v>7.8835135744632697E-13</v>
      </c>
      <c r="P146" s="1">
        <v>3.6382425514861002E-12</v>
      </c>
      <c r="Q146">
        <v>64.384014472915197</v>
      </c>
      <c r="S146">
        <v>22.0526688259019</v>
      </c>
      <c r="AA146">
        <v>3.17054799124401</v>
      </c>
      <c r="AB146">
        <v>8.9551853462940798</v>
      </c>
      <c r="AC146">
        <v>1.43758336364471</v>
      </c>
      <c r="AJ146">
        <v>0.76848395604458097</v>
      </c>
      <c r="AK146">
        <v>0.150350663056464</v>
      </c>
      <c r="AL146">
        <v>8.1165380898954406E-2</v>
      </c>
    </row>
    <row r="147" spans="1:38" x14ac:dyDescent="0.2">
      <c r="A147">
        <v>129</v>
      </c>
      <c r="B147">
        <v>802</v>
      </c>
      <c r="C147">
        <v>100</v>
      </c>
      <c r="D147">
        <v>0.51380784076640695</v>
      </c>
      <c r="E147">
        <v>0.84899657334385403</v>
      </c>
      <c r="F147">
        <v>2.5709120970574899</v>
      </c>
      <c r="G147">
        <v>-13.902283901497869</v>
      </c>
      <c r="H147">
        <v>-11.933655890897741</v>
      </c>
      <c r="I147">
        <v>1.8310263782729199</v>
      </c>
      <c r="J147">
        <v>1.02933857434766</v>
      </c>
      <c r="K147">
        <v>0.33023166148526101</v>
      </c>
      <c r="L147">
        <v>3.0026960373780589E-5</v>
      </c>
      <c r="M147">
        <v>1.7965557347646781E-6</v>
      </c>
      <c r="N147" s="1">
        <v>-2.4596391409602399E-9</v>
      </c>
      <c r="O147" s="1">
        <v>2.9561075064942198E-12</v>
      </c>
      <c r="P147" s="1">
        <v>1.41879418536076E-11</v>
      </c>
      <c r="Q147">
        <v>64.466749479697398</v>
      </c>
      <c r="S147">
        <v>21.988133011014099</v>
      </c>
      <c r="AA147">
        <v>3.0980002003950702</v>
      </c>
      <c r="AB147">
        <v>8.9703668438777395</v>
      </c>
      <c r="AC147">
        <v>1.4767504650155601</v>
      </c>
      <c r="AJ147">
        <v>0.76972989591772001</v>
      </c>
      <c r="AK147">
        <v>0.14689952198714901</v>
      </c>
      <c r="AL147">
        <v>8.337058209513E-2</v>
      </c>
    </row>
    <row r="148" spans="1:38" x14ac:dyDescent="0.2">
      <c r="A148">
        <v>130</v>
      </c>
      <c r="B148">
        <v>800</v>
      </c>
      <c r="C148">
        <v>100</v>
      </c>
      <c r="D148">
        <v>0.51277128080883805</v>
      </c>
      <c r="E148">
        <v>1.4713126471314999</v>
      </c>
      <c r="F148">
        <v>2.57024366787814</v>
      </c>
      <c r="G148">
        <v>-24.083072347090258</v>
      </c>
      <c r="H148">
        <v>-20.6809009781222</v>
      </c>
      <c r="I148">
        <v>3.1702663830480802</v>
      </c>
      <c r="J148">
        <v>1.7839801978854199</v>
      </c>
      <c r="K148">
        <v>0.57244091893674198</v>
      </c>
      <c r="L148">
        <v>3.0076848896952239E-5</v>
      </c>
      <c r="M148">
        <v>1.7984846106379205E-6</v>
      </c>
      <c r="N148" s="1">
        <v>-4.6061174953192201E-9</v>
      </c>
      <c r="O148" s="1">
        <v>5.1280500321807401E-12</v>
      </c>
      <c r="P148" s="1">
        <v>2.5602072718218399E-11</v>
      </c>
      <c r="Q148">
        <v>64.546449428997207</v>
      </c>
      <c r="S148">
        <v>21.925464619457198</v>
      </c>
      <c r="AA148">
        <v>3.0277012420866201</v>
      </c>
      <c r="AB148">
        <v>8.9836805716386401</v>
      </c>
      <c r="AC148">
        <v>1.5167041378202</v>
      </c>
      <c r="AJ148">
        <v>0.77082250759080095</v>
      </c>
      <c r="AK148">
        <v>0.14355684169817801</v>
      </c>
      <c r="AL148">
        <v>8.5620650711019694E-2</v>
      </c>
    </row>
    <row r="149" spans="1:38" x14ac:dyDescent="0.2">
      <c r="A149">
        <v>131</v>
      </c>
      <c r="B149">
        <v>798</v>
      </c>
      <c r="C149">
        <v>100</v>
      </c>
      <c r="D149">
        <v>0.51173085002101004</v>
      </c>
      <c r="E149">
        <v>2.0931542795296898</v>
      </c>
      <c r="F149">
        <v>2.5695911812315799</v>
      </c>
      <c r="G149">
        <v>-34.24791270490546</v>
      </c>
      <c r="H149">
        <v>-29.421328275744077</v>
      </c>
      <c r="I149">
        <v>4.5059836896432701</v>
      </c>
      <c r="J149">
        <v>2.53817469475409</v>
      </c>
      <c r="K149">
        <v>0.814586497189978</v>
      </c>
      <c r="L149">
        <v>3.0125955148000413E-5</v>
      </c>
      <c r="M149">
        <v>1.8003400737159088E-6</v>
      </c>
      <c r="N149" s="1">
        <v>-7.0643866754149899E-9</v>
      </c>
      <c r="O149" s="1">
        <v>7.3021634881919096E-12</v>
      </c>
      <c r="P149" s="1">
        <v>3.7931564744662202E-11</v>
      </c>
      <c r="Q149">
        <v>64.623159002895093</v>
      </c>
      <c r="S149">
        <v>21.864633717174801</v>
      </c>
      <c r="AA149">
        <v>2.95961599446303</v>
      </c>
      <c r="AB149">
        <v>8.9951476251770597</v>
      </c>
      <c r="AC149">
        <v>1.5574436602898201</v>
      </c>
      <c r="AJ149">
        <v>0.77176358071124895</v>
      </c>
      <c r="AK149">
        <v>0.14032082883458999</v>
      </c>
      <c r="AL149">
        <v>8.7915590454160294E-2</v>
      </c>
    </row>
    <row r="150" spans="1:38" x14ac:dyDescent="0.2">
      <c r="A150">
        <v>132</v>
      </c>
      <c r="B150">
        <v>796</v>
      </c>
      <c r="C150">
        <v>100</v>
      </c>
      <c r="D150">
        <v>0.51068652668007097</v>
      </c>
      <c r="E150">
        <v>2.7140855067571801</v>
      </c>
      <c r="F150">
        <v>2.5689542921677102</v>
      </c>
      <c r="G150">
        <v>-44.389635524649094</v>
      </c>
      <c r="H150">
        <v>-38.148786996250806</v>
      </c>
      <c r="I150">
        <v>5.8372057507349604</v>
      </c>
      <c r="J150">
        <v>3.2914080473622702</v>
      </c>
      <c r="K150">
        <v>1.05649427669147</v>
      </c>
      <c r="L150">
        <v>3.0174358062227742E-5</v>
      </c>
      <c r="M150">
        <v>1.8021236561342318E-6</v>
      </c>
      <c r="N150" s="1">
        <v>-9.8545552693899003E-9</v>
      </c>
      <c r="O150" s="1">
        <v>9.4764724022506794E-12</v>
      </c>
      <c r="P150" s="1">
        <v>5.1230822490399303E-11</v>
      </c>
      <c r="Q150">
        <v>64.696930994939805</v>
      </c>
      <c r="S150">
        <v>21.8056045271383</v>
      </c>
      <c r="AA150">
        <v>2.89370262245642</v>
      </c>
      <c r="AB150">
        <v>9.0047918579533306</v>
      </c>
      <c r="AC150">
        <v>1.5989699975120399</v>
      </c>
      <c r="AJ150">
        <v>0.77255512191453202</v>
      </c>
      <c r="AK150">
        <v>0.13718937755025101</v>
      </c>
      <c r="AL150">
        <v>9.0255500535216804E-2</v>
      </c>
    </row>
    <row r="151" spans="1:38" x14ac:dyDescent="0.2">
      <c r="A151">
        <v>133</v>
      </c>
      <c r="B151">
        <v>794</v>
      </c>
      <c r="C151">
        <v>100</v>
      </c>
      <c r="D151">
        <v>0.50963828890034402</v>
      </c>
      <c r="E151">
        <v>3.3336891646018998</v>
      </c>
      <c r="F151">
        <v>2.5683325944309301</v>
      </c>
      <c r="G151">
        <v>-54.501389982552389</v>
      </c>
      <c r="H151">
        <v>-46.857389390035557</v>
      </c>
      <c r="I151">
        <v>7.1630048189259599</v>
      </c>
      <c r="J151">
        <v>4.0431908202141802</v>
      </c>
      <c r="K151">
        <v>1.29799745244464</v>
      </c>
      <c r="L151">
        <v>3.0222143055175419E-5</v>
      </c>
      <c r="M151">
        <v>1.8038370600939768E-6</v>
      </c>
      <c r="N151" s="1">
        <v>-1.2998071976224801E-8</v>
      </c>
      <c r="O151" s="1">
        <v>1.1649057694261499E-11</v>
      </c>
      <c r="P151" s="1">
        <v>6.5558125496497496E-11</v>
      </c>
      <c r="Q151">
        <v>64.767825460137601</v>
      </c>
      <c r="S151">
        <v>21.748335935667701</v>
      </c>
      <c r="AA151">
        <v>2.8299131938452899</v>
      </c>
      <c r="AB151">
        <v>9.0126393144724002</v>
      </c>
      <c r="AC151">
        <v>1.64128609587685</v>
      </c>
      <c r="AJ151">
        <v>0.77319930859767405</v>
      </c>
      <c r="AK151">
        <v>0.13416009908099399</v>
      </c>
      <c r="AL151">
        <v>9.2640592321330803E-2</v>
      </c>
    </row>
    <row r="152" spans="1:38" x14ac:dyDescent="0.2">
      <c r="A152">
        <v>134</v>
      </c>
      <c r="B152">
        <v>792</v>
      </c>
      <c r="C152">
        <v>100</v>
      </c>
      <c r="D152">
        <v>0.50858611463174297</v>
      </c>
      <c r="E152">
        <v>3.9515706805272002</v>
      </c>
      <c r="F152">
        <v>2.56772562466938</v>
      </c>
      <c r="G152">
        <v>-64.576704883346252</v>
      </c>
      <c r="H152">
        <v>-55.541563610467328</v>
      </c>
      <c r="I152">
        <v>8.4825060065520503</v>
      </c>
      <c r="J152">
        <v>4.7930628840905696</v>
      </c>
      <c r="K152">
        <v>1.5389380557496299</v>
      </c>
      <c r="L152">
        <v>3.0269401637725032E-5</v>
      </c>
      <c r="M152">
        <v>1.8054821348088236E-6</v>
      </c>
      <c r="N152" s="1">
        <v>-1.6517871249700401E-8</v>
      </c>
      <c r="O152" s="1">
        <v>1.3818071230424101E-11</v>
      </c>
      <c r="P152" s="1">
        <v>8.0976066593573297E-11</v>
      </c>
      <c r="Q152">
        <v>64.835908807089098</v>
      </c>
      <c r="S152">
        <v>21.692782043343598</v>
      </c>
      <c r="AA152">
        <v>2.7681943455993299</v>
      </c>
      <c r="AB152">
        <v>9.01871765144395</v>
      </c>
      <c r="AC152">
        <v>1.68439715252397</v>
      </c>
      <c r="AJ152">
        <v>0.773698441777396</v>
      </c>
      <c r="AK152">
        <v>0.13123035359718799</v>
      </c>
      <c r="AL152">
        <v>9.5071204625414005E-2</v>
      </c>
    </row>
    <row r="153" spans="1:38" x14ac:dyDescent="0.2">
      <c r="A153">
        <v>135</v>
      </c>
      <c r="B153">
        <v>790</v>
      </c>
      <c r="C153">
        <v>100</v>
      </c>
      <c r="D153">
        <v>0.507529981658283</v>
      </c>
      <c r="E153">
        <v>5.0861855444231097</v>
      </c>
      <c r="F153">
        <v>2.5665423407154102</v>
      </c>
      <c r="G153">
        <v>-83.070558753922668</v>
      </c>
      <c r="H153">
        <v>-71.473748535508719</v>
      </c>
      <c r="I153">
        <v>10.9079717992888</v>
      </c>
      <c r="J153">
        <v>6.1694631793275798</v>
      </c>
      <c r="K153">
        <v>1.9817267238246099</v>
      </c>
      <c r="L153">
        <v>3.0318810372420369E-5</v>
      </c>
      <c r="M153">
        <v>1.8077146238894522E-6</v>
      </c>
      <c r="N153" s="1">
        <v>-2.2705297136866799E-8</v>
      </c>
      <c r="O153" s="1">
        <v>1.7816300538429099E-11</v>
      </c>
      <c r="P153" s="1">
        <v>1.08453397436034E-10</v>
      </c>
      <c r="Q153">
        <v>64.938527080409202</v>
      </c>
      <c r="S153">
        <v>21.601507722094102</v>
      </c>
      <c r="AA153">
        <v>2.6689475247966299</v>
      </c>
      <c r="AB153">
        <v>9.0081094717391501</v>
      </c>
      <c r="AC153">
        <v>1.78290820096078</v>
      </c>
      <c r="AJ153">
        <v>0.77283074557642695</v>
      </c>
      <c r="AK153">
        <v>0.126532346322279</v>
      </c>
      <c r="AL153">
        <v>0.100636908101292</v>
      </c>
    </row>
    <row r="154" spans="1:38" x14ac:dyDescent="0.2">
      <c r="A154">
        <v>136</v>
      </c>
      <c r="B154">
        <v>788</v>
      </c>
      <c r="C154">
        <v>100</v>
      </c>
      <c r="D154">
        <v>0.50646986759647905</v>
      </c>
      <c r="E154">
        <v>6.8938323686938503</v>
      </c>
      <c r="F154">
        <v>2.5645318272303199</v>
      </c>
      <c r="G154">
        <v>-112.49816263492379</v>
      </c>
      <c r="H154">
        <v>-96.823731122287285</v>
      </c>
      <c r="I154">
        <v>14.7711742097125</v>
      </c>
      <c r="J154">
        <v>8.3610108586727492</v>
      </c>
      <c r="K154">
        <v>2.6881445944615598</v>
      </c>
      <c r="L154">
        <v>3.036190095506864E-5</v>
      </c>
      <c r="M154">
        <v>1.8105311507375065E-6</v>
      </c>
      <c r="N154" s="1">
        <v>-3.2655484738177797E-8</v>
      </c>
      <c r="O154" s="1">
        <v>2.42240459171337E-11</v>
      </c>
      <c r="P154" s="1">
        <v>1.52456148584886E-10</v>
      </c>
      <c r="Q154">
        <v>65.082089946213898</v>
      </c>
      <c r="S154">
        <v>21.462668327076099</v>
      </c>
      <c r="AA154">
        <v>2.5209051701996898</v>
      </c>
      <c r="AB154">
        <v>8.9640460962592492</v>
      </c>
      <c r="AC154">
        <v>1.97029046025087</v>
      </c>
      <c r="AJ154">
        <v>0.76922120156426699</v>
      </c>
      <c r="AK154">
        <v>0.119540333758533</v>
      </c>
      <c r="AL154">
        <v>0.111238464677199</v>
      </c>
    </row>
    <row r="155" spans="1:38" x14ac:dyDescent="0.2">
      <c r="A155">
        <v>137</v>
      </c>
      <c r="B155">
        <v>786</v>
      </c>
      <c r="C155">
        <v>100</v>
      </c>
      <c r="D155">
        <v>0.50540574989378495</v>
      </c>
      <c r="E155">
        <v>8.8081418943313601</v>
      </c>
      <c r="F155">
        <v>2.56226468765909</v>
      </c>
      <c r="G155">
        <v>-143.59562837235529</v>
      </c>
      <c r="H155">
        <v>-123.62586307236126</v>
      </c>
      <c r="I155">
        <v>18.854520417310098</v>
      </c>
      <c r="J155">
        <v>10.6800632674602</v>
      </c>
      <c r="K155">
        <v>3.4376393417725102</v>
      </c>
      <c r="L155">
        <v>3.0388546764695187E-5</v>
      </c>
      <c r="M155">
        <v>1.8130803642398911E-6</v>
      </c>
      <c r="N155" s="1">
        <v>-4.4042227068550503E-8</v>
      </c>
      <c r="O155" s="1">
        <v>3.1058370224639697E-11</v>
      </c>
      <c r="P155" s="1">
        <v>2.0149140520724801E-10</v>
      </c>
      <c r="Q155">
        <v>65.223204640665301</v>
      </c>
      <c r="S155">
        <v>21.315523888401302</v>
      </c>
      <c r="AA155">
        <v>2.3665823168656099</v>
      </c>
      <c r="AB155">
        <v>8.8927543505081204</v>
      </c>
      <c r="AC155">
        <v>2.20193480355961</v>
      </c>
      <c r="AJ155">
        <v>0.76337639589100903</v>
      </c>
      <c r="AK155">
        <v>0.11226253295543701</v>
      </c>
      <c r="AL155">
        <v>0.12436107115355199</v>
      </c>
    </row>
    <row r="156" spans="1:38" x14ac:dyDescent="0.2">
      <c r="A156">
        <v>138</v>
      </c>
      <c r="B156">
        <v>784</v>
      </c>
      <c r="C156">
        <v>100</v>
      </c>
      <c r="D156">
        <v>0.50433760582698905</v>
      </c>
      <c r="E156">
        <v>10.9282622536997</v>
      </c>
      <c r="F156">
        <v>2.5595214504105099</v>
      </c>
      <c r="G156">
        <v>-177.94344339257219</v>
      </c>
      <c r="H156">
        <v>-153.2400707566581</v>
      </c>
      <c r="I156">
        <v>23.3678973049369</v>
      </c>
      <c r="J156">
        <v>13.2447671643097</v>
      </c>
      <c r="K156">
        <v>4.2696505832943599</v>
      </c>
      <c r="L156">
        <v>3.0389885321659113E-5</v>
      </c>
      <c r="M156">
        <v>1.8153273899091043E-6</v>
      </c>
      <c r="N156" s="1">
        <v>-5.7236710212538597E-8</v>
      </c>
      <c r="O156" s="1">
        <v>3.8695308171733803E-11</v>
      </c>
      <c r="P156" s="1">
        <v>2.57421086537969E-10</v>
      </c>
      <c r="Q156">
        <v>65.366391682288096</v>
      </c>
      <c r="S156">
        <v>21.1500965163963</v>
      </c>
      <c r="AA156">
        <v>2.19669230245032</v>
      </c>
      <c r="AB156">
        <v>8.7781496326455102</v>
      </c>
      <c r="AC156">
        <v>2.5086698662196798</v>
      </c>
      <c r="AJ156">
        <v>0.75397057342090701</v>
      </c>
      <c r="AK156">
        <v>0.10426329247341801</v>
      </c>
      <c r="AL156">
        <v>0.14176613410567299</v>
      </c>
    </row>
    <row r="157" spans="1:38" x14ac:dyDescent="0.2">
      <c r="A157">
        <v>139</v>
      </c>
      <c r="B157">
        <v>782</v>
      </c>
      <c r="C157">
        <v>100</v>
      </c>
      <c r="D157">
        <v>0.50326541250059598</v>
      </c>
      <c r="E157">
        <v>13.411830369310101</v>
      </c>
      <c r="F157">
        <v>2.5621397852095198</v>
      </c>
      <c r="G157">
        <v>-218.37742216510412</v>
      </c>
      <c r="H157">
        <v>-188.16168370773056</v>
      </c>
      <c r="I157">
        <v>28.6364388545453</v>
      </c>
      <c r="J157">
        <v>16.251473534034499</v>
      </c>
      <c r="K157">
        <v>5.2346208613334202</v>
      </c>
      <c r="L157">
        <v>3.0287541610435428E-5</v>
      </c>
      <c r="M157">
        <v>1.8097435884910584E-6</v>
      </c>
      <c r="N157" s="1">
        <v>-7.3791512200274806E-8</v>
      </c>
      <c r="O157" s="1">
        <v>4.7238737830470902E-11</v>
      </c>
      <c r="P157" s="1">
        <v>3.2647934939401301E-10</v>
      </c>
      <c r="Q157">
        <v>65.105262544838993</v>
      </c>
      <c r="S157">
        <v>21.3392015306861</v>
      </c>
      <c r="AA157">
        <v>2.4136367898795701</v>
      </c>
      <c r="AB157">
        <v>8.6920007313150602</v>
      </c>
      <c r="AC157">
        <v>2.4498984032801401</v>
      </c>
      <c r="AJ157">
        <v>0.74688753550153497</v>
      </c>
      <c r="AK157">
        <v>0.114608852651561</v>
      </c>
      <c r="AL157">
        <v>0.13850361184690299</v>
      </c>
    </row>
    <row r="158" spans="1:38" x14ac:dyDescent="0.2">
      <c r="A158">
        <v>139</v>
      </c>
      <c r="B158">
        <v>782</v>
      </c>
      <c r="C158">
        <v>100</v>
      </c>
      <c r="D158">
        <v>0.50326541250059598</v>
      </c>
      <c r="E158">
        <v>14.3591506003643</v>
      </c>
      <c r="F158">
        <v>2.5190296104860299</v>
      </c>
      <c r="G158">
        <v>-229.19806666219867</v>
      </c>
      <c r="H158">
        <v>-197.22241027204797</v>
      </c>
      <c r="I158">
        <v>30.3043703645459</v>
      </c>
      <c r="J158">
        <v>17.099165308311001</v>
      </c>
      <c r="K158">
        <v>5.7002706679552704</v>
      </c>
      <c r="L158">
        <v>2.8544003324102014E-5</v>
      </c>
      <c r="M158">
        <v>1.805799080100852E-6</v>
      </c>
      <c r="N158" s="1">
        <v>-3.4293616673720701E-8</v>
      </c>
      <c r="O158" s="1">
        <v>5.44709309467653E-11</v>
      </c>
      <c r="P158" s="1">
        <v>2.1352388388406099E-10</v>
      </c>
      <c r="Q158">
        <v>66.096570772689503</v>
      </c>
      <c r="S158">
        <v>19.206413838082302</v>
      </c>
      <c r="AA158">
        <v>0.42275688256500898</v>
      </c>
      <c r="AB158">
        <v>5.3096977477793699</v>
      </c>
      <c r="AC158">
        <v>8.9645607588836906</v>
      </c>
      <c r="AJ158">
        <v>0.464080149440598</v>
      </c>
      <c r="AK158">
        <v>2.0418539265572501E-2</v>
      </c>
      <c r="AL158">
        <v>0.51550131129382804</v>
      </c>
    </row>
    <row r="159" spans="1:38" x14ac:dyDescent="0.2">
      <c r="A159">
        <v>140</v>
      </c>
      <c r="B159">
        <v>780</v>
      </c>
      <c r="C159">
        <v>100</v>
      </c>
      <c r="D159">
        <v>0.50218914684517901</v>
      </c>
      <c r="E159">
        <v>15.437180324881499</v>
      </c>
      <c r="F159">
        <v>2.5662455296477602</v>
      </c>
      <c r="G159">
        <v>-251.4714384565566</v>
      </c>
      <c r="H159">
        <v>-216.81105596810917</v>
      </c>
      <c r="I159">
        <v>32.911154620374397</v>
      </c>
      <c r="J159">
        <v>18.707619395126301</v>
      </c>
      <c r="K159">
        <v>6.0154728557872401</v>
      </c>
      <c r="L159">
        <v>3.0195524438028426E-5</v>
      </c>
      <c r="M159">
        <v>1.8029022827763772E-6</v>
      </c>
      <c r="N159" s="1">
        <v>-9.0024133838689599E-8</v>
      </c>
      <c r="O159" s="1">
        <v>5.39354106953301E-11</v>
      </c>
      <c r="P159" s="1">
        <v>3.91011789499374E-10</v>
      </c>
      <c r="Q159">
        <v>64.763778209760204</v>
      </c>
      <c r="S159">
        <v>21.617940888211699</v>
      </c>
      <c r="AA159">
        <v>2.72328031510167</v>
      </c>
      <c r="AB159">
        <v>8.6617726645926698</v>
      </c>
      <c r="AC159">
        <v>2.23322792233362</v>
      </c>
      <c r="AJ159">
        <v>0.74439706836490105</v>
      </c>
      <c r="AK159">
        <v>0.12933051594280201</v>
      </c>
      <c r="AL159">
        <v>0.126272415692296</v>
      </c>
    </row>
    <row r="160" spans="1:38" x14ac:dyDescent="0.2">
      <c r="A160">
        <v>140</v>
      </c>
      <c r="B160">
        <v>780</v>
      </c>
      <c r="C160">
        <v>100</v>
      </c>
      <c r="D160">
        <v>0.50218914684517901</v>
      </c>
      <c r="E160">
        <v>26.786621521736802</v>
      </c>
      <c r="F160">
        <v>2.5184448787546199</v>
      </c>
      <c r="G160">
        <v>-426.98487730918526</v>
      </c>
      <c r="H160">
        <v>-367.58649083295086</v>
      </c>
      <c r="I160">
        <v>56.400689812689798</v>
      </c>
      <c r="J160">
        <v>31.860144381046599</v>
      </c>
      <c r="K160">
        <v>10.636175422264101</v>
      </c>
      <c r="L160">
        <v>2.8396039267890887E-5</v>
      </c>
      <c r="M160">
        <v>1.8033556435592174E-6</v>
      </c>
      <c r="N160" s="1">
        <v>-6.3513662167749105E-8</v>
      </c>
      <c r="O160" s="1">
        <v>1.017932000968E-10</v>
      </c>
      <c r="P160" s="1">
        <v>3.96644131715998E-10</v>
      </c>
      <c r="Q160">
        <v>66.026555585343601</v>
      </c>
      <c r="S160">
        <v>19.172094615644301</v>
      </c>
      <c r="AA160">
        <v>0.410780259451129</v>
      </c>
      <c r="AB160">
        <v>5.0637003534188203</v>
      </c>
      <c r="AC160">
        <v>9.3268691861420603</v>
      </c>
      <c r="AJ160">
        <v>0.44313104630811501</v>
      </c>
      <c r="AK160">
        <v>1.9864815477815101E-2</v>
      </c>
      <c r="AL160">
        <v>0.537004138214069</v>
      </c>
    </row>
    <row r="161" spans="1:38" x14ac:dyDescent="0.2">
      <c r="A161">
        <v>141</v>
      </c>
      <c r="B161">
        <v>778</v>
      </c>
      <c r="C161">
        <v>100</v>
      </c>
      <c r="D161">
        <v>0.501108785615755</v>
      </c>
      <c r="E161">
        <v>16.4338126285692</v>
      </c>
      <c r="F161">
        <v>2.56806589516603</v>
      </c>
      <c r="G161">
        <v>-267.71905613041861</v>
      </c>
      <c r="H161">
        <v>-230.93814183499833</v>
      </c>
      <c r="I161">
        <v>34.991118580050703</v>
      </c>
      <c r="J161">
        <v>19.918639607961399</v>
      </c>
      <c r="K161">
        <v>6.3992955396912699</v>
      </c>
      <c r="L161">
        <v>3.0175000439082518E-5</v>
      </c>
      <c r="M161">
        <v>1.8000880558081536E-6</v>
      </c>
      <c r="N161" s="1">
        <v>-1.01913474752866E-7</v>
      </c>
      <c r="O161" s="1">
        <v>5.7185500094852703E-11</v>
      </c>
      <c r="P161" s="1">
        <v>4.3419145325715702E-10</v>
      </c>
      <c r="Q161">
        <v>64.617663457236105</v>
      </c>
      <c r="S161">
        <v>21.737116901217998</v>
      </c>
      <c r="AA161">
        <v>2.8556956260814998</v>
      </c>
      <c r="AB161">
        <v>8.6485991849873507</v>
      </c>
      <c r="AC161">
        <v>2.1409248304769699</v>
      </c>
      <c r="AJ161">
        <v>0.74331153192581301</v>
      </c>
      <c r="AK161">
        <v>0.13562751571896001</v>
      </c>
      <c r="AL161">
        <v>0.121060952355226</v>
      </c>
    </row>
    <row r="162" spans="1:38" x14ac:dyDescent="0.2">
      <c r="A162">
        <v>141</v>
      </c>
      <c r="B162">
        <v>778</v>
      </c>
      <c r="C162">
        <v>100</v>
      </c>
      <c r="D162">
        <v>0.501108785615755</v>
      </c>
      <c r="E162">
        <v>31.560993897812502</v>
      </c>
      <c r="F162">
        <v>2.5182433710227299</v>
      </c>
      <c r="G162">
        <v>-502.70835261129702</v>
      </c>
      <c r="H162">
        <v>-432.97111035501422</v>
      </c>
      <c r="I162">
        <v>66.343758984239003</v>
      </c>
      <c r="J162">
        <v>37.520148304852</v>
      </c>
      <c r="K162">
        <v>12.532940326968699</v>
      </c>
      <c r="L162">
        <v>2.8338702249559605E-5</v>
      </c>
      <c r="M162">
        <v>1.8024445506505725E-6</v>
      </c>
      <c r="N162" s="1">
        <v>-7.8404049446716002E-8</v>
      </c>
      <c r="O162" s="1">
        <v>1.20004787602967E-10</v>
      </c>
      <c r="P162" s="1">
        <v>4.7766773678037E-10</v>
      </c>
      <c r="Q162">
        <v>65.998696810705795</v>
      </c>
      <c r="S162">
        <v>19.1540269047088</v>
      </c>
      <c r="AA162">
        <v>0.40237467713867903</v>
      </c>
      <c r="AB162">
        <v>4.9542517146863396</v>
      </c>
      <c r="AC162">
        <v>9.4906498927602403</v>
      </c>
      <c r="AJ162">
        <v>0.43379364913693802</v>
      </c>
      <c r="AK162">
        <v>1.9469130345197701E-2</v>
      </c>
      <c r="AL162">
        <v>0.546737220517863</v>
      </c>
    </row>
    <row r="163" spans="1:38" x14ac:dyDescent="0.2">
      <c r="A163">
        <v>142</v>
      </c>
      <c r="B163">
        <v>776</v>
      </c>
      <c r="C163">
        <v>100</v>
      </c>
      <c r="D163">
        <v>0.50002430539008103</v>
      </c>
      <c r="E163">
        <v>17.0003062617129</v>
      </c>
      <c r="F163">
        <v>2.56909926253992</v>
      </c>
      <c r="G163">
        <v>-276.92426880578819</v>
      </c>
      <c r="H163">
        <v>-238.99281974730476</v>
      </c>
      <c r="I163">
        <v>36.154457473653302</v>
      </c>
      <c r="J163">
        <v>20.609781195774499</v>
      </c>
      <c r="K163">
        <v>6.6172243749374102</v>
      </c>
      <c r="L163">
        <v>3.0184921374245838E-5</v>
      </c>
      <c r="M163">
        <v>1.7988001629313076E-6</v>
      </c>
      <c r="N163" s="1">
        <v>-1.12291464272825E-7</v>
      </c>
      <c r="O163" s="1">
        <v>5.8999065378207306E-11</v>
      </c>
      <c r="P163" s="1">
        <v>4.6931354572693095E-10</v>
      </c>
      <c r="Q163">
        <v>64.543255632987893</v>
      </c>
      <c r="S163">
        <v>21.7993081251178</v>
      </c>
      <c r="AA163">
        <v>2.9243660711542301</v>
      </c>
      <c r="AB163">
        <v>8.6458277171025397</v>
      </c>
      <c r="AC163">
        <v>2.0872424536374101</v>
      </c>
      <c r="AJ163">
        <v>0.74308248502989005</v>
      </c>
      <c r="AK163">
        <v>0.138890638501494</v>
      </c>
      <c r="AL163">
        <v>0.118026876468615</v>
      </c>
    </row>
    <row r="164" spans="1:38" x14ac:dyDescent="0.2">
      <c r="A164">
        <v>142</v>
      </c>
      <c r="B164">
        <v>776</v>
      </c>
      <c r="C164">
        <v>100</v>
      </c>
      <c r="D164">
        <v>0.50002430539008103</v>
      </c>
      <c r="E164">
        <v>33.903347213167102</v>
      </c>
      <c r="F164">
        <v>2.5181533080027898</v>
      </c>
      <c r="G164">
        <v>-539.71403307078947</v>
      </c>
      <c r="H164">
        <v>-465.05019513124449</v>
      </c>
      <c r="I164">
        <v>71.166027679116297</v>
      </c>
      <c r="J164">
        <v>40.294181144929297</v>
      </c>
      <c r="K164">
        <v>13.4635755120313</v>
      </c>
      <c r="L164">
        <v>2.8311705159458732E-5</v>
      </c>
      <c r="M164">
        <v>1.8020335074453913E-6</v>
      </c>
      <c r="N164" s="1">
        <v>-8.97764536084109E-8</v>
      </c>
      <c r="O164" s="1">
        <v>1.2893243637424199E-10</v>
      </c>
      <c r="P164" s="1">
        <v>5.29318641753269E-10</v>
      </c>
      <c r="Q164">
        <v>65.984870147392996</v>
      </c>
      <c r="S164">
        <v>19.1411255011494</v>
      </c>
      <c r="AA164">
        <v>0.39495714996377601</v>
      </c>
      <c r="AB164">
        <v>4.8896170301217303</v>
      </c>
      <c r="AC164">
        <v>9.5894301713720491</v>
      </c>
      <c r="AJ164">
        <v>0.42827462134087102</v>
      </c>
      <c r="AK164">
        <v>1.9116494898698499E-2</v>
      </c>
      <c r="AL164">
        <v>0.55260888376042905</v>
      </c>
    </row>
    <row r="165" spans="1:38" x14ac:dyDescent="0.2">
      <c r="A165">
        <v>143</v>
      </c>
      <c r="B165">
        <v>774</v>
      </c>
      <c r="C165">
        <v>100</v>
      </c>
      <c r="D165">
        <v>0.49893568256697302</v>
      </c>
      <c r="E165">
        <v>17.383851228033599</v>
      </c>
      <c r="F165">
        <v>2.56980631490016</v>
      </c>
      <c r="G165">
        <v>-283.13322414687815</v>
      </c>
      <c r="H165">
        <v>-244.46421522748156</v>
      </c>
      <c r="I165">
        <v>36.9278603059701</v>
      </c>
      <c r="J165">
        <v>21.080247092739299</v>
      </c>
      <c r="K165">
        <v>6.76465425710846</v>
      </c>
      <c r="L165">
        <v>3.0209559953553121E-5</v>
      </c>
      <c r="M165">
        <v>1.798171588828401E-6</v>
      </c>
      <c r="N165" s="1">
        <v>-1.22369397527866E-7</v>
      </c>
      <c r="O165" s="1">
        <v>6.0201866535649505E-11</v>
      </c>
      <c r="P165" s="1">
        <v>5.0198937029746296E-10</v>
      </c>
      <c r="Q165">
        <v>64.499308643465696</v>
      </c>
      <c r="S165">
        <v>21.8375253601099</v>
      </c>
      <c r="AA165">
        <v>2.9661501105470598</v>
      </c>
      <c r="AB165">
        <v>8.6480856574070408</v>
      </c>
      <c r="AC165">
        <v>2.04893022847018</v>
      </c>
      <c r="AJ165">
        <v>0.74326753079777497</v>
      </c>
      <c r="AK165">
        <v>0.14087343197312699</v>
      </c>
      <c r="AL165">
        <v>0.115859037229097</v>
      </c>
    </row>
    <row r="166" spans="1:38" x14ac:dyDescent="0.2">
      <c r="A166">
        <v>143</v>
      </c>
      <c r="B166">
        <v>774</v>
      </c>
      <c r="C166">
        <v>100</v>
      </c>
      <c r="D166">
        <v>0.49893568256697302</v>
      </c>
      <c r="E166">
        <v>35.280333452939999</v>
      </c>
      <c r="F166">
        <v>2.5181070978809998</v>
      </c>
      <c r="G166">
        <v>-561.36332610965144</v>
      </c>
      <c r="H166">
        <v>-483.91862960525748</v>
      </c>
      <c r="I166">
        <v>73.957595859613093</v>
      </c>
      <c r="J166">
        <v>41.923970101282201</v>
      </c>
      <c r="K166">
        <v>14.010656450088399</v>
      </c>
      <c r="L166">
        <v>2.8297579818051662E-5</v>
      </c>
      <c r="M166">
        <v>1.8018253847010989E-6</v>
      </c>
      <c r="N166" s="1">
        <v>-1.00178128301239E-7</v>
      </c>
      <c r="O166" s="1">
        <v>1.34167095873966E-10</v>
      </c>
      <c r="P166" s="1">
        <v>5.7054563745323598E-10</v>
      </c>
      <c r="Q166">
        <v>65.976712493310799</v>
      </c>
      <c r="S166">
        <v>19.1303405157466</v>
      </c>
      <c r="AA166">
        <v>0.38796290363486802</v>
      </c>
      <c r="AB166">
        <v>4.84316389401845</v>
      </c>
      <c r="AC166">
        <v>9.6618201932891701</v>
      </c>
      <c r="AJ166">
        <v>0.42430585965661199</v>
      </c>
      <c r="AK166">
        <v>1.8782390034960201E-2</v>
      </c>
      <c r="AL166">
        <v>0.55691175030842699</v>
      </c>
    </row>
    <row r="167" spans="1:38" x14ac:dyDescent="0.2">
      <c r="A167">
        <v>144</v>
      </c>
      <c r="B167">
        <v>772</v>
      </c>
      <c r="C167">
        <v>100</v>
      </c>
      <c r="D167">
        <v>0.49784289336458698</v>
      </c>
      <c r="E167">
        <v>17.6748270849336</v>
      </c>
      <c r="F167">
        <v>2.5703475173041399</v>
      </c>
      <c r="G167">
        <v>-287.82548570428412</v>
      </c>
      <c r="H167">
        <v>-248.62843569314839</v>
      </c>
      <c r="I167">
        <v>37.503755452457199</v>
      </c>
      <c r="J167">
        <v>21.439414228745299</v>
      </c>
      <c r="K167">
        <v>6.8764347878809602</v>
      </c>
      <c r="L167">
        <v>3.0243123038002955E-5</v>
      </c>
      <c r="M167">
        <v>1.7978879432528624E-6</v>
      </c>
      <c r="N167" s="1">
        <v>-1.3261353970252401E-7</v>
      </c>
      <c r="O167" s="1">
        <v>6.1094174663693494E-11</v>
      </c>
      <c r="P167" s="1">
        <v>5.3433675926871596E-10</v>
      </c>
      <c r="Q167">
        <v>64.471043100755693</v>
      </c>
      <c r="S167">
        <v>21.863456866448701</v>
      </c>
      <c r="AA167">
        <v>2.99413924677066</v>
      </c>
      <c r="AB167">
        <v>8.6530802262086404</v>
      </c>
      <c r="AC167">
        <v>2.0182805598161799</v>
      </c>
      <c r="AJ167">
        <v>0.74367786642074596</v>
      </c>
      <c r="AK167">
        <v>0.14219912043997099</v>
      </c>
      <c r="AL167">
        <v>0.114123013139282</v>
      </c>
    </row>
    <row r="168" spans="1:38" x14ac:dyDescent="0.2">
      <c r="A168">
        <v>144</v>
      </c>
      <c r="B168">
        <v>772</v>
      </c>
      <c r="C168">
        <v>100</v>
      </c>
      <c r="D168">
        <v>0.49784289336458698</v>
      </c>
      <c r="E168">
        <v>36.181244199832797</v>
      </c>
      <c r="F168">
        <v>2.5180831422274199</v>
      </c>
      <c r="G168">
        <v>-575.44321057302216</v>
      </c>
      <c r="H168">
        <v>-496.27493808285294</v>
      </c>
      <c r="I168">
        <v>75.748239477748697</v>
      </c>
      <c r="J168">
        <v>42.990032306399399</v>
      </c>
      <c r="K168">
        <v>14.3685661498166</v>
      </c>
      <c r="L168">
        <v>2.8290420290050462E-5</v>
      </c>
      <c r="M168">
        <v>1.8017195364412457E-6</v>
      </c>
      <c r="N168" s="1">
        <v>-1.10400871025679E-7</v>
      </c>
      <c r="O168" s="1">
        <v>1.3757675242045E-10</v>
      </c>
      <c r="P168" s="1">
        <v>6.0749157860991103E-10</v>
      </c>
      <c r="Q168">
        <v>65.971354917507199</v>
      </c>
      <c r="S168">
        <v>19.120650536529698</v>
      </c>
      <c r="AA168">
        <v>0.381218688634539</v>
      </c>
      <c r="AB168">
        <v>4.8058212833015501</v>
      </c>
      <c r="AC168">
        <v>9.7209545740268997</v>
      </c>
      <c r="AJ168">
        <v>0.42111411654766101</v>
      </c>
      <c r="AK168">
        <v>1.8459381991518999E-2</v>
      </c>
      <c r="AL168">
        <v>0.56042650146081896</v>
      </c>
    </row>
    <row r="169" spans="1:38" x14ac:dyDescent="0.2">
      <c r="A169">
        <v>145</v>
      </c>
      <c r="B169">
        <v>770</v>
      </c>
      <c r="C169">
        <v>100</v>
      </c>
      <c r="D169">
        <v>0.49674591381872402</v>
      </c>
      <c r="E169">
        <v>17.9126282816305</v>
      </c>
      <c r="F169">
        <v>2.5707921673199601</v>
      </c>
      <c r="G169">
        <v>-291.64605816902497</v>
      </c>
      <c r="H169">
        <v>-252.04184359873898</v>
      </c>
      <c r="I169">
        <v>37.965982428496297</v>
      </c>
      <c r="J169">
        <v>21.7349713425088</v>
      </c>
      <c r="K169">
        <v>6.9677465605103102</v>
      </c>
      <c r="L169">
        <v>3.0283104316260119E-5</v>
      </c>
      <c r="M169">
        <v>1.7978108176364694E-6</v>
      </c>
      <c r="N169" s="1">
        <v>-1.43252230835687E-7</v>
      </c>
      <c r="O169" s="1">
        <v>6.1806209015903303E-11</v>
      </c>
      <c r="P169" s="1">
        <v>5.6734946458205604E-10</v>
      </c>
      <c r="Q169">
        <v>64.451982605202005</v>
      </c>
      <c r="S169">
        <v>21.8821935107568</v>
      </c>
      <c r="AA169">
        <v>3.0140446762364701</v>
      </c>
      <c r="AB169">
        <v>8.6597254828335704</v>
      </c>
      <c r="AC169">
        <v>1.9920537249711301</v>
      </c>
      <c r="AJ169">
        <v>0.74422406143088904</v>
      </c>
      <c r="AK169">
        <v>0.143139685247691</v>
      </c>
      <c r="AL169">
        <v>0.11263625332141899</v>
      </c>
    </row>
    <row r="170" spans="1:38" x14ac:dyDescent="0.2">
      <c r="A170">
        <v>145</v>
      </c>
      <c r="B170">
        <v>770</v>
      </c>
      <c r="C170">
        <v>100</v>
      </c>
      <c r="D170">
        <v>0.49674591381872402</v>
      </c>
      <c r="E170">
        <v>36.811660539204901</v>
      </c>
      <c r="F170">
        <v>2.5180725425774799</v>
      </c>
      <c r="G170">
        <v>-585.22394914408369</v>
      </c>
      <c r="H170">
        <v>-504.93228633419585</v>
      </c>
      <c r="I170">
        <v>76.970390461475006</v>
      </c>
      <c r="J170">
        <v>43.736163161398203</v>
      </c>
      <c r="K170">
        <v>14.618983336169</v>
      </c>
      <c r="L170">
        <v>2.8287745938677386E-5</v>
      </c>
      <c r="M170">
        <v>1.80167326693821E-6</v>
      </c>
      <c r="N170" s="1">
        <v>-1.2077676847383301E-7</v>
      </c>
      <c r="O170" s="1">
        <v>1.39946811809438E-10</v>
      </c>
      <c r="P170" s="1">
        <v>6.4273147070852005E-10</v>
      </c>
      <c r="Q170">
        <v>65.967570257240595</v>
      </c>
      <c r="S170">
        <v>19.111622821358399</v>
      </c>
      <c r="AA170">
        <v>0.37465382991533602</v>
      </c>
      <c r="AB170">
        <v>4.7737200418181098</v>
      </c>
      <c r="AC170">
        <v>9.7724330496674803</v>
      </c>
      <c r="AJ170">
        <v>0.41836940274713402</v>
      </c>
      <c r="AK170">
        <v>1.8144455339025901E-2</v>
      </c>
      <c r="AL170">
        <v>0.56348614191383894</v>
      </c>
    </row>
    <row r="171" spans="1:38" x14ac:dyDescent="0.2">
      <c r="A171">
        <v>146</v>
      </c>
      <c r="B171">
        <v>768</v>
      </c>
      <c r="C171">
        <v>100</v>
      </c>
      <c r="D171">
        <v>0.49564471978101199</v>
      </c>
      <c r="E171">
        <v>18.1169820994267</v>
      </c>
      <c r="F171">
        <v>2.5711750921611198</v>
      </c>
      <c r="G171">
        <v>-294.91798325096926</v>
      </c>
      <c r="H171">
        <v>-254.98309972140359</v>
      </c>
      <c r="I171">
        <v>38.356513018840403</v>
      </c>
      <c r="J171">
        <v>21.990820197813701</v>
      </c>
      <c r="K171">
        <v>7.0461876185176502</v>
      </c>
      <c r="L171">
        <v>3.0328299674051621E-5</v>
      </c>
      <c r="M171">
        <v>1.7978699934567029E-6</v>
      </c>
      <c r="N171" s="1">
        <v>-1.5442523308495601E-7</v>
      </c>
      <c r="O171" s="1">
        <v>6.2402794113406096E-11</v>
      </c>
      <c r="P171" s="1">
        <v>6.0159646646224702E-10</v>
      </c>
      <c r="Q171">
        <v>64.438843212417197</v>
      </c>
      <c r="S171">
        <v>21.896307128817899</v>
      </c>
      <c r="AA171">
        <v>3.0287544533281401</v>
      </c>
      <c r="AB171">
        <v>8.6674457351618006</v>
      </c>
      <c r="AC171">
        <v>1.9686494702747801</v>
      </c>
      <c r="AJ171">
        <v>0.74485870257711195</v>
      </c>
      <c r="AK171">
        <v>0.14383269599889401</v>
      </c>
      <c r="AL171">
        <v>0.111308601423992</v>
      </c>
    </row>
    <row r="172" spans="1:38" x14ac:dyDescent="0.2">
      <c r="A172">
        <v>146</v>
      </c>
      <c r="B172">
        <v>768</v>
      </c>
      <c r="C172">
        <v>100</v>
      </c>
      <c r="D172">
        <v>0.49564471978101199</v>
      </c>
      <c r="E172">
        <v>37.272820022818401</v>
      </c>
      <c r="F172">
        <v>2.5180709560891898</v>
      </c>
      <c r="G172">
        <v>-592.31549428573544</v>
      </c>
      <c r="H172">
        <v>-511.27557399482481</v>
      </c>
      <c r="I172">
        <v>77.836930596850095</v>
      </c>
      <c r="J172">
        <v>44.282392229085502</v>
      </c>
      <c r="K172">
        <v>14.8021325343058</v>
      </c>
      <c r="L172">
        <v>2.8288355640836083E-5</v>
      </c>
      <c r="M172">
        <v>1.8016654453451083E-6</v>
      </c>
      <c r="N172" s="1">
        <v>-1.3148100547953701E-7</v>
      </c>
      <c r="O172" s="1">
        <v>1.4166413118283599E-10</v>
      </c>
      <c r="P172" s="1">
        <v>6.7756425107399E-10</v>
      </c>
      <c r="Q172">
        <v>65.964746315840401</v>
      </c>
      <c r="S172">
        <v>19.1030420532425</v>
      </c>
      <c r="AA172">
        <v>0.368233536479674</v>
      </c>
      <c r="AB172">
        <v>4.7449314406295304</v>
      </c>
      <c r="AC172">
        <v>9.8190466538078809</v>
      </c>
      <c r="AJ172">
        <v>0.41590716933573901</v>
      </c>
      <c r="AK172">
        <v>1.7836128568829102E-2</v>
      </c>
      <c r="AL172">
        <v>0.566256702095431</v>
      </c>
    </row>
    <row r="173" spans="1:38" x14ac:dyDescent="0.2">
      <c r="A173">
        <v>147</v>
      </c>
      <c r="B173">
        <v>766</v>
      </c>
      <c r="C173">
        <v>100</v>
      </c>
      <c r="D173">
        <v>0.49453928691719501</v>
      </c>
      <c r="E173">
        <v>18.298833323600999</v>
      </c>
      <c r="F173">
        <v>2.5715157978966499</v>
      </c>
      <c r="G173">
        <v>-297.82051198765748</v>
      </c>
      <c r="H173">
        <v>-257.60683222327674</v>
      </c>
      <c r="I173">
        <v>38.698628460165203</v>
      </c>
      <c r="J173">
        <v>22.220244566326201</v>
      </c>
      <c r="K173">
        <v>7.1159715754297101</v>
      </c>
      <c r="L173">
        <v>3.0378105384182764E-5</v>
      </c>
      <c r="M173">
        <v>1.7980260397306463E-6</v>
      </c>
      <c r="N173" s="1">
        <v>-1.6623551957381901E-7</v>
      </c>
      <c r="O173" s="1">
        <v>6.2919608009550906E-11</v>
      </c>
      <c r="P173" s="1">
        <v>6.3746469582119298E-10</v>
      </c>
      <c r="Q173">
        <v>64.429774866614295</v>
      </c>
      <c r="S173">
        <v>21.907242980253098</v>
      </c>
      <c r="AA173">
        <v>3.0398926172571898</v>
      </c>
      <c r="AB173">
        <v>8.6759071690602703</v>
      </c>
      <c r="AC173">
        <v>1.9471823668149999</v>
      </c>
      <c r="AJ173">
        <v>0.745554295743036</v>
      </c>
      <c r="AK173">
        <v>0.14435552594012199</v>
      </c>
      <c r="AL173">
        <v>0.11009017831684099</v>
      </c>
    </row>
    <row r="174" spans="1:38" x14ac:dyDescent="0.2">
      <c r="A174">
        <v>147</v>
      </c>
      <c r="B174">
        <v>766</v>
      </c>
      <c r="C174">
        <v>100</v>
      </c>
      <c r="D174">
        <v>0.49453928691719501</v>
      </c>
      <c r="E174">
        <v>37.620487835647602</v>
      </c>
      <c r="F174">
        <v>2.51807599772832</v>
      </c>
      <c r="G174">
        <v>-597.60448224155482</v>
      </c>
      <c r="H174">
        <v>-516.06747337341142</v>
      </c>
      <c r="I174">
        <v>78.465100195489896</v>
      </c>
      <c r="J174">
        <v>44.694834785028299</v>
      </c>
      <c r="K174">
        <v>14.940171730156999</v>
      </c>
      <c r="L174">
        <v>2.829161431565311E-5</v>
      </c>
      <c r="M174">
        <v>1.8016844316990046E-6</v>
      </c>
      <c r="N174" s="1">
        <v>-1.4262525168307001E-7</v>
      </c>
      <c r="O174" s="1">
        <v>1.4294175912570699E-10</v>
      </c>
      <c r="P174" s="1">
        <v>7.1274690703371495E-10</v>
      </c>
      <c r="Q174">
        <v>65.962542492425101</v>
      </c>
      <c r="S174">
        <v>19.094788198818701</v>
      </c>
      <c r="AA174">
        <v>0.36193825413307601</v>
      </c>
      <c r="AB174">
        <v>4.7183817858667298</v>
      </c>
      <c r="AC174">
        <v>9.8623492687563008</v>
      </c>
      <c r="AJ174">
        <v>0.41363579378021897</v>
      </c>
      <c r="AK174">
        <v>1.7533568401788699E-2</v>
      </c>
      <c r="AL174">
        <v>0.56883063781799104</v>
      </c>
    </row>
    <row r="175" spans="1:38" x14ac:dyDescent="0.2">
      <c r="A175">
        <v>148</v>
      </c>
      <c r="B175">
        <v>764</v>
      </c>
      <c r="C175">
        <v>100</v>
      </c>
      <c r="D175">
        <v>0.49342959070530001</v>
      </c>
      <c r="E175">
        <v>18.464741023475099</v>
      </c>
      <c r="F175">
        <v>2.5718261241183602</v>
      </c>
      <c r="G175">
        <v>-300.46108312142485</v>
      </c>
      <c r="H175">
        <v>-260.00572134595399</v>
      </c>
      <c r="I175">
        <v>39.006278528149998</v>
      </c>
      <c r="J175">
        <v>22.431228843862002</v>
      </c>
      <c r="K175">
        <v>7.1796226231292897</v>
      </c>
      <c r="L175">
        <v>3.0432230106569262E-5</v>
      </c>
      <c r="M175">
        <v>1.7982551116020307E-6</v>
      </c>
      <c r="N175" s="1">
        <v>-1.78770293121513E-7</v>
      </c>
      <c r="O175" s="1">
        <v>6.3377785591617397E-11</v>
      </c>
      <c r="P175" s="1">
        <v>6.7525733618519299E-10</v>
      </c>
      <c r="Q175">
        <v>64.423650244825595</v>
      </c>
      <c r="S175">
        <v>21.9158801551099</v>
      </c>
      <c r="AA175">
        <v>3.0484474717171399</v>
      </c>
      <c r="AB175">
        <v>8.6849022545897991</v>
      </c>
      <c r="AC175">
        <v>1.92711987375739</v>
      </c>
      <c r="AJ175">
        <v>0.74629374718438202</v>
      </c>
      <c r="AK175">
        <v>0.14475526684732901</v>
      </c>
      <c r="AL175">
        <v>0.10895098596828801</v>
      </c>
    </row>
    <row r="176" spans="1:38" x14ac:dyDescent="0.2">
      <c r="A176">
        <v>148</v>
      </c>
      <c r="B176">
        <v>764</v>
      </c>
      <c r="C176">
        <v>100</v>
      </c>
      <c r="D176">
        <v>0.49342959070530001</v>
      </c>
      <c r="E176">
        <v>37.888021391438301</v>
      </c>
      <c r="F176">
        <v>2.5180862396405801</v>
      </c>
      <c r="G176">
        <v>-601.62119716703796</v>
      </c>
      <c r="H176">
        <v>-519.76411125568995</v>
      </c>
      <c r="I176">
        <v>78.925021367543806</v>
      </c>
      <c r="J176">
        <v>45.013047088513297</v>
      </c>
      <c r="K176">
        <v>15.046355758191201</v>
      </c>
      <c r="L176">
        <v>2.8297170811689808E-5</v>
      </c>
      <c r="M176">
        <v>1.8017233062581897E-6</v>
      </c>
      <c r="N176" s="1">
        <v>-1.5429271385382701E-7</v>
      </c>
      <c r="O176" s="1">
        <v>1.4390704325402301E-10</v>
      </c>
      <c r="P176" s="1">
        <v>7.4877743051858703E-10</v>
      </c>
      <c r="Q176">
        <v>65.960753439578298</v>
      </c>
      <c r="S176">
        <v>19.086788468130599</v>
      </c>
      <c r="AA176">
        <v>0.35575584542862898</v>
      </c>
      <c r="AB176">
        <v>4.6934226434882396</v>
      </c>
      <c r="AC176">
        <v>9.9032796033740595</v>
      </c>
      <c r="AJ176">
        <v>0.411499933297929</v>
      </c>
      <c r="AK176">
        <v>1.7236256164459E-2</v>
      </c>
      <c r="AL176">
        <v>0.57126381053761099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93A92-769F-4110-AC67-8390A1618190}">
  <sheetPr codeName="Sheet12"/>
  <dimension ref="A1:AJ124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758</v>
      </c>
      <c r="C2">
        <v>300</v>
      </c>
      <c r="D2">
        <v>0.27672065169955901</v>
      </c>
      <c r="E2">
        <v>0.17308128004543</v>
      </c>
      <c r="F2">
        <v>2.5446339321928</v>
      </c>
      <c r="G2">
        <v>-2.8209854713343314</v>
      </c>
      <c r="H2">
        <v>-2.4693798072022766</v>
      </c>
      <c r="I2">
        <v>0.34098401215347401</v>
      </c>
      <c r="J2">
        <v>0.200606106851236</v>
      </c>
      <c r="K2">
        <v>6.8018145107528002E-2</v>
      </c>
      <c r="L2">
        <v>0</v>
      </c>
      <c r="M2">
        <v>1.2383389820830548E-6</v>
      </c>
      <c r="N2">
        <v>0</v>
      </c>
      <c r="O2" s="1">
        <v>9.6767577057109795E-14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756</v>
      </c>
      <c r="C3">
        <v>300</v>
      </c>
      <c r="D3">
        <v>0.27517903123937498</v>
      </c>
      <c r="E3">
        <v>0.61225690270263</v>
      </c>
      <c r="F3">
        <v>2.5446339321928</v>
      </c>
      <c r="G3">
        <v>-9.9765296716263681</v>
      </c>
      <c r="H3">
        <v>-8.7365915357220363</v>
      </c>
      <c r="I3">
        <v>1.20481769995076</v>
      </c>
      <c r="J3">
        <v>0.70944348585122796</v>
      </c>
      <c r="K3">
        <v>0.24060706530586301</v>
      </c>
      <c r="L3">
        <v>0</v>
      </c>
      <c r="M3">
        <v>1.2383389820830548E-6</v>
      </c>
      <c r="N3">
        <v>0</v>
      </c>
      <c r="O3" s="1">
        <v>3.4230517012280702E-13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754</v>
      </c>
      <c r="C4">
        <v>300</v>
      </c>
      <c r="D4">
        <v>0.27363140729202201</v>
      </c>
      <c r="E4">
        <v>1.0470437843795699</v>
      </c>
      <c r="F4">
        <v>2.5446339321928</v>
      </c>
      <c r="G4">
        <v>-17.05712387538366</v>
      </c>
      <c r="H4">
        <v>-14.943203207345837</v>
      </c>
      <c r="I4">
        <v>2.05804475299403</v>
      </c>
      <c r="J4">
        <v>1.21293775920821</v>
      </c>
      <c r="K4">
        <v>0.41147128124527399</v>
      </c>
      <c r="L4">
        <v>0</v>
      </c>
      <c r="M4">
        <v>1.2383389820830548E-6</v>
      </c>
      <c r="N4">
        <v>0</v>
      </c>
      <c r="O4" s="1">
        <v>5.8538907304431801E-13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752</v>
      </c>
      <c r="C5">
        <v>300</v>
      </c>
      <c r="D5">
        <v>0.27207774472028401</v>
      </c>
      <c r="E5">
        <v>1.4775158129182899</v>
      </c>
      <c r="F5">
        <v>2.5446339321928</v>
      </c>
      <c r="G5">
        <v>-24.064029154121467</v>
      </c>
      <c r="H5">
        <v>-21.09023822682984</v>
      </c>
      <c r="I5">
        <v>2.9008349288315101</v>
      </c>
      <c r="J5">
        <v>1.7111767025356099</v>
      </c>
      <c r="K5">
        <v>0.58063982965324301</v>
      </c>
      <c r="L5">
        <v>0</v>
      </c>
      <c r="M5">
        <v>1.2383389820830548E-6</v>
      </c>
      <c r="N5">
        <v>0</v>
      </c>
      <c r="O5" s="1">
        <v>8.2606059558920101E-13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750</v>
      </c>
      <c r="C6">
        <v>300</v>
      </c>
      <c r="D6">
        <v>0.270518008112205</v>
      </c>
      <c r="E6">
        <v>1.90374528529792</v>
      </c>
      <c r="F6">
        <v>2.5446339321928</v>
      </c>
      <c r="G6">
        <v>-30.99847941009352</v>
      </c>
      <c r="H6">
        <v>-27.178697982661628</v>
      </c>
      <c r="I6">
        <v>3.7333542759437899</v>
      </c>
      <c r="J6">
        <v>2.2042461810165301</v>
      </c>
      <c r="K6">
        <v>0.74814112207385397</v>
      </c>
      <c r="L6">
        <v>0</v>
      </c>
      <c r="M6">
        <v>1.238338982083055E-6</v>
      </c>
      <c r="N6">
        <v>0</v>
      </c>
      <c r="O6" s="1">
        <v>1.06436015809348E-12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748</v>
      </c>
      <c r="C7">
        <v>300</v>
      </c>
      <c r="D7">
        <v>0.26895216177838999</v>
      </c>
      <c r="E7">
        <v>2.32580294979685</v>
      </c>
      <c r="F7">
        <v>2.5446339321928</v>
      </c>
      <c r="G7">
        <v>-37.861682096890306</v>
      </c>
      <c r="H7">
        <v>-33.209562430302213</v>
      </c>
      <c r="I7">
        <v>4.5557652319327104</v>
      </c>
      <c r="J7">
        <v>2.6922301998367599</v>
      </c>
      <c r="K7">
        <v>0.91400296143682402</v>
      </c>
      <c r="L7">
        <v>0</v>
      </c>
      <c r="M7">
        <v>1.238338982083055E-6</v>
      </c>
      <c r="N7">
        <v>0</v>
      </c>
      <c r="O7" s="1">
        <v>1.3003273150339901E-12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746</v>
      </c>
      <c r="C8">
        <v>300</v>
      </c>
      <c r="D8">
        <v>0.26738016974930101</v>
      </c>
      <c r="E8">
        <v>2.74375805057119</v>
      </c>
      <c r="F8">
        <v>2.5446339321928</v>
      </c>
      <c r="G8">
        <v>-44.654818978275543</v>
      </c>
      <c r="H8">
        <v>-39.183790710533351</v>
      </c>
      <c r="I8">
        <v>5.3682267259404304</v>
      </c>
      <c r="J8">
        <v>3.17521095735979</v>
      </c>
      <c r="K8">
        <v>1.0782525595761401</v>
      </c>
      <c r="L8">
        <v>0</v>
      </c>
      <c r="M8">
        <v>1.238338982083055E-6</v>
      </c>
      <c r="N8">
        <v>0</v>
      </c>
      <c r="O8" s="1">
        <v>1.5340007799516099E-12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744</v>
      </c>
      <c r="C9">
        <v>300</v>
      </c>
      <c r="D9">
        <v>0.26580199577250502</v>
      </c>
      <c r="E9">
        <v>3.1576783705265501</v>
      </c>
      <c r="F9">
        <v>2.5446339321928</v>
      </c>
      <c r="G9">
        <v>-51.379046858109952</v>
      </c>
      <c r="H9">
        <v>-45.102321744056361</v>
      </c>
      <c r="I9">
        <v>6.1708942771996096</v>
      </c>
      <c r="J9">
        <v>3.6532688962677602</v>
      </c>
      <c r="K9">
        <v>1.2409165540779601</v>
      </c>
      <c r="L9">
        <v>0</v>
      </c>
      <c r="M9">
        <v>1.2383389820830546E-6</v>
      </c>
      <c r="N9">
        <v>0</v>
      </c>
      <c r="O9" s="1">
        <v>1.7654184494203799E-12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742</v>
      </c>
      <c r="C10">
        <v>300</v>
      </c>
      <c r="D10">
        <v>0.264217603309855</v>
      </c>
      <c r="E10">
        <v>3.5676302703856502</v>
      </c>
      <c r="F10">
        <v>2.5446339321928</v>
      </c>
      <c r="G10">
        <v>-58.035498247294115</v>
      </c>
      <c r="H10">
        <v>-50.966074772351682</v>
      </c>
      <c r="I10">
        <v>6.9639200856449097</v>
      </c>
      <c r="J10">
        <v>4.1264827502447998</v>
      </c>
      <c r="K10">
        <v>1.40202102363356</v>
      </c>
      <c r="L10">
        <v>0</v>
      </c>
      <c r="M10">
        <v>1.2383389820830548E-6</v>
      </c>
      <c r="N10">
        <v>0</v>
      </c>
      <c r="O10" s="1">
        <v>1.9946174248896501E-12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740</v>
      </c>
      <c r="C11">
        <v>300</v>
      </c>
      <c r="D11">
        <v>0.26262695553471999</v>
      </c>
      <c r="E11">
        <v>3.9736787280891401</v>
      </c>
      <c r="F11">
        <v>2.5446339321928</v>
      </c>
      <c r="G11">
        <v>-64.625282035126816</v>
      </c>
      <c r="H11">
        <v>-56.775949903853011</v>
      </c>
      <c r="I11">
        <v>7.7474531227101604</v>
      </c>
      <c r="J11">
        <v>4.5949295909946004</v>
      </c>
      <c r="K11">
        <v>1.56159150352321</v>
      </c>
      <c r="L11">
        <v>0</v>
      </c>
      <c r="M11">
        <v>1.2383389820830548E-6</v>
      </c>
      <c r="N11">
        <v>0</v>
      </c>
      <c r="O11" s="1">
        <v>2.22163403471268E-12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738</v>
      </c>
      <c r="C12">
        <v>300</v>
      </c>
      <c r="D12">
        <v>0.26103001532908299</v>
      </c>
      <c r="E12">
        <v>4.3758873776576896</v>
      </c>
      <c r="F12">
        <v>2.5446339321928</v>
      </c>
      <c r="G12">
        <v>-71.149484150892121</v>
      </c>
      <c r="H12">
        <v>-62.532828652977393</v>
      </c>
      <c r="I12">
        <v>8.5216392206049694</v>
      </c>
      <c r="J12">
        <v>5.0586848745822701</v>
      </c>
      <c r="K12">
        <v>1.7196530008883499</v>
      </c>
      <c r="L12">
        <v>0</v>
      </c>
      <c r="M12">
        <v>1.238338982083055E-6</v>
      </c>
      <c r="N12">
        <v>0</v>
      </c>
      <c r="O12" s="1">
        <v>2.4465038558738402E-12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736</v>
      </c>
      <c r="C13">
        <v>300</v>
      </c>
      <c r="D13">
        <v>0.25942674528068399</v>
      </c>
      <c r="E13">
        <v>4.9201964412425996</v>
      </c>
      <c r="F13">
        <v>2.5446339321928</v>
      </c>
      <c r="G13">
        <v>-79.980493438462034</v>
      </c>
      <c r="H13">
        <v>-70.32255341464851</v>
      </c>
      <c r="I13">
        <v>9.5703711279923898</v>
      </c>
      <c r="J13">
        <v>5.6864179242024298</v>
      </c>
      <c r="K13">
        <v>1.93355766383367</v>
      </c>
      <c r="L13">
        <v>0</v>
      </c>
      <c r="M13">
        <v>1.2383389820830548E-6</v>
      </c>
      <c r="N13">
        <v>0</v>
      </c>
      <c r="O13" s="1">
        <v>2.7508202397110202E-12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734</v>
      </c>
      <c r="C14">
        <v>300</v>
      </c>
      <c r="D14">
        <v>0.25781710768008598</v>
      </c>
      <c r="E14">
        <v>24.0190546217598</v>
      </c>
      <c r="F14">
        <v>2.5446339321928</v>
      </c>
      <c r="G14">
        <v>-390.34953010897806</v>
      </c>
      <c r="H14">
        <v>-343.35100238229268</v>
      </c>
      <c r="I14">
        <v>46.664873878454401</v>
      </c>
      <c r="J14">
        <v>27.7521441203824</v>
      </c>
      <c r="K14">
        <v>9.4391001856450796</v>
      </c>
      <c r="L14">
        <v>0</v>
      </c>
      <c r="M14">
        <v>1.2383389820830548E-6</v>
      </c>
      <c r="N14">
        <v>0</v>
      </c>
      <c r="O14" s="1">
        <v>1.3428752770605801E-11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732</v>
      </c>
      <c r="C15">
        <v>300</v>
      </c>
      <c r="D15">
        <v>0.256201064517732</v>
      </c>
      <c r="E15">
        <v>28.879426413999202</v>
      </c>
      <c r="F15">
        <v>2.5446339321928</v>
      </c>
      <c r="G15">
        <v>-469.22649500091143</v>
      </c>
      <c r="H15">
        <v>-412.89646413299442</v>
      </c>
      <c r="I15">
        <v>56.041417567444597</v>
      </c>
      <c r="J15">
        <v>33.358994318647198</v>
      </c>
      <c r="K15">
        <v>11.349147729517499</v>
      </c>
      <c r="L15">
        <v>0</v>
      </c>
      <c r="M15">
        <v>1.2383389820830548E-6</v>
      </c>
      <c r="N15">
        <v>0</v>
      </c>
      <c r="O15" s="1">
        <v>1.6146125797938899E-11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730</v>
      </c>
      <c r="C16">
        <v>300</v>
      </c>
      <c r="D16">
        <v>0.25457857748093798</v>
      </c>
      <c r="E16">
        <v>30.5228364061315</v>
      </c>
      <c r="F16">
        <v>2.5446339321928</v>
      </c>
      <c r="G16">
        <v>-495.80986409430523</v>
      </c>
      <c r="H16">
        <v>-436.4632176334735</v>
      </c>
      <c r="I16">
        <v>59.160291542472898</v>
      </c>
      <c r="J16">
        <v>35.247837595084597</v>
      </c>
      <c r="K16">
        <v>11.994981289834801</v>
      </c>
      <c r="L16">
        <v>0</v>
      </c>
      <c r="M16">
        <v>1.238338982083055E-6</v>
      </c>
      <c r="N16">
        <v>0</v>
      </c>
      <c r="O16" s="1">
        <v>1.7064935752477802E-11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728</v>
      </c>
      <c r="C17">
        <v>300</v>
      </c>
      <c r="D17">
        <v>0.25294960795086002</v>
      </c>
      <c r="E17">
        <v>31.4038436971158</v>
      </c>
      <c r="F17">
        <v>2.5446339321928</v>
      </c>
      <c r="G17">
        <v>-509.99919389648346</v>
      </c>
      <c r="H17">
        <v>-449.13375742750969</v>
      </c>
      <c r="I17">
        <v>60.795521619111703</v>
      </c>
      <c r="J17">
        <v>36.255428864762301</v>
      </c>
      <c r="K17">
        <v>12.341202913243301</v>
      </c>
      <c r="L17">
        <v>0</v>
      </c>
      <c r="M17">
        <v>1.238338982083055E-6</v>
      </c>
      <c r="N17">
        <v>0</v>
      </c>
      <c r="O17" s="1">
        <v>1.7557495900495101E-11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726</v>
      </c>
      <c r="C18">
        <v>300</v>
      </c>
      <c r="D18">
        <v>0.251314116999449</v>
      </c>
      <c r="E18">
        <v>31.970198511968999</v>
      </c>
      <c r="F18">
        <v>2.5446339321928</v>
      </c>
      <c r="G18">
        <v>-519.07309990782687</v>
      </c>
      <c r="H18">
        <v>-457.30750012650441</v>
      </c>
      <c r="I18">
        <v>61.8181452047465</v>
      </c>
      <c r="J18">
        <v>36.899260676562399</v>
      </c>
      <c r="K18">
        <v>12.5637712000559</v>
      </c>
      <c r="L18">
        <v>0</v>
      </c>
      <c r="M18">
        <v>1.2383389820830546E-6</v>
      </c>
      <c r="N18">
        <v>0</v>
      </c>
      <c r="O18" s="1">
        <v>1.7874137787899601E-11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724</v>
      </c>
      <c r="C19">
        <v>300</v>
      </c>
      <c r="D19">
        <v>0.249672065386352</v>
      </c>
      <c r="E19">
        <v>32.372753805852497</v>
      </c>
      <c r="F19">
        <v>2.5446339321928</v>
      </c>
      <c r="G19">
        <v>-525.4839318420178</v>
      </c>
      <c r="H19">
        <v>-463.14044141518144</v>
      </c>
      <c r="I19">
        <v>62.5216772068759</v>
      </c>
      <c r="J19">
        <v>37.353689674608802</v>
      </c>
      <c r="K19">
        <v>12.721968923033099</v>
      </c>
      <c r="L19">
        <v>0</v>
      </c>
      <c r="M19">
        <v>1.238338982083055E-6</v>
      </c>
      <c r="N19">
        <v>0</v>
      </c>
      <c r="O19" s="1">
        <v>1.8099201413557999E-11</v>
      </c>
      <c r="P19">
        <v>0</v>
      </c>
      <c r="Q19">
        <v>100</v>
      </c>
      <c r="AJ19">
        <v>1</v>
      </c>
    </row>
    <row r="20" spans="1:36" x14ac:dyDescent="0.2">
      <c r="A20">
        <v>21</v>
      </c>
      <c r="B20">
        <v>758</v>
      </c>
      <c r="C20">
        <v>275</v>
      </c>
      <c r="D20">
        <v>0.303389904475587</v>
      </c>
      <c r="E20">
        <v>0.14785287203721401</v>
      </c>
      <c r="F20">
        <v>2.54384628309294</v>
      </c>
      <c r="G20">
        <v>-2.4112501344817088</v>
      </c>
      <c r="H20">
        <v>-2.1108946757467635</v>
      </c>
      <c r="I20">
        <v>0.29128202369679002</v>
      </c>
      <c r="J20">
        <v>0.171365667265544</v>
      </c>
      <c r="K20">
        <v>5.81217792206562E-2</v>
      </c>
      <c r="L20">
        <v>0</v>
      </c>
      <c r="M20">
        <v>1.2383112330061072E-6</v>
      </c>
      <c r="N20">
        <v>0</v>
      </c>
      <c r="O20" s="1">
        <v>8.2662689946716403E-14</v>
      </c>
      <c r="P20">
        <v>0</v>
      </c>
      <c r="Q20">
        <v>100</v>
      </c>
      <c r="AJ20">
        <v>1</v>
      </c>
    </row>
    <row r="21" spans="1:36" x14ac:dyDescent="0.2">
      <c r="A21">
        <v>22</v>
      </c>
      <c r="B21">
        <v>756</v>
      </c>
      <c r="C21">
        <v>275</v>
      </c>
      <c r="D21">
        <v>0.30190011174270298</v>
      </c>
      <c r="E21">
        <v>0.57534570214070402</v>
      </c>
      <c r="F21">
        <v>2.54384628309294</v>
      </c>
      <c r="G21">
        <v>-9.3807269224367715</v>
      </c>
      <c r="H21">
        <v>-8.2155410759990311</v>
      </c>
      <c r="I21">
        <v>1.1321827201454899</v>
      </c>
      <c r="J21">
        <v>0.66667318685089905</v>
      </c>
      <c r="K21">
        <v>0.22617156782019401</v>
      </c>
      <c r="L21">
        <v>0</v>
      </c>
      <c r="M21">
        <v>1.238311233006107E-6</v>
      </c>
      <c r="N21">
        <v>0</v>
      </c>
      <c r="O21" s="1">
        <v>3.2166857993980601E-13</v>
      </c>
      <c r="P21">
        <v>0</v>
      </c>
      <c r="Q21">
        <v>100</v>
      </c>
      <c r="AJ21">
        <v>1</v>
      </c>
    </row>
    <row r="22" spans="1:36" x14ac:dyDescent="0.2">
      <c r="A22">
        <v>23</v>
      </c>
      <c r="B22">
        <v>754</v>
      </c>
      <c r="C22">
        <v>275</v>
      </c>
      <c r="D22">
        <v>0.30040451735384299</v>
      </c>
      <c r="E22">
        <v>0.99862633644231402</v>
      </c>
      <c r="F22">
        <v>2.54384628309294</v>
      </c>
      <c r="G22">
        <v>-16.27818016965773</v>
      </c>
      <c r="H22">
        <v>-14.262011520604355</v>
      </c>
      <c r="I22">
        <v>1.96287655070182</v>
      </c>
      <c r="J22">
        <v>1.15684903428215</v>
      </c>
      <c r="K22">
        <v>0.39256551902504599</v>
      </c>
      <c r="L22">
        <v>0</v>
      </c>
      <c r="M22">
        <v>1.2383112330061072E-6</v>
      </c>
      <c r="N22">
        <v>0</v>
      </c>
      <c r="O22" s="1">
        <v>5.5831948398796499E-13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752</v>
      </c>
      <c r="C23">
        <v>275</v>
      </c>
      <c r="D23">
        <v>0.29890308735307097</v>
      </c>
      <c r="E23">
        <v>1.41776337615217</v>
      </c>
      <c r="F23">
        <v>2.54384628309294</v>
      </c>
      <c r="G23">
        <v>-23.104783280150404</v>
      </c>
      <c r="H23">
        <v>-20.251255874091537</v>
      </c>
      <c r="I23">
        <v>2.7835218319844501</v>
      </c>
      <c r="J23">
        <v>1.64197475097615</v>
      </c>
      <c r="K23">
        <v>0.55733060034916404</v>
      </c>
      <c r="L23">
        <v>0</v>
      </c>
      <c r="M23">
        <v>1.2383112330061072E-6</v>
      </c>
      <c r="N23">
        <v>0</v>
      </c>
      <c r="O23" s="1">
        <v>7.9265375616903102E-13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750</v>
      </c>
      <c r="C24">
        <v>275</v>
      </c>
      <c r="D24">
        <v>0.29739578751893703</v>
      </c>
      <c r="E24">
        <v>1.8328239514431801</v>
      </c>
      <c r="F24">
        <v>2.54384628309294</v>
      </c>
      <c r="G24">
        <v>-29.861684512728282</v>
      </c>
      <c r="H24">
        <v>-26.184203631466708</v>
      </c>
      <c r="I24">
        <v>3.5942734508738399</v>
      </c>
      <c r="J24">
        <v>2.1221301119661198</v>
      </c>
      <c r="K24">
        <v>0.720493201033648</v>
      </c>
      <c r="L24">
        <v>0</v>
      </c>
      <c r="M24">
        <v>1.2383112330061072E-6</v>
      </c>
      <c r="N24">
        <v>0</v>
      </c>
      <c r="O24" s="1">
        <v>1.0247089281223299E-12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748</v>
      </c>
      <c r="C25">
        <v>275</v>
      </c>
      <c r="D25">
        <v>0.29588258336189799</v>
      </c>
      <c r="E25">
        <v>2.2438737582803099</v>
      </c>
      <c r="F25">
        <v>2.54384628309294</v>
      </c>
      <c r="G25">
        <v>-36.550007612584935</v>
      </c>
      <c r="H25">
        <v>-32.061764427086977</v>
      </c>
      <c r="I25">
        <v>4.3952829510825602</v>
      </c>
      <c r="J25">
        <v>2.5973931700409598</v>
      </c>
      <c r="K25">
        <v>0.88207914652456598</v>
      </c>
      <c r="L25">
        <v>0</v>
      </c>
      <c r="M25">
        <v>1.2383112330061072E-6</v>
      </c>
      <c r="N25">
        <v>0</v>
      </c>
      <c r="O25" s="1">
        <v>1.25452172963953E-12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746</v>
      </c>
      <c r="C26">
        <v>275</v>
      </c>
      <c r="D26">
        <v>0.29436344012167098</v>
      </c>
      <c r="E26">
        <v>2.6509770979859701</v>
      </c>
      <c r="F26">
        <v>2.54384628309294</v>
      </c>
      <c r="G26">
        <v>-43.170852486465257</v>
      </c>
      <c r="H26">
        <v>-37.884828583155297</v>
      </c>
      <c r="I26">
        <v>5.1866986246479403</v>
      </c>
      <c r="J26">
        <v>3.06784030300435</v>
      </c>
      <c r="K26">
        <v>1.0421137140262899</v>
      </c>
      <c r="L26">
        <v>0</v>
      </c>
      <c r="M26">
        <v>1.238311233006107E-6</v>
      </c>
      <c r="N26">
        <v>0</v>
      </c>
      <c r="O26" s="1">
        <v>1.48212811078505E-12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744</v>
      </c>
      <c r="C27">
        <v>275</v>
      </c>
      <c r="D27">
        <v>0.29283832276459099</v>
      </c>
      <c r="E27">
        <v>3.0541969139743301</v>
      </c>
      <c r="F27">
        <v>2.54384628309294</v>
      </c>
      <c r="G27">
        <v>-49.725295830728648</v>
      </c>
      <c r="H27">
        <v>-43.654267618311017</v>
      </c>
      <c r="I27">
        <v>5.9686655974218503</v>
      </c>
      <c r="J27">
        <v>3.5335462576065999</v>
      </c>
      <c r="K27">
        <v>1.2006216469419999</v>
      </c>
      <c r="L27">
        <v>0</v>
      </c>
      <c r="M27">
        <v>1.2383112330061072E-6</v>
      </c>
      <c r="N27">
        <v>0</v>
      </c>
      <c r="O27" s="1">
        <v>1.7075632624338299E-12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742</v>
      </c>
      <c r="C28">
        <v>275</v>
      </c>
      <c r="D28">
        <v>0.291307195980888</v>
      </c>
      <c r="E28">
        <v>3.4535948282364699</v>
      </c>
      <c r="F28">
        <v>2.54384628309294</v>
      </c>
      <c r="G28">
        <v>-56.214391754409291</v>
      </c>
      <c r="H28">
        <v>-49.370934753178204</v>
      </c>
      <c r="I28">
        <v>6.7413259136394501</v>
      </c>
      <c r="J28">
        <v>3.9945841931405899</v>
      </c>
      <c r="K28">
        <v>1.3576271692161399</v>
      </c>
      <c r="L28">
        <v>0</v>
      </c>
      <c r="M28">
        <v>1.238311233006107E-6</v>
      </c>
      <c r="N28">
        <v>0</v>
      </c>
      <c r="O28" s="1">
        <v>1.93086163666971E-12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740</v>
      </c>
      <c r="C29">
        <v>275</v>
      </c>
      <c r="D29">
        <v>0.28977002418201098</v>
      </c>
      <c r="E29">
        <v>3.8492311758385802</v>
      </c>
      <c r="F29">
        <v>2.54384628309294</v>
      </c>
      <c r="G29">
        <v>-62.639172369003887</v>
      </c>
      <c r="H29">
        <v>-55.035665388020604</v>
      </c>
      <c r="I29">
        <v>7.5048186161804997</v>
      </c>
      <c r="J29">
        <v>4.4510257226921999</v>
      </c>
      <c r="K29">
        <v>1.5131539988959</v>
      </c>
      <c r="L29">
        <v>0</v>
      </c>
      <c r="M29">
        <v>1.2383112330061072E-6</v>
      </c>
      <c r="N29">
        <v>0</v>
      </c>
      <c r="O29" s="1">
        <v>2.1520569660729399E-12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738</v>
      </c>
      <c r="C30">
        <v>275</v>
      </c>
      <c r="D30">
        <v>0.28822677149780002</v>
      </c>
      <c r="E30">
        <v>22.291177009759501</v>
      </c>
      <c r="F30">
        <v>2.54384628309294</v>
      </c>
      <c r="G30">
        <v>-362.66112081750674</v>
      </c>
      <c r="H30">
        <v>-318.76707685357172</v>
      </c>
      <c r="I30">
        <v>43.410022216224</v>
      </c>
      <c r="J30">
        <v>25.769410920320901</v>
      </c>
      <c r="K30">
        <v>8.7627845903710497</v>
      </c>
      <c r="L30">
        <v>0</v>
      </c>
      <c r="M30">
        <v>1.2383112330061072E-6</v>
      </c>
      <c r="N30">
        <v>0</v>
      </c>
      <c r="O30" s="1">
        <v>1.24627180271569E-11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736</v>
      </c>
      <c r="C31">
        <v>275</v>
      </c>
      <c r="D31">
        <v>0.28667740177377199</v>
      </c>
      <c r="E31">
        <v>28.2611781313501</v>
      </c>
      <c r="F31">
        <v>2.54384628309294</v>
      </c>
      <c r="G31">
        <v>-459.67865836878536</v>
      </c>
      <c r="H31">
        <v>-404.20429537242552</v>
      </c>
      <c r="I31">
        <v>54.971374915879501</v>
      </c>
      <c r="J31">
        <v>32.662287330259602</v>
      </c>
      <c r="K31">
        <v>11.1096249483238</v>
      </c>
      <c r="L31">
        <v>0</v>
      </c>
      <c r="M31">
        <v>1.2383112330061072E-6</v>
      </c>
      <c r="N31">
        <v>0</v>
      </c>
      <c r="O31" s="1">
        <v>1.58004709222875E-11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734</v>
      </c>
      <c r="C32">
        <v>275</v>
      </c>
      <c r="D32">
        <v>0.28512187856823701</v>
      </c>
      <c r="E32">
        <v>30.150048129177101</v>
      </c>
      <c r="F32">
        <v>2.54384628309294</v>
      </c>
      <c r="G32">
        <v>-490.28461527594982</v>
      </c>
      <c r="H32">
        <v>-431.28945933520345</v>
      </c>
      <c r="I32">
        <v>58.576335144463499</v>
      </c>
      <c r="J32">
        <v>34.836028898463098</v>
      </c>
      <c r="K32">
        <v>11.8521501592144</v>
      </c>
      <c r="L32">
        <v>0</v>
      </c>
      <c r="M32">
        <v>1.238311233006107E-6</v>
      </c>
      <c r="N32">
        <v>0</v>
      </c>
      <c r="O32" s="1">
        <v>1.6856514493363599E-11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732</v>
      </c>
      <c r="C33">
        <v>275</v>
      </c>
      <c r="D33">
        <v>0.28356016514948101</v>
      </c>
      <c r="E33">
        <v>31.128617595551699</v>
      </c>
      <c r="F33">
        <v>2.54384628309294</v>
      </c>
      <c r="G33">
        <v>-506.07672632868736</v>
      </c>
      <c r="H33">
        <v>-445.35959279230167</v>
      </c>
      <c r="I33">
        <v>60.4060424179332</v>
      </c>
      <c r="J33">
        <v>35.957063780670602</v>
      </c>
      <c r="K33">
        <v>12.236831212027401</v>
      </c>
      <c r="L33">
        <v>0</v>
      </c>
      <c r="M33">
        <v>1.238311233006107E-6</v>
      </c>
      <c r="N33">
        <v>0</v>
      </c>
      <c r="O33" s="1">
        <v>1.7403620432366801E-11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730</v>
      </c>
      <c r="C34">
        <v>275</v>
      </c>
      <c r="D34">
        <v>0.28199222449285299</v>
      </c>
      <c r="E34">
        <v>31.747529777317101</v>
      </c>
      <c r="F34">
        <v>2.54384628309294</v>
      </c>
      <c r="G34">
        <v>-516.01561414871082</v>
      </c>
      <c r="H34">
        <v>-454.287752405145</v>
      </c>
      <c r="I34">
        <v>61.534029550481797</v>
      </c>
      <c r="J34">
        <v>36.662116152848498</v>
      </c>
      <c r="K34">
        <v>12.480129003202499</v>
      </c>
      <c r="L34">
        <v>0</v>
      </c>
      <c r="M34">
        <v>1.238311233006107E-6</v>
      </c>
      <c r="N34">
        <v>0</v>
      </c>
      <c r="O34" s="1">
        <v>1.7749646485703401E-11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728</v>
      </c>
      <c r="C35">
        <v>275</v>
      </c>
      <c r="D35">
        <v>0.280418019277831</v>
      </c>
      <c r="E35">
        <v>32.1832147539088</v>
      </c>
      <c r="F35">
        <v>2.54384628309294</v>
      </c>
      <c r="G35">
        <v>-522.97243505092479</v>
      </c>
      <c r="H35">
        <v>-460.59645866204471</v>
      </c>
      <c r="I35">
        <v>62.304326413504597</v>
      </c>
      <c r="J35">
        <v>37.155205089015098</v>
      </c>
      <c r="K35">
        <v>12.6513991697559</v>
      </c>
      <c r="L35">
        <v>0</v>
      </c>
      <c r="M35">
        <v>1.238311233006107E-6</v>
      </c>
      <c r="N35">
        <v>0</v>
      </c>
      <c r="O35" s="1">
        <v>1.7993232502249501E-11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726</v>
      </c>
      <c r="C36">
        <v>275</v>
      </c>
      <c r="D36">
        <v>0.27883751188509998</v>
      </c>
      <c r="E36">
        <v>32.511193083537599</v>
      </c>
      <c r="F36">
        <v>2.54384628309294</v>
      </c>
      <c r="G36">
        <v>-528.17623043102446</v>
      </c>
      <c r="H36">
        <v>-465.36544307669186</v>
      </c>
      <c r="I36">
        <v>62.864221942984003</v>
      </c>
      <c r="J36">
        <v>37.523664047515602</v>
      </c>
      <c r="K36">
        <v>12.7803292595214</v>
      </c>
      <c r="L36">
        <v>0</v>
      </c>
      <c r="M36">
        <v>1.238311233006107E-6</v>
      </c>
      <c r="N36">
        <v>0</v>
      </c>
      <c r="O36" s="1">
        <v>1.8176601080741001E-11</v>
      </c>
      <c r="P36">
        <v>0</v>
      </c>
      <c r="Q36">
        <v>100</v>
      </c>
      <c r="AJ36">
        <v>1</v>
      </c>
    </row>
    <row r="37" spans="1:36" x14ac:dyDescent="0.2">
      <c r="A37">
        <v>39</v>
      </c>
      <c r="B37">
        <v>758</v>
      </c>
      <c r="C37">
        <v>250</v>
      </c>
      <c r="D37">
        <v>0.330059157251614</v>
      </c>
      <c r="E37">
        <v>0.15331621343430901</v>
      </c>
      <c r="F37">
        <v>2.5430588954681599</v>
      </c>
      <c r="G37">
        <v>-2.5018556956590325</v>
      </c>
      <c r="H37">
        <v>-2.1904017415824675</v>
      </c>
      <c r="I37">
        <v>0.30204524470403399</v>
      </c>
      <c r="J37">
        <v>0.177697834717638</v>
      </c>
      <c r="K37">
        <v>6.0288109609858302E-2</v>
      </c>
      <c r="L37">
        <v>0</v>
      </c>
      <c r="M37">
        <v>1.2382833910659956E-6</v>
      </c>
      <c r="N37">
        <v>0</v>
      </c>
      <c r="O37" s="1">
        <v>8.57171757322036E-14</v>
      </c>
      <c r="P37">
        <v>0</v>
      </c>
      <c r="Q37">
        <v>100</v>
      </c>
      <c r="AJ37">
        <v>1</v>
      </c>
    </row>
    <row r="38" spans="1:36" x14ac:dyDescent="0.2">
      <c r="A38">
        <v>40</v>
      </c>
      <c r="B38">
        <v>756</v>
      </c>
      <c r="C38">
        <v>250</v>
      </c>
      <c r="D38">
        <v>0.32862119224602798</v>
      </c>
      <c r="E38">
        <v>0.56849731797776804</v>
      </c>
      <c r="F38">
        <v>2.5430588954681599</v>
      </c>
      <c r="G38">
        <v>-9.2746552587150966</v>
      </c>
      <c r="H38">
        <v>-8.1233387090634981</v>
      </c>
      <c r="I38">
        <v>1.1187062621110599</v>
      </c>
      <c r="J38">
        <v>0.65873772461020497</v>
      </c>
      <c r="K38">
        <v>0.22354862445020601</v>
      </c>
      <c r="L38">
        <v>0</v>
      </c>
      <c r="M38">
        <v>1.2382833910659956E-6</v>
      </c>
      <c r="N38">
        <v>0</v>
      </c>
      <c r="O38" s="1">
        <v>3.1783973408178198E-13</v>
      </c>
      <c r="P38">
        <v>0</v>
      </c>
      <c r="Q38">
        <v>100</v>
      </c>
      <c r="AJ38">
        <v>1</v>
      </c>
    </row>
    <row r="39" spans="1:36" x14ac:dyDescent="0.2">
      <c r="A39">
        <v>41</v>
      </c>
      <c r="B39">
        <v>754</v>
      </c>
      <c r="C39">
        <v>250</v>
      </c>
      <c r="D39">
        <v>0.32717762741566497</v>
      </c>
      <c r="E39">
        <v>0.97966836752445596</v>
      </c>
      <c r="F39">
        <v>2.5430588954681599</v>
      </c>
      <c r="G39">
        <v>-15.978783754923008</v>
      </c>
      <c r="H39">
        <v>-14.000890145478627</v>
      </c>
      <c r="I39">
        <v>1.9256132107719199</v>
      </c>
      <c r="J39">
        <v>1.1348873582936101</v>
      </c>
      <c r="K39">
        <v>0.38523227648021302</v>
      </c>
      <c r="L39">
        <v>0</v>
      </c>
      <c r="M39">
        <v>1.2382833910659956E-6</v>
      </c>
      <c r="N39">
        <v>0</v>
      </c>
      <c r="O39" s="1">
        <v>5.4772032088018303E-13</v>
      </c>
      <c r="P39">
        <v>0</v>
      </c>
      <c r="Q39">
        <v>100</v>
      </c>
      <c r="AJ39">
        <v>1</v>
      </c>
    </row>
    <row r="40" spans="1:36" x14ac:dyDescent="0.2">
      <c r="A40">
        <v>42</v>
      </c>
      <c r="B40">
        <v>752</v>
      </c>
      <c r="C40">
        <v>250</v>
      </c>
      <c r="D40">
        <v>0.32572842998585799</v>
      </c>
      <c r="E40">
        <v>1.3868925834649899</v>
      </c>
      <c r="F40">
        <v>2.5430588954681599</v>
      </c>
      <c r="G40">
        <v>-22.615324987550739</v>
      </c>
      <c r="H40">
        <v>-19.823931118343932</v>
      </c>
      <c r="I40">
        <v>2.72291261689197</v>
      </c>
      <c r="J40">
        <v>1.6062219145101999</v>
      </c>
      <c r="K40">
        <v>0.54536392607205897</v>
      </c>
      <c r="L40">
        <v>0</v>
      </c>
      <c r="M40">
        <v>1.2382833910659954E-6</v>
      </c>
      <c r="N40">
        <v>0</v>
      </c>
      <c r="O40" s="1">
        <v>7.7539428241550096E-13</v>
      </c>
      <c r="P40">
        <v>0</v>
      </c>
      <c r="Q40">
        <v>100</v>
      </c>
      <c r="AJ40">
        <v>1</v>
      </c>
    </row>
    <row r="41" spans="1:36" x14ac:dyDescent="0.2">
      <c r="A41">
        <v>43</v>
      </c>
      <c r="B41">
        <v>750</v>
      </c>
      <c r="C41">
        <v>250</v>
      </c>
      <c r="D41">
        <v>0.324273566925672</v>
      </c>
      <c r="E41">
        <v>1.79023184528739</v>
      </c>
      <c r="F41">
        <v>2.5430588954681599</v>
      </c>
      <c r="G41">
        <v>-29.185339794992775</v>
      </c>
      <c r="H41">
        <v>-25.593318106883512</v>
      </c>
      <c r="I41">
        <v>3.5107478748074699</v>
      </c>
      <c r="J41">
        <v>2.0728149603750001</v>
      </c>
      <c r="K41">
        <v>0.70396790592528602</v>
      </c>
      <c r="L41">
        <v>0</v>
      </c>
      <c r="M41">
        <v>1.2382833910659956E-6</v>
      </c>
      <c r="N41">
        <v>0</v>
      </c>
      <c r="O41" s="1">
        <v>1.00089621473488E-12</v>
      </c>
      <c r="P41">
        <v>0</v>
      </c>
      <c r="Q41">
        <v>100</v>
      </c>
      <c r="AJ41">
        <v>1</v>
      </c>
    </row>
    <row r="42" spans="1:36" x14ac:dyDescent="0.2">
      <c r="A42">
        <v>44</v>
      </c>
      <c r="B42">
        <v>748</v>
      </c>
      <c r="C42">
        <v>250</v>
      </c>
      <c r="D42">
        <v>0.32281300494540499</v>
      </c>
      <c r="E42">
        <v>2.1897467258867498</v>
      </c>
      <c r="F42">
        <v>2.5430588954681599</v>
      </c>
      <c r="G42">
        <v>-35.689866655175223</v>
      </c>
      <c r="H42">
        <v>-31.309889491058872</v>
      </c>
      <c r="I42">
        <v>4.2892593293016201</v>
      </c>
      <c r="J42">
        <v>2.5347384936204098</v>
      </c>
      <c r="K42">
        <v>0.86106803495152195</v>
      </c>
      <c r="L42">
        <v>0</v>
      </c>
      <c r="M42">
        <v>1.2382833910659954E-6</v>
      </c>
      <c r="N42">
        <v>0</v>
      </c>
      <c r="O42" s="1">
        <v>1.22425998338574E-12</v>
      </c>
      <c r="P42">
        <v>0</v>
      </c>
      <c r="Q42">
        <v>100</v>
      </c>
      <c r="AJ42">
        <v>1</v>
      </c>
    </row>
    <row r="43" spans="1:36" x14ac:dyDescent="0.2">
      <c r="A43">
        <v>45</v>
      </c>
      <c r="B43">
        <v>746</v>
      </c>
      <c r="C43">
        <v>250</v>
      </c>
      <c r="D43">
        <v>0.32134671049404001</v>
      </c>
      <c r="E43">
        <v>2.58549652378289</v>
      </c>
      <c r="F43">
        <v>2.5430588954681599</v>
      </c>
      <c r="G43">
        <v>-42.129922238665209</v>
      </c>
      <c r="H43">
        <v>-36.974465996880106</v>
      </c>
      <c r="I43">
        <v>5.0585843514547504</v>
      </c>
      <c r="J43">
        <v>2.99206298121734</v>
      </c>
      <c r="K43">
        <v>1.0166876309433299</v>
      </c>
      <c r="L43">
        <v>0</v>
      </c>
      <c r="M43">
        <v>1.2382833910659954E-6</v>
      </c>
      <c r="N43">
        <v>0</v>
      </c>
      <c r="O43" s="1">
        <v>1.44551874142819E-12</v>
      </c>
      <c r="P43">
        <v>0</v>
      </c>
      <c r="Q43">
        <v>100</v>
      </c>
      <c r="AJ43">
        <v>1</v>
      </c>
    </row>
    <row r="44" spans="1:36" x14ac:dyDescent="0.2">
      <c r="A44">
        <v>46</v>
      </c>
      <c r="B44">
        <v>744</v>
      </c>
      <c r="C44">
        <v>250</v>
      </c>
      <c r="D44">
        <v>0.31987464975667701</v>
      </c>
      <c r="E44">
        <v>3.6377003031155302</v>
      </c>
      <c r="F44">
        <v>2.5430588954681599</v>
      </c>
      <c r="G44">
        <v>-59.261053972545312</v>
      </c>
      <c r="H44">
        <v>-52.030157671299101</v>
      </c>
      <c r="I44">
        <v>7.1089773398674803</v>
      </c>
      <c r="J44">
        <v>4.2086291926874502</v>
      </c>
      <c r="K44">
        <v>1.4304428063376999</v>
      </c>
      <c r="L44">
        <v>0</v>
      </c>
      <c r="M44">
        <v>1.2382833910659954E-6</v>
      </c>
      <c r="N44">
        <v>0</v>
      </c>
      <c r="O44" s="1">
        <v>2.0337927030584001E-12</v>
      </c>
      <c r="P44">
        <v>0</v>
      </c>
      <c r="Q44">
        <v>100</v>
      </c>
      <c r="AJ44">
        <v>1</v>
      </c>
    </row>
    <row r="45" spans="1:36" x14ac:dyDescent="0.2">
      <c r="A45">
        <v>47</v>
      </c>
      <c r="B45">
        <v>742</v>
      </c>
      <c r="C45">
        <v>250</v>
      </c>
      <c r="D45">
        <v>0.318396788651924</v>
      </c>
      <c r="E45">
        <v>20.737522897269098</v>
      </c>
      <c r="F45">
        <v>2.5430588954681599</v>
      </c>
      <c r="G45">
        <v>-337.74986608065944</v>
      </c>
      <c r="H45">
        <v>-296.6575106314321</v>
      </c>
      <c r="I45">
        <v>40.479097127742001</v>
      </c>
      <c r="J45">
        <v>23.985958194355501</v>
      </c>
      <c r="K45">
        <v>8.1545586436178201</v>
      </c>
      <c r="L45">
        <v>0</v>
      </c>
      <c r="M45">
        <v>1.2382833910659954E-6</v>
      </c>
      <c r="N45">
        <v>0</v>
      </c>
      <c r="O45" s="1">
        <v>1.15940894613695E-11</v>
      </c>
      <c r="P45">
        <v>0</v>
      </c>
      <c r="Q45">
        <v>100</v>
      </c>
      <c r="AJ45">
        <v>1</v>
      </c>
    </row>
    <row r="46" spans="1:36" x14ac:dyDescent="0.2">
      <c r="A46">
        <v>48</v>
      </c>
      <c r="B46">
        <v>740</v>
      </c>
      <c r="C46">
        <v>250</v>
      </c>
      <c r="D46">
        <v>0.31691309282929903</v>
      </c>
      <c r="E46">
        <v>27.617321711787898</v>
      </c>
      <c r="F46">
        <v>2.5430588954681599</v>
      </c>
      <c r="G46">
        <v>-449.69267608246878</v>
      </c>
      <c r="H46">
        <v>-395.13931494642486</v>
      </c>
      <c r="I46">
        <v>53.845295500215997</v>
      </c>
      <c r="J46">
        <v>31.935055005953</v>
      </c>
      <c r="K46">
        <v>10.8598828603628</v>
      </c>
      <c r="L46">
        <v>0</v>
      </c>
      <c r="M46">
        <v>1.2382833910659954E-6</v>
      </c>
      <c r="N46">
        <v>0</v>
      </c>
      <c r="O46" s="1">
        <v>1.5440498857848499E-11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738</v>
      </c>
      <c r="C47">
        <v>250</v>
      </c>
      <c r="D47">
        <v>0.31542352766652099</v>
      </c>
      <c r="E47">
        <v>29.7927294030568</v>
      </c>
      <c r="F47">
        <v>2.5430588954681599</v>
      </c>
      <c r="G47">
        <v>-484.99872056551737</v>
      </c>
      <c r="H47">
        <v>-426.33320579028378</v>
      </c>
      <c r="I47">
        <v>58.018607303796202</v>
      </c>
      <c r="J47">
        <v>34.441478172694303</v>
      </c>
      <c r="K47">
        <v>11.7153123964799</v>
      </c>
      <c r="L47">
        <v>0</v>
      </c>
      <c r="M47">
        <v>1.2382833910659954E-6</v>
      </c>
      <c r="N47">
        <v>0</v>
      </c>
      <c r="O47" s="1">
        <v>1.6656742066474199E-11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736</v>
      </c>
      <c r="C48">
        <v>250</v>
      </c>
      <c r="D48">
        <v>0.31392805826685999</v>
      </c>
      <c r="E48">
        <v>30.863401040477701</v>
      </c>
      <c r="F48">
        <v>2.5430588954681599</v>
      </c>
      <c r="G48">
        <v>-502.30815092851702</v>
      </c>
      <c r="H48">
        <v>-441.72583887258668</v>
      </c>
      <c r="I48">
        <v>60.033010014299599</v>
      </c>
      <c r="J48">
        <v>35.669754038132901</v>
      </c>
      <c r="K48">
        <v>12.136329636516701</v>
      </c>
      <c r="L48">
        <v>0</v>
      </c>
      <c r="M48">
        <v>1.2382833910659954E-6</v>
      </c>
      <c r="N48">
        <v>0</v>
      </c>
      <c r="O48" s="1">
        <v>1.72553411763825E-11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734</v>
      </c>
      <c r="C49">
        <v>250</v>
      </c>
      <c r="D49">
        <v>0.31242664945638698</v>
      </c>
      <c r="E49">
        <v>31.5320023636752</v>
      </c>
      <c r="F49">
        <v>2.5430588954681599</v>
      </c>
      <c r="G49">
        <v>-513.06717914638716</v>
      </c>
      <c r="H49">
        <v>-451.36792783511652</v>
      </c>
      <c r="I49">
        <v>61.261233491804198</v>
      </c>
      <c r="J49">
        <v>36.432769223488997</v>
      </c>
      <c r="K49">
        <v>12.399241881447001</v>
      </c>
      <c r="L49">
        <v>0</v>
      </c>
      <c r="M49">
        <v>1.2382833910659956E-6</v>
      </c>
      <c r="N49">
        <v>0</v>
      </c>
      <c r="O49" s="1">
        <v>1.7629147806689501E-11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732</v>
      </c>
      <c r="C50">
        <v>250</v>
      </c>
      <c r="D50">
        <v>0.31091926578122597</v>
      </c>
      <c r="E50">
        <v>31.999130777919401</v>
      </c>
      <c r="F50">
        <v>2.5430588954681599</v>
      </c>
      <c r="G50">
        <v>-520.54370915043251</v>
      </c>
      <c r="H50">
        <v>-458.12861826092131</v>
      </c>
      <c r="I50">
        <v>62.095300094026904</v>
      </c>
      <c r="J50">
        <v>36.962604676414699</v>
      </c>
      <c r="K50">
        <v>12.582929492880799</v>
      </c>
      <c r="L50">
        <v>0</v>
      </c>
      <c r="M50">
        <v>1.2382833910659954E-6</v>
      </c>
      <c r="N50">
        <v>0</v>
      </c>
      <c r="O50" s="1">
        <v>1.78903134556209E-11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730</v>
      </c>
      <c r="C51">
        <v>250</v>
      </c>
      <c r="D51">
        <v>0.30940587150476501</v>
      </c>
      <c r="E51">
        <v>32.348998278269903</v>
      </c>
      <c r="F51">
        <v>2.5430588954681599</v>
      </c>
      <c r="G51">
        <v>-526.10968113224135</v>
      </c>
      <c r="H51">
        <v>-463.21236259218324</v>
      </c>
      <c r="I51">
        <v>62.699814125562597</v>
      </c>
      <c r="J51">
        <v>37.356693280545798</v>
      </c>
      <c r="K51">
        <v>12.720506920196399</v>
      </c>
      <c r="L51">
        <v>0</v>
      </c>
      <c r="M51">
        <v>1.2382833910659954E-6</v>
      </c>
      <c r="N51">
        <v>0</v>
      </c>
      <c r="O51" s="1">
        <v>1.8085919995456199E-11</v>
      </c>
      <c r="P51">
        <v>0</v>
      </c>
      <c r="Q51">
        <v>100</v>
      </c>
      <c r="AJ51">
        <v>1</v>
      </c>
    </row>
    <row r="52" spans="1:36" x14ac:dyDescent="0.2">
      <c r="A52">
        <v>55</v>
      </c>
      <c r="B52">
        <v>758</v>
      </c>
      <c r="C52">
        <v>225</v>
      </c>
      <c r="D52">
        <v>0.356728410027642</v>
      </c>
      <c r="E52">
        <v>0.209299242357635</v>
      </c>
      <c r="F52">
        <v>2.5422717692855801</v>
      </c>
      <c r="G52">
        <v>-3.4174598698812821</v>
      </c>
      <c r="H52">
        <v>-2.9922792894500732</v>
      </c>
      <c r="I52">
        <v>0.41233630454464199</v>
      </c>
      <c r="J52">
        <v>0.242583751202083</v>
      </c>
      <c r="K52">
        <v>8.2327642892581807E-2</v>
      </c>
      <c r="L52">
        <v>0</v>
      </c>
      <c r="M52">
        <v>1.2382554563563432E-6</v>
      </c>
      <c r="N52">
        <v>0</v>
      </c>
      <c r="O52" s="1">
        <v>1.17016586412586E-13</v>
      </c>
      <c r="P52">
        <v>0</v>
      </c>
      <c r="Q52">
        <v>100</v>
      </c>
      <c r="AJ52">
        <v>1</v>
      </c>
    </row>
    <row r="53" spans="1:36" x14ac:dyDescent="0.2">
      <c r="A53">
        <v>56</v>
      </c>
      <c r="B53">
        <v>756</v>
      </c>
      <c r="C53">
        <v>225</v>
      </c>
      <c r="D53">
        <v>0.35534227274935698</v>
      </c>
      <c r="E53">
        <v>0.61110586517702903</v>
      </c>
      <c r="F53">
        <v>2.5422717692855801</v>
      </c>
      <c r="G53">
        <v>-9.9757938557155192</v>
      </c>
      <c r="H53">
        <v>-8.7381867924663901</v>
      </c>
      <c r="I53">
        <v>1.20255265340244</v>
      </c>
      <c r="J53">
        <v>0.70810973841464797</v>
      </c>
      <c r="K53">
        <v>0.24037786697712399</v>
      </c>
      <c r="L53">
        <v>0</v>
      </c>
      <c r="M53">
        <v>1.2382554563563436E-6</v>
      </c>
      <c r="N53">
        <v>0</v>
      </c>
      <c r="O53" s="1">
        <v>3.4166163945083001E-13</v>
      </c>
      <c r="P53">
        <v>0</v>
      </c>
      <c r="Q53">
        <v>100</v>
      </c>
      <c r="AJ53">
        <v>1</v>
      </c>
    </row>
    <row r="54" spans="1:36" x14ac:dyDescent="0.2">
      <c r="A54">
        <v>57</v>
      </c>
      <c r="B54">
        <v>754</v>
      </c>
      <c r="C54">
        <v>225</v>
      </c>
      <c r="D54">
        <v>0.35395073747748601</v>
      </c>
      <c r="E54">
        <v>1.00913311529111</v>
      </c>
      <c r="F54">
        <v>2.5422717692855801</v>
      </c>
      <c r="G54">
        <v>-16.46928760248543</v>
      </c>
      <c r="H54">
        <v>-14.431906376370492</v>
      </c>
      <c r="I54">
        <v>1.98352842926051</v>
      </c>
      <c r="J54">
        <v>1.1690205107604801</v>
      </c>
      <c r="K54">
        <v>0.39694147867389301</v>
      </c>
      <c r="L54">
        <v>0</v>
      </c>
      <c r="M54">
        <v>1.2382554563563432E-6</v>
      </c>
      <c r="N54">
        <v>0</v>
      </c>
      <c r="O54" s="1">
        <v>5.6419369251939199E-13</v>
      </c>
      <c r="P54">
        <v>0</v>
      </c>
      <c r="Q54">
        <v>100</v>
      </c>
      <c r="AJ54">
        <v>1</v>
      </c>
    </row>
    <row r="55" spans="1:36" x14ac:dyDescent="0.2">
      <c r="A55">
        <v>58</v>
      </c>
      <c r="B55">
        <v>752</v>
      </c>
      <c r="C55">
        <v>225</v>
      </c>
      <c r="D55">
        <v>0.35255377261864101</v>
      </c>
      <c r="E55">
        <v>1.4034386343201399</v>
      </c>
      <c r="F55">
        <v>2.5422717692855801</v>
      </c>
      <c r="G55">
        <v>-22.898931594272387</v>
      </c>
      <c r="H55">
        <v>-20.074235546174929</v>
      </c>
      <c r="I55">
        <v>2.7553977935887</v>
      </c>
      <c r="J55">
        <v>1.6253846310745601</v>
      </c>
      <c r="K55">
        <v>0.55204115125525499</v>
      </c>
      <c r="L55">
        <v>0</v>
      </c>
      <c r="M55">
        <v>1.2382554563563436E-6</v>
      </c>
      <c r="N55">
        <v>0</v>
      </c>
      <c r="O55" s="1">
        <v>7.8464497232660499E-13</v>
      </c>
      <c r="P55">
        <v>0</v>
      </c>
      <c r="Q55">
        <v>100</v>
      </c>
      <c r="AJ55">
        <v>1</v>
      </c>
    </row>
    <row r="56" spans="1:36" x14ac:dyDescent="0.2">
      <c r="A56">
        <v>59</v>
      </c>
      <c r="B56">
        <v>750</v>
      </c>
      <c r="C56">
        <v>225</v>
      </c>
      <c r="D56">
        <v>0.35115134633240402</v>
      </c>
      <c r="E56">
        <v>2.2188748973597701</v>
      </c>
      <c r="F56">
        <v>2.5422717692855801</v>
      </c>
      <c r="G56">
        <v>-36.195129963466393</v>
      </c>
      <c r="H56">
        <v>-31.743054789237771</v>
      </c>
      <c r="I56">
        <v>4.3513416158223297</v>
      </c>
      <c r="J56">
        <v>2.5691181254289002</v>
      </c>
      <c r="K56">
        <v>0.87279217122538599</v>
      </c>
      <c r="L56">
        <v>0</v>
      </c>
      <c r="M56">
        <v>1.2382554563563432E-6</v>
      </c>
      <c r="N56">
        <v>0</v>
      </c>
      <c r="O56" s="1">
        <v>1.2405451794324001E-12</v>
      </c>
      <c r="P56">
        <v>0</v>
      </c>
      <c r="Q56">
        <v>100</v>
      </c>
      <c r="AJ56">
        <v>1</v>
      </c>
    </row>
    <row r="57" spans="1:36" x14ac:dyDescent="0.2">
      <c r="A57">
        <v>60</v>
      </c>
      <c r="B57">
        <v>748</v>
      </c>
      <c r="C57">
        <v>225</v>
      </c>
      <c r="D57">
        <v>0.34974342652891699</v>
      </c>
      <c r="E57">
        <v>3.61627090983731</v>
      </c>
      <c r="F57">
        <v>2.5422717692855801</v>
      </c>
      <c r="G57">
        <v>-58.97580915052108</v>
      </c>
      <c r="H57">
        <v>-51.742468501076118</v>
      </c>
      <c r="I57">
        <v>7.0835241144248799</v>
      </c>
      <c r="J57">
        <v>4.1860097198283901</v>
      </c>
      <c r="K57">
        <v>1.4224564633597501</v>
      </c>
      <c r="L57">
        <v>0</v>
      </c>
      <c r="M57">
        <v>1.2382554563563434E-6</v>
      </c>
      <c r="N57">
        <v>0</v>
      </c>
      <c r="O57" s="1">
        <v>2.0218117975278202E-12</v>
      </c>
      <c r="P57">
        <v>0</v>
      </c>
      <c r="Q57">
        <v>100</v>
      </c>
      <c r="AJ57">
        <v>1</v>
      </c>
    </row>
    <row r="58" spans="1:36" x14ac:dyDescent="0.2">
      <c r="A58">
        <v>61</v>
      </c>
      <c r="B58">
        <v>746</v>
      </c>
      <c r="C58">
        <v>225</v>
      </c>
      <c r="D58">
        <v>0.34832998086640898</v>
      </c>
      <c r="E58">
        <v>20.791985153200301</v>
      </c>
      <c r="F58">
        <v>2.5422717692855801</v>
      </c>
      <c r="G58">
        <v>-339.00384908291124</v>
      </c>
      <c r="H58">
        <v>-297.54482229592691</v>
      </c>
      <c r="I58">
        <v>40.680004697036097</v>
      </c>
      <c r="J58">
        <v>24.061501731160298</v>
      </c>
      <c r="K58">
        <v>8.1785060922275701</v>
      </c>
      <c r="L58">
        <v>0</v>
      </c>
      <c r="M58">
        <v>1.2382554563563432E-6</v>
      </c>
      <c r="N58">
        <v>0</v>
      </c>
      <c r="O58" s="1">
        <v>1.16245386269069E-11</v>
      </c>
      <c r="P58">
        <v>0</v>
      </c>
      <c r="Q58">
        <v>100</v>
      </c>
      <c r="AJ58">
        <v>1</v>
      </c>
    </row>
    <row r="59" spans="1:36" x14ac:dyDescent="0.2">
      <c r="A59">
        <v>62</v>
      </c>
      <c r="B59">
        <v>744</v>
      </c>
      <c r="C59">
        <v>225</v>
      </c>
      <c r="D59">
        <v>0.34691097674876298</v>
      </c>
      <c r="E59">
        <v>27.393903728598701</v>
      </c>
      <c r="F59">
        <v>2.5422717692855801</v>
      </c>
      <c r="G59">
        <v>-446.53799350895406</v>
      </c>
      <c r="H59">
        <v>-392.08532818680811</v>
      </c>
      <c r="I59">
        <v>53.534547826914299</v>
      </c>
      <c r="J59">
        <v>31.693315371557201</v>
      </c>
      <c r="K59">
        <v>10.7753640108652</v>
      </c>
      <c r="L59">
        <v>0</v>
      </c>
      <c r="M59">
        <v>1.2382554563563434E-6</v>
      </c>
      <c r="N59">
        <v>0</v>
      </c>
      <c r="O59" s="1">
        <v>1.5315588660174199E-11</v>
      </c>
      <c r="P59">
        <v>0</v>
      </c>
      <c r="Q59">
        <v>100</v>
      </c>
      <c r="AJ59">
        <v>1</v>
      </c>
    </row>
    <row r="60" spans="1:36" x14ac:dyDescent="0.2">
      <c r="A60">
        <v>63</v>
      </c>
      <c r="B60">
        <v>742</v>
      </c>
      <c r="C60">
        <v>225</v>
      </c>
      <c r="D60">
        <v>0.345486381322956</v>
      </c>
      <c r="E60">
        <v>29.563901123585101</v>
      </c>
      <c r="F60">
        <v>2.5422717692855801</v>
      </c>
      <c r="G60">
        <v>-481.79484318967684</v>
      </c>
      <c r="H60">
        <v>-423.21261331321676</v>
      </c>
      <c r="I60">
        <v>57.707954367787998</v>
      </c>
      <c r="J60">
        <v>34.194947001396898</v>
      </c>
      <c r="K60">
        <v>11.6289302665281</v>
      </c>
      <c r="L60">
        <v>0</v>
      </c>
      <c r="M60">
        <v>1.2382554563563434E-6</v>
      </c>
      <c r="N60">
        <v>0</v>
      </c>
      <c r="O60" s="1">
        <v>1.6528807039873899E-11</v>
      </c>
      <c r="P60">
        <v>0</v>
      </c>
      <c r="Q60">
        <v>100</v>
      </c>
      <c r="AJ60">
        <v>1</v>
      </c>
    </row>
    <row r="61" spans="1:36" x14ac:dyDescent="0.2">
      <c r="A61">
        <v>64</v>
      </c>
      <c r="B61">
        <v>740</v>
      </c>
      <c r="C61">
        <v>225</v>
      </c>
      <c r="D61">
        <v>0.34405616147658602</v>
      </c>
      <c r="E61">
        <v>30.671368062485801</v>
      </c>
      <c r="F61">
        <v>2.5422717692855801</v>
      </c>
      <c r="G61">
        <v>-499.72326074245882</v>
      </c>
      <c r="H61">
        <v>-439.13714613254268</v>
      </c>
      <c r="I61">
        <v>59.799747924706203</v>
      </c>
      <c r="J61">
        <v>35.4665755211605</v>
      </c>
      <c r="K61">
        <v>12.064551254134701</v>
      </c>
      <c r="L61">
        <v>0</v>
      </c>
      <c r="M61">
        <v>1.2382554563563434E-6</v>
      </c>
      <c r="N61">
        <v>0</v>
      </c>
      <c r="O61" s="1">
        <v>1.7147977942239199E-11</v>
      </c>
      <c r="P61">
        <v>0</v>
      </c>
      <c r="Q61">
        <v>100</v>
      </c>
      <c r="AJ61">
        <v>1</v>
      </c>
    </row>
    <row r="62" spans="1:36" x14ac:dyDescent="0.2">
      <c r="A62">
        <v>65</v>
      </c>
      <c r="B62">
        <v>738</v>
      </c>
      <c r="C62">
        <v>225</v>
      </c>
      <c r="D62">
        <v>0.34262028383523802</v>
      </c>
      <c r="E62">
        <v>31.364607282749599</v>
      </c>
      <c r="F62">
        <v>2.5422717692855801</v>
      </c>
      <c r="G62">
        <v>-510.89585561581168</v>
      </c>
      <c r="H62">
        <v>-449.1351217443875</v>
      </c>
      <c r="I62">
        <v>61.079695269172802</v>
      </c>
      <c r="J62">
        <v>36.258626140279503</v>
      </c>
      <c r="K62">
        <v>12.337236192322401</v>
      </c>
      <c r="L62">
        <v>0</v>
      </c>
      <c r="M62">
        <v>1.2382554563563436E-6</v>
      </c>
      <c r="N62">
        <v>0</v>
      </c>
      <c r="O62" s="1">
        <v>1.7535559312380901E-11</v>
      </c>
      <c r="P62">
        <v>0</v>
      </c>
      <c r="Q62">
        <v>100</v>
      </c>
      <c r="AJ62">
        <v>1</v>
      </c>
    </row>
    <row r="63" spans="1:36" x14ac:dyDescent="0.2">
      <c r="A63">
        <v>66</v>
      </c>
      <c r="B63">
        <v>736</v>
      </c>
      <c r="C63">
        <v>225</v>
      </c>
      <c r="D63">
        <v>0.34117871475994799</v>
      </c>
      <c r="E63">
        <v>31.849521443447699</v>
      </c>
      <c r="F63">
        <v>2.5422717692855801</v>
      </c>
      <c r="G63">
        <v>-518.67061269088822</v>
      </c>
      <c r="H63">
        <v>-456.15262757355083</v>
      </c>
      <c r="I63">
        <v>61.951132257184099</v>
      </c>
      <c r="J63">
        <v>36.809442829390598</v>
      </c>
      <c r="K63">
        <v>12.527976681422199</v>
      </c>
      <c r="L63">
        <v>0</v>
      </c>
      <c r="M63">
        <v>1.2382554563563432E-6</v>
      </c>
      <c r="N63">
        <v>0</v>
      </c>
      <c r="O63" s="1">
        <v>1.7806668749514299E-11</v>
      </c>
      <c r="P63">
        <v>0</v>
      </c>
      <c r="Q63">
        <v>100</v>
      </c>
      <c r="AJ63">
        <v>1</v>
      </c>
    </row>
    <row r="64" spans="1:36" x14ac:dyDescent="0.2">
      <c r="A64">
        <v>67</v>
      </c>
      <c r="B64">
        <v>734</v>
      </c>
      <c r="C64">
        <v>225</v>
      </c>
      <c r="D64">
        <v>0.33973142034453802</v>
      </c>
      <c r="E64">
        <v>32.2129286771398</v>
      </c>
      <c r="F64">
        <v>2.5422717692855801</v>
      </c>
      <c r="G64">
        <v>-524.46347050183488</v>
      </c>
      <c r="H64">
        <v>-461.4318380986706</v>
      </c>
      <c r="I64">
        <v>62.584155689980904</v>
      </c>
      <c r="J64">
        <v>37.219526466195397</v>
      </c>
      <c r="K64">
        <v>12.670922545071599</v>
      </c>
      <c r="L64">
        <v>0</v>
      </c>
      <c r="M64">
        <v>1.2382554563563432E-6</v>
      </c>
      <c r="N64">
        <v>0</v>
      </c>
      <c r="O64" s="1">
        <v>1.8009845184771701E-11</v>
      </c>
      <c r="P64">
        <v>0</v>
      </c>
      <c r="Q64">
        <v>100</v>
      </c>
      <c r="AJ64">
        <v>1</v>
      </c>
    </row>
    <row r="65" spans="1:36" x14ac:dyDescent="0.2">
      <c r="A65">
        <v>69</v>
      </c>
      <c r="B65">
        <v>758</v>
      </c>
      <c r="C65">
        <v>200</v>
      </c>
      <c r="D65">
        <v>0.383397662803666</v>
      </c>
      <c r="E65">
        <v>0.34288118081862901</v>
      </c>
      <c r="F65">
        <v>2.5414849045122199</v>
      </c>
      <c r="G65">
        <v>-5.601972021519841</v>
      </c>
      <c r="H65">
        <v>-4.9054266454487072</v>
      </c>
      <c r="I65">
        <v>0.675503443796862</v>
      </c>
      <c r="J65">
        <v>0.39740900216664499</v>
      </c>
      <c r="K65">
        <v>0.13491371922369799</v>
      </c>
      <c r="L65">
        <v>0</v>
      </c>
      <c r="M65">
        <v>1.2382274289707083E-6</v>
      </c>
      <c r="N65">
        <v>0</v>
      </c>
      <c r="O65" s="1">
        <v>1.9170057603913301E-13</v>
      </c>
      <c r="P65">
        <v>0</v>
      </c>
      <c r="Q65">
        <v>100</v>
      </c>
      <c r="AJ65">
        <v>1</v>
      </c>
    </row>
    <row r="66" spans="1:36" x14ac:dyDescent="0.2">
      <c r="A66">
        <v>70</v>
      </c>
      <c r="B66">
        <v>756</v>
      </c>
      <c r="C66">
        <v>200</v>
      </c>
      <c r="D66">
        <v>0.38206335325268598</v>
      </c>
      <c r="E66">
        <v>1.1696014152715299</v>
      </c>
      <c r="F66">
        <v>2.5414849045122199</v>
      </c>
      <c r="G66">
        <v>-19.104271489962873</v>
      </c>
      <c r="H66">
        <v>-16.735603383157994</v>
      </c>
      <c r="I66">
        <v>2.3015771333672199</v>
      </c>
      <c r="J66">
        <v>1.35525806478295</v>
      </c>
      <c r="K66">
        <v>0.46020395918739998</v>
      </c>
      <c r="L66">
        <v>0</v>
      </c>
      <c r="M66">
        <v>1.2382274289707085E-6</v>
      </c>
      <c r="N66">
        <v>0</v>
      </c>
      <c r="O66" s="1">
        <v>6.5390951031033499E-13</v>
      </c>
      <c r="P66">
        <v>0</v>
      </c>
      <c r="Q66">
        <v>100</v>
      </c>
      <c r="AJ66">
        <v>1</v>
      </c>
    </row>
    <row r="67" spans="1:36" x14ac:dyDescent="0.2">
      <c r="A67">
        <v>71</v>
      </c>
      <c r="B67">
        <v>754</v>
      </c>
      <c r="C67">
        <v>200</v>
      </c>
      <c r="D67">
        <v>0.38072384753930699</v>
      </c>
      <c r="E67">
        <v>2.5681065486836601</v>
      </c>
      <c r="F67">
        <v>2.5414849045122199</v>
      </c>
      <c r="G67">
        <v>-41.937355288462733</v>
      </c>
      <c r="H67">
        <v>-36.752497126869713</v>
      </c>
      <c r="I67">
        <v>5.0478101169186802</v>
      </c>
      <c r="J67">
        <v>2.9749982274275699</v>
      </c>
      <c r="K67">
        <v>1.01047483859698</v>
      </c>
      <c r="L67">
        <v>0</v>
      </c>
      <c r="M67">
        <v>1.2382274289707083E-6</v>
      </c>
      <c r="N67">
        <v>0</v>
      </c>
      <c r="O67" s="1">
        <v>1.4357962240364001E-12</v>
      </c>
      <c r="P67">
        <v>0</v>
      </c>
      <c r="Q67">
        <v>100</v>
      </c>
      <c r="AJ67">
        <v>1</v>
      </c>
    </row>
    <row r="68" spans="1:36" x14ac:dyDescent="0.2">
      <c r="A68">
        <v>72</v>
      </c>
      <c r="B68">
        <v>752</v>
      </c>
      <c r="C68">
        <v>200</v>
      </c>
      <c r="D68">
        <v>0.37937911525142798</v>
      </c>
      <c r="E68">
        <v>3.9855908403523301</v>
      </c>
      <c r="F68">
        <v>2.5414849045122199</v>
      </c>
      <c r="G68">
        <v>-65.069311583229009</v>
      </c>
      <c r="H68">
        <v>-57.047526789246696</v>
      </c>
      <c r="I68">
        <v>7.8249863863652198</v>
      </c>
      <c r="J68">
        <v>4.6158898146610898</v>
      </c>
      <c r="K68">
        <v>1.5682134618530299</v>
      </c>
      <c r="L68">
        <v>0</v>
      </c>
      <c r="M68">
        <v>1.2382274289707083E-6</v>
      </c>
      <c r="N68">
        <v>0</v>
      </c>
      <c r="O68" s="1">
        <v>2.2282939475642498E-12</v>
      </c>
      <c r="P68">
        <v>0</v>
      </c>
      <c r="Q68">
        <v>100</v>
      </c>
      <c r="AJ68">
        <v>1</v>
      </c>
    </row>
    <row r="69" spans="1:36" x14ac:dyDescent="0.2">
      <c r="A69">
        <v>73</v>
      </c>
      <c r="B69">
        <v>750</v>
      </c>
      <c r="C69">
        <v>200</v>
      </c>
      <c r="D69">
        <v>0.37802912573913899</v>
      </c>
      <c r="E69">
        <v>23.037686079798899</v>
      </c>
      <c r="F69">
        <v>2.5414849045122199</v>
      </c>
      <c r="G69">
        <v>-376.02606542752108</v>
      </c>
      <c r="H69">
        <v>-329.80195861122979</v>
      </c>
      <c r="I69">
        <v>45.178230773876003</v>
      </c>
      <c r="J69">
        <v>26.674120720360801</v>
      </c>
      <c r="K69">
        <v>9.0646558784973408</v>
      </c>
      <c r="L69">
        <v>0</v>
      </c>
      <c r="M69">
        <v>1.2382274289707085E-6</v>
      </c>
      <c r="N69">
        <v>0</v>
      </c>
      <c r="O69" s="1">
        <v>1.2880081903480899E-11</v>
      </c>
      <c r="P69">
        <v>0</v>
      </c>
      <c r="Q69">
        <v>100</v>
      </c>
      <c r="AJ69">
        <v>1</v>
      </c>
    </row>
    <row r="70" spans="1:36" x14ac:dyDescent="0.2">
      <c r="A70">
        <v>74</v>
      </c>
      <c r="B70">
        <v>748</v>
      </c>
      <c r="C70">
        <v>200</v>
      </c>
      <c r="D70">
        <v>0.37667384811242399</v>
      </c>
      <c r="E70">
        <v>27.7478315638932</v>
      </c>
      <c r="F70">
        <v>2.5414849045122199</v>
      </c>
      <c r="G70">
        <v>-452.79730536876264</v>
      </c>
      <c r="H70">
        <v>-397.29551277931017</v>
      </c>
      <c r="I70">
        <v>54.352242657251601</v>
      </c>
      <c r="J70">
        <v>32.119466579411601</v>
      </c>
      <c r="K70">
        <v>10.917960407566801</v>
      </c>
      <c r="L70">
        <v>0</v>
      </c>
      <c r="M70">
        <v>1.2382274289707085E-6</v>
      </c>
      <c r="N70">
        <v>0</v>
      </c>
      <c r="O70" s="1">
        <v>1.5513465282449699E-11</v>
      </c>
      <c r="P70">
        <v>0</v>
      </c>
      <c r="Q70">
        <v>100</v>
      </c>
      <c r="AJ70">
        <v>1</v>
      </c>
    </row>
    <row r="71" spans="1:36" x14ac:dyDescent="0.2">
      <c r="A71">
        <v>75</v>
      </c>
      <c r="B71">
        <v>746</v>
      </c>
      <c r="C71">
        <v>200</v>
      </c>
      <c r="D71">
        <v>0.37531325123877901</v>
      </c>
      <c r="E71">
        <v>29.581072595517</v>
      </c>
      <c r="F71">
        <v>2.5414849045122199</v>
      </c>
      <c r="G71">
        <v>-482.59685435294767</v>
      </c>
      <c r="H71">
        <v>-423.61246820180128</v>
      </c>
      <c r="I71">
        <v>57.876059609622097</v>
      </c>
      <c r="J71">
        <v>34.232663414395397</v>
      </c>
      <c r="K71">
        <v>11.6392871517741</v>
      </c>
      <c r="L71">
        <v>0</v>
      </c>
      <c r="M71">
        <v>1.2382274289707085E-6</v>
      </c>
      <c r="N71">
        <v>0</v>
      </c>
      <c r="O71" s="1">
        <v>1.6538407394880101E-11</v>
      </c>
      <c r="P71">
        <v>0</v>
      </c>
      <c r="Q71">
        <v>100</v>
      </c>
      <c r="AJ71">
        <v>1</v>
      </c>
    </row>
    <row r="72" spans="1:36" x14ac:dyDescent="0.2">
      <c r="A72">
        <v>76</v>
      </c>
      <c r="B72">
        <v>744</v>
      </c>
      <c r="C72">
        <v>200</v>
      </c>
      <c r="D72">
        <v>0.373947303740848</v>
      </c>
      <c r="E72">
        <v>30.636704096192801</v>
      </c>
      <c r="F72">
        <v>2.5414849045122199</v>
      </c>
      <c r="G72">
        <v>-499.69901438555513</v>
      </c>
      <c r="H72">
        <v>-438.80042135363232</v>
      </c>
      <c r="I72">
        <v>59.871791802509698</v>
      </c>
      <c r="J72">
        <v>35.445065971084503</v>
      </c>
      <c r="K72">
        <v>12.0546472819097</v>
      </c>
      <c r="L72">
        <v>0</v>
      </c>
      <c r="M72">
        <v>1.2382274289707085E-6</v>
      </c>
      <c r="N72">
        <v>0</v>
      </c>
      <c r="O72" s="1">
        <v>1.7128597752605299E-11</v>
      </c>
      <c r="P72">
        <v>0</v>
      </c>
      <c r="Q72">
        <v>100</v>
      </c>
      <c r="AJ72">
        <v>1</v>
      </c>
    </row>
    <row r="73" spans="1:36" x14ac:dyDescent="0.2">
      <c r="A73">
        <v>77</v>
      </c>
      <c r="B73">
        <v>742</v>
      </c>
      <c r="C73">
        <v>200</v>
      </c>
      <c r="D73">
        <v>0.37257597399398801</v>
      </c>
      <c r="E73">
        <v>31.302054006311799</v>
      </c>
      <c r="F73">
        <v>2.5414849045122199</v>
      </c>
      <c r="G73">
        <v>-510.42891065600827</v>
      </c>
      <c r="H73">
        <v>-448.40245089558687</v>
      </c>
      <c r="I73">
        <v>61.100782899494</v>
      </c>
      <c r="J73">
        <v>36.205373347253897</v>
      </c>
      <c r="K73">
        <v>12.3164430175199</v>
      </c>
      <c r="L73">
        <v>0</v>
      </c>
      <c r="M73">
        <v>1.2382274289707083E-6</v>
      </c>
      <c r="N73">
        <v>0</v>
      </c>
      <c r="O73" s="1">
        <v>1.7500586558561001E-11</v>
      </c>
      <c r="P73">
        <v>0</v>
      </c>
      <c r="Q73">
        <v>100</v>
      </c>
      <c r="AJ73">
        <v>1</v>
      </c>
    </row>
    <row r="74" spans="1:36" x14ac:dyDescent="0.2">
      <c r="A74">
        <v>78</v>
      </c>
      <c r="B74">
        <v>740</v>
      </c>
      <c r="C74">
        <v>200</v>
      </c>
      <c r="D74">
        <v>0.37119923012387401</v>
      </c>
      <c r="E74">
        <v>31.7755892339772</v>
      </c>
      <c r="F74">
        <v>2.5414849045122199</v>
      </c>
      <c r="G74">
        <v>-518.02666483071187</v>
      </c>
      <c r="H74">
        <v>-455.25934753318228</v>
      </c>
      <c r="I74">
        <v>61.952640080471298</v>
      </c>
      <c r="J74">
        <v>36.743432278608701</v>
      </c>
      <c r="K74">
        <v>12.502765284012501</v>
      </c>
      <c r="L74">
        <v>0</v>
      </c>
      <c r="M74">
        <v>1.2382274289707085E-6</v>
      </c>
      <c r="N74">
        <v>0</v>
      </c>
      <c r="O74" s="1">
        <v>1.77653341766763E-11</v>
      </c>
      <c r="P74">
        <v>0</v>
      </c>
      <c r="Q74">
        <v>100</v>
      </c>
      <c r="AJ74">
        <v>1</v>
      </c>
    </row>
    <row r="75" spans="1:36" x14ac:dyDescent="0.2">
      <c r="A75">
        <v>79</v>
      </c>
      <c r="B75">
        <v>738</v>
      </c>
      <c r="C75">
        <v>200</v>
      </c>
      <c r="D75">
        <v>0.36981704000395799</v>
      </c>
      <c r="E75">
        <v>32.134486975634303</v>
      </c>
      <c r="F75">
        <v>2.5414849045122199</v>
      </c>
      <c r="G75">
        <v>-523.75242174169728</v>
      </c>
      <c r="H75">
        <v>-460.47570093644595</v>
      </c>
      <c r="I75">
        <v>62.578965341691301</v>
      </c>
      <c r="J75">
        <v>37.148635050821603</v>
      </c>
      <c r="K75">
        <v>12.643981051621299</v>
      </c>
      <c r="L75">
        <v>0</v>
      </c>
      <c r="M75">
        <v>1.2382274289707083E-6</v>
      </c>
      <c r="N75">
        <v>0</v>
      </c>
      <c r="O75" s="1">
        <v>1.7965989411386301E-11</v>
      </c>
      <c r="P75">
        <v>0</v>
      </c>
      <c r="Q75">
        <v>100</v>
      </c>
      <c r="AJ75">
        <v>1</v>
      </c>
    </row>
    <row r="76" spans="1:36" x14ac:dyDescent="0.2">
      <c r="A76">
        <v>82</v>
      </c>
      <c r="B76">
        <v>762</v>
      </c>
      <c r="C76">
        <v>175</v>
      </c>
      <c r="D76">
        <v>0.41261701202724399</v>
      </c>
      <c r="E76">
        <v>0.72518473892991198</v>
      </c>
      <c r="F76">
        <v>2.5406983011149902</v>
      </c>
      <c r="G76">
        <v>-11.860880243219253</v>
      </c>
      <c r="H76">
        <v>-10.378620884106128</v>
      </c>
      <c r="I76">
        <v>1.4319271208164199</v>
      </c>
      <c r="J76">
        <v>0.84093237901468099</v>
      </c>
      <c r="K76">
        <v>0.28542733256115499</v>
      </c>
      <c r="L76">
        <v>0</v>
      </c>
      <c r="M76">
        <v>1.238199309002582E-6</v>
      </c>
      <c r="N76">
        <v>0</v>
      </c>
      <c r="O76" s="1">
        <v>4.0544170973672699E-13</v>
      </c>
      <c r="P76">
        <v>0</v>
      </c>
      <c r="Q76">
        <v>100</v>
      </c>
      <c r="AJ76">
        <v>1</v>
      </c>
    </row>
    <row r="77" spans="1:36" x14ac:dyDescent="0.2">
      <c r="A77">
        <v>83</v>
      </c>
      <c r="B77">
        <v>760</v>
      </c>
      <c r="C77">
        <v>175</v>
      </c>
      <c r="D77">
        <v>0.41134443207665999</v>
      </c>
      <c r="E77">
        <v>2.1210609965582199</v>
      </c>
      <c r="F77">
        <v>2.5406983011149902</v>
      </c>
      <c r="G77">
        <v>-34.682996148622365</v>
      </c>
      <c r="H77">
        <v>-30.360891044881967</v>
      </c>
      <c r="I77">
        <v>4.1834245789482596</v>
      </c>
      <c r="J77">
        <v>2.4589893204051498</v>
      </c>
      <c r="K77">
        <v>0.83483387052582703</v>
      </c>
      <c r="L77">
        <v>0</v>
      </c>
      <c r="M77">
        <v>1.238199309002582E-6</v>
      </c>
      <c r="N77">
        <v>0</v>
      </c>
      <c r="O77" s="1">
        <v>1.18585865192009E-12</v>
      </c>
      <c r="P77">
        <v>0</v>
      </c>
      <c r="Q77">
        <v>100</v>
      </c>
      <c r="AJ77">
        <v>1</v>
      </c>
    </row>
    <row r="78" spans="1:36" x14ac:dyDescent="0.2">
      <c r="A78">
        <v>84</v>
      </c>
      <c r="B78">
        <v>758</v>
      </c>
      <c r="C78">
        <v>175</v>
      </c>
      <c r="D78">
        <v>0.41006691557969399</v>
      </c>
      <c r="E78">
        <v>3.5339701127158598</v>
      </c>
      <c r="F78">
        <v>2.5406983011149902</v>
      </c>
      <c r="G78">
        <v>-57.772558471647685</v>
      </c>
      <c r="H78">
        <v>-50.593481056816053</v>
      </c>
      <c r="I78">
        <v>6.9622047372657896</v>
      </c>
      <c r="J78">
        <v>4.0959714756816803</v>
      </c>
      <c r="K78">
        <v>1.3909444152282699</v>
      </c>
      <c r="L78">
        <v>0</v>
      </c>
      <c r="M78">
        <v>1.2381993090025822E-6</v>
      </c>
      <c r="N78">
        <v>0</v>
      </c>
      <c r="O78" s="1">
        <v>1.97579845209138E-12</v>
      </c>
      <c r="P78">
        <v>0</v>
      </c>
      <c r="Q78">
        <v>100</v>
      </c>
      <c r="AJ78">
        <v>1</v>
      </c>
    </row>
    <row r="79" spans="1:36" x14ac:dyDescent="0.2">
      <c r="A79">
        <v>85</v>
      </c>
      <c r="B79">
        <v>756</v>
      </c>
      <c r="C79">
        <v>175</v>
      </c>
      <c r="D79">
        <v>0.40878443375601398</v>
      </c>
      <c r="E79">
        <v>17.4759157276828</v>
      </c>
      <c r="F79">
        <v>2.5406983011149902</v>
      </c>
      <c r="G79">
        <v>-285.62357013143054</v>
      </c>
      <c r="H79">
        <v>-250.2314752853741</v>
      </c>
      <c r="I79">
        <v>34.3896369295597</v>
      </c>
      <c r="J79">
        <v>20.2499547454041</v>
      </c>
      <c r="K79">
        <v>6.8783907636784001</v>
      </c>
      <c r="L79">
        <v>0</v>
      </c>
      <c r="M79">
        <v>1.238199309002582E-6</v>
      </c>
      <c r="N79">
        <v>0</v>
      </c>
      <c r="O79" s="1">
        <v>9.7705657213664395E-12</v>
      </c>
      <c r="P79">
        <v>0</v>
      </c>
      <c r="Q79">
        <v>100</v>
      </c>
      <c r="AJ79">
        <v>1</v>
      </c>
    </row>
    <row r="80" spans="1:36" x14ac:dyDescent="0.2">
      <c r="A80">
        <v>86</v>
      </c>
      <c r="B80">
        <v>754</v>
      </c>
      <c r="C80">
        <v>175</v>
      </c>
      <c r="D80">
        <v>0.40749695760112897</v>
      </c>
      <c r="E80">
        <v>26.0538631661673</v>
      </c>
      <c r="F80">
        <v>2.5406983011149902</v>
      </c>
      <c r="G80">
        <v>-425.71768994808122</v>
      </c>
      <c r="H80">
        <v>-373.11645144130222</v>
      </c>
      <c r="I80">
        <v>51.210863561095202</v>
      </c>
      <c r="J80">
        <v>30.181846145253498</v>
      </c>
      <c r="K80">
        <v>10.2546072293327</v>
      </c>
      <c r="L80">
        <v>0</v>
      </c>
      <c r="M80">
        <v>1.2381993090025817E-6</v>
      </c>
      <c r="N80">
        <v>0</v>
      </c>
      <c r="O80" s="1">
        <v>1.4566388756229099E-11</v>
      </c>
      <c r="P80">
        <v>0</v>
      </c>
      <c r="Q80">
        <v>100</v>
      </c>
      <c r="AJ80">
        <v>1</v>
      </c>
    </row>
    <row r="81" spans="1:36" x14ac:dyDescent="0.2">
      <c r="A81">
        <v>87</v>
      </c>
      <c r="B81">
        <v>752</v>
      </c>
      <c r="C81">
        <v>175</v>
      </c>
      <c r="D81">
        <v>0.406204457884214</v>
      </c>
      <c r="E81">
        <v>28.6711102042768</v>
      </c>
      <c r="F81">
        <v>2.5406983011149902</v>
      </c>
      <c r="G81">
        <v>-468.3706162060127</v>
      </c>
      <c r="H81">
        <v>-410.66437262107723</v>
      </c>
      <c r="I81">
        <v>56.290536589704303</v>
      </c>
      <c r="J81">
        <v>33.205286460174598</v>
      </c>
      <c r="K81">
        <v>11.284736244242101</v>
      </c>
      <c r="L81">
        <v>0</v>
      </c>
      <c r="M81">
        <v>1.238199309002582E-6</v>
      </c>
      <c r="N81">
        <v>0</v>
      </c>
      <c r="O81" s="1">
        <v>1.6029658812767098E-11</v>
      </c>
      <c r="P81">
        <v>0</v>
      </c>
      <c r="Q81">
        <v>100</v>
      </c>
      <c r="AJ81">
        <v>1</v>
      </c>
    </row>
    <row r="82" spans="1:36" x14ac:dyDescent="0.2">
      <c r="A82">
        <v>88</v>
      </c>
      <c r="B82">
        <v>750</v>
      </c>
      <c r="C82">
        <v>175</v>
      </c>
      <c r="D82">
        <v>0.40490690514587502</v>
      </c>
      <c r="E82">
        <v>29.988455666646001</v>
      </c>
      <c r="F82">
        <v>2.5406983011149902</v>
      </c>
      <c r="G82">
        <v>-489.77305625323572</v>
      </c>
      <c r="H82">
        <v>-429.60253508244119</v>
      </c>
      <c r="I82">
        <v>58.809090720612303</v>
      </c>
      <c r="J82">
        <v>34.7220499445353</v>
      </c>
      <c r="K82">
        <v>11.803233643870801</v>
      </c>
      <c r="L82">
        <v>0</v>
      </c>
      <c r="M82">
        <v>1.238199309002582E-6</v>
      </c>
      <c r="N82">
        <v>0</v>
      </c>
      <c r="O82" s="1">
        <v>1.67661701703627E-11</v>
      </c>
      <c r="P82">
        <v>0</v>
      </c>
      <c r="Q82">
        <v>100</v>
      </c>
      <c r="AJ82">
        <v>1</v>
      </c>
    </row>
    <row r="83" spans="1:36" x14ac:dyDescent="0.2">
      <c r="A83">
        <v>89</v>
      </c>
      <c r="B83">
        <v>748</v>
      </c>
      <c r="C83">
        <v>175</v>
      </c>
      <c r="D83">
        <v>0.40360426969593199</v>
      </c>
      <c r="E83">
        <v>30.829415303935001</v>
      </c>
      <c r="F83">
        <v>2.5406983011149902</v>
      </c>
      <c r="G83">
        <v>-503.38680716394992</v>
      </c>
      <c r="H83">
        <v>-441.72116637637799</v>
      </c>
      <c r="I83">
        <v>60.388425586419203</v>
      </c>
      <c r="J83">
        <v>35.6865498566046</v>
      </c>
      <c r="K83">
        <v>12.1342291174065</v>
      </c>
      <c r="L83">
        <v>0</v>
      </c>
      <c r="M83">
        <v>1.238199309002582E-6</v>
      </c>
      <c r="N83">
        <v>0</v>
      </c>
      <c r="O83" s="1">
        <v>1.7236340176512E-11</v>
      </c>
      <c r="P83">
        <v>0</v>
      </c>
      <c r="Q83">
        <v>100</v>
      </c>
      <c r="AJ83">
        <v>1</v>
      </c>
    </row>
    <row r="84" spans="1:36" x14ac:dyDescent="0.2">
      <c r="A84">
        <v>90</v>
      </c>
      <c r="B84">
        <v>746</v>
      </c>
      <c r="C84">
        <v>175</v>
      </c>
      <c r="D84">
        <v>0.40229652161114798</v>
      </c>
      <c r="E84">
        <v>31.400424472151201</v>
      </c>
      <c r="F84">
        <v>2.5406983011149902</v>
      </c>
      <c r="G84">
        <v>-512.58737846353529</v>
      </c>
      <c r="H84">
        <v>-449.97522143661399</v>
      </c>
      <c r="I84">
        <v>61.435664060169003</v>
      </c>
      <c r="J84">
        <v>36.338106353425403</v>
      </c>
      <c r="K84">
        <v>12.3589740892773</v>
      </c>
      <c r="L84">
        <v>0</v>
      </c>
      <c r="M84">
        <v>1.238199309002582E-6</v>
      </c>
      <c r="N84">
        <v>0</v>
      </c>
      <c r="O84" s="1">
        <v>1.75555842546189E-11</v>
      </c>
      <c r="P84">
        <v>0</v>
      </c>
      <c r="Q84">
        <v>100</v>
      </c>
      <c r="AJ84">
        <v>1</v>
      </c>
    </row>
    <row r="85" spans="1:36" x14ac:dyDescent="0.2">
      <c r="A85">
        <v>91</v>
      </c>
      <c r="B85">
        <v>744</v>
      </c>
      <c r="C85">
        <v>175</v>
      </c>
      <c r="D85">
        <v>0.40098363073293403</v>
      </c>
      <c r="E85">
        <v>31.822449719695499</v>
      </c>
      <c r="F85">
        <v>2.5406983011149902</v>
      </c>
      <c r="G85">
        <v>-519.35216023834835</v>
      </c>
      <c r="H85">
        <v>-456.09658259286033</v>
      </c>
      <c r="I85">
        <v>62.189035683515698</v>
      </c>
      <c r="J85">
        <v>36.816911706122298</v>
      </c>
      <c r="K85">
        <v>12.5250800953935</v>
      </c>
      <c r="L85">
        <v>0</v>
      </c>
      <c r="M85">
        <v>1.2381993090025817E-6</v>
      </c>
      <c r="N85">
        <v>0</v>
      </c>
      <c r="O85" s="1">
        <v>1.77915332876459E-11</v>
      </c>
      <c r="P85">
        <v>0</v>
      </c>
      <c r="Q85">
        <v>100</v>
      </c>
      <c r="AJ85">
        <v>1</v>
      </c>
    </row>
    <row r="86" spans="1:36" x14ac:dyDescent="0.2">
      <c r="A86">
        <v>92</v>
      </c>
      <c r="B86">
        <v>742</v>
      </c>
      <c r="C86">
        <v>175</v>
      </c>
      <c r="D86">
        <v>0.39966556666502401</v>
      </c>
      <c r="E86">
        <v>32.150593770269403</v>
      </c>
      <c r="F86">
        <v>2.5406983011149902</v>
      </c>
      <c r="G86">
        <v>-524.58198455840761</v>
      </c>
      <c r="H86">
        <v>-460.87410422687543</v>
      </c>
      <c r="I86">
        <v>62.757110113315299</v>
      </c>
      <c r="J86">
        <v>37.186832868979899</v>
      </c>
      <c r="K86">
        <v>12.6542351589561</v>
      </c>
      <c r="L86">
        <v>0</v>
      </c>
      <c r="M86">
        <v>1.238199309002582E-6</v>
      </c>
      <c r="N86">
        <v>0</v>
      </c>
      <c r="O86" s="1">
        <v>1.7974994518643298E-11</v>
      </c>
      <c r="P86">
        <v>0</v>
      </c>
      <c r="Q86">
        <v>100</v>
      </c>
      <c r="AJ86">
        <v>1</v>
      </c>
    </row>
    <row r="87" spans="1:36" x14ac:dyDescent="0.2">
      <c r="A87">
        <v>97</v>
      </c>
      <c r="B87">
        <v>768</v>
      </c>
      <c r="C87">
        <v>150</v>
      </c>
      <c r="D87">
        <v>0.442818517984921</v>
      </c>
      <c r="E87">
        <v>1.2256889147957699</v>
      </c>
      <c r="F87">
        <v>2.53991195906073</v>
      </c>
      <c r="G87">
        <v>-20.073568306440354</v>
      </c>
      <c r="H87">
        <v>-17.545213966469177</v>
      </c>
      <c r="I87">
        <v>2.4284246650061601</v>
      </c>
      <c r="J87">
        <v>1.4223828827557801</v>
      </c>
      <c r="K87">
        <v>0.482571417652222</v>
      </c>
      <c r="L87">
        <v>0</v>
      </c>
      <c r="M87">
        <v>1.2381710965453891E-6</v>
      </c>
      <c r="N87">
        <v>0</v>
      </c>
      <c r="O87" s="1">
        <v>6.8526732919593196E-13</v>
      </c>
      <c r="P87">
        <v>0</v>
      </c>
      <c r="Q87">
        <v>100</v>
      </c>
      <c r="AJ87">
        <v>1</v>
      </c>
    </row>
    <row r="88" spans="1:36" x14ac:dyDescent="0.2">
      <c r="A88">
        <v>98</v>
      </c>
      <c r="B88">
        <v>766</v>
      </c>
      <c r="C88">
        <v>150</v>
      </c>
      <c r="D88">
        <v>0.44161141317423203</v>
      </c>
      <c r="E88">
        <v>2.6170134985267501</v>
      </c>
      <c r="F88">
        <v>2.53991195906073</v>
      </c>
      <c r="G88">
        <v>-42.849450053634797</v>
      </c>
      <c r="H88">
        <v>-37.467505090881595</v>
      </c>
      <c r="I88">
        <v>5.1791800632759397</v>
      </c>
      <c r="J88">
        <v>3.0362306863253599</v>
      </c>
      <c r="K88">
        <v>1.0303559889904701</v>
      </c>
      <c r="L88">
        <v>0</v>
      </c>
      <c r="M88">
        <v>1.2381710965453893E-6</v>
      </c>
      <c r="N88">
        <v>0</v>
      </c>
      <c r="O88" s="1">
        <v>1.46313948748076E-12</v>
      </c>
      <c r="P88">
        <v>0</v>
      </c>
      <c r="Q88">
        <v>100</v>
      </c>
      <c r="AJ88">
        <v>1</v>
      </c>
    </row>
    <row r="89" spans="1:36" x14ac:dyDescent="0.2">
      <c r="A89">
        <v>99</v>
      </c>
      <c r="B89">
        <v>764</v>
      </c>
      <c r="C89">
        <v>150</v>
      </c>
      <c r="D89">
        <v>0.44039965289495597</v>
      </c>
      <c r="E89">
        <v>4.0472501775936696</v>
      </c>
      <c r="F89">
        <v>2.53991195906073</v>
      </c>
      <c r="G89">
        <v>-66.251299516099465</v>
      </c>
      <c r="H89">
        <v>-57.953442134345401</v>
      </c>
      <c r="I89">
        <v>8.0006338347915502</v>
      </c>
      <c r="J89">
        <v>4.6944088149913297</v>
      </c>
      <c r="K89">
        <v>1.5934608139292901</v>
      </c>
      <c r="L89">
        <v>0</v>
      </c>
      <c r="M89">
        <v>1.2381710965453891E-6</v>
      </c>
      <c r="N89">
        <v>0</v>
      </c>
      <c r="O89" s="1">
        <v>2.2627669111697E-12</v>
      </c>
      <c r="P89">
        <v>0</v>
      </c>
      <c r="Q89">
        <v>100</v>
      </c>
      <c r="AJ89">
        <v>1</v>
      </c>
    </row>
    <row r="90" spans="1:36" x14ac:dyDescent="0.2">
      <c r="A90">
        <v>100</v>
      </c>
      <c r="B90">
        <v>762</v>
      </c>
      <c r="C90">
        <v>150</v>
      </c>
      <c r="D90">
        <v>0.439183210162781</v>
      </c>
      <c r="E90">
        <v>19.686338051607098</v>
      </c>
      <c r="F90">
        <v>2.53991195906073</v>
      </c>
      <c r="G90">
        <v>-322.17693331564936</v>
      </c>
      <c r="H90">
        <v>-281.93855369017899</v>
      </c>
      <c r="I90">
        <v>38.872027846660202</v>
      </c>
      <c r="J90">
        <v>22.828499005996299</v>
      </c>
      <c r="K90">
        <v>7.7507954483930801</v>
      </c>
      <c r="L90">
        <v>0</v>
      </c>
      <c r="M90">
        <v>1.2381710965453893E-6</v>
      </c>
      <c r="N90">
        <v>0</v>
      </c>
      <c r="O90" s="1">
        <v>1.10063851727996E-11</v>
      </c>
      <c r="P90">
        <v>0</v>
      </c>
      <c r="Q90">
        <v>100</v>
      </c>
      <c r="AJ90">
        <v>1</v>
      </c>
    </row>
    <row r="91" spans="1:36" x14ac:dyDescent="0.2">
      <c r="A91">
        <v>101</v>
      </c>
      <c r="B91">
        <v>760</v>
      </c>
      <c r="C91">
        <v>150</v>
      </c>
      <c r="D91">
        <v>0.43796205778444602</v>
      </c>
      <c r="E91">
        <v>26.213283927325101</v>
      </c>
      <c r="F91">
        <v>2.53991195906073</v>
      </c>
      <c r="G91">
        <v>-428.89026062274655</v>
      </c>
      <c r="H91">
        <v>-375.47521577871311</v>
      </c>
      <c r="I91">
        <v>51.701151666295701</v>
      </c>
      <c r="J91">
        <v>30.389595270779399</v>
      </c>
      <c r="K91">
        <v>10.3205482512153</v>
      </c>
      <c r="L91">
        <v>0</v>
      </c>
      <c r="M91">
        <v>1.2381710965453893E-6</v>
      </c>
      <c r="N91">
        <v>0</v>
      </c>
      <c r="O91" s="1">
        <v>1.46555189081773E-11</v>
      </c>
      <c r="P91">
        <v>0</v>
      </c>
      <c r="Q91">
        <v>100</v>
      </c>
      <c r="AJ91">
        <v>1</v>
      </c>
    </row>
    <row r="92" spans="1:36" x14ac:dyDescent="0.2">
      <c r="A92">
        <v>102</v>
      </c>
      <c r="B92">
        <v>758</v>
      </c>
      <c r="C92">
        <v>150</v>
      </c>
      <c r="D92">
        <v>0.43673616835572199</v>
      </c>
      <c r="E92">
        <v>28.598552641259602</v>
      </c>
      <c r="F92">
        <v>2.53991195906073</v>
      </c>
      <c r="G92">
        <v>-467.80423455892145</v>
      </c>
      <c r="H92">
        <v>-409.70775473160387</v>
      </c>
      <c r="I92">
        <v>56.341443851347996</v>
      </c>
      <c r="J92">
        <v>33.146532689366403</v>
      </c>
      <c r="K92">
        <v>11.259662973450199</v>
      </c>
      <c r="L92">
        <v>0</v>
      </c>
      <c r="M92">
        <v>1.2381710965453889E-6</v>
      </c>
      <c r="N92">
        <v>0</v>
      </c>
      <c r="O92" s="1">
        <v>1.5989092787553401E-11</v>
      </c>
      <c r="P92">
        <v>0</v>
      </c>
      <c r="Q92">
        <v>100</v>
      </c>
      <c r="AJ92">
        <v>1</v>
      </c>
    </row>
    <row r="93" spans="1:36" x14ac:dyDescent="0.2">
      <c r="A93">
        <v>103</v>
      </c>
      <c r="B93">
        <v>756</v>
      </c>
      <c r="C93">
        <v>150</v>
      </c>
      <c r="D93">
        <v>0.43550551425934297</v>
      </c>
      <c r="E93">
        <v>29.8665703118103</v>
      </c>
      <c r="F93">
        <v>2.53991195906073</v>
      </c>
      <c r="G93">
        <v>-488.42837288523305</v>
      </c>
      <c r="H93">
        <v>-427.94281632423429</v>
      </c>
      <c r="I93">
        <v>58.772342769274402</v>
      </c>
      <c r="J93">
        <v>34.607439555030602</v>
      </c>
      <c r="K93">
        <v>11.7588998332269</v>
      </c>
      <c r="L93">
        <v>0</v>
      </c>
      <c r="M93">
        <v>1.2381710965453891E-6</v>
      </c>
      <c r="N93">
        <v>0</v>
      </c>
      <c r="O93" s="1">
        <v>1.6698025594224301E-11</v>
      </c>
      <c r="P93">
        <v>0</v>
      </c>
      <c r="Q93">
        <v>100</v>
      </c>
      <c r="AJ93">
        <v>1</v>
      </c>
    </row>
    <row r="94" spans="1:36" x14ac:dyDescent="0.2">
      <c r="A94">
        <v>104</v>
      </c>
      <c r="B94">
        <v>754</v>
      </c>
      <c r="C94">
        <v>150</v>
      </c>
      <c r="D94">
        <v>0.43427006766295001</v>
      </c>
      <c r="E94">
        <v>30.671368992300302</v>
      </c>
      <c r="F94">
        <v>2.53991195906073</v>
      </c>
      <c r="G94">
        <v>-501.46915103518603</v>
      </c>
      <c r="H94">
        <v>-439.54543609879767</v>
      </c>
      <c r="I94">
        <v>60.286924924683198</v>
      </c>
      <c r="J94">
        <v>35.530951171648702</v>
      </c>
      <c r="K94">
        <v>12.0757606903991</v>
      </c>
      <c r="L94">
        <v>0</v>
      </c>
      <c r="M94">
        <v>1.2381710965453893E-6</v>
      </c>
      <c r="N94">
        <v>0</v>
      </c>
      <c r="O94" s="1">
        <v>1.71479784620869E-11</v>
      </c>
      <c r="P94">
        <v>0</v>
      </c>
      <c r="Q94">
        <v>100</v>
      </c>
      <c r="AJ94">
        <v>1</v>
      </c>
    </row>
    <row r="95" spans="1:36" x14ac:dyDescent="0.2">
      <c r="A95">
        <v>105</v>
      </c>
      <c r="B95">
        <v>752</v>
      </c>
      <c r="C95">
        <v>150</v>
      </c>
      <c r="D95">
        <v>0.43302980051699702</v>
      </c>
      <c r="E95">
        <v>31.253446702984899</v>
      </c>
      <c r="F95">
        <v>2.53991195906073</v>
      </c>
      <c r="G95">
        <v>-510.86318331791358</v>
      </c>
      <c r="H95">
        <v>-447.95948006186677</v>
      </c>
      <c r="I95">
        <v>61.3604870078006</v>
      </c>
      <c r="J95">
        <v>36.196005081296398</v>
      </c>
      <c r="K95">
        <v>12.304933086949401</v>
      </c>
      <c r="L95">
        <v>0</v>
      </c>
      <c r="M95">
        <v>1.2381710965453891E-6</v>
      </c>
      <c r="N95">
        <v>0</v>
      </c>
      <c r="O95" s="1">
        <v>1.7473410823732901E-11</v>
      </c>
      <c r="P95">
        <v>0</v>
      </c>
      <c r="Q95">
        <v>100</v>
      </c>
      <c r="AJ95">
        <v>1</v>
      </c>
    </row>
    <row r="96" spans="1:36" x14ac:dyDescent="0.2">
      <c r="A96">
        <v>106</v>
      </c>
      <c r="B96">
        <v>750</v>
      </c>
      <c r="C96">
        <v>150</v>
      </c>
      <c r="D96">
        <v>0.43178468455260599</v>
      </c>
      <c r="E96">
        <v>31.683494415258501</v>
      </c>
      <c r="F96">
        <v>2.53991195906073</v>
      </c>
      <c r="G96">
        <v>-517.76832740182772</v>
      </c>
      <c r="H96">
        <v>-454.19678531677044</v>
      </c>
      <c r="I96">
        <v>62.133159443930303</v>
      </c>
      <c r="J96">
        <v>36.684645842819798</v>
      </c>
      <c r="K96">
        <v>12.474249078686601</v>
      </c>
      <c r="L96">
        <v>0</v>
      </c>
      <c r="M96">
        <v>1.2381710965453891E-6</v>
      </c>
      <c r="N96">
        <v>0</v>
      </c>
      <c r="O96" s="1">
        <v>1.77138451163655E-11</v>
      </c>
      <c r="P96">
        <v>0</v>
      </c>
      <c r="Q96">
        <v>100</v>
      </c>
      <c r="AJ96">
        <v>1</v>
      </c>
    </row>
    <row r="97" spans="1:36" x14ac:dyDescent="0.2">
      <c r="A97">
        <v>107</v>
      </c>
      <c r="B97">
        <v>748</v>
      </c>
      <c r="C97">
        <v>150</v>
      </c>
      <c r="D97">
        <v>0.43053469127944</v>
      </c>
      <c r="E97">
        <v>32.019214467086002</v>
      </c>
      <c r="F97">
        <v>2.53991195906073</v>
      </c>
      <c r="G97">
        <v>-523.12911857408812</v>
      </c>
      <c r="H97">
        <v>-459.08361663505099</v>
      </c>
      <c r="I97">
        <v>62.7189951907527</v>
      </c>
      <c r="J97">
        <v>37.063800340810602</v>
      </c>
      <c r="K97">
        <v>12.606426908957401</v>
      </c>
      <c r="L97">
        <v>0</v>
      </c>
      <c r="M97">
        <v>1.2381710965453893E-6</v>
      </c>
      <c r="N97">
        <v>0</v>
      </c>
      <c r="O97" s="1">
        <v>1.7901541994828101E-11</v>
      </c>
      <c r="P97">
        <v>0</v>
      </c>
      <c r="Q97">
        <v>100</v>
      </c>
      <c r="AJ97">
        <v>1</v>
      </c>
    </row>
    <row r="98" spans="1:36" x14ac:dyDescent="0.2">
      <c r="A98">
        <v>114</v>
      </c>
      <c r="B98">
        <v>778</v>
      </c>
      <c r="C98">
        <v>125</v>
      </c>
      <c r="D98">
        <v>0.47494696285021398</v>
      </c>
      <c r="E98">
        <v>0.43922984924180403</v>
      </c>
      <c r="F98">
        <v>2.5391258783161499</v>
      </c>
      <c r="G98">
        <v>-7.2064831251120705</v>
      </c>
      <c r="H98">
        <v>-6.2866115930705524</v>
      </c>
      <c r="I98">
        <v>0.87510967230320702</v>
      </c>
      <c r="J98">
        <v>0.51033830114080903</v>
      </c>
      <c r="K98">
        <v>0.17298466885504801</v>
      </c>
      <c r="L98">
        <v>0</v>
      </c>
      <c r="M98">
        <v>1.2381427916924884E-6</v>
      </c>
      <c r="N98">
        <v>0</v>
      </c>
      <c r="O98" s="1">
        <v>2.4556791047034499E-13</v>
      </c>
      <c r="P98">
        <v>0</v>
      </c>
      <c r="Q98">
        <v>100</v>
      </c>
      <c r="AJ98">
        <v>1</v>
      </c>
    </row>
    <row r="99" spans="1:36" x14ac:dyDescent="0.2">
      <c r="A99">
        <v>115</v>
      </c>
      <c r="B99">
        <v>776</v>
      </c>
      <c r="C99">
        <v>125</v>
      </c>
      <c r="D99">
        <v>0.47381261020826598</v>
      </c>
      <c r="E99">
        <v>1.80673939026417</v>
      </c>
      <c r="F99">
        <v>2.5391258783161499</v>
      </c>
      <c r="G99">
        <v>-29.636138151780575</v>
      </c>
      <c r="H99">
        <v>-25.863708238084971</v>
      </c>
      <c r="I99">
        <v>3.5957011997289201</v>
      </c>
      <c r="J99">
        <v>2.0987309693627498</v>
      </c>
      <c r="K99">
        <v>0.71155959840097804</v>
      </c>
      <c r="L99">
        <v>0</v>
      </c>
      <c r="M99">
        <v>1.2381427916924881E-6</v>
      </c>
      <c r="N99">
        <v>0</v>
      </c>
      <c r="O99" s="1">
        <v>1.0101253764914E-12</v>
      </c>
      <c r="P99">
        <v>0</v>
      </c>
      <c r="Q99">
        <v>100</v>
      </c>
      <c r="AJ99">
        <v>1</v>
      </c>
    </row>
    <row r="100" spans="1:36" x14ac:dyDescent="0.2">
      <c r="A100">
        <v>116</v>
      </c>
      <c r="B100">
        <v>774</v>
      </c>
      <c r="C100">
        <v>125</v>
      </c>
      <c r="D100">
        <v>0.47267392446163797</v>
      </c>
      <c r="E100">
        <v>3.1965970935626302</v>
      </c>
      <c r="F100">
        <v>2.5391258783161499</v>
      </c>
      <c r="G100">
        <v>-52.421405306638512</v>
      </c>
      <c r="H100">
        <v>-45.76712667801737</v>
      </c>
      <c r="I100">
        <v>6.3546565712850498</v>
      </c>
      <c r="J100">
        <v>3.7123047924520098</v>
      </c>
      <c r="K100">
        <v>1.2589360460074901</v>
      </c>
      <c r="L100">
        <v>0</v>
      </c>
      <c r="M100">
        <v>1.2381427916924884E-6</v>
      </c>
      <c r="N100">
        <v>0</v>
      </c>
      <c r="O100" s="1">
        <v>1.7871774202886799E-12</v>
      </c>
      <c r="P100">
        <v>0</v>
      </c>
      <c r="Q100">
        <v>100</v>
      </c>
      <c r="AJ100">
        <v>1</v>
      </c>
    </row>
    <row r="101" spans="1:36" x14ac:dyDescent="0.2">
      <c r="A101">
        <v>117</v>
      </c>
      <c r="B101">
        <v>772</v>
      </c>
      <c r="C101">
        <v>125</v>
      </c>
      <c r="D101">
        <v>0.47153088073482102</v>
      </c>
      <c r="E101">
        <v>4.6583633236980004</v>
      </c>
      <c r="F101">
        <v>2.5391258783161499</v>
      </c>
      <c r="G101">
        <v>-76.374586211741885</v>
      </c>
      <c r="H101">
        <v>-66.706713551312234</v>
      </c>
      <c r="I101">
        <v>9.2502250016070793</v>
      </c>
      <c r="J101">
        <v>5.4085777241647701</v>
      </c>
      <c r="K101">
        <v>1.83463268342853</v>
      </c>
      <c r="L101">
        <v>0</v>
      </c>
      <c r="M101">
        <v>1.2381427916924881E-6</v>
      </c>
      <c r="N101">
        <v>0</v>
      </c>
      <c r="O101" s="1">
        <v>2.60443262129585E-12</v>
      </c>
      <c r="P101">
        <v>0</v>
      </c>
      <c r="Q101">
        <v>100</v>
      </c>
      <c r="AJ101">
        <v>1</v>
      </c>
    </row>
    <row r="102" spans="1:36" x14ac:dyDescent="0.2">
      <c r="A102">
        <v>118</v>
      </c>
      <c r="B102">
        <v>770</v>
      </c>
      <c r="C102">
        <v>125</v>
      </c>
      <c r="D102">
        <v>0.47038345396155901</v>
      </c>
      <c r="E102">
        <v>20.1694947060045</v>
      </c>
      <c r="F102">
        <v>2.5391258783161499</v>
      </c>
      <c r="G102">
        <v>-330.60192376487089</v>
      </c>
      <c r="H102">
        <v>-288.86945095420924</v>
      </c>
      <c r="I102">
        <v>40.006205062226499</v>
      </c>
      <c r="J102">
        <v>23.4119855657739</v>
      </c>
      <c r="K102">
        <v>7.9434796353539499</v>
      </c>
      <c r="L102">
        <v>0</v>
      </c>
      <c r="M102">
        <v>1.2381427916924879E-6</v>
      </c>
      <c r="N102">
        <v>0</v>
      </c>
      <c r="O102" s="1">
        <v>1.12765120101606E-11</v>
      </c>
      <c r="P102">
        <v>0</v>
      </c>
      <c r="Q102">
        <v>100</v>
      </c>
      <c r="AJ102">
        <v>1</v>
      </c>
    </row>
    <row r="103" spans="1:36" x14ac:dyDescent="0.2">
      <c r="A103">
        <v>119</v>
      </c>
      <c r="B103">
        <v>768</v>
      </c>
      <c r="C103">
        <v>125</v>
      </c>
      <c r="D103">
        <v>0.46923161888296799</v>
      </c>
      <c r="E103">
        <v>25.9729112873062</v>
      </c>
      <c r="F103">
        <v>2.5391258783161499</v>
      </c>
      <c r="G103">
        <v>-425.6238231922901</v>
      </c>
      <c r="H103">
        <v>-372.04683299336261</v>
      </c>
      <c r="I103">
        <v>51.459434470467599</v>
      </c>
      <c r="J103">
        <v>30.140946845843398</v>
      </c>
      <c r="K103">
        <v>10.2290758835991</v>
      </c>
      <c r="L103">
        <v>0</v>
      </c>
      <c r="M103">
        <v>1.2381427916924881E-6</v>
      </c>
      <c r="N103">
        <v>0</v>
      </c>
      <c r="O103" s="1">
        <v>1.45211295741064E-11</v>
      </c>
      <c r="P103">
        <v>0</v>
      </c>
      <c r="Q103">
        <v>100</v>
      </c>
      <c r="AJ103">
        <v>1</v>
      </c>
    </row>
    <row r="104" spans="1:36" x14ac:dyDescent="0.2">
      <c r="A104">
        <v>120</v>
      </c>
      <c r="B104">
        <v>766</v>
      </c>
      <c r="C104">
        <v>125</v>
      </c>
      <c r="D104">
        <v>0.46807535004571499</v>
      </c>
      <c r="E104">
        <v>28.3283888481354</v>
      </c>
      <c r="F104">
        <v>2.5391258783161499</v>
      </c>
      <c r="G104">
        <v>-464.11136389182121</v>
      </c>
      <c r="H104">
        <v>-405.85341843224893</v>
      </c>
      <c r="I104">
        <v>56.063076032884801</v>
      </c>
      <c r="J104">
        <v>32.866289594335598</v>
      </c>
      <c r="K104">
        <v>11.156748505482399</v>
      </c>
      <c r="L104">
        <v>0</v>
      </c>
      <c r="M104">
        <v>1.2381427916924881E-6</v>
      </c>
      <c r="N104">
        <v>0</v>
      </c>
      <c r="O104" s="1">
        <v>1.58380475927043E-11</v>
      </c>
      <c r="P104">
        <v>0</v>
      </c>
      <c r="Q104">
        <v>100</v>
      </c>
      <c r="AJ104">
        <v>1</v>
      </c>
    </row>
    <row r="105" spans="1:36" x14ac:dyDescent="0.2">
      <c r="A105">
        <v>121</v>
      </c>
      <c r="B105">
        <v>764</v>
      </c>
      <c r="C105">
        <v>125</v>
      </c>
      <c r="D105">
        <v>0.46691462180012799</v>
      </c>
      <c r="E105">
        <v>29.619284569084599</v>
      </c>
      <c r="F105">
        <v>2.5391258783161499</v>
      </c>
      <c r="G105">
        <v>-485.14327485324776</v>
      </c>
      <c r="H105">
        <v>-424.4164632356912</v>
      </c>
      <c r="I105">
        <v>58.551618972719901</v>
      </c>
      <c r="J105">
        <v>34.355432571138401</v>
      </c>
      <c r="K105">
        <v>11.665150129826101</v>
      </c>
      <c r="L105">
        <v>0</v>
      </c>
      <c r="M105">
        <v>1.2381427916924881E-6</v>
      </c>
      <c r="N105">
        <v>0</v>
      </c>
      <c r="O105" s="1">
        <v>1.6559771230967599E-11</v>
      </c>
      <c r="P105">
        <v>0</v>
      </c>
      <c r="Q105">
        <v>100</v>
      </c>
      <c r="AJ105">
        <v>1</v>
      </c>
    </row>
    <row r="106" spans="1:36" x14ac:dyDescent="0.2">
      <c r="A106">
        <v>122</v>
      </c>
      <c r="B106">
        <v>762</v>
      </c>
      <c r="C106">
        <v>125</v>
      </c>
      <c r="D106">
        <v>0.46574940829831801</v>
      </c>
      <c r="E106">
        <v>30.4487339879853</v>
      </c>
      <c r="F106">
        <v>2.5391258783161499</v>
      </c>
      <c r="G106">
        <v>-498.608764861564</v>
      </c>
      <c r="H106">
        <v>-436.37231874793571</v>
      </c>
      <c r="I106">
        <v>60.123118498409099</v>
      </c>
      <c r="J106">
        <v>35.308694372533303</v>
      </c>
      <c r="K106">
        <v>11.9918174392274</v>
      </c>
      <c r="L106">
        <v>0</v>
      </c>
      <c r="M106">
        <v>1.2381427916924881E-6</v>
      </c>
      <c r="N106">
        <v>0</v>
      </c>
      <c r="O106" s="1">
        <v>1.7023506018099798E-11</v>
      </c>
      <c r="P106">
        <v>0</v>
      </c>
      <c r="Q106">
        <v>100</v>
      </c>
      <c r="AJ106">
        <v>1</v>
      </c>
    </row>
    <row r="107" spans="1:36" x14ac:dyDescent="0.2">
      <c r="A107">
        <v>123</v>
      </c>
      <c r="B107">
        <v>760</v>
      </c>
      <c r="C107">
        <v>125</v>
      </c>
      <c r="D107">
        <v>0.464579683492232</v>
      </c>
      <c r="E107">
        <v>31.034874502218599</v>
      </c>
      <c r="F107">
        <v>2.5391258783161499</v>
      </c>
      <c r="G107">
        <v>-508.08453122502465</v>
      </c>
      <c r="H107">
        <v>-444.84448782333101</v>
      </c>
      <c r="I107">
        <v>61.210902000380898</v>
      </c>
      <c r="J107">
        <v>35.979363669834399</v>
      </c>
      <c r="K107">
        <v>12.2226608642182</v>
      </c>
      <c r="L107">
        <v>0</v>
      </c>
      <c r="M107">
        <v>1.2381427916924881E-6</v>
      </c>
      <c r="N107">
        <v>0</v>
      </c>
      <c r="O107" s="1">
        <v>1.73512098423521E-11</v>
      </c>
      <c r="P107">
        <v>0</v>
      </c>
      <c r="Q107">
        <v>100</v>
      </c>
      <c r="AJ107">
        <v>1</v>
      </c>
    </row>
    <row r="108" spans="1:36" x14ac:dyDescent="0.2">
      <c r="A108">
        <v>124</v>
      </c>
      <c r="B108">
        <v>758</v>
      </c>
      <c r="C108">
        <v>125</v>
      </c>
      <c r="D108">
        <v>0.46340542113174599</v>
      </c>
      <c r="E108">
        <v>31.4758410716877</v>
      </c>
      <c r="F108">
        <v>2.5391258783161499</v>
      </c>
      <c r="G108">
        <v>-515.17968338977732</v>
      </c>
      <c r="H108">
        <v>-451.23814100448345</v>
      </c>
      <c r="I108">
        <v>62.009932973179303</v>
      </c>
      <c r="J108">
        <v>36.4813914919173</v>
      </c>
      <c r="K108">
        <v>12.396329516582</v>
      </c>
      <c r="L108">
        <v>0</v>
      </c>
      <c r="M108">
        <v>1.2381427916924884E-6</v>
      </c>
      <c r="N108">
        <v>0</v>
      </c>
      <c r="O108" s="1">
        <v>1.7597748731361401E-11</v>
      </c>
      <c r="P108">
        <v>0</v>
      </c>
      <c r="Q108">
        <v>100</v>
      </c>
      <c r="AJ108">
        <v>1</v>
      </c>
    </row>
    <row r="109" spans="1:36" x14ac:dyDescent="0.2">
      <c r="A109">
        <v>125</v>
      </c>
      <c r="B109">
        <v>756</v>
      </c>
      <c r="C109">
        <v>125</v>
      </c>
      <c r="D109">
        <v>0.46222659476266797</v>
      </c>
      <c r="E109">
        <v>31.835574636859299</v>
      </c>
      <c r="F109">
        <v>2.5391258783161499</v>
      </c>
      <c r="G109">
        <v>-520.94224376133332</v>
      </c>
      <c r="H109">
        <v>-456.46907425287452</v>
      </c>
      <c r="I109">
        <v>62.647009190554101</v>
      </c>
      <c r="J109">
        <v>36.8889937291897</v>
      </c>
      <c r="K109">
        <v>12.538005661212599</v>
      </c>
      <c r="L109">
        <v>0</v>
      </c>
      <c r="M109">
        <v>1.2381427916924881E-6</v>
      </c>
      <c r="N109">
        <v>0</v>
      </c>
      <c r="O109" s="1">
        <v>1.7798871264535701E-11</v>
      </c>
      <c r="P109">
        <v>0</v>
      </c>
      <c r="Q109">
        <v>100</v>
      </c>
      <c r="AJ109">
        <v>1</v>
      </c>
    </row>
    <row r="110" spans="1:36" x14ac:dyDescent="0.2">
      <c r="A110">
        <v>126</v>
      </c>
      <c r="B110">
        <v>754</v>
      </c>
      <c r="C110">
        <v>125</v>
      </c>
      <c r="D110">
        <v>0.46104317772477099</v>
      </c>
      <c r="E110">
        <v>32.121599818866599</v>
      </c>
      <c r="F110">
        <v>2.5391258783161499</v>
      </c>
      <c r="G110">
        <v>-525.49627683479889</v>
      </c>
      <c r="H110">
        <v>-460.64462997861904</v>
      </c>
      <c r="I110">
        <v>63.137464689850297</v>
      </c>
      <c r="J110">
        <v>37.210957065721502</v>
      </c>
      <c r="K110">
        <v>12.650652767230399</v>
      </c>
      <c r="L110">
        <v>0</v>
      </c>
      <c r="M110">
        <v>1.2381427916924884E-6</v>
      </c>
      <c r="N110">
        <v>0</v>
      </c>
      <c r="O110" s="1">
        <v>1.79587843633578E-11</v>
      </c>
      <c r="P110">
        <v>0</v>
      </c>
      <c r="Q110">
        <v>100</v>
      </c>
      <c r="AJ110">
        <v>1</v>
      </c>
    </row>
    <row r="111" spans="1:36" x14ac:dyDescent="0.2">
      <c r="A111">
        <v>135</v>
      </c>
      <c r="B111">
        <v>790</v>
      </c>
      <c r="C111">
        <v>100</v>
      </c>
      <c r="D111">
        <v>0.507529981658283</v>
      </c>
      <c r="E111">
        <v>0.60759247290234397</v>
      </c>
      <c r="F111">
        <v>2.53834005884787</v>
      </c>
      <c r="G111">
        <v>-9.9893816673414371</v>
      </c>
      <c r="H111">
        <v>-8.6938588023435113</v>
      </c>
      <c r="I111">
        <v>1.2185701594299201</v>
      </c>
      <c r="J111">
        <v>0.70696725598482202</v>
      </c>
      <c r="K111">
        <v>0.23936606554526099</v>
      </c>
      <c r="L111">
        <v>0</v>
      </c>
      <c r="M111">
        <v>1.2381143945371709E-6</v>
      </c>
      <c r="N111">
        <v>0</v>
      </c>
      <c r="O111" s="1">
        <v>3.3969734581039002E-13</v>
      </c>
      <c r="P111">
        <v>0</v>
      </c>
      <c r="Q111">
        <v>100</v>
      </c>
      <c r="AJ111">
        <v>1</v>
      </c>
    </row>
    <row r="112" spans="1:36" x14ac:dyDescent="0.2">
      <c r="A112">
        <v>136</v>
      </c>
      <c r="B112">
        <v>788</v>
      </c>
      <c r="C112">
        <v>100</v>
      </c>
      <c r="D112">
        <v>0.50646986759647905</v>
      </c>
      <c r="E112">
        <v>1.9527845504145001</v>
      </c>
      <c r="F112">
        <v>2.53834005884787</v>
      </c>
      <c r="G112">
        <v>-32.097753751929126</v>
      </c>
      <c r="H112">
        <v>-27.946353344659549</v>
      </c>
      <c r="I112">
        <v>3.9121711419399401</v>
      </c>
      <c r="J112">
        <v>2.2716371285424302</v>
      </c>
      <c r="K112">
        <v>0.76931557834723496</v>
      </c>
      <c r="L112">
        <v>0</v>
      </c>
      <c r="M112">
        <v>1.2381143945371709E-6</v>
      </c>
      <c r="N112">
        <v>0</v>
      </c>
      <c r="O112" s="1">
        <v>1.0917773973509401E-12</v>
      </c>
      <c r="P112">
        <v>0</v>
      </c>
      <c r="Q112">
        <v>100</v>
      </c>
      <c r="AJ112">
        <v>1</v>
      </c>
    </row>
    <row r="113" spans="1:36" x14ac:dyDescent="0.2">
      <c r="A113">
        <v>137</v>
      </c>
      <c r="B113">
        <v>786</v>
      </c>
      <c r="C113">
        <v>100</v>
      </c>
      <c r="D113">
        <v>0.50540574989378495</v>
      </c>
      <c r="E113">
        <v>3.3276151446875302</v>
      </c>
      <c r="F113">
        <v>2.53834005884787</v>
      </c>
      <c r="G113">
        <v>-54.682401767117348</v>
      </c>
      <c r="H113">
        <v>-47.629332734202521</v>
      </c>
      <c r="I113">
        <v>6.6591786176790997</v>
      </c>
      <c r="J113">
        <v>3.8700357694906899</v>
      </c>
      <c r="K113">
        <v>1.3109414292574699</v>
      </c>
      <c r="L113">
        <v>0</v>
      </c>
      <c r="M113">
        <v>1.2381143945371709E-6</v>
      </c>
      <c r="N113">
        <v>0</v>
      </c>
      <c r="O113" s="1">
        <v>1.8604279726001302E-12</v>
      </c>
      <c r="P113">
        <v>0</v>
      </c>
      <c r="Q113">
        <v>100</v>
      </c>
      <c r="AJ113">
        <v>1</v>
      </c>
    </row>
    <row r="114" spans="1:36" x14ac:dyDescent="0.2">
      <c r="A114">
        <v>138</v>
      </c>
      <c r="B114">
        <v>784</v>
      </c>
      <c r="C114">
        <v>100</v>
      </c>
      <c r="D114">
        <v>0.50433760582698905</v>
      </c>
      <c r="E114">
        <v>4.7857532772320903</v>
      </c>
      <c r="F114">
        <v>2.53834005884787</v>
      </c>
      <c r="G114">
        <v>-78.624711304872534</v>
      </c>
      <c r="H114">
        <v>-68.511310048689467</v>
      </c>
      <c r="I114">
        <v>9.5666662783739707</v>
      </c>
      <c r="J114">
        <v>5.5645364786781704</v>
      </c>
      <c r="K114">
        <v>1.8853869719112</v>
      </c>
      <c r="L114">
        <v>0</v>
      </c>
      <c r="M114">
        <v>1.2381143945371709E-6</v>
      </c>
      <c r="N114">
        <v>0</v>
      </c>
      <c r="O114" s="1">
        <v>2.6756547496604901E-12</v>
      </c>
      <c r="P114">
        <v>0</v>
      </c>
      <c r="Q114">
        <v>100</v>
      </c>
      <c r="AJ114">
        <v>1</v>
      </c>
    </row>
    <row r="115" spans="1:36" x14ac:dyDescent="0.2">
      <c r="A115">
        <v>139</v>
      </c>
      <c r="B115">
        <v>782</v>
      </c>
      <c r="C115">
        <v>100</v>
      </c>
      <c r="D115">
        <v>0.50326541250059598</v>
      </c>
      <c r="E115">
        <v>14.8505674910735</v>
      </c>
      <c r="F115">
        <v>2.53834005884787</v>
      </c>
      <c r="G115">
        <v>-243.91930165535618</v>
      </c>
      <c r="H115">
        <v>-212.63049475667114</v>
      </c>
      <c r="I115">
        <v>29.6534207446193</v>
      </c>
      <c r="J115">
        <v>17.263071893550698</v>
      </c>
      <c r="K115">
        <v>5.8505035364781204</v>
      </c>
      <c r="L115">
        <v>0</v>
      </c>
      <c r="M115">
        <v>1.2381143945371709E-6</v>
      </c>
      <c r="N115">
        <v>0</v>
      </c>
      <c r="O115" s="1">
        <v>8.3027663861572897E-12</v>
      </c>
      <c r="P115">
        <v>0</v>
      </c>
      <c r="Q115">
        <v>100</v>
      </c>
      <c r="AJ115">
        <v>1</v>
      </c>
    </row>
    <row r="116" spans="1:36" x14ac:dyDescent="0.2">
      <c r="A116">
        <v>140</v>
      </c>
      <c r="B116">
        <v>780</v>
      </c>
      <c r="C116">
        <v>100</v>
      </c>
      <c r="D116">
        <v>0.50218914684517901</v>
      </c>
      <c r="E116">
        <v>23.453084204329802</v>
      </c>
      <c r="F116">
        <v>2.53834005884787</v>
      </c>
      <c r="G116">
        <v>-385.12129342667299</v>
      </c>
      <c r="H116">
        <v>-335.85588890817655</v>
      </c>
      <c r="I116">
        <v>46.779095587994497</v>
      </c>
      <c r="J116">
        <v>27.2565490824832</v>
      </c>
      <c r="K116">
        <v>9.2395359410491995</v>
      </c>
      <c r="L116">
        <v>0</v>
      </c>
      <c r="M116">
        <v>1.2381143945371711E-6</v>
      </c>
      <c r="N116">
        <v>0</v>
      </c>
      <c r="O116" s="1">
        <v>1.31123257949888E-11</v>
      </c>
      <c r="P116">
        <v>0</v>
      </c>
      <c r="Q116">
        <v>100</v>
      </c>
      <c r="AJ116">
        <v>1</v>
      </c>
    </row>
    <row r="117" spans="1:36" x14ac:dyDescent="0.2">
      <c r="A117">
        <v>141</v>
      </c>
      <c r="B117">
        <v>778</v>
      </c>
      <c r="C117">
        <v>100</v>
      </c>
      <c r="D117">
        <v>0.501108785615755</v>
      </c>
      <c r="E117">
        <v>26.922988871673098</v>
      </c>
      <c r="F117">
        <v>2.53834005884787</v>
      </c>
      <c r="G117">
        <v>-441.99299056260588</v>
      </c>
      <c r="H117">
        <v>-385.60863721486999</v>
      </c>
      <c r="I117">
        <v>53.640634873934196</v>
      </c>
      <c r="J117">
        <v>31.281645421230301</v>
      </c>
      <c r="K117">
        <v>10.6065335012256</v>
      </c>
      <c r="L117">
        <v>0</v>
      </c>
      <c r="M117">
        <v>1.2381143945371709E-6</v>
      </c>
      <c r="N117">
        <v>0</v>
      </c>
      <c r="O117" s="1">
        <v>1.5052306058538001E-11</v>
      </c>
      <c r="P117">
        <v>0</v>
      </c>
      <c r="Q117">
        <v>100</v>
      </c>
      <c r="AJ117">
        <v>1</v>
      </c>
    </row>
    <row r="118" spans="1:36" x14ac:dyDescent="0.2">
      <c r="A118">
        <v>142</v>
      </c>
      <c r="B118">
        <v>776</v>
      </c>
      <c r="C118">
        <v>100</v>
      </c>
      <c r="D118">
        <v>0.50002430539008103</v>
      </c>
      <c r="E118">
        <v>28.6853658541478</v>
      </c>
      <c r="F118">
        <v>2.53834005884787</v>
      </c>
      <c r="G118">
        <v>-470.81158059644247</v>
      </c>
      <c r="H118">
        <v>-410.9172024605524</v>
      </c>
      <c r="I118">
        <v>57.088479374627099</v>
      </c>
      <c r="J118">
        <v>33.321278104640299</v>
      </c>
      <c r="K118">
        <v>11.3008364478823</v>
      </c>
      <c r="L118">
        <v>0</v>
      </c>
      <c r="M118">
        <v>1.2381143945371709E-6</v>
      </c>
      <c r="N118">
        <v>0</v>
      </c>
      <c r="O118" s="1">
        <v>1.6037628968158999E-11</v>
      </c>
      <c r="P118">
        <v>0</v>
      </c>
      <c r="Q118">
        <v>100</v>
      </c>
      <c r="AJ118">
        <v>1</v>
      </c>
    </row>
    <row r="119" spans="1:36" x14ac:dyDescent="0.2">
      <c r="A119">
        <v>143</v>
      </c>
      <c r="B119">
        <v>774</v>
      </c>
      <c r="C119">
        <v>100</v>
      </c>
      <c r="D119">
        <v>0.49893568256697302</v>
      </c>
      <c r="E119">
        <v>29.758876514547101</v>
      </c>
      <c r="F119">
        <v>2.53834005884787</v>
      </c>
      <c r="G119">
        <v>-488.31267738198483</v>
      </c>
      <c r="H119">
        <v>-426.36434601382132</v>
      </c>
      <c r="I119">
        <v>59.158985215263797</v>
      </c>
      <c r="J119">
        <v>34.559882484225298</v>
      </c>
      <c r="K119">
        <v>11.7237548258425</v>
      </c>
      <c r="L119">
        <v>0</v>
      </c>
      <c r="M119">
        <v>1.2381143945371709E-6</v>
      </c>
      <c r="N119">
        <v>0</v>
      </c>
      <c r="O119" s="1">
        <v>1.6637815340275901E-11</v>
      </c>
      <c r="P119">
        <v>0</v>
      </c>
      <c r="Q119">
        <v>100</v>
      </c>
      <c r="AJ119">
        <v>1</v>
      </c>
    </row>
    <row r="120" spans="1:36" x14ac:dyDescent="0.2">
      <c r="A120">
        <v>144</v>
      </c>
      <c r="B120">
        <v>772</v>
      </c>
      <c r="C120">
        <v>100</v>
      </c>
      <c r="D120">
        <v>0.49784289336458698</v>
      </c>
      <c r="E120">
        <v>30.489910147113701</v>
      </c>
      <c r="F120">
        <v>2.53834005884787</v>
      </c>
      <c r="G120">
        <v>-500.18703357943053</v>
      </c>
      <c r="H120">
        <v>-436.90889311523102</v>
      </c>
      <c r="I120">
        <v>60.544553857531902</v>
      </c>
      <c r="J120">
        <v>35.4002119144616</v>
      </c>
      <c r="K120">
        <v>12.011751554262901</v>
      </c>
      <c r="L120">
        <v>0</v>
      </c>
      <c r="M120">
        <v>1.2381143945371709E-6</v>
      </c>
      <c r="N120">
        <v>0</v>
      </c>
      <c r="O120" s="1">
        <v>1.7046527093229E-11</v>
      </c>
      <c r="P120">
        <v>0</v>
      </c>
      <c r="Q120">
        <v>100</v>
      </c>
      <c r="AJ120">
        <v>1</v>
      </c>
    </row>
    <row r="121" spans="1:36" x14ac:dyDescent="0.2">
      <c r="A121">
        <v>145</v>
      </c>
      <c r="B121">
        <v>770</v>
      </c>
      <c r="C121">
        <v>100</v>
      </c>
      <c r="D121">
        <v>0.49674591381872402</v>
      </c>
      <c r="E121">
        <v>31.025371488000101</v>
      </c>
      <c r="F121">
        <v>2.53834005884787</v>
      </c>
      <c r="G121">
        <v>-508.84813119360308</v>
      </c>
      <c r="H121">
        <v>-444.65388681929147</v>
      </c>
      <c r="I121">
        <v>61.538843286499102</v>
      </c>
      <c r="J121">
        <v>36.0130761844811</v>
      </c>
      <c r="K121">
        <v>12.222700965481399</v>
      </c>
      <c r="L121">
        <v>0</v>
      </c>
      <c r="M121">
        <v>1.2381143945371709E-6</v>
      </c>
      <c r="N121">
        <v>0</v>
      </c>
      <c r="O121" s="1">
        <v>1.73458968260604E-11</v>
      </c>
      <c r="P121">
        <v>0</v>
      </c>
      <c r="Q121">
        <v>100</v>
      </c>
      <c r="AJ121">
        <v>1</v>
      </c>
    </row>
    <row r="122" spans="1:36" x14ac:dyDescent="0.2">
      <c r="A122">
        <v>146</v>
      </c>
      <c r="B122">
        <v>768</v>
      </c>
      <c r="C122">
        <v>100</v>
      </c>
      <c r="D122">
        <v>0.49564471978101199</v>
      </c>
      <c r="E122">
        <v>31.4379968342881</v>
      </c>
      <c r="F122">
        <v>2.53834005884787</v>
      </c>
      <c r="G122">
        <v>-515.49096840841617</v>
      </c>
      <c r="H122">
        <v>-450.64058526758737</v>
      </c>
      <c r="I122">
        <v>62.287262297295001</v>
      </c>
      <c r="J122">
        <v>36.483048859646999</v>
      </c>
      <c r="K122">
        <v>12.385258123593299</v>
      </c>
      <c r="L122">
        <v>0</v>
      </c>
      <c r="M122">
        <v>1.2381143945371707E-6</v>
      </c>
      <c r="N122">
        <v>0</v>
      </c>
      <c r="O122" s="1">
        <v>1.75765904919621E-11</v>
      </c>
      <c r="P122">
        <v>0</v>
      </c>
      <c r="Q122">
        <v>100</v>
      </c>
      <c r="AJ122">
        <v>1</v>
      </c>
    </row>
    <row r="123" spans="1:36" x14ac:dyDescent="0.2">
      <c r="A123">
        <v>147</v>
      </c>
      <c r="B123">
        <v>766</v>
      </c>
      <c r="C123">
        <v>100</v>
      </c>
      <c r="D123">
        <v>0.49453928691719501</v>
      </c>
      <c r="E123">
        <v>31.767990627359001</v>
      </c>
      <c r="F123">
        <v>2.53834005884787</v>
      </c>
      <c r="G123">
        <v>-520.77608775363035</v>
      </c>
      <c r="H123">
        <v>-455.44452670896823</v>
      </c>
      <c r="I123">
        <v>62.870192989137401</v>
      </c>
      <c r="J123">
        <v>36.856878285107399</v>
      </c>
      <c r="K123">
        <v>12.5152618998489</v>
      </c>
      <c r="L123">
        <v>0</v>
      </c>
      <c r="M123">
        <v>1.2381143945371711E-6</v>
      </c>
      <c r="N123">
        <v>0</v>
      </c>
      <c r="O123" s="1">
        <v>1.7761085890834699E-11</v>
      </c>
      <c r="P123">
        <v>0</v>
      </c>
      <c r="Q123">
        <v>100</v>
      </c>
      <c r="AJ123">
        <v>1</v>
      </c>
    </row>
    <row r="124" spans="1:36" x14ac:dyDescent="0.2">
      <c r="A124">
        <v>148</v>
      </c>
      <c r="B124">
        <v>764</v>
      </c>
      <c r="C124">
        <v>100</v>
      </c>
      <c r="D124">
        <v>0.49342959070530001</v>
      </c>
      <c r="E124">
        <v>32.039458232205199</v>
      </c>
      <c r="F124">
        <v>2.53834005884787</v>
      </c>
      <c r="G124">
        <v>-525.09954210776993</v>
      </c>
      <c r="H124">
        <v>-459.41077977937493</v>
      </c>
      <c r="I124">
        <v>63.335836020242901</v>
      </c>
      <c r="J124">
        <v>37.162593996656703</v>
      </c>
      <c r="K124">
        <v>12.6222088015849</v>
      </c>
      <c r="L124">
        <v>0</v>
      </c>
      <c r="M124">
        <v>1.2381143945371711E-6</v>
      </c>
      <c r="N124">
        <v>0</v>
      </c>
      <c r="O124" s="1">
        <v>1.7912860030496501E-11</v>
      </c>
      <c r="P124">
        <v>0</v>
      </c>
      <c r="Q124">
        <v>100</v>
      </c>
      <c r="AJ124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5AF0A-2B16-400B-B2C7-B2EE26DEFCAC}">
  <sheetPr codeName="Sheet13"/>
  <dimension ref="A1:AJ149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760</v>
      </c>
      <c r="C2">
        <v>300</v>
      </c>
      <c r="D2">
        <v>0.27825630353772701</v>
      </c>
      <c r="E2">
        <v>3.8692925733162502</v>
      </c>
      <c r="F2">
        <v>0.57755233730724798</v>
      </c>
      <c r="G2">
        <v>-83.774936899819068</v>
      </c>
      <c r="H2">
        <v>-49.244392244761336</v>
      </c>
      <c r="I2">
        <v>33.424729131171603</v>
      </c>
      <c r="J2">
        <v>14.7881423401564</v>
      </c>
      <c r="K2">
        <v>6.6994665649804901</v>
      </c>
      <c r="L2">
        <v>1.1159856656337461E-3</v>
      </c>
      <c r="M2">
        <v>1.6872488244912802E-4</v>
      </c>
      <c r="N2" s="1">
        <v>4.8352050419734703E-6</v>
      </c>
      <c r="O2" s="1">
        <v>8.1607293310886605E-7</v>
      </c>
      <c r="P2" s="1">
        <v>-3.2817022494353401E-6</v>
      </c>
      <c r="AE2">
        <v>100</v>
      </c>
      <c r="AJ2">
        <v>1</v>
      </c>
    </row>
    <row r="3" spans="1:36" x14ac:dyDescent="0.2">
      <c r="A3">
        <v>2</v>
      </c>
      <c r="B3">
        <v>758</v>
      </c>
      <c r="C3">
        <v>300</v>
      </c>
      <c r="D3">
        <v>0.27672065169955901</v>
      </c>
      <c r="E3">
        <v>3.88069018983269</v>
      </c>
      <c r="F3">
        <v>0.57884346008014098</v>
      </c>
      <c r="G3">
        <v>-83.954691660591806</v>
      </c>
      <c r="H3">
        <v>-49.419123990559562</v>
      </c>
      <c r="I3">
        <v>33.4944367349663</v>
      </c>
      <c r="J3">
        <v>14.8428493443053</v>
      </c>
      <c r="K3">
        <v>6.70421358702992</v>
      </c>
      <c r="L3">
        <v>1.1170241678359536E-3</v>
      </c>
      <c r="M3">
        <v>1.6812079328550449E-4</v>
      </c>
      <c r="N3" s="1">
        <v>4.9138661746535096E-6</v>
      </c>
      <c r="O3" s="1">
        <v>8.1284593694284101E-7</v>
      </c>
      <c r="P3" s="1">
        <v>-3.2872864610869202E-6</v>
      </c>
      <c r="AE3">
        <v>100</v>
      </c>
      <c r="AJ3">
        <v>1</v>
      </c>
    </row>
    <row r="4" spans="1:36" x14ac:dyDescent="0.2">
      <c r="A4">
        <v>3</v>
      </c>
      <c r="B4">
        <v>756</v>
      </c>
      <c r="C4">
        <v>300</v>
      </c>
      <c r="D4">
        <v>0.27517903123937498</v>
      </c>
      <c r="E4">
        <v>3.9068925600346298</v>
      </c>
      <c r="F4">
        <v>0.58013866374805401</v>
      </c>
      <c r="G4">
        <v>-84.454140485682245</v>
      </c>
      <c r="H4">
        <v>-49.782698607688275</v>
      </c>
      <c r="I4">
        <v>33.691568422316898</v>
      </c>
      <c r="J4">
        <v>14.954254089070201</v>
      </c>
      <c r="K4">
        <v>6.7344116228932203</v>
      </c>
      <c r="L4">
        <v>1.118044762222764E-3</v>
      </c>
      <c r="M4">
        <v>1.6751474484224941E-4</v>
      </c>
      <c r="N4" s="1">
        <v>5.0120028077533801E-6</v>
      </c>
      <c r="O4" s="1">
        <v>8.1266531701196004E-7</v>
      </c>
      <c r="P4" s="1">
        <v>-3.3052423447498101E-6</v>
      </c>
      <c r="AE4">
        <v>100</v>
      </c>
      <c r="AJ4">
        <v>1</v>
      </c>
    </row>
    <row r="5" spans="1:36" x14ac:dyDescent="0.2">
      <c r="A5">
        <v>4</v>
      </c>
      <c r="B5">
        <v>754</v>
      </c>
      <c r="C5">
        <v>300</v>
      </c>
      <c r="D5">
        <v>0.27363140729202201</v>
      </c>
      <c r="E5">
        <v>3.9327653043181701</v>
      </c>
      <c r="F5">
        <v>0.58143794183976405</v>
      </c>
      <c r="G5">
        <v>-84.94562385319125</v>
      </c>
      <c r="H5">
        <v>-50.142494026903471</v>
      </c>
      <c r="I5">
        <v>33.885392003207201</v>
      </c>
      <c r="J5">
        <v>15.064509380982599</v>
      </c>
      <c r="K5">
        <v>6.76386080322564</v>
      </c>
      <c r="L5">
        <v>1.1190472461558231E-3</v>
      </c>
      <c r="M5">
        <v>1.6690676151603708E-4</v>
      </c>
      <c r="N5" s="1">
        <v>5.1106786806924704E-6</v>
      </c>
      <c r="O5" s="1">
        <v>8.1234089199752797E-7</v>
      </c>
      <c r="P5" s="1">
        <v>-3.3227318058658702E-6</v>
      </c>
      <c r="AE5">
        <v>100</v>
      </c>
      <c r="AJ5">
        <v>1</v>
      </c>
    </row>
    <row r="6" spans="1:36" x14ac:dyDescent="0.2">
      <c r="A6">
        <v>5</v>
      </c>
      <c r="B6">
        <v>752</v>
      </c>
      <c r="C6">
        <v>300</v>
      </c>
      <c r="D6">
        <v>0.27207774472028401</v>
      </c>
      <c r="E6">
        <v>3.9583133165484301</v>
      </c>
      <c r="F6">
        <v>0.58274128751843002</v>
      </c>
      <c r="G6">
        <v>-85.42926574512056</v>
      </c>
      <c r="H6">
        <v>-50.498565477504926</v>
      </c>
      <c r="I6">
        <v>34.075955184669198</v>
      </c>
      <c r="J6">
        <v>15.1736292186479</v>
      </c>
      <c r="K6">
        <v>6.7925739969526999</v>
      </c>
      <c r="L6">
        <v>1.1200314181014448E-3</v>
      </c>
      <c r="M6">
        <v>1.6629686818048778E-4</v>
      </c>
      <c r="N6" s="1">
        <v>5.2098760444014604E-6</v>
      </c>
      <c r="O6" s="1">
        <v>8.11875491763594E-7</v>
      </c>
      <c r="P6" s="1">
        <v>-3.3397570397854798E-6</v>
      </c>
      <c r="AE6">
        <v>100</v>
      </c>
      <c r="AJ6">
        <v>1</v>
      </c>
    </row>
    <row r="7" spans="1:36" x14ac:dyDescent="0.2">
      <c r="A7">
        <v>6</v>
      </c>
      <c r="B7">
        <v>750</v>
      </c>
      <c r="C7">
        <v>300</v>
      </c>
      <c r="D7">
        <v>0.270518008112205</v>
      </c>
      <c r="E7">
        <v>3.9835413691648598</v>
      </c>
      <c r="F7">
        <v>0.58404869357908595</v>
      </c>
      <c r="G7">
        <v>-85.905187163123529</v>
      </c>
      <c r="H7">
        <v>-50.850966773225679</v>
      </c>
      <c r="I7">
        <v>34.2633045173109</v>
      </c>
      <c r="J7">
        <v>15.281627174213501</v>
      </c>
      <c r="K7">
        <v>6.8205637868196796</v>
      </c>
      <c r="L7">
        <v>1.1209970776875702E-3</v>
      </c>
      <c r="M7">
        <v>1.6568509018277563E-4</v>
      </c>
      <c r="N7" s="1">
        <v>5.3095769368872799E-6</v>
      </c>
      <c r="O7" s="1">
        <v>8.1127190643514096E-7</v>
      </c>
      <c r="P7" s="1">
        <v>-3.35632020460451E-6</v>
      </c>
      <c r="AE7">
        <v>100</v>
      </c>
      <c r="AJ7">
        <v>1</v>
      </c>
    </row>
    <row r="8" spans="1:36" x14ac:dyDescent="0.2">
      <c r="A8">
        <v>7</v>
      </c>
      <c r="B8">
        <v>748</v>
      </c>
      <c r="C8">
        <v>300</v>
      </c>
      <c r="D8">
        <v>0.26895216177838999</v>
      </c>
      <c r="E8">
        <v>4.0084541157879103</v>
      </c>
      <c r="F8">
        <v>0.58536015244613604</v>
      </c>
      <c r="G8">
        <v>-86.373506195726577</v>
      </c>
      <c r="H8">
        <v>-51.199750341122524</v>
      </c>
      <c r="I8">
        <v>34.447485421530999</v>
      </c>
      <c r="J8">
        <v>15.3885164022839</v>
      </c>
      <c r="K8">
        <v>6.8478424761869299</v>
      </c>
      <c r="L8">
        <v>1.1219440257605906E-3</v>
      </c>
      <c r="M8">
        <v>1.6507145334001015E-4</v>
      </c>
      <c r="N8" s="1">
        <v>5.4097631864128696E-6</v>
      </c>
      <c r="O8" s="1">
        <v>8.1053288748416603E-7</v>
      </c>
      <c r="P8" s="1">
        <v>-3.3724234243336399E-6</v>
      </c>
      <c r="AE8">
        <v>100</v>
      </c>
      <c r="AJ8">
        <v>1</v>
      </c>
    </row>
    <row r="9" spans="1:36" x14ac:dyDescent="0.2">
      <c r="A9">
        <v>8</v>
      </c>
      <c r="B9">
        <v>746</v>
      </c>
      <c r="C9">
        <v>300</v>
      </c>
      <c r="D9">
        <v>0.26738016974930101</v>
      </c>
      <c r="E9">
        <v>4.0330560941400897</v>
      </c>
      <c r="F9">
        <v>0.58667565617094397</v>
      </c>
      <c r="G9">
        <v>-86.834338092028815</v>
      </c>
      <c r="H9">
        <v>-51.544967254596578</v>
      </c>
      <c r="I9">
        <v>34.6285422163443</v>
      </c>
      <c r="J9">
        <v>15.4943096500979</v>
      </c>
      <c r="K9">
        <v>6.8744220962953104</v>
      </c>
      <c r="L9">
        <v>1.1228720644420381E-3</v>
      </c>
      <c r="M9">
        <v>1.644559839353467E-4</v>
      </c>
      <c r="N9" s="1">
        <v>5.5104164153777104E-6</v>
      </c>
      <c r="O9" s="1">
        <v>8.0966114885143704E-7</v>
      </c>
      <c r="P9" s="1">
        <v>-3.38806879231746E-6</v>
      </c>
      <c r="AE9">
        <v>100</v>
      </c>
      <c r="AJ9">
        <v>1</v>
      </c>
    </row>
    <row r="10" spans="1:36" x14ac:dyDescent="0.2">
      <c r="A10">
        <v>9</v>
      </c>
      <c r="B10">
        <v>744</v>
      </c>
      <c r="C10">
        <v>300</v>
      </c>
      <c r="D10">
        <v>0.26580199577250502</v>
      </c>
      <c r="E10">
        <v>4.05735172857844</v>
      </c>
      <c r="F10">
        <v>0.58799519642945897</v>
      </c>
      <c r="G10">
        <v>-87.287795326715312</v>
      </c>
      <c r="H10">
        <v>-51.886667261570011</v>
      </c>
      <c r="I10">
        <v>34.806518144771502</v>
      </c>
      <c r="J10">
        <v>15.5990192662623</v>
      </c>
      <c r="K10">
        <v>6.9003144127984397</v>
      </c>
      <c r="L10">
        <v>1.1237809971851975E-3</v>
      </c>
      <c r="M10">
        <v>1.6383870871392441E-4</v>
      </c>
      <c r="N10" s="1">
        <v>5.6115180439812799E-6</v>
      </c>
      <c r="O10" s="1">
        <v>8.0865936796150095E-7</v>
      </c>
      <c r="P10" s="1">
        <v>-3.4032583743113901E-6</v>
      </c>
      <c r="AE10">
        <v>100</v>
      </c>
      <c r="AJ10">
        <v>1</v>
      </c>
    </row>
    <row r="11" spans="1:36" x14ac:dyDescent="0.2">
      <c r="A11">
        <v>10</v>
      </c>
      <c r="B11">
        <v>742</v>
      </c>
      <c r="C11">
        <v>300</v>
      </c>
      <c r="D11">
        <v>0.264217603309855</v>
      </c>
      <c r="E11">
        <v>4.0813453326257303</v>
      </c>
      <c r="F11">
        <v>0.58931876451991005</v>
      </c>
      <c r="G11">
        <v>-87.733987664759425</v>
      </c>
      <c r="H11">
        <v>-52.224898812753679</v>
      </c>
      <c r="I11">
        <v>34.981455399131498</v>
      </c>
      <c r="J11">
        <v>15.7026572095319</v>
      </c>
      <c r="K11">
        <v>6.9255309322291998</v>
      </c>
      <c r="L11">
        <v>1.12467062883161E-3</v>
      </c>
      <c r="M11">
        <v>1.6321965487853319E-4</v>
      </c>
      <c r="N11" s="1">
        <v>5.7130492941394899E-6</v>
      </c>
      <c r="O11" s="1">
        <v>8.0753018671036695E-7</v>
      </c>
      <c r="P11" s="1">
        <v>-3.4179942115379502E-6</v>
      </c>
      <c r="AE11">
        <v>100</v>
      </c>
      <c r="AJ11">
        <v>1</v>
      </c>
    </row>
    <row r="12" spans="1:36" x14ac:dyDescent="0.2">
      <c r="A12">
        <v>11</v>
      </c>
      <c r="B12">
        <v>740</v>
      </c>
      <c r="C12">
        <v>300</v>
      </c>
      <c r="D12">
        <v>0.26262695553471999</v>
      </c>
      <c r="E12">
        <v>4.1050411112872904</v>
      </c>
      <c r="F12">
        <v>0.59064635136056898</v>
      </c>
      <c r="G12">
        <v>-88.173022221239506</v>
      </c>
      <c r="H12">
        <v>-52.559709087281277</v>
      </c>
      <c r="I12">
        <v>35.153395144411398</v>
      </c>
      <c r="J12">
        <v>15.805235056810099</v>
      </c>
      <c r="K12">
        <v>6.9500829080400202</v>
      </c>
      <c r="L12">
        <v>1.1255407656673808E-3</v>
      </c>
      <c r="M12">
        <v>1.6259885008507538E-4</v>
      </c>
      <c r="N12" s="1">
        <v>5.8149911933894098E-6</v>
      </c>
      <c r="O12" s="1">
        <v>8.0627621238481703E-7</v>
      </c>
      <c r="P12" s="1">
        <v>-3.43227832354644E-6</v>
      </c>
      <c r="AE12">
        <v>100</v>
      </c>
      <c r="AJ12">
        <v>1</v>
      </c>
    </row>
    <row r="13" spans="1:36" x14ac:dyDescent="0.2">
      <c r="A13">
        <v>12</v>
      </c>
      <c r="B13">
        <v>738</v>
      </c>
      <c r="C13">
        <v>300</v>
      </c>
      <c r="D13">
        <v>0.26103001532908299</v>
      </c>
      <c r="E13">
        <v>4.1284431634321104</v>
      </c>
      <c r="F13">
        <v>0.59197794748758203</v>
      </c>
      <c r="G13">
        <v>-88.605003522272654</v>
      </c>
      <c r="H13">
        <v>-52.891144019263436</v>
      </c>
      <c r="I13">
        <v>35.3223775421082</v>
      </c>
      <c r="J13">
        <v>15.9067640114451</v>
      </c>
      <c r="K13">
        <v>6.9739813466931899</v>
      </c>
      <c r="L13">
        <v>1.1263912154793017E-3</v>
      </c>
      <c r="M13">
        <v>1.6197632243779078E-4</v>
      </c>
      <c r="N13" s="1">
        <v>5.9173245791227702E-6</v>
      </c>
      <c r="O13" s="1">
        <v>8.0490001856930596E-7</v>
      </c>
      <c r="P13" s="1">
        <v>-3.4461127111050299E-6</v>
      </c>
      <c r="AE13">
        <v>100</v>
      </c>
      <c r="AJ13">
        <v>1</v>
      </c>
    </row>
    <row r="14" spans="1:36" x14ac:dyDescent="0.2">
      <c r="A14">
        <v>13</v>
      </c>
      <c r="B14">
        <v>736</v>
      </c>
      <c r="C14">
        <v>300</v>
      </c>
      <c r="D14">
        <v>0.25942674528068399</v>
      </c>
      <c r="E14">
        <v>4.17824489392628</v>
      </c>
      <c r="F14">
        <v>0.59331354305285799</v>
      </c>
      <c r="G14">
        <v>-89.602387483427137</v>
      </c>
      <c r="H14">
        <v>-53.561382816120783</v>
      </c>
      <c r="I14">
        <v>35.716588926926903</v>
      </c>
      <c r="J14">
        <v>16.110161927259799</v>
      </c>
      <c r="K14">
        <v>7.0422206653624997</v>
      </c>
      <c r="L14">
        <v>1.1272217876108106E-3</v>
      </c>
      <c r="M14">
        <v>1.6135210048428211E-4</v>
      </c>
      <c r="N14" s="1">
        <v>6.0587315128888299E-6</v>
      </c>
      <c r="O14" s="1">
        <v>8.0856904928676897E-7</v>
      </c>
      <c r="P14" s="1">
        <v>-3.4817396967674E-6</v>
      </c>
      <c r="AE14">
        <v>100</v>
      </c>
      <c r="AJ14">
        <v>1</v>
      </c>
    </row>
    <row r="15" spans="1:36" x14ac:dyDescent="0.2">
      <c r="A15">
        <v>14</v>
      </c>
      <c r="B15">
        <v>734</v>
      </c>
      <c r="C15">
        <v>300</v>
      </c>
      <c r="D15">
        <v>0.25781710768008598</v>
      </c>
      <c r="E15">
        <v>8.3892161950844706</v>
      </c>
      <c r="F15">
        <v>0.59465312782199797</v>
      </c>
      <c r="G15">
        <v>-179.76323049103883</v>
      </c>
      <c r="H15">
        <v>-107.60700510718614</v>
      </c>
      <c r="I15">
        <v>71.648737733720296</v>
      </c>
      <c r="J15">
        <v>32.369520220248397</v>
      </c>
      <c r="K15">
        <v>14.1077475297425</v>
      </c>
      <c r="L15">
        <v>1.1280322930175455E-3</v>
      </c>
      <c r="M15">
        <v>1.6072621321029814E-4</v>
      </c>
      <c r="N15" s="1">
        <v>1.230551286324E-5</v>
      </c>
      <c r="O15" s="1">
        <v>1.6113520429679399E-6</v>
      </c>
      <c r="P15" s="1">
        <v>-6.9785305034381502E-6</v>
      </c>
      <c r="AE15">
        <v>100</v>
      </c>
      <c r="AJ15">
        <v>1</v>
      </c>
    </row>
    <row r="16" spans="1:36" x14ac:dyDescent="0.2">
      <c r="A16">
        <v>15</v>
      </c>
      <c r="B16">
        <v>732</v>
      </c>
      <c r="C16">
        <v>300</v>
      </c>
      <c r="D16">
        <v>0.256201064517732</v>
      </c>
      <c r="E16">
        <v>9.4817596767697392</v>
      </c>
      <c r="F16">
        <v>0.59599669117238396</v>
      </c>
      <c r="G16">
        <v>-203.01224911084958</v>
      </c>
      <c r="H16">
        <v>-121.69406480870295</v>
      </c>
      <c r="I16">
        <v>80.906939608297606</v>
      </c>
      <c r="J16">
        <v>36.610952120955403</v>
      </c>
      <c r="K16">
        <v>15.909081069088099</v>
      </c>
      <c r="L16">
        <v>1.1288225443230099E-3</v>
      </c>
      <c r="M16">
        <v>1.6009869003430548E-4</v>
      </c>
      <c r="N16" s="1">
        <v>1.4066956236177799E-5</v>
      </c>
      <c r="O16" s="1">
        <v>1.80751527500168E-6</v>
      </c>
      <c r="P16" s="1">
        <v>-7.8732231362255703E-6</v>
      </c>
      <c r="AE16">
        <v>100</v>
      </c>
      <c r="AJ16">
        <v>1</v>
      </c>
    </row>
    <row r="17" spans="1:36" x14ac:dyDescent="0.2">
      <c r="A17">
        <v>16</v>
      </c>
      <c r="B17">
        <v>730</v>
      </c>
      <c r="C17">
        <v>300</v>
      </c>
      <c r="D17">
        <v>0.25457857748093798</v>
      </c>
      <c r="E17">
        <v>9.8499609002286093</v>
      </c>
      <c r="F17">
        <v>0.59734422209120597</v>
      </c>
      <c r="G17">
        <v>-210.72771741977874</v>
      </c>
      <c r="H17">
        <v>-126.49585181620091</v>
      </c>
      <c r="I17">
        <v>83.972987445608098</v>
      </c>
      <c r="J17">
        <v>38.059414391633503</v>
      </c>
      <c r="K17">
        <v>16.4895893120812</v>
      </c>
      <c r="L17">
        <v>1.1295923558735388E-3</v>
      </c>
      <c r="M17">
        <v>1.5946956080186586E-4</v>
      </c>
      <c r="N17" s="1">
        <v>1.4778197091470401E-5</v>
      </c>
      <c r="O17" s="1">
        <v>1.8635009348158899E-6</v>
      </c>
      <c r="P17" s="1">
        <v>-8.1639412551870801E-6</v>
      </c>
      <c r="AE17">
        <v>100</v>
      </c>
      <c r="AJ17">
        <v>1</v>
      </c>
    </row>
    <row r="18" spans="1:36" x14ac:dyDescent="0.2">
      <c r="A18">
        <v>17</v>
      </c>
      <c r="B18">
        <v>728</v>
      </c>
      <c r="C18">
        <v>300</v>
      </c>
      <c r="D18">
        <v>0.25294960795086002</v>
      </c>
      <c r="E18">
        <v>10.045798900508499</v>
      </c>
      <c r="F18">
        <v>0.59869570917367299</v>
      </c>
      <c r="G18">
        <v>-214.74622131564675</v>
      </c>
      <c r="H18">
        <v>-129.08851559786351</v>
      </c>
      <c r="I18">
        <v>85.565054727859803</v>
      </c>
      <c r="J18">
        <v>38.843277687662102</v>
      </c>
      <c r="K18">
        <v>16.779473690188698</v>
      </c>
      <c r="L18">
        <v>1.1303415437932047E-3</v>
      </c>
      <c r="M18">
        <v>1.5883885577976824E-4</v>
      </c>
      <c r="N18" s="1">
        <v>1.52401981310131E-5</v>
      </c>
      <c r="O18" s="1">
        <v>1.8860781677572099E-6</v>
      </c>
      <c r="P18" s="1">
        <v>-8.3105967830581094E-6</v>
      </c>
      <c r="AE18">
        <v>100</v>
      </c>
      <c r="AJ18">
        <v>1</v>
      </c>
    </row>
    <row r="19" spans="1:36" x14ac:dyDescent="0.2">
      <c r="A19">
        <v>18</v>
      </c>
      <c r="B19">
        <v>726</v>
      </c>
      <c r="C19">
        <v>300</v>
      </c>
      <c r="D19">
        <v>0.251314116999449</v>
      </c>
      <c r="E19">
        <v>10.170586370467101</v>
      </c>
      <c r="F19">
        <v>0.60005114062123599</v>
      </c>
      <c r="G19">
        <v>-217.24059077797116</v>
      </c>
      <c r="H19">
        <v>-130.77071353325286</v>
      </c>
      <c r="I19">
        <v>86.549264353485398</v>
      </c>
      <c r="J19">
        <v>39.353142994822399</v>
      </c>
      <c r="K19">
        <v>16.949532601400399</v>
      </c>
      <c r="L19">
        <v>1.1310699260382569E-3</v>
      </c>
      <c r="M19">
        <v>1.5820660564996687E-4</v>
      </c>
      <c r="N19" s="1">
        <v>1.5599664703028998E-5</v>
      </c>
      <c r="O19" s="1">
        <v>1.89486929327079E-6</v>
      </c>
      <c r="P19" s="1">
        <v>-8.3976274631554907E-6</v>
      </c>
      <c r="AE19">
        <v>100</v>
      </c>
      <c r="AJ19">
        <v>1</v>
      </c>
    </row>
    <row r="20" spans="1:36" x14ac:dyDescent="0.2">
      <c r="A20">
        <v>19</v>
      </c>
      <c r="B20">
        <v>724</v>
      </c>
      <c r="C20">
        <v>300</v>
      </c>
      <c r="D20">
        <v>0.249672065386352</v>
      </c>
      <c r="E20">
        <v>10.2584763003587</v>
      </c>
      <c r="F20">
        <v>0.60141050423989995</v>
      </c>
      <c r="G20">
        <v>-218.94337774892838</v>
      </c>
      <c r="H20">
        <v>-131.98019294937632</v>
      </c>
      <c r="I20">
        <v>87.217625562486802</v>
      </c>
      <c r="J20">
        <v>39.7206684453786</v>
      </c>
      <c r="K20">
        <v>17.057361366383301</v>
      </c>
      <c r="L20">
        <v>1.1317773224516824E-3</v>
      </c>
      <c r="M20">
        <v>1.5757284150336493E-4</v>
      </c>
      <c r="N20" s="1">
        <v>1.5905954401195499E-5</v>
      </c>
      <c r="O20" s="1">
        <v>1.8964966432191401E-6</v>
      </c>
      <c r="P20" s="1">
        <v>-8.4535040109310099E-6</v>
      </c>
      <c r="AE20">
        <v>100</v>
      </c>
      <c r="AJ20">
        <v>1</v>
      </c>
    </row>
    <row r="21" spans="1:36" x14ac:dyDescent="0.2">
      <c r="A21">
        <v>20</v>
      </c>
      <c r="B21">
        <v>760</v>
      </c>
      <c r="C21">
        <v>275</v>
      </c>
      <c r="D21">
        <v>0.30487392924551299</v>
      </c>
      <c r="E21">
        <v>4.2847156395935402</v>
      </c>
      <c r="F21">
        <v>0.55193911159252396</v>
      </c>
      <c r="G21">
        <v>-92.958991227660391</v>
      </c>
      <c r="H21">
        <v>-54.494627724696109</v>
      </c>
      <c r="I21">
        <v>37.2325562409765</v>
      </c>
      <c r="J21">
        <v>16.5211810541288</v>
      </c>
      <c r="K21">
        <v>7.76302231460049</v>
      </c>
      <c r="L21">
        <v>1.1974085424393381E-3</v>
      </c>
      <c r="M21">
        <v>1.9531399207968603E-4</v>
      </c>
      <c r="N21" s="1">
        <v>5.8885186380768298E-6</v>
      </c>
      <c r="O21" s="1">
        <v>1.23521283940278E-6</v>
      </c>
      <c r="P21" s="1">
        <v>-4.5429673914303304E-6</v>
      </c>
      <c r="AE21">
        <v>100</v>
      </c>
      <c r="AJ21">
        <v>1</v>
      </c>
    </row>
    <row r="22" spans="1:36" x14ac:dyDescent="0.2">
      <c r="A22">
        <v>21</v>
      </c>
      <c r="B22">
        <v>758</v>
      </c>
      <c r="C22">
        <v>275</v>
      </c>
      <c r="D22">
        <v>0.303389904475587</v>
      </c>
      <c r="E22">
        <v>4.2947613680364496</v>
      </c>
      <c r="F22">
        <v>0.55326323210226602</v>
      </c>
      <c r="G22">
        <v>-93.102330582972328</v>
      </c>
      <c r="H22">
        <v>-54.655527073155064</v>
      </c>
      <c r="I22">
        <v>37.287747889250397</v>
      </c>
      <c r="J22">
        <v>16.5740667149629</v>
      </c>
      <c r="K22">
        <v>7.7626003660452803</v>
      </c>
      <c r="L22">
        <v>1.1987485172768261E-3</v>
      </c>
      <c r="M22">
        <v>1.9460985494651055E-4</v>
      </c>
      <c r="N22" s="1">
        <v>5.9950534323619703E-6</v>
      </c>
      <c r="O22" s="1">
        <v>1.22962242689412E-6</v>
      </c>
      <c r="P22" s="1">
        <v>-4.5495640865660399E-6</v>
      </c>
      <c r="AE22">
        <v>100</v>
      </c>
      <c r="AJ22">
        <v>1</v>
      </c>
    </row>
    <row r="23" spans="1:36" x14ac:dyDescent="0.2">
      <c r="A23">
        <v>22</v>
      </c>
      <c r="B23">
        <v>756</v>
      </c>
      <c r="C23">
        <v>275</v>
      </c>
      <c r="D23">
        <v>0.30190011174270298</v>
      </c>
      <c r="E23">
        <v>4.3197429010597999</v>
      </c>
      <c r="F23">
        <v>0.55459200373927897</v>
      </c>
      <c r="G23">
        <v>-93.568906208692738</v>
      </c>
      <c r="H23">
        <v>-55.006799498787082</v>
      </c>
      <c r="I23">
        <v>37.4722622864074</v>
      </c>
      <c r="J23">
        <v>16.684663976470699</v>
      </c>
      <c r="K23">
        <v>7.78904649171713</v>
      </c>
      <c r="L23">
        <v>1.2000672419984479E-3</v>
      </c>
      <c r="M23">
        <v>1.9390280436198251E-4</v>
      </c>
      <c r="N23" s="1">
        <v>6.1234247889632597E-6</v>
      </c>
      <c r="O23" s="1">
        <v>1.2282309786149401E-6</v>
      </c>
      <c r="P23" s="1">
        <v>-4.5717431774285301E-6</v>
      </c>
      <c r="AE23">
        <v>100</v>
      </c>
      <c r="AJ23">
        <v>1</v>
      </c>
    </row>
    <row r="24" spans="1:36" x14ac:dyDescent="0.2">
      <c r="A24">
        <v>23</v>
      </c>
      <c r="B24">
        <v>754</v>
      </c>
      <c r="C24">
        <v>275</v>
      </c>
      <c r="D24">
        <v>0.30040451735384299</v>
      </c>
      <c r="E24">
        <v>4.3444350874811697</v>
      </c>
      <c r="F24">
        <v>0.55592542096507103</v>
      </c>
      <c r="G24">
        <v>-94.028417409830382</v>
      </c>
      <c r="H24">
        <v>-55.354799495059765</v>
      </c>
      <c r="I24">
        <v>37.653803307507701</v>
      </c>
      <c r="J24">
        <v>16.7942617935824</v>
      </c>
      <c r="K24">
        <v>7.8147804069462303</v>
      </c>
      <c r="L24">
        <v>1.2013644355344699E-3</v>
      </c>
      <c r="M24">
        <v>1.931928698912921E-4</v>
      </c>
      <c r="N24" s="1">
        <v>6.2526776632349596E-6</v>
      </c>
      <c r="O24" s="1">
        <v>1.22665152346427E-6</v>
      </c>
      <c r="P24" s="1">
        <v>-4.5933577288138402E-6</v>
      </c>
      <c r="AE24">
        <v>100</v>
      </c>
      <c r="AJ24">
        <v>1</v>
      </c>
    </row>
    <row r="25" spans="1:36" x14ac:dyDescent="0.2">
      <c r="A25">
        <v>24</v>
      </c>
      <c r="B25">
        <v>752</v>
      </c>
      <c r="C25">
        <v>275</v>
      </c>
      <c r="D25">
        <v>0.29890308735307097</v>
      </c>
      <c r="E25">
        <v>4.3688425047871302</v>
      </c>
      <c r="F25">
        <v>0.55726347778082896</v>
      </c>
      <c r="G25">
        <v>-94.48097952834253</v>
      </c>
      <c r="H25">
        <v>-55.699579106920147</v>
      </c>
      <c r="I25">
        <v>37.83241529667</v>
      </c>
      <c r="J25">
        <v>16.9028725632744</v>
      </c>
      <c r="K25">
        <v>7.83981487928299</v>
      </c>
      <c r="L25">
        <v>1.2026398183147555E-3</v>
      </c>
      <c r="M25">
        <v>1.9248008190682318E-4</v>
      </c>
      <c r="N25" s="1">
        <v>6.3827870791802803E-6</v>
      </c>
      <c r="O25" s="1">
        <v>1.2248875610206401E-6</v>
      </c>
      <c r="P25" s="1">
        <v>-4.6144085632009104E-6</v>
      </c>
      <c r="AE25">
        <v>100</v>
      </c>
      <c r="AJ25">
        <v>1</v>
      </c>
    </row>
    <row r="26" spans="1:36" x14ac:dyDescent="0.2">
      <c r="A26">
        <v>25</v>
      </c>
      <c r="B26">
        <v>750</v>
      </c>
      <c r="C26">
        <v>275</v>
      </c>
      <c r="D26">
        <v>0.29739578751893703</v>
      </c>
      <c r="E26">
        <v>4.3929696302124599</v>
      </c>
      <c r="F26">
        <v>0.55860616772383997</v>
      </c>
      <c r="G26">
        <v>-94.926705401414964</v>
      </c>
      <c r="H26">
        <v>-56.041189225287319</v>
      </c>
      <c r="I26">
        <v>38.008141624502002</v>
      </c>
      <c r="J26">
        <v>17.010508329276501</v>
      </c>
      <c r="K26">
        <v>7.8641624171686999</v>
      </c>
      <c r="L26">
        <v>1.203893112368239E-3</v>
      </c>
      <c r="M26">
        <v>1.9176447158538012E-4</v>
      </c>
      <c r="N26" s="1">
        <v>6.5137276586132097E-6</v>
      </c>
      <c r="O26" s="1">
        <v>1.22294255369122E-6</v>
      </c>
      <c r="P26" s="1">
        <v>-4.6348964898278101E-6</v>
      </c>
      <c r="AE26">
        <v>100</v>
      </c>
      <c r="AJ26">
        <v>1</v>
      </c>
    </row>
    <row r="27" spans="1:36" x14ac:dyDescent="0.2">
      <c r="A27">
        <v>26</v>
      </c>
      <c r="B27">
        <v>748</v>
      </c>
      <c r="C27">
        <v>275</v>
      </c>
      <c r="D27">
        <v>0.29588258336189799</v>
      </c>
      <c r="E27">
        <v>4.4168208430304299</v>
      </c>
      <c r="F27">
        <v>0.55995348386390498</v>
      </c>
      <c r="G27">
        <v>-95.365705420164787</v>
      </c>
      <c r="H27">
        <v>-56.379679612659231</v>
      </c>
      <c r="I27">
        <v>38.181024710978598</v>
      </c>
      <c r="J27">
        <v>17.1171807902216</v>
      </c>
      <c r="K27">
        <v>7.8878352761600601</v>
      </c>
      <c r="L27">
        <v>1.2051240414215601E-3</v>
      </c>
      <c r="M27">
        <v>1.910460709048828E-4</v>
      </c>
      <c r="N27" s="1">
        <v>6.6454736285018702E-6</v>
      </c>
      <c r="O27" s="1">
        <v>1.2208199279322701E-6</v>
      </c>
      <c r="P27" s="1">
        <v>-4.6548223093282501E-6</v>
      </c>
      <c r="AE27">
        <v>100</v>
      </c>
      <c r="AJ27">
        <v>1</v>
      </c>
    </row>
    <row r="28" spans="1:36" x14ac:dyDescent="0.2">
      <c r="A28">
        <v>27</v>
      </c>
      <c r="B28">
        <v>746</v>
      </c>
      <c r="C28">
        <v>275</v>
      </c>
      <c r="D28">
        <v>0.29436344012167098</v>
      </c>
      <c r="E28">
        <v>4.4404004272441702</v>
      </c>
      <c r="F28">
        <v>0.56130541879990004</v>
      </c>
      <c r="G28">
        <v>-95.798087596740018</v>
      </c>
      <c r="H28">
        <v>-56.715098933941412</v>
      </c>
      <c r="I28">
        <v>38.351106051704697</v>
      </c>
      <c r="J28">
        <v>17.222901309410101</v>
      </c>
      <c r="K28">
        <v>7.9108454658035798</v>
      </c>
      <c r="L28">
        <v>1.2063323309982942E-3</v>
      </c>
      <c r="M28">
        <v>1.9032491264064461E-4</v>
      </c>
      <c r="N28" s="1">
        <v>6.7779988294621302E-6</v>
      </c>
      <c r="O28" s="1">
        <v>1.2185230755405599E-6</v>
      </c>
      <c r="P28" s="1">
        <v>-4.6741868187733499E-6</v>
      </c>
      <c r="AE28">
        <v>100</v>
      </c>
      <c r="AJ28">
        <v>1</v>
      </c>
    </row>
    <row r="29" spans="1:36" x14ac:dyDescent="0.2">
      <c r="A29">
        <v>28</v>
      </c>
      <c r="B29">
        <v>744</v>
      </c>
      <c r="C29">
        <v>275</v>
      </c>
      <c r="D29">
        <v>0.29283832276459099</v>
      </c>
      <c r="E29">
        <v>4.46371257396257</v>
      </c>
      <c r="F29">
        <v>0.56266196465644502</v>
      </c>
      <c r="G29">
        <v>-96.223957624319226</v>
      </c>
      <c r="H29">
        <v>-57.047494783361401</v>
      </c>
      <c r="I29">
        <v>38.5184262413567</v>
      </c>
      <c r="J29">
        <v>17.327680923400699</v>
      </c>
      <c r="K29">
        <v>7.9332047558751499</v>
      </c>
      <c r="L29">
        <v>1.2075177085175582E-3</v>
      </c>
      <c r="M29">
        <v>1.896010303611445E-4</v>
      </c>
      <c r="N29" s="1">
        <v>6.9112767243594097E-6</v>
      </c>
      <c r="O29" s="1">
        <v>1.21605535481389E-6</v>
      </c>
      <c r="P29" s="1">
        <v>-4.6929908163533097E-6</v>
      </c>
      <c r="AE29">
        <v>100</v>
      </c>
      <c r="AJ29">
        <v>1</v>
      </c>
    </row>
    <row r="30" spans="1:36" x14ac:dyDescent="0.2">
      <c r="A30">
        <v>29</v>
      </c>
      <c r="B30">
        <v>742</v>
      </c>
      <c r="C30">
        <v>275</v>
      </c>
      <c r="D30">
        <v>0.291307195980888</v>
      </c>
      <c r="E30">
        <v>4.4867613838778597</v>
      </c>
      <c r="F30">
        <v>0.56402311308061603</v>
      </c>
      <c r="G30">
        <v>-96.643418939038625</v>
      </c>
      <c r="H30">
        <v>-57.376913712786788</v>
      </c>
      <c r="I30">
        <v>38.683024997915901</v>
      </c>
      <c r="J30">
        <v>17.431530351050199</v>
      </c>
      <c r="K30">
        <v>7.9549246827347098</v>
      </c>
      <c r="L30">
        <v>1.2086799033924219E-3</v>
      </c>
      <c r="M30">
        <v>1.8887445842331586E-4</v>
      </c>
      <c r="N30" s="1">
        <v>7.0452804076048E-6</v>
      </c>
      <c r="O30" s="1">
        <v>1.21342009169807E-6</v>
      </c>
      <c r="P30" s="1">
        <v>-4.7112351061356904E-6</v>
      </c>
      <c r="AE30">
        <v>100</v>
      </c>
      <c r="AJ30">
        <v>1</v>
      </c>
    </row>
    <row r="31" spans="1:36" x14ac:dyDescent="0.2">
      <c r="A31">
        <v>30</v>
      </c>
      <c r="B31">
        <v>740</v>
      </c>
      <c r="C31">
        <v>275</v>
      </c>
      <c r="D31">
        <v>0.28977002418201098</v>
      </c>
      <c r="E31">
        <v>4.5095508693150999</v>
      </c>
      <c r="F31">
        <v>0.56538885523881099</v>
      </c>
      <c r="G31">
        <v>-97.056572772428339</v>
      </c>
      <c r="H31">
        <v>-57.703401254673899</v>
      </c>
      <c r="I31">
        <v>38.844941183121897</v>
      </c>
      <c r="J31">
        <v>17.534460000939699</v>
      </c>
      <c r="K31">
        <v>7.9760165548547004</v>
      </c>
      <c r="L31">
        <v>1.2098186471282174E-3</v>
      </c>
      <c r="M31">
        <v>1.881452319673947E-4</v>
      </c>
      <c r="N31" s="1">
        <v>7.1799826143303502E-6</v>
      </c>
      <c r="O31" s="1">
        <v>1.21062058077688E-6</v>
      </c>
      <c r="P31" s="1">
        <v>-4.72892050234172E-6</v>
      </c>
      <c r="AE31">
        <v>100</v>
      </c>
      <c r="AJ31">
        <v>1</v>
      </c>
    </row>
    <row r="32" spans="1:36" x14ac:dyDescent="0.2">
      <c r="A32">
        <v>31</v>
      </c>
      <c r="B32">
        <v>738</v>
      </c>
      <c r="C32">
        <v>275</v>
      </c>
      <c r="D32">
        <v>0.28822677149780002</v>
      </c>
      <c r="E32">
        <v>8.2709671533725597</v>
      </c>
      <c r="F32">
        <v>0.56675918181370799</v>
      </c>
      <c r="G32">
        <v>-177.86903058755968</v>
      </c>
      <c r="H32">
        <v>-105.89815321785491</v>
      </c>
      <c r="I32">
        <v>71.181931983390598</v>
      </c>
      <c r="J32">
        <v>32.186233932789101</v>
      </c>
      <c r="K32">
        <v>14.5934418334508</v>
      </c>
      <c r="L32">
        <v>1.2109336734201098E-3</v>
      </c>
      <c r="M32">
        <v>1.8741338691124579E-4</v>
      </c>
      <c r="N32" s="1">
        <v>1.33503823388412E-5</v>
      </c>
      <c r="O32" s="1">
        <v>2.20395623690888E-6</v>
      </c>
      <c r="P32" s="1">
        <v>-8.66144525501411E-6</v>
      </c>
      <c r="AE32">
        <v>100</v>
      </c>
      <c r="AJ32">
        <v>1</v>
      </c>
    </row>
    <row r="33" spans="1:36" x14ac:dyDescent="0.2">
      <c r="A33">
        <v>32</v>
      </c>
      <c r="B33">
        <v>736</v>
      </c>
      <c r="C33">
        <v>275</v>
      </c>
      <c r="D33">
        <v>0.28667740177377199</v>
      </c>
      <c r="E33">
        <v>9.49377543384945</v>
      </c>
      <c r="F33">
        <v>0.56813408300133506</v>
      </c>
      <c r="G33">
        <v>-204.00246260851199</v>
      </c>
      <c r="H33">
        <v>-121.62842061995663</v>
      </c>
      <c r="I33">
        <v>81.632537194513404</v>
      </c>
      <c r="J33">
        <v>36.9747923368949</v>
      </c>
      <c r="K33">
        <v>16.710448673833799</v>
      </c>
      <c r="L33">
        <v>1.2120247182506813E-3</v>
      </c>
      <c r="M33">
        <v>1.8667895994427741E-4</v>
      </c>
      <c r="N33" s="1">
        <v>1.55327058610074E-5</v>
      </c>
      <c r="O33" s="1">
        <v>2.5109194173060402E-6</v>
      </c>
      <c r="P33" s="1">
        <v>-9.9278824997169308E-6</v>
      </c>
      <c r="AE33">
        <v>100</v>
      </c>
      <c r="AJ33">
        <v>1</v>
      </c>
    </row>
    <row r="34" spans="1:36" x14ac:dyDescent="0.2">
      <c r="A34">
        <v>33</v>
      </c>
      <c r="B34">
        <v>734</v>
      </c>
      <c r="C34">
        <v>275</v>
      </c>
      <c r="D34">
        <v>0.28512187856823701</v>
      </c>
      <c r="E34">
        <v>9.8781345115460208</v>
      </c>
      <c r="F34">
        <v>0.56951354850820701</v>
      </c>
      <c r="G34">
        <v>-212.09178061272647</v>
      </c>
      <c r="H34">
        <v>-126.62956767871843</v>
      </c>
      <c r="I34">
        <v>84.861108880665697</v>
      </c>
      <c r="J34">
        <v>38.502840097124903</v>
      </c>
      <c r="K34">
        <v>17.344863063259702</v>
      </c>
      <c r="L34">
        <v>1.2130915199862397E-3</v>
      </c>
      <c r="M34">
        <v>1.859419885207829E-4</v>
      </c>
      <c r="N34" s="1">
        <v>1.63786542803824E-5</v>
      </c>
      <c r="O34" s="1">
        <v>2.5929314674786999E-6</v>
      </c>
      <c r="P34" s="1">
        <v>-1.0314645561093001E-5</v>
      </c>
      <c r="AE34">
        <v>100</v>
      </c>
      <c r="AJ34">
        <v>1</v>
      </c>
    </row>
    <row r="35" spans="1:36" x14ac:dyDescent="0.2">
      <c r="A35">
        <v>34</v>
      </c>
      <c r="B35">
        <v>732</v>
      </c>
      <c r="C35">
        <v>275</v>
      </c>
      <c r="D35">
        <v>0.28356016514948101</v>
      </c>
      <c r="E35">
        <v>10.075658538157301</v>
      </c>
      <c r="F35">
        <v>0.57089756754865695</v>
      </c>
      <c r="G35">
        <v>-216.15974814753557</v>
      </c>
      <c r="H35">
        <v>-129.24024049716908</v>
      </c>
      <c r="I35">
        <v>86.479902065262195</v>
      </c>
      <c r="J35">
        <v>39.304329494316598</v>
      </c>
      <c r="K35">
        <v>17.648802711527601</v>
      </c>
      <c r="L35">
        <v>1.214133819473501E-3</v>
      </c>
      <c r="M35">
        <v>1.8520251085293209E-4</v>
      </c>
      <c r="N35" s="1">
        <v>1.6927665973851901E-5</v>
      </c>
      <c r="O35" s="1">
        <v>2.6247433897283101E-6</v>
      </c>
      <c r="P35" s="1">
        <v>-1.0504912658875701E-5</v>
      </c>
      <c r="AE35">
        <v>100</v>
      </c>
      <c r="AJ35">
        <v>1</v>
      </c>
    </row>
    <row r="36" spans="1:36" x14ac:dyDescent="0.2">
      <c r="A36">
        <v>35</v>
      </c>
      <c r="B36">
        <v>730</v>
      </c>
      <c r="C36">
        <v>275</v>
      </c>
      <c r="D36">
        <v>0.28199222449285299</v>
      </c>
      <c r="E36">
        <v>10.199521210747299</v>
      </c>
      <c r="F36">
        <v>0.57228612884218799</v>
      </c>
      <c r="G36">
        <v>-218.64204895514871</v>
      </c>
      <c r="H36">
        <v>-130.90863101081928</v>
      </c>
      <c r="I36">
        <v>87.463743943267303</v>
      </c>
      <c r="J36">
        <v>39.819325340140701</v>
      </c>
      <c r="K36">
        <v>17.822415565762999</v>
      </c>
      <c r="L36">
        <v>1.2151513601347151E-3</v>
      </c>
      <c r="M36">
        <v>1.8446056590319611E-4</v>
      </c>
      <c r="N36" s="1">
        <v>1.7360006496736098E-5</v>
      </c>
      <c r="O36" s="1">
        <v>2.6367285559703601E-6</v>
      </c>
      <c r="P36" s="1">
        <v>-1.0617351477233299E-5</v>
      </c>
      <c r="AE36">
        <v>100</v>
      </c>
      <c r="AJ36">
        <v>1</v>
      </c>
    </row>
    <row r="37" spans="1:36" x14ac:dyDescent="0.2">
      <c r="A37">
        <v>36</v>
      </c>
      <c r="B37">
        <v>728</v>
      </c>
      <c r="C37">
        <v>275</v>
      </c>
      <c r="D37">
        <v>0.280418019277831</v>
      </c>
      <c r="E37">
        <v>10.2859633817722</v>
      </c>
      <c r="F37">
        <v>0.57367922061099896</v>
      </c>
      <c r="G37">
        <v>-220.31873677695174</v>
      </c>
      <c r="H37">
        <v>-132.09844298215157</v>
      </c>
      <c r="I37">
        <v>88.124836492710998</v>
      </c>
      <c r="J37">
        <v>40.188726777626997</v>
      </c>
      <c r="K37">
        <v>17.929816894565398</v>
      </c>
      <c r="L37">
        <v>1.2161438880625957E-3</v>
      </c>
      <c r="M37">
        <v>1.8371619337635378E-4</v>
      </c>
      <c r="N37" s="1">
        <v>1.7733255010396901E-5</v>
      </c>
      <c r="O37" s="1">
        <v>2.63862490296307E-6</v>
      </c>
      <c r="P37" s="1">
        <v>-1.0689967938080299E-5</v>
      </c>
      <c r="AE37">
        <v>100</v>
      </c>
      <c r="AJ37">
        <v>1</v>
      </c>
    </row>
    <row r="38" spans="1:36" x14ac:dyDescent="0.2">
      <c r="A38">
        <v>37</v>
      </c>
      <c r="B38">
        <v>726</v>
      </c>
      <c r="C38">
        <v>275</v>
      </c>
      <c r="D38">
        <v>0.27883751188509998</v>
      </c>
      <c r="E38">
        <v>10.350478574294501</v>
      </c>
      <c r="F38">
        <v>0.57507683057760095</v>
      </c>
      <c r="G38">
        <v>-221.52333653668276</v>
      </c>
      <c r="H38">
        <v>-133.00789893750107</v>
      </c>
      <c r="I38">
        <v>88.596667946368498</v>
      </c>
      <c r="J38">
        <v>40.472760479613598</v>
      </c>
      <c r="K38">
        <v>17.9984273821266</v>
      </c>
      <c r="L38">
        <v>1.2171111521143922E-3</v>
      </c>
      <c r="M38">
        <v>1.8296943371104527E-4</v>
      </c>
      <c r="N38" s="1">
        <v>1.80719509937929E-5</v>
      </c>
      <c r="O38" s="1">
        <v>2.63460115863169E-6</v>
      </c>
      <c r="P38" s="1">
        <v>-1.0739012324278899E-5</v>
      </c>
      <c r="AE38">
        <v>100</v>
      </c>
      <c r="AJ38">
        <v>1</v>
      </c>
    </row>
    <row r="39" spans="1:36" x14ac:dyDescent="0.2">
      <c r="A39">
        <v>38</v>
      </c>
      <c r="B39">
        <v>760</v>
      </c>
      <c r="C39">
        <v>250</v>
      </c>
      <c r="D39">
        <v>0.33149155495329902</v>
      </c>
      <c r="E39">
        <v>4.6874461738854398</v>
      </c>
      <c r="F39">
        <v>0.523456657347251</v>
      </c>
      <c r="G39">
        <v>-101.91431052844449</v>
      </c>
      <c r="H39">
        <v>-59.554534738849732</v>
      </c>
      <c r="I39">
        <v>41.003202085019197</v>
      </c>
      <c r="J39">
        <v>18.2465033469886</v>
      </c>
      <c r="K39">
        <v>8.9547933111411009</v>
      </c>
      <c r="L39">
        <v>1.2923987114362438E-3</v>
      </c>
      <c r="M39">
        <v>2.3019915088390774E-4</v>
      </c>
      <c r="N39" s="1">
        <v>6.8652754905213699E-6</v>
      </c>
      <c r="O39" s="1">
        <v>1.9122700675228199E-6</v>
      </c>
      <c r="P39" s="1">
        <v>-6.33535102398183E-6</v>
      </c>
      <c r="AE39">
        <v>100</v>
      </c>
      <c r="AJ39">
        <v>1</v>
      </c>
    </row>
    <row r="40" spans="1:36" x14ac:dyDescent="0.2">
      <c r="A40">
        <v>39</v>
      </c>
      <c r="B40">
        <v>758</v>
      </c>
      <c r="C40">
        <v>250</v>
      </c>
      <c r="D40">
        <v>0.330059157251614</v>
      </c>
      <c r="E40">
        <v>4.6975480464448696</v>
      </c>
      <c r="F40">
        <v>0.52481238107299899</v>
      </c>
      <c r="G40">
        <v>-102.05179742828363</v>
      </c>
      <c r="H40">
        <v>-59.719470000678712</v>
      </c>
      <c r="I40">
        <v>41.056117590127101</v>
      </c>
      <c r="J40">
        <v>18.303992261429801</v>
      </c>
      <c r="K40">
        <v>8.9509093456228097</v>
      </c>
      <c r="L40">
        <v>1.2941935850456407E-3</v>
      </c>
      <c r="M40">
        <v>2.2937696661968067E-4</v>
      </c>
      <c r="N40" s="1">
        <v>7.0151255042450299E-6</v>
      </c>
      <c r="O40" s="1">
        <v>1.90354366715157E-6</v>
      </c>
      <c r="P40" s="1">
        <v>-6.3467987599711497E-6</v>
      </c>
      <c r="AE40">
        <v>100</v>
      </c>
      <c r="AJ40">
        <v>1</v>
      </c>
    </row>
    <row r="41" spans="1:36" x14ac:dyDescent="0.2">
      <c r="A41">
        <v>40</v>
      </c>
      <c r="B41">
        <v>756</v>
      </c>
      <c r="C41">
        <v>250</v>
      </c>
      <c r="D41">
        <v>0.32862119224602798</v>
      </c>
      <c r="E41">
        <v>4.72102666616549</v>
      </c>
      <c r="F41">
        <v>0.52617349171939898</v>
      </c>
      <c r="G41">
        <v>-102.47937135452193</v>
      </c>
      <c r="H41">
        <v>-60.054760572139834</v>
      </c>
      <c r="I41">
        <v>41.225586594514603</v>
      </c>
      <c r="J41">
        <v>18.413684587400901</v>
      </c>
      <c r="K41">
        <v>8.97237648886186</v>
      </c>
      <c r="L41">
        <v>1.2959633878440581E-3</v>
      </c>
      <c r="M41">
        <v>2.2855032405439389E-4</v>
      </c>
      <c r="N41" s="1">
        <v>7.1864847473051898E-6</v>
      </c>
      <c r="O41" s="1">
        <v>1.9001170436980099E-6</v>
      </c>
      <c r="P41" s="1">
        <v>-6.3759815718968001E-6</v>
      </c>
      <c r="AE41">
        <v>100</v>
      </c>
      <c r="AJ41">
        <v>1</v>
      </c>
    </row>
    <row r="42" spans="1:36" x14ac:dyDescent="0.2">
      <c r="A42">
        <v>41</v>
      </c>
      <c r="B42">
        <v>754</v>
      </c>
      <c r="C42">
        <v>250</v>
      </c>
      <c r="D42">
        <v>0.32717762741566497</v>
      </c>
      <c r="E42">
        <v>4.7442526635190001</v>
      </c>
      <c r="F42">
        <v>0.52753998630330401</v>
      </c>
      <c r="G42">
        <v>-102.90071749087204</v>
      </c>
      <c r="H42">
        <v>-60.387238303382311</v>
      </c>
      <c r="I42">
        <v>41.392390731825202</v>
      </c>
      <c r="J42">
        <v>18.5225200812636</v>
      </c>
      <c r="K42">
        <v>8.9931621994457505</v>
      </c>
      <c r="L42">
        <v>1.2977077046387243E-3</v>
      </c>
      <c r="M42">
        <v>2.2771925480444131E-4</v>
      </c>
      <c r="N42" s="1">
        <v>7.3593510872434596E-6</v>
      </c>
      <c r="O42" s="1">
        <v>1.8964325624764401E-6</v>
      </c>
      <c r="P42" s="1">
        <v>-6.4044704273406799E-6</v>
      </c>
      <c r="AE42">
        <v>100</v>
      </c>
      <c r="AJ42">
        <v>1</v>
      </c>
    </row>
    <row r="43" spans="1:36" x14ac:dyDescent="0.2">
      <c r="A43">
        <v>42</v>
      </c>
      <c r="B43">
        <v>752</v>
      </c>
      <c r="C43">
        <v>250</v>
      </c>
      <c r="D43">
        <v>0.32572842998585799</v>
      </c>
      <c r="E43">
        <v>4.7672302086887504</v>
      </c>
      <c r="F43">
        <v>0.52891186124509804</v>
      </c>
      <c r="G43">
        <v>-103.31594071255849</v>
      </c>
      <c r="H43">
        <v>-60.716950822792803</v>
      </c>
      <c r="I43">
        <v>41.556570249848797</v>
      </c>
      <c r="J43">
        <v>18.630508874812499</v>
      </c>
      <c r="K43">
        <v>9.01327906972314</v>
      </c>
      <c r="L43">
        <v>1.2994261217443427E-3</v>
      </c>
      <c r="M43">
        <v>2.268837918776033E-4</v>
      </c>
      <c r="N43" s="1">
        <v>7.5336894277547701E-6</v>
      </c>
      <c r="O43" s="1">
        <v>1.8924944752270699E-6</v>
      </c>
      <c r="P43" s="1">
        <v>-6.4322629094528503E-6</v>
      </c>
      <c r="AE43">
        <v>100</v>
      </c>
      <c r="AJ43">
        <v>1</v>
      </c>
    </row>
    <row r="44" spans="1:36" x14ac:dyDescent="0.2">
      <c r="A44">
        <v>43</v>
      </c>
      <c r="B44">
        <v>750</v>
      </c>
      <c r="C44">
        <v>250</v>
      </c>
      <c r="D44">
        <v>0.324273566925672</v>
      </c>
      <c r="E44">
        <v>4.7899633887757798</v>
      </c>
      <c r="F44">
        <v>0.53028911236263798</v>
      </c>
      <c r="G44">
        <v>-103.72514378668032</v>
      </c>
      <c r="H44">
        <v>-61.043944811667942</v>
      </c>
      <c r="I44">
        <v>41.718164576260399</v>
      </c>
      <c r="J44">
        <v>18.737660797647699</v>
      </c>
      <c r="K44">
        <v>9.0327394568496402</v>
      </c>
      <c r="L44">
        <v>1.3011182271658577E-3</v>
      </c>
      <c r="M44">
        <v>2.260439696767572E-4</v>
      </c>
      <c r="N44" s="1">
        <v>7.7094637895164405E-6</v>
      </c>
      <c r="O44" s="1">
        <v>1.88830700781128E-6</v>
      </c>
      <c r="P44" s="1">
        <v>-6.4593566029934403E-6</v>
      </c>
      <c r="AE44">
        <v>100</v>
      </c>
      <c r="AJ44">
        <v>1</v>
      </c>
    </row>
    <row r="45" spans="1:36" x14ac:dyDescent="0.2">
      <c r="A45">
        <v>44</v>
      </c>
      <c r="B45">
        <v>748</v>
      </c>
      <c r="C45">
        <v>250</v>
      </c>
      <c r="D45">
        <v>0.32281300494540499</v>
      </c>
      <c r="E45">
        <v>4.8124562101681301</v>
      </c>
      <c r="F45">
        <v>0.53167173486526598</v>
      </c>
      <c r="G45">
        <v>-104.12842743124318</v>
      </c>
      <c r="H45">
        <v>-61.368266031413874</v>
      </c>
      <c r="I45">
        <v>41.877212341763098</v>
      </c>
      <c r="J45">
        <v>18.843985386277399</v>
      </c>
      <c r="K45">
        <v>9.0515554891923706</v>
      </c>
      <c r="L45">
        <v>1.3027836107818852E-3</v>
      </c>
      <c r="M45">
        <v>2.2519982400264778E-4</v>
      </c>
      <c r="N45" s="1">
        <v>7.8866373213671305E-6</v>
      </c>
      <c r="O45" s="1">
        <v>1.8838743620111099E-6</v>
      </c>
      <c r="P45" s="1">
        <v>-6.4857491029008501E-6</v>
      </c>
      <c r="AE45">
        <v>100</v>
      </c>
      <c r="AJ45">
        <v>1</v>
      </c>
    </row>
    <row r="46" spans="1:36" x14ac:dyDescent="0.2">
      <c r="A46">
        <v>45</v>
      </c>
      <c r="B46">
        <v>746</v>
      </c>
      <c r="C46">
        <v>250</v>
      </c>
      <c r="D46">
        <v>0.32134671049404001</v>
      </c>
      <c r="E46">
        <v>4.8347126005996399</v>
      </c>
      <c r="F46">
        <v>0.53305972334802598</v>
      </c>
      <c r="G46">
        <v>-104.52589036721356</v>
      </c>
      <c r="H46">
        <v>-61.689959346887676</v>
      </c>
      <c r="I46">
        <v>42.033751400442803</v>
      </c>
      <c r="J46">
        <v>18.9494918920829</v>
      </c>
      <c r="K46">
        <v>9.0697390720760502</v>
      </c>
      <c r="L46">
        <v>1.3044218645294639E-3</v>
      </c>
      <c r="M46">
        <v>2.2435139205577133E-4</v>
      </c>
      <c r="N46" s="1">
        <v>8.0651723122575495E-6</v>
      </c>
      <c r="O46" s="1">
        <v>1.87920071713808E-6</v>
      </c>
      <c r="P46" s="1">
        <v>-6.5114380224597298E-6</v>
      </c>
      <c r="AE46">
        <v>100</v>
      </c>
      <c r="AJ46">
        <v>1</v>
      </c>
    </row>
    <row r="47" spans="1:36" x14ac:dyDescent="0.2">
      <c r="A47">
        <v>46</v>
      </c>
      <c r="B47">
        <v>744</v>
      </c>
      <c r="C47">
        <v>250</v>
      </c>
      <c r="D47">
        <v>0.31987464975667701</v>
      </c>
      <c r="E47">
        <v>5.0124988893964604</v>
      </c>
      <c r="F47">
        <v>0.53445307178602697</v>
      </c>
      <c r="G47">
        <v>-108.28248769755093</v>
      </c>
      <c r="H47">
        <v>-63.997788210968615</v>
      </c>
      <c r="I47">
        <v>43.540842497418801</v>
      </c>
      <c r="J47">
        <v>19.665284373004901</v>
      </c>
      <c r="K47">
        <v>9.3787446531942802</v>
      </c>
      <c r="L47">
        <v>1.3060325825887276E-3</v>
      </c>
      <c r="M47">
        <v>2.2349871243725609E-4</v>
      </c>
      <c r="N47" s="1">
        <v>8.5094601073085299E-6</v>
      </c>
      <c r="O47" s="1">
        <v>1.9344013981274402E-6</v>
      </c>
      <c r="P47" s="1">
        <v>-6.7460533651583899E-6</v>
      </c>
      <c r="AE47">
        <v>100</v>
      </c>
      <c r="AJ47">
        <v>1</v>
      </c>
    </row>
    <row r="48" spans="1:36" x14ac:dyDescent="0.2">
      <c r="A48">
        <v>47</v>
      </c>
      <c r="B48">
        <v>742</v>
      </c>
      <c r="C48">
        <v>250</v>
      </c>
      <c r="D48">
        <v>0.318396788651924</v>
      </c>
      <c r="E48">
        <v>8.2180097586068506</v>
      </c>
      <c r="F48">
        <v>0.53585177352894597</v>
      </c>
      <c r="G48">
        <v>-177.38681646558518</v>
      </c>
      <c r="H48">
        <v>-104.98911501674382</v>
      </c>
      <c r="I48">
        <v>71.321877849252601</v>
      </c>
      <c r="J48">
        <v>32.272281660847902</v>
      </c>
      <c r="K48">
        <v>15.3363489020213</v>
      </c>
      <c r="L48">
        <v>1.3076153615686316E-3</v>
      </c>
      <c r="M48">
        <v>2.2264182514884908E-4</v>
      </c>
      <c r="N48" s="1">
        <v>1.4194099527246901E-5</v>
      </c>
      <c r="O48" s="1">
        <v>3.14862554567069E-6</v>
      </c>
      <c r="P48" s="1">
        <v>-1.10516581279066E-5</v>
      </c>
      <c r="AE48">
        <v>100</v>
      </c>
      <c r="AJ48">
        <v>1</v>
      </c>
    </row>
    <row r="49" spans="1:36" x14ac:dyDescent="0.2">
      <c r="A49">
        <v>48</v>
      </c>
      <c r="B49">
        <v>740</v>
      </c>
      <c r="C49">
        <v>250</v>
      </c>
      <c r="D49">
        <v>0.31691309282929903</v>
      </c>
      <c r="E49">
        <v>9.5066164367929904</v>
      </c>
      <c r="F49">
        <v>0.53725582129572502</v>
      </c>
      <c r="G49">
        <v>-205.03662323816695</v>
      </c>
      <c r="H49">
        <v>-121.52639991854794</v>
      </c>
      <c r="I49">
        <v>82.431686906496793</v>
      </c>
      <c r="J49">
        <v>37.368361542632101</v>
      </c>
      <c r="K49">
        <v>17.694766738618899</v>
      </c>
      <c r="L49">
        <v>1.309169800692835E-3</v>
      </c>
      <c r="M49">
        <v>2.2178077159190819E-4</v>
      </c>
      <c r="N49" s="1">
        <v>1.67013368735447E-5</v>
      </c>
      <c r="O49" s="1">
        <v>3.6158837321705698E-6</v>
      </c>
      <c r="P49" s="1">
        <v>-1.2774028333631001E-5</v>
      </c>
      <c r="AE49">
        <v>100</v>
      </c>
      <c r="AJ49">
        <v>1</v>
      </c>
    </row>
    <row r="50" spans="1:36" x14ac:dyDescent="0.2">
      <c r="A50">
        <v>49</v>
      </c>
      <c r="B50">
        <v>738</v>
      </c>
      <c r="C50">
        <v>250</v>
      </c>
      <c r="D50">
        <v>0.31542352766652099</v>
      </c>
      <c r="E50">
        <v>9.9097106495850298</v>
      </c>
      <c r="F50">
        <v>0.538665207169431</v>
      </c>
      <c r="G50">
        <v>-213.55869417323945</v>
      </c>
      <c r="H50">
        <v>-126.75723685219496</v>
      </c>
      <c r="I50">
        <v>85.849901860262094</v>
      </c>
      <c r="J50">
        <v>38.9898944139062</v>
      </c>
      <c r="K50">
        <v>18.396789912714802</v>
      </c>
      <c r="L50">
        <v>1.3106955019852842E-3</v>
      </c>
      <c r="M50">
        <v>2.2091559456536216E-4</v>
      </c>
      <c r="N50" s="1">
        <v>1.77036443329687E-5</v>
      </c>
      <c r="O50" s="1">
        <v>3.7415837599513001E-6</v>
      </c>
      <c r="P50" s="1">
        <v>-1.3303917322281199E-5</v>
      </c>
      <c r="AE50">
        <v>100</v>
      </c>
      <c r="AJ50">
        <v>1</v>
      </c>
    </row>
    <row r="51" spans="1:36" x14ac:dyDescent="0.2">
      <c r="A51">
        <v>50</v>
      </c>
      <c r="B51">
        <v>736</v>
      </c>
      <c r="C51">
        <v>250</v>
      </c>
      <c r="D51">
        <v>0.31392805826685999</v>
      </c>
      <c r="E51">
        <v>10.1066041394194</v>
      </c>
      <c r="F51">
        <v>0.54007992259229898</v>
      </c>
      <c r="G51">
        <v>-217.62680435726995</v>
      </c>
      <c r="H51">
        <v>-129.35531057477766</v>
      </c>
      <c r="I51">
        <v>87.476864095523396</v>
      </c>
      <c r="J51">
        <v>39.802213349110197</v>
      </c>
      <c r="K51">
        <v>18.7131639534188</v>
      </c>
      <c r="L51">
        <v>1.3121920704563818E-3</v>
      </c>
      <c r="M51">
        <v>2.2004633826276616E-4</v>
      </c>
      <c r="N51" s="1">
        <v>1.8355975301451101E-5</v>
      </c>
      <c r="O51" s="1">
        <v>3.7877165971073599E-6</v>
      </c>
      <c r="P51" s="1">
        <v>-1.35555070318575E-5</v>
      </c>
      <c r="AE51">
        <v>100</v>
      </c>
      <c r="AJ51">
        <v>1</v>
      </c>
    </row>
    <row r="52" spans="1:36" x14ac:dyDescent="0.2">
      <c r="A52">
        <v>51</v>
      </c>
      <c r="B52">
        <v>734</v>
      </c>
      <c r="C52">
        <v>250</v>
      </c>
      <c r="D52">
        <v>0.31242664945638698</v>
      </c>
      <c r="E52">
        <v>10.228531767333401</v>
      </c>
      <c r="F52">
        <v>0.54149995836091602</v>
      </c>
      <c r="G52">
        <v>-220.07530313676099</v>
      </c>
      <c r="H52">
        <v>-130.99647569359547</v>
      </c>
      <c r="I52">
        <v>88.452247269172005</v>
      </c>
      <c r="J52">
        <v>40.3203206651662</v>
      </c>
      <c r="K52">
        <v>18.889256793840701</v>
      </c>
      <c r="L52">
        <v>1.3136591142882265E-3</v>
      </c>
      <c r="M52">
        <v>2.1917304826826731E-4</v>
      </c>
      <c r="N52" s="1">
        <v>1.8882161996092E-5</v>
      </c>
      <c r="O52" s="1">
        <v>3.8048258171268401E-6</v>
      </c>
      <c r="P52" s="1">
        <v>-1.37053707984721E-5</v>
      </c>
      <c r="AE52">
        <v>100</v>
      </c>
      <c r="AJ52">
        <v>1</v>
      </c>
    </row>
    <row r="53" spans="1:36" x14ac:dyDescent="0.2">
      <c r="A53">
        <v>52</v>
      </c>
      <c r="B53">
        <v>732</v>
      </c>
      <c r="C53">
        <v>250</v>
      </c>
      <c r="D53">
        <v>0.31091926578122597</v>
      </c>
      <c r="E53">
        <v>10.3130155021839</v>
      </c>
      <c r="F53">
        <v>0.54292530462169297</v>
      </c>
      <c r="G53">
        <v>-221.71475557174932</v>
      </c>
      <c r="H53">
        <v>-132.15980095407556</v>
      </c>
      <c r="I53">
        <v>89.101981155485007</v>
      </c>
      <c r="J53">
        <v>40.691419104212002</v>
      </c>
      <c r="K53">
        <v>18.995275067110601</v>
      </c>
      <c r="L53">
        <v>1.31509624502014E-3</v>
      </c>
      <c r="M53">
        <v>2.1829577155161619E-4</v>
      </c>
      <c r="N53" s="1">
        <v>1.9345839480477E-5</v>
      </c>
      <c r="O53" s="1">
        <v>3.8073936092554899E-6</v>
      </c>
      <c r="P53" s="1">
        <v>-1.3803999119444399E-5</v>
      </c>
      <c r="AE53">
        <v>100</v>
      </c>
      <c r="AJ53">
        <v>1</v>
      </c>
    </row>
    <row r="54" spans="1:36" x14ac:dyDescent="0.2">
      <c r="A54">
        <v>53</v>
      </c>
      <c r="B54">
        <v>730</v>
      </c>
      <c r="C54">
        <v>250</v>
      </c>
      <c r="D54">
        <v>0.30940587150476501</v>
      </c>
      <c r="E54">
        <v>10.3757790413904</v>
      </c>
      <c r="F54">
        <v>0.544355950866383</v>
      </c>
      <c r="G54">
        <v>-222.88487295566924</v>
      </c>
      <c r="H54">
        <v>-133.04602289819266</v>
      </c>
      <c r="I54">
        <v>89.562665319632998</v>
      </c>
      <c r="J54">
        <v>40.9771820099023</v>
      </c>
      <c r="K54">
        <v>19.060651444843401</v>
      </c>
      <c r="L54">
        <v>1.3165030777328095E-3</v>
      </c>
      <c r="M54">
        <v>2.1741455646211771E-4</v>
      </c>
      <c r="N54" s="1">
        <v>1.9773561633068701E-5</v>
      </c>
      <c r="O54" s="1">
        <v>3.8014969059809002E-6</v>
      </c>
      <c r="P54" s="1">
        <v>-1.38725487525922E-5</v>
      </c>
      <c r="AE54">
        <v>100</v>
      </c>
      <c r="AJ54">
        <v>1</v>
      </c>
    </row>
    <row r="55" spans="1:36" x14ac:dyDescent="0.2">
      <c r="A55">
        <v>54</v>
      </c>
      <c r="B55">
        <v>760</v>
      </c>
      <c r="C55">
        <v>225</v>
      </c>
      <c r="D55">
        <v>0.35810918066108399</v>
      </c>
      <c r="E55">
        <v>5.0833107442442298</v>
      </c>
      <c r="F55">
        <v>0.49144061549942297</v>
      </c>
      <c r="G55">
        <v>-110.77154250412573</v>
      </c>
      <c r="H55">
        <v>-64.486014628558678</v>
      </c>
      <c r="I55">
        <v>44.803210432295302</v>
      </c>
      <c r="J55">
        <v>19.9805555444871</v>
      </c>
      <c r="K55">
        <v>10.3436927757351</v>
      </c>
      <c r="L55">
        <v>1.4029199985897739E-3</v>
      </c>
      <c r="M55">
        <v>2.7711513706788111E-4</v>
      </c>
      <c r="N55" s="1">
        <v>7.3719359959799798E-6</v>
      </c>
      <c r="O55" s="1">
        <v>3.0548612057369199E-6</v>
      </c>
      <c r="P55" s="1">
        <v>-8.9311637275618899E-6</v>
      </c>
      <c r="AE55">
        <v>100</v>
      </c>
      <c r="AJ55">
        <v>1</v>
      </c>
    </row>
    <row r="56" spans="1:36" x14ac:dyDescent="0.2">
      <c r="A56">
        <v>55</v>
      </c>
      <c r="B56">
        <v>758</v>
      </c>
      <c r="C56">
        <v>225</v>
      </c>
      <c r="D56">
        <v>0.356728410027642</v>
      </c>
      <c r="E56">
        <v>5.0956556737229803</v>
      </c>
      <c r="F56">
        <v>0.49282268840091997</v>
      </c>
      <c r="G56">
        <v>-110.95076835889971</v>
      </c>
      <c r="H56">
        <v>-64.682702196456574</v>
      </c>
      <c r="I56">
        <v>44.873182572398498</v>
      </c>
      <c r="J56">
        <v>20.052808362426099</v>
      </c>
      <c r="K56">
        <v>10.339734337834599</v>
      </c>
      <c r="L56">
        <v>1.4054169480793059E-3</v>
      </c>
      <c r="M56">
        <v>2.7616232173905726E-4</v>
      </c>
      <c r="N56" s="1">
        <v>7.5871594406340899E-6</v>
      </c>
      <c r="O56" s="1">
        <v>3.04278343790663E-6</v>
      </c>
      <c r="P56" s="1">
        <v>-8.9569683949644701E-6</v>
      </c>
      <c r="AE56">
        <v>100</v>
      </c>
      <c r="AJ56">
        <v>1</v>
      </c>
    </row>
    <row r="57" spans="1:36" x14ac:dyDescent="0.2">
      <c r="A57">
        <v>56</v>
      </c>
      <c r="B57">
        <v>756</v>
      </c>
      <c r="C57">
        <v>225</v>
      </c>
      <c r="D57">
        <v>0.35534227274935698</v>
      </c>
      <c r="E57">
        <v>5.11736128258433</v>
      </c>
      <c r="F57">
        <v>0.49421110210605501</v>
      </c>
      <c r="G57">
        <v>-111.33328805287023</v>
      </c>
      <c r="H57">
        <v>-64.998526833928238</v>
      </c>
      <c r="I57">
        <v>45.025204962648601</v>
      </c>
      <c r="J57">
        <v>20.1620111651484</v>
      </c>
      <c r="K57">
        <v>10.354606079824901</v>
      </c>
      <c r="L57">
        <v>1.4078854248212131E-3</v>
      </c>
      <c r="M57">
        <v>2.7520256945572124E-4</v>
      </c>
      <c r="N57" s="1">
        <v>7.8190561645353105E-6</v>
      </c>
      <c r="O57" s="1">
        <v>3.0360872508029099E-6</v>
      </c>
      <c r="P57" s="1">
        <v>-8.9987804530247108E-6</v>
      </c>
      <c r="AE57">
        <v>100</v>
      </c>
      <c r="AJ57">
        <v>1</v>
      </c>
    </row>
    <row r="58" spans="1:36" x14ac:dyDescent="0.2">
      <c r="A58">
        <v>57</v>
      </c>
      <c r="B58">
        <v>754</v>
      </c>
      <c r="C58">
        <v>225</v>
      </c>
      <c r="D58">
        <v>0.35395073747748601</v>
      </c>
      <c r="E58">
        <v>5.1388485953316296</v>
      </c>
      <c r="F58">
        <v>0.49560585974538901</v>
      </c>
      <c r="G58">
        <v>-111.71037679252693</v>
      </c>
      <c r="H58">
        <v>-65.311966642281902</v>
      </c>
      <c r="I58">
        <v>45.174853638682499</v>
      </c>
      <c r="J58">
        <v>20.2705053112435</v>
      </c>
      <c r="K58">
        <v>10.368821300804701</v>
      </c>
      <c r="L58">
        <v>1.4103247859760767E-3</v>
      </c>
      <c r="M58">
        <v>2.7423590143348011E-4</v>
      </c>
      <c r="N58" s="1">
        <v>8.0536864983518503E-6</v>
      </c>
      <c r="O58" s="1">
        <v>3.0290185915309498E-6</v>
      </c>
      <c r="P58" s="1">
        <v>-9.0397541769631807E-6</v>
      </c>
      <c r="AE58">
        <v>100</v>
      </c>
      <c r="AJ58">
        <v>1</v>
      </c>
    </row>
    <row r="59" spans="1:36" x14ac:dyDescent="0.2">
      <c r="A59">
        <v>58</v>
      </c>
      <c r="B59">
        <v>752</v>
      </c>
      <c r="C59">
        <v>225</v>
      </c>
      <c r="D59">
        <v>0.35255377261864101</v>
      </c>
      <c r="E59">
        <v>5.1601213231004097</v>
      </c>
      <c r="F59">
        <v>0.49700696367191499</v>
      </c>
      <c r="G59">
        <v>-112.08212794008961</v>
      </c>
      <c r="H59">
        <v>-65.623064149626217</v>
      </c>
      <c r="I59">
        <v>45.322164296690403</v>
      </c>
      <c r="J59">
        <v>20.378298035268799</v>
      </c>
      <c r="K59">
        <v>10.3823924014608</v>
      </c>
      <c r="L59">
        <v>1.4127343884097433E-3</v>
      </c>
      <c r="M59">
        <v>2.7326234121145604E-4</v>
      </c>
      <c r="N59" s="1">
        <v>8.2910059342071398E-6</v>
      </c>
      <c r="O59" s="1">
        <v>3.0215822476084302E-6</v>
      </c>
      <c r="P59" s="1">
        <v>-9.0798802736506492E-6</v>
      </c>
      <c r="AE59">
        <v>100</v>
      </c>
      <c r="AJ59">
        <v>1</v>
      </c>
    </row>
    <row r="60" spans="1:36" x14ac:dyDescent="0.2">
      <c r="A60">
        <v>59</v>
      </c>
      <c r="B60">
        <v>750</v>
      </c>
      <c r="C60">
        <v>225</v>
      </c>
      <c r="D60">
        <v>0.35115134633240402</v>
      </c>
      <c r="E60">
        <v>5.2714444578284096</v>
      </c>
      <c r="F60">
        <v>0.49841441544936699</v>
      </c>
      <c r="G60">
        <v>-114.40759982880192</v>
      </c>
      <c r="H60">
        <v>-67.08045953087445</v>
      </c>
      <c r="I60">
        <v>46.2592551846259</v>
      </c>
      <c r="J60">
        <v>20.842272217316101</v>
      </c>
      <c r="K60">
        <v>10.5764285591051</v>
      </c>
      <c r="L60">
        <v>1.4151135890225653E-3</v>
      </c>
      <c r="M60">
        <v>2.7228191468116428E-4</v>
      </c>
      <c r="N60" s="1">
        <v>8.6795859094894092E-6</v>
      </c>
      <c r="O60" s="1">
        <v>3.0662860959822599E-6</v>
      </c>
      <c r="P60" s="1">
        <v>-9.2780140226849602E-6</v>
      </c>
      <c r="AE60">
        <v>100</v>
      </c>
      <c r="AJ60">
        <v>1</v>
      </c>
    </row>
    <row r="61" spans="1:36" x14ac:dyDescent="0.2">
      <c r="A61">
        <v>60</v>
      </c>
      <c r="B61">
        <v>748</v>
      </c>
      <c r="C61">
        <v>225</v>
      </c>
      <c r="D61">
        <v>0.34974342652891699</v>
      </c>
      <c r="E61">
        <v>5.5103866684919298</v>
      </c>
      <c r="F61">
        <v>0.49982821584070197</v>
      </c>
      <c r="G61">
        <v>-119.49675840816012</v>
      </c>
      <c r="H61">
        <v>-70.164658787537562</v>
      </c>
      <c r="I61">
        <v>48.313424082897399</v>
      </c>
      <c r="J61">
        <v>21.8123796497954</v>
      </c>
      <c r="K61">
        <v>11.0245610268791</v>
      </c>
      <c r="L61">
        <v>1.4174617450838844E-3</v>
      </c>
      <c r="M61">
        <v>2.7129465011387977E-4</v>
      </c>
      <c r="N61" s="1">
        <v>9.2935720740000394E-6</v>
      </c>
      <c r="O61" s="1">
        <v>3.1837831755899402E-6</v>
      </c>
      <c r="P61" s="1">
        <v>-9.7003631778143604E-6</v>
      </c>
      <c r="AE61">
        <v>100</v>
      </c>
      <c r="AJ61">
        <v>1</v>
      </c>
    </row>
    <row r="62" spans="1:36" x14ac:dyDescent="0.2">
      <c r="A62">
        <v>61</v>
      </c>
      <c r="B62">
        <v>746</v>
      </c>
      <c r="C62">
        <v>225</v>
      </c>
      <c r="D62">
        <v>0.34832998086640898</v>
      </c>
      <c r="E62">
        <v>8.4683741785985198</v>
      </c>
      <c r="F62">
        <v>0.50124836479679802</v>
      </c>
      <c r="G62">
        <v>-183.49444676200383</v>
      </c>
      <c r="H62">
        <v>-107.89628127563694</v>
      </c>
      <c r="I62">
        <v>74.182418299651303</v>
      </c>
      <c r="J62">
        <v>33.560204132484898</v>
      </c>
      <c r="K62">
        <v>16.8945671913194</v>
      </c>
      <c r="L62">
        <v>1.4197782145724301E-3</v>
      </c>
      <c r="M62">
        <v>2.7030057818655594E-4</v>
      </c>
      <c r="N62" s="1">
        <v>1.4623328445607401E-5</v>
      </c>
      <c r="O62" s="1">
        <v>4.8596988438598701E-6</v>
      </c>
      <c r="P62" s="1">
        <v>-1.49094430438879E-5</v>
      </c>
      <c r="AE62">
        <v>100</v>
      </c>
      <c r="AJ62">
        <v>1</v>
      </c>
    </row>
    <row r="63" spans="1:36" x14ac:dyDescent="0.2">
      <c r="A63">
        <v>62</v>
      </c>
      <c r="B63">
        <v>744</v>
      </c>
      <c r="C63">
        <v>225</v>
      </c>
      <c r="D63">
        <v>0.34691097674876298</v>
      </c>
      <c r="E63">
        <v>9.5979087964856902</v>
      </c>
      <c r="F63">
        <v>0.502674861445363</v>
      </c>
      <c r="G63">
        <v>-207.80135220391023</v>
      </c>
      <c r="H63">
        <v>-122.3638957432172</v>
      </c>
      <c r="I63">
        <v>84.002309367827294</v>
      </c>
      <c r="J63">
        <v>38.080506426301802</v>
      </c>
      <c r="K63">
        <v>19.0936717401948</v>
      </c>
      <c r="L63">
        <v>1.4220623565214818E-3</v>
      </c>
      <c r="M63">
        <v>2.6929973200613396E-4</v>
      </c>
      <c r="N63" s="1">
        <v>1.69624154265131E-5</v>
      </c>
      <c r="O63" s="1">
        <v>5.47019850224049E-6</v>
      </c>
      <c r="P63" s="1">
        <v>-1.6899271200952299E-5</v>
      </c>
      <c r="AE63">
        <v>100</v>
      </c>
      <c r="AJ63">
        <v>1</v>
      </c>
    </row>
    <row r="64" spans="1:36" x14ac:dyDescent="0.2">
      <c r="A64">
        <v>63</v>
      </c>
      <c r="B64">
        <v>742</v>
      </c>
      <c r="C64">
        <v>225</v>
      </c>
      <c r="D64">
        <v>0.345486381322956</v>
      </c>
      <c r="E64">
        <v>9.9648042584570593</v>
      </c>
      <c r="F64">
        <v>0.50410770408007599</v>
      </c>
      <c r="G64">
        <v>-215.57054322933575</v>
      </c>
      <c r="H64">
        <v>-127.12056987566825</v>
      </c>
      <c r="I64">
        <v>87.135571912104794</v>
      </c>
      <c r="J64">
        <v>39.581686590099203</v>
      </c>
      <c r="K64">
        <v>19.767212795609598</v>
      </c>
      <c r="L64">
        <v>1.4243135313688996E-3</v>
      </c>
      <c r="M64">
        <v>2.6829214713221033E-4</v>
      </c>
      <c r="N64" s="1">
        <v>1.80164262129645E-5</v>
      </c>
      <c r="O64" s="1">
        <v>5.6400289728831698E-6</v>
      </c>
      <c r="P64" s="1">
        <v>-1.7545437587628901E-5</v>
      </c>
      <c r="AE64">
        <v>100</v>
      </c>
      <c r="AJ64">
        <v>1</v>
      </c>
    </row>
    <row r="65" spans="1:36" x14ac:dyDescent="0.2">
      <c r="A65">
        <v>64</v>
      </c>
      <c r="B65">
        <v>740</v>
      </c>
      <c r="C65">
        <v>225</v>
      </c>
      <c r="D65">
        <v>0.34405616147658602</v>
      </c>
      <c r="E65">
        <v>10.150408931971601</v>
      </c>
      <c r="F65">
        <v>0.50554689014998</v>
      </c>
      <c r="G65">
        <v>-219.40832752498997</v>
      </c>
      <c r="H65">
        <v>-129.56900462297057</v>
      </c>
      <c r="I65">
        <v>88.679002703762293</v>
      </c>
      <c r="J65">
        <v>40.365124703079601</v>
      </c>
      <c r="K65">
        <v>20.078076098856599</v>
      </c>
      <c r="L65">
        <v>1.4265311013117604E-3</v>
      </c>
      <c r="M65">
        <v>2.6727786159799646E-4</v>
      </c>
      <c r="N65" s="1">
        <v>1.8767244416793701E-5</v>
      </c>
      <c r="O65" s="1">
        <v>5.7049369520319802E-6</v>
      </c>
      <c r="P65" s="1">
        <v>-1.7871324157508201E-5</v>
      </c>
      <c r="AE65">
        <v>100</v>
      </c>
      <c r="AJ65">
        <v>1</v>
      </c>
    </row>
    <row r="66" spans="1:36" x14ac:dyDescent="0.2">
      <c r="A66">
        <v>65</v>
      </c>
      <c r="B66">
        <v>738</v>
      </c>
      <c r="C66">
        <v>225</v>
      </c>
      <c r="D66">
        <v>0.34262028383523802</v>
      </c>
      <c r="E66">
        <v>10.265638235300299</v>
      </c>
      <c r="F66">
        <v>0.50699241624911995</v>
      </c>
      <c r="G66">
        <v>-221.71980035353099</v>
      </c>
      <c r="H66">
        <v>-131.12158901513317</v>
      </c>
      <c r="I66">
        <v>89.604990324856303</v>
      </c>
      <c r="J66">
        <v>40.869910203506599</v>
      </c>
      <c r="K66">
        <v>20.248110043240001</v>
      </c>
      <c r="L66">
        <v>1.4287144306649412E-3</v>
      </c>
      <c r="M66">
        <v>2.6625691592953857E-4</v>
      </c>
      <c r="N66" s="1">
        <v>1.9402266341517798E-5</v>
      </c>
      <c r="O66" s="1">
        <v>5.7289677014392901E-6</v>
      </c>
      <c r="P66" s="1">
        <v>-1.80721650828745E-5</v>
      </c>
      <c r="AE66">
        <v>100</v>
      </c>
      <c r="AJ66">
        <v>1</v>
      </c>
    </row>
    <row r="67" spans="1:36" x14ac:dyDescent="0.2">
      <c r="A67">
        <v>66</v>
      </c>
      <c r="B67">
        <v>736</v>
      </c>
      <c r="C67">
        <v>225</v>
      </c>
      <c r="D67">
        <v>0.34117871475994799</v>
      </c>
      <c r="E67">
        <v>10.3455999450891</v>
      </c>
      <c r="F67">
        <v>0.50844427810646098</v>
      </c>
      <c r="G67">
        <v>-223.26630885031153</v>
      </c>
      <c r="H67">
        <v>-132.22535225436002</v>
      </c>
      <c r="I67">
        <v>90.221351616243993</v>
      </c>
      <c r="J67">
        <v>41.235003327270398</v>
      </c>
      <c r="K67">
        <v>20.347558996274</v>
      </c>
      <c r="L67">
        <v>1.4308628862234806E-3</v>
      </c>
      <c r="M67">
        <v>2.6522935316308452E-4</v>
      </c>
      <c r="N67" s="1">
        <v>1.9980579705552E-5</v>
      </c>
      <c r="O67" s="1">
        <v>5.7324104615312498E-6</v>
      </c>
      <c r="P67" s="1">
        <v>-1.8209742861899102E-5</v>
      </c>
      <c r="AE67">
        <v>100</v>
      </c>
      <c r="AJ67">
        <v>1</v>
      </c>
    </row>
    <row r="68" spans="1:36" x14ac:dyDescent="0.2">
      <c r="A68">
        <v>67</v>
      </c>
      <c r="B68">
        <v>734</v>
      </c>
      <c r="C68">
        <v>225</v>
      </c>
      <c r="D68">
        <v>0.33973142034453802</v>
      </c>
      <c r="E68">
        <v>10.405063369887401</v>
      </c>
      <c r="F68">
        <v>0.50990247057604698</v>
      </c>
      <c r="G68">
        <v>-224.36817948838569</v>
      </c>
      <c r="H68">
        <v>-133.06833505462535</v>
      </c>
      <c r="I68">
        <v>90.6575970311916</v>
      </c>
      <c r="J68">
        <v>41.518847417505398</v>
      </c>
      <c r="K68">
        <v>20.405987360941001</v>
      </c>
      <c r="L68">
        <v>1.4329758376280071E-3</v>
      </c>
      <c r="M68">
        <v>2.6419521886052676E-4</v>
      </c>
      <c r="N68" s="1">
        <v>2.0526887831886802E-5</v>
      </c>
      <c r="O68" s="1">
        <v>5.7238111604977801E-6</v>
      </c>
      <c r="P68" s="1">
        <v>-1.8310037171849101E-5</v>
      </c>
      <c r="AE68">
        <v>100</v>
      </c>
      <c r="AJ68">
        <v>1</v>
      </c>
    </row>
    <row r="69" spans="1:36" x14ac:dyDescent="0.2">
      <c r="A69">
        <v>68</v>
      </c>
      <c r="B69">
        <v>760</v>
      </c>
      <c r="C69">
        <v>200</v>
      </c>
      <c r="D69">
        <v>0.38472680636887402</v>
      </c>
      <c r="E69">
        <v>5.47868949350599</v>
      </c>
      <c r="F69">
        <v>0.45505687206717499</v>
      </c>
      <c r="G69">
        <v>-119.6766429044423</v>
      </c>
      <c r="H69">
        <v>-69.352928042595636</v>
      </c>
      <c r="I69">
        <v>48.7120457865798</v>
      </c>
      <c r="J69">
        <v>21.7253317155198</v>
      </c>
      <c r="K69">
        <v>12.0395709411399</v>
      </c>
      <c r="L69">
        <v>1.5294024524042341E-3</v>
      </c>
      <c r="M69">
        <v>3.4182390521239164E-4</v>
      </c>
      <c r="N69" s="1">
        <v>6.4929348432022702E-6</v>
      </c>
      <c r="O69" s="1">
        <v>5.0780362515893298E-6</v>
      </c>
      <c r="P69" s="1">
        <v>-1.27335724504664E-5</v>
      </c>
      <c r="AE69">
        <v>100</v>
      </c>
      <c r="AJ69">
        <v>1</v>
      </c>
    </row>
    <row r="70" spans="1:36" x14ac:dyDescent="0.2">
      <c r="A70">
        <v>69</v>
      </c>
      <c r="B70">
        <v>758</v>
      </c>
      <c r="C70">
        <v>200</v>
      </c>
      <c r="D70">
        <v>0.383397662803666</v>
      </c>
      <c r="E70">
        <v>5.4963441262296504</v>
      </c>
      <c r="F70">
        <v>0.45645257202433998</v>
      </c>
      <c r="G70">
        <v>-119.96459539061472</v>
      </c>
      <c r="H70">
        <v>-69.620034492808756</v>
      </c>
      <c r="I70">
        <v>48.826752890878304</v>
      </c>
      <c r="J70">
        <v>21.8269206055121</v>
      </c>
      <c r="K70">
        <v>12.0414353277793</v>
      </c>
      <c r="L70">
        <v>1.5329879985900398E-3</v>
      </c>
      <c r="M70">
        <v>3.4074884165332135E-4</v>
      </c>
      <c r="N70" s="1">
        <v>6.7957144559902099E-6</v>
      </c>
      <c r="O70" s="1">
        <v>5.0649805569151301E-6</v>
      </c>
      <c r="P70" s="1">
        <v>-1.27949000533047E-5</v>
      </c>
      <c r="AE70">
        <v>100</v>
      </c>
      <c r="AJ70">
        <v>1</v>
      </c>
    </row>
    <row r="71" spans="1:36" x14ac:dyDescent="0.2">
      <c r="A71">
        <v>70</v>
      </c>
      <c r="B71">
        <v>756</v>
      </c>
      <c r="C71">
        <v>200</v>
      </c>
      <c r="D71">
        <v>0.38206335325268598</v>
      </c>
      <c r="E71">
        <v>5.6003166974136098</v>
      </c>
      <c r="F71">
        <v>0.45785582298683303</v>
      </c>
      <c r="G71">
        <v>-122.1344693939071</v>
      </c>
      <c r="H71">
        <v>-70.981526051452406</v>
      </c>
      <c r="I71">
        <v>49.707183780370002</v>
      </c>
      <c r="J71">
        <v>22.2719781619579</v>
      </c>
      <c r="K71">
        <v>12.231616190616</v>
      </c>
      <c r="L71">
        <v>1.5365448866216137E-3</v>
      </c>
      <c r="M71">
        <v>3.396630615042569E-4</v>
      </c>
      <c r="N71" s="1">
        <v>7.2149005635208598E-6</v>
      </c>
      <c r="O71" s="1">
        <v>5.1306351946954903E-6</v>
      </c>
      <c r="P71" s="1">
        <v>-1.3057016837495899E-5</v>
      </c>
      <c r="AE71">
        <v>100</v>
      </c>
      <c r="AJ71">
        <v>1</v>
      </c>
    </row>
    <row r="72" spans="1:36" x14ac:dyDescent="0.2">
      <c r="A72">
        <v>71</v>
      </c>
      <c r="B72">
        <v>754</v>
      </c>
      <c r="C72">
        <v>200</v>
      </c>
      <c r="D72">
        <v>0.38072384753930699</v>
      </c>
      <c r="E72">
        <v>5.8173977682070701</v>
      </c>
      <c r="F72">
        <v>0.45926664146385499</v>
      </c>
      <c r="G72">
        <v>-126.76545759562624</v>
      </c>
      <c r="H72">
        <v>-73.779236157141369</v>
      </c>
      <c r="I72">
        <v>51.588911561813703</v>
      </c>
      <c r="J72">
        <v>23.168682661572898</v>
      </c>
      <c r="K72">
        <v>12.666710888613199</v>
      </c>
      <c r="L72">
        <v>1.5400721186903533E-3</v>
      </c>
      <c r="M72">
        <v>3.3856654068413548E-4</v>
      </c>
      <c r="N72" s="1">
        <v>7.8000005048029593E-6</v>
      </c>
      <c r="O72" s="1">
        <v>5.2979940912849298E-6</v>
      </c>
      <c r="P72" s="1">
        <v>-1.35833508801366E-5</v>
      </c>
      <c r="AE72">
        <v>100</v>
      </c>
      <c r="AJ72">
        <v>1</v>
      </c>
    </row>
    <row r="73" spans="1:36" x14ac:dyDescent="0.2">
      <c r="A73">
        <v>72</v>
      </c>
      <c r="B73">
        <v>752</v>
      </c>
      <c r="C73">
        <v>200</v>
      </c>
      <c r="D73">
        <v>0.37937911525142798</v>
      </c>
      <c r="E73">
        <v>6.0420745917197403</v>
      </c>
      <c r="F73">
        <v>0.46068504300701602</v>
      </c>
      <c r="G73">
        <v>-131.55421817754424</v>
      </c>
      <c r="H73">
        <v>-76.676865052302105</v>
      </c>
      <c r="I73">
        <v>53.534420105691197</v>
      </c>
      <c r="J73">
        <v>24.098147442855499</v>
      </c>
      <c r="K73">
        <v>13.115412977772101</v>
      </c>
      <c r="L73">
        <v>1.5435686892833393E-3</v>
      </c>
      <c r="M73">
        <v>3.3745925847954796E-4</v>
      </c>
      <c r="N73" s="1">
        <v>8.4221000939699692E-6</v>
      </c>
      <c r="O73" s="1">
        <v>5.4696807902631201E-6</v>
      </c>
      <c r="P73" s="1">
        <v>-1.4128264058771E-5</v>
      </c>
      <c r="AE73">
        <v>100</v>
      </c>
      <c r="AJ73">
        <v>1</v>
      </c>
    </row>
    <row r="74" spans="1:36" x14ac:dyDescent="0.2">
      <c r="A74">
        <v>73</v>
      </c>
      <c r="B74">
        <v>750</v>
      </c>
      <c r="C74">
        <v>200</v>
      </c>
      <c r="D74">
        <v>0.37802912573913899</v>
      </c>
      <c r="E74">
        <v>9.0429432251956996</v>
      </c>
      <c r="F74">
        <v>0.46211104218689197</v>
      </c>
      <c r="G74">
        <v>-196.7320191354309</v>
      </c>
      <c r="H74">
        <v>-114.83153283160375</v>
      </c>
      <c r="I74">
        <v>80.0524470813086</v>
      </c>
      <c r="J74">
        <v>36.1185979063902</v>
      </c>
      <c r="K74">
        <v>19.568766810680199</v>
      </c>
      <c r="L74">
        <v>1.5470335856745735E-3</v>
      </c>
      <c r="M74">
        <v>3.3634119764314386E-4</v>
      </c>
      <c r="N74" s="1">
        <v>1.3090583476596799E-5</v>
      </c>
      <c r="O74" s="1">
        <v>8.1366843933499296E-6</v>
      </c>
      <c r="P74" s="1">
        <v>-2.1174553137255099E-5</v>
      </c>
      <c r="AE74">
        <v>100</v>
      </c>
      <c r="AJ74">
        <v>1</v>
      </c>
    </row>
    <row r="75" spans="1:36" x14ac:dyDescent="0.2">
      <c r="A75">
        <v>74</v>
      </c>
      <c r="B75">
        <v>748</v>
      </c>
      <c r="C75">
        <v>200</v>
      </c>
      <c r="D75">
        <v>0.37667384811242399</v>
      </c>
      <c r="E75">
        <v>9.7754842336230308</v>
      </c>
      <c r="F75">
        <v>0.46354465256962502</v>
      </c>
      <c r="G75">
        <v>-212.49567663334213</v>
      </c>
      <c r="H75">
        <v>-124.21182687801047</v>
      </c>
      <c r="I75">
        <v>86.4607980097866</v>
      </c>
      <c r="J75">
        <v>39.100405829031203</v>
      </c>
      <c r="K75">
        <v>21.0885492464067</v>
      </c>
      <c r="L75">
        <v>1.5504657884356865E-3</v>
      </c>
      <c r="M75">
        <v>3.3521234449100618E-4</v>
      </c>
      <c r="N75" s="1">
        <v>1.46815712547971E-5</v>
      </c>
      <c r="O75" s="1">
        <v>8.7419000982281799E-6</v>
      </c>
      <c r="P75" s="1">
        <v>-2.2920337592684301E-5</v>
      </c>
      <c r="AE75">
        <v>100</v>
      </c>
      <c r="AJ75">
        <v>1</v>
      </c>
    </row>
    <row r="76" spans="1:36" x14ac:dyDescent="0.2">
      <c r="A76">
        <v>75</v>
      </c>
      <c r="B76">
        <v>746</v>
      </c>
      <c r="C76">
        <v>200</v>
      </c>
      <c r="D76">
        <v>0.37531325123877901</v>
      </c>
      <c r="E76">
        <v>10.0574228089403</v>
      </c>
      <c r="F76">
        <v>0.46498588669365498</v>
      </c>
      <c r="G76">
        <v>-218.44651778006244</v>
      </c>
      <c r="H76">
        <v>-127.87478263520804</v>
      </c>
      <c r="I76">
        <v>88.875524328883998</v>
      </c>
      <c r="J76">
        <v>40.285605334098797</v>
      </c>
      <c r="K76">
        <v>21.629522737679199</v>
      </c>
      <c r="L76">
        <v>1.5538642719682024E-3</v>
      </c>
      <c r="M76">
        <v>3.3407268899913393E-4</v>
      </c>
      <c r="N76" s="1">
        <v>1.5656613654670698E-5</v>
      </c>
      <c r="O76" s="1">
        <v>8.9382363022890305E-6</v>
      </c>
      <c r="P76" s="1">
        <v>-2.361150404288E-5</v>
      </c>
      <c r="AE76">
        <v>100</v>
      </c>
      <c r="AJ76">
        <v>1</v>
      </c>
    </row>
    <row r="77" spans="1:36" x14ac:dyDescent="0.2">
      <c r="A77">
        <v>76</v>
      </c>
      <c r="B77">
        <v>744</v>
      </c>
      <c r="C77">
        <v>200</v>
      </c>
      <c r="D77">
        <v>0.373947303740848</v>
      </c>
      <c r="E77">
        <v>10.218100958959599</v>
      </c>
      <c r="F77">
        <v>0.46643475604659801</v>
      </c>
      <c r="G77">
        <v>-221.75592552346464</v>
      </c>
      <c r="H77">
        <v>-129.99963662448945</v>
      </c>
      <c r="I77">
        <v>90.214949932465302</v>
      </c>
      <c r="J77">
        <v>40.987531127349698</v>
      </c>
      <c r="K77">
        <v>21.906817248281602</v>
      </c>
      <c r="L77">
        <v>1.5572280050555394E-3</v>
      </c>
      <c r="M77">
        <v>3.3292222489867735E-4</v>
      </c>
      <c r="N77" s="1">
        <v>1.6472889112288301E-5</v>
      </c>
      <c r="O77" s="1">
        <v>9.0240209484861203E-6</v>
      </c>
      <c r="P77" s="1">
        <v>-2.40179899436238E-5</v>
      </c>
      <c r="AE77">
        <v>100</v>
      </c>
      <c r="AJ77">
        <v>1</v>
      </c>
    </row>
    <row r="78" spans="1:36" x14ac:dyDescent="0.2">
      <c r="A78">
        <v>77</v>
      </c>
      <c r="B78">
        <v>742</v>
      </c>
      <c r="C78">
        <v>200</v>
      </c>
      <c r="D78">
        <v>0.37257597399398801</v>
      </c>
      <c r="E78">
        <v>10.318621030709901</v>
      </c>
      <c r="F78">
        <v>0.46789127104226602</v>
      </c>
      <c r="G78">
        <v>-223.75531527454027</v>
      </c>
      <c r="H78">
        <v>-131.36134203314666</v>
      </c>
      <c r="I78">
        <v>91.020911382537804</v>
      </c>
      <c r="J78">
        <v>41.449537666330897</v>
      </c>
      <c r="K78">
        <v>22.0534591460199</v>
      </c>
      <c r="L78">
        <v>1.5605559514349362E-3</v>
      </c>
      <c r="M78">
        <v>3.3176094976969698E-4</v>
      </c>
      <c r="N78" s="1">
        <v>1.7212320119595098E-5</v>
      </c>
      <c r="O78" s="1">
        <v>9.0548885852497704E-6</v>
      </c>
      <c r="P78" s="1">
        <v>-2.4282441058042199E-5</v>
      </c>
      <c r="AE78">
        <v>100</v>
      </c>
      <c r="AJ78">
        <v>1</v>
      </c>
    </row>
    <row r="79" spans="1:36" x14ac:dyDescent="0.2">
      <c r="A79">
        <v>78</v>
      </c>
      <c r="B79">
        <v>740</v>
      </c>
      <c r="C79">
        <v>200</v>
      </c>
      <c r="D79">
        <v>0.37119923012387401</v>
      </c>
      <c r="E79">
        <v>10.3896175446827</v>
      </c>
      <c r="F79">
        <v>0.46935544099792598</v>
      </c>
      <c r="G79">
        <v>-225.11163525224416</v>
      </c>
      <c r="H79">
        <v>-132.34869265909384</v>
      </c>
      <c r="I79">
        <v>91.564810906879501</v>
      </c>
      <c r="J79">
        <v>41.793814405271299</v>
      </c>
      <c r="K79">
        <v>22.135926500804299</v>
      </c>
      <c r="L79">
        <v>1.5638470703897313E-3</v>
      </c>
      <c r="M79">
        <v>3.3058886513345049E-4</v>
      </c>
      <c r="N79" s="1">
        <v>1.7917681924135901E-5</v>
      </c>
      <c r="O79" s="1">
        <v>9.05855359094354E-6</v>
      </c>
      <c r="P79" s="1">
        <v>-2.44764546976542E-5</v>
      </c>
      <c r="AE79">
        <v>100</v>
      </c>
      <c r="AJ79">
        <v>1</v>
      </c>
    </row>
    <row r="80" spans="1:36" x14ac:dyDescent="0.2">
      <c r="A80">
        <v>79</v>
      </c>
      <c r="B80">
        <v>738</v>
      </c>
      <c r="C80">
        <v>200</v>
      </c>
      <c r="D80">
        <v>0.36981704000395799</v>
      </c>
      <c r="E80">
        <v>10.443032584625699</v>
      </c>
      <c r="F80">
        <v>0.47082727411173603</v>
      </c>
      <c r="G80">
        <v>-226.0849897466903</v>
      </c>
      <c r="H80">
        <v>-133.11319962743485</v>
      </c>
      <c r="I80">
        <v>91.952495934110601</v>
      </c>
      <c r="J80">
        <v>42.067950433983</v>
      </c>
      <c r="K80">
        <v>22.180177655017101</v>
      </c>
      <c r="L80">
        <v>1.567100317360472E-3</v>
      </c>
      <c r="M80">
        <v>3.2940597654279011E-4</v>
      </c>
      <c r="N80" s="1">
        <v>1.86052304337948E-5</v>
      </c>
      <c r="O80" s="1">
        <v>9.0458551342606695E-6</v>
      </c>
      <c r="P80" s="1">
        <v>-2.46278945825866E-5</v>
      </c>
      <c r="AE80">
        <v>100</v>
      </c>
      <c r="AJ80">
        <v>1</v>
      </c>
    </row>
    <row r="81" spans="1:36" x14ac:dyDescent="0.2">
      <c r="A81">
        <v>80</v>
      </c>
      <c r="B81">
        <v>766</v>
      </c>
      <c r="C81">
        <v>175</v>
      </c>
      <c r="D81">
        <v>0.41514747630275201</v>
      </c>
      <c r="E81">
        <v>5.8774750130075502</v>
      </c>
      <c r="F81">
        <v>0.40922356621307199</v>
      </c>
      <c r="G81">
        <v>-129.04322024359448</v>
      </c>
      <c r="H81">
        <v>-74.040181259182731</v>
      </c>
      <c r="I81">
        <v>52.934034967552797</v>
      </c>
      <c r="J81">
        <v>23.3097511153752</v>
      </c>
      <c r="K81">
        <v>14.3625037712204</v>
      </c>
      <c r="L81">
        <v>1.652027144719714E-3</v>
      </c>
      <c r="M81">
        <v>4.3648824607725819E-4</v>
      </c>
      <c r="N81" s="1">
        <v>1.2807928535861799E-6</v>
      </c>
      <c r="O81" s="1">
        <v>8.9770128141789805E-6</v>
      </c>
      <c r="P81" s="1">
        <v>-1.81200392476912E-5</v>
      </c>
      <c r="AE81">
        <v>100</v>
      </c>
      <c r="AJ81">
        <v>1</v>
      </c>
    </row>
    <row r="82" spans="1:36" x14ac:dyDescent="0.2">
      <c r="A82">
        <v>81</v>
      </c>
      <c r="B82">
        <v>764</v>
      </c>
      <c r="C82">
        <v>175</v>
      </c>
      <c r="D82">
        <v>0.41388468398978101</v>
      </c>
      <c r="E82">
        <v>5.8997221255551002</v>
      </c>
      <c r="F82">
        <v>0.41058006522061502</v>
      </c>
      <c r="G82">
        <v>-129.42544421788122</v>
      </c>
      <c r="H82">
        <v>-74.367272323726397</v>
      </c>
      <c r="I82">
        <v>53.089281277963103</v>
      </c>
      <c r="J82">
        <v>23.440060320179899</v>
      </c>
      <c r="K82">
        <v>14.3692366612709</v>
      </c>
      <c r="L82">
        <v>1.6573001620850663E-3</v>
      </c>
      <c r="M82">
        <v>4.3539960093590103E-4</v>
      </c>
      <c r="N82" s="1">
        <v>1.63453913813169E-6</v>
      </c>
      <c r="O82" s="1">
        <v>8.9685496927824196E-6</v>
      </c>
      <c r="P82" s="1">
        <v>-1.82448344523476E-5</v>
      </c>
      <c r="AE82">
        <v>100</v>
      </c>
      <c r="AJ82">
        <v>1</v>
      </c>
    </row>
    <row r="83" spans="1:36" x14ac:dyDescent="0.2">
      <c r="A83">
        <v>82</v>
      </c>
      <c r="B83">
        <v>762</v>
      </c>
      <c r="C83">
        <v>175</v>
      </c>
      <c r="D83">
        <v>0.41261701202724399</v>
      </c>
      <c r="E83">
        <v>6.0255867139114798</v>
      </c>
      <c r="F83">
        <v>0.411945399082977</v>
      </c>
      <c r="G83">
        <v>-132.07820726181723</v>
      </c>
      <c r="H83">
        <v>-76.001745989129645</v>
      </c>
      <c r="I83">
        <v>54.175635882160698</v>
      </c>
      <c r="J83">
        <v>23.983217563017899</v>
      </c>
      <c r="K83">
        <v>14.6271489554802</v>
      </c>
      <c r="L83">
        <v>1.6625582699135513E-3</v>
      </c>
      <c r="M83">
        <v>4.3429568703726645E-4</v>
      </c>
      <c r="N83" s="1">
        <v>2.0330909340685902E-6</v>
      </c>
      <c r="O83" s="1">
        <v>9.1161893848349192E-6</v>
      </c>
      <c r="P83" s="1">
        <v>-1.8691174067105701E-5</v>
      </c>
      <c r="AE83">
        <v>100</v>
      </c>
      <c r="AJ83">
        <v>1</v>
      </c>
    </row>
    <row r="84" spans="1:36" x14ac:dyDescent="0.2">
      <c r="A84">
        <v>83</v>
      </c>
      <c r="B84">
        <v>760</v>
      </c>
      <c r="C84">
        <v>175</v>
      </c>
      <c r="D84">
        <v>0.41134443207665999</v>
      </c>
      <c r="E84">
        <v>6.2228123687278503</v>
      </c>
      <c r="F84">
        <v>0.41331961311145299</v>
      </c>
      <c r="G84">
        <v>-136.28945692007031</v>
      </c>
      <c r="H84">
        <v>-78.53896761442067</v>
      </c>
      <c r="I84">
        <v>55.900934405470103</v>
      </c>
      <c r="J84">
        <v>24.812826491440699</v>
      </c>
      <c r="K84">
        <v>15.055690974553</v>
      </c>
      <c r="L84">
        <v>1.6678001359930626E-3</v>
      </c>
      <c r="M84">
        <v>4.3317635369420935E-4</v>
      </c>
      <c r="N84" s="1">
        <v>2.4828372724275698E-6</v>
      </c>
      <c r="O84" s="1">
        <v>9.3690858515936492E-6</v>
      </c>
      <c r="P84" s="1">
        <v>-1.93615875827834E-5</v>
      </c>
      <c r="AE84">
        <v>100</v>
      </c>
      <c r="AJ84">
        <v>1</v>
      </c>
    </row>
    <row r="85" spans="1:36" x14ac:dyDescent="0.2">
      <c r="A85">
        <v>84</v>
      </c>
      <c r="B85">
        <v>758</v>
      </c>
      <c r="C85">
        <v>175</v>
      </c>
      <c r="D85">
        <v>0.41006691557969399</v>
      </c>
      <c r="E85">
        <v>6.4261679039649096</v>
      </c>
      <c r="F85">
        <v>0.41470275180371802</v>
      </c>
      <c r="G85">
        <v>-140.627859772943</v>
      </c>
      <c r="H85">
        <v>-81.156839212606585</v>
      </c>
      <c r="I85">
        <v>57.678027453060103</v>
      </c>
      <c r="J85">
        <v>25.669853120963701</v>
      </c>
      <c r="K85">
        <v>15.495840999402001</v>
      </c>
      <c r="L85">
        <v>1.6730244002158931E-3</v>
      </c>
      <c r="M85">
        <v>4.3204145256789736E-4</v>
      </c>
      <c r="N85" s="1">
        <v>2.9675953574264902E-6</v>
      </c>
      <c r="O85" s="1">
        <v>9.6279031597098406E-6</v>
      </c>
      <c r="P85" s="1">
        <v>-2.00544510523723E-5</v>
      </c>
      <c r="AE85">
        <v>100</v>
      </c>
      <c r="AJ85">
        <v>1</v>
      </c>
    </row>
    <row r="86" spans="1:36" x14ac:dyDescent="0.2">
      <c r="A86">
        <v>85</v>
      </c>
      <c r="B86">
        <v>756</v>
      </c>
      <c r="C86">
        <v>175</v>
      </c>
      <c r="D86">
        <v>0.40878443375601398</v>
      </c>
      <c r="E86">
        <v>8.4297884721032599</v>
      </c>
      <c r="F86">
        <v>0.41609485880319902</v>
      </c>
      <c r="G86">
        <v>-184.32308678561833</v>
      </c>
      <c r="H86">
        <v>-106.52820943741389</v>
      </c>
      <c r="I86">
        <v>75.5960757817776</v>
      </c>
      <c r="J86">
        <v>33.7341675578161</v>
      </c>
      <c r="K86">
        <v>20.259294951034899</v>
      </c>
      <c r="L86">
        <v>1.6782296747537672E-3</v>
      </c>
      <c r="M86">
        <v>4.3089083787200752E-4</v>
      </c>
      <c r="N86" s="1">
        <v>4.4327285137378804E-6</v>
      </c>
      <c r="O86" s="1">
        <v>1.25671704053335E-5</v>
      </c>
      <c r="P86" s="1">
        <v>-2.63855738324749E-5</v>
      </c>
      <c r="AE86">
        <v>100</v>
      </c>
      <c r="AJ86">
        <v>1</v>
      </c>
    </row>
    <row r="87" spans="1:36" x14ac:dyDescent="0.2">
      <c r="A87">
        <v>86</v>
      </c>
      <c r="B87">
        <v>754</v>
      </c>
      <c r="C87">
        <v>175</v>
      </c>
      <c r="D87">
        <v>0.40749695760112897</v>
      </c>
      <c r="E87">
        <v>9.6491387225192593</v>
      </c>
      <c r="F87">
        <v>0.41749597685781797</v>
      </c>
      <c r="G87">
        <v>-210.8120268208915</v>
      </c>
      <c r="H87">
        <v>-122.01457628307836</v>
      </c>
      <c r="I87">
        <v>86.455700109541098</v>
      </c>
      <c r="J87">
        <v>38.683339848147803</v>
      </c>
      <c r="K87">
        <v>23.111932227805202</v>
      </c>
      <c r="L87">
        <v>1.6834145442753245E-3</v>
      </c>
      <c r="M87">
        <v>4.2972436658222473E-4</v>
      </c>
      <c r="N87" s="1">
        <v>5.7038012030199397E-6</v>
      </c>
      <c r="O87" s="1">
        <v>1.43127152717906E-5</v>
      </c>
      <c r="P87" s="1">
        <v>-3.02911342527775E-5</v>
      </c>
      <c r="AE87">
        <v>100</v>
      </c>
      <c r="AJ87">
        <v>1</v>
      </c>
    </row>
    <row r="88" spans="1:36" x14ac:dyDescent="0.2">
      <c r="A88">
        <v>87</v>
      </c>
      <c r="B88">
        <v>752</v>
      </c>
      <c r="C88">
        <v>175</v>
      </c>
      <c r="D88">
        <v>0.406204457884214</v>
      </c>
      <c r="E88">
        <v>10.0159113505402</v>
      </c>
      <c r="F88">
        <v>0.41890614777802099</v>
      </c>
      <c r="G88">
        <v>-218.64578000572885</v>
      </c>
      <c r="H88">
        <v>-126.73284223784738</v>
      </c>
      <c r="I88">
        <v>89.663629212704095</v>
      </c>
      <c r="J88">
        <v>40.226099646018397</v>
      </c>
      <c r="K88">
        <v>23.909678584730599</v>
      </c>
      <c r="L88">
        <v>1.6885775662072327E-3</v>
      </c>
      <c r="M88">
        <v>4.2854189865096311E-4</v>
      </c>
      <c r="N88" s="1">
        <v>6.5868518357886396E-6</v>
      </c>
      <c r="O88" s="1">
        <v>1.4781125169754899E-5</v>
      </c>
      <c r="P88" s="1">
        <v>-3.1534052111769598E-5</v>
      </c>
      <c r="AE88">
        <v>100</v>
      </c>
      <c r="AJ88">
        <v>1</v>
      </c>
    </row>
    <row r="89" spans="1:36" x14ac:dyDescent="0.2">
      <c r="A89">
        <v>88</v>
      </c>
      <c r="B89">
        <v>750</v>
      </c>
      <c r="C89">
        <v>175</v>
      </c>
      <c r="D89">
        <v>0.40490690514587502</v>
      </c>
      <c r="E89">
        <v>10.1986690806119</v>
      </c>
      <c r="F89">
        <v>0.420325412394291</v>
      </c>
      <c r="G89">
        <v>-222.45283331532721</v>
      </c>
      <c r="H89">
        <v>-129.12729743423836</v>
      </c>
      <c r="I89">
        <v>91.219637575924096</v>
      </c>
      <c r="J89">
        <v>41.033900342341397</v>
      </c>
      <c r="K89">
        <v>24.263746087864199</v>
      </c>
      <c r="L89">
        <v>1.6937172710413172E-3</v>
      </c>
      <c r="M89">
        <v>4.2734329722714253E-4</v>
      </c>
      <c r="N89" s="1">
        <v>7.3980963001811601E-6</v>
      </c>
      <c r="O89" s="1">
        <v>1.49731906964701E-5</v>
      </c>
      <c r="P89" s="1">
        <v>-3.2201756665707297E-5</v>
      </c>
      <c r="AE89">
        <v>100</v>
      </c>
      <c r="AJ89">
        <v>1</v>
      </c>
    </row>
    <row r="90" spans="1:36" x14ac:dyDescent="0.2">
      <c r="A90">
        <v>89</v>
      </c>
      <c r="B90">
        <v>748</v>
      </c>
      <c r="C90">
        <v>175</v>
      </c>
      <c r="D90">
        <v>0.40360426969593199</v>
      </c>
      <c r="E90">
        <v>10.3142501684735</v>
      </c>
      <c r="F90">
        <v>0.42175381051400501</v>
      </c>
      <c r="G90">
        <v>-224.78945629149646</v>
      </c>
      <c r="H90">
        <v>-130.673764266386</v>
      </c>
      <c r="I90">
        <v>92.172153427434097</v>
      </c>
      <c r="J90">
        <v>41.573679859178696</v>
      </c>
      <c r="K90">
        <v>24.4556182098348</v>
      </c>
      <c r="L90">
        <v>1.6988321626883755E-3</v>
      </c>
      <c r="M90">
        <v>4.261284288808364E-4</v>
      </c>
      <c r="N90" s="1">
        <v>8.1936304166863703E-6</v>
      </c>
      <c r="O90" s="1">
        <v>1.5063713159738599E-5</v>
      </c>
      <c r="P90" s="1">
        <v>-3.2659093246466802E-5</v>
      </c>
      <c r="AE90">
        <v>100</v>
      </c>
      <c r="AJ90">
        <v>1</v>
      </c>
    </row>
    <row r="91" spans="1:36" x14ac:dyDescent="0.2">
      <c r="A91">
        <v>90</v>
      </c>
      <c r="B91">
        <v>746</v>
      </c>
      <c r="C91">
        <v>175</v>
      </c>
      <c r="D91">
        <v>0.40229652161114798</v>
      </c>
      <c r="E91">
        <v>10.392149826485101</v>
      </c>
      <c r="F91">
        <v>0.42319138087778901</v>
      </c>
      <c r="G91">
        <v>-226.30155218820033</v>
      </c>
      <c r="H91">
        <v>-131.74454485763809</v>
      </c>
      <c r="I91">
        <v>92.786100531662697</v>
      </c>
      <c r="J91">
        <v>41.963067549751997</v>
      </c>
      <c r="K91">
        <v>24.556619761323098</v>
      </c>
      <c r="L91">
        <v>1.703920718881055E-3</v>
      </c>
      <c r="M91">
        <v>4.2489716383268611E-4</v>
      </c>
      <c r="N91" s="1">
        <v>8.98547645776239E-6</v>
      </c>
      <c r="O91" s="1">
        <v>1.50970597466402E-5</v>
      </c>
      <c r="P91" s="1">
        <v>-3.2997808761829503E-5</v>
      </c>
      <c r="AE91">
        <v>100</v>
      </c>
      <c r="AJ91">
        <v>1</v>
      </c>
    </row>
    <row r="92" spans="1:36" x14ac:dyDescent="0.2">
      <c r="A92">
        <v>91</v>
      </c>
      <c r="B92">
        <v>744</v>
      </c>
      <c r="C92">
        <v>175</v>
      </c>
      <c r="D92">
        <v>0.40098363073293403</v>
      </c>
      <c r="E92">
        <v>10.449311242680499</v>
      </c>
      <c r="F92">
        <v>0.42463816111535202</v>
      </c>
      <c r="G92">
        <v>-227.3598007006452</v>
      </c>
      <c r="H92">
        <v>-132.55366171187367</v>
      </c>
      <c r="I92">
        <v>93.213507079905398</v>
      </c>
      <c r="J92">
        <v>42.269769641665498</v>
      </c>
      <c r="K92">
        <v>24.6075652156049</v>
      </c>
      <c r="L92">
        <v>1.708981391626053E-3</v>
      </c>
      <c r="M92">
        <v>4.2364937618763482E-4</v>
      </c>
      <c r="N92" s="1">
        <v>9.7818283364714394E-6</v>
      </c>
      <c r="O92" s="1">
        <v>1.50985657451678E-5</v>
      </c>
      <c r="P92" s="1">
        <v>-3.3270753176983602E-5</v>
      </c>
      <c r="AE92">
        <v>100</v>
      </c>
      <c r="AJ92">
        <v>1</v>
      </c>
    </row>
    <row r="93" spans="1:36" x14ac:dyDescent="0.2">
      <c r="A93">
        <v>92</v>
      </c>
      <c r="B93">
        <v>742</v>
      </c>
      <c r="C93">
        <v>175</v>
      </c>
      <c r="D93">
        <v>0.39966556666502401</v>
      </c>
      <c r="E93">
        <v>10.4934511806398</v>
      </c>
      <c r="F93">
        <v>0.42609418770082702</v>
      </c>
      <c r="G93">
        <v>-228.13308209564875</v>
      </c>
      <c r="H93">
        <v>-133.19856725874143</v>
      </c>
      <c r="I93">
        <v>93.523636737471904</v>
      </c>
      <c r="J93">
        <v>42.524592663769901</v>
      </c>
      <c r="K93">
        <v>24.627069515455599</v>
      </c>
      <c r="L93">
        <v>1.7140126077083017E-3</v>
      </c>
      <c r="M93">
        <v>4.2238494417303374E-4</v>
      </c>
      <c r="N93" s="1">
        <v>1.05862079722166E-5</v>
      </c>
      <c r="O93" s="1">
        <v>1.50797888199269E-5</v>
      </c>
      <c r="P93" s="1">
        <v>-3.3501925948717498E-5</v>
      </c>
      <c r="AE93">
        <v>100</v>
      </c>
      <c r="AJ93">
        <v>1</v>
      </c>
    </row>
    <row r="94" spans="1:36" x14ac:dyDescent="0.2">
      <c r="A94">
        <v>93</v>
      </c>
      <c r="B94">
        <v>776</v>
      </c>
      <c r="C94">
        <v>150</v>
      </c>
      <c r="D94">
        <v>0.447600915026452</v>
      </c>
      <c r="E94">
        <v>6.2964255424740703</v>
      </c>
      <c r="F94">
        <v>0.35500396313718702</v>
      </c>
      <c r="G94">
        <v>-139.22531026274135</v>
      </c>
      <c r="H94">
        <v>-78.748896324324988</v>
      </c>
      <c r="I94">
        <v>57.646682685751799</v>
      </c>
      <c r="J94">
        <v>24.6135964632822</v>
      </c>
      <c r="K94">
        <v>17.7362119758671</v>
      </c>
      <c r="L94">
        <v>1.7449668098908988E-3</v>
      </c>
      <c r="M94">
        <v>5.7201298255247102E-4</v>
      </c>
      <c r="N94" s="1">
        <v>-1.0961177450042E-5</v>
      </c>
      <c r="O94" s="1">
        <v>1.6811491449313701E-5</v>
      </c>
      <c r="P94" s="1">
        <v>-2.5398240574037701E-5</v>
      </c>
      <c r="AE94">
        <v>100</v>
      </c>
      <c r="AJ94">
        <v>1</v>
      </c>
    </row>
    <row r="95" spans="1:36" x14ac:dyDescent="0.2">
      <c r="A95">
        <v>94</v>
      </c>
      <c r="B95">
        <v>774</v>
      </c>
      <c r="C95">
        <v>150</v>
      </c>
      <c r="D95">
        <v>0.44641216635630598</v>
      </c>
      <c r="E95">
        <v>6.3298900740836102</v>
      </c>
      <c r="F95">
        <v>0.35624768027248299</v>
      </c>
      <c r="G95">
        <v>-139.8494124374682</v>
      </c>
      <c r="H95">
        <v>-79.216976660493316</v>
      </c>
      <c r="I95">
        <v>57.905799674139402</v>
      </c>
      <c r="J95">
        <v>24.797731791955101</v>
      </c>
      <c r="K95">
        <v>17.7682281867549</v>
      </c>
      <c r="L95">
        <v>1.7523037160198554E-3</v>
      </c>
      <c r="M95">
        <v>5.7113666056184315E-4</v>
      </c>
      <c r="N95" s="1">
        <v>-1.07201299485514E-5</v>
      </c>
      <c r="O95" s="1">
        <v>1.6842470061081699E-5</v>
      </c>
      <c r="P95" s="1">
        <v>-2.56448539134178E-5</v>
      </c>
      <c r="AE95">
        <v>100</v>
      </c>
      <c r="AJ95">
        <v>1</v>
      </c>
    </row>
    <row r="96" spans="1:36" x14ac:dyDescent="0.2">
      <c r="A96">
        <v>95</v>
      </c>
      <c r="B96">
        <v>772</v>
      </c>
      <c r="C96">
        <v>150</v>
      </c>
      <c r="D96">
        <v>0.44521886810505501</v>
      </c>
      <c r="E96">
        <v>6.3739157944656997</v>
      </c>
      <c r="F96">
        <v>0.35750100822311298</v>
      </c>
      <c r="G96">
        <v>-140.7055252570305</v>
      </c>
      <c r="H96">
        <v>-79.817941839146187</v>
      </c>
      <c r="I96">
        <v>58.260757751428201</v>
      </c>
      <c r="J96">
        <v>25.024254348782598</v>
      </c>
      <c r="K96">
        <v>17.829084807749101</v>
      </c>
      <c r="L96">
        <v>1.7596620566039769E-3</v>
      </c>
      <c r="M96">
        <v>5.7024290048188772E-4</v>
      </c>
      <c r="N96" s="1">
        <v>-1.04824373979013E-5</v>
      </c>
      <c r="O96" s="1">
        <v>1.6900372677633498E-5</v>
      </c>
      <c r="P96" s="1">
        <v>-2.59364813394221E-5</v>
      </c>
      <c r="AE96">
        <v>100</v>
      </c>
      <c r="AJ96">
        <v>1</v>
      </c>
    </row>
    <row r="97" spans="1:36" x14ac:dyDescent="0.2">
      <c r="A97">
        <v>96</v>
      </c>
      <c r="B97">
        <v>770</v>
      </c>
      <c r="C97">
        <v>150</v>
      </c>
      <c r="D97">
        <v>0.44402099410439499</v>
      </c>
      <c r="E97">
        <v>6.4180049429017201</v>
      </c>
      <c r="F97">
        <v>0.35876403269776902</v>
      </c>
      <c r="G97">
        <v>-141.56152321127072</v>
      </c>
      <c r="H97">
        <v>-80.420501644235884</v>
      </c>
      <c r="I97">
        <v>58.615438185854202</v>
      </c>
      <c r="J97">
        <v>25.2521322256963</v>
      </c>
      <c r="K97">
        <v>17.889209502526601</v>
      </c>
      <c r="L97">
        <v>1.7670407512394338E-3</v>
      </c>
      <c r="M97">
        <v>5.6933137529686646E-4</v>
      </c>
      <c r="N97" s="1">
        <v>-1.0229348468557E-5</v>
      </c>
      <c r="O97" s="1">
        <v>1.6957147441876701E-5</v>
      </c>
      <c r="P97" s="1">
        <v>-2.6230779624971699E-5</v>
      </c>
      <c r="AE97">
        <v>100</v>
      </c>
      <c r="AJ97">
        <v>1</v>
      </c>
    </row>
    <row r="98" spans="1:36" x14ac:dyDescent="0.2">
      <c r="A98">
        <v>97</v>
      </c>
      <c r="B98">
        <v>768</v>
      </c>
      <c r="C98">
        <v>150</v>
      </c>
      <c r="D98">
        <v>0.442818517984921</v>
      </c>
      <c r="E98">
        <v>6.5783063380710898</v>
      </c>
      <c r="F98">
        <v>0.36003683949936299</v>
      </c>
      <c r="G98">
        <v>-144.97717155933645</v>
      </c>
      <c r="H98">
        <v>-82.480972705910247</v>
      </c>
      <c r="I98">
        <v>60.0297395805283</v>
      </c>
      <c r="J98">
        <v>25.939364590985502</v>
      </c>
      <c r="K98">
        <v>18.2712034335661</v>
      </c>
      <c r="L98">
        <v>1.774438670789342E-3</v>
      </c>
      <c r="M98">
        <v>5.6840175416322618E-4</v>
      </c>
      <c r="N98" s="1">
        <v>-1.01394035070236E-5</v>
      </c>
      <c r="O98" s="1">
        <v>1.7318553262775599E-5</v>
      </c>
      <c r="P98" s="1">
        <v>-2.7004550255078299E-5</v>
      </c>
      <c r="AE98">
        <v>100</v>
      </c>
      <c r="AJ98">
        <v>1</v>
      </c>
    </row>
    <row r="99" spans="1:36" x14ac:dyDescent="0.2">
      <c r="A99">
        <v>98</v>
      </c>
      <c r="B99">
        <v>766</v>
      </c>
      <c r="C99">
        <v>150</v>
      </c>
      <c r="D99">
        <v>0.44161141317423203</v>
      </c>
      <c r="E99">
        <v>6.7572763716455801</v>
      </c>
      <c r="F99">
        <v>0.36131951448594002</v>
      </c>
      <c r="G99">
        <v>-148.79815982794409</v>
      </c>
      <c r="H99">
        <v>-84.778306471984308</v>
      </c>
      <c r="I99">
        <v>61.6116251594514</v>
      </c>
      <c r="J99">
        <v>26.703494366075599</v>
      </c>
      <c r="K99">
        <v>18.701664595280299</v>
      </c>
      <c r="L99">
        <v>1.7818546362032702E-3</v>
      </c>
      <c r="M99">
        <v>5.6745370252813743E-4</v>
      </c>
      <c r="N99" s="1">
        <v>-1.0048130655112E-5</v>
      </c>
      <c r="O99" s="1">
        <v>1.7725376125728501E-5</v>
      </c>
      <c r="P99" s="1">
        <v>-2.7861920632053901E-5</v>
      </c>
      <c r="AE99">
        <v>100</v>
      </c>
      <c r="AJ99">
        <v>1</v>
      </c>
    </row>
    <row r="100" spans="1:36" x14ac:dyDescent="0.2">
      <c r="A100">
        <v>99</v>
      </c>
      <c r="B100">
        <v>764</v>
      </c>
      <c r="C100">
        <v>150</v>
      </c>
      <c r="D100">
        <v>0.44039965289495597</v>
      </c>
      <c r="E100">
        <v>6.9442108185095703</v>
      </c>
      <c r="F100">
        <v>0.36261214352975601</v>
      </c>
      <c r="G100">
        <v>-152.78795828798519</v>
      </c>
      <c r="H100">
        <v>-87.178572810243352</v>
      </c>
      <c r="I100">
        <v>63.263133955161301</v>
      </c>
      <c r="J100">
        <v>27.5026357658476</v>
      </c>
      <c r="K100">
        <v>19.15051920466</v>
      </c>
      <c r="L100">
        <v>1.7892874173430714E-3</v>
      </c>
      <c r="M100">
        <v>5.6648688226013013E-4</v>
      </c>
      <c r="N100" s="1">
        <v>-9.93593117194229E-6</v>
      </c>
      <c r="O100" s="1">
        <v>1.81490515902353E-5</v>
      </c>
      <c r="P100" s="1">
        <v>-2.8759616456607702E-5</v>
      </c>
      <c r="AE100">
        <v>100</v>
      </c>
      <c r="AJ100">
        <v>1</v>
      </c>
    </row>
    <row r="101" spans="1:36" x14ac:dyDescent="0.2">
      <c r="A101">
        <v>100</v>
      </c>
      <c r="B101">
        <v>762</v>
      </c>
      <c r="C101">
        <v>150</v>
      </c>
      <c r="D101">
        <v>0.439183210162781</v>
      </c>
      <c r="E101">
        <v>8.9692464617775691</v>
      </c>
      <c r="F101">
        <v>0.363914812474528</v>
      </c>
      <c r="G101">
        <v>-197.17985543968442</v>
      </c>
      <c r="H101">
        <v>-112.67227142329152</v>
      </c>
      <c r="I101">
        <v>81.642966497602401</v>
      </c>
      <c r="J101">
        <v>35.6013199512591</v>
      </c>
      <c r="K101">
        <v>24.646555057182098</v>
      </c>
      <c r="L101">
        <v>1.7967357318186277E-3</v>
      </c>
      <c r="M101">
        <v>5.6550095179265546E-4</v>
      </c>
      <c r="N101" s="1">
        <v>-1.23124553031933E-5</v>
      </c>
      <c r="O101" s="1">
        <v>2.33547242449904E-5</v>
      </c>
      <c r="P101" s="1">
        <v>-3.7311332584975797E-5</v>
      </c>
      <c r="AE101">
        <v>100</v>
      </c>
      <c r="AJ101">
        <v>1</v>
      </c>
    </row>
    <row r="102" spans="1:36" x14ac:dyDescent="0.2">
      <c r="A102">
        <v>101</v>
      </c>
      <c r="B102">
        <v>760</v>
      </c>
      <c r="C102">
        <v>150</v>
      </c>
      <c r="D102">
        <v>0.43796205778444602</v>
      </c>
      <c r="E102">
        <v>9.8023721190556596</v>
      </c>
      <c r="F102">
        <v>0.365227607090785</v>
      </c>
      <c r="G102">
        <v>-215.31690664784207</v>
      </c>
      <c r="H102">
        <v>-123.21595407598468</v>
      </c>
      <c r="I102">
        <v>89.151199817179005</v>
      </c>
      <c r="J102">
        <v>38.994525938712897</v>
      </c>
      <c r="K102">
        <v>26.8390776840127</v>
      </c>
      <c r="L102">
        <v>1.804198243836138E-3</v>
      </c>
      <c r="M102">
        <v>5.6449556628087628E-4</v>
      </c>
      <c r="N102" s="1">
        <v>-1.2867852731432501E-5</v>
      </c>
      <c r="O102" s="1">
        <v>2.5428320689886499E-5</v>
      </c>
      <c r="P102" s="1">
        <v>-4.0958480189807598E-5</v>
      </c>
      <c r="AE102">
        <v>100</v>
      </c>
      <c r="AJ102">
        <v>1</v>
      </c>
    </row>
    <row r="103" spans="1:36" x14ac:dyDescent="0.2">
      <c r="A103">
        <v>102</v>
      </c>
      <c r="B103">
        <v>758</v>
      </c>
      <c r="C103">
        <v>150</v>
      </c>
      <c r="D103">
        <v>0.43673616835572199</v>
      </c>
      <c r="E103">
        <v>10.1027350332184</v>
      </c>
      <c r="F103">
        <v>0.36655061302928899</v>
      </c>
      <c r="G103">
        <v>-221.73092914835641</v>
      </c>
      <c r="H103">
        <v>-127.07198825951907</v>
      </c>
      <c r="I103">
        <v>91.804996648598404</v>
      </c>
      <c r="J103">
        <v>40.278863691284201</v>
      </c>
      <c r="K103">
        <v>27.561637258566499</v>
      </c>
      <c r="L103">
        <v>1.811673563062476E-3</v>
      </c>
      <c r="M103">
        <v>5.6347037777246917E-4</v>
      </c>
      <c r="N103" s="1">
        <v>-1.26359540985428E-5</v>
      </c>
      <c r="O103" s="1">
        <v>2.6107938777878699E-5</v>
      </c>
      <c r="P103" s="1">
        <v>-4.2401587664740698E-5</v>
      </c>
      <c r="AE103">
        <v>100</v>
      </c>
      <c r="AJ103">
        <v>1</v>
      </c>
    </row>
    <row r="104" spans="1:36" x14ac:dyDescent="0.2">
      <c r="A104">
        <v>103</v>
      </c>
      <c r="B104">
        <v>756</v>
      </c>
      <c r="C104">
        <v>150</v>
      </c>
      <c r="D104">
        <v>0.43550551425934297</v>
      </c>
      <c r="E104">
        <v>10.2608438590348</v>
      </c>
      <c r="F104">
        <v>0.36788391577249802</v>
      </c>
      <c r="G104">
        <v>-225.01463658092831</v>
      </c>
      <c r="H104">
        <v>-129.14258750670044</v>
      </c>
      <c r="I104">
        <v>93.162241616063696</v>
      </c>
      <c r="J104">
        <v>41.0006227977793</v>
      </c>
      <c r="K104">
        <v>27.891526155713098</v>
      </c>
      <c r="L104">
        <v>1.8191602435088765E-3</v>
      </c>
      <c r="M104">
        <v>5.6242503539277288E-4</v>
      </c>
      <c r="N104" s="1">
        <v>-1.21771187822553E-5</v>
      </c>
      <c r="O104" s="1">
        <v>2.6414518101479401E-5</v>
      </c>
      <c r="P104" s="1">
        <v>-4.3257239763436802E-5</v>
      </c>
      <c r="AE104">
        <v>100</v>
      </c>
      <c r="AJ104">
        <v>1</v>
      </c>
    </row>
    <row r="105" spans="1:36" x14ac:dyDescent="0.2">
      <c r="A105">
        <v>104</v>
      </c>
      <c r="B105">
        <v>754</v>
      </c>
      <c r="C105">
        <v>150</v>
      </c>
      <c r="D105">
        <v>0.43427006766295001</v>
      </c>
      <c r="E105">
        <v>10.360336616598801</v>
      </c>
      <c r="F105">
        <v>0.36922760058402998</v>
      </c>
      <c r="G105">
        <v>-227.00840719566517</v>
      </c>
      <c r="H105">
        <v>-130.47768860311601</v>
      </c>
      <c r="I105">
        <v>93.984955861713203</v>
      </c>
      <c r="J105">
        <v>41.490968519661699</v>
      </c>
      <c r="K105">
        <v>28.059485802825201</v>
      </c>
      <c r="L105">
        <v>1.8266567824380484E-3</v>
      </c>
      <c r="M105">
        <v>5.6135918554508959E-4</v>
      </c>
      <c r="N105" s="1">
        <v>-1.1611055281171199E-5</v>
      </c>
      <c r="O105" s="1">
        <v>2.65667089719693E-5</v>
      </c>
      <c r="P105" s="1">
        <v>-4.3871612312444198E-5</v>
      </c>
      <c r="AE105">
        <v>100</v>
      </c>
      <c r="AJ105">
        <v>1</v>
      </c>
    </row>
    <row r="106" spans="1:36" x14ac:dyDescent="0.2">
      <c r="A106">
        <v>105</v>
      </c>
      <c r="B106">
        <v>752</v>
      </c>
      <c r="C106">
        <v>150</v>
      </c>
      <c r="D106">
        <v>0.43302980051699702</v>
      </c>
      <c r="E106">
        <v>10.431722046190799</v>
      </c>
      <c r="F106">
        <v>0.37058175245608199</v>
      </c>
      <c r="G106">
        <v>-228.38337089289669</v>
      </c>
      <c r="H106">
        <v>-131.46036156551637</v>
      </c>
      <c r="I106">
        <v>94.551020825553493</v>
      </c>
      <c r="J106">
        <v>41.870785493062201</v>
      </c>
      <c r="K106">
        <v>28.149583666905201</v>
      </c>
      <c r="L106">
        <v>1.8341616192980006E-3</v>
      </c>
      <c r="M106">
        <v>5.6027247212644591E-4</v>
      </c>
      <c r="N106" s="1">
        <v>-1.09804951290695E-5</v>
      </c>
      <c r="O106" s="1">
        <v>2.6644150428010402E-5</v>
      </c>
      <c r="P106" s="1">
        <v>-4.4371133339987502E-5</v>
      </c>
      <c r="AE106">
        <v>100</v>
      </c>
      <c r="AJ106">
        <v>1</v>
      </c>
    </row>
    <row r="107" spans="1:36" x14ac:dyDescent="0.2">
      <c r="A107">
        <v>106</v>
      </c>
      <c r="B107">
        <v>750</v>
      </c>
      <c r="C107">
        <v>150</v>
      </c>
      <c r="D107">
        <v>0.43178468455260599</v>
      </c>
      <c r="E107">
        <v>10.484101015285701</v>
      </c>
      <c r="F107">
        <v>0.37194645605480398</v>
      </c>
      <c r="G107">
        <v>-229.3401427654621</v>
      </c>
      <c r="H107">
        <v>-132.20469719832835</v>
      </c>
      <c r="I107">
        <v>94.943503116387802</v>
      </c>
      <c r="J107">
        <v>42.175924495222503</v>
      </c>
      <c r="K107">
        <v>28.187124368624101</v>
      </c>
      <c r="L107">
        <v>1.8416731346872896E-3</v>
      </c>
      <c r="M107">
        <v>5.5916453675955837E-4</v>
      </c>
      <c r="N107" s="1">
        <v>-1.0299294358015201E-5</v>
      </c>
      <c r="O107" s="1">
        <v>2.6670805869514E-5</v>
      </c>
      <c r="P107" s="1">
        <v>-4.4793046241477E-5</v>
      </c>
      <c r="AE107">
        <v>100</v>
      </c>
      <c r="AJ107">
        <v>1</v>
      </c>
    </row>
    <row r="108" spans="1:36" x14ac:dyDescent="0.2">
      <c r="A108">
        <v>107</v>
      </c>
      <c r="B108">
        <v>748</v>
      </c>
      <c r="C108">
        <v>150</v>
      </c>
      <c r="D108">
        <v>0.43053469127944</v>
      </c>
      <c r="E108">
        <v>10.524721578668</v>
      </c>
      <c r="F108">
        <v>0.373321795663561</v>
      </c>
      <c r="G108">
        <v>-230.03817942450752</v>
      </c>
      <c r="H108">
        <v>-132.80169755632451</v>
      </c>
      <c r="I108">
        <v>95.228423601000998</v>
      </c>
      <c r="J108">
        <v>42.435088204086298</v>
      </c>
      <c r="K108">
        <v>28.192089775955399</v>
      </c>
      <c r="L108">
        <v>1.8491896493556148E-3</v>
      </c>
      <c r="M108">
        <v>5.58035019041471E-4</v>
      </c>
      <c r="N108" s="1">
        <v>-9.5773417992573103E-6</v>
      </c>
      <c r="O108" s="1">
        <v>2.66655839549258E-5</v>
      </c>
      <c r="P108" s="1">
        <v>-4.5167317297505303E-5</v>
      </c>
      <c r="AE108">
        <v>100</v>
      </c>
      <c r="AJ108">
        <v>1</v>
      </c>
    </row>
    <row r="109" spans="1:36" x14ac:dyDescent="0.2">
      <c r="A109">
        <v>108</v>
      </c>
      <c r="B109">
        <v>790</v>
      </c>
      <c r="C109">
        <v>125</v>
      </c>
      <c r="D109">
        <v>0.48166345294643498</v>
      </c>
      <c r="E109">
        <v>6.7532647531932897</v>
      </c>
      <c r="F109">
        <v>0.29352141477889798</v>
      </c>
      <c r="G109">
        <v>-150.72283183795165</v>
      </c>
      <c r="H109">
        <v>-83.649470750967311</v>
      </c>
      <c r="I109">
        <v>63.0929085451479</v>
      </c>
      <c r="J109">
        <v>25.434557728793202</v>
      </c>
      <c r="K109">
        <v>23.007741218065199</v>
      </c>
      <c r="L109">
        <v>1.7665604202865043E-3</v>
      </c>
      <c r="M109">
        <v>7.6230257397057058E-4</v>
      </c>
      <c r="N109" s="1">
        <v>-3.0822534044835397E-5</v>
      </c>
      <c r="O109" s="1">
        <v>3.3657242324102502E-5</v>
      </c>
      <c r="P109" s="1">
        <v>-3.5035691270953198E-5</v>
      </c>
      <c r="AE109">
        <v>100</v>
      </c>
      <c r="AJ109">
        <v>1</v>
      </c>
    </row>
    <row r="110" spans="1:36" x14ac:dyDescent="0.2">
      <c r="A110">
        <v>109</v>
      </c>
      <c r="B110">
        <v>788</v>
      </c>
      <c r="C110">
        <v>125</v>
      </c>
      <c r="D110">
        <v>0.48055458700466802</v>
      </c>
      <c r="E110">
        <v>6.7608916389213096</v>
      </c>
      <c r="F110">
        <v>0.29456293014801499</v>
      </c>
      <c r="G110">
        <v>-150.76677223364305</v>
      </c>
      <c r="H110">
        <v>-83.794927194500303</v>
      </c>
      <c r="I110">
        <v>63.1161608033782</v>
      </c>
      <c r="J110">
        <v>25.522669782633599</v>
      </c>
      <c r="K110">
        <v>22.952282676995399</v>
      </c>
      <c r="L110">
        <v>1.7755161207574587E-3</v>
      </c>
      <c r="M110">
        <v>7.6194404098586788E-4</v>
      </c>
      <c r="N110" s="1">
        <v>-3.0821749588154902E-5</v>
      </c>
      <c r="O110" s="1">
        <v>3.3614718617711101E-5</v>
      </c>
      <c r="P110" s="1">
        <v>-3.5238210864868701E-5</v>
      </c>
      <c r="AE110">
        <v>100</v>
      </c>
      <c r="AJ110">
        <v>1</v>
      </c>
    </row>
    <row r="111" spans="1:36" x14ac:dyDescent="0.2">
      <c r="A111">
        <v>110</v>
      </c>
      <c r="B111">
        <v>786</v>
      </c>
      <c r="C111">
        <v>125</v>
      </c>
      <c r="D111">
        <v>0.47944153330501299</v>
      </c>
      <c r="E111">
        <v>6.7974953669303702</v>
      </c>
      <c r="F111">
        <v>0.295613456641098</v>
      </c>
      <c r="G111">
        <v>-151.45616203577538</v>
      </c>
      <c r="H111">
        <v>-84.29997810569246</v>
      </c>
      <c r="I111">
        <v>63.409407425148302</v>
      </c>
      <c r="J111">
        <v>25.7212014476899</v>
      </c>
      <c r="K111">
        <v>22.994539707923799</v>
      </c>
      <c r="L111">
        <v>1.7845417502645997E-3</v>
      </c>
      <c r="M111">
        <v>7.6157270578989546E-4</v>
      </c>
      <c r="N111" s="1">
        <v>-3.0944498579701898E-5</v>
      </c>
      <c r="O111" s="1">
        <v>3.3715360073426301E-5</v>
      </c>
      <c r="P111" s="1">
        <v>-3.5595229033259203E-5</v>
      </c>
      <c r="AE111">
        <v>100</v>
      </c>
      <c r="AJ111">
        <v>1</v>
      </c>
    </row>
    <row r="112" spans="1:36" x14ac:dyDescent="0.2">
      <c r="A112">
        <v>111</v>
      </c>
      <c r="B112">
        <v>784</v>
      </c>
      <c r="C112">
        <v>125</v>
      </c>
      <c r="D112">
        <v>0.47832426807926898</v>
      </c>
      <c r="E112">
        <v>6.8341463355717202</v>
      </c>
      <c r="F112">
        <v>0.29667310577810901</v>
      </c>
      <c r="G112">
        <v>-152.14533486427936</v>
      </c>
      <c r="H112">
        <v>-84.806290608425229</v>
      </c>
      <c r="I112">
        <v>63.702365013528798</v>
      </c>
      <c r="J112">
        <v>25.921212550457401</v>
      </c>
      <c r="K112">
        <v>23.035948329887301</v>
      </c>
      <c r="L112">
        <v>1.7936374498817901E-3</v>
      </c>
      <c r="M112">
        <v>7.611882076465267E-4</v>
      </c>
      <c r="N112" s="1">
        <v>-3.1058261386289403E-5</v>
      </c>
      <c r="O112" s="1">
        <v>3.38149668603067E-5</v>
      </c>
      <c r="P112" s="1">
        <v>-3.5956739095017297E-5</v>
      </c>
      <c r="AE112">
        <v>100</v>
      </c>
      <c r="AJ112">
        <v>1</v>
      </c>
    </row>
    <row r="113" spans="1:36" x14ac:dyDescent="0.2">
      <c r="A113">
        <v>112</v>
      </c>
      <c r="B113">
        <v>782</v>
      </c>
      <c r="C113">
        <v>125</v>
      </c>
      <c r="D113">
        <v>0.47720276737904699</v>
      </c>
      <c r="E113">
        <v>6.8708068006037504</v>
      </c>
      <c r="F113">
        <v>0.29774199049387401</v>
      </c>
      <c r="G113">
        <v>-152.83345048778975</v>
      </c>
      <c r="H113">
        <v>-85.31340038897298</v>
      </c>
      <c r="I113">
        <v>63.994675635107697</v>
      </c>
      <c r="J113">
        <v>26.122575847520501</v>
      </c>
      <c r="K113">
        <v>23.0763782737091</v>
      </c>
      <c r="L113">
        <v>1.8028033312655959E-3</v>
      </c>
      <c r="M113">
        <v>7.6079017585822524E-4</v>
      </c>
      <c r="N113" s="1">
        <v>-3.1162365288721699E-5</v>
      </c>
      <c r="O113" s="1">
        <v>3.3913332866376598E-5</v>
      </c>
      <c r="P113" s="1">
        <v>-3.6322621409762902E-5</v>
      </c>
      <c r="AE113">
        <v>100</v>
      </c>
      <c r="AJ113">
        <v>1</v>
      </c>
    </row>
    <row r="114" spans="1:36" x14ac:dyDescent="0.2">
      <c r="A114">
        <v>113</v>
      </c>
      <c r="B114">
        <v>780</v>
      </c>
      <c r="C114">
        <v>125</v>
      </c>
      <c r="D114">
        <v>0.47607700707401701</v>
      </c>
      <c r="E114">
        <v>6.9074398765096001</v>
      </c>
      <c r="F114">
        <v>0.29882022514210899</v>
      </c>
      <c r="G114">
        <v>-153.51969058875733</v>
      </c>
      <c r="H114">
        <v>-85.82085269544794</v>
      </c>
      <c r="I114">
        <v>64.285990366587896</v>
      </c>
      <c r="J114">
        <v>26.325165972488499</v>
      </c>
      <c r="K114">
        <v>23.115704009742402</v>
      </c>
      <c r="L114">
        <v>1.8120394749271233E-3</v>
      </c>
      <c r="M114">
        <v>7.6037822952778461E-4</v>
      </c>
      <c r="N114" s="1">
        <v>-3.1256123123550099E-5</v>
      </c>
      <c r="O114" s="1">
        <v>3.4010257303608102E-5</v>
      </c>
      <c r="P114" s="1">
        <v>-3.6692757843043203E-5</v>
      </c>
      <c r="AE114">
        <v>100</v>
      </c>
      <c r="AJ114">
        <v>1</v>
      </c>
    </row>
    <row r="115" spans="1:36" x14ac:dyDescent="0.2">
      <c r="A115">
        <v>114</v>
      </c>
      <c r="B115">
        <v>778</v>
      </c>
      <c r="C115">
        <v>125</v>
      </c>
      <c r="D115">
        <v>0.47494696285021398</v>
      </c>
      <c r="E115">
        <v>6.9815785207911798</v>
      </c>
      <c r="F115">
        <v>0.29990792549838502</v>
      </c>
      <c r="G115">
        <v>-155.03754033830484</v>
      </c>
      <c r="H115">
        <v>-86.795261468588265</v>
      </c>
      <c r="I115">
        <v>64.925342869870306</v>
      </c>
      <c r="J115">
        <v>26.672387785062</v>
      </c>
      <c r="K115">
        <v>23.2790730994829</v>
      </c>
      <c r="L115">
        <v>1.8213459284321188E-3</v>
      </c>
      <c r="M115">
        <v>7.599519773183735E-4</v>
      </c>
      <c r="N115" s="1">
        <v>-3.1508384800635797E-5</v>
      </c>
      <c r="O115" s="1">
        <v>3.4290064939196102E-5</v>
      </c>
      <c r="P115" s="1">
        <v>-3.7267574417856997E-5</v>
      </c>
      <c r="AE115">
        <v>100</v>
      </c>
      <c r="AJ115">
        <v>1</v>
      </c>
    </row>
    <row r="116" spans="1:36" x14ac:dyDescent="0.2">
      <c r="A116">
        <v>115</v>
      </c>
      <c r="B116">
        <v>776</v>
      </c>
      <c r="C116">
        <v>125</v>
      </c>
      <c r="D116">
        <v>0.47381261020826598</v>
      </c>
      <c r="E116">
        <v>7.1366225308141997</v>
      </c>
      <c r="F116">
        <v>0.30100520876195502</v>
      </c>
      <c r="G116">
        <v>-158.34786754600961</v>
      </c>
      <c r="H116">
        <v>-88.777370879895173</v>
      </c>
      <c r="I116">
        <v>66.315189133837194</v>
      </c>
      <c r="J116">
        <v>27.3315199404067</v>
      </c>
      <c r="K116">
        <v>23.709299118667602</v>
      </c>
      <c r="L116">
        <v>1.8307227045269469E-3</v>
      </c>
      <c r="M116">
        <v>7.5951101721206851E-4</v>
      </c>
      <c r="N116" s="1">
        <v>-3.21123643769183E-5</v>
      </c>
      <c r="O116" s="1">
        <v>3.4963980290213598E-5</v>
      </c>
      <c r="P116" s="1">
        <v>-3.8282918138785598E-5</v>
      </c>
      <c r="AE116">
        <v>100</v>
      </c>
      <c r="AJ116">
        <v>1</v>
      </c>
    </row>
    <row r="117" spans="1:36" x14ac:dyDescent="0.2">
      <c r="A117">
        <v>116</v>
      </c>
      <c r="B117">
        <v>774</v>
      </c>
      <c r="C117">
        <v>125</v>
      </c>
      <c r="D117">
        <v>0.47267392446163797</v>
      </c>
      <c r="E117">
        <v>7.2964567414306902</v>
      </c>
      <c r="F117">
        <v>0.30211219355637597</v>
      </c>
      <c r="G117">
        <v>-161.75873244815514</v>
      </c>
      <c r="H117">
        <v>-90.821615075527063</v>
      </c>
      <c r="I117">
        <v>67.747020821495695</v>
      </c>
      <c r="J117">
        <v>28.012661591099398</v>
      </c>
      <c r="K117">
        <v>24.151480466706499</v>
      </c>
      <c r="L117">
        <v>1.8401697791886687E-3</v>
      </c>
      <c r="M117">
        <v>7.5905493626736149E-4</v>
      </c>
      <c r="N117" s="1">
        <v>-3.2722318123451101E-5</v>
      </c>
      <c r="O117" s="1">
        <v>3.5657012979868198E-5</v>
      </c>
      <c r="P117" s="1">
        <v>-3.9335053729243103E-5</v>
      </c>
      <c r="AE117">
        <v>100</v>
      </c>
      <c r="AJ117">
        <v>1</v>
      </c>
    </row>
    <row r="118" spans="1:36" x14ac:dyDescent="0.2">
      <c r="A118">
        <v>117</v>
      </c>
      <c r="B118">
        <v>772</v>
      </c>
      <c r="C118">
        <v>125</v>
      </c>
      <c r="D118">
        <v>0.47153088073482102</v>
      </c>
      <c r="E118">
        <v>7.4668950558305198</v>
      </c>
      <c r="F118">
        <v>0.30322899992881802</v>
      </c>
      <c r="G118">
        <v>-165.39865891299175</v>
      </c>
      <c r="H118">
        <v>-93.000527192984848</v>
      </c>
      <c r="I118">
        <v>69.274654103121705</v>
      </c>
      <c r="J118">
        <v>28.738376212532899</v>
      </c>
      <c r="K118">
        <v>24.6246073349954</v>
      </c>
      <c r="L118">
        <v>1.84968708959735E-3</v>
      </c>
      <c r="M118">
        <v>7.5858331037610021E-4</v>
      </c>
      <c r="N118" s="1">
        <v>-3.3362803955956499E-5</v>
      </c>
      <c r="O118" s="1">
        <v>3.6397277941543699E-5</v>
      </c>
      <c r="P118" s="1">
        <v>-4.0456088561951101E-5</v>
      </c>
      <c r="AE118">
        <v>100</v>
      </c>
      <c r="AJ118">
        <v>1</v>
      </c>
    </row>
    <row r="119" spans="1:36" x14ac:dyDescent="0.2">
      <c r="A119">
        <v>118</v>
      </c>
      <c r="B119">
        <v>770</v>
      </c>
      <c r="C119">
        <v>125</v>
      </c>
      <c r="D119">
        <v>0.47038345396155901</v>
      </c>
      <c r="E119">
        <v>9.2504399800236694</v>
      </c>
      <c r="F119">
        <v>0.30435574934801402</v>
      </c>
      <c r="G119">
        <v>-204.73426009433058</v>
      </c>
      <c r="H119">
        <v>-115.28595749573287</v>
      </c>
      <c r="I119">
        <v>85.753339661981798</v>
      </c>
      <c r="J119">
        <v>35.692164139819397</v>
      </c>
      <c r="K119">
        <v>30.393511539833899</v>
      </c>
      <c r="L119">
        <v>1.8592745320286448E-3</v>
      </c>
      <c r="M119">
        <v>7.5809570402031587E-4</v>
      </c>
      <c r="N119" s="1">
        <v>-4.1162838947501303E-5</v>
      </c>
      <c r="O119" s="1">
        <v>4.49757077679683E-5</v>
      </c>
      <c r="P119" s="1">
        <v>-5.0373609286138097E-5</v>
      </c>
      <c r="AE119">
        <v>100</v>
      </c>
      <c r="AJ119">
        <v>1</v>
      </c>
    </row>
    <row r="120" spans="1:36" x14ac:dyDescent="0.2">
      <c r="A120">
        <v>119</v>
      </c>
      <c r="B120">
        <v>768</v>
      </c>
      <c r="C120">
        <v>125</v>
      </c>
      <c r="D120">
        <v>0.46923161888296799</v>
      </c>
      <c r="E120">
        <v>9.9075685339811699</v>
      </c>
      <c r="F120">
        <v>0.30549256470070202</v>
      </c>
      <c r="G120">
        <v>-219.09446278554267</v>
      </c>
      <c r="H120">
        <v>-123.55214077924889</v>
      </c>
      <c r="I120">
        <v>91.771590765406799</v>
      </c>
      <c r="J120">
        <v>38.324312501061002</v>
      </c>
      <c r="K120">
        <v>32.431455553387401</v>
      </c>
      <c r="L120">
        <v>1.868931959664542E-3</v>
      </c>
      <c r="M120">
        <v>7.5759167002939119E-4</v>
      </c>
      <c r="N120" s="1">
        <v>-4.38886250560743E-5</v>
      </c>
      <c r="O120" s="1">
        <v>4.8046310635000897E-5</v>
      </c>
      <c r="P120" s="1">
        <v>-5.4228221641532001E-5</v>
      </c>
      <c r="AE120">
        <v>100</v>
      </c>
      <c r="AJ120">
        <v>1</v>
      </c>
    </row>
    <row r="121" spans="1:36" x14ac:dyDescent="0.2">
      <c r="A121">
        <v>120</v>
      </c>
      <c r="B121">
        <v>766</v>
      </c>
      <c r="C121">
        <v>125</v>
      </c>
      <c r="D121">
        <v>0.46807535004571499</v>
      </c>
      <c r="E121">
        <v>10.170750500871</v>
      </c>
      <c r="F121">
        <v>0.306639570286527</v>
      </c>
      <c r="G121">
        <v>-224.72608566365767</v>
      </c>
      <c r="H121">
        <v>-126.91293116039411</v>
      </c>
      <c r="I121">
        <v>94.133642718814201</v>
      </c>
      <c r="J121">
        <v>39.442600959723997</v>
      </c>
      <c r="K121">
        <v>33.168421451176002</v>
      </c>
      <c r="L121">
        <v>1.8786591803212403E-3</v>
      </c>
      <c r="M121">
        <v>7.5707074933837378E-4</v>
      </c>
      <c r="N121" s="1">
        <v>-4.4832439552489398E-5</v>
      </c>
      <c r="O121" s="1">
        <v>4.9194166959221097E-5</v>
      </c>
      <c r="P121" s="1">
        <v>-5.5956385915781703E-5</v>
      </c>
      <c r="AE121">
        <v>100</v>
      </c>
      <c r="AJ121">
        <v>1</v>
      </c>
    </row>
    <row r="122" spans="1:36" x14ac:dyDescent="0.2">
      <c r="A122">
        <v>121</v>
      </c>
      <c r="B122">
        <v>764</v>
      </c>
      <c r="C122">
        <v>125</v>
      </c>
      <c r="D122">
        <v>0.46691462180012799</v>
      </c>
      <c r="E122">
        <v>10.3135877006809</v>
      </c>
      <c r="F122">
        <v>0.30779689181125802</v>
      </c>
      <c r="G122">
        <v>-227.69128648611337</v>
      </c>
      <c r="H122">
        <v>-128.775381714421</v>
      </c>
      <c r="I122">
        <v>95.378495723763706</v>
      </c>
      <c r="J122">
        <v>40.099227434770199</v>
      </c>
      <c r="K122">
        <v>33.507770789983198</v>
      </c>
      <c r="L122">
        <v>1.8884559540916425E-3</v>
      </c>
      <c r="M122">
        <v>7.5653247074776778E-4</v>
      </c>
      <c r="N122" s="1">
        <v>-4.5217499581257701E-5</v>
      </c>
      <c r="O122" s="1">
        <v>4.9754005075318602E-5</v>
      </c>
      <c r="P122" s="1">
        <v>-5.7038170340529502E-5</v>
      </c>
      <c r="AE122">
        <v>100</v>
      </c>
      <c r="AJ122">
        <v>1</v>
      </c>
    </row>
    <row r="123" spans="1:36" x14ac:dyDescent="0.2">
      <c r="A123">
        <v>122</v>
      </c>
      <c r="B123">
        <v>762</v>
      </c>
      <c r="C123">
        <v>125</v>
      </c>
      <c r="D123">
        <v>0.46574940829831801</v>
      </c>
      <c r="E123">
        <v>10.404600457870201</v>
      </c>
      <c r="F123">
        <v>0.30896465637822101</v>
      </c>
      <c r="G123">
        <v>-229.50819712757129</v>
      </c>
      <c r="H123">
        <v>-129.99277699460748</v>
      </c>
      <c r="I123">
        <v>96.141983562055202</v>
      </c>
      <c r="J123">
        <v>40.557740209243804</v>
      </c>
      <c r="K123">
        <v>33.675697990301401</v>
      </c>
      <c r="L123">
        <v>1.8983219909014539E-3</v>
      </c>
      <c r="M123">
        <v>7.5597635068574542E-4</v>
      </c>
      <c r="N123" s="1">
        <v>-4.5349476874993997E-5</v>
      </c>
      <c r="O123" s="1">
        <v>5.0060026866666903E-5</v>
      </c>
      <c r="P123" s="1">
        <v>-5.7844379216022798E-5</v>
      </c>
      <c r="AE123">
        <v>100</v>
      </c>
      <c r="AJ123">
        <v>1</v>
      </c>
    </row>
    <row r="124" spans="1:36" x14ac:dyDescent="0.2">
      <c r="A124">
        <v>123</v>
      </c>
      <c r="B124">
        <v>760</v>
      </c>
      <c r="C124">
        <v>125</v>
      </c>
      <c r="D124">
        <v>0.464579683492232</v>
      </c>
      <c r="E124">
        <v>10.468423950616501</v>
      </c>
      <c r="F124">
        <v>0.31014299247788002</v>
      </c>
      <c r="G124">
        <v>-230.72265281729329</v>
      </c>
      <c r="H124">
        <v>-130.87189283452722</v>
      </c>
      <c r="I124">
        <v>96.652713214717593</v>
      </c>
      <c r="J124">
        <v>40.912886251696897</v>
      </c>
      <c r="K124">
        <v>33.753540155717602</v>
      </c>
      <c r="L124">
        <v>1.9082569479775763E-3</v>
      </c>
      <c r="M124">
        <v>7.5540189297345207E-4</v>
      </c>
      <c r="N124" s="1">
        <v>-4.5337756767521901E-5</v>
      </c>
      <c r="O124" s="1">
        <v>5.0232381853573402E-5</v>
      </c>
      <c r="P124" s="1">
        <v>-5.85083350323061E-5</v>
      </c>
      <c r="AE124">
        <v>100</v>
      </c>
      <c r="AJ124">
        <v>1</v>
      </c>
    </row>
    <row r="125" spans="1:36" x14ac:dyDescent="0.2">
      <c r="A125">
        <v>124</v>
      </c>
      <c r="B125">
        <v>758</v>
      </c>
      <c r="C125">
        <v>125</v>
      </c>
      <c r="D125">
        <v>0.46340542113174599</v>
      </c>
      <c r="E125">
        <v>10.5160936861169</v>
      </c>
      <c r="F125">
        <v>0.311332029975391</v>
      </c>
      <c r="G125">
        <v>-231.57918136878089</v>
      </c>
      <c r="H125">
        <v>-131.55014620272914</v>
      </c>
      <c r="I125">
        <v>97.013095204985703</v>
      </c>
      <c r="J125">
        <v>41.207101810399998</v>
      </c>
      <c r="K125">
        <v>33.777744252488802</v>
      </c>
      <c r="L125">
        <v>1.9182604272268424E-3</v>
      </c>
      <c r="M125">
        <v>7.5480858859411327E-4</v>
      </c>
      <c r="N125" s="1">
        <v>-4.5230884506910801E-5</v>
      </c>
      <c r="O125" s="1">
        <v>5.0324885653758503E-5</v>
      </c>
      <c r="P125" s="1">
        <v>-5.9089764546660901E-5</v>
      </c>
      <c r="AE125">
        <v>100</v>
      </c>
      <c r="AJ125">
        <v>1</v>
      </c>
    </row>
    <row r="126" spans="1:36" x14ac:dyDescent="0.2">
      <c r="A126">
        <v>125</v>
      </c>
      <c r="B126">
        <v>756</v>
      </c>
      <c r="C126">
        <v>125</v>
      </c>
      <c r="D126">
        <v>0.46222659476266797</v>
      </c>
      <c r="E126">
        <v>10.5547499908779</v>
      </c>
      <c r="F126">
        <v>0.31253190009606002</v>
      </c>
      <c r="G126">
        <v>-232.23578852331141</v>
      </c>
      <c r="H126">
        <v>-132.11654019307213</v>
      </c>
      <c r="I126">
        <v>97.289305160880303</v>
      </c>
      <c r="J126">
        <v>41.4679600537468</v>
      </c>
      <c r="K126">
        <v>33.771752539928798</v>
      </c>
      <c r="L126">
        <v>1.9283319725245753E-3</v>
      </c>
      <c r="M126">
        <v>7.5419591546692399E-4</v>
      </c>
      <c r="N126" s="1">
        <v>-4.5059670770859697E-5</v>
      </c>
      <c r="O126" s="1">
        <v>5.0372200812137099E-5</v>
      </c>
      <c r="P126" s="1">
        <v>-5.96276601299487E-5</v>
      </c>
      <c r="AE126">
        <v>100</v>
      </c>
      <c r="AJ126">
        <v>1</v>
      </c>
    </row>
    <row r="127" spans="1:36" x14ac:dyDescent="0.2">
      <c r="A127">
        <v>126</v>
      </c>
      <c r="B127">
        <v>754</v>
      </c>
      <c r="C127">
        <v>125</v>
      </c>
      <c r="D127">
        <v>0.46104317772477099</v>
      </c>
      <c r="E127">
        <v>10.5852908425317</v>
      </c>
      <c r="F127">
        <v>0.31374273540857101</v>
      </c>
      <c r="G127">
        <v>-232.71271710358877</v>
      </c>
      <c r="H127">
        <v>-132.58211444796558</v>
      </c>
      <c r="I127">
        <v>97.489811818190702</v>
      </c>
      <c r="J127">
        <v>41.6987321870184</v>
      </c>
      <c r="K127">
        <v>33.7387599707993</v>
      </c>
      <c r="L127">
        <v>1.9384710669120265E-3</v>
      </c>
      <c r="M127">
        <v>7.5356333822673759E-4</v>
      </c>
      <c r="N127" s="1">
        <v>-4.4827689575888303E-5</v>
      </c>
      <c r="O127" s="1">
        <v>5.03789122722363E-5</v>
      </c>
      <c r="P127" s="1">
        <v>-6.0126393618483402E-5</v>
      </c>
      <c r="AE127">
        <v>100</v>
      </c>
      <c r="AJ127">
        <v>1</v>
      </c>
    </row>
    <row r="128" spans="1:36" x14ac:dyDescent="0.2">
      <c r="A128">
        <v>127</v>
      </c>
      <c r="B128">
        <v>806</v>
      </c>
      <c r="C128">
        <v>100</v>
      </c>
      <c r="D128">
        <v>0.51586943427697896</v>
      </c>
      <c r="E128">
        <v>7.2658536759361798</v>
      </c>
      <c r="F128">
        <v>0.22867453013667</v>
      </c>
      <c r="G128">
        <v>-163.96091187653514</v>
      </c>
      <c r="H128">
        <v>-88.972179370493805</v>
      </c>
      <c r="I128">
        <v>69.492554764109897</v>
      </c>
      <c r="J128">
        <v>25.702875787987701</v>
      </c>
      <c r="K128">
        <v>31.773777655052498</v>
      </c>
      <c r="L128">
        <v>1.6928269517603844E-3</v>
      </c>
      <c r="M128">
        <v>1.0276883640724125E-3</v>
      </c>
      <c r="N128" s="1">
        <v>-5.4542992372285997E-5</v>
      </c>
      <c r="O128" s="1">
        <v>7.3988483976995494E-5</v>
      </c>
      <c r="P128" s="1">
        <v>-4.9260123694002102E-5</v>
      </c>
      <c r="AE128">
        <v>100</v>
      </c>
      <c r="AJ128">
        <v>1</v>
      </c>
    </row>
    <row r="129" spans="1:36" x14ac:dyDescent="0.2">
      <c r="A129">
        <v>128</v>
      </c>
      <c r="B129">
        <v>804</v>
      </c>
      <c r="C129">
        <v>100</v>
      </c>
      <c r="D129">
        <v>0.514840551455232</v>
      </c>
      <c r="E129">
        <v>7.2758818316804099</v>
      </c>
      <c r="F129">
        <v>0.22945216523124601</v>
      </c>
      <c r="G129">
        <v>-164.04807759848197</v>
      </c>
      <c r="H129">
        <v>-89.146509104258101</v>
      </c>
      <c r="I129">
        <v>69.5406695451871</v>
      </c>
      <c r="J129">
        <v>25.794254580781299</v>
      </c>
      <c r="K129">
        <v>31.709798093853799</v>
      </c>
      <c r="L129">
        <v>1.7020397708502972E-3</v>
      </c>
      <c r="M129">
        <v>1.0280661530613887E-3</v>
      </c>
      <c r="N129" s="1">
        <v>-5.49759243074353E-5</v>
      </c>
      <c r="O129" s="1">
        <v>7.3961404943066104E-5</v>
      </c>
      <c r="P129" s="1">
        <v>-4.9511459424378302E-5</v>
      </c>
      <c r="AE129">
        <v>100</v>
      </c>
      <c r="AJ129">
        <v>1</v>
      </c>
    </row>
    <row r="130" spans="1:36" x14ac:dyDescent="0.2">
      <c r="A130">
        <v>129</v>
      </c>
      <c r="B130">
        <v>802</v>
      </c>
      <c r="C130">
        <v>100</v>
      </c>
      <c r="D130">
        <v>0.51380784076640695</v>
      </c>
      <c r="E130">
        <v>7.30553851612218</v>
      </c>
      <c r="F130">
        <v>0.23023670936889501</v>
      </c>
      <c r="G130">
        <v>-164.57714176422181</v>
      </c>
      <c r="H130">
        <v>-89.561728148296055</v>
      </c>
      <c r="I130">
        <v>69.775932933707907</v>
      </c>
      <c r="J130">
        <v>25.956277564775998</v>
      </c>
      <c r="K130">
        <v>31.730554767514899</v>
      </c>
      <c r="L130">
        <v>1.7113500245243777E-3</v>
      </c>
      <c r="M130">
        <v>1.0284419768289898E-3</v>
      </c>
      <c r="N130" s="1">
        <v>-5.5559693980519102E-5</v>
      </c>
      <c r="O130" s="1">
        <v>7.4133088214003E-5</v>
      </c>
      <c r="P130" s="1">
        <v>-4.9900432194054403E-5</v>
      </c>
      <c r="AE130">
        <v>100</v>
      </c>
      <c r="AJ130">
        <v>1</v>
      </c>
    </row>
    <row r="131" spans="1:36" x14ac:dyDescent="0.2">
      <c r="A131">
        <v>130</v>
      </c>
      <c r="B131">
        <v>800</v>
      </c>
      <c r="C131">
        <v>100</v>
      </c>
      <c r="D131">
        <v>0.51277128080883805</v>
      </c>
      <c r="E131">
        <v>7.3351940323131499</v>
      </c>
      <c r="F131">
        <v>0.23102826060898499</v>
      </c>
      <c r="G131">
        <v>-165.1051431872539</v>
      </c>
      <c r="H131">
        <v>-89.977468871867316</v>
      </c>
      <c r="I131">
        <v>70.010596807384204</v>
      </c>
      <c r="J131">
        <v>26.119525311937199</v>
      </c>
      <c r="K131">
        <v>31.750202390727999</v>
      </c>
      <c r="L131">
        <v>1.7207590212170441E-3</v>
      </c>
      <c r="M131">
        <v>1.0288156735918177E-3</v>
      </c>
      <c r="N131" s="1">
        <v>-5.6146819210855098E-5</v>
      </c>
      <c r="O131" s="1">
        <v>7.4303640161839699E-5</v>
      </c>
      <c r="P131" s="1">
        <v>-5.02940676032075E-5</v>
      </c>
      <c r="AE131">
        <v>100</v>
      </c>
      <c r="AJ131">
        <v>1</v>
      </c>
    </row>
    <row r="132" spans="1:36" x14ac:dyDescent="0.2">
      <c r="A132">
        <v>131</v>
      </c>
      <c r="B132">
        <v>798</v>
      </c>
      <c r="C132">
        <v>100</v>
      </c>
      <c r="D132">
        <v>0.51173085002101004</v>
      </c>
      <c r="E132">
        <v>7.3648211160987502</v>
      </c>
      <c r="F132">
        <v>0.231826918816084</v>
      </c>
      <c r="G132">
        <v>-165.63147035015845</v>
      </c>
      <c r="H132">
        <v>-90.393399565315377</v>
      </c>
      <c r="I132">
        <v>70.2443965716636</v>
      </c>
      <c r="J132">
        <v>26.2839212728022</v>
      </c>
      <c r="K132">
        <v>31.768619251423001</v>
      </c>
      <c r="L132">
        <v>1.7302680846730343E-3</v>
      </c>
      <c r="M132">
        <v>1.0291870748029342E-3</v>
      </c>
      <c r="N132" s="1">
        <v>-5.6736952560682297E-5</v>
      </c>
      <c r="O132" s="1">
        <v>7.4472781267941496E-5</v>
      </c>
      <c r="P132" s="1">
        <v>-5.0692289712209303E-5</v>
      </c>
      <c r="AE132">
        <v>100</v>
      </c>
      <c r="AJ132">
        <v>1</v>
      </c>
    </row>
    <row r="133" spans="1:36" x14ac:dyDescent="0.2">
      <c r="A133">
        <v>132</v>
      </c>
      <c r="B133">
        <v>796</v>
      </c>
      <c r="C133">
        <v>100</v>
      </c>
      <c r="D133">
        <v>0.51068652668007097</v>
      </c>
      <c r="E133">
        <v>7.3943933038412499</v>
      </c>
      <c r="F133">
        <v>0.23263278569757001</v>
      </c>
      <c r="G133">
        <v>-166.15553181384936</v>
      </c>
      <c r="H133">
        <v>-90.809197618784623</v>
      </c>
      <c r="I133">
        <v>70.477075921041006</v>
      </c>
      <c r="J133">
        <v>26.4493912289857</v>
      </c>
      <c r="K133">
        <v>31.7856886838563</v>
      </c>
      <c r="L133">
        <v>1.7398785537786597E-3</v>
      </c>
      <c r="M133">
        <v>1.0295560048744364E-3</v>
      </c>
      <c r="N133" s="1">
        <v>-5.7329736244856198E-5</v>
      </c>
      <c r="O133" s="1">
        <v>7.4640241821416695E-5</v>
      </c>
      <c r="P133" s="1">
        <v>-5.1095028435665197E-5</v>
      </c>
      <c r="AE133">
        <v>100</v>
      </c>
      <c r="AJ133">
        <v>1</v>
      </c>
    </row>
    <row r="134" spans="1:36" x14ac:dyDescent="0.2">
      <c r="A134">
        <v>133</v>
      </c>
      <c r="B134">
        <v>794</v>
      </c>
      <c r="C134">
        <v>100</v>
      </c>
      <c r="D134">
        <v>0.50963828890034402</v>
      </c>
      <c r="E134">
        <v>7.4238851501644403</v>
      </c>
      <c r="F134">
        <v>0.23344596484196101</v>
      </c>
      <c r="G134">
        <v>-166.676761026489</v>
      </c>
      <c r="H134">
        <v>-91.224552222880462</v>
      </c>
      <c r="I134">
        <v>70.708388892442699</v>
      </c>
      <c r="J134">
        <v>26.6158640806721</v>
      </c>
      <c r="K134">
        <v>31.801299950462798</v>
      </c>
      <c r="L134">
        <v>1.7495917823615174E-3</v>
      </c>
      <c r="M134">
        <v>1.029922280888413E-3</v>
      </c>
      <c r="N134" s="1">
        <v>-5.7924803395319397E-5</v>
      </c>
      <c r="O134" s="1">
        <v>7.48057640308319E-5</v>
      </c>
      <c r="P134" s="1">
        <v>-5.1502221138022501E-5</v>
      </c>
      <c r="AE134">
        <v>100</v>
      </c>
      <c r="AJ134">
        <v>1</v>
      </c>
    </row>
    <row r="135" spans="1:36" x14ac:dyDescent="0.2">
      <c r="A135">
        <v>134</v>
      </c>
      <c r="B135">
        <v>792</v>
      </c>
      <c r="C135">
        <v>100</v>
      </c>
      <c r="D135">
        <v>0.50858611463174297</v>
      </c>
      <c r="E135">
        <v>7.4532724178506902</v>
      </c>
      <c r="F135">
        <v>0.23426656175799099</v>
      </c>
      <c r="G135">
        <v>-167.19462048296893</v>
      </c>
      <c r="H135">
        <v>-91.639166736404178</v>
      </c>
      <c r="I135">
        <v>70.938101644581096</v>
      </c>
      <c r="J135">
        <v>26.783272545189</v>
      </c>
      <c r="K135">
        <v>31.8153489850176</v>
      </c>
      <c r="L135">
        <v>1.7594091389562807E-3</v>
      </c>
      <c r="M135">
        <v>1.0302857122958349E-3</v>
      </c>
      <c r="N135" s="1">
        <v>-5.8521779151031499E-5</v>
      </c>
      <c r="O135" s="1">
        <v>7.4969103831717902E-5</v>
      </c>
      <c r="P135" s="1">
        <v>-5.1913814073953799E-5</v>
      </c>
      <c r="AE135">
        <v>100</v>
      </c>
      <c r="AJ135">
        <v>1</v>
      </c>
    </row>
    <row r="136" spans="1:36" x14ac:dyDescent="0.2">
      <c r="A136">
        <v>135</v>
      </c>
      <c r="B136">
        <v>790</v>
      </c>
      <c r="C136">
        <v>100</v>
      </c>
      <c r="D136">
        <v>0.507529981658283</v>
      </c>
      <c r="E136">
        <v>7.5285426192124598</v>
      </c>
      <c r="F136">
        <v>0.23509468391441601</v>
      </c>
      <c r="G136">
        <v>-168.7398519203644</v>
      </c>
      <c r="H136">
        <v>-92.618796695704461</v>
      </c>
      <c r="I136">
        <v>71.6035964060124</v>
      </c>
      <c r="J136">
        <v>27.117279909079699</v>
      </c>
      <c r="K136">
        <v>32.023448994504399</v>
      </c>
      <c r="L136">
        <v>1.7693320065342221E-3</v>
      </c>
      <c r="M136">
        <v>1.0306461006029024E-3</v>
      </c>
      <c r="N136" s="1">
        <v>-5.9483814454063998E-5</v>
      </c>
      <c r="O136" s="1">
        <v>7.5592009859959302E-5</v>
      </c>
      <c r="P136" s="1">
        <v>-5.2651541405206197E-5</v>
      </c>
      <c r="AE136">
        <v>100</v>
      </c>
      <c r="AJ136">
        <v>1</v>
      </c>
    </row>
    <row r="137" spans="1:36" x14ac:dyDescent="0.2">
      <c r="A137">
        <v>136</v>
      </c>
      <c r="B137">
        <v>788</v>
      </c>
      <c r="C137">
        <v>100</v>
      </c>
      <c r="D137">
        <v>0.50646986759647905</v>
      </c>
      <c r="E137">
        <v>7.6609568067414298</v>
      </c>
      <c r="F137">
        <v>0.23593044078056399</v>
      </c>
      <c r="G137">
        <v>-171.56202331724268</v>
      </c>
      <c r="H137">
        <v>-94.303056733582437</v>
      </c>
      <c r="I137">
        <v>72.810960423674004</v>
      </c>
      <c r="J137">
        <v>27.659743665089</v>
      </c>
      <c r="K137">
        <v>32.4712520410487</v>
      </c>
      <c r="L137">
        <v>1.7793617821936858E-3</v>
      </c>
      <c r="M137">
        <v>1.0310032390443116E-3</v>
      </c>
      <c r="N137" s="1">
        <v>-6.0907011927664299E-5</v>
      </c>
      <c r="O137" s="1">
        <v>7.6784889915179703E-5</v>
      </c>
      <c r="P137" s="1">
        <v>-5.37985825879707E-5</v>
      </c>
      <c r="AE137">
        <v>100</v>
      </c>
      <c r="AJ137">
        <v>1</v>
      </c>
    </row>
    <row r="138" spans="1:36" x14ac:dyDescent="0.2">
      <c r="A138">
        <v>137</v>
      </c>
      <c r="B138">
        <v>786</v>
      </c>
      <c r="C138">
        <v>100</v>
      </c>
      <c r="D138">
        <v>0.50540574989378495</v>
      </c>
      <c r="E138">
        <v>7.7979704551083797</v>
      </c>
      <c r="F138">
        <v>0.23677394386762701</v>
      </c>
      <c r="G138">
        <v>-174.48217950203986</v>
      </c>
      <c r="H138">
        <v>-96.046011639248874</v>
      </c>
      <c r="I138">
        <v>74.059982382415697</v>
      </c>
      <c r="J138">
        <v>28.222022106971899</v>
      </c>
      <c r="K138">
        <v>32.934242373679297</v>
      </c>
      <c r="L138">
        <v>1.7894998768088178E-3</v>
      </c>
      <c r="M138">
        <v>1.0313569122429199E-3</v>
      </c>
      <c r="N138" s="1">
        <v>-6.2379235686080698E-5</v>
      </c>
      <c r="O138" s="1">
        <v>7.8018967002399796E-5</v>
      </c>
      <c r="P138" s="1">
        <v>-5.4989638780778101E-5</v>
      </c>
      <c r="AE138">
        <v>100</v>
      </c>
      <c r="AJ138">
        <v>1</v>
      </c>
    </row>
    <row r="139" spans="1:36" x14ac:dyDescent="0.2">
      <c r="A139">
        <v>138</v>
      </c>
      <c r="B139">
        <v>784</v>
      </c>
      <c r="C139">
        <v>100</v>
      </c>
      <c r="D139">
        <v>0.50433760582698905</v>
      </c>
      <c r="E139">
        <v>7.9450500444832404</v>
      </c>
      <c r="F139">
        <v>0.23762530677069199</v>
      </c>
      <c r="G139">
        <v>-177.6222748560206</v>
      </c>
      <c r="H139">
        <v>-97.915139239915717</v>
      </c>
      <c r="I139">
        <v>75.402433204012894</v>
      </c>
      <c r="J139">
        <v>28.824128173276499</v>
      </c>
      <c r="K139">
        <v>33.435201630902803</v>
      </c>
      <c r="L139">
        <v>1.799747714633534E-3</v>
      </c>
      <c r="M139">
        <v>1.0317068958552802E-3</v>
      </c>
      <c r="N139" s="1">
        <v>-6.3944886077715605E-5</v>
      </c>
      <c r="O139" s="1">
        <v>7.9348579562489702E-5</v>
      </c>
      <c r="P139" s="1">
        <v>-5.6264130942421499E-5</v>
      </c>
      <c r="AE139">
        <v>100</v>
      </c>
      <c r="AJ139">
        <v>1</v>
      </c>
    </row>
    <row r="140" spans="1:36" x14ac:dyDescent="0.2">
      <c r="A140">
        <v>139</v>
      </c>
      <c r="B140">
        <v>782</v>
      </c>
      <c r="C140">
        <v>100</v>
      </c>
      <c r="D140">
        <v>0.50326541250059598</v>
      </c>
      <c r="E140">
        <v>8.9518473004457402</v>
      </c>
      <c r="F140">
        <v>0.238484645211514</v>
      </c>
      <c r="G140">
        <v>-199.96072768634193</v>
      </c>
      <c r="H140">
        <v>-110.38798500807366</v>
      </c>
      <c r="I140">
        <v>84.895858858929998</v>
      </c>
      <c r="J140">
        <v>32.556441016925099</v>
      </c>
      <c r="K140">
        <v>37.536367561551998</v>
      </c>
      <c r="L140">
        <v>1.8101067328576419E-3</v>
      </c>
      <c r="M140">
        <v>1.0320529562025049E-3</v>
      </c>
      <c r="N140" s="1">
        <v>-7.2484937687690806E-5</v>
      </c>
      <c r="O140" s="1">
        <v>8.9243605847602595E-5</v>
      </c>
      <c r="P140" s="1">
        <v>-6.3666063593282804E-5</v>
      </c>
      <c r="AE140">
        <v>100</v>
      </c>
      <c r="AJ140">
        <v>1</v>
      </c>
    </row>
    <row r="141" spans="1:36" x14ac:dyDescent="0.2">
      <c r="A141">
        <v>140</v>
      </c>
      <c r="B141">
        <v>780</v>
      </c>
      <c r="C141">
        <v>100</v>
      </c>
      <c r="D141">
        <v>0.50218914684517901</v>
      </c>
      <c r="E141">
        <v>9.8035332886790201</v>
      </c>
      <c r="F141">
        <v>0.239352077082018</v>
      </c>
      <c r="G141">
        <v>-218.79927479339236</v>
      </c>
      <c r="H141">
        <v>-120.96178319655979</v>
      </c>
      <c r="I141">
        <v>92.905190885045997</v>
      </c>
      <c r="J141">
        <v>35.742376938863501</v>
      </c>
      <c r="K141">
        <v>40.958630517000501</v>
      </c>
      <c r="L141">
        <v>1.8205783811116158E-3</v>
      </c>
      <c r="M141">
        <v>1.0323948498857499E-3</v>
      </c>
      <c r="N141" s="1">
        <v>-7.9857824180565095E-5</v>
      </c>
      <c r="O141" s="1">
        <v>9.7558917650145002E-5</v>
      </c>
      <c r="P141" s="1">
        <v>-7.0026658902367194E-5</v>
      </c>
      <c r="AE141">
        <v>100</v>
      </c>
      <c r="AJ141">
        <v>1</v>
      </c>
    </row>
    <row r="142" spans="1:36" x14ac:dyDescent="0.2">
      <c r="A142">
        <v>141</v>
      </c>
      <c r="B142">
        <v>778</v>
      </c>
      <c r="C142">
        <v>100</v>
      </c>
      <c r="D142">
        <v>0.501108785615755</v>
      </c>
      <c r="E142">
        <v>10.141913864233301</v>
      </c>
      <c r="F142">
        <v>0.24022772248853699</v>
      </c>
      <c r="G142">
        <v>-226.15923766983656</v>
      </c>
      <c r="H142">
        <v>-125.21096728530118</v>
      </c>
      <c r="I142">
        <v>96.041548980101098</v>
      </c>
      <c r="J142">
        <v>37.068858661517801</v>
      </c>
      <c r="K142">
        <v>42.217916230368701</v>
      </c>
      <c r="L142">
        <v>1.8311641209167392E-3</v>
      </c>
      <c r="M142">
        <v>1.0327323233859486E-3</v>
      </c>
      <c r="N142" s="1">
        <v>-8.3104944991194395E-5</v>
      </c>
      <c r="O142">
        <v>1.0074467552175799E-4</v>
      </c>
      <c r="P142" s="1">
        <v>-7.27631794840983E-5</v>
      </c>
      <c r="AE142">
        <v>100</v>
      </c>
      <c r="AJ142">
        <v>1</v>
      </c>
    </row>
    <row r="143" spans="1:36" x14ac:dyDescent="0.2">
      <c r="A143">
        <v>142</v>
      </c>
      <c r="B143">
        <v>776</v>
      </c>
      <c r="C143">
        <v>100</v>
      </c>
      <c r="D143">
        <v>0.50002430539008103</v>
      </c>
      <c r="E143">
        <v>10.311905404283401</v>
      </c>
      <c r="F143">
        <v>0.24111170379677099</v>
      </c>
      <c r="G143">
        <v>-229.75472696656709</v>
      </c>
      <c r="H143">
        <v>-127.38514015790331</v>
      </c>
      <c r="I143">
        <v>97.579457574378907</v>
      </c>
      <c r="J143">
        <v>37.785813571755803</v>
      </c>
      <c r="K143">
        <v>42.7681661317242</v>
      </c>
      <c r="L143">
        <v>1.8418654250765901E-3</v>
      </c>
      <c r="M143">
        <v>1.0330651126469323E-3</v>
      </c>
      <c r="N143" s="1">
        <v>-8.4994106165028001E-5</v>
      </c>
      <c r="O143">
        <v>1.0224847508025101E-4</v>
      </c>
      <c r="P143" s="1">
        <v>-7.4313482692607298E-5</v>
      </c>
      <c r="AE143">
        <v>100</v>
      </c>
      <c r="AJ143">
        <v>1</v>
      </c>
    </row>
    <row r="144" spans="1:36" x14ac:dyDescent="0.2">
      <c r="A144">
        <v>143</v>
      </c>
      <c r="B144">
        <v>774</v>
      </c>
      <c r="C144">
        <v>100</v>
      </c>
      <c r="D144">
        <v>0.49893568256697302</v>
      </c>
      <c r="E144">
        <v>10.4145453349202</v>
      </c>
      <c r="F144">
        <v>0.24200414567745401</v>
      </c>
      <c r="G144">
        <v>-231.8445705323623</v>
      </c>
      <c r="H144">
        <v>-128.7294943612871</v>
      </c>
      <c r="I144">
        <v>98.477807394778296</v>
      </c>
      <c r="J144">
        <v>38.259819464056299</v>
      </c>
      <c r="K144">
        <v>43.0345740803997</v>
      </c>
      <c r="L144">
        <v>1.8526837770060922E-3</v>
      </c>
      <c r="M144">
        <v>1.0333929426414989E-3</v>
      </c>
      <c r="N144" s="1">
        <v>-8.6338080647617503E-5</v>
      </c>
      <c r="O144">
        <v>1.03079385346226E-4</v>
      </c>
      <c r="P144" s="1">
        <v>-7.5393234888992698E-5</v>
      </c>
      <c r="AE144">
        <v>100</v>
      </c>
      <c r="AJ144">
        <v>1</v>
      </c>
    </row>
    <row r="145" spans="1:36" x14ac:dyDescent="0.2">
      <c r="A145">
        <v>144</v>
      </c>
      <c r="B145">
        <v>772</v>
      </c>
      <c r="C145">
        <v>100</v>
      </c>
      <c r="D145">
        <v>0.49784289336458698</v>
      </c>
      <c r="E145">
        <v>10.483899329205499</v>
      </c>
      <c r="F145">
        <v>0.242905175152728</v>
      </c>
      <c r="G145">
        <v>-233.19030872665965</v>
      </c>
      <c r="H145">
        <v>-129.66387666735801</v>
      </c>
      <c r="I145">
        <v>99.059878094324205</v>
      </c>
      <c r="J145">
        <v>38.614506555949099</v>
      </c>
      <c r="K145">
        <v>43.1604609601821</v>
      </c>
      <c r="L145">
        <v>1.86362066999376E-3</v>
      </c>
      <c r="M145">
        <v>1.0337155269196274E-3</v>
      </c>
      <c r="N145" s="1">
        <v>-8.7410714613943695E-5</v>
      </c>
      <c r="O145">
        <v>1.03577574874618E-4</v>
      </c>
      <c r="P145" s="1">
        <v>-7.6243909389417904E-5</v>
      </c>
      <c r="AE145">
        <v>100</v>
      </c>
      <c r="AJ145">
        <v>1</v>
      </c>
    </row>
    <row r="146" spans="1:36" x14ac:dyDescent="0.2">
      <c r="A146">
        <v>145</v>
      </c>
      <c r="B146">
        <v>770</v>
      </c>
      <c r="C146">
        <v>100</v>
      </c>
      <c r="D146">
        <v>0.49674591381872402</v>
      </c>
      <c r="E146">
        <v>10.5343353422854</v>
      </c>
      <c r="F146">
        <v>0.24381492164320401</v>
      </c>
      <c r="G146">
        <v>-234.11314371338506</v>
      </c>
      <c r="H146">
        <v>-130.36536658514061</v>
      </c>
      <c r="I146">
        <v>99.462019385332397</v>
      </c>
      <c r="J146">
        <v>38.902028807319702</v>
      </c>
      <c r="K146">
        <v>43.206278234690203</v>
      </c>
      <c r="L146">
        <v>1.8746776063928959E-3</v>
      </c>
      <c r="M146">
        <v>1.0340325671383186E-3</v>
      </c>
      <c r="N146" s="1">
        <v>-8.8327215152403201E-5</v>
      </c>
      <c r="O146">
        <v>1.03886516160507E-4</v>
      </c>
      <c r="P146" s="1">
        <v>-7.6967442074133698E-5</v>
      </c>
      <c r="AE146">
        <v>100</v>
      </c>
      <c r="AJ146">
        <v>1</v>
      </c>
    </row>
    <row r="147" spans="1:36" x14ac:dyDescent="0.2">
      <c r="A147">
        <v>146</v>
      </c>
      <c r="B147">
        <v>768</v>
      </c>
      <c r="C147">
        <v>100</v>
      </c>
      <c r="D147">
        <v>0.49564471978101199</v>
      </c>
      <c r="E147">
        <v>10.5729378758063</v>
      </c>
      <c r="F147">
        <v>0.24473351701568</v>
      </c>
      <c r="G147">
        <v>-234.77146135167703</v>
      </c>
      <c r="H147">
        <v>-130.92127626680875</v>
      </c>
      <c r="I147">
        <v>99.751462871991095</v>
      </c>
      <c r="J147">
        <v>39.148109270463003</v>
      </c>
      <c r="K147">
        <v>43.2018384924732</v>
      </c>
      <c r="L147">
        <v>1.8858560967366686E-3</v>
      </c>
      <c r="M147">
        <v>1.0343437525722034E-3</v>
      </c>
      <c r="N147" s="1">
        <v>-8.9144104533277907E-5</v>
      </c>
      <c r="O147">
        <v>1.04076954254861E-4</v>
      </c>
      <c r="P147" s="1">
        <v>-7.7614169502587197E-5</v>
      </c>
      <c r="AE147">
        <v>100</v>
      </c>
      <c r="AJ147">
        <v>1</v>
      </c>
    </row>
    <row r="148" spans="1:36" x14ac:dyDescent="0.2">
      <c r="A148">
        <v>147</v>
      </c>
      <c r="B148">
        <v>766</v>
      </c>
      <c r="C148">
        <v>100</v>
      </c>
      <c r="D148">
        <v>0.49453928691719501</v>
      </c>
      <c r="E148">
        <v>10.603609533938601</v>
      </c>
      <c r="F148">
        <v>0.24566109563152799</v>
      </c>
      <c r="G148">
        <v>-235.25251756964468</v>
      </c>
      <c r="H148">
        <v>-131.37970186948533</v>
      </c>
      <c r="I148">
        <v>99.965244417717201</v>
      </c>
      <c r="J148">
        <v>39.366924683957798</v>
      </c>
      <c r="K148">
        <v>43.163568519791802</v>
      </c>
      <c r="L148">
        <v>1.8971576587724786E-3</v>
      </c>
      <c r="M148">
        <v>1.0346487596043657E-3</v>
      </c>
      <c r="N148" s="1">
        <v>-8.9892254196136998E-5</v>
      </c>
      <c r="O148">
        <v>1.04187860792193E-4</v>
      </c>
      <c r="P148" s="1">
        <v>-7.82118899057577E-5</v>
      </c>
      <c r="AE148">
        <v>100</v>
      </c>
      <c r="AJ148">
        <v>1</v>
      </c>
    </row>
    <row r="149" spans="1:36" x14ac:dyDescent="0.2">
      <c r="A149">
        <v>148</v>
      </c>
      <c r="B149">
        <v>764</v>
      </c>
      <c r="C149">
        <v>100</v>
      </c>
      <c r="D149">
        <v>0.49342959070530001</v>
      </c>
      <c r="E149">
        <v>10.6286833201238</v>
      </c>
      <c r="F149">
        <v>0.24659779439568899</v>
      </c>
      <c r="G149">
        <v>-235.60847937805576</v>
      </c>
      <c r="H149">
        <v>-131.76939512459805</v>
      </c>
      <c r="I149">
        <v>100.125504159214</v>
      </c>
      <c r="J149">
        <v>39.566956698618903</v>
      </c>
      <c r="K149">
        <v>43.101291096988199</v>
      </c>
      <c r="L149">
        <v>1.9085838164100259E-3</v>
      </c>
      <c r="M149">
        <v>1.03494725119661E-3</v>
      </c>
      <c r="N149" s="1">
        <v>-9.0589870260967696E-5</v>
      </c>
      <c r="O149">
        <v>1.04242532416067E-4</v>
      </c>
      <c r="P149" s="1">
        <v>-7.8777287606366804E-5</v>
      </c>
      <c r="AE149">
        <v>100</v>
      </c>
      <c r="AJ149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5C45C-175C-4788-8572-6A5EF54E6257}">
  <sheetPr codeName="Sheet14"/>
  <dimension ref="A1:AU149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760</v>
      </c>
      <c r="C2">
        <v>300</v>
      </c>
      <c r="D2">
        <v>0.27825630353772701</v>
      </c>
      <c r="E2">
        <v>215.6462531920815</v>
      </c>
      <c r="F2">
        <v>57.573473492488411</v>
      </c>
      <c r="G2">
        <v>70.859009341737888</v>
      </c>
      <c r="H2">
        <v>66.267640192716541</v>
      </c>
      <c r="J2">
        <v>45.82850139729053</v>
      </c>
      <c r="L2">
        <v>3.9906511159212643</v>
      </c>
      <c r="M2">
        <v>13.790051714320029</v>
      </c>
      <c r="N2">
        <v>2.6743146340428909</v>
      </c>
      <c r="O2">
        <v>16.11995049588193</v>
      </c>
      <c r="P2">
        <v>10.152095294191771</v>
      </c>
      <c r="Q2">
        <v>1.6333520549352616</v>
      </c>
      <c r="R2">
        <v>11.548936400321406</v>
      </c>
      <c r="S2">
        <v>37.338697231692976</v>
      </c>
      <c r="U2">
        <v>2.635026818697435</v>
      </c>
      <c r="V2">
        <v>47.601301584931804</v>
      </c>
      <c r="W2">
        <v>21.727335451024647</v>
      </c>
      <c r="X2">
        <v>51.722490408433558</v>
      </c>
      <c r="Y2">
        <v>6.293559839583768</v>
      </c>
      <c r="Z2">
        <v>28.12972523289336</v>
      </c>
      <c r="AA2">
        <v>2.882642823648661</v>
      </c>
      <c r="AB2">
        <v>33.514197082195047</v>
      </c>
      <c r="AC2">
        <v>1.1715670677815771E-2</v>
      </c>
      <c r="AD2">
        <v>5.9113773464426398</v>
      </c>
      <c r="AE2">
        <v>11.506537082941863</v>
      </c>
      <c r="AF2">
        <v>13.493288881254294</v>
      </c>
      <c r="AG2">
        <v>19.019898055630826</v>
      </c>
      <c r="AH2">
        <v>5.1503483765225742</v>
      </c>
      <c r="AI2">
        <v>2.6264084342857652</v>
      </c>
      <c r="AK2">
        <v>42.782587010367941</v>
      </c>
    </row>
    <row r="3" spans="1:47" x14ac:dyDescent="0.2">
      <c r="A3">
        <v>2</v>
      </c>
      <c r="B3">
        <v>758</v>
      </c>
      <c r="C3">
        <v>300</v>
      </c>
      <c r="D3">
        <v>0.27672065169955901</v>
      </c>
      <c r="E3">
        <v>215.42496959171365</v>
      </c>
      <c r="F3">
        <v>56.899451572707065</v>
      </c>
      <c r="G3">
        <v>70.746678661744753</v>
      </c>
      <c r="H3">
        <v>66.15047622215765</v>
      </c>
      <c r="J3">
        <v>45.732471947627609</v>
      </c>
      <c r="L3">
        <v>3.8404200375912514</v>
      </c>
      <c r="M3">
        <v>13.67315656185249</v>
      </c>
      <c r="N3">
        <v>2.6661650700989132</v>
      </c>
      <c r="O3">
        <v>15.409736497599239</v>
      </c>
      <c r="P3">
        <v>9.9622435310607003</v>
      </c>
      <c r="Q3">
        <v>1.5220736761979523</v>
      </c>
      <c r="R3">
        <v>11.168976431411908</v>
      </c>
      <c r="S3">
        <v>36.573350841292594</v>
      </c>
      <c r="U3">
        <v>2.4918480342244282</v>
      </c>
      <c r="V3">
        <v>47.410268315613813</v>
      </c>
      <c r="W3">
        <v>21.357410469500817</v>
      </c>
      <c r="X3">
        <v>51.36424815864153</v>
      </c>
      <c r="Y3">
        <v>6.1373456753421545</v>
      </c>
      <c r="Z3">
        <v>27.762578525587578</v>
      </c>
      <c r="AA3">
        <v>2.7269440083837546</v>
      </c>
      <c r="AB3">
        <v>33.252736477495255</v>
      </c>
      <c r="AD3">
        <v>5.7038792315874423</v>
      </c>
      <c r="AE3">
        <v>11.339749172104183</v>
      </c>
      <c r="AF3">
        <v>13.362066228839941</v>
      </c>
      <c r="AG3">
        <v>18.716279309972052</v>
      </c>
      <c r="AH3">
        <v>4.9169429559903177</v>
      </c>
      <c r="AI3">
        <v>2.6176865434181829</v>
      </c>
      <c r="AK3">
        <v>42.793942927471534</v>
      </c>
    </row>
    <row r="4" spans="1:47" x14ac:dyDescent="0.2">
      <c r="A4">
        <v>3</v>
      </c>
      <c r="B4">
        <v>756</v>
      </c>
      <c r="C4">
        <v>300</v>
      </c>
      <c r="D4">
        <v>0.27517903123937498</v>
      </c>
      <c r="E4">
        <v>215.17625162888928</v>
      </c>
      <c r="F4">
        <v>56.131008478553412</v>
      </c>
      <c r="G4">
        <v>70.620323825056147</v>
      </c>
      <c r="H4">
        <v>66.019340043334694</v>
      </c>
      <c r="J4">
        <v>45.586854841665804</v>
      </c>
      <c r="L4">
        <v>3.674965492364092</v>
      </c>
      <c r="M4">
        <v>13.51673043306643</v>
      </c>
      <c r="N4">
        <v>2.6701071648429697</v>
      </c>
      <c r="O4">
        <v>14.659309449363992</v>
      </c>
      <c r="P4">
        <v>9.7564659377511997</v>
      </c>
      <c r="Q4">
        <v>1.3805967034318227</v>
      </c>
      <c r="R4">
        <v>10.72595940174952</v>
      </c>
      <c r="S4">
        <v>35.612891785868221</v>
      </c>
      <c r="U4">
        <v>2.3150949806455605</v>
      </c>
      <c r="V4">
        <v>47.154969107367371</v>
      </c>
      <c r="W4">
        <v>20.913372188717595</v>
      </c>
      <c r="X4">
        <v>50.892076369530692</v>
      </c>
      <c r="Y4">
        <v>5.9598921903657249</v>
      </c>
      <c r="Z4">
        <v>27.339743243501346</v>
      </c>
      <c r="AA4">
        <v>2.5561821398194007</v>
      </c>
      <c r="AB4">
        <v>32.922466783711535</v>
      </c>
      <c r="AD4">
        <v>5.4602898674302711</v>
      </c>
      <c r="AE4">
        <v>11.151270855663121</v>
      </c>
      <c r="AF4">
        <v>13.203405376840054</v>
      </c>
      <c r="AG4">
        <v>18.355953172091958</v>
      </c>
      <c r="AH4">
        <v>4.6386709785742424</v>
      </c>
      <c r="AI4">
        <v>2.6210530023345111</v>
      </c>
      <c r="AK4">
        <v>42.787804325578911</v>
      </c>
    </row>
    <row r="5" spans="1:47" x14ac:dyDescent="0.2">
      <c r="A5">
        <v>4</v>
      </c>
      <c r="B5">
        <v>754</v>
      </c>
      <c r="C5">
        <v>300</v>
      </c>
      <c r="D5">
        <v>0.27363140729202201</v>
      </c>
      <c r="E5">
        <v>214.92819293120704</v>
      </c>
      <c r="F5">
        <v>55.365455452799239</v>
      </c>
      <c r="G5">
        <v>70.494316693624668</v>
      </c>
      <c r="H5">
        <v>65.888603684425078</v>
      </c>
      <c r="J5">
        <v>45.443726335022539</v>
      </c>
      <c r="L5">
        <v>3.5101516922406661</v>
      </c>
      <c r="M5">
        <v>13.360913776743512</v>
      </c>
      <c r="N5">
        <v>2.6740487446640135</v>
      </c>
      <c r="O5">
        <v>13.911420234723476</v>
      </c>
      <c r="P5">
        <v>9.5514142454768276</v>
      </c>
      <c r="Q5">
        <v>1.2396486620380092</v>
      </c>
      <c r="R5">
        <v>10.284433414069628</v>
      </c>
      <c r="S5">
        <v>34.656311046566593</v>
      </c>
      <c r="U5">
        <v>2.1386664266100488</v>
      </c>
      <c r="V5">
        <v>46.900553240452041</v>
      </c>
      <c r="W5">
        <v>20.470492641545317</v>
      </c>
      <c r="X5">
        <v>50.421731248953634</v>
      </c>
      <c r="Y5">
        <v>5.7830754452970776</v>
      </c>
      <c r="Z5">
        <v>26.91810635961901</v>
      </c>
      <c r="AA5">
        <v>2.3861111868438893</v>
      </c>
      <c r="AB5">
        <v>32.593317723969541</v>
      </c>
      <c r="AD5">
        <v>5.2172050320494616</v>
      </c>
      <c r="AE5">
        <v>10.963294633185269</v>
      </c>
      <c r="AF5">
        <v>13.045354645160392</v>
      </c>
      <c r="AG5">
        <v>17.996757238735778</v>
      </c>
      <c r="AH5">
        <v>4.3613530480555216</v>
      </c>
      <c r="AI5">
        <v>2.6244156227155573</v>
      </c>
      <c r="AK5">
        <v>42.782975984973085</v>
      </c>
    </row>
    <row r="6" spans="1:47" x14ac:dyDescent="0.2">
      <c r="A6">
        <v>5</v>
      </c>
      <c r="B6">
        <v>752</v>
      </c>
      <c r="C6">
        <v>300</v>
      </c>
      <c r="D6">
        <v>0.27207774472028401</v>
      </c>
      <c r="E6">
        <v>214.68079004403137</v>
      </c>
      <c r="F6">
        <v>54.602777235767014</v>
      </c>
      <c r="G6">
        <v>70.368655868710803</v>
      </c>
      <c r="H6">
        <v>65.758265913560379</v>
      </c>
      <c r="J6">
        <v>45.30308251843482</v>
      </c>
      <c r="L6">
        <v>3.3460650174953042</v>
      </c>
      <c r="M6">
        <v>13.205702453294352</v>
      </c>
      <c r="N6">
        <v>2.6779898140769802</v>
      </c>
      <c r="O6">
        <v>13.166056910928639</v>
      </c>
      <c r="P6">
        <v>9.3470858432067558</v>
      </c>
      <c r="Q6">
        <v>1.0991747016674771</v>
      </c>
      <c r="R6">
        <v>9.8443885174276478</v>
      </c>
      <c r="S6">
        <v>33.703584432246856</v>
      </c>
      <c r="U6">
        <v>1.9625592480726142</v>
      </c>
      <c r="V6">
        <v>46.647014605912972</v>
      </c>
      <c r="W6">
        <v>20.028763321045385</v>
      </c>
      <c r="X6">
        <v>49.953200349514297</v>
      </c>
      <c r="Y6">
        <v>5.6068918823179015</v>
      </c>
      <c r="Z6">
        <v>26.497658672200672</v>
      </c>
      <c r="AA6">
        <v>2.2167276201059867</v>
      </c>
      <c r="AB6">
        <v>32.265280818234743</v>
      </c>
      <c r="AD6">
        <v>4.9746225644121358</v>
      </c>
      <c r="AE6">
        <v>10.7758160903809</v>
      </c>
      <c r="AF6">
        <v>12.887909943664576</v>
      </c>
      <c r="AG6">
        <v>17.638683081916636</v>
      </c>
      <c r="AH6">
        <v>4.0849854732073094</v>
      </c>
      <c r="AI6">
        <v>2.6277743943648528</v>
      </c>
      <c r="AK6">
        <v>42.779457236286433</v>
      </c>
    </row>
    <row r="7" spans="1:47" x14ac:dyDescent="0.2">
      <c r="A7">
        <v>6</v>
      </c>
      <c r="B7">
        <v>750</v>
      </c>
      <c r="C7">
        <v>300</v>
      </c>
      <c r="D7">
        <v>0.270518008112205</v>
      </c>
      <c r="E7">
        <v>214.43403960207749</v>
      </c>
      <c r="F7">
        <v>53.842958940515203</v>
      </c>
      <c r="G7">
        <v>70.243339996103998</v>
      </c>
      <c r="H7">
        <v>65.628325544052629</v>
      </c>
      <c r="J7">
        <v>45.164919669709285</v>
      </c>
      <c r="L7">
        <v>3.1826635000107526</v>
      </c>
      <c r="M7">
        <v>13.051092398874742</v>
      </c>
      <c r="N7">
        <v>2.6819303776525674</v>
      </c>
      <c r="O7">
        <v>12.423207825518595</v>
      </c>
      <c r="P7">
        <v>9.1434782100293575</v>
      </c>
      <c r="Q7">
        <v>0.95926089122148184</v>
      </c>
      <c r="R7">
        <v>9.4058149766822474</v>
      </c>
      <c r="S7">
        <v>32.754688214986601</v>
      </c>
      <c r="U7">
        <v>1.7867704052310867</v>
      </c>
      <c r="V7">
        <v>46.394347117920994</v>
      </c>
      <c r="W7">
        <v>19.588175866914803</v>
      </c>
      <c r="X7">
        <v>49.486471470087565</v>
      </c>
      <c r="Y7">
        <v>5.4313380403240412</v>
      </c>
      <c r="Z7">
        <v>26.078391119458878</v>
      </c>
      <c r="AA7">
        <v>2.0480279798555276</v>
      </c>
      <c r="AB7">
        <v>31.938347720562096</v>
      </c>
      <c r="AD7">
        <v>4.732540354009922</v>
      </c>
      <c r="AE7">
        <v>10.588830871570169</v>
      </c>
      <c r="AF7">
        <v>12.731067258221922</v>
      </c>
      <c r="AG7">
        <v>17.281722408094549</v>
      </c>
      <c r="AH7">
        <v>3.8095646932708545</v>
      </c>
      <c r="AI7">
        <v>2.6311293071381998</v>
      </c>
      <c r="AK7">
        <v>42.777247507915085</v>
      </c>
    </row>
    <row r="8" spans="1:47" x14ac:dyDescent="0.2">
      <c r="A8">
        <v>7</v>
      </c>
      <c r="B8">
        <v>748</v>
      </c>
      <c r="C8">
        <v>300</v>
      </c>
      <c r="D8">
        <v>0.26895216177838999</v>
      </c>
      <c r="E8">
        <v>214.18793832859808</v>
      </c>
      <c r="F8">
        <v>53.08598604784104</v>
      </c>
      <c r="G8">
        <v>70.118367765681</v>
      </c>
      <c r="H8">
        <v>65.498781433955415</v>
      </c>
      <c r="J8">
        <v>45.029234252236726</v>
      </c>
      <c r="L8">
        <v>3.019890451082778</v>
      </c>
      <c r="M8">
        <v>12.897079624284801</v>
      </c>
      <c r="N8">
        <v>2.6858704399194484</v>
      </c>
      <c r="O8">
        <v>11.682861612027622</v>
      </c>
      <c r="P8">
        <v>8.9405889141892132</v>
      </c>
      <c r="Q8">
        <v>0.8198584884148068</v>
      </c>
      <c r="R8">
        <v>8.9687032699875413</v>
      </c>
      <c r="S8">
        <v>31.809599123667599</v>
      </c>
      <c r="U8">
        <v>1.611296941664363</v>
      </c>
      <c r="V8">
        <v>46.142544706862438</v>
      </c>
      <c r="W8">
        <v>19.148722062892812</v>
      </c>
      <c r="X8">
        <v>49.021532653058308</v>
      </c>
      <c r="Y8">
        <v>5.2564105541422155</v>
      </c>
      <c r="Z8">
        <v>25.660294776014332</v>
      </c>
      <c r="AA8">
        <v>1.8800088734218299</v>
      </c>
      <c r="AB8">
        <v>31.612510216195219</v>
      </c>
      <c r="AD8">
        <v>4.4909563401592401</v>
      </c>
      <c r="AE8">
        <v>10.402334677818825</v>
      </c>
      <c r="AF8">
        <v>12.574822649504412</v>
      </c>
      <c r="AG8">
        <v>16.92586705518222</v>
      </c>
      <c r="AH8">
        <v>3.5350872618211557</v>
      </c>
      <c r="AI8">
        <v>2.634480350845648</v>
      </c>
      <c r="AK8">
        <v>42.776346325412582</v>
      </c>
    </row>
    <row r="9" spans="1:47" x14ac:dyDescent="0.2">
      <c r="A9">
        <v>8</v>
      </c>
      <c r="B9">
        <v>746</v>
      </c>
      <c r="C9">
        <v>300</v>
      </c>
      <c r="D9">
        <v>0.26738016974930101</v>
      </c>
      <c r="E9">
        <v>213.94248303396105</v>
      </c>
      <c r="F9">
        <v>52.331844399444194</v>
      </c>
      <c r="G9">
        <v>69.993737910721237</v>
      </c>
      <c r="H9">
        <v>65.369632485385765</v>
      </c>
      <c r="J9">
        <v>44.896022912481214</v>
      </c>
      <c r="L9">
        <v>2.8578391665644305</v>
      </c>
      <c r="M9">
        <v>12.743660213223933</v>
      </c>
      <c r="N9">
        <v>2.6898100054080416</v>
      </c>
      <c r="O9">
        <v>10.945007184994374</v>
      </c>
      <c r="P9">
        <v>8.7384156117683585</v>
      </c>
      <c r="Q9">
        <v>0.68096205550904232</v>
      </c>
      <c r="R9">
        <v>8.5330440851332181</v>
      </c>
      <c r="S9">
        <v>30.8682943343332</v>
      </c>
      <c r="U9">
        <v>1.4361359829271487</v>
      </c>
      <c r="V9">
        <v>45.89160131080839</v>
      </c>
      <c r="W9">
        <v>18.710393833099815</v>
      </c>
      <c r="X9">
        <v>48.558372179402852</v>
      </c>
      <c r="Y9">
        <v>5.0821061533540739</v>
      </c>
      <c r="Z9">
        <v>25.24336084872488</v>
      </c>
      <c r="AA9">
        <v>1.7126669730359281</v>
      </c>
      <c r="AB9">
        <v>31.287760217775908</v>
      </c>
      <c r="AD9">
        <v>4.2498685107896614</v>
      </c>
      <c r="AE9">
        <v>10.216323264899325</v>
      </c>
      <c r="AF9">
        <v>12.419172251292622</v>
      </c>
      <c r="AG9">
        <v>16.571108988802063</v>
      </c>
      <c r="AH9">
        <v>3.2615498764130049</v>
      </c>
      <c r="AI9">
        <v>2.6378275152973645</v>
      </c>
      <c r="AK9">
        <v>42.776753310353683</v>
      </c>
    </row>
    <row r="10" spans="1:47" x14ac:dyDescent="0.2">
      <c r="A10">
        <v>9</v>
      </c>
      <c r="B10">
        <v>744</v>
      </c>
      <c r="C10">
        <v>300</v>
      </c>
      <c r="D10">
        <v>0.26580199577250502</v>
      </c>
      <c r="E10">
        <v>213.69767061463853</v>
      </c>
      <c r="F10">
        <v>51.580520192286599</v>
      </c>
      <c r="G10">
        <v>69.869449207362862</v>
      </c>
      <c r="H10">
        <v>65.240877643979758</v>
      </c>
      <c r="J10">
        <v>44.765282478171137</v>
      </c>
      <c r="L10">
        <v>2.696412599796211</v>
      </c>
      <c r="M10">
        <v>12.590830320783697</v>
      </c>
      <c r="N10">
        <v>2.6937490787110474</v>
      </c>
      <c r="O10">
        <v>10.209633735554505</v>
      </c>
      <c r="P10">
        <v>8.5369560456581031</v>
      </c>
      <c r="Q10">
        <v>0.54256625643365075</v>
      </c>
      <c r="R10">
        <v>8.0988283165303692</v>
      </c>
      <c r="S10">
        <v>29.9307514619526</v>
      </c>
      <c r="U10">
        <v>1.2612847353786818</v>
      </c>
      <c r="V10">
        <v>45.641510867031087</v>
      </c>
      <c r="W10">
        <v>18.273183238636825</v>
      </c>
      <c r="X10">
        <v>48.096978565263754</v>
      </c>
      <c r="Y10">
        <v>4.9084216613714329</v>
      </c>
      <c r="Z10">
        <v>24.827580672525986</v>
      </c>
      <c r="AA10">
        <v>1.5459990148460783</v>
      </c>
      <c r="AB10">
        <v>30.964089761691717</v>
      </c>
      <c r="AD10">
        <v>4.009274901246564</v>
      </c>
      <c r="AE10">
        <v>10.030792441172188</v>
      </c>
      <c r="AF10">
        <v>12.264112269025411</v>
      </c>
      <c r="AG10">
        <v>16.217440298694068</v>
      </c>
      <c r="AH10">
        <v>2.9889493267820795</v>
      </c>
      <c r="AI10">
        <v>2.6411707903633541</v>
      </c>
      <c r="AK10">
        <v>42.778468179691778</v>
      </c>
    </row>
    <row r="11" spans="1:47" x14ac:dyDescent="0.2">
      <c r="A11">
        <v>10</v>
      </c>
      <c r="B11">
        <v>742</v>
      </c>
      <c r="C11">
        <v>300</v>
      </c>
      <c r="D11">
        <v>0.264217603309855</v>
      </c>
      <c r="E11">
        <v>213.45349805221406</v>
      </c>
      <c r="F11">
        <v>50.831999973235774</v>
      </c>
      <c r="G11">
        <v>69.745500474116341</v>
      </c>
      <c r="H11">
        <v>65.112515898414003</v>
      </c>
      <c r="J11">
        <v>44.637009956592635</v>
      </c>
      <c r="L11">
        <v>2.535704145669337</v>
      </c>
      <c r="M11">
        <v>12.438586172216143</v>
      </c>
      <c r="N11">
        <v>2.6976876644046364</v>
      </c>
      <c r="O11">
        <v>9.4767307271989978</v>
      </c>
      <c r="P11">
        <v>8.3362080445243389</v>
      </c>
      <c r="Q11">
        <v>0.40462109491405773</v>
      </c>
      <c r="R11">
        <v>7.6660470624777419</v>
      </c>
      <c r="S11">
        <v>28.996948553495926</v>
      </c>
      <c r="U11">
        <v>1.0867404852435967</v>
      </c>
      <c r="V11">
        <v>45.392267303323038</v>
      </c>
      <c r="W11">
        <v>17.837082474892618</v>
      </c>
      <c r="X11">
        <v>47.637340558153014</v>
      </c>
      <c r="Y11">
        <v>4.7353539945909935</v>
      </c>
      <c r="Z11">
        <v>24.412945706929847</v>
      </c>
      <c r="AA11">
        <v>1.3800017991975693</v>
      </c>
      <c r="AB11">
        <v>30.641491005131591</v>
      </c>
      <c r="AD11">
        <v>3.7691735934037753</v>
      </c>
      <c r="AE11">
        <v>9.8457380658039018</v>
      </c>
      <c r="AF11">
        <v>12.109638978495141</v>
      </c>
      <c r="AG11">
        <v>15.86485319569835</v>
      </c>
      <c r="AH11">
        <v>2.7172825280533681</v>
      </c>
      <c r="AI11">
        <v>2.6445101658968575</v>
      </c>
      <c r="AK11">
        <v>42.781490744971869</v>
      </c>
    </row>
    <row r="12" spans="1:47" x14ac:dyDescent="0.2">
      <c r="A12">
        <v>11</v>
      </c>
      <c r="B12">
        <v>740</v>
      </c>
      <c r="C12">
        <v>300</v>
      </c>
      <c r="D12">
        <v>0.26262695553471999</v>
      </c>
      <c r="E12">
        <v>213.2099624125172</v>
      </c>
      <c r="F12">
        <v>50.086270633958868</v>
      </c>
      <c r="G12">
        <v>69.621890571403952</v>
      </c>
      <c r="H12">
        <v>64.984546279946045</v>
      </c>
      <c r="J12">
        <v>44.51120253311403</v>
      </c>
      <c r="L12">
        <v>2.3756091181514964</v>
      </c>
      <c r="M12">
        <v>12.286924061626696</v>
      </c>
      <c r="N12">
        <v>2.7016257670563633</v>
      </c>
      <c r="O12">
        <v>8.7462878917409572</v>
      </c>
      <c r="P12">
        <v>8.1361695218957646</v>
      </c>
      <c r="Q12">
        <v>0.26720314484116442</v>
      </c>
      <c r="R12">
        <v>7.2346916224948821</v>
      </c>
      <c r="S12">
        <v>28.066864080770252</v>
      </c>
      <c r="U12">
        <v>0.9125005976182563</v>
      </c>
      <c r="V12">
        <v>45.143864528777556</v>
      </c>
      <c r="W12">
        <v>17.402083868514115</v>
      </c>
      <c r="X12">
        <v>47.179447134054563</v>
      </c>
      <c r="Y12">
        <v>4.5629001616070912</v>
      </c>
      <c r="Z12">
        <v>23.999447532166574</v>
      </c>
      <c r="AA12">
        <v>1.2146721925292441</v>
      </c>
      <c r="AB12">
        <v>30.319956222792939</v>
      </c>
      <c r="AD12">
        <v>3.5295627145533457</v>
      </c>
      <c r="AE12">
        <v>9.6611560467749502</v>
      </c>
      <c r="AF12">
        <v>11.955748724541735</v>
      </c>
      <c r="AG12">
        <v>15.513340008464295</v>
      </c>
      <c r="AH12">
        <v>2.4465465091907639</v>
      </c>
      <c r="AI12">
        <v>2.6478456317406365</v>
      </c>
      <c r="AK12">
        <v>42.785820911806276</v>
      </c>
    </row>
    <row r="13" spans="1:47" x14ac:dyDescent="0.2">
      <c r="A13">
        <v>12</v>
      </c>
      <c r="B13">
        <v>738</v>
      </c>
      <c r="C13">
        <v>300</v>
      </c>
      <c r="D13">
        <v>0.26103001532908299</v>
      </c>
      <c r="E13">
        <v>212.96706084458427</v>
      </c>
      <c r="F13">
        <v>49.343319405407073</v>
      </c>
      <c r="G13">
        <v>69.498618401030598</v>
      </c>
      <c r="H13">
        <v>64.856967861892258</v>
      </c>
      <c r="J13">
        <v>44.387857569409128</v>
      </c>
      <c r="L13">
        <v>2.2161799973436063</v>
      </c>
      <c r="M13">
        <v>12.135840350515938</v>
      </c>
      <c r="N13">
        <v>2.7055633912600929</v>
      </c>
      <c r="O13">
        <v>8.0182952251420936</v>
      </c>
      <c r="P13">
        <v>7.9368384751482797</v>
      </c>
      <c r="Q13">
        <v>0.13026884582913409</v>
      </c>
      <c r="R13">
        <v>6.8047534943837045</v>
      </c>
      <c r="S13">
        <v>27.140476932546999</v>
      </c>
      <c r="U13">
        <v>0.73856251537097073</v>
      </c>
      <c r="V13">
        <v>44.896296423695212</v>
      </c>
      <c r="W13">
        <v>16.968179874216155</v>
      </c>
      <c r="X13">
        <v>46.723287493409195</v>
      </c>
      <c r="Y13">
        <v>4.3910572623249848</v>
      </c>
      <c r="Z13">
        <v>23.587077845249009</v>
      </c>
      <c r="AA13">
        <v>1.0500071310752392</v>
      </c>
      <c r="AB13">
        <v>29.999477803440382</v>
      </c>
      <c r="AD13">
        <v>3.2904404361652673</v>
      </c>
      <c r="AE13">
        <v>9.4770423389021428</v>
      </c>
      <c r="AF13">
        <v>11.802437919637292</v>
      </c>
      <c r="AG13">
        <v>15.162893180061021</v>
      </c>
      <c r="AH13">
        <v>2.1767384306621089</v>
      </c>
      <c r="AI13">
        <v>2.6511771777644642</v>
      </c>
      <c r="AK13">
        <v>42.791458679175207</v>
      </c>
    </row>
    <row r="14" spans="1:47" x14ac:dyDescent="0.2">
      <c r="A14">
        <v>13</v>
      </c>
      <c r="B14">
        <v>736</v>
      </c>
      <c r="C14">
        <v>300</v>
      </c>
      <c r="D14">
        <v>0.25942674528068399</v>
      </c>
      <c r="E14">
        <v>212.71252308523356</v>
      </c>
      <c r="F14">
        <v>48.492599379977563</v>
      </c>
      <c r="G14">
        <v>69.362509730373461</v>
      </c>
      <c r="H14">
        <v>64.716606583817835</v>
      </c>
      <c r="J14">
        <v>44.198305773401543</v>
      </c>
      <c r="L14">
        <v>2.0285579981988411</v>
      </c>
      <c r="M14">
        <v>11.969383256119473</v>
      </c>
      <c r="N14">
        <v>2.7095000987828031</v>
      </c>
      <c r="O14">
        <v>7.1910390966933022</v>
      </c>
      <c r="P14">
        <v>7.7118661910420014</v>
      </c>
      <c r="R14">
        <v>6.3158055987331254</v>
      </c>
      <c r="S14">
        <v>26.091385742397442</v>
      </c>
      <c r="U14">
        <v>0.5579936797203815</v>
      </c>
      <c r="V14">
        <v>44.620946028139052</v>
      </c>
      <c r="W14">
        <v>16.536499212823063</v>
      </c>
      <c r="X14">
        <v>46.247176368753365</v>
      </c>
      <c r="Y14">
        <v>4.1921913859736284</v>
      </c>
      <c r="Z14">
        <v>23.077593526847757</v>
      </c>
      <c r="AA14">
        <v>0.85719057960050848</v>
      </c>
      <c r="AB14">
        <v>29.610699353396047</v>
      </c>
      <c r="AD14">
        <v>2.9974108370484478</v>
      </c>
      <c r="AE14">
        <v>9.2469138699973854</v>
      </c>
      <c r="AF14">
        <v>11.633754389370193</v>
      </c>
      <c r="AG14">
        <v>14.744155928604197</v>
      </c>
      <c r="AH14">
        <v>1.8618425419844957</v>
      </c>
      <c r="AI14">
        <v>2.6545043510121547</v>
      </c>
      <c r="AK14">
        <v>42.760249674557912</v>
      </c>
    </row>
    <row r="15" spans="1:47" x14ac:dyDescent="0.2">
      <c r="A15">
        <v>14</v>
      </c>
      <c r="B15">
        <v>734</v>
      </c>
      <c r="C15">
        <v>300</v>
      </c>
      <c r="D15">
        <v>0.25781710768008598</v>
      </c>
      <c r="E15">
        <v>212.92806104963927</v>
      </c>
      <c r="F15">
        <v>45.788437530392201</v>
      </c>
      <c r="G15">
        <v>69.315014342087295</v>
      </c>
      <c r="H15">
        <v>64.664912401249595</v>
      </c>
      <c r="J15">
        <v>32.841521575248308</v>
      </c>
      <c r="L15">
        <v>1.6933042612882563</v>
      </c>
      <c r="M15">
        <v>10.919959719391562</v>
      </c>
      <c r="N15">
        <v>2.713489044433079</v>
      </c>
      <c r="O15">
        <v>5.1928089694855526</v>
      </c>
      <c r="P15">
        <v>7.6642055810027694</v>
      </c>
      <c r="R15">
        <v>5.3579157093792418</v>
      </c>
      <c r="S15">
        <v>26.792545005007817</v>
      </c>
      <c r="U15">
        <v>0.31869014490686814</v>
      </c>
      <c r="V15">
        <v>46.249964721637951</v>
      </c>
      <c r="W15">
        <v>15.44032567058947</v>
      </c>
      <c r="X15">
        <v>45.615293692921654</v>
      </c>
      <c r="Y15">
        <v>3.8451991808094439</v>
      </c>
      <c r="Z15">
        <v>17.157561415748749</v>
      </c>
      <c r="AB15">
        <v>27.800016457247168</v>
      </c>
      <c r="AD15">
        <v>3.2772204470877968E-2</v>
      </c>
      <c r="AE15">
        <v>5.9572178577416519</v>
      </c>
      <c r="AF15">
        <v>10.5821582763012</v>
      </c>
      <c r="AG15">
        <v>12.903577043840549</v>
      </c>
      <c r="AI15">
        <v>2.6578802915698301</v>
      </c>
      <c r="AK15">
        <v>34.738176911335664</v>
      </c>
    </row>
    <row r="16" spans="1:47" x14ac:dyDescent="0.2">
      <c r="A16">
        <v>15</v>
      </c>
      <c r="B16">
        <v>732</v>
      </c>
      <c r="C16">
        <v>300</v>
      </c>
      <c r="D16">
        <v>0.256201064517732</v>
      </c>
      <c r="E16">
        <v>213.2925721727278</v>
      </c>
      <c r="F16">
        <v>47.063314291066838</v>
      </c>
      <c r="G16">
        <v>69.237012068225283</v>
      </c>
      <c r="H16">
        <v>64.582765319798824</v>
      </c>
      <c r="J16">
        <v>26.709860675864011</v>
      </c>
      <c r="L16">
        <v>1.7323216066017266</v>
      </c>
      <c r="M16">
        <v>9.8378486732738235</v>
      </c>
      <c r="N16">
        <v>2.7174675067117957</v>
      </c>
      <c r="O16">
        <v>5.2910478238018772</v>
      </c>
      <c r="P16">
        <v>7.5555537800275889</v>
      </c>
      <c r="R16">
        <v>4.5730805979752605</v>
      </c>
      <c r="S16">
        <v>28.190742461700143</v>
      </c>
      <c r="U16">
        <v>0.24083098626047292</v>
      </c>
      <c r="V16">
        <v>47.835184245695089</v>
      </c>
      <c r="W16">
        <v>14.229266421453572</v>
      </c>
      <c r="X16">
        <v>45.459156335557104</v>
      </c>
      <c r="Y16">
        <v>3.7191325891409819</v>
      </c>
      <c r="Z16">
        <v>18.014090759903503</v>
      </c>
      <c r="AB16">
        <v>29.500493162013441</v>
      </c>
      <c r="AE16">
        <v>6.4401255445480512</v>
      </c>
      <c r="AF16">
        <v>9.4978658388784023</v>
      </c>
      <c r="AG16">
        <v>14.574157901967991</v>
      </c>
      <c r="AI16">
        <v>2.6612422632177646</v>
      </c>
      <c r="AK16">
        <v>30.286534727919154</v>
      </c>
    </row>
    <row r="17" spans="1:37" x14ac:dyDescent="0.2">
      <c r="A17">
        <v>16</v>
      </c>
      <c r="B17">
        <v>730</v>
      </c>
      <c r="C17">
        <v>300</v>
      </c>
      <c r="D17">
        <v>0.25457857748093798</v>
      </c>
      <c r="E17">
        <v>213.59307640709395</v>
      </c>
      <c r="F17">
        <v>47.896075137250008</v>
      </c>
      <c r="G17">
        <v>69.201238335784751</v>
      </c>
      <c r="H17">
        <v>64.542900940711363</v>
      </c>
      <c r="J17">
        <v>23.723797776520605</v>
      </c>
      <c r="L17">
        <v>1.7632424705644589</v>
      </c>
      <c r="M17">
        <v>9.0162016242558671</v>
      </c>
      <c r="N17">
        <v>2.7214370243318333</v>
      </c>
      <c r="O17">
        <v>5.2915921256052432</v>
      </c>
      <c r="P17">
        <v>7.5313833743009626</v>
      </c>
      <c r="R17">
        <v>3.9689009665025115</v>
      </c>
      <c r="S17">
        <v>29.079431430526885</v>
      </c>
      <c r="U17">
        <v>0.18648680396199913</v>
      </c>
      <c r="V17">
        <v>48.964140025254821</v>
      </c>
      <c r="W17">
        <v>13.267374273345409</v>
      </c>
      <c r="X17">
        <v>45.371377576919066</v>
      </c>
      <c r="Y17">
        <v>3.6562428106934575</v>
      </c>
      <c r="Z17">
        <v>18.113063452412185</v>
      </c>
      <c r="AB17">
        <v>30.382665049182801</v>
      </c>
      <c r="AE17">
        <v>6.482232871208474</v>
      </c>
      <c r="AF17">
        <v>8.6740301695217621</v>
      </c>
      <c r="AG17">
        <v>15.426435674193662</v>
      </c>
      <c r="AI17">
        <v>2.6645917899514973</v>
      </c>
      <c r="AK17">
        <v>28.057659762246786</v>
      </c>
    </row>
    <row r="18" spans="1:37" x14ac:dyDescent="0.2">
      <c r="A18">
        <v>17</v>
      </c>
      <c r="B18">
        <v>728</v>
      </c>
      <c r="C18">
        <v>300</v>
      </c>
      <c r="D18">
        <v>0.25294960795086002</v>
      </c>
      <c r="E18">
        <v>213.83610954022981</v>
      </c>
      <c r="F18">
        <v>48.601945838466634</v>
      </c>
      <c r="G18">
        <v>69.164937128227791</v>
      </c>
      <c r="H18">
        <v>64.50256342239318</v>
      </c>
      <c r="J18">
        <v>21.802001828579847</v>
      </c>
      <c r="L18">
        <v>1.7883625416762043</v>
      </c>
      <c r="M18">
        <v>8.3202759993884268</v>
      </c>
      <c r="N18">
        <v>2.7254000989046734</v>
      </c>
      <c r="O18">
        <v>5.2827229820611183</v>
      </c>
      <c r="P18">
        <v>7.5061850269271169</v>
      </c>
      <c r="R18">
        <v>3.4395986895604387</v>
      </c>
      <c r="S18">
        <v>29.785078458355311</v>
      </c>
      <c r="U18">
        <v>0.13772865650744989</v>
      </c>
      <c r="V18">
        <v>49.89027970805958</v>
      </c>
      <c r="W18">
        <v>12.428476901625411</v>
      </c>
      <c r="X18">
        <v>45.300440654649769</v>
      </c>
      <c r="Y18">
        <v>3.606262418670787</v>
      </c>
      <c r="Z18">
        <v>18.192407894428822</v>
      </c>
      <c r="AB18">
        <v>31.099858945382842</v>
      </c>
      <c r="AE18">
        <v>6.5139568059127955</v>
      </c>
      <c r="AF18">
        <v>7.9759112443256361</v>
      </c>
      <c r="AG18">
        <v>16.113739740091724</v>
      </c>
      <c r="AI18">
        <v>2.6679313586680773</v>
      </c>
      <c r="AK18">
        <v>26.589694423983129</v>
      </c>
    </row>
    <row r="19" spans="1:37" x14ac:dyDescent="0.2">
      <c r="A19">
        <v>18</v>
      </c>
      <c r="B19">
        <v>726</v>
      </c>
      <c r="C19">
        <v>300</v>
      </c>
      <c r="D19">
        <v>0.251314116999449</v>
      </c>
      <c r="E19">
        <v>214.0412547353944</v>
      </c>
      <c r="F19">
        <v>49.224280640749143</v>
      </c>
      <c r="G19">
        <v>69.128216947675583</v>
      </c>
      <c r="H19">
        <v>64.461861442608182</v>
      </c>
      <c r="J19">
        <v>20.416792547005116</v>
      </c>
      <c r="L19">
        <v>1.8101092084887169</v>
      </c>
      <c r="M19">
        <v>7.704232894712125</v>
      </c>
      <c r="N19">
        <v>2.7293587411679781</v>
      </c>
      <c r="O19">
        <v>5.2683124347022652</v>
      </c>
      <c r="P19">
        <v>7.4801779485598523</v>
      </c>
      <c r="R19">
        <v>2.960606416943754</v>
      </c>
      <c r="S19">
        <v>30.386473460451246</v>
      </c>
      <c r="U19">
        <v>9.1142658507637031E-2</v>
      </c>
      <c r="V19">
        <v>50.692218561808538</v>
      </c>
      <c r="W19">
        <v>11.668385413553693</v>
      </c>
      <c r="X19">
        <v>45.236527084520461</v>
      </c>
      <c r="Y19">
        <v>3.564333368228322</v>
      </c>
      <c r="Z19">
        <v>18.259310665951034</v>
      </c>
      <c r="AB19">
        <v>31.71891141923339</v>
      </c>
      <c r="AE19">
        <v>6.5391554656783288</v>
      </c>
      <c r="AF19">
        <v>7.3576722177118636</v>
      </c>
      <c r="AG19">
        <v>16.702908730693974</v>
      </c>
      <c r="AI19">
        <v>2.6712629653943458</v>
      </c>
      <c r="AK19">
        <v>25.509858929137032</v>
      </c>
    </row>
    <row r="20" spans="1:37" x14ac:dyDescent="0.2">
      <c r="A20">
        <v>19</v>
      </c>
      <c r="B20">
        <v>724</v>
      </c>
      <c r="C20">
        <v>300</v>
      </c>
      <c r="D20">
        <v>0.249672065386352</v>
      </c>
      <c r="E20">
        <v>214.21913694334347</v>
      </c>
      <c r="F20">
        <v>49.78660020420898</v>
      </c>
      <c r="G20">
        <v>69.091183037039386</v>
      </c>
      <c r="H20">
        <v>64.420900420612668</v>
      </c>
      <c r="J20">
        <v>19.352782677026674</v>
      </c>
      <c r="L20">
        <v>1.8296371629243295</v>
      </c>
      <c r="M20">
        <v>7.1447478571089373</v>
      </c>
      <c r="N20">
        <v>2.733313987681329</v>
      </c>
      <c r="O20">
        <v>5.2506288290870353</v>
      </c>
      <c r="P20">
        <v>7.4535738583647237</v>
      </c>
      <c r="R20">
        <v>2.5184706614135783</v>
      </c>
      <c r="S20">
        <v>30.918543628564205</v>
      </c>
      <c r="U20">
        <v>4.559760219141424E-2</v>
      </c>
      <c r="V20">
        <v>51.407700872741053</v>
      </c>
      <c r="W20">
        <v>10.964328836114914</v>
      </c>
      <c r="X20">
        <v>45.176380449471161</v>
      </c>
      <c r="Y20">
        <v>3.5280529467101598</v>
      </c>
      <c r="Z20">
        <v>18.317467996162545</v>
      </c>
      <c r="AB20">
        <v>32.270850233549801</v>
      </c>
      <c r="AE20">
        <v>6.5597815306870206</v>
      </c>
      <c r="AF20">
        <v>6.7959897209783593</v>
      </c>
      <c r="AG20">
        <v>17.224971497379123</v>
      </c>
      <c r="AI20">
        <v>2.6745876319841839</v>
      </c>
      <c r="AK20">
        <v>24.664870293244984</v>
      </c>
    </row>
    <row r="21" spans="1:37" x14ac:dyDescent="0.2">
      <c r="A21">
        <v>20</v>
      </c>
      <c r="B21">
        <v>760</v>
      </c>
      <c r="C21">
        <v>275</v>
      </c>
      <c r="D21">
        <v>0.30487392924551299</v>
      </c>
      <c r="E21">
        <v>201.07132717508441</v>
      </c>
      <c r="F21">
        <v>57.114521799319576</v>
      </c>
      <c r="G21">
        <v>70.865890170987143</v>
      </c>
      <c r="H21">
        <v>66.273374053219712</v>
      </c>
      <c r="J21">
        <v>45.365130794549856</v>
      </c>
      <c r="L21">
        <v>3.9105747905088863</v>
      </c>
      <c r="M21">
        <v>13.77024142784655</v>
      </c>
      <c r="N21">
        <v>2.5834767766243392</v>
      </c>
      <c r="O21">
        <v>16.247320179186644</v>
      </c>
      <c r="P21">
        <v>9.9338683245703674</v>
      </c>
      <c r="Q21">
        <v>1.4109620001159386</v>
      </c>
      <c r="R21">
        <v>11.610041833616949</v>
      </c>
      <c r="S21">
        <v>36.908039080111607</v>
      </c>
      <c r="U21">
        <v>2.4799443350786499</v>
      </c>
      <c r="V21">
        <v>47.089333682901362</v>
      </c>
      <c r="W21">
        <v>22.243704900759219</v>
      </c>
      <c r="X21">
        <v>50.262496777484117</v>
      </c>
      <c r="Y21">
        <v>6.1084045350672538</v>
      </c>
      <c r="Z21">
        <v>28.131725597397168</v>
      </c>
      <c r="AA21">
        <v>2.8284990894544682</v>
      </c>
      <c r="AB21">
        <v>33.557437114561289</v>
      </c>
      <c r="AC21">
        <v>1.2455753801165282E-2</v>
      </c>
      <c r="AD21">
        <v>5.8995499445797535</v>
      </c>
      <c r="AE21">
        <v>11.693120370372906</v>
      </c>
      <c r="AF21">
        <v>13.45971796629197</v>
      </c>
      <c r="AG21">
        <v>19.080263874033086</v>
      </c>
      <c r="AH21">
        <v>4.679543238786839</v>
      </c>
      <c r="AI21">
        <v>2.532299359729405</v>
      </c>
      <c r="AK21">
        <v>42.428432830120606</v>
      </c>
    </row>
    <row r="22" spans="1:37" x14ac:dyDescent="0.2">
      <c r="A22">
        <v>21</v>
      </c>
      <c r="B22">
        <v>758</v>
      </c>
      <c r="C22">
        <v>275</v>
      </c>
      <c r="D22">
        <v>0.303389904475587</v>
      </c>
      <c r="E22">
        <v>200.85241735779451</v>
      </c>
      <c r="F22">
        <v>56.449629074636292</v>
      </c>
      <c r="G22">
        <v>70.754652711076943</v>
      </c>
      <c r="H22">
        <v>66.157282959836806</v>
      </c>
      <c r="J22">
        <v>45.271915267729753</v>
      </c>
      <c r="L22">
        <v>3.7619941679933908</v>
      </c>
      <c r="M22">
        <v>13.656947766806292</v>
      </c>
      <c r="N22">
        <v>2.574605626997069</v>
      </c>
      <c r="O22">
        <v>15.540581068220911</v>
      </c>
      <c r="P22">
        <v>9.7454617223735305</v>
      </c>
      <c r="Q22">
        <v>1.3033716898062631</v>
      </c>
      <c r="R22">
        <v>11.236067180956955</v>
      </c>
      <c r="S22">
        <v>36.158755400544827</v>
      </c>
      <c r="U22">
        <v>2.3389511663163414</v>
      </c>
      <c r="V22">
        <v>46.904063782237579</v>
      </c>
      <c r="W22">
        <v>21.879684902840879</v>
      </c>
      <c r="X22">
        <v>49.914843164240111</v>
      </c>
      <c r="Y22">
        <v>5.9538818111426153</v>
      </c>
      <c r="Z22">
        <v>27.771300426975838</v>
      </c>
      <c r="AA22">
        <v>2.6745154328118734</v>
      </c>
      <c r="AB22">
        <v>33.302616324118183</v>
      </c>
      <c r="AD22">
        <v>5.6963272945170162</v>
      </c>
      <c r="AE22">
        <v>11.529051449186877</v>
      </c>
      <c r="AF22">
        <v>13.33136817517053</v>
      </c>
      <c r="AG22">
        <v>18.782629122963499</v>
      </c>
      <c r="AH22">
        <v>4.4497293536385953</v>
      </c>
      <c r="AI22">
        <v>2.5228581386799891</v>
      </c>
      <c r="AK22">
        <v>42.440962875009681</v>
      </c>
    </row>
    <row r="23" spans="1:37" x14ac:dyDescent="0.2">
      <c r="A23">
        <v>22</v>
      </c>
      <c r="B23">
        <v>756</v>
      </c>
      <c r="C23">
        <v>275</v>
      </c>
      <c r="D23">
        <v>0.30190011174270298</v>
      </c>
      <c r="E23">
        <v>200.60406770296282</v>
      </c>
      <c r="F23">
        <v>55.68463103749734</v>
      </c>
      <c r="G23">
        <v>70.62851124832541</v>
      </c>
      <c r="H23">
        <v>66.02633982151508</v>
      </c>
      <c r="J23">
        <v>45.125228840690575</v>
      </c>
      <c r="L23">
        <v>3.5973031913342237</v>
      </c>
      <c r="M23">
        <v>13.501749078920168</v>
      </c>
      <c r="N23">
        <v>2.5785524976719039</v>
      </c>
      <c r="O23">
        <v>14.791712622878437</v>
      </c>
      <c r="P23">
        <v>9.5400959470191182</v>
      </c>
      <c r="Q23">
        <v>1.1641656054124696</v>
      </c>
      <c r="R23">
        <v>10.795216172841796</v>
      </c>
      <c r="S23">
        <v>35.202655598176698</v>
      </c>
      <c r="U23">
        <v>2.1620670080852151</v>
      </c>
      <c r="V23">
        <v>46.650308854455375</v>
      </c>
      <c r="W23">
        <v>21.437308725344021</v>
      </c>
      <c r="X23">
        <v>49.445489147913861</v>
      </c>
      <c r="Y23">
        <v>5.7768952449504241</v>
      </c>
      <c r="Z23">
        <v>27.353342194457721</v>
      </c>
      <c r="AA23">
        <v>2.5046518849180575</v>
      </c>
      <c r="AB23">
        <v>32.975682412601621</v>
      </c>
      <c r="AD23">
        <v>5.455566698315252</v>
      </c>
      <c r="AE23">
        <v>11.342805715480131</v>
      </c>
      <c r="AF23">
        <v>13.173932519687016</v>
      </c>
      <c r="AG23">
        <v>18.425709309296078</v>
      </c>
      <c r="AH23">
        <v>4.1724958236358889</v>
      </c>
      <c r="AI23">
        <v>2.5262316290285538</v>
      </c>
      <c r="AK23">
        <v>42.434348002192735</v>
      </c>
    </row>
    <row r="24" spans="1:37" x14ac:dyDescent="0.2">
      <c r="A24">
        <v>23</v>
      </c>
      <c r="B24">
        <v>754</v>
      </c>
      <c r="C24">
        <v>275</v>
      </c>
      <c r="D24">
        <v>0.30040451735384299</v>
      </c>
      <c r="E24">
        <v>200.35634821769634</v>
      </c>
      <c r="F24">
        <v>54.922437035479959</v>
      </c>
      <c r="G24">
        <v>70.502705984230559</v>
      </c>
      <c r="H24">
        <v>65.895785005978254</v>
      </c>
      <c r="J24">
        <v>44.980964532719021</v>
      </c>
      <c r="L24">
        <v>3.4333216451010085</v>
      </c>
      <c r="M24">
        <v>13.347142376179631</v>
      </c>
      <c r="N24">
        <v>2.5824988594966474</v>
      </c>
      <c r="O24">
        <v>14.045319778330267</v>
      </c>
      <c r="P24">
        <v>9.3354330533003367</v>
      </c>
      <c r="Q24">
        <v>1.02543064737212</v>
      </c>
      <c r="R24">
        <v>10.355805346617178</v>
      </c>
      <c r="S24">
        <v>34.250314064355287</v>
      </c>
      <c r="U24">
        <v>1.9854767705739127</v>
      </c>
      <c r="V24">
        <v>46.397402124401438</v>
      </c>
      <c r="W24">
        <v>20.996068375579608</v>
      </c>
      <c r="X24">
        <v>48.977884025748871</v>
      </c>
      <c r="Y24">
        <v>5.6005215707907805</v>
      </c>
      <c r="Z24">
        <v>26.936584135112529</v>
      </c>
      <c r="AA24">
        <v>2.3353743687973112</v>
      </c>
      <c r="AB24">
        <v>32.649858061542119</v>
      </c>
      <c r="AD24">
        <v>5.2153011705392647</v>
      </c>
      <c r="AE24">
        <v>11.157068707050533</v>
      </c>
      <c r="AF24">
        <v>13.01708952741688</v>
      </c>
      <c r="AG24">
        <v>18.069908632640356</v>
      </c>
      <c r="AH24">
        <v>3.896187695794715</v>
      </c>
      <c r="AI24">
        <v>2.529601286914875</v>
      </c>
      <c r="AK24">
        <v>42.429004160705198</v>
      </c>
    </row>
    <row r="25" spans="1:37" x14ac:dyDescent="0.2">
      <c r="A25">
        <v>24</v>
      </c>
      <c r="B25">
        <v>752</v>
      </c>
      <c r="C25">
        <v>275</v>
      </c>
      <c r="D25">
        <v>0.29890308735307097</v>
      </c>
      <c r="E25">
        <v>200.10925541572368</v>
      </c>
      <c r="F25">
        <v>54.163032497315804</v>
      </c>
      <c r="G25">
        <v>70.377235545772194</v>
      </c>
      <c r="H25">
        <v>65.765617307076297</v>
      </c>
      <c r="J25">
        <v>44.83911815130277</v>
      </c>
      <c r="L25">
        <v>3.2700061918355314</v>
      </c>
      <c r="M25">
        <v>13.193123729812966</v>
      </c>
      <c r="N25">
        <v>2.5864447170502638</v>
      </c>
      <c r="O25">
        <v>13.301391240193054</v>
      </c>
      <c r="P25">
        <v>9.1314704817108545</v>
      </c>
      <c r="Q25">
        <v>0.88726977399783935</v>
      </c>
      <c r="R25">
        <v>9.9178251211970139</v>
      </c>
      <c r="S25">
        <v>33.301707515222184</v>
      </c>
      <c r="U25">
        <v>1.8091774179046156</v>
      </c>
      <c r="V25">
        <v>46.145337603359486</v>
      </c>
      <c r="W25">
        <v>20.555956027671467</v>
      </c>
      <c r="X25">
        <v>48.512015512992456</v>
      </c>
      <c r="Y25">
        <v>5.4247573094336916</v>
      </c>
      <c r="Z25">
        <v>26.521018317568338</v>
      </c>
      <c r="AA25">
        <v>2.1668491914149852</v>
      </c>
      <c r="AB25">
        <v>32.325135664186057</v>
      </c>
      <c r="AD25">
        <v>4.9755293099609892</v>
      </c>
      <c r="AE25">
        <v>10.97183668400872</v>
      </c>
      <c r="AF25">
        <v>12.860835319105204</v>
      </c>
      <c r="AG25">
        <v>17.715219538356276</v>
      </c>
      <c r="AH25">
        <v>3.6208015040924835</v>
      </c>
      <c r="AI25">
        <v>2.5329671022063955</v>
      </c>
      <c r="AK25">
        <v>42.424930414616306</v>
      </c>
    </row>
    <row r="26" spans="1:37" x14ac:dyDescent="0.2">
      <c r="A26">
        <v>25</v>
      </c>
      <c r="B26">
        <v>750</v>
      </c>
      <c r="C26">
        <v>275</v>
      </c>
      <c r="D26">
        <v>0.29739578751893703</v>
      </c>
      <c r="E26">
        <v>199.86278588724628</v>
      </c>
      <c r="F26">
        <v>53.406403190036677</v>
      </c>
      <c r="G26">
        <v>70.252098599240853</v>
      </c>
      <c r="H26">
        <v>65.635835558622347</v>
      </c>
      <c r="J26">
        <v>44.699685659252602</v>
      </c>
      <c r="L26">
        <v>3.107304660463138</v>
      </c>
      <c r="M26">
        <v>13.039689280694635</v>
      </c>
      <c r="N26">
        <v>2.5903900749921598</v>
      </c>
      <c r="O26">
        <v>12.559915979976731</v>
      </c>
      <c r="P26">
        <v>8.9282057524587941</v>
      </c>
      <c r="Q26">
        <v>0.7495676598437776</v>
      </c>
      <c r="R26">
        <v>9.4812661114865744</v>
      </c>
      <c r="S26">
        <v>32.356813083231366</v>
      </c>
      <c r="U26">
        <v>1.6331659878964859</v>
      </c>
      <c r="V26">
        <v>45.89410931467097</v>
      </c>
      <c r="W26">
        <v>20.116963996337383</v>
      </c>
      <c r="X26">
        <v>48.047871539715771</v>
      </c>
      <c r="Y26">
        <v>5.2495990685860834</v>
      </c>
      <c r="Z26">
        <v>26.106636959512716</v>
      </c>
      <c r="AA26">
        <v>1.9989886019960905</v>
      </c>
      <c r="AB26">
        <v>32.001507748385968</v>
      </c>
      <c r="AD26">
        <v>4.7362497641989112</v>
      </c>
      <c r="AE26">
        <v>10.787105971991096</v>
      </c>
      <c r="AF26">
        <v>12.705166085427292</v>
      </c>
      <c r="AG26">
        <v>17.361634606787337</v>
      </c>
      <c r="AH26">
        <v>3.346333900499832</v>
      </c>
      <c r="AI26">
        <v>2.5363290648473926</v>
      </c>
      <c r="AK26">
        <v>42.422125906689274</v>
      </c>
    </row>
    <row r="27" spans="1:37" x14ac:dyDescent="0.2">
      <c r="A27">
        <v>26</v>
      </c>
      <c r="B27">
        <v>748</v>
      </c>
      <c r="C27">
        <v>275</v>
      </c>
      <c r="D27">
        <v>0.29588258336189799</v>
      </c>
      <c r="E27">
        <v>199.61693629817609</v>
      </c>
      <c r="F27">
        <v>52.652535214726718</v>
      </c>
      <c r="G27">
        <v>70.127293849840157</v>
      </c>
      <c r="H27">
        <v>65.506438633998727</v>
      </c>
      <c r="J27">
        <v>44.56266317304113</v>
      </c>
      <c r="L27">
        <v>2.9453024208385976</v>
      </c>
      <c r="M27">
        <v>12.886835238475399</v>
      </c>
      <c r="N27">
        <v>2.5943349379562473</v>
      </c>
      <c r="O27">
        <v>11.820883231283874</v>
      </c>
      <c r="P27">
        <v>8.7256364645740732</v>
      </c>
      <c r="Q27">
        <v>0.61237961429597731</v>
      </c>
      <c r="R27">
        <v>9.0461191262794536</v>
      </c>
      <c r="S27">
        <v>31.415608311654758</v>
      </c>
      <c r="U27">
        <v>1.45743959127693</v>
      </c>
      <c r="V27">
        <v>45.643711287209612</v>
      </c>
      <c r="W27">
        <v>19.679084734886192</v>
      </c>
      <c r="X27">
        <v>47.585440248050752</v>
      </c>
      <c r="Y27">
        <v>5.0750435421871742</v>
      </c>
      <c r="Z27">
        <v>25.693432425232615</v>
      </c>
      <c r="AA27">
        <v>1.8317893658856192</v>
      </c>
      <c r="AB27">
        <v>31.678966974464558</v>
      </c>
      <c r="AD27">
        <v>4.4974612298406651</v>
      </c>
      <c r="AE27">
        <v>10.602872960841061</v>
      </c>
      <c r="AF27">
        <v>12.550078086013567</v>
      </c>
      <c r="AG27">
        <v>17.009146551033123</v>
      </c>
      <c r="AH27">
        <v>3.072781629229679</v>
      </c>
      <c r="AI27">
        <v>2.5396871647537385</v>
      </c>
      <c r="AK27">
        <v>42.420589857611986</v>
      </c>
    </row>
    <row r="28" spans="1:37" x14ac:dyDescent="0.2">
      <c r="A28">
        <v>27</v>
      </c>
      <c r="B28">
        <v>746</v>
      </c>
      <c r="C28">
        <v>275</v>
      </c>
      <c r="D28">
        <v>0.29436344012167098</v>
      </c>
      <c r="E28">
        <v>199.37170338862987</v>
      </c>
      <c r="F28">
        <v>51.901415000056978</v>
      </c>
      <c r="G28">
        <v>70.002820040991523</v>
      </c>
      <c r="H28">
        <v>65.377425445462109</v>
      </c>
      <c r="J28">
        <v>44.428046959886942</v>
      </c>
      <c r="L28">
        <v>2.7839128374798858</v>
      </c>
      <c r="M28">
        <v>12.734557879988616</v>
      </c>
      <c r="N28">
        <v>2.5982793105945987</v>
      </c>
      <c r="O28">
        <v>11.084282485145714</v>
      </c>
      <c r="P28">
        <v>8.5237602945686817</v>
      </c>
      <c r="Q28">
        <v>0.47569879647113705</v>
      </c>
      <c r="R28">
        <v>8.6123751647913558</v>
      </c>
      <c r="S28">
        <v>30.478071144370197</v>
      </c>
      <c r="U28">
        <v>1.2819954102826849</v>
      </c>
      <c r="V28">
        <v>45.394137547017202</v>
      </c>
      <c r="W28">
        <v>19.242310832054827</v>
      </c>
      <c r="X28">
        <v>47.12470998742095</v>
      </c>
      <c r="Y28">
        <v>4.9010875092220987</v>
      </c>
      <c r="Z28">
        <v>25.281397222514013</v>
      </c>
      <c r="AA28">
        <v>1.6652483108797604</v>
      </c>
      <c r="AB28">
        <v>31.357506132138745</v>
      </c>
      <c r="AD28">
        <v>4.2591624519969322</v>
      </c>
      <c r="AE28">
        <v>10.419134103139175</v>
      </c>
      <c r="AF28">
        <v>12.39556764789846</v>
      </c>
      <c r="AG28">
        <v>16.65774821391177</v>
      </c>
      <c r="AH28">
        <v>2.8001415723473624</v>
      </c>
      <c r="AI28">
        <v>2.5430413918566726</v>
      </c>
      <c r="AK28">
        <v>42.420321564546967</v>
      </c>
    </row>
    <row r="29" spans="1:37" x14ac:dyDescent="0.2">
      <c r="A29">
        <v>28</v>
      </c>
      <c r="B29">
        <v>744</v>
      </c>
      <c r="C29">
        <v>275</v>
      </c>
      <c r="D29">
        <v>0.29283832276459099</v>
      </c>
      <c r="E29">
        <v>199.12708397182766</v>
      </c>
      <c r="F29">
        <v>51.153029297116113</v>
      </c>
      <c r="G29">
        <v>69.878675953806038</v>
      </c>
      <c r="H29">
        <v>65.248794943622912</v>
      </c>
      <c r="J29">
        <v>44.295833435551849</v>
      </c>
      <c r="L29">
        <v>2.6232137287058612</v>
      </c>
      <c r="M29">
        <v>12.582853548029712</v>
      </c>
      <c r="N29">
        <v>2.6022231975587049</v>
      </c>
      <c r="O29">
        <v>10.350103485952056</v>
      </c>
      <c r="P29">
        <v>8.3225749953668391</v>
      </c>
      <c r="Q29">
        <v>0.44872164384999857</v>
      </c>
      <c r="R29">
        <v>8.1800254139524551</v>
      </c>
      <c r="S29">
        <v>29.544179923252358</v>
      </c>
      <c r="U29">
        <v>1.1068306975894067</v>
      </c>
      <c r="V29">
        <v>45.145382109202899</v>
      </c>
      <c r="W29">
        <v>18.806635009452648</v>
      </c>
      <c r="X29">
        <v>46.665669311496615</v>
      </c>
      <c r="Y29">
        <v>4.7277278328145389</v>
      </c>
      <c r="Z29">
        <v>24.870523999910219</v>
      </c>
      <c r="AA29">
        <v>1.4993623273053454</v>
      </c>
      <c r="AB29">
        <v>31.037118137939217</v>
      </c>
      <c r="AD29">
        <v>4.021352224053711</v>
      </c>
      <c r="AE29">
        <v>10.235885912835027</v>
      </c>
      <c r="AF29">
        <v>12.241631164283145</v>
      </c>
      <c r="AG29">
        <v>16.307432565364397</v>
      </c>
      <c r="AH29">
        <v>2.5284106998174898</v>
      </c>
      <c r="AI29">
        <v>2.5463917360852206</v>
      </c>
      <c r="AK29">
        <v>42.421320400096668</v>
      </c>
    </row>
    <row r="30" spans="1:37" x14ac:dyDescent="0.2">
      <c r="A30">
        <v>29</v>
      </c>
      <c r="B30">
        <v>742</v>
      </c>
      <c r="C30">
        <v>275</v>
      </c>
      <c r="D30">
        <v>0.291307195980888</v>
      </c>
      <c r="E30">
        <v>198.88307493276153</v>
      </c>
      <c r="F30">
        <v>50.407365173590264</v>
      </c>
      <c r="G30">
        <v>69.75486040646993</v>
      </c>
      <c r="H30">
        <v>65.120546116832557</v>
      </c>
      <c r="J30">
        <v>44.166019161724861</v>
      </c>
      <c r="L30">
        <v>2.4631203900522305</v>
      </c>
      <c r="M30">
        <v>12.431718649940604</v>
      </c>
      <c r="N30">
        <v>2.6061666035144926</v>
      </c>
      <c r="O30">
        <v>9.6183362271671129</v>
      </c>
      <c r="P30">
        <v>8.1220783950998534</v>
      </c>
      <c r="Q30">
        <v>0.20383999570015293</v>
      </c>
      <c r="R30">
        <v>7.749061245297888</v>
      </c>
      <c r="S30">
        <v>28.613913373099546</v>
      </c>
      <c r="U30">
        <v>0.93194277508071066</v>
      </c>
      <c r="V30">
        <v>44.897438968884558</v>
      </c>
      <c r="W30">
        <v>18.372050118775114</v>
      </c>
      <c r="X30">
        <v>46.208306973271618</v>
      </c>
      <c r="Y30">
        <v>4.5549614591777177</v>
      </c>
      <c r="Z30">
        <v>24.460805543925748</v>
      </c>
      <c r="AA30">
        <v>1.3341283692172146</v>
      </c>
      <c r="AB30">
        <v>30.717796032443495</v>
      </c>
      <c r="AD30">
        <v>3.7840293872548747</v>
      </c>
      <c r="AE30">
        <v>10.053124963895197</v>
      </c>
      <c r="AF30">
        <v>12.088265093140887</v>
      </c>
      <c r="AG30">
        <v>15.958192699709555</v>
      </c>
      <c r="AH30">
        <v>2.2575860901865146</v>
      </c>
      <c r="AI30">
        <v>2.5497381873823808</v>
      </c>
      <c r="AK30">
        <v>42.423585810999576</v>
      </c>
    </row>
    <row r="31" spans="1:37" x14ac:dyDescent="0.2">
      <c r="A31">
        <v>30</v>
      </c>
      <c r="B31">
        <v>740</v>
      </c>
      <c r="C31">
        <v>275</v>
      </c>
      <c r="D31">
        <v>0.28977002418201098</v>
      </c>
      <c r="E31">
        <v>198.63967322737005</v>
      </c>
      <c r="F31">
        <v>49.664410009384511</v>
      </c>
      <c r="G31">
        <v>69.63137225379846</v>
      </c>
      <c r="H31">
        <v>64.992677990742521</v>
      </c>
      <c r="J31">
        <v>44.038600844295722</v>
      </c>
      <c r="L31">
        <v>2.3037192382865577</v>
      </c>
      <c r="M31">
        <v>12.281149656538423</v>
      </c>
      <c r="N31">
        <v>2.610109533159668</v>
      </c>
      <c r="O31">
        <v>8.8889709477656957</v>
      </c>
      <c r="P31">
        <v>7.9222683962388301</v>
      </c>
      <c r="Q31">
        <v>6.8664725588319014E-2</v>
      </c>
      <c r="R31">
        <v>7.3194742127190269</v>
      </c>
      <c r="S31">
        <v>27.687250600116695</v>
      </c>
      <c r="U31">
        <v>0.75732903289955944</v>
      </c>
      <c r="V31">
        <v>44.650302092394632</v>
      </c>
      <c r="W31">
        <v>17.938549139339717</v>
      </c>
      <c r="X31">
        <v>45.752611922478799</v>
      </c>
      <c r="Y31">
        <v>4.382785416883495</v>
      </c>
      <c r="Z31">
        <v>24.0522347762703</v>
      </c>
      <c r="AA31">
        <v>1.1695434573810926</v>
      </c>
      <c r="AB31">
        <v>30.399532977752237</v>
      </c>
      <c r="AD31">
        <v>3.5471928303520968</v>
      </c>
      <c r="AE31">
        <v>9.8708478888758826</v>
      </c>
      <c r="AF31">
        <v>11.935465956152063</v>
      </c>
      <c r="AG31">
        <v>15.610021833132137</v>
      </c>
      <c r="AH31">
        <v>1.9876649287580952</v>
      </c>
      <c r="AI31">
        <v>2.5530807357211835</v>
      </c>
      <c r="AK31">
        <v>42.427117317416901</v>
      </c>
    </row>
    <row r="32" spans="1:37" x14ac:dyDescent="0.2">
      <c r="A32">
        <v>31</v>
      </c>
      <c r="B32">
        <v>738</v>
      </c>
      <c r="C32">
        <v>275</v>
      </c>
      <c r="D32">
        <v>0.28822677149780002</v>
      </c>
      <c r="E32">
        <v>198.75062570048894</v>
      </c>
      <c r="F32">
        <v>46.723434553198643</v>
      </c>
      <c r="G32">
        <v>69.490843925364601</v>
      </c>
      <c r="H32">
        <v>64.847823166436342</v>
      </c>
      <c r="J32">
        <v>33.829637729198353</v>
      </c>
      <c r="L32">
        <v>1.6528054986364695</v>
      </c>
      <c r="M32">
        <v>11.486211440913177</v>
      </c>
      <c r="N32">
        <v>2.6140856132788022</v>
      </c>
      <c r="O32">
        <v>5.5405318025464245</v>
      </c>
      <c r="P32">
        <v>7.6884436739150566</v>
      </c>
      <c r="R32">
        <v>6.1628092664709442</v>
      </c>
      <c r="S32">
        <v>27.569295899822841</v>
      </c>
      <c r="U32">
        <v>0.63175844532603775</v>
      </c>
      <c r="V32">
        <v>46.009964936631953</v>
      </c>
      <c r="W32">
        <v>16.92586971708673</v>
      </c>
      <c r="X32">
        <v>45.462798765173972</v>
      </c>
      <c r="Y32">
        <v>3.77001264524921</v>
      </c>
      <c r="Z32">
        <v>18.522544717128042</v>
      </c>
      <c r="AB32">
        <v>28.617274102356134</v>
      </c>
      <c r="AD32">
        <v>0.72896386661622126</v>
      </c>
      <c r="AE32">
        <v>6.8328669410593728</v>
      </c>
      <c r="AF32">
        <v>11.138332299570656</v>
      </c>
      <c r="AG32">
        <v>13.797898770615571</v>
      </c>
      <c r="AI32">
        <v>2.5564529931619902</v>
      </c>
      <c r="AK32">
        <v>35.245566141825378</v>
      </c>
    </row>
    <row r="33" spans="1:37" x14ac:dyDescent="0.2">
      <c r="A33">
        <v>32</v>
      </c>
      <c r="B33">
        <v>736</v>
      </c>
      <c r="C33">
        <v>275</v>
      </c>
      <c r="D33">
        <v>0.28667740177377199</v>
      </c>
      <c r="E33">
        <v>199.22892734872414</v>
      </c>
      <c r="F33">
        <v>47.608191819253499</v>
      </c>
      <c r="G33">
        <v>69.502102331811614</v>
      </c>
      <c r="H33">
        <v>64.854808726746171</v>
      </c>
      <c r="J33">
        <v>27.022140720945728</v>
      </c>
      <c r="L33">
        <v>1.7028918503672938</v>
      </c>
      <c r="M33">
        <v>10.377896173316078</v>
      </c>
      <c r="N33">
        <v>2.6180749157804568</v>
      </c>
      <c r="O33">
        <v>5.4611155315750031</v>
      </c>
      <c r="P33">
        <v>7.7582383115841846</v>
      </c>
      <c r="R33">
        <v>5.4353016373998884</v>
      </c>
      <c r="S33">
        <v>28.820683764220483</v>
      </c>
      <c r="U33">
        <v>0.56490825192169158</v>
      </c>
      <c r="V33">
        <v>47.608151793101811</v>
      </c>
      <c r="W33">
        <v>15.681306032148255</v>
      </c>
      <c r="X33">
        <v>45.339727581963075</v>
      </c>
      <c r="Y33">
        <v>3.7090561594431692</v>
      </c>
      <c r="Z33">
        <v>17.867269385067935</v>
      </c>
      <c r="AB33">
        <v>29.400027558464174</v>
      </c>
      <c r="AE33">
        <v>6.4305040004310587</v>
      </c>
      <c r="AF33">
        <v>10.027836412140728</v>
      </c>
      <c r="AG33">
        <v>14.550811786304569</v>
      </c>
      <c r="AI33">
        <v>2.5598350168899668</v>
      </c>
      <c r="AK33">
        <v>30.355051329960343</v>
      </c>
    </row>
    <row r="34" spans="1:37" x14ac:dyDescent="0.2">
      <c r="A34">
        <v>33</v>
      </c>
      <c r="B34">
        <v>734</v>
      </c>
      <c r="C34">
        <v>275</v>
      </c>
      <c r="D34">
        <v>0.28512187856823701</v>
      </c>
      <c r="E34">
        <v>199.54771229466729</v>
      </c>
      <c r="F34">
        <v>48.481553160714583</v>
      </c>
      <c r="G34">
        <v>69.4665059510221</v>
      </c>
      <c r="H34">
        <v>64.81499332242629</v>
      </c>
      <c r="J34">
        <v>23.809857444764177</v>
      </c>
      <c r="L34">
        <v>1.7338578366077781</v>
      </c>
      <c r="M34">
        <v>9.5292683165501977</v>
      </c>
      <c r="N34">
        <v>2.6220490452150051</v>
      </c>
      <c r="O34">
        <v>5.4497149303526387</v>
      </c>
      <c r="P34">
        <v>7.7343410609002277</v>
      </c>
      <c r="R34">
        <v>4.8037603580561159</v>
      </c>
      <c r="S34">
        <v>29.684267860159721</v>
      </c>
      <c r="U34">
        <v>0.5147930154672552</v>
      </c>
      <c r="V34">
        <v>48.760934770450746</v>
      </c>
      <c r="W34">
        <v>14.688141851062314</v>
      </c>
      <c r="X34">
        <v>45.265572047151863</v>
      </c>
      <c r="Y34">
        <v>3.6400137771719452</v>
      </c>
      <c r="Z34">
        <v>17.97314767449117</v>
      </c>
      <c r="AB34">
        <v>30.2870921184773</v>
      </c>
      <c r="AE34">
        <v>6.4763432651005148</v>
      </c>
      <c r="AF34">
        <v>9.1770144080145677</v>
      </c>
      <c r="AG34">
        <v>15.408031307502757</v>
      </c>
      <c r="AI34">
        <v>2.5631983967334899</v>
      </c>
      <c r="AK34">
        <v>27.975843127968027</v>
      </c>
    </row>
    <row r="35" spans="1:37" x14ac:dyDescent="0.2">
      <c r="A35">
        <v>34</v>
      </c>
      <c r="B35">
        <v>732</v>
      </c>
      <c r="C35">
        <v>275</v>
      </c>
      <c r="D35">
        <v>0.28356016514948101</v>
      </c>
      <c r="E35">
        <v>199.80130637993642</v>
      </c>
      <c r="F35">
        <v>49.210582115162062</v>
      </c>
      <c r="G35">
        <v>69.430147085554978</v>
      </c>
      <c r="H35">
        <v>64.77446942959314</v>
      </c>
      <c r="J35">
        <v>21.788091208825183</v>
      </c>
      <c r="L35">
        <v>1.7587874883127006</v>
      </c>
      <c r="M35">
        <v>8.8167159112172797</v>
      </c>
      <c r="N35">
        <v>2.6260167655414977</v>
      </c>
      <c r="O35">
        <v>5.4279468282126144</v>
      </c>
      <c r="P35">
        <v>7.7089454833512452</v>
      </c>
      <c r="R35">
        <v>4.2571318279602002</v>
      </c>
      <c r="S35">
        <v>30.374438701274684</v>
      </c>
      <c r="U35">
        <v>0.46796643568626117</v>
      </c>
      <c r="V35">
        <v>49.703909234243035</v>
      </c>
      <c r="W35">
        <v>13.829371891570636</v>
      </c>
      <c r="X35">
        <v>45.201672035119095</v>
      </c>
      <c r="Y35">
        <v>3.5854480842652552</v>
      </c>
      <c r="Z35">
        <v>18.056759421446777</v>
      </c>
      <c r="AB35">
        <v>31.008958491796708</v>
      </c>
      <c r="AE35">
        <v>6.5105018848399796</v>
      </c>
      <c r="AF35">
        <v>8.4622631387576295</v>
      </c>
      <c r="AG35">
        <v>16.100056858245853</v>
      </c>
      <c r="AI35">
        <v>2.5665518819306583</v>
      </c>
      <c r="AK35">
        <v>26.441350187490006</v>
      </c>
    </row>
    <row r="36" spans="1:37" x14ac:dyDescent="0.2">
      <c r="A36">
        <v>35</v>
      </c>
      <c r="B36">
        <v>730</v>
      </c>
      <c r="C36">
        <v>275</v>
      </c>
      <c r="D36">
        <v>0.28199222449285299</v>
      </c>
      <c r="E36">
        <v>200.01357608145116</v>
      </c>
      <c r="F36">
        <v>49.848278543490572</v>
      </c>
      <c r="G36">
        <v>69.393268894792385</v>
      </c>
      <c r="H36">
        <v>64.733480381878422</v>
      </c>
      <c r="J36">
        <v>20.345320738776881</v>
      </c>
      <c r="L36">
        <v>1.7802098306652951</v>
      </c>
      <c r="M36">
        <v>8.1886703655603412</v>
      </c>
      <c r="N36">
        <v>2.6299801270495839</v>
      </c>
      <c r="O36">
        <v>5.4004197110026055</v>
      </c>
      <c r="P36">
        <v>7.6825401414960153</v>
      </c>
      <c r="R36">
        <v>3.7653087560383787</v>
      </c>
      <c r="S36">
        <v>30.9648135327602</v>
      </c>
      <c r="U36">
        <v>0.42228920063897935</v>
      </c>
      <c r="V36">
        <v>50.519441708096409</v>
      </c>
      <c r="W36">
        <v>13.054500401513078</v>
      </c>
      <c r="X36">
        <v>45.141872563338232</v>
      </c>
      <c r="Y36">
        <v>3.5397423129936336</v>
      </c>
      <c r="Z36">
        <v>18.126679553498025</v>
      </c>
      <c r="AB36">
        <v>31.632545327557796</v>
      </c>
      <c r="AE36">
        <v>6.5375129171270112</v>
      </c>
      <c r="AF36">
        <v>7.8320161101211099</v>
      </c>
      <c r="AG36">
        <v>16.693809188966046</v>
      </c>
      <c r="AI36">
        <v>2.5698975080538982</v>
      </c>
      <c r="AK36">
        <v>25.323096330373797</v>
      </c>
    </row>
    <row r="37" spans="1:37" x14ac:dyDescent="0.2">
      <c r="A37">
        <v>36</v>
      </c>
      <c r="B37">
        <v>728</v>
      </c>
      <c r="C37">
        <v>275</v>
      </c>
      <c r="D37">
        <v>0.280418019277831</v>
      </c>
      <c r="E37">
        <v>200.19668912876597</v>
      </c>
      <c r="F37">
        <v>50.421648899703179</v>
      </c>
      <c r="G37">
        <v>69.356024106135223</v>
      </c>
      <c r="H37">
        <v>64.692179081626335</v>
      </c>
      <c r="J37">
        <v>19.242779357591939</v>
      </c>
      <c r="L37">
        <v>1.7994395882844256</v>
      </c>
      <c r="M37">
        <v>7.6197567773119097</v>
      </c>
      <c r="N37">
        <v>2.6339401599951895</v>
      </c>
      <c r="O37">
        <v>5.3695830876455055</v>
      </c>
      <c r="P37">
        <v>7.6554317149877749</v>
      </c>
      <c r="R37">
        <v>3.3128351651175096</v>
      </c>
      <c r="S37">
        <v>31.48826312650203</v>
      </c>
      <c r="U37">
        <v>0.37709672953362988</v>
      </c>
      <c r="V37">
        <v>51.246600132682971</v>
      </c>
      <c r="W37">
        <v>12.33849112217071</v>
      </c>
      <c r="X37">
        <v>45.084258395014736</v>
      </c>
      <c r="Y37">
        <v>3.5001852016213926</v>
      </c>
      <c r="Z37">
        <v>18.187129498735178</v>
      </c>
      <c r="AB37">
        <v>32.188838053593024</v>
      </c>
      <c r="AE37">
        <v>6.5595868413953742</v>
      </c>
      <c r="AF37">
        <v>7.2608994975244334</v>
      </c>
      <c r="AG37">
        <v>17.220274809087734</v>
      </c>
      <c r="AI37">
        <v>2.5732362906448185</v>
      </c>
      <c r="AK37">
        <v>24.452312329375438</v>
      </c>
    </row>
    <row r="38" spans="1:37" x14ac:dyDescent="0.2">
      <c r="A38">
        <v>37</v>
      </c>
      <c r="B38">
        <v>726</v>
      </c>
      <c r="C38">
        <v>275</v>
      </c>
      <c r="D38">
        <v>0.27883751188509998</v>
      </c>
      <c r="E38">
        <v>200.3578227841972</v>
      </c>
      <c r="F38">
        <v>50.946611442570699</v>
      </c>
      <c r="G38">
        <v>69.318510587923697</v>
      </c>
      <c r="H38">
        <v>64.650663572818956</v>
      </c>
      <c r="J38">
        <v>18.363216677596128</v>
      </c>
      <c r="L38">
        <v>1.8170891587320075</v>
      </c>
      <c r="M38">
        <v>7.095263465618479</v>
      </c>
      <c r="N38">
        <v>2.6378974786686715</v>
      </c>
      <c r="O38">
        <v>5.3369079396901746</v>
      </c>
      <c r="P38">
        <v>7.6278167504928476</v>
      </c>
      <c r="R38">
        <v>2.8905379989343247</v>
      </c>
      <c r="S38">
        <v>31.962872286508446</v>
      </c>
      <c r="U38">
        <v>0.33211664092026627</v>
      </c>
      <c r="V38">
        <v>51.907602658666136</v>
      </c>
      <c r="W38">
        <v>11.666774448927852</v>
      </c>
      <c r="X38">
        <v>45.028042361827943</v>
      </c>
      <c r="Y38">
        <v>3.465222478832314</v>
      </c>
      <c r="Z38">
        <v>18.240544002552177</v>
      </c>
      <c r="AB38">
        <v>32.695232639359624</v>
      </c>
      <c r="AE38">
        <v>6.5779922835293867</v>
      </c>
      <c r="AF38">
        <v>6.7342022820492851</v>
      </c>
      <c r="AG38">
        <v>17.696850354030367</v>
      </c>
      <c r="AI38">
        <v>2.5765688292827229</v>
      </c>
      <c r="AK38">
        <v>23.745455822454094</v>
      </c>
    </row>
    <row r="39" spans="1:37" x14ac:dyDescent="0.2">
      <c r="A39">
        <v>38</v>
      </c>
      <c r="B39">
        <v>760</v>
      </c>
      <c r="C39">
        <v>250</v>
      </c>
      <c r="D39">
        <v>0.33149155495329902</v>
      </c>
      <c r="E39">
        <v>186.49494606823885</v>
      </c>
      <c r="F39">
        <v>56.648572076326623</v>
      </c>
      <c r="G39">
        <v>70.873133216062456</v>
      </c>
      <c r="H39">
        <v>66.279480647777106</v>
      </c>
      <c r="J39">
        <v>44.92109428445913</v>
      </c>
      <c r="L39">
        <v>3.826825442353682</v>
      </c>
      <c r="M39">
        <v>13.750706067867412</v>
      </c>
      <c r="N39">
        <v>2.4912266443150912</v>
      </c>
      <c r="O39">
        <v>16.399677805704169</v>
      </c>
      <c r="P39">
        <v>9.7149514952807046</v>
      </c>
      <c r="Q39">
        <v>1.2165714294346903</v>
      </c>
      <c r="R39">
        <v>11.667028059118907</v>
      </c>
      <c r="S39">
        <v>36.505789644651998</v>
      </c>
      <c r="U39">
        <v>2.3530998483447738</v>
      </c>
      <c r="V39">
        <v>46.573281606445875</v>
      </c>
      <c r="W39">
        <v>22.795644736434454</v>
      </c>
      <c r="X39">
        <v>48.795587067463579</v>
      </c>
      <c r="Y39">
        <v>5.921424703711037</v>
      </c>
      <c r="Z39">
        <v>28.122595853668965</v>
      </c>
      <c r="AA39">
        <v>2.7707357724297328</v>
      </c>
      <c r="AB39">
        <v>33.597255230372383</v>
      </c>
      <c r="AC39">
        <v>1.1783255580030388E-2</v>
      </c>
      <c r="AD39">
        <v>5.8825620279883939</v>
      </c>
      <c r="AE39">
        <v>11.876827944025056</v>
      </c>
      <c r="AF39">
        <v>13.425018907885454</v>
      </c>
      <c r="AG39">
        <v>19.13577278675217</v>
      </c>
      <c r="AH39">
        <v>4.2057772342190072</v>
      </c>
      <c r="AI39">
        <v>2.436837431943077</v>
      </c>
      <c r="AK39">
        <v>42.07401129509897</v>
      </c>
    </row>
    <row r="40" spans="1:37" x14ac:dyDescent="0.2">
      <c r="A40">
        <v>39</v>
      </c>
      <c r="B40">
        <v>758</v>
      </c>
      <c r="C40">
        <v>250</v>
      </c>
      <c r="D40">
        <v>0.330059157251614</v>
      </c>
      <c r="E40">
        <v>186.27550122178769</v>
      </c>
      <c r="F40">
        <v>55.982503658768877</v>
      </c>
      <c r="G40">
        <v>70.761435800209327</v>
      </c>
      <c r="H40">
        <v>66.162909255544335</v>
      </c>
      <c r="J40">
        <v>44.825239550278113</v>
      </c>
      <c r="L40">
        <v>3.6782186179057863</v>
      </c>
      <c r="M40">
        <v>13.63657138143067</v>
      </c>
      <c r="N40">
        <v>2.4830476442526779</v>
      </c>
      <c r="O40">
        <v>15.691903650924392</v>
      </c>
      <c r="P40">
        <v>9.5262975410521111</v>
      </c>
      <c r="Q40">
        <v>0.95432455208211509</v>
      </c>
      <c r="R40">
        <v>11.29212146191243</v>
      </c>
      <c r="S40">
        <v>35.750589314908161</v>
      </c>
      <c r="U40">
        <v>2.2105931021979037</v>
      </c>
      <c r="V40">
        <v>46.386697236303625</v>
      </c>
      <c r="W40">
        <v>22.428929983657323</v>
      </c>
      <c r="X40">
        <v>48.446115912438586</v>
      </c>
      <c r="Y40">
        <v>5.766280627187836</v>
      </c>
      <c r="Z40">
        <v>27.76230074184355</v>
      </c>
      <c r="AA40">
        <v>2.6168524580485757</v>
      </c>
      <c r="AB40">
        <v>33.341073171208457</v>
      </c>
      <c r="AD40">
        <v>5.679468387405139</v>
      </c>
      <c r="AE40">
        <v>11.712822806575227</v>
      </c>
      <c r="AF40">
        <v>13.296513196481774</v>
      </c>
      <c r="AG40">
        <v>18.837534682541474</v>
      </c>
      <c r="AH40">
        <v>3.9745262273960185</v>
      </c>
      <c r="AI40">
        <v>2.4280906159600928</v>
      </c>
      <c r="AK40">
        <v>42.085942149158726</v>
      </c>
    </row>
    <row r="41" spans="1:37" x14ac:dyDescent="0.2">
      <c r="A41">
        <v>40</v>
      </c>
      <c r="B41">
        <v>756</v>
      </c>
      <c r="C41">
        <v>250</v>
      </c>
      <c r="D41">
        <v>0.32862119224602798</v>
      </c>
      <c r="E41">
        <v>186.02795791175987</v>
      </c>
      <c r="F41">
        <v>55.222051057356552</v>
      </c>
      <c r="G41">
        <v>70.63564460466155</v>
      </c>
      <c r="H41">
        <v>66.032296050990979</v>
      </c>
      <c r="J41">
        <v>44.678266042497356</v>
      </c>
      <c r="L41">
        <v>3.5146083318464481</v>
      </c>
      <c r="M41">
        <v>13.482854033839951</v>
      </c>
      <c r="N41">
        <v>2.4869993111071063</v>
      </c>
      <c r="O41">
        <v>14.945021925198684</v>
      </c>
      <c r="P41">
        <v>9.3216174941871177</v>
      </c>
      <c r="Q41">
        <v>0.80302448508367574</v>
      </c>
      <c r="R41">
        <v>10.854079497028774</v>
      </c>
      <c r="S41">
        <v>34.800157806558531</v>
      </c>
      <c r="U41">
        <v>2.0338934982241117</v>
      </c>
      <c r="V41">
        <v>46.135088891440368</v>
      </c>
      <c r="W41">
        <v>21.988388210284178</v>
      </c>
      <c r="X41">
        <v>47.980863915147481</v>
      </c>
      <c r="Y41">
        <v>5.5900031735556528</v>
      </c>
      <c r="Z41">
        <v>27.349044341709583</v>
      </c>
      <c r="AA41">
        <v>2.4481045125940653</v>
      </c>
      <c r="AB41">
        <v>33.017525770905742</v>
      </c>
      <c r="AD41">
        <v>5.4415593343980877</v>
      </c>
      <c r="AE41">
        <v>11.528623240392431</v>
      </c>
      <c r="AF41">
        <v>13.140556657159149</v>
      </c>
      <c r="AG41">
        <v>18.484071942282466</v>
      </c>
      <c r="AH41">
        <v>3.698639637346707</v>
      </c>
      <c r="AI41">
        <v>2.4314711579897095</v>
      </c>
      <c r="AK41">
        <v>42.079373419020492</v>
      </c>
    </row>
    <row r="42" spans="1:37" x14ac:dyDescent="0.2">
      <c r="A42">
        <v>41</v>
      </c>
      <c r="B42">
        <v>754</v>
      </c>
      <c r="C42">
        <v>250</v>
      </c>
      <c r="D42">
        <v>0.32717762741566497</v>
      </c>
      <c r="E42">
        <v>185.78101775516922</v>
      </c>
      <c r="F42">
        <v>54.464314700932619</v>
      </c>
      <c r="G42">
        <v>70.510178595375891</v>
      </c>
      <c r="H42">
        <v>65.902060166298568</v>
      </c>
      <c r="J42">
        <v>44.533655420595082</v>
      </c>
      <c r="L42">
        <v>3.3516450652920393</v>
      </c>
      <c r="M42">
        <v>13.329709980696032</v>
      </c>
      <c r="N42">
        <v>2.4909504747693445</v>
      </c>
      <c r="O42">
        <v>14.200549885796582</v>
      </c>
      <c r="P42">
        <v>9.1176182974628759</v>
      </c>
      <c r="Q42">
        <v>0.65200316332331898</v>
      </c>
      <c r="R42">
        <v>10.417426236092609</v>
      </c>
      <c r="S42">
        <v>33.853360796590813</v>
      </c>
      <c r="U42">
        <v>1.8574573152665705</v>
      </c>
      <c r="V42">
        <v>45.884294138328784</v>
      </c>
      <c r="W42">
        <v>21.548954215251786</v>
      </c>
      <c r="X42">
        <v>47.517285855932606</v>
      </c>
      <c r="Y42">
        <v>5.4143151918154917</v>
      </c>
      <c r="Z42">
        <v>26.936976788133236</v>
      </c>
      <c r="AA42">
        <v>2.2800074562258668</v>
      </c>
      <c r="AB42">
        <v>32.695068406543541</v>
      </c>
      <c r="AD42">
        <v>5.2041280862204511</v>
      </c>
      <c r="AE42">
        <v>11.344931633265</v>
      </c>
      <c r="AF42">
        <v>12.98517412014669</v>
      </c>
      <c r="AG42">
        <v>18.131708820176868</v>
      </c>
      <c r="AH42">
        <v>3.4236488102519163</v>
      </c>
      <c r="AI42">
        <v>2.4348478732150998</v>
      </c>
      <c r="AK42">
        <v>42.074041598825886</v>
      </c>
    </row>
    <row r="43" spans="1:37" x14ac:dyDescent="0.2">
      <c r="A43">
        <v>42</v>
      </c>
      <c r="B43">
        <v>752</v>
      </c>
      <c r="C43">
        <v>250</v>
      </c>
      <c r="D43">
        <v>0.32572842998585799</v>
      </c>
      <c r="E43">
        <v>185.53467734379092</v>
      </c>
      <c r="F43">
        <v>53.709280909251099</v>
      </c>
      <c r="G43">
        <v>70.385036464867596</v>
      </c>
      <c r="H43">
        <v>65.772200460854862</v>
      </c>
      <c r="J43">
        <v>44.391403508395364</v>
      </c>
      <c r="L43">
        <v>3.189327424578718</v>
      </c>
      <c r="M43">
        <v>13.177135528948913</v>
      </c>
      <c r="N43">
        <v>2.4949011399192886</v>
      </c>
      <c r="O43">
        <v>13.458477004633229</v>
      </c>
      <c r="P43">
        <v>8.9142975225768435</v>
      </c>
      <c r="Q43">
        <v>0.69011775673148867</v>
      </c>
      <c r="R43">
        <v>9.9821525914869476</v>
      </c>
      <c r="S43">
        <v>32.910176171652068</v>
      </c>
      <c r="U43">
        <v>1.6812817003117595</v>
      </c>
      <c r="V43">
        <v>45.634307205829096</v>
      </c>
      <c r="W43">
        <v>21.110620839571002</v>
      </c>
      <c r="X43">
        <v>47.055369854414991</v>
      </c>
      <c r="Y43">
        <v>5.2392133537899745</v>
      </c>
      <c r="Z43">
        <v>26.526091184411413</v>
      </c>
      <c r="AA43">
        <v>2.1125581260459732</v>
      </c>
      <c r="AB43">
        <v>32.373694236770355</v>
      </c>
      <c r="AD43">
        <v>4.967173938052234</v>
      </c>
      <c r="AE43">
        <v>11.161744783420124</v>
      </c>
      <c r="AF43">
        <v>12.830361942011303</v>
      </c>
      <c r="AG43">
        <v>17.780438527086613</v>
      </c>
      <c r="AH43">
        <v>3.149550567824317</v>
      </c>
      <c r="AI43">
        <v>2.4382207516044065</v>
      </c>
      <c r="AK43">
        <v>42.069945672650995</v>
      </c>
    </row>
    <row r="44" spans="1:37" x14ac:dyDescent="0.2">
      <c r="A44">
        <v>43</v>
      </c>
      <c r="B44">
        <v>750</v>
      </c>
      <c r="C44">
        <v>250</v>
      </c>
      <c r="D44">
        <v>0.324273566925672</v>
      </c>
      <c r="E44">
        <v>185.28893333647565</v>
      </c>
      <c r="F44">
        <v>52.956936310893759</v>
      </c>
      <c r="G44">
        <v>70.260216940931116</v>
      </c>
      <c r="H44">
        <v>65.642715829975515</v>
      </c>
      <c r="J44">
        <v>44.251506262704993</v>
      </c>
      <c r="L44">
        <v>3.0275910560045558</v>
      </c>
      <c r="M44">
        <v>13.025127049648022</v>
      </c>
      <c r="N44">
        <v>2.4988513112456823</v>
      </c>
      <c r="O44">
        <v>12.718792996896795</v>
      </c>
      <c r="P44">
        <v>8.7116528127958244</v>
      </c>
      <c r="Q44">
        <v>0.35101785097291638</v>
      </c>
      <c r="R44">
        <v>9.5482496548104407</v>
      </c>
      <c r="S44">
        <v>31.970582194532525</v>
      </c>
      <c r="U44">
        <v>1.5053638660143258</v>
      </c>
      <c r="V44">
        <v>45.385122327081874</v>
      </c>
      <c r="W44">
        <v>20.673381057195893</v>
      </c>
      <c r="X44">
        <v>46.595104220841208</v>
      </c>
      <c r="Y44">
        <v>5.0646944104447966</v>
      </c>
      <c r="Z44">
        <v>26.116380782954572</v>
      </c>
      <c r="AA44">
        <v>1.9457534208878424</v>
      </c>
      <c r="AB44">
        <v>32.053396550741127</v>
      </c>
      <c r="AD44">
        <v>4.7306962264383863</v>
      </c>
      <c r="AE44">
        <v>10.979059556180504</v>
      </c>
      <c r="AF44">
        <v>12.676116543633766</v>
      </c>
      <c r="AG44">
        <v>17.430254404688817</v>
      </c>
      <c r="AH44">
        <v>2.87634183207643</v>
      </c>
      <c r="AI44">
        <v>2.4415897831314761</v>
      </c>
      <c r="AK44">
        <v>42.067084690253424</v>
      </c>
    </row>
    <row r="45" spans="1:37" x14ac:dyDescent="0.2">
      <c r="A45">
        <v>44</v>
      </c>
      <c r="B45">
        <v>748</v>
      </c>
      <c r="C45">
        <v>250</v>
      </c>
      <c r="D45">
        <v>0.32281300494540499</v>
      </c>
      <c r="E45">
        <v>185.04378245776289</v>
      </c>
      <c r="F45">
        <v>52.207267837526651</v>
      </c>
      <c r="G45">
        <v>70.135718786005015</v>
      </c>
      <c r="H45">
        <v>65.513605204276828</v>
      </c>
      <c r="J45">
        <v>44.11395977047642</v>
      </c>
      <c r="L45">
        <v>2.8665442882347452</v>
      </c>
      <c r="M45">
        <v>12.873680976573894</v>
      </c>
      <c r="N45">
        <v>2.5028009934629964</v>
      </c>
      <c r="O45">
        <v>11.981487816755147</v>
      </c>
      <c r="P45">
        <v>8.5096818817282536</v>
      </c>
      <c r="Q45">
        <v>0.20099416606571169</v>
      </c>
      <c r="R45">
        <v>9.1157086937976395</v>
      </c>
      <c r="S45">
        <v>31.034557496110445</v>
      </c>
      <c r="U45">
        <v>1.3297010894661487</v>
      </c>
      <c r="V45">
        <v>45.136733732029931</v>
      </c>
      <c r="W45">
        <v>20.237227972411553</v>
      </c>
      <c r="X45">
        <v>46.136477451618305</v>
      </c>
      <c r="Y45">
        <v>4.8907551908100446</v>
      </c>
      <c r="Z45">
        <v>25.707838982912772</v>
      </c>
      <c r="AA45">
        <v>1.7795903007195302</v>
      </c>
      <c r="AB45">
        <v>31.734168765610864</v>
      </c>
      <c r="AD45">
        <v>4.494694329713532</v>
      </c>
      <c r="AE45">
        <v>10.796872882844076</v>
      </c>
      <c r="AF45">
        <v>12.522434408853194</v>
      </c>
      <c r="AG45">
        <v>17.081149922993603</v>
      </c>
      <c r="AH45">
        <v>2.6040196237179662</v>
      </c>
      <c r="AI45">
        <v>2.4449549577925072</v>
      </c>
      <c r="AK45">
        <v>42.065457765641796</v>
      </c>
    </row>
    <row r="46" spans="1:37" x14ac:dyDescent="0.2">
      <c r="A46">
        <v>45</v>
      </c>
      <c r="B46">
        <v>746</v>
      </c>
      <c r="C46">
        <v>250</v>
      </c>
      <c r="D46">
        <v>0.32134671049404001</v>
      </c>
      <c r="E46">
        <v>184.79922149691546</v>
      </c>
      <c r="F46">
        <v>51.460262719462996</v>
      </c>
      <c r="G46">
        <v>70.011540796713078</v>
      </c>
      <c r="H46">
        <v>65.384867549218797</v>
      </c>
      <c r="J46">
        <v>43.978760246715566</v>
      </c>
      <c r="L46">
        <v>2.7060788806670497</v>
      </c>
      <c r="M46">
        <v>12.722793805295881</v>
      </c>
      <c r="N46">
        <v>2.5067501912568315</v>
      </c>
      <c r="O46">
        <v>11.246551653751595</v>
      </c>
      <c r="P46">
        <v>8.3083825123500308</v>
      </c>
      <c r="Q46">
        <v>5.1310334160406111E-2</v>
      </c>
      <c r="R46">
        <v>8.6845211500946533</v>
      </c>
      <c r="S46">
        <v>30.102081069417867</v>
      </c>
      <c r="U46">
        <v>1.1542907113059657</v>
      </c>
      <c r="V46">
        <v>44.889135640265401</v>
      </c>
      <c r="W46">
        <v>19.802154817830484</v>
      </c>
      <c r="X46">
        <v>45.679478226465683</v>
      </c>
      <c r="Y46">
        <v>4.7173926011869796</v>
      </c>
      <c r="Z46">
        <v>25.300459328210721</v>
      </c>
      <c r="AA46">
        <v>1.614065787176558</v>
      </c>
      <c r="AB46">
        <v>31.416004424605831</v>
      </c>
      <c r="AD46">
        <v>4.2591676686115489</v>
      </c>
      <c r="AE46">
        <v>10.615181759674579</v>
      </c>
      <c r="AF46">
        <v>12.369312083474254</v>
      </c>
      <c r="AG46">
        <v>16.733118678363141</v>
      </c>
      <c r="AH46">
        <v>2.3325810642331004</v>
      </c>
      <c r="AI46">
        <v>2.4483162655523829</v>
      </c>
      <c r="AK46">
        <v>42.065064075999146</v>
      </c>
    </row>
    <row r="47" spans="1:37" x14ac:dyDescent="0.2">
      <c r="A47">
        <v>46</v>
      </c>
      <c r="B47">
        <v>744</v>
      </c>
      <c r="C47">
        <v>250</v>
      </c>
      <c r="D47">
        <v>0.31987464975667701</v>
      </c>
      <c r="E47">
        <v>184.4497799249265</v>
      </c>
      <c r="F47">
        <v>50.01550544517454</v>
      </c>
      <c r="G47">
        <v>69.763231673054165</v>
      </c>
      <c r="H47">
        <v>65.132051734299623</v>
      </c>
      <c r="J47">
        <v>43.732894601390264</v>
      </c>
      <c r="L47">
        <v>2.3393585727464998</v>
      </c>
      <c r="M47">
        <v>12.672656005421466</v>
      </c>
      <c r="N47">
        <v>2.5106884635202111</v>
      </c>
      <c r="O47">
        <v>9.7060818979174641</v>
      </c>
      <c r="P47">
        <v>7.8588418496294965</v>
      </c>
      <c r="R47">
        <v>8.1222889116526122</v>
      </c>
      <c r="S47">
        <v>29.424203786338758</v>
      </c>
      <c r="U47">
        <v>1.0470961485079322</v>
      </c>
      <c r="V47">
        <v>44.884409337398075</v>
      </c>
      <c r="W47">
        <v>19.355727570256864</v>
      </c>
      <c r="X47">
        <v>45.436856964925809</v>
      </c>
      <c r="Y47">
        <v>4.3031926942186915</v>
      </c>
      <c r="Z47">
        <v>24.535530795714404</v>
      </c>
      <c r="AA47">
        <v>1.2297153847676892</v>
      </c>
      <c r="AB47">
        <v>31.25638628827905</v>
      </c>
      <c r="AD47">
        <v>3.7970477268589593</v>
      </c>
      <c r="AE47">
        <v>10.317886257306101</v>
      </c>
      <c r="AF47">
        <v>12.316929641753095</v>
      </c>
      <c r="AG47">
        <v>16.543633039002877</v>
      </c>
      <c r="AH47">
        <v>1.7080711068901502</v>
      </c>
      <c r="AI47">
        <v>2.4516632505816629</v>
      </c>
      <c r="AK47">
        <v>41.899371360985747</v>
      </c>
    </row>
    <row r="48" spans="1:37" x14ac:dyDescent="0.2">
      <c r="A48">
        <v>47</v>
      </c>
      <c r="B48">
        <v>742</v>
      </c>
      <c r="C48">
        <v>250</v>
      </c>
      <c r="D48">
        <v>0.318396788651924</v>
      </c>
      <c r="E48">
        <v>184.60308521681608</v>
      </c>
      <c r="F48">
        <v>47.705293549515673</v>
      </c>
      <c r="G48">
        <v>69.676636240647312</v>
      </c>
      <c r="H48">
        <v>65.041002755303523</v>
      </c>
      <c r="J48">
        <v>34.60317827884073</v>
      </c>
      <c r="L48">
        <v>1.6163054632934399</v>
      </c>
      <c r="M48">
        <v>12.00428500205981</v>
      </c>
      <c r="N48">
        <v>2.514665193458379</v>
      </c>
      <c r="O48">
        <v>5.9304202268942934</v>
      </c>
      <c r="P48">
        <v>7.732799115128568</v>
      </c>
      <c r="R48">
        <v>6.953098209360852</v>
      </c>
      <c r="S48">
        <v>28.498027131435006</v>
      </c>
      <c r="U48">
        <v>0.97213618227036691</v>
      </c>
      <c r="V48">
        <v>45.863144107392792</v>
      </c>
      <c r="W48">
        <v>18.412769209980855</v>
      </c>
      <c r="X48">
        <v>45.293722704463384</v>
      </c>
      <c r="Y48">
        <v>3.6997563216199252</v>
      </c>
      <c r="Z48">
        <v>19.8020433297396</v>
      </c>
      <c r="AB48">
        <v>29.471670224773778</v>
      </c>
      <c r="AD48">
        <v>1.3822453178648224</v>
      </c>
      <c r="AE48">
        <v>7.6643954574443773</v>
      </c>
      <c r="AF48">
        <v>11.646353937967334</v>
      </c>
      <c r="AG48">
        <v>14.72909830533607</v>
      </c>
      <c r="AI48">
        <v>2.4550452813627786</v>
      </c>
      <c r="AK48">
        <v>35.567258407731742</v>
      </c>
    </row>
    <row r="49" spans="1:37" x14ac:dyDescent="0.2">
      <c r="A49">
        <v>48</v>
      </c>
      <c r="B49">
        <v>740</v>
      </c>
      <c r="C49">
        <v>250</v>
      </c>
      <c r="D49">
        <v>0.31691309282929903</v>
      </c>
      <c r="E49">
        <v>185.2109973700899</v>
      </c>
      <c r="F49">
        <v>47.969443121414066</v>
      </c>
      <c r="G49">
        <v>69.808441836015334</v>
      </c>
      <c r="H49">
        <v>65.16840811959004</v>
      </c>
      <c r="J49">
        <v>27.404252135787456</v>
      </c>
      <c r="L49">
        <v>1.6775912454312856</v>
      </c>
      <c r="M49">
        <v>10.9101027836935</v>
      </c>
      <c r="N49">
        <v>2.5186655998166438</v>
      </c>
      <c r="O49">
        <v>5.6261240288626393</v>
      </c>
      <c r="P49">
        <v>8.0436143888090701</v>
      </c>
      <c r="R49">
        <v>6.3333385142948329</v>
      </c>
      <c r="S49">
        <v>29.491154010930885</v>
      </c>
      <c r="U49">
        <v>0.92084720748774063</v>
      </c>
      <c r="V49">
        <v>47.402099529351815</v>
      </c>
      <c r="W49">
        <v>17.172057173334768</v>
      </c>
      <c r="X49">
        <v>45.217044773267858</v>
      </c>
      <c r="Y49">
        <v>3.7261767592476485</v>
      </c>
      <c r="Z49">
        <v>17.037411754818255</v>
      </c>
      <c r="AB49">
        <v>28.91659597005517</v>
      </c>
      <c r="AD49">
        <v>1.9611237014335946E-2</v>
      </c>
      <c r="AE49">
        <v>6.0207727453132547</v>
      </c>
      <c r="AF49">
        <v>10.549992225512504</v>
      </c>
      <c r="AG49">
        <v>14.144239481459705</v>
      </c>
      <c r="AI49">
        <v>2.4584475619161288</v>
      </c>
      <c r="AK49">
        <v>30.448932476521687</v>
      </c>
    </row>
    <row r="50" spans="1:37" x14ac:dyDescent="0.2">
      <c r="A50">
        <v>49</v>
      </c>
      <c r="B50">
        <v>738</v>
      </c>
      <c r="C50">
        <v>250</v>
      </c>
      <c r="D50">
        <v>0.31542352766652099</v>
      </c>
      <c r="E50">
        <v>185.51422885765803</v>
      </c>
      <c r="F50">
        <v>49.095718280940687</v>
      </c>
      <c r="G50">
        <v>69.732518719161419</v>
      </c>
      <c r="H50">
        <v>65.08813825867189</v>
      </c>
      <c r="J50">
        <v>23.917405175010387</v>
      </c>
      <c r="L50">
        <v>1.7040697715707283</v>
      </c>
      <c r="M50">
        <v>10.024209379225997</v>
      </c>
      <c r="N50">
        <v>2.5226418697638824</v>
      </c>
      <c r="O50">
        <v>5.6783114145098912</v>
      </c>
      <c r="P50">
        <v>7.9389805670688123</v>
      </c>
      <c r="R50">
        <v>5.6242032104722917</v>
      </c>
      <c r="S50">
        <v>30.358513755614599</v>
      </c>
      <c r="U50">
        <v>0.87637218346047618</v>
      </c>
      <c r="V50">
        <v>48.582153280693419</v>
      </c>
      <c r="W50">
        <v>16.136223793610007</v>
      </c>
      <c r="X50">
        <v>45.160846913889081</v>
      </c>
      <c r="Y50">
        <v>3.6197211755721797</v>
      </c>
      <c r="Z50">
        <v>17.836930940204173</v>
      </c>
      <c r="AB50">
        <v>30.212985775022847</v>
      </c>
      <c r="AE50">
        <v>6.4718418773628228</v>
      </c>
      <c r="AF50">
        <v>9.6618967668382503</v>
      </c>
      <c r="AG50">
        <v>15.410831055149302</v>
      </c>
      <c r="AI50">
        <v>2.4618222646864982</v>
      </c>
      <c r="AK50">
        <v>27.886269885868991</v>
      </c>
    </row>
    <row r="51" spans="1:37" x14ac:dyDescent="0.2">
      <c r="A51">
        <v>50</v>
      </c>
      <c r="B51">
        <v>736</v>
      </c>
      <c r="C51">
        <v>250</v>
      </c>
      <c r="D51">
        <v>0.31392805826685999</v>
      </c>
      <c r="E51">
        <v>185.7768134949203</v>
      </c>
      <c r="F51">
        <v>49.844518014384342</v>
      </c>
      <c r="G51">
        <v>69.696090972390067</v>
      </c>
      <c r="H51">
        <v>65.047417427043484</v>
      </c>
      <c r="J51">
        <v>21.81093972495708</v>
      </c>
      <c r="L51">
        <v>1.72856847742432</v>
      </c>
      <c r="M51">
        <v>9.2988492899972695</v>
      </c>
      <c r="N51">
        <v>2.5266141541021931</v>
      </c>
      <c r="O51">
        <v>5.6434158431508514</v>
      </c>
      <c r="P51">
        <v>7.9133661556102268</v>
      </c>
      <c r="R51">
        <v>5.0625397884388166</v>
      </c>
      <c r="S51">
        <v>31.02608920124133</v>
      </c>
      <c r="U51">
        <v>0.83172520387061932</v>
      </c>
      <c r="V51">
        <v>49.535327481085318</v>
      </c>
      <c r="W51">
        <v>15.260917603275338</v>
      </c>
      <c r="X51">
        <v>45.104972434692982</v>
      </c>
      <c r="Y51">
        <v>3.5609453190555271</v>
      </c>
      <c r="Z51">
        <v>17.924404093010121</v>
      </c>
      <c r="AB51">
        <v>30.933969985214606</v>
      </c>
      <c r="AE51">
        <v>6.5082213952785981</v>
      </c>
      <c r="AF51">
        <v>8.9343322606725604</v>
      </c>
      <c r="AG51">
        <v>16.102023572774467</v>
      </c>
      <c r="AI51">
        <v>2.4651895257527063</v>
      </c>
      <c r="AK51">
        <v>26.297295411965113</v>
      </c>
    </row>
    <row r="52" spans="1:37" x14ac:dyDescent="0.2">
      <c r="A52">
        <v>51</v>
      </c>
      <c r="B52">
        <v>734</v>
      </c>
      <c r="C52">
        <v>250</v>
      </c>
      <c r="D52">
        <v>0.31242664945638698</v>
      </c>
      <c r="E52">
        <v>185.99503936089474</v>
      </c>
      <c r="F52">
        <v>50.49505700457226</v>
      </c>
      <c r="G52">
        <v>69.659042761917277</v>
      </c>
      <c r="H52">
        <v>65.006129963791523</v>
      </c>
      <c r="J52">
        <v>20.319198077466517</v>
      </c>
      <c r="L52">
        <v>1.7496226503801955</v>
      </c>
      <c r="M52">
        <v>8.6614633915380281</v>
      </c>
      <c r="N52">
        <v>2.5305822060572867</v>
      </c>
      <c r="O52">
        <v>5.6026275854710867</v>
      </c>
      <c r="P52">
        <v>7.8865394314516477</v>
      </c>
      <c r="R52">
        <v>4.5596205337987303</v>
      </c>
      <c r="S52">
        <v>31.601084920728461</v>
      </c>
      <c r="U52">
        <v>0.78703081460971391</v>
      </c>
      <c r="V52">
        <v>50.360155367425641</v>
      </c>
      <c r="W52">
        <v>14.473563464612299</v>
      </c>
      <c r="X52">
        <v>45.049780831536026</v>
      </c>
      <c r="Y52">
        <v>3.511735925659544</v>
      </c>
      <c r="Z52">
        <v>17.997056902132393</v>
      </c>
      <c r="AB52">
        <v>31.558626346336059</v>
      </c>
      <c r="AE52">
        <v>6.5368975516403012</v>
      </c>
      <c r="AF52">
        <v>8.2947393825695297</v>
      </c>
      <c r="AG52">
        <v>16.696894583616267</v>
      </c>
      <c r="AI52">
        <v>2.4685490836182331</v>
      </c>
      <c r="AK52">
        <v>25.147540707576329</v>
      </c>
    </row>
    <row r="53" spans="1:37" x14ac:dyDescent="0.2">
      <c r="A53">
        <v>52</v>
      </c>
      <c r="B53">
        <v>732</v>
      </c>
      <c r="C53">
        <v>250</v>
      </c>
      <c r="D53">
        <v>0.31091926578122597</v>
      </c>
      <c r="E53">
        <v>186.18246711821379</v>
      </c>
      <c r="F53">
        <v>51.077509982810952</v>
      </c>
      <c r="G53">
        <v>69.621578651514781</v>
      </c>
      <c r="H53">
        <v>64.964480606245758</v>
      </c>
      <c r="J53">
        <v>19.183628325894215</v>
      </c>
      <c r="L53">
        <v>1.7683590359922818</v>
      </c>
      <c r="M53">
        <v>8.0851537462286771</v>
      </c>
      <c r="N53">
        <v>2.53454702096899</v>
      </c>
      <c r="O53">
        <v>5.5585406170277318</v>
      </c>
      <c r="P53">
        <v>7.8589107099171605</v>
      </c>
      <c r="R53">
        <v>4.0981998814944687</v>
      </c>
      <c r="S53">
        <v>32.112773201877104</v>
      </c>
      <c r="U53">
        <v>0.74219904016072569</v>
      </c>
      <c r="V53">
        <v>51.095844509488913</v>
      </c>
      <c r="W53">
        <v>13.747318334712306</v>
      </c>
      <c r="X53">
        <v>44.995007504170168</v>
      </c>
      <c r="Y53">
        <v>3.4691230797153456</v>
      </c>
      <c r="Z53">
        <v>18.059584461177771</v>
      </c>
      <c r="AB53">
        <v>32.116788740148849</v>
      </c>
      <c r="AE53">
        <v>6.5603078015066139</v>
      </c>
      <c r="AF53">
        <v>7.7162212372555699</v>
      </c>
      <c r="AG53">
        <v>17.225279015452696</v>
      </c>
      <c r="AI53">
        <v>2.4719019189021876</v>
      </c>
      <c r="AK53">
        <v>24.255505899380204</v>
      </c>
    </row>
    <row r="54" spans="1:37" x14ac:dyDescent="0.2">
      <c r="A54">
        <v>53</v>
      </c>
      <c r="B54">
        <v>730</v>
      </c>
      <c r="C54">
        <v>250</v>
      </c>
      <c r="D54">
        <v>0.30940587150476501</v>
      </c>
      <c r="E54">
        <v>186.3468990656402</v>
      </c>
      <c r="F54">
        <v>51.609220338169152</v>
      </c>
      <c r="G54">
        <v>69.583817929731865</v>
      </c>
      <c r="H54">
        <v>64.922588817205479</v>
      </c>
      <c r="J54">
        <v>18.279468545847138</v>
      </c>
      <c r="L54">
        <v>1.785578628304298</v>
      </c>
      <c r="M54">
        <v>7.5545015865000966</v>
      </c>
      <c r="N54">
        <v>2.5385091905668369</v>
      </c>
      <c r="O54">
        <v>5.5126487058274352</v>
      </c>
      <c r="P54">
        <v>7.8307193533625545</v>
      </c>
      <c r="R54">
        <v>3.6682960476319679</v>
      </c>
      <c r="S54">
        <v>32.577707746490411</v>
      </c>
      <c r="U54">
        <v>0.69720543959153491</v>
      </c>
      <c r="V54">
        <v>51.76476734998829</v>
      </c>
      <c r="W54">
        <v>13.066782503361125</v>
      </c>
      <c r="X54">
        <v>44.9405773983055</v>
      </c>
      <c r="Y54">
        <v>3.4314157214046079</v>
      </c>
      <c r="Z54">
        <v>18.114648110835599</v>
      </c>
      <c r="AB54">
        <v>32.62541450864876</v>
      </c>
      <c r="AE54">
        <v>6.5798316164671142</v>
      </c>
      <c r="AF54">
        <v>7.1833596961075212</v>
      </c>
      <c r="AG54">
        <v>17.704134853016448</v>
      </c>
      <c r="AI54">
        <v>2.475248608616762</v>
      </c>
      <c r="AK54">
        <v>23.532824087180444</v>
      </c>
    </row>
    <row r="55" spans="1:37" x14ac:dyDescent="0.2">
      <c r="A55">
        <v>54</v>
      </c>
      <c r="B55">
        <v>760</v>
      </c>
      <c r="C55">
        <v>225</v>
      </c>
      <c r="D55">
        <v>0.35810918066108399</v>
      </c>
      <c r="E55">
        <v>171.91000495773568</v>
      </c>
      <c r="F55">
        <v>56.157012690288397</v>
      </c>
      <c r="G55">
        <v>70.878981979445555</v>
      </c>
      <c r="H55">
        <v>66.284203505521177</v>
      </c>
      <c r="J55">
        <v>44.487814841748474</v>
      </c>
      <c r="L55">
        <v>3.7349450042147039</v>
      </c>
      <c r="M55">
        <v>13.728243462740979</v>
      </c>
      <c r="N55">
        <v>2.3965889648288137</v>
      </c>
      <c r="O55">
        <v>16.572411384459304</v>
      </c>
      <c r="P55">
        <v>9.4908567194004547</v>
      </c>
      <c r="Q55">
        <v>0.6647192429591785</v>
      </c>
      <c r="R55">
        <v>11.709414908915907</v>
      </c>
      <c r="S55">
        <v>36.119198105280354</v>
      </c>
      <c r="U55">
        <v>2.2549638568283221</v>
      </c>
      <c r="V55">
        <v>46.0443124718268</v>
      </c>
      <c r="W55">
        <v>23.38670779684314</v>
      </c>
      <c r="X55">
        <v>47.301926042353422</v>
      </c>
      <c r="Y55">
        <v>5.7288080324298694</v>
      </c>
      <c r="Z55">
        <v>28.10440317214492</v>
      </c>
      <c r="AA55">
        <v>2.7053177379213014</v>
      </c>
      <c r="AB55">
        <v>33.634236759646868</v>
      </c>
      <c r="AC55">
        <v>8.7233234448933668E-3</v>
      </c>
      <c r="AD55">
        <v>5.8604352419372541</v>
      </c>
      <c r="AE55">
        <v>12.060476976715153</v>
      </c>
      <c r="AF55">
        <v>13.385014764288831</v>
      </c>
      <c r="AG55">
        <v>19.186035323724465</v>
      </c>
      <c r="AH55">
        <v>3.7248222992835274</v>
      </c>
      <c r="AI55">
        <v>2.3390475313861967</v>
      </c>
      <c r="AK55">
        <v>41.711081229103883</v>
      </c>
    </row>
    <row r="56" spans="1:37" x14ac:dyDescent="0.2">
      <c r="A56">
        <v>55</v>
      </c>
      <c r="B56">
        <v>758</v>
      </c>
      <c r="C56">
        <v>225</v>
      </c>
      <c r="D56">
        <v>0.356728410027642</v>
      </c>
      <c r="E56">
        <v>171.68474541407815</v>
      </c>
      <c r="F56">
        <v>55.471952853645583</v>
      </c>
      <c r="G56">
        <v>70.764127377574226</v>
      </c>
      <c r="H56">
        <v>66.164454584362346</v>
      </c>
      <c r="J56">
        <v>44.379334709228424</v>
      </c>
      <c r="L56">
        <v>3.5836181342287454</v>
      </c>
      <c r="M56">
        <v>13.605672577892964</v>
      </c>
      <c r="N56">
        <v>2.3914905689608315</v>
      </c>
      <c r="O56">
        <v>15.856119340821495</v>
      </c>
      <c r="P56">
        <v>9.2989495117463896</v>
      </c>
      <c r="Q56">
        <v>0.5364069607001295</v>
      </c>
      <c r="R56">
        <v>11.321624752404263</v>
      </c>
      <c r="S56">
        <v>35.320491587475665</v>
      </c>
      <c r="U56">
        <v>2.1044062494769533</v>
      </c>
      <c r="V56">
        <v>45.844028231036582</v>
      </c>
      <c r="W56">
        <v>23.002852477192182</v>
      </c>
      <c r="X56">
        <v>46.928678668650143</v>
      </c>
      <c r="Y56">
        <v>5.5690631905535097</v>
      </c>
      <c r="Z56">
        <v>27.734020392212827</v>
      </c>
      <c r="AA56">
        <v>2.5487747818697897</v>
      </c>
      <c r="AB56">
        <v>33.36364442108021</v>
      </c>
      <c r="AD56">
        <v>5.650865481941131</v>
      </c>
      <c r="AE56">
        <v>11.892594013851841</v>
      </c>
      <c r="AF56">
        <v>13.25114641421653</v>
      </c>
      <c r="AG56">
        <v>18.876533310320312</v>
      </c>
      <c r="AH56">
        <v>3.4835942016992543</v>
      </c>
      <c r="AI56">
        <v>2.3333835750991021</v>
      </c>
      <c r="AK56">
        <v>41.718893528333091</v>
      </c>
    </row>
    <row r="57" spans="1:37" x14ac:dyDescent="0.2">
      <c r="A57">
        <v>56</v>
      </c>
      <c r="B57">
        <v>756</v>
      </c>
      <c r="C57">
        <v>225</v>
      </c>
      <c r="D57">
        <v>0.35534227274935698</v>
      </c>
      <c r="E57">
        <v>171.4384811265229</v>
      </c>
      <c r="F57">
        <v>54.717319330862409</v>
      </c>
      <c r="G57">
        <v>70.638835429122935</v>
      </c>
      <c r="H57">
        <v>66.034320293470088</v>
      </c>
      <c r="J57">
        <v>44.232855524564222</v>
      </c>
      <c r="L57">
        <v>3.4213139577825786</v>
      </c>
      <c r="M57">
        <v>13.45374065896293</v>
      </c>
      <c r="N57">
        <v>2.3954470558589458</v>
      </c>
      <c r="O57">
        <v>15.111733138217344</v>
      </c>
      <c r="P57">
        <v>9.0952532810592146</v>
      </c>
      <c r="Q57">
        <v>0.38639795374496222</v>
      </c>
      <c r="R57">
        <v>10.887135164369587</v>
      </c>
      <c r="S57">
        <v>34.377242630496752</v>
      </c>
      <c r="U57">
        <v>1.9282246905348608</v>
      </c>
      <c r="V57">
        <v>45.595245078657236</v>
      </c>
      <c r="W57">
        <v>22.564378146630187</v>
      </c>
      <c r="X57">
        <v>46.468957240334539</v>
      </c>
      <c r="Y57">
        <v>5.3937684557735599</v>
      </c>
      <c r="Z57">
        <v>27.325437679085361</v>
      </c>
      <c r="AA57">
        <v>2.3814016348147709</v>
      </c>
      <c r="AB57">
        <v>33.043648462550095</v>
      </c>
      <c r="AD57">
        <v>5.4159244617261617</v>
      </c>
      <c r="AE57">
        <v>11.710321915352724</v>
      </c>
      <c r="AF57">
        <v>13.096973103284986</v>
      </c>
      <c r="AG57">
        <v>18.526692597893152</v>
      </c>
      <c r="AH57">
        <v>3.2094218913850758</v>
      </c>
      <c r="AI57">
        <v>2.3367711926738632</v>
      </c>
      <c r="AK57">
        <v>41.712899439771817</v>
      </c>
    </row>
    <row r="58" spans="1:37" x14ac:dyDescent="0.2">
      <c r="A58">
        <v>57</v>
      </c>
      <c r="B58">
        <v>754</v>
      </c>
      <c r="C58">
        <v>225</v>
      </c>
      <c r="D58">
        <v>0.35395073747748601</v>
      </c>
      <c r="E58">
        <v>171.19279401502121</v>
      </c>
      <c r="F58">
        <v>53.965310102327642</v>
      </c>
      <c r="G58">
        <v>70.513857755630326</v>
      </c>
      <c r="H58">
        <v>65.904552420607345</v>
      </c>
      <c r="J58">
        <v>44.088684584401868</v>
      </c>
      <c r="L58">
        <v>3.2596351512432302</v>
      </c>
      <c r="M58">
        <v>13.302361750303364</v>
      </c>
      <c r="N58">
        <v>2.3994030448795796</v>
      </c>
      <c r="O58">
        <v>14.369685600856108</v>
      </c>
      <c r="P58">
        <v>8.8922160707740439</v>
      </c>
      <c r="Q58">
        <v>0.23672486723537475</v>
      </c>
      <c r="R58">
        <v>10.45398087058474</v>
      </c>
      <c r="S58">
        <v>33.437497660570386</v>
      </c>
      <c r="U58">
        <v>1.7522748509707458</v>
      </c>
      <c r="V58">
        <v>45.347240375916066</v>
      </c>
      <c r="W58">
        <v>22.126978061829291</v>
      </c>
      <c r="X58">
        <v>46.010835118515949</v>
      </c>
      <c r="Y58">
        <v>5.2190395391470883</v>
      </c>
      <c r="Z58">
        <v>26.918020879820851</v>
      </c>
      <c r="AA58">
        <v>2.2146578744054861</v>
      </c>
      <c r="AB58">
        <v>32.724715010207689</v>
      </c>
      <c r="AD58">
        <v>5.1814362925937596</v>
      </c>
      <c r="AE58">
        <v>11.528550469000949</v>
      </c>
      <c r="AF58">
        <v>12.943353539938022</v>
      </c>
      <c r="AG58">
        <v>18.177923979180253</v>
      </c>
      <c r="AH58">
        <v>2.9361140682316984</v>
      </c>
      <c r="AI58">
        <v>2.3401549887591075</v>
      </c>
      <c r="AK58">
        <v>41.708111651168366</v>
      </c>
    </row>
    <row r="59" spans="1:37" x14ac:dyDescent="0.2">
      <c r="A59">
        <v>58</v>
      </c>
      <c r="B59">
        <v>752</v>
      </c>
      <c r="C59">
        <v>225</v>
      </c>
      <c r="D59">
        <v>0.35255377261864101</v>
      </c>
      <c r="E59">
        <v>170.94768082578389</v>
      </c>
      <c r="F59">
        <v>53.21591253346871</v>
      </c>
      <c r="G59">
        <v>70.389193144667701</v>
      </c>
      <c r="H59">
        <v>65.77514992021564</v>
      </c>
      <c r="J59">
        <v>43.946817944084991</v>
      </c>
      <c r="L59">
        <v>3.0985181642249118</v>
      </c>
      <c r="M59">
        <v>13.151532414284828</v>
      </c>
      <c r="N59">
        <v>2.4033585407308005</v>
      </c>
      <c r="O59">
        <v>13.629967075299115</v>
      </c>
      <c r="P59">
        <v>8.689835642749502</v>
      </c>
      <c r="Q59">
        <v>8.7332052940218605E-2</v>
      </c>
      <c r="R59">
        <v>10.022153373476533</v>
      </c>
      <c r="S59">
        <v>32.50123594761201</v>
      </c>
      <c r="U59">
        <v>1.576554134012256</v>
      </c>
      <c r="V59">
        <v>45.10000863434162</v>
      </c>
      <c r="W59">
        <v>21.690645732935931</v>
      </c>
      <c r="X59">
        <v>45.554300993235842</v>
      </c>
      <c r="Y59">
        <v>5.0448733203365101</v>
      </c>
      <c r="Z59">
        <v>26.511763979101492</v>
      </c>
      <c r="AA59">
        <v>2.0485405765964897</v>
      </c>
      <c r="AB59">
        <v>32.406837924259797</v>
      </c>
      <c r="AD59">
        <v>4.9474009559866596</v>
      </c>
      <c r="AE59">
        <v>11.347276924605723</v>
      </c>
      <c r="AF59">
        <v>12.790284336193375</v>
      </c>
      <c r="AG59">
        <v>17.830221366631189</v>
      </c>
      <c r="AH59">
        <v>2.6636678911645726</v>
      </c>
      <c r="AI59">
        <v>2.3435349533512659</v>
      </c>
      <c r="AK59">
        <v>41.704529197287911</v>
      </c>
    </row>
    <row r="60" spans="1:37" x14ac:dyDescent="0.2">
      <c r="A60">
        <v>59</v>
      </c>
      <c r="B60">
        <v>750</v>
      </c>
      <c r="C60">
        <v>225</v>
      </c>
      <c r="D60">
        <v>0.35115134633240402</v>
      </c>
      <c r="E60">
        <v>170.63881465554263</v>
      </c>
      <c r="F60">
        <v>52.037750804219073</v>
      </c>
      <c r="G60">
        <v>70.188299625895866</v>
      </c>
      <c r="H60">
        <v>65.569570989480184</v>
      </c>
      <c r="J60">
        <v>43.74160507928292</v>
      </c>
      <c r="L60">
        <v>2.8106747476154887</v>
      </c>
      <c r="M60">
        <v>13.063981925755098</v>
      </c>
      <c r="N60">
        <v>2.4073072999711216</v>
      </c>
      <c r="O60">
        <v>12.393717258764875</v>
      </c>
      <c r="P60">
        <v>8.3350219958858514</v>
      </c>
      <c r="R60">
        <v>9.5117325728783779</v>
      </c>
      <c r="S60">
        <v>31.730330491809525</v>
      </c>
      <c r="U60">
        <v>1.4438976885920418</v>
      </c>
      <c r="V60">
        <v>45.005643480999524</v>
      </c>
      <c r="W60">
        <v>21.246427466011376</v>
      </c>
      <c r="X60">
        <v>45.233600097955488</v>
      </c>
      <c r="Y60">
        <v>4.7225919245790262</v>
      </c>
      <c r="Z60">
        <v>25.883063295009546</v>
      </c>
      <c r="AA60">
        <v>1.7478446330981896</v>
      </c>
      <c r="AB60">
        <v>32.188330559808144</v>
      </c>
      <c r="AD60">
        <v>4.5729866681516276</v>
      </c>
      <c r="AE60">
        <v>11.09341741373647</v>
      </c>
      <c r="AF60">
        <v>12.700488568598777</v>
      </c>
      <c r="AG60">
        <v>17.581891919740105</v>
      </c>
      <c r="AH60">
        <v>2.1744398011073685</v>
      </c>
      <c r="AI60">
        <v>2.3469048282937215</v>
      </c>
      <c r="AK60">
        <v>41.601255269495937</v>
      </c>
    </row>
    <row r="61" spans="1:37" x14ac:dyDescent="0.2">
      <c r="A61">
        <v>60</v>
      </c>
      <c r="B61">
        <v>748</v>
      </c>
      <c r="C61">
        <v>225</v>
      </c>
      <c r="D61">
        <v>0.34974342652891699</v>
      </c>
      <c r="E61">
        <v>170.24145635967599</v>
      </c>
      <c r="F61">
        <v>50.241587605205737</v>
      </c>
      <c r="G61">
        <v>69.875059375188627</v>
      </c>
      <c r="H61">
        <v>65.251697972450728</v>
      </c>
      <c r="J61">
        <v>43.422297009448812</v>
      </c>
      <c r="L61">
        <v>2.3326489104123209</v>
      </c>
      <c r="M61">
        <v>13.065117697591482</v>
      </c>
      <c r="N61">
        <v>2.4112457182331677</v>
      </c>
      <c r="O61">
        <v>10.42964913337406</v>
      </c>
      <c r="P61">
        <v>7.7555360616062616</v>
      </c>
      <c r="R61">
        <v>8.8629638488195859</v>
      </c>
      <c r="S61">
        <v>31.125975267105702</v>
      </c>
      <c r="U61">
        <v>1.3780974360109133</v>
      </c>
      <c r="V61">
        <v>45.102995656074278</v>
      </c>
      <c r="W61">
        <v>20.795403617564709</v>
      </c>
      <c r="X61">
        <v>45.121259529024378</v>
      </c>
      <c r="Y61">
        <v>4.1822887403464968</v>
      </c>
      <c r="Z61">
        <v>24.931703247451033</v>
      </c>
      <c r="AA61">
        <v>1.2485027393138661</v>
      </c>
      <c r="AB61">
        <v>32.080417628621994</v>
      </c>
      <c r="AD61">
        <v>3.9932736113753617</v>
      </c>
      <c r="AE61">
        <v>10.735573342834957</v>
      </c>
      <c r="AF61">
        <v>12.699370091009092</v>
      </c>
      <c r="AG61">
        <v>17.444156794048709</v>
      </c>
      <c r="AH61">
        <v>1.3649806690077182</v>
      </c>
      <c r="AI61">
        <v>2.3502609945010593</v>
      </c>
      <c r="AK61">
        <v>41.350251179473652</v>
      </c>
    </row>
    <row r="62" spans="1:37" x14ac:dyDescent="0.2">
      <c r="A62">
        <v>61</v>
      </c>
      <c r="B62">
        <v>746</v>
      </c>
      <c r="C62">
        <v>225</v>
      </c>
      <c r="D62">
        <v>0.34832998086640898</v>
      </c>
      <c r="E62">
        <v>170.56145497604649</v>
      </c>
      <c r="F62">
        <v>48.678491559224341</v>
      </c>
      <c r="G62">
        <v>69.89711707596885</v>
      </c>
      <c r="H62">
        <v>65.269175721387697</v>
      </c>
      <c r="J62">
        <v>34.097940233301486</v>
      </c>
      <c r="L62">
        <v>1.589447416638941</v>
      </c>
      <c r="M62">
        <v>12.379371630521074</v>
      </c>
      <c r="N62">
        <v>2.4152321177739524</v>
      </c>
      <c r="O62">
        <v>6.3468996314705786</v>
      </c>
      <c r="P62">
        <v>7.8467257140825062</v>
      </c>
      <c r="R62">
        <v>7.6811051219231619</v>
      </c>
      <c r="S62">
        <v>29.641604356867145</v>
      </c>
      <c r="U62">
        <v>1.3514627616176405</v>
      </c>
      <c r="V62">
        <v>45.934582408293942</v>
      </c>
      <c r="W62">
        <v>19.815323732304567</v>
      </c>
      <c r="X62">
        <v>45.119145755669976</v>
      </c>
      <c r="Y62">
        <v>3.6419972856217622</v>
      </c>
      <c r="Z62">
        <v>20.525226401100003</v>
      </c>
      <c r="AB62">
        <v>30.157618929382028</v>
      </c>
      <c r="AD62">
        <v>1.7651501272118573</v>
      </c>
      <c r="AE62">
        <v>8.1700643079033011</v>
      </c>
      <c r="AF62">
        <v>12.011419171957428</v>
      </c>
      <c r="AG62">
        <v>15.491594158946164</v>
      </c>
      <c r="AI62">
        <v>2.3536617595092264</v>
      </c>
      <c r="AK62">
        <v>34.964795615183377</v>
      </c>
    </row>
    <row r="63" spans="1:37" x14ac:dyDescent="0.2">
      <c r="A63">
        <v>62</v>
      </c>
      <c r="B63">
        <v>744</v>
      </c>
      <c r="C63">
        <v>225</v>
      </c>
      <c r="D63">
        <v>0.34691097674876298</v>
      </c>
      <c r="E63">
        <v>171.17222413647167</v>
      </c>
      <c r="F63">
        <v>48.927805276337921</v>
      </c>
      <c r="G63">
        <v>70.025633810146701</v>
      </c>
      <c r="H63">
        <v>65.393165487699179</v>
      </c>
      <c r="J63">
        <v>27.211716044629721</v>
      </c>
      <c r="L63">
        <v>1.6455892582388296</v>
      </c>
      <c r="M63">
        <v>11.311418363045711</v>
      </c>
      <c r="N63">
        <v>2.4192340704215232</v>
      </c>
      <c r="O63">
        <v>6.0501269213929421</v>
      </c>
      <c r="P63">
        <v>8.150880875064912</v>
      </c>
      <c r="R63">
        <v>7.0438913372840632</v>
      </c>
      <c r="S63">
        <v>30.426522868633306</v>
      </c>
      <c r="U63">
        <v>1.3186850680011906</v>
      </c>
      <c r="V63">
        <v>47.365077799513656</v>
      </c>
      <c r="W63">
        <v>18.588160130132984</v>
      </c>
      <c r="X63">
        <v>45.097709701450874</v>
      </c>
      <c r="Y63">
        <v>3.6605655445051082</v>
      </c>
      <c r="Z63">
        <v>17.757675335097737</v>
      </c>
      <c r="AB63">
        <v>29.466858631269854</v>
      </c>
      <c r="AD63">
        <v>0.40194814860893585</v>
      </c>
      <c r="AE63">
        <v>6.5159870079190139</v>
      </c>
      <c r="AF63">
        <v>10.941278067529089</v>
      </c>
      <c r="AG63">
        <v>14.771095804199202</v>
      </c>
      <c r="AI63">
        <v>2.3570746804243892</v>
      </c>
      <c r="AK63">
        <v>30.097744953626975</v>
      </c>
    </row>
    <row r="64" spans="1:37" x14ac:dyDescent="0.2">
      <c r="A64">
        <v>63</v>
      </c>
      <c r="B64">
        <v>742</v>
      </c>
      <c r="C64">
        <v>225</v>
      </c>
      <c r="D64">
        <v>0.345486381322956</v>
      </c>
      <c r="E64">
        <v>171.51954339251228</v>
      </c>
      <c r="F64">
        <v>49.797656365194506</v>
      </c>
      <c r="G64">
        <v>69.999607058255691</v>
      </c>
      <c r="H64">
        <v>65.36266492208442</v>
      </c>
      <c r="J64">
        <v>23.833735388912494</v>
      </c>
      <c r="L64">
        <v>1.6755223484803792</v>
      </c>
      <c r="M64">
        <v>10.448118914799336</v>
      </c>
      <c r="N64">
        <v>2.4232167540528717</v>
      </c>
      <c r="O64">
        <v>5.9956668324131037</v>
      </c>
      <c r="P64">
        <v>8.1459618706446477</v>
      </c>
      <c r="R64">
        <v>6.3907827326998321</v>
      </c>
      <c r="S64">
        <v>31.169654455834788</v>
      </c>
      <c r="U64">
        <v>1.2790777790297954</v>
      </c>
      <c r="V64">
        <v>48.501258547958223</v>
      </c>
      <c r="W64">
        <v>17.569284127644732</v>
      </c>
      <c r="X64">
        <v>45.057572316969924</v>
      </c>
      <c r="Y64">
        <v>3.5899747716762973</v>
      </c>
      <c r="Z64">
        <v>17.712578550310266</v>
      </c>
      <c r="AB64">
        <v>30.21661313475979</v>
      </c>
      <c r="AE64">
        <v>6.4729868912112583</v>
      </c>
      <c r="AF64">
        <v>10.075773021198687</v>
      </c>
      <c r="AG64">
        <v>15.491103357235524</v>
      </c>
      <c r="AI64">
        <v>2.3604649204001436</v>
      </c>
      <c r="AK64">
        <v>27.626241641862531</v>
      </c>
    </row>
    <row r="65" spans="1:37" x14ac:dyDescent="0.2">
      <c r="A65">
        <v>64</v>
      </c>
      <c r="B65">
        <v>740</v>
      </c>
      <c r="C65">
        <v>225</v>
      </c>
      <c r="D65">
        <v>0.34405616147658602</v>
      </c>
      <c r="E65">
        <v>171.7850774919583</v>
      </c>
      <c r="F65">
        <v>50.552896102104484</v>
      </c>
      <c r="G65">
        <v>69.963018790373923</v>
      </c>
      <c r="H65">
        <v>65.321656165457213</v>
      </c>
      <c r="J65">
        <v>21.723960849019786</v>
      </c>
      <c r="L65">
        <v>1.6990493348320996</v>
      </c>
      <c r="M65">
        <v>9.722254674790225</v>
      </c>
      <c r="N65">
        <v>2.4271932421986286</v>
      </c>
      <c r="O65">
        <v>5.9468094218364662</v>
      </c>
      <c r="P65">
        <v>8.1199459027014278</v>
      </c>
      <c r="R65">
        <v>5.8223041493536716</v>
      </c>
      <c r="S65">
        <v>31.800028658072193</v>
      </c>
      <c r="U65">
        <v>1.2366840203979634</v>
      </c>
      <c r="V65">
        <v>49.44620303271703</v>
      </c>
      <c r="W65">
        <v>16.689251210808003</v>
      </c>
      <c r="X65">
        <v>45.010287449725958</v>
      </c>
      <c r="Y65">
        <v>3.5283224048098987</v>
      </c>
      <c r="Z65">
        <v>17.802026021245524</v>
      </c>
      <c r="AB65">
        <v>30.9226651160918</v>
      </c>
      <c r="AE65">
        <v>6.5106134195831986</v>
      </c>
      <c r="AF65">
        <v>9.3476985416730045</v>
      </c>
      <c r="AG65">
        <v>16.167412617212015</v>
      </c>
      <c r="AI65">
        <v>2.3638455382424444</v>
      </c>
      <c r="AK65">
        <v>26.041512497070467</v>
      </c>
    </row>
    <row r="66" spans="1:37" x14ac:dyDescent="0.2">
      <c r="A66">
        <v>65</v>
      </c>
      <c r="B66">
        <v>738</v>
      </c>
      <c r="C66">
        <v>225</v>
      </c>
      <c r="D66">
        <v>0.34262028383523802</v>
      </c>
      <c r="E66">
        <v>172.00522166243292</v>
      </c>
      <c r="F66">
        <v>51.20739019738199</v>
      </c>
      <c r="G66">
        <v>69.925737617579543</v>
      </c>
      <c r="H66">
        <v>65.280008000407605</v>
      </c>
      <c r="J66">
        <v>20.226499152715757</v>
      </c>
      <c r="L66">
        <v>1.7193098379713156</v>
      </c>
      <c r="M66">
        <v>9.0837071797205393</v>
      </c>
      <c r="N66">
        <v>2.431165763168543</v>
      </c>
      <c r="O66">
        <v>5.8922748595052097</v>
      </c>
      <c r="P66">
        <v>8.0925726109565979</v>
      </c>
      <c r="R66">
        <v>5.3138904538234009</v>
      </c>
      <c r="S66">
        <v>32.350122070871706</v>
      </c>
      <c r="U66">
        <v>1.1929593510393517</v>
      </c>
      <c r="V66">
        <v>50.268216347093109</v>
      </c>
      <c r="W66">
        <v>15.897180861282575</v>
      </c>
      <c r="X66">
        <v>44.960024168267452</v>
      </c>
      <c r="Y66">
        <v>3.4764896354191253</v>
      </c>
      <c r="Z66">
        <v>17.876198504741669</v>
      </c>
      <c r="AB66">
        <v>31.539238657748403</v>
      </c>
      <c r="AE66">
        <v>6.5403312947898087</v>
      </c>
      <c r="AF66">
        <v>8.7069384403409007</v>
      </c>
      <c r="AG66">
        <v>16.754249944628537</v>
      </c>
      <c r="AI66">
        <v>2.3672187475370645</v>
      </c>
      <c r="AK66">
        <v>24.892041991195871</v>
      </c>
    </row>
    <row r="67" spans="1:37" x14ac:dyDescent="0.2">
      <c r="A67">
        <v>66</v>
      </c>
      <c r="B67">
        <v>736</v>
      </c>
      <c r="C67">
        <v>225</v>
      </c>
      <c r="D67">
        <v>0.34117871475994799</v>
      </c>
      <c r="E67">
        <v>172.19400293477929</v>
      </c>
      <c r="F67">
        <v>51.792426970671073</v>
      </c>
      <c r="G67">
        <v>69.888009058964116</v>
      </c>
      <c r="H67">
        <v>65.237966118214317</v>
      </c>
      <c r="J67">
        <v>19.084480375153948</v>
      </c>
      <c r="L67">
        <v>1.7374203003314432</v>
      </c>
      <c r="M67">
        <v>8.5059924174186516</v>
      </c>
      <c r="N67">
        <v>2.4351352101795447</v>
      </c>
      <c r="O67">
        <v>5.8346321916417896</v>
      </c>
      <c r="P67">
        <v>8.0643341171224616</v>
      </c>
      <c r="R67">
        <v>4.847712570414072</v>
      </c>
      <c r="S67">
        <v>32.843088325913548</v>
      </c>
      <c r="U67">
        <v>1.1484398036796815</v>
      </c>
      <c r="V67">
        <v>51.003624210007622</v>
      </c>
      <c r="W67">
        <v>15.166314901192271</v>
      </c>
      <c r="X67">
        <v>44.908315769577932</v>
      </c>
      <c r="Y67">
        <v>3.4314641687155101</v>
      </c>
      <c r="Z67">
        <v>17.939943506696853</v>
      </c>
      <c r="AB67">
        <v>32.092642398880173</v>
      </c>
      <c r="AE67">
        <v>6.5646361658000529</v>
      </c>
      <c r="AF67">
        <v>8.1270096448339491</v>
      </c>
      <c r="AG67">
        <v>17.277924921881496</v>
      </c>
      <c r="AI67">
        <v>2.3705854267773057</v>
      </c>
      <c r="AK67">
        <v>23.99864606745378</v>
      </c>
    </row>
    <row r="68" spans="1:37" x14ac:dyDescent="0.2">
      <c r="A68">
        <v>67</v>
      </c>
      <c r="B68">
        <v>734</v>
      </c>
      <c r="C68">
        <v>225</v>
      </c>
      <c r="D68">
        <v>0.33973142034453802</v>
      </c>
      <c r="E68">
        <v>172.35943041811177</v>
      </c>
      <c r="F68">
        <v>52.325847219922252</v>
      </c>
      <c r="G68">
        <v>69.849968103139105</v>
      </c>
      <c r="H68">
        <v>65.195665680361842</v>
      </c>
      <c r="J68">
        <v>18.173631923531914</v>
      </c>
      <c r="L68">
        <v>1.7539386462666917</v>
      </c>
      <c r="M68">
        <v>7.9738455718239001</v>
      </c>
      <c r="N68">
        <v>2.4391021232008208</v>
      </c>
      <c r="O68">
        <v>5.7753206859445729</v>
      </c>
      <c r="P68">
        <v>8.0355011297811512</v>
      </c>
      <c r="R68">
        <v>4.4135243955490076</v>
      </c>
      <c r="S68">
        <v>33.292890796331342</v>
      </c>
      <c r="U68">
        <v>1.1033663419841007</v>
      </c>
      <c r="V68">
        <v>51.673634270750334</v>
      </c>
      <c r="W68">
        <v>14.481267798422492</v>
      </c>
      <c r="X68">
        <v>44.855849272167362</v>
      </c>
      <c r="Y68">
        <v>3.3915134139923087</v>
      </c>
      <c r="Z68">
        <v>17.996006923337841</v>
      </c>
      <c r="AB68">
        <v>32.598375001363536</v>
      </c>
      <c r="AE68">
        <v>6.5849442994486465</v>
      </c>
      <c r="AF68">
        <v>7.5926479258575377</v>
      </c>
      <c r="AG68">
        <v>17.753936801166127</v>
      </c>
      <c r="AI68">
        <v>2.3739461012105894</v>
      </c>
      <c r="AK68">
        <v>23.273782538203758</v>
      </c>
    </row>
    <row r="69" spans="1:37" x14ac:dyDescent="0.2">
      <c r="A69">
        <v>68</v>
      </c>
      <c r="B69">
        <v>760</v>
      </c>
      <c r="C69">
        <v>200</v>
      </c>
      <c r="D69">
        <v>0.38472680636887402</v>
      </c>
      <c r="E69">
        <v>157.30748054804843</v>
      </c>
      <c r="F69">
        <v>55.615882646831842</v>
      </c>
      <c r="G69">
        <v>70.881296611933138</v>
      </c>
      <c r="H69">
        <v>66.285402803897497</v>
      </c>
      <c r="J69">
        <v>44.055704143473967</v>
      </c>
      <c r="L69">
        <v>3.6292530230947269</v>
      </c>
      <c r="M69">
        <v>13.698768714187507</v>
      </c>
      <c r="N69">
        <v>2.2981918636983849</v>
      </c>
      <c r="O69">
        <v>16.760561324508565</v>
      </c>
      <c r="P69">
        <v>9.2559326034818508</v>
      </c>
      <c r="Q69">
        <v>0.22820517396048917</v>
      </c>
      <c r="R69">
        <v>11.723657718899048</v>
      </c>
      <c r="S69">
        <v>35.733504557961851</v>
      </c>
      <c r="U69">
        <v>2.1872854670119546</v>
      </c>
      <c r="V69">
        <v>45.491202474681437</v>
      </c>
      <c r="W69">
        <v>24.022747998399137</v>
      </c>
      <c r="X69">
        <v>45.756153394868825</v>
      </c>
      <c r="Y69">
        <v>5.5256708634769556</v>
      </c>
      <c r="Z69">
        <v>28.079065317644037</v>
      </c>
      <c r="AA69">
        <v>2.6266204365180967</v>
      </c>
      <c r="AB69">
        <v>33.668910492252863</v>
      </c>
      <c r="AC69">
        <v>1.9045026451008093E-3</v>
      </c>
      <c r="AD69">
        <v>5.8328630305536189</v>
      </c>
      <c r="AE69">
        <v>12.24731530296617</v>
      </c>
      <c r="AF69">
        <v>13.334249264935659</v>
      </c>
      <c r="AG69">
        <v>19.230208872556066</v>
      </c>
      <c r="AH69">
        <v>3.231323817072552</v>
      </c>
      <c r="AI69">
        <v>2.237557936336811</v>
      </c>
      <c r="AK69">
        <v>41.329421983678046</v>
      </c>
    </row>
    <row r="70" spans="1:37" x14ac:dyDescent="0.2">
      <c r="A70">
        <v>69</v>
      </c>
      <c r="B70">
        <v>758</v>
      </c>
      <c r="C70">
        <v>200</v>
      </c>
      <c r="D70">
        <v>0.383397662803666</v>
      </c>
      <c r="E70">
        <v>157.06779311589875</v>
      </c>
      <c r="F70">
        <v>54.883653981133747</v>
      </c>
      <c r="G70">
        <v>70.758998455716181</v>
      </c>
      <c r="H70">
        <v>66.158189985485635</v>
      </c>
      <c r="J70">
        <v>43.91823023559828</v>
      </c>
      <c r="L70">
        <v>3.4707843741992073</v>
      </c>
      <c r="M70">
        <v>13.555772842063174</v>
      </c>
      <c r="N70">
        <v>2.299933832410213</v>
      </c>
      <c r="O70">
        <v>16.024319041936881</v>
      </c>
      <c r="P70">
        <v>9.0559592705536183</v>
      </c>
      <c r="Q70">
        <v>8.5264941487117135E-2</v>
      </c>
      <c r="R70">
        <v>11.304048689814065</v>
      </c>
      <c r="S70">
        <v>34.832012381893549</v>
      </c>
      <c r="U70">
        <v>2.0181531022267514</v>
      </c>
      <c r="V70">
        <v>45.257389242254582</v>
      </c>
      <c r="W70">
        <v>23.599185610894871</v>
      </c>
      <c r="X70">
        <v>45.323741140222566</v>
      </c>
      <c r="Y70">
        <v>5.355055512361214</v>
      </c>
      <c r="Z70">
        <v>27.683538759049831</v>
      </c>
      <c r="AA70">
        <v>2.4631013006542561</v>
      </c>
      <c r="AB70">
        <v>33.363941125436057</v>
      </c>
      <c r="AD70">
        <v>5.6068965975996186</v>
      </c>
      <c r="AE70">
        <v>12.069943071500639</v>
      </c>
      <c r="AF70">
        <v>13.186789247716003</v>
      </c>
      <c r="AG70">
        <v>18.893235961496444</v>
      </c>
      <c r="AH70">
        <v>2.9667161620322262</v>
      </c>
      <c r="AI70">
        <v>2.2387366001311015</v>
      </c>
      <c r="AK70">
        <v>41.327121717775391</v>
      </c>
    </row>
    <row r="71" spans="1:37" x14ac:dyDescent="0.2">
      <c r="A71">
        <v>70</v>
      </c>
      <c r="B71">
        <v>756</v>
      </c>
      <c r="C71">
        <v>200</v>
      </c>
      <c r="D71">
        <v>0.38206335325268598</v>
      </c>
      <c r="E71">
        <v>156.76000399779591</v>
      </c>
      <c r="F71">
        <v>53.705723715131327</v>
      </c>
      <c r="G71">
        <v>70.557870703789774</v>
      </c>
      <c r="H71">
        <v>65.95219955768286</v>
      </c>
      <c r="J71">
        <v>43.709348746479371</v>
      </c>
      <c r="L71">
        <v>3.1823415368607058</v>
      </c>
      <c r="M71">
        <v>13.469381886225261</v>
      </c>
      <c r="N71">
        <v>2.3038890392002109</v>
      </c>
      <c r="O71">
        <v>14.782900561845908</v>
      </c>
      <c r="P71">
        <v>8.7005707590828951</v>
      </c>
      <c r="R71">
        <v>10.793684666098484</v>
      </c>
      <c r="S71">
        <v>34.060276260088933</v>
      </c>
      <c r="U71">
        <v>1.8869002214378501</v>
      </c>
      <c r="V71">
        <v>45.164429426371399</v>
      </c>
      <c r="W71">
        <v>23.153265751225931</v>
      </c>
      <c r="X71">
        <v>45.009277153641378</v>
      </c>
      <c r="Y71">
        <v>5.0322989608880411</v>
      </c>
      <c r="Z71">
        <v>27.053832580300629</v>
      </c>
      <c r="AA71">
        <v>2.1620651190577993</v>
      </c>
      <c r="AB71">
        <v>33.144429083812597</v>
      </c>
      <c r="AD71">
        <v>5.2333915697891458</v>
      </c>
      <c r="AE71">
        <v>11.815107676893946</v>
      </c>
      <c r="AF71">
        <v>13.098148599454124</v>
      </c>
      <c r="AG71">
        <v>18.643943651882079</v>
      </c>
      <c r="AH71">
        <v>2.4772362390978362</v>
      </c>
      <c r="AI71">
        <v>2.2421251930993207</v>
      </c>
      <c r="AK71">
        <v>41.222765134317022</v>
      </c>
    </row>
    <row r="72" spans="1:37" x14ac:dyDescent="0.2">
      <c r="A72">
        <v>71</v>
      </c>
      <c r="B72">
        <v>754</v>
      </c>
      <c r="C72">
        <v>200</v>
      </c>
      <c r="D72">
        <v>0.38072384753930699</v>
      </c>
      <c r="E72">
        <v>156.36947702995295</v>
      </c>
      <c r="F72">
        <v>51.942151685611499</v>
      </c>
      <c r="G72">
        <v>70.250104254427512</v>
      </c>
      <c r="H72">
        <v>65.639622584985716</v>
      </c>
      <c r="J72">
        <v>43.39666646865173</v>
      </c>
      <c r="L72">
        <v>2.7131536150778266</v>
      </c>
      <c r="M72">
        <v>13.468736507839822</v>
      </c>
      <c r="N72">
        <v>2.3078345506543352</v>
      </c>
      <c r="O72">
        <v>12.84856609509019</v>
      </c>
      <c r="P72">
        <v>8.1319261132281007</v>
      </c>
      <c r="R72">
        <v>10.152956032491295</v>
      </c>
      <c r="S72">
        <v>33.453212666540296</v>
      </c>
      <c r="U72">
        <v>1.8210210486572198</v>
      </c>
      <c r="V72">
        <v>45.256159433429865</v>
      </c>
      <c r="W72">
        <v>22.699809303805115</v>
      </c>
      <c r="X72">
        <v>44.898757447408656</v>
      </c>
      <c r="Y72">
        <v>4.5023817794053134</v>
      </c>
      <c r="Z72">
        <v>26.115037880104921</v>
      </c>
      <c r="AA72">
        <v>1.672230719429048</v>
      </c>
      <c r="AB72">
        <v>33.03035007351226</v>
      </c>
      <c r="AD72">
        <v>4.6638573279251405</v>
      </c>
      <c r="AE72">
        <v>11.4600142061445</v>
      </c>
      <c r="AF72">
        <v>13.095245092638688</v>
      </c>
      <c r="AG72">
        <v>18.500084763660411</v>
      </c>
      <c r="AH72">
        <v>1.6839027043282766</v>
      </c>
      <c r="AI72">
        <v>2.245500767119514</v>
      </c>
      <c r="AK72">
        <v>40.980501281922841</v>
      </c>
    </row>
    <row r="73" spans="1:37" x14ac:dyDescent="0.2">
      <c r="A73">
        <v>72</v>
      </c>
      <c r="B73">
        <v>752</v>
      </c>
      <c r="C73">
        <v>200</v>
      </c>
      <c r="D73">
        <v>0.37937911525142798</v>
      </c>
      <c r="E73">
        <v>155.97677001250665</v>
      </c>
      <c r="F73">
        <v>50.125108371810668</v>
      </c>
      <c r="G73">
        <v>69.929328127872481</v>
      </c>
      <c r="H73">
        <v>65.31408825450977</v>
      </c>
      <c r="J73">
        <v>43.040834458791096</v>
      </c>
      <c r="L73">
        <v>2.2175757328550572</v>
      </c>
      <c r="M73">
        <v>13.471946698069404</v>
      </c>
      <c r="N73">
        <v>2.3117775423832194</v>
      </c>
      <c r="O73">
        <v>10.834343815340443</v>
      </c>
      <c r="P73">
        <v>7.5372907311241715</v>
      </c>
      <c r="R73">
        <v>9.4655734623891163</v>
      </c>
      <c r="S73">
        <v>32.751238938791936</v>
      </c>
      <c r="U73">
        <v>1.7675498883148975</v>
      </c>
      <c r="V73">
        <v>45.321557130732877</v>
      </c>
      <c r="W73">
        <v>22.253344161563728</v>
      </c>
      <c r="X73">
        <v>44.825079923317965</v>
      </c>
      <c r="Y73">
        <v>3.947335604704564</v>
      </c>
      <c r="Z73">
        <v>25.142077250410427</v>
      </c>
      <c r="AA73">
        <v>1.1587407050886176</v>
      </c>
      <c r="AB73">
        <v>32.873669652524022</v>
      </c>
      <c r="AD73">
        <v>4.0704492127547427</v>
      </c>
      <c r="AE73">
        <v>11.094815875193811</v>
      </c>
      <c r="AF73">
        <v>13.096195938980358</v>
      </c>
      <c r="AG73">
        <v>18.313632077963874</v>
      </c>
      <c r="AH73">
        <v>0.85193843473257891</v>
      </c>
      <c r="AI73">
        <v>2.2488704830907942</v>
      </c>
      <c r="AK73">
        <v>40.720158201260652</v>
      </c>
    </row>
    <row r="74" spans="1:37" x14ac:dyDescent="0.2">
      <c r="A74">
        <v>73</v>
      </c>
      <c r="B74">
        <v>750</v>
      </c>
      <c r="C74">
        <v>200</v>
      </c>
      <c r="D74">
        <v>0.37802912573913899</v>
      </c>
      <c r="E74">
        <v>156.69977789024861</v>
      </c>
      <c r="F74">
        <v>49.657353364144598</v>
      </c>
      <c r="G74">
        <v>70.167258807191573</v>
      </c>
      <c r="H74">
        <v>65.547313216844046</v>
      </c>
      <c r="J74">
        <v>31.706913138650705</v>
      </c>
      <c r="L74">
        <v>1.5743058158817693</v>
      </c>
      <c r="M74">
        <v>12.523996016134799</v>
      </c>
      <c r="N74">
        <v>2.3157880405718783</v>
      </c>
      <c r="O74">
        <v>6.8047080921287666</v>
      </c>
      <c r="P74">
        <v>8.0601677881349492</v>
      </c>
      <c r="R74">
        <v>8.2750803888600135</v>
      </c>
      <c r="S74">
        <v>30.960735241167555</v>
      </c>
      <c r="U74">
        <v>1.7961040699233148</v>
      </c>
      <c r="V74">
        <v>46.292088545227855</v>
      </c>
      <c r="W74">
        <v>21.053537328901353</v>
      </c>
      <c r="X74">
        <v>44.98264776359111</v>
      </c>
      <c r="Y74">
        <v>3.594110911978067</v>
      </c>
      <c r="Z74">
        <v>20.404699458251553</v>
      </c>
      <c r="AB74">
        <v>30.505760993299152</v>
      </c>
      <c r="AD74">
        <v>1.7364538168960992</v>
      </c>
      <c r="AE74">
        <v>8.1711926305040361</v>
      </c>
      <c r="AF74">
        <v>12.146054769026721</v>
      </c>
      <c r="AG74">
        <v>15.916028841262534</v>
      </c>
      <c r="AI74">
        <v>2.2523043524830459</v>
      </c>
      <c r="AK74">
        <v>33.025188929393138</v>
      </c>
    </row>
    <row r="75" spans="1:37" x14ac:dyDescent="0.2">
      <c r="A75">
        <v>74</v>
      </c>
      <c r="B75">
        <v>748</v>
      </c>
      <c r="C75">
        <v>200</v>
      </c>
      <c r="D75">
        <v>0.37667384811242399</v>
      </c>
      <c r="E75">
        <v>157.24509640499255</v>
      </c>
      <c r="F75">
        <v>50.000978858209599</v>
      </c>
      <c r="G75">
        <v>70.264640753053072</v>
      </c>
      <c r="H75">
        <v>65.640042100834606</v>
      </c>
      <c r="J75">
        <v>26.264031068215058</v>
      </c>
      <c r="L75">
        <v>1.6203449619394268</v>
      </c>
      <c r="M75">
        <v>11.544090980714936</v>
      </c>
      <c r="N75">
        <v>2.319787948138452</v>
      </c>
      <c r="O75">
        <v>6.5488455850788636</v>
      </c>
      <c r="P75">
        <v>8.3019682925833198</v>
      </c>
      <c r="R75">
        <v>7.6464151798383941</v>
      </c>
      <c r="S75">
        <v>31.574367366446129</v>
      </c>
      <c r="U75">
        <v>1.7722017668886774</v>
      </c>
      <c r="V75">
        <v>47.555633517968133</v>
      </c>
      <c r="W75">
        <v>19.905836388946689</v>
      </c>
      <c r="X75">
        <v>44.989224287287982</v>
      </c>
      <c r="Y75">
        <v>3.5915626827924676</v>
      </c>
      <c r="Z75">
        <v>18.180551167759901</v>
      </c>
      <c r="AB75">
        <v>29.994560932159967</v>
      </c>
      <c r="AD75">
        <v>0.63267178100424493</v>
      </c>
      <c r="AE75">
        <v>6.8359677416626488</v>
      </c>
      <c r="AF75">
        <v>11.163950049720835</v>
      </c>
      <c r="AG75">
        <v>15.375133840937949</v>
      </c>
      <c r="AI75">
        <v>2.2557242634963699</v>
      </c>
      <c r="AK75">
        <v>29.168001187499808</v>
      </c>
    </row>
    <row r="76" spans="1:37" x14ac:dyDescent="0.2">
      <c r="A76">
        <v>75</v>
      </c>
      <c r="B76">
        <v>746</v>
      </c>
      <c r="C76">
        <v>200</v>
      </c>
      <c r="D76">
        <v>0.37531325123877901</v>
      </c>
      <c r="E76">
        <v>157.62467521954972</v>
      </c>
      <c r="F76">
        <v>50.487974805848829</v>
      </c>
      <c r="G76">
        <v>70.301343888732333</v>
      </c>
      <c r="H76">
        <v>65.672144998592046</v>
      </c>
      <c r="J76">
        <v>23.366996793184079</v>
      </c>
      <c r="L76">
        <v>1.6525416479751693</v>
      </c>
      <c r="M76">
        <v>10.748343007577162</v>
      </c>
      <c r="N76">
        <v>2.3237763651784165</v>
      </c>
      <c r="O76">
        <v>6.3662364443325714</v>
      </c>
      <c r="P76">
        <v>8.4224313762105059</v>
      </c>
      <c r="R76">
        <v>7.0938936223925744</v>
      </c>
      <c r="S76">
        <v>32.152708222960321</v>
      </c>
      <c r="U76">
        <v>1.7351391778309981</v>
      </c>
      <c r="V76">
        <v>48.592319119900829</v>
      </c>
      <c r="W76">
        <v>18.949448287941635</v>
      </c>
      <c r="X76">
        <v>44.958915424250968</v>
      </c>
      <c r="Y76">
        <v>3.5665506976737467</v>
      </c>
      <c r="Z76">
        <v>17.051273728603682</v>
      </c>
      <c r="AB76">
        <v>30.022593728625992</v>
      </c>
      <c r="AD76">
        <v>5.3603596059350299E-2</v>
      </c>
      <c r="AE76">
        <v>6.1576236085870901</v>
      </c>
      <c r="AF76">
        <v>10.365992342473364</v>
      </c>
      <c r="AG76">
        <v>15.373470485054735</v>
      </c>
      <c r="AI76">
        <v>2.259129301505292</v>
      </c>
      <c r="AK76">
        <v>27.047120855074578</v>
      </c>
    </row>
    <row r="77" spans="1:37" x14ac:dyDescent="0.2">
      <c r="A77">
        <v>76</v>
      </c>
      <c r="B77">
        <v>744</v>
      </c>
      <c r="C77">
        <v>200</v>
      </c>
      <c r="D77">
        <v>0.373947303740848</v>
      </c>
      <c r="E77">
        <v>157.85599618681488</v>
      </c>
      <c r="F77">
        <v>51.401535289052561</v>
      </c>
      <c r="G77">
        <v>70.231359042056795</v>
      </c>
      <c r="H77">
        <v>65.597612907444088</v>
      </c>
      <c r="J77">
        <v>21.354840465151675</v>
      </c>
      <c r="L77">
        <v>1.6716103083174167</v>
      </c>
      <c r="M77">
        <v>10.029674516582435</v>
      </c>
      <c r="N77">
        <v>2.3277549747013278</v>
      </c>
      <c r="O77">
        <v>6.3607447829427324</v>
      </c>
      <c r="P77">
        <v>8.3295405638132927</v>
      </c>
      <c r="R77">
        <v>6.4915680327285639</v>
      </c>
      <c r="S77">
        <v>32.766393881937901</v>
      </c>
      <c r="U77">
        <v>1.6947614821531016</v>
      </c>
      <c r="V77">
        <v>49.513691681083031</v>
      </c>
      <c r="W77">
        <v>18.071961659842522</v>
      </c>
      <c r="X77">
        <v>44.919994155715592</v>
      </c>
      <c r="Y77">
        <v>3.4815421987134774</v>
      </c>
      <c r="Z77">
        <v>17.698763926778138</v>
      </c>
      <c r="AB77">
        <v>31.032651974992206</v>
      </c>
      <c r="AE77">
        <v>6.522414499911144</v>
      </c>
      <c r="AF77">
        <v>9.6451057959106965</v>
      </c>
      <c r="AG77">
        <v>16.353833097676826</v>
      </c>
      <c r="AI77">
        <v>2.2625211347972529</v>
      </c>
      <c r="AK77">
        <v>25.536388531249226</v>
      </c>
    </row>
    <row r="78" spans="1:37" x14ac:dyDescent="0.2">
      <c r="A78">
        <v>77</v>
      </c>
      <c r="B78">
        <v>742</v>
      </c>
      <c r="C78">
        <v>200</v>
      </c>
      <c r="D78">
        <v>0.37257597399398801</v>
      </c>
      <c r="E78">
        <v>158.07038505302339</v>
      </c>
      <c r="F78">
        <v>52.042989265872322</v>
      </c>
      <c r="G78">
        <v>70.193709935919358</v>
      </c>
      <c r="H78">
        <v>65.555469720447874</v>
      </c>
      <c r="J78">
        <v>19.934331394041045</v>
      </c>
      <c r="L78">
        <v>1.6905363398443405</v>
      </c>
      <c r="M78">
        <v>9.4045916814150168</v>
      </c>
      <c r="N78">
        <v>2.3317315777346881</v>
      </c>
      <c r="O78">
        <v>6.2916192627838612</v>
      </c>
      <c r="P78">
        <v>8.3013512893746562</v>
      </c>
      <c r="R78">
        <v>5.9881571170489822</v>
      </c>
      <c r="S78">
        <v>33.27844858685377</v>
      </c>
      <c r="U78">
        <v>1.6516230050375287</v>
      </c>
      <c r="V78">
        <v>50.31257440550737</v>
      </c>
      <c r="W78">
        <v>17.289466181696046</v>
      </c>
      <c r="X78">
        <v>44.874011889912993</v>
      </c>
      <c r="Y78">
        <v>3.4287669830721854</v>
      </c>
      <c r="Z78">
        <v>17.77202929585194</v>
      </c>
      <c r="AB78">
        <v>31.626620267223409</v>
      </c>
      <c r="AE78">
        <v>6.5519308506415825</v>
      </c>
      <c r="AF78">
        <v>9.017804430709095</v>
      </c>
      <c r="AG78">
        <v>16.91811412487187</v>
      </c>
      <c r="AI78">
        <v>2.2659075496765939</v>
      </c>
      <c r="AK78">
        <v>24.446883599849635</v>
      </c>
    </row>
    <row r="79" spans="1:37" x14ac:dyDescent="0.2">
      <c r="A79">
        <v>78</v>
      </c>
      <c r="B79">
        <v>740</v>
      </c>
      <c r="C79">
        <v>200</v>
      </c>
      <c r="D79">
        <v>0.37119923012387401</v>
      </c>
      <c r="E79">
        <v>158.25493067299206</v>
      </c>
      <c r="F79">
        <v>52.618266423842556</v>
      </c>
      <c r="G79">
        <v>70.15562337682546</v>
      </c>
      <c r="H79">
        <v>65.512942414946025</v>
      </c>
      <c r="J79">
        <v>18.837345580500465</v>
      </c>
      <c r="L79">
        <v>1.7075564615677068</v>
      </c>
      <c r="M79">
        <v>8.8362523923933338</v>
      </c>
      <c r="N79">
        <v>2.3357053735067423</v>
      </c>
      <c r="O79">
        <v>6.2198917532526181</v>
      </c>
      <c r="P79">
        <v>8.2723165533558163</v>
      </c>
      <c r="R79">
        <v>5.525013006811645</v>
      </c>
      <c r="S79">
        <v>33.742452241218274</v>
      </c>
      <c r="U79">
        <v>1.6071499000200458</v>
      </c>
      <c r="V79">
        <v>51.032526267000478</v>
      </c>
      <c r="W79">
        <v>16.564380498233952</v>
      </c>
      <c r="X79">
        <v>44.825066312716515</v>
      </c>
      <c r="Y79">
        <v>3.3825553867448912</v>
      </c>
      <c r="Z79">
        <v>17.835267649373097</v>
      </c>
      <c r="AB79">
        <v>32.164321286837414</v>
      </c>
      <c r="AE79">
        <v>6.5762455590692248</v>
      </c>
      <c r="AF79">
        <v>8.4472453825812401</v>
      </c>
      <c r="AG79">
        <v>17.426135496771739</v>
      </c>
      <c r="AI79">
        <v>2.269287730646651</v>
      </c>
      <c r="AK79">
        <v>23.589940896405128</v>
      </c>
    </row>
    <row r="80" spans="1:37" x14ac:dyDescent="0.2">
      <c r="A80">
        <v>79</v>
      </c>
      <c r="B80">
        <v>738</v>
      </c>
      <c r="C80">
        <v>200</v>
      </c>
      <c r="D80">
        <v>0.36981704000395799</v>
      </c>
      <c r="E80">
        <v>158.41703385501603</v>
      </c>
      <c r="F80">
        <v>53.143882712383444</v>
      </c>
      <c r="G80">
        <v>70.117233472636784</v>
      </c>
      <c r="H80">
        <v>65.470165270309309</v>
      </c>
      <c r="J80">
        <v>17.954728860123751</v>
      </c>
      <c r="L80">
        <v>1.7231399950265223</v>
      </c>
      <c r="M80">
        <v>8.3110133510865527</v>
      </c>
      <c r="N80">
        <v>2.3396768122127702</v>
      </c>
      <c r="O80">
        <v>6.1468108933940702</v>
      </c>
      <c r="P80">
        <v>8.2427052109531953</v>
      </c>
      <c r="R80">
        <v>5.0926721085895377</v>
      </c>
      <c r="S80">
        <v>34.168826128260505</v>
      </c>
      <c r="U80">
        <v>1.5617839605939488</v>
      </c>
      <c r="V80">
        <v>51.691696089109747</v>
      </c>
      <c r="W80">
        <v>15.882827086035981</v>
      </c>
      <c r="X80">
        <v>44.774421113287339</v>
      </c>
      <c r="Y80">
        <v>3.3413076909556545</v>
      </c>
      <c r="Z80">
        <v>17.891030404293232</v>
      </c>
      <c r="AB80">
        <v>32.65851623153322</v>
      </c>
      <c r="AE80">
        <v>6.5966694705990525</v>
      </c>
      <c r="AF80">
        <v>7.9197858496695783</v>
      </c>
      <c r="AG80">
        <v>17.890658910978431</v>
      </c>
      <c r="AI80">
        <v>2.2726621131788427</v>
      </c>
      <c r="AK80">
        <v>22.888974537760244</v>
      </c>
    </row>
    <row r="81" spans="1:37" x14ac:dyDescent="0.2">
      <c r="A81">
        <v>80</v>
      </c>
      <c r="B81">
        <v>766</v>
      </c>
      <c r="C81">
        <v>175</v>
      </c>
      <c r="D81">
        <v>0.41514747630275201</v>
      </c>
      <c r="E81">
        <v>143.27598446300757</v>
      </c>
      <c r="F81">
        <v>56.802033335784387</v>
      </c>
      <c r="G81">
        <v>71.187460356161978</v>
      </c>
      <c r="H81">
        <v>66.605577149624509</v>
      </c>
      <c r="J81">
        <v>43.818197432600925</v>
      </c>
      <c r="L81">
        <v>3.9144428830959734</v>
      </c>
      <c r="M81">
        <v>13.926294423792362</v>
      </c>
      <c r="N81">
        <v>2.2354782805770164</v>
      </c>
      <c r="O81">
        <v>19.013808009022487</v>
      </c>
      <c r="P81">
        <v>9.5359863251511126</v>
      </c>
      <c r="Q81">
        <v>6.0595530471760528E-2</v>
      </c>
      <c r="R81">
        <v>12.691705011568303</v>
      </c>
      <c r="S81">
        <v>37.255015192405892</v>
      </c>
      <c r="U81">
        <v>2.522360268577478</v>
      </c>
      <c r="V81">
        <v>45.333685973689299</v>
      </c>
      <c r="W81">
        <v>25.69537119823659</v>
      </c>
      <c r="X81">
        <v>44.940535130304809</v>
      </c>
      <c r="Y81">
        <v>5.7317688705686303</v>
      </c>
      <c r="Z81">
        <v>29.032326136004304</v>
      </c>
      <c r="AA81">
        <v>2.9555558202189278</v>
      </c>
      <c r="AB81">
        <v>34.354387977311696</v>
      </c>
      <c r="AC81">
        <v>4.2670213589700474E-2</v>
      </c>
      <c r="AD81">
        <v>6.339574515481555</v>
      </c>
      <c r="AE81">
        <v>12.899038522828841</v>
      </c>
      <c r="AF81">
        <v>13.59482491605956</v>
      </c>
      <c r="AG81">
        <v>20.061947396250275</v>
      </c>
      <c r="AH81">
        <v>3.3341907176362775</v>
      </c>
      <c r="AI81">
        <v>2.1734751810184907</v>
      </c>
      <c r="AK81">
        <v>40.842390657534963</v>
      </c>
    </row>
    <row r="82" spans="1:37" x14ac:dyDescent="0.2">
      <c r="A82">
        <v>81</v>
      </c>
      <c r="B82">
        <v>764</v>
      </c>
      <c r="C82">
        <v>175</v>
      </c>
      <c r="D82">
        <v>0.41388468398978101</v>
      </c>
      <c r="E82">
        <v>143.0717099643727</v>
      </c>
      <c r="F82">
        <v>56.104034619923617</v>
      </c>
      <c r="G82">
        <v>71.065577022391892</v>
      </c>
      <c r="H82">
        <v>66.478603814311853</v>
      </c>
      <c r="J82">
        <v>43.761950044883761</v>
      </c>
      <c r="L82">
        <v>3.7405055059578625</v>
      </c>
      <c r="M82">
        <v>13.88495437011154</v>
      </c>
      <c r="N82">
        <v>2.2139422585656985</v>
      </c>
      <c r="O82">
        <v>18.172472763103393</v>
      </c>
      <c r="P82">
        <v>9.3134541598792104</v>
      </c>
      <c r="R82">
        <v>12.370386882633209</v>
      </c>
      <c r="S82">
        <v>36.799522188594409</v>
      </c>
      <c r="U82">
        <v>2.4383420549011392</v>
      </c>
      <c r="V82">
        <v>45.286682851778899</v>
      </c>
      <c r="W82">
        <v>25.411114969864368</v>
      </c>
      <c r="X82">
        <v>44.794956998027551</v>
      </c>
      <c r="Y82">
        <v>5.549602530276065</v>
      </c>
      <c r="Z82">
        <v>28.65342075380287</v>
      </c>
      <c r="AA82">
        <v>2.7733485767798265</v>
      </c>
      <c r="AB82">
        <v>34.213661008083797</v>
      </c>
      <c r="AC82">
        <v>1.716692085297554E-2</v>
      </c>
      <c r="AD82">
        <v>6.1291999733403495</v>
      </c>
      <c r="AE82">
        <v>12.730636098365306</v>
      </c>
      <c r="AF82">
        <v>13.525732232324952</v>
      </c>
      <c r="AG82">
        <v>19.865974823958307</v>
      </c>
      <c r="AH82">
        <v>3.0790273797591272</v>
      </c>
      <c r="AI82">
        <v>2.151387948108034</v>
      </c>
      <c r="AK82">
        <v>40.844023739257963</v>
      </c>
    </row>
    <row r="83" spans="1:37" x14ac:dyDescent="0.2">
      <c r="A83">
        <v>82</v>
      </c>
      <c r="B83">
        <v>762</v>
      </c>
      <c r="C83">
        <v>175</v>
      </c>
      <c r="D83">
        <v>0.41261701202724399</v>
      </c>
      <c r="E83">
        <v>142.77216539940719</v>
      </c>
      <c r="F83">
        <v>54.812848958548088</v>
      </c>
      <c r="G83">
        <v>70.839178405093691</v>
      </c>
      <c r="H83">
        <v>66.247166696435031</v>
      </c>
      <c r="J83">
        <v>43.588539636719183</v>
      </c>
      <c r="L83">
        <v>3.3964098359900965</v>
      </c>
      <c r="M83">
        <v>13.895945338189215</v>
      </c>
      <c r="N83">
        <v>2.2004309012977181</v>
      </c>
      <c r="O83">
        <v>16.683488758211688</v>
      </c>
      <c r="P83">
        <v>8.8899463172439734</v>
      </c>
      <c r="R83">
        <v>11.900574772159576</v>
      </c>
      <c r="S83">
        <v>36.396984006593065</v>
      </c>
      <c r="U83">
        <v>2.3882203813612679</v>
      </c>
      <c r="V83">
        <v>45.37641809337012</v>
      </c>
      <c r="W83">
        <v>25.066250302873549</v>
      </c>
      <c r="X83">
        <v>44.750039191507369</v>
      </c>
      <c r="Y83">
        <v>5.1682656828388147</v>
      </c>
      <c r="Z83">
        <v>27.959887670157304</v>
      </c>
      <c r="AA83">
        <v>2.4128216416778159</v>
      </c>
      <c r="AB83">
        <v>34.138452024971905</v>
      </c>
      <c r="AD83">
        <v>5.7199060455944242</v>
      </c>
      <c r="AE83">
        <v>12.457056840189155</v>
      </c>
      <c r="AF83">
        <v>13.516996340818642</v>
      </c>
      <c r="AG83">
        <v>19.743554800789408</v>
      </c>
      <c r="AH83">
        <v>2.5239477660625296</v>
      </c>
      <c r="AI83">
        <v>2.1373221151292099</v>
      </c>
      <c r="AK83">
        <v>40.710504326248689</v>
      </c>
    </row>
    <row r="84" spans="1:37" x14ac:dyDescent="0.2">
      <c r="A84">
        <v>83</v>
      </c>
      <c r="B84">
        <v>760</v>
      </c>
      <c r="C84">
        <v>175</v>
      </c>
      <c r="D84">
        <v>0.41134443207665999</v>
      </c>
      <c r="E84">
        <v>142.38867609699935</v>
      </c>
      <c r="F84">
        <v>53.067728415516129</v>
      </c>
      <c r="G84">
        <v>70.532856325675951</v>
      </c>
      <c r="H84">
        <v>65.935857781706133</v>
      </c>
      <c r="J84">
        <v>43.267835837671065</v>
      </c>
      <c r="L84">
        <v>2.9278092898290122</v>
      </c>
      <c r="M84">
        <v>13.895058137917735</v>
      </c>
      <c r="N84">
        <v>2.204382776037781</v>
      </c>
      <c r="O84">
        <v>14.754408784048479</v>
      </c>
      <c r="P84">
        <v>8.3240851854026925</v>
      </c>
      <c r="R84">
        <v>11.252595252554576</v>
      </c>
      <c r="S84">
        <v>35.754437482975575</v>
      </c>
      <c r="U84">
        <v>2.3270512480801275</v>
      </c>
      <c r="V84">
        <v>45.452954613219397</v>
      </c>
      <c r="W84">
        <v>24.613493477110925</v>
      </c>
      <c r="X84">
        <v>44.655794358643995</v>
      </c>
      <c r="Y84">
        <v>4.6410746470182707</v>
      </c>
      <c r="Z84">
        <v>27.024305577466958</v>
      </c>
      <c r="AA84">
        <v>1.9253786881651249</v>
      </c>
      <c r="AB84">
        <v>34.003331647451105</v>
      </c>
      <c r="AD84">
        <v>5.1539276552250843</v>
      </c>
      <c r="AE84">
        <v>12.102249311304657</v>
      </c>
      <c r="AF84">
        <v>13.513846662832126</v>
      </c>
      <c r="AG84">
        <v>19.578696559825282</v>
      </c>
      <c r="AH84">
        <v>1.7349597660762501</v>
      </c>
      <c r="AI84">
        <v>2.1407162346545281</v>
      </c>
      <c r="AK84">
        <v>40.471538475281704</v>
      </c>
    </row>
    <row r="85" spans="1:37" x14ac:dyDescent="0.2">
      <c r="A85">
        <v>84</v>
      </c>
      <c r="B85">
        <v>758</v>
      </c>
      <c r="C85">
        <v>175</v>
      </c>
      <c r="D85">
        <v>0.41006691557969399</v>
      </c>
      <c r="E85">
        <v>142.00366532332953</v>
      </c>
      <c r="F85">
        <v>51.2736855104977</v>
      </c>
      <c r="G85">
        <v>70.214535545045507</v>
      </c>
      <c r="H85">
        <v>65.612601995974316</v>
      </c>
      <c r="J85">
        <v>42.905500936305444</v>
      </c>
      <c r="L85">
        <v>2.4347242712201989</v>
      </c>
      <c r="M85">
        <v>13.89737344011928</v>
      </c>
      <c r="N85">
        <v>2.2083322445110927</v>
      </c>
      <c r="O85">
        <v>12.751294925280945</v>
      </c>
      <c r="P85">
        <v>7.7342548269601119</v>
      </c>
      <c r="R85">
        <v>10.560686237089463</v>
      </c>
      <c r="S85">
        <v>35.017107018911467</v>
      </c>
      <c r="U85">
        <v>2.2776020122888405</v>
      </c>
      <c r="V85">
        <v>45.502877754789829</v>
      </c>
      <c r="W85">
        <v>24.167531965669593</v>
      </c>
      <c r="X85">
        <v>44.596417827867853</v>
      </c>
      <c r="Y85">
        <v>4.0906436789995659</v>
      </c>
      <c r="Z85">
        <v>26.056167879098158</v>
      </c>
      <c r="AA85">
        <v>1.4158684752527551</v>
      </c>
      <c r="AB85">
        <v>33.824825179558552</v>
      </c>
      <c r="AD85">
        <v>4.5652988471940033</v>
      </c>
      <c r="AE85">
        <v>11.737536246865297</v>
      </c>
      <c r="AF85">
        <v>13.513898275248872</v>
      </c>
      <c r="AG85">
        <v>19.370459813467296</v>
      </c>
      <c r="AH85">
        <v>0.9101012372703654</v>
      </c>
      <c r="AI85">
        <v>2.1441046537117607</v>
      </c>
      <c r="AK85">
        <v>40.215831737529633</v>
      </c>
    </row>
    <row r="86" spans="1:37" x14ac:dyDescent="0.2">
      <c r="A86">
        <v>85</v>
      </c>
      <c r="B86">
        <v>756</v>
      </c>
      <c r="C86">
        <v>175</v>
      </c>
      <c r="D86">
        <v>0.40878443375601398</v>
      </c>
      <c r="E86">
        <v>142.36201472889485</v>
      </c>
      <c r="F86">
        <v>50.819779038447351</v>
      </c>
      <c r="G86">
        <v>70.319335504047572</v>
      </c>
      <c r="H86">
        <v>65.712518945664172</v>
      </c>
      <c r="J86">
        <v>35.800695349343414</v>
      </c>
      <c r="L86">
        <v>1.5157340004091457</v>
      </c>
      <c r="M86">
        <v>13.436272637974774</v>
      </c>
      <c r="N86">
        <v>2.2123209191885254</v>
      </c>
      <c r="O86">
        <v>7.6887097798136841</v>
      </c>
      <c r="P86">
        <v>7.9907359161323113</v>
      </c>
      <c r="R86">
        <v>9.3350629540131376</v>
      </c>
      <c r="S86">
        <v>32.190787413950005</v>
      </c>
      <c r="U86">
        <v>2.3163592527436254</v>
      </c>
      <c r="V86">
        <v>45.754134111978679</v>
      </c>
      <c r="W86">
        <v>23.338259677796042</v>
      </c>
      <c r="X86">
        <v>44.788424505386168</v>
      </c>
      <c r="Y86">
        <v>3.5104616950967658</v>
      </c>
      <c r="Z86">
        <v>23.215486894781087</v>
      </c>
      <c r="AB86">
        <v>32.128180627014096</v>
      </c>
      <c r="AD86">
        <v>3.1230694688154061</v>
      </c>
      <c r="AE86">
        <v>9.956771345692113</v>
      </c>
      <c r="AF86">
        <v>13.050574228253842</v>
      </c>
      <c r="AG86">
        <v>17.644134226834243</v>
      </c>
      <c r="AI86">
        <v>2.1475289700688736</v>
      </c>
      <c r="AK86">
        <v>35.499012896409418</v>
      </c>
    </row>
    <row r="87" spans="1:37" x14ac:dyDescent="0.2">
      <c r="A87">
        <v>86</v>
      </c>
      <c r="B87">
        <v>754</v>
      </c>
      <c r="C87">
        <v>175</v>
      </c>
      <c r="D87">
        <v>0.40749695760112897</v>
      </c>
      <c r="E87">
        <v>143.03726977927195</v>
      </c>
      <c r="F87">
        <v>50.8210775207164</v>
      </c>
      <c r="G87">
        <v>70.473100060636071</v>
      </c>
      <c r="H87">
        <v>65.861452654954405</v>
      </c>
      <c r="J87">
        <v>28.073650085184724</v>
      </c>
      <c r="L87">
        <v>1.5679998193555293</v>
      </c>
      <c r="M87">
        <v>12.385740466242021</v>
      </c>
      <c r="N87">
        <v>2.2163310621379249</v>
      </c>
      <c r="O87">
        <v>7.365031293370687</v>
      </c>
      <c r="P87">
        <v>8.3451986119486197</v>
      </c>
      <c r="R87">
        <v>8.6654835589424337</v>
      </c>
      <c r="S87">
        <v>32.478117141303315</v>
      </c>
      <c r="U87">
        <v>2.3296344811565497</v>
      </c>
      <c r="V87">
        <v>46.979404783452999</v>
      </c>
      <c r="W87">
        <v>22.094031151249307</v>
      </c>
      <c r="X87">
        <v>44.903908598040012</v>
      </c>
      <c r="Y87">
        <v>3.5339026845914989</v>
      </c>
      <c r="Z87">
        <v>19.751712580635331</v>
      </c>
      <c r="AB87">
        <v>30.714701242674913</v>
      </c>
      <c r="AD87">
        <v>1.4370913341041769</v>
      </c>
      <c r="AE87">
        <v>7.8504358506108511</v>
      </c>
      <c r="AF87">
        <v>11.997841563409576</v>
      </c>
      <c r="AG87">
        <v>16.201005362083741</v>
      </c>
      <c r="AI87">
        <v>2.1509714310859174</v>
      </c>
      <c r="AK87">
        <v>30.164301676110544</v>
      </c>
    </row>
    <row r="88" spans="1:37" x14ac:dyDescent="0.2">
      <c r="A88">
        <v>87</v>
      </c>
      <c r="B88">
        <v>752</v>
      </c>
      <c r="C88">
        <v>175</v>
      </c>
      <c r="D88">
        <v>0.406204457884214</v>
      </c>
      <c r="E88">
        <v>143.4723297256902</v>
      </c>
      <c r="F88">
        <v>51.25419877255235</v>
      </c>
      <c r="G88">
        <v>70.528802841050094</v>
      </c>
      <c r="H88">
        <v>65.91237691695477</v>
      </c>
      <c r="J88">
        <v>24.460994393613596</v>
      </c>
      <c r="L88">
        <v>1.6025746926344728</v>
      </c>
      <c r="M88">
        <v>11.53788632955338</v>
      </c>
      <c r="N88">
        <v>2.2203279303439869</v>
      </c>
      <c r="O88">
        <v>7.1528847436982375</v>
      </c>
      <c r="P88">
        <v>8.5035556059339985</v>
      </c>
      <c r="R88">
        <v>8.0819915447640334</v>
      </c>
      <c r="S88">
        <v>32.992580293787455</v>
      </c>
      <c r="U88">
        <v>2.3022870345349187</v>
      </c>
      <c r="V88">
        <v>48.057557303064797</v>
      </c>
      <c r="W88">
        <v>21.075779123569546</v>
      </c>
      <c r="X88">
        <v>44.903643499752036</v>
      </c>
      <c r="Y88">
        <v>3.5107388950394336</v>
      </c>
      <c r="Z88">
        <v>18.259066126744894</v>
      </c>
      <c r="AB88">
        <v>30.518390805393995</v>
      </c>
      <c r="AD88">
        <v>0.68396872654698249</v>
      </c>
      <c r="AE88">
        <v>6.950497430654953</v>
      </c>
      <c r="AF88">
        <v>11.147774987271196</v>
      </c>
      <c r="AG88">
        <v>15.975042302586441</v>
      </c>
      <c r="AI88">
        <v>2.154397279035833</v>
      </c>
      <c r="AK88">
        <v>27.568784260718342</v>
      </c>
    </row>
    <row r="89" spans="1:37" x14ac:dyDescent="0.2">
      <c r="A89">
        <v>88</v>
      </c>
      <c r="B89">
        <v>750</v>
      </c>
      <c r="C89">
        <v>175</v>
      </c>
      <c r="D89">
        <v>0.40490690514587502</v>
      </c>
      <c r="E89">
        <v>143.80187295375126</v>
      </c>
      <c r="F89">
        <v>51.720063756773406</v>
      </c>
      <c r="G89">
        <v>70.551596828908103</v>
      </c>
      <c r="H89">
        <v>65.930444882806768</v>
      </c>
      <c r="J89">
        <v>22.212946101735959</v>
      </c>
      <c r="L89">
        <v>1.6292392214264872</v>
      </c>
      <c r="M89">
        <v>10.815778992985662</v>
      </c>
      <c r="N89">
        <v>2.2243175443341596</v>
      </c>
      <c r="O89">
        <v>6.9762171868324545</v>
      </c>
      <c r="P89">
        <v>8.596119068926912</v>
      </c>
      <c r="R89">
        <v>7.5615197506511249</v>
      </c>
      <c r="S89">
        <v>33.48574348520355</v>
      </c>
      <c r="U89">
        <v>2.2649923721092922</v>
      </c>
      <c r="V89">
        <v>48.984771408260244</v>
      </c>
      <c r="W89">
        <v>20.188826130956937</v>
      </c>
      <c r="X89">
        <v>44.875745554017904</v>
      </c>
      <c r="Y89">
        <v>3.4802974499850294</v>
      </c>
      <c r="Z89">
        <v>17.335803915272923</v>
      </c>
      <c r="AB89">
        <v>30.588444319931863</v>
      </c>
      <c r="AD89">
        <v>0.20599696620209568</v>
      </c>
      <c r="AE89">
        <v>6.3930490327283165</v>
      </c>
      <c r="AF89">
        <v>10.42344933058428</v>
      </c>
      <c r="AG89">
        <v>16.015446121464784</v>
      </c>
      <c r="AI89">
        <v>2.1578125197311739</v>
      </c>
      <c r="AK89">
        <v>25.908236979364613</v>
      </c>
    </row>
    <row r="90" spans="1:37" x14ac:dyDescent="0.2">
      <c r="A90">
        <v>89</v>
      </c>
      <c r="B90">
        <v>748</v>
      </c>
      <c r="C90">
        <v>175</v>
      </c>
      <c r="D90">
        <v>0.40360426969593199</v>
      </c>
      <c r="E90">
        <v>144.02555015041042</v>
      </c>
      <c r="F90">
        <v>52.469807626283888</v>
      </c>
      <c r="G90">
        <v>70.501647606252504</v>
      </c>
      <c r="H90">
        <v>65.875822302730569</v>
      </c>
      <c r="J90">
        <v>20.551537363385695</v>
      </c>
      <c r="L90">
        <v>1.6474190384415088</v>
      </c>
      <c r="M90">
        <v>10.153495397447889</v>
      </c>
      <c r="N90">
        <v>2.2283001722560041</v>
      </c>
      <c r="O90">
        <v>6.9160934872559992</v>
      </c>
      <c r="P90">
        <v>8.5432206172545317</v>
      </c>
      <c r="R90">
        <v>7.0150655634742654</v>
      </c>
      <c r="S90">
        <v>34.006951952393976</v>
      </c>
      <c r="U90">
        <v>2.2241947093173406</v>
      </c>
      <c r="V90">
        <v>49.826824384666295</v>
      </c>
      <c r="W90">
        <v>19.363647152232122</v>
      </c>
      <c r="X90">
        <v>44.838726616078318</v>
      </c>
      <c r="Y90">
        <v>3.4131875744883842</v>
      </c>
      <c r="Z90">
        <v>17.625809701430093</v>
      </c>
      <c r="AB90">
        <v>31.329163860061279</v>
      </c>
      <c r="AE90">
        <v>6.5494268988587558</v>
      </c>
      <c r="AF90">
        <v>9.758941847750112</v>
      </c>
      <c r="AG90">
        <v>16.726519208778928</v>
      </c>
      <c r="AI90">
        <v>2.1612174066012266</v>
      </c>
      <c r="AK90">
        <v>24.65302636906711</v>
      </c>
    </row>
    <row r="91" spans="1:37" x14ac:dyDescent="0.2">
      <c r="A91">
        <v>90</v>
      </c>
      <c r="B91">
        <v>746</v>
      </c>
      <c r="C91">
        <v>175</v>
      </c>
      <c r="D91">
        <v>0.40229652161114798</v>
      </c>
      <c r="E91">
        <v>144.22348006829191</v>
      </c>
      <c r="F91">
        <v>53.074445294768474</v>
      </c>
      <c r="G91">
        <v>70.463433712624521</v>
      </c>
      <c r="H91">
        <v>65.832987885103137</v>
      </c>
      <c r="J91">
        <v>19.311555836048907</v>
      </c>
      <c r="L91">
        <v>1.6643894706491411</v>
      </c>
      <c r="M91">
        <v>9.561390029016458</v>
      </c>
      <c r="N91">
        <v>2.2322803899661312</v>
      </c>
      <c r="O91">
        <v>6.8313955331116318</v>
      </c>
      <c r="P91">
        <v>8.5138220909773938</v>
      </c>
      <c r="R91">
        <v>6.5313119972720477</v>
      </c>
      <c r="S91">
        <v>34.46747583806129</v>
      </c>
      <c r="U91">
        <v>2.1807043711395129</v>
      </c>
      <c r="V91">
        <v>50.576899018042184</v>
      </c>
      <c r="W91">
        <v>18.61006589322799</v>
      </c>
      <c r="X91">
        <v>44.794889173695573</v>
      </c>
      <c r="Y91">
        <v>3.3618576444046457</v>
      </c>
      <c r="Z91">
        <v>17.694695312326612</v>
      </c>
      <c r="AB91">
        <v>31.883163513252352</v>
      </c>
      <c r="AE91">
        <v>6.5769634108645967</v>
      </c>
      <c r="AF91">
        <v>9.1646116462518705</v>
      </c>
      <c r="AG91">
        <v>17.250880276306138</v>
      </c>
      <c r="AI91">
        <v>2.1646165007818863</v>
      </c>
      <c r="AK91">
        <v>23.697915906159416</v>
      </c>
    </row>
    <row r="92" spans="1:37" x14ac:dyDescent="0.2">
      <c r="A92">
        <v>91</v>
      </c>
      <c r="B92">
        <v>744</v>
      </c>
      <c r="C92">
        <v>175</v>
      </c>
      <c r="D92">
        <v>0.40098363073293403</v>
      </c>
      <c r="E92">
        <v>144.39571445751881</v>
      </c>
      <c r="F92">
        <v>53.622077664621102</v>
      </c>
      <c r="G92">
        <v>70.424851741052635</v>
      </c>
      <c r="H92">
        <v>65.789838392452282</v>
      </c>
      <c r="J92">
        <v>18.328575610007828</v>
      </c>
      <c r="L92">
        <v>1.6798503318186959</v>
      </c>
      <c r="M92">
        <v>9.0174611766159458</v>
      </c>
      <c r="N92">
        <v>2.2362581626541487</v>
      </c>
      <c r="O92">
        <v>6.7449448076394045</v>
      </c>
      <c r="P92">
        <v>8.483716827499757</v>
      </c>
      <c r="R92">
        <v>6.082463327939478</v>
      </c>
      <c r="S92">
        <v>34.89069872999864</v>
      </c>
      <c r="U92">
        <v>2.1356628479227435</v>
      </c>
      <c r="V92">
        <v>51.261025860638377</v>
      </c>
      <c r="W92">
        <v>17.905456997704054</v>
      </c>
      <c r="X92">
        <v>44.747509261730308</v>
      </c>
      <c r="Y92">
        <v>3.3162765668238405</v>
      </c>
      <c r="Z92">
        <v>17.754856133533242</v>
      </c>
      <c r="AB92">
        <v>32.391065927425004</v>
      </c>
      <c r="AE92">
        <v>6.5999660033621019</v>
      </c>
      <c r="AF92">
        <v>8.618457025959037</v>
      </c>
      <c r="AG92">
        <v>17.729151985914747</v>
      </c>
      <c r="AI92">
        <v>2.1680097527404123</v>
      </c>
      <c r="AK92">
        <v>22.927850386971819</v>
      </c>
    </row>
    <row r="93" spans="1:37" x14ac:dyDescent="0.2">
      <c r="A93">
        <v>92</v>
      </c>
      <c r="B93">
        <v>742</v>
      </c>
      <c r="C93">
        <v>175</v>
      </c>
      <c r="D93">
        <v>0.39966556666502401</v>
      </c>
      <c r="E93">
        <v>144.54810906370406</v>
      </c>
      <c r="F93">
        <v>54.125788941831253</v>
      </c>
      <c r="G93">
        <v>70.386011065065929</v>
      </c>
      <c r="H93">
        <v>65.7464833684718</v>
      </c>
      <c r="J93">
        <v>17.523066179835993</v>
      </c>
      <c r="L93">
        <v>1.6941270994764308</v>
      </c>
      <c r="M93">
        <v>8.5111847993273155</v>
      </c>
      <c r="N93">
        <v>2.2402338235284143</v>
      </c>
      <c r="O93">
        <v>6.657659056032788</v>
      </c>
      <c r="P93">
        <v>8.4531240942844708</v>
      </c>
      <c r="R93">
        <v>5.6610282135133163</v>
      </c>
      <c r="S93">
        <v>35.283408281842966</v>
      </c>
      <c r="U93">
        <v>2.0895501359006894</v>
      </c>
      <c r="V93">
        <v>51.892722773725623</v>
      </c>
      <c r="W93">
        <v>17.23903247383144</v>
      </c>
      <c r="X93">
        <v>44.697960492870479</v>
      </c>
      <c r="Y93">
        <v>3.275169445796247</v>
      </c>
      <c r="Z93">
        <v>17.808326157262552</v>
      </c>
      <c r="AB93">
        <v>32.862062794894285</v>
      </c>
      <c r="AE93">
        <v>6.6194783442688774</v>
      </c>
      <c r="AF93">
        <v>8.1099543251235637</v>
      </c>
      <c r="AG93">
        <v>18.170526412203511</v>
      </c>
      <c r="AI93">
        <v>2.1713974809620002</v>
      </c>
      <c r="AK93">
        <v>22.287093815395824</v>
      </c>
    </row>
    <row r="94" spans="1:37" x14ac:dyDescent="0.2">
      <c r="A94">
        <v>93</v>
      </c>
      <c r="B94">
        <v>776</v>
      </c>
      <c r="C94">
        <v>150</v>
      </c>
      <c r="D94">
        <v>0.447600915026452</v>
      </c>
      <c r="E94">
        <v>129.58773460828411</v>
      </c>
      <c r="F94">
        <v>59.043400542196537</v>
      </c>
      <c r="G94">
        <v>71.690711837479</v>
      </c>
      <c r="H94">
        <v>67.134114419647119</v>
      </c>
      <c r="J94">
        <v>43.718592017754915</v>
      </c>
      <c r="L94">
        <v>4.4343804480556068</v>
      </c>
      <c r="M94">
        <v>14.309884350371878</v>
      </c>
      <c r="N94">
        <v>2.1868005590883399</v>
      </c>
      <c r="O94">
        <v>22.653043974233523</v>
      </c>
      <c r="P94">
        <v>10.139400005635713</v>
      </c>
      <c r="Q94">
        <v>2.5210318525905735E-2</v>
      </c>
      <c r="R94">
        <v>14.238563197435735</v>
      </c>
      <c r="S94">
        <v>40.028279138504274</v>
      </c>
      <c r="U94">
        <v>3.1399214829630036</v>
      </c>
      <c r="V94">
        <v>45.391469715289709</v>
      </c>
      <c r="W94">
        <v>28.112511898370393</v>
      </c>
      <c r="X94">
        <v>44.498054551391888</v>
      </c>
      <c r="Y94">
        <v>6.1924185202110245</v>
      </c>
      <c r="Z94">
        <v>30.639852666827128</v>
      </c>
      <c r="AA94">
        <v>3.5314433262245877</v>
      </c>
      <c r="AB94">
        <v>35.480379797231478</v>
      </c>
      <c r="AC94">
        <v>0.10545317174690651</v>
      </c>
      <c r="AD94">
        <v>7.1868635939580452</v>
      </c>
      <c r="AE94">
        <v>13.873108774549213</v>
      </c>
      <c r="AF94">
        <v>14.038020716475053</v>
      </c>
      <c r="AG94">
        <v>21.415284938410672</v>
      </c>
      <c r="AH94">
        <v>3.8186901520989309</v>
      </c>
      <c r="AI94">
        <v>2.1245144302219701</v>
      </c>
      <c r="AK94">
        <v>40.257924912214392</v>
      </c>
    </row>
    <row r="95" spans="1:37" x14ac:dyDescent="0.2">
      <c r="A95">
        <v>94</v>
      </c>
      <c r="B95">
        <v>774</v>
      </c>
      <c r="C95">
        <v>150</v>
      </c>
      <c r="D95">
        <v>0.44641216635630598</v>
      </c>
      <c r="E95">
        <v>129.38291053173856</v>
      </c>
      <c r="F95">
        <v>58.277558576264127</v>
      </c>
      <c r="G95">
        <v>71.554955489181665</v>
      </c>
      <c r="H95">
        <v>66.99299258886812</v>
      </c>
      <c r="J95">
        <v>43.66896068388602</v>
      </c>
      <c r="L95">
        <v>4.2341110050936841</v>
      </c>
      <c r="M95">
        <v>14.306290880291121</v>
      </c>
      <c r="N95">
        <v>2.1598441519693901</v>
      </c>
      <c r="O95">
        <v>21.691026883001992</v>
      </c>
      <c r="P95">
        <v>9.8835338700466604</v>
      </c>
      <c r="R95">
        <v>13.928893568469913</v>
      </c>
      <c r="S95">
        <v>39.714341430870981</v>
      </c>
      <c r="U95">
        <v>3.0878328016162495</v>
      </c>
      <c r="V95">
        <v>45.421177388346706</v>
      </c>
      <c r="W95">
        <v>27.858836656352089</v>
      </c>
      <c r="X95">
        <v>44.457107447838816</v>
      </c>
      <c r="Y95">
        <v>5.9808605270676889</v>
      </c>
      <c r="Z95">
        <v>30.220063233242957</v>
      </c>
      <c r="AA95">
        <v>3.320538180951611</v>
      </c>
      <c r="AB95">
        <v>35.395505919202073</v>
      </c>
      <c r="AC95">
        <v>7.4522163623917267E-2</v>
      </c>
      <c r="AD95">
        <v>6.9549969543440069</v>
      </c>
      <c r="AE95">
        <v>13.690725295449495</v>
      </c>
      <c r="AF95">
        <v>14.001242120142756</v>
      </c>
      <c r="AG95">
        <v>21.269762031908662</v>
      </c>
      <c r="AH95">
        <v>3.5267404449399296</v>
      </c>
      <c r="AI95">
        <v>2.0970251716167865</v>
      </c>
      <c r="AK95">
        <v>40.24277036154934</v>
      </c>
    </row>
    <row r="96" spans="1:37" x14ac:dyDescent="0.2">
      <c r="A96">
        <v>95</v>
      </c>
      <c r="B96">
        <v>772</v>
      </c>
      <c r="C96">
        <v>150</v>
      </c>
      <c r="D96">
        <v>0.44521886810505501</v>
      </c>
      <c r="E96">
        <v>129.1778881839499</v>
      </c>
      <c r="F96">
        <v>57.4640584241398</v>
      </c>
      <c r="G96">
        <v>71.409139744385257</v>
      </c>
      <c r="H96">
        <v>66.84186205991648</v>
      </c>
      <c r="J96">
        <v>43.626366334680583</v>
      </c>
      <c r="L96">
        <v>4.0130606892849716</v>
      </c>
      <c r="M96">
        <v>14.330452916688612</v>
      </c>
      <c r="N96">
        <v>2.1284798813378059</v>
      </c>
      <c r="O96">
        <v>20.643389476648704</v>
      </c>
      <c r="P96">
        <v>9.6031704141008305</v>
      </c>
      <c r="R96">
        <v>13.623704123095145</v>
      </c>
      <c r="S96">
        <v>39.497256130794483</v>
      </c>
      <c r="U96">
        <v>3.0589590467173813</v>
      </c>
      <c r="V96">
        <v>45.50184402199308</v>
      </c>
      <c r="W96">
        <v>27.631232364221702</v>
      </c>
      <c r="X96">
        <v>44.492972769129004</v>
      </c>
      <c r="Y96">
        <v>5.7471216870415098</v>
      </c>
      <c r="Z96">
        <v>29.772977505379892</v>
      </c>
      <c r="AA96">
        <v>3.0879334079325345</v>
      </c>
      <c r="AB96">
        <v>35.34886730754755</v>
      </c>
      <c r="AC96">
        <v>3.9183894479259747E-2</v>
      </c>
      <c r="AD96">
        <v>6.7062251791873795</v>
      </c>
      <c r="AE96">
        <v>13.500048710013393</v>
      </c>
      <c r="AF96">
        <v>13.987812078930862</v>
      </c>
      <c r="AG96">
        <v>21.158076199152326</v>
      </c>
      <c r="AH96">
        <v>3.2073558855722117</v>
      </c>
      <c r="AI96">
        <v>2.0651248580447481</v>
      </c>
      <c r="AK96">
        <v>40.216647248974191</v>
      </c>
    </row>
    <row r="97" spans="1:37" x14ac:dyDescent="0.2">
      <c r="A97">
        <v>96</v>
      </c>
      <c r="B97">
        <v>770</v>
      </c>
      <c r="C97">
        <v>150</v>
      </c>
      <c r="D97">
        <v>0.44402099410439499</v>
      </c>
      <c r="E97">
        <v>128.97463392899667</v>
      </c>
      <c r="F97">
        <v>56.654898770462431</v>
      </c>
      <c r="G97">
        <v>71.263372963399405</v>
      </c>
      <c r="H97">
        <v>66.690831354281642</v>
      </c>
      <c r="J97">
        <v>43.582094810495413</v>
      </c>
      <c r="L97">
        <v>3.7911752565850221</v>
      </c>
      <c r="M97">
        <v>14.355209066715418</v>
      </c>
      <c r="N97">
        <v>2.09704378777458</v>
      </c>
      <c r="O97">
        <v>19.596507342982406</v>
      </c>
      <c r="P97">
        <v>9.32286257227649</v>
      </c>
      <c r="R97">
        <v>13.315599465941101</v>
      </c>
      <c r="S97">
        <v>39.271349806677634</v>
      </c>
      <c r="U97">
        <v>3.0317681653724367</v>
      </c>
      <c r="V97">
        <v>45.57827599537795</v>
      </c>
      <c r="W97">
        <v>27.405789950400642</v>
      </c>
      <c r="X97">
        <v>44.534602337797374</v>
      </c>
      <c r="Y97">
        <v>5.5132033206562445</v>
      </c>
      <c r="Z97">
        <v>29.327180797641038</v>
      </c>
      <c r="AA97">
        <v>2.8550455331748816</v>
      </c>
      <c r="AB97">
        <v>35.297233838822301</v>
      </c>
      <c r="AC97">
        <v>3.7744013819111669E-3</v>
      </c>
      <c r="AD97">
        <v>6.4574997829209417</v>
      </c>
      <c r="AE97">
        <v>13.31014757646609</v>
      </c>
      <c r="AF97">
        <v>13.974905283720421</v>
      </c>
      <c r="AG97">
        <v>21.041333402181564</v>
      </c>
      <c r="AH97">
        <v>2.8876784719758</v>
      </c>
      <c r="AI97">
        <v>2.0331495154305097</v>
      </c>
      <c r="AK97">
        <v>40.191179343251633</v>
      </c>
    </row>
    <row r="98" spans="1:37" x14ac:dyDescent="0.2">
      <c r="A98">
        <v>97</v>
      </c>
      <c r="B98">
        <v>768</v>
      </c>
      <c r="C98">
        <v>150</v>
      </c>
      <c r="D98">
        <v>0.442818517984921</v>
      </c>
      <c r="E98">
        <v>128.61892995626692</v>
      </c>
      <c r="F98">
        <v>55.045989980874062</v>
      </c>
      <c r="G98">
        <v>70.979716758526195</v>
      </c>
      <c r="H98">
        <v>66.401962246060634</v>
      </c>
      <c r="J98">
        <v>43.293759867194339</v>
      </c>
      <c r="L98">
        <v>3.3574636633689696</v>
      </c>
      <c r="M98">
        <v>14.356143821466572</v>
      </c>
      <c r="N98">
        <v>2.0969278329358767</v>
      </c>
      <c r="O98">
        <v>17.790879552263643</v>
      </c>
      <c r="P98">
        <v>8.7981257050622048</v>
      </c>
      <c r="R98">
        <v>12.710672430377928</v>
      </c>
      <c r="S98">
        <v>38.663328994284427</v>
      </c>
      <c r="U98">
        <v>2.9761887666526294</v>
      </c>
      <c r="V98">
        <v>45.646337163063279</v>
      </c>
      <c r="W98">
        <v>26.978325295538696</v>
      </c>
      <c r="X98">
        <v>44.463036901475995</v>
      </c>
      <c r="Y98">
        <v>5.0278546285121148</v>
      </c>
      <c r="Z98">
        <v>28.457866888514438</v>
      </c>
      <c r="AA98">
        <v>2.4043137892031226</v>
      </c>
      <c r="AB98">
        <v>35.160730922187987</v>
      </c>
      <c r="AD98">
        <v>5.9366832974653416</v>
      </c>
      <c r="AE98">
        <v>12.976398883670806</v>
      </c>
      <c r="AF98">
        <v>13.969498230609066</v>
      </c>
      <c r="AG98">
        <v>20.871051057004891</v>
      </c>
      <c r="AH98">
        <v>2.1653911489851989</v>
      </c>
      <c r="AI98">
        <v>2.0324910907662104</v>
      </c>
      <c r="AK98">
        <v>39.983198225067127</v>
      </c>
    </row>
    <row r="99" spans="1:37" x14ac:dyDescent="0.2">
      <c r="A99">
        <v>98</v>
      </c>
      <c r="B99">
        <v>766</v>
      </c>
      <c r="C99">
        <v>150</v>
      </c>
      <c r="D99">
        <v>0.44161141317423203</v>
      </c>
      <c r="E99">
        <v>128.24306335625695</v>
      </c>
      <c r="F99">
        <v>53.298131628122583</v>
      </c>
      <c r="G99">
        <v>70.669033225680408</v>
      </c>
      <c r="H99">
        <v>66.086116993587169</v>
      </c>
      <c r="J99">
        <v>42.941168278171595</v>
      </c>
      <c r="L99">
        <v>2.8774753158507012</v>
      </c>
      <c r="M99">
        <v>14.356468900192619</v>
      </c>
      <c r="N99">
        <v>2.1008849927899886</v>
      </c>
      <c r="O99">
        <v>15.830839374398581</v>
      </c>
      <c r="P99">
        <v>8.2234371554449357</v>
      </c>
      <c r="R99">
        <v>12.032584791402211</v>
      </c>
      <c r="S99">
        <v>37.92803048029058</v>
      </c>
      <c r="U99">
        <v>2.9265963174766383</v>
      </c>
      <c r="V99">
        <v>45.690986616192092</v>
      </c>
      <c r="W99">
        <v>26.530650224901617</v>
      </c>
      <c r="X99">
        <v>44.405606375469795</v>
      </c>
      <c r="Y99">
        <v>4.492217059386701</v>
      </c>
      <c r="Z99">
        <v>27.509557474122552</v>
      </c>
      <c r="AA99">
        <v>1.9084815162167796</v>
      </c>
      <c r="AB99">
        <v>34.977380962158158</v>
      </c>
      <c r="AD99">
        <v>5.3634672592911574</v>
      </c>
      <c r="AE99">
        <v>12.616935544310609</v>
      </c>
      <c r="AF99">
        <v>13.967555658354607</v>
      </c>
      <c r="AG99">
        <v>20.658004589577498</v>
      </c>
      <c r="AH99">
        <v>1.3634145461854621</v>
      </c>
      <c r="AI99">
        <v>2.0359025453480886</v>
      </c>
      <c r="AK99">
        <v>39.739275401761887</v>
      </c>
    </row>
    <row r="100" spans="1:37" x14ac:dyDescent="0.2">
      <c r="A100">
        <v>99</v>
      </c>
      <c r="B100">
        <v>764</v>
      </c>
      <c r="C100">
        <v>150</v>
      </c>
      <c r="D100">
        <v>0.44039965289495597</v>
      </c>
      <c r="E100">
        <v>127.86416143203517</v>
      </c>
      <c r="F100">
        <v>51.483563788517543</v>
      </c>
      <c r="G100">
        <v>70.343571952307443</v>
      </c>
      <c r="H100">
        <v>65.755545347350491</v>
      </c>
      <c r="J100">
        <v>42.533890972141791</v>
      </c>
      <c r="L100">
        <v>2.3676834899421664</v>
      </c>
      <c r="M100">
        <v>14.35886891163708</v>
      </c>
      <c r="N100">
        <v>2.1048395366053225</v>
      </c>
      <c r="O100">
        <v>13.777007393416115</v>
      </c>
      <c r="P100">
        <v>7.6192205437369251</v>
      </c>
      <c r="R100">
        <v>11.301497701197077</v>
      </c>
      <c r="S100">
        <v>37.070189937321594</v>
      </c>
      <c r="U100">
        <v>2.889399326070913</v>
      </c>
      <c r="V100">
        <v>45.702587311943709</v>
      </c>
      <c r="W100">
        <v>26.089375773795293</v>
      </c>
      <c r="X100">
        <v>44.385072220645476</v>
      </c>
      <c r="Y100">
        <v>3.927705933627204</v>
      </c>
      <c r="Z100">
        <v>26.514370864328558</v>
      </c>
      <c r="AA100">
        <v>1.3848813850106381</v>
      </c>
      <c r="AB100">
        <v>34.736201767353649</v>
      </c>
      <c r="AD100">
        <v>4.7593363542089175</v>
      </c>
      <c r="AE100">
        <v>12.241145486667293</v>
      </c>
      <c r="AF100">
        <v>13.967686488708896</v>
      </c>
      <c r="AG100">
        <v>20.387136123550647</v>
      </c>
      <c r="AH100">
        <v>0.51680490206146579</v>
      </c>
      <c r="AI100">
        <v>2.0393081337657422</v>
      </c>
      <c r="AK100">
        <v>39.472581548106994</v>
      </c>
    </row>
    <row r="101" spans="1:37" x14ac:dyDescent="0.2">
      <c r="A101">
        <v>100</v>
      </c>
      <c r="B101">
        <v>762</v>
      </c>
      <c r="C101">
        <v>150</v>
      </c>
      <c r="D101">
        <v>0.439183210162781</v>
      </c>
      <c r="E101">
        <v>128.53392467703242</v>
      </c>
      <c r="F101">
        <v>51.815495311336058</v>
      </c>
      <c r="G101">
        <v>70.618765682556969</v>
      </c>
      <c r="H101">
        <v>66.025680215170453</v>
      </c>
      <c r="J101">
        <v>33.858396476614345</v>
      </c>
      <c r="L101">
        <v>1.4911877955259842</v>
      </c>
      <c r="M101">
        <v>13.719985220886615</v>
      </c>
      <c r="N101">
        <v>2.1088471611660466</v>
      </c>
      <c r="O101">
        <v>8.6042714730086249</v>
      </c>
      <c r="P101">
        <v>8.2163972321468037</v>
      </c>
      <c r="R101">
        <v>10.032990861010274</v>
      </c>
      <c r="S101">
        <v>33.731578337035593</v>
      </c>
      <c r="U101">
        <v>2.9791051787642151</v>
      </c>
      <c r="V101">
        <v>45.953490295022732</v>
      </c>
      <c r="W101">
        <v>25.111810199746625</v>
      </c>
      <c r="X101">
        <v>44.724956002025628</v>
      </c>
      <c r="Y101">
        <v>3.4639944989024727</v>
      </c>
      <c r="Z101">
        <v>23.336816535250907</v>
      </c>
      <c r="AB101">
        <v>32.516170312935557</v>
      </c>
      <c r="AD101">
        <v>3.2065982382033686</v>
      </c>
      <c r="AE101">
        <v>10.112426704482067</v>
      </c>
      <c r="AF101">
        <v>13.326587827477313</v>
      </c>
      <c r="AG101">
        <v>18.137478376919464</v>
      </c>
      <c r="AI101">
        <v>2.0427635381169642</v>
      </c>
      <c r="AK101">
        <v>33.768884574430217</v>
      </c>
    </row>
    <row r="102" spans="1:37" x14ac:dyDescent="0.2">
      <c r="A102">
        <v>101</v>
      </c>
      <c r="B102">
        <v>760</v>
      </c>
      <c r="C102">
        <v>150</v>
      </c>
      <c r="D102">
        <v>0.43796205778444602</v>
      </c>
      <c r="E102">
        <v>129.14138552237921</v>
      </c>
      <c r="F102">
        <v>51.921413460395698</v>
      </c>
      <c r="G102">
        <v>70.742159563059758</v>
      </c>
      <c r="H102">
        <v>66.14406690798404</v>
      </c>
      <c r="J102">
        <v>27.496579106245655</v>
      </c>
      <c r="L102">
        <v>1.5349290192180451</v>
      </c>
      <c r="M102">
        <v>12.751635112590696</v>
      </c>
      <c r="N102">
        <v>2.1128578084284833</v>
      </c>
      <c r="O102">
        <v>8.3155859197224125</v>
      </c>
      <c r="P102">
        <v>8.5100076339958441</v>
      </c>
      <c r="R102">
        <v>9.3804041267721576</v>
      </c>
      <c r="S102">
        <v>33.906275010101574</v>
      </c>
      <c r="U102">
        <v>2.9951617680160121</v>
      </c>
      <c r="V102">
        <v>47.042379297928846</v>
      </c>
      <c r="W102">
        <v>23.941872781137526</v>
      </c>
      <c r="X102">
        <v>44.851082726394587</v>
      </c>
      <c r="Y102">
        <v>3.4672508236431798</v>
      </c>
      <c r="Z102">
        <v>20.43565481559197</v>
      </c>
      <c r="AB102">
        <v>31.331315200332856</v>
      </c>
      <c r="AD102">
        <v>1.7907263472243373</v>
      </c>
      <c r="AE102">
        <v>8.3376660311790278</v>
      </c>
      <c r="AF102">
        <v>12.356026945400682</v>
      </c>
      <c r="AG102">
        <v>16.923009939411248</v>
      </c>
      <c r="AI102">
        <v>2.0462186856662314</v>
      </c>
      <c r="AK102">
        <v>29.380417234867977</v>
      </c>
    </row>
    <row r="103" spans="1:37" x14ac:dyDescent="0.2">
      <c r="A103">
        <v>102</v>
      </c>
      <c r="B103">
        <v>758</v>
      </c>
      <c r="C103">
        <v>150</v>
      </c>
      <c r="D103">
        <v>0.43673616835572199</v>
      </c>
      <c r="E103">
        <v>129.5570665539982</v>
      </c>
      <c r="F103">
        <v>52.331215005017519</v>
      </c>
      <c r="G103">
        <v>70.792362714745082</v>
      </c>
      <c r="H103">
        <v>66.189314711660586</v>
      </c>
      <c r="J103">
        <v>24.180124468454743</v>
      </c>
      <c r="L103">
        <v>1.5661347598283173</v>
      </c>
      <c r="M103">
        <v>11.94070828955185</v>
      </c>
      <c r="N103">
        <v>2.1168588042762191</v>
      </c>
      <c r="O103">
        <v>8.1012195016893287</v>
      </c>
      <c r="P103">
        <v>8.6572574961193745</v>
      </c>
      <c r="R103">
        <v>8.8083995249986149</v>
      </c>
      <c r="S103">
        <v>34.332870164680294</v>
      </c>
      <c r="U103">
        <v>2.9715646181605213</v>
      </c>
      <c r="V103">
        <v>48.051108785298879</v>
      </c>
      <c r="W103">
        <v>22.95303379587957</v>
      </c>
      <c r="X103">
        <v>44.86422261612239</v>
      </c>
      <c r="Y103">
        <v>3.4393524498991583</v>
      </c>
      <c r="Z103">
        <v>19.004592013951918</v>
      </c>
      <c r="AB103">
        <v>31.105419446381113</v>
      </c>
      <c r="AD103">
        <v>1.0690760288751464</v>
      </c>
      <c r="AE103">
        <v>7.4699128036989233</v>
      </c>
      <c r="AF103">
        <v>11.542880915499914</v>
      </c>
      <c r="AG103">
        <v>16.66750120038289</v>
      </c>
      <c r="AI103">
        <v>2.0496608875993467</v>
      </c>
      <c r="AK103">
        <v>27.004730042956012</v>
      </c>
    </row>
    <row r="104" spans="1:37" x14ac:dyDescent="0.2">
      <c r="A104">
        <v>103</v>
      </c>
      <c r="B104">
        <v>756</v>
      </c>
      <c r="C104">
        <v>150</v>
      </c>
      <c r="D104">
        <v>0.43550551425934297</v>
      </c>
      <c r="E104">
        <v>129.87789387671896</v>
      </c>
      <c r="F104">
        <v>52.772793913948981</v>
      </c>
      <c r="G104">
        <v>70.813787727314732</v>
      </c>
      <c r="H104">
        <v>66.205836381482172</v>
      </c>
      <c r="J104">
        <v>22.038399769403593</v>
      </c>
      <c r="L104">
        <v>1.590807002848651</v>
      </c>
      <c r="M104">
        <v>11.238797803699802</v>
      </c>
      <c r="N104">
        <v>2.120853553393153</v>
      </c>
      <c r="O104">
        <v>7.9157219071860858</v>
      </c>
      <c r="P104">
        <v>8.7469755826838416</v>
      </c>
      <c r="R104">
        <v>8.2949947214632207</v>
      </c>
      <c r="S104">
        <v>34.76915277172693</v>
      </c>
      <c r="U104">
        <v>2.9362114727830413</v>
      </c>
      <c r="V104">
        <v>48.9407505776988</v>
      </c>
      <c r="W104">
        <v>22.080022388752838</v>
      </c>
      <c r="X104">
        <v>44.844577641599209</v>
      </c>
      <c r="Y104">
        <v>3.406156654784835</v>
      </c>
      <c r="Z104">
        <v>18.081215464152447</v>
      </c>
      <c r="AB104">
        <v>31.137079397129433</v>
      </c>
      <c r="AD104">
        <v>0.59216970394223112</v>
      </c>
      <c r="AE104">
        <v>6.909963954990741</v>
      </c>
      <c r="AF104">
        <v>10.83874623892285</v>
      </c>
      <c r="AG104">
        <v>16.669551957497433</v>
      </c>
      <c r="AI104">
        <v>2.0530935338975356</v>
      </c>
      <c r="AK104">
        <v>25.428800637124287</v>
      </c>
    </row>
    <row r="105" spans="1:37" x14ac:dyDescent="0.2">
      <c r="A105">
        <v>104</v>
      </c>
      <c r="B105">
        <v>754</v>
      </c>
      <c r="C105">
        <v>150</v>
      </c>
      <c r="D105">
        <v>0.43427006766295001</v>
      </c>
      <c r="E105">
        <v>130.14139075627787</v>
      </c>
      <c r="F105">
        <v>53.199554836324118</v>
      </c>
      <c r="G105">
        <v>70.820586307595121</v>
      </c>
      <c r="H105">
        <v>66.207783790500002</v>
      </c>
      <c r="J105">
        <v>20.495497808356507</v>
      </c>
      <c r="L105">
        <v>1.6115735780551732</v>
      </c>
      <c r="M105">
        <v>10.612377973872528</v>
      </c>
      <c r="N105">
        <v>2.1248439197646078</v>
      </c>
      <c r="O105">
        <v>7.7446178287851941</v>
      </c>
      <c r="P105">
        <v>8.8074673524104803</v>
      </c>
      <c r="R105">
        <v>7.8244495286152773</v>
      </c>
      <c r="S105">
        <v>35.181660363205189</v>
      </c>
      <c r="U105">
        <v>2.8956165292769471</v>
      </c>
      <c r="V105">
        <v>49.7363499027866</v>
      </c>
      <c r="W105">
        <v>21.285459005028589</v>
      </c>
      <c r="X105">
        <v>44.810864348007975</v>
      </c>
      <c r="Y105">
        <v>3.3730286409495553</v>
      </c>
      <c r="Z105">
        <v>17.396092029776231</v>
      </c>
      <c r="AB105">
        <v>31.261995223030286</v>
      </c>
      <c r="AD105">
        <v>0.23216892810660991</v>
      </c>
      <c r="AE105">
        <v>6.4937185048934891</v>
      </c>
      <c r="AF105">
        <v>10.210099143229566</v>
      </c>
      <c r="AG105">
        <v>16.764864292423766</v>
      </c>
      <c r="AI105">
        <v>2.0565184738380928</v>
      </c>
      <c r="AK105">
        <v>24.268756981794912</v>
      </c>
    </row>
    <row r="106" spans="1:37" x14ac:dyDescent="0.2">
      <c r="A106">
        <v>105</v>
      </c>
      <c r="B106">
        <v>752</v>
      </c>
      <c r="C106">
        <v>150</v>
      </c>
      <c r="D106">
        <v>0.43302980051699702</v>
      </c>
      <c r="E106">
        <v>130.33133513019516</v>
      </c>
      <c r="F106">
        <v>53.840574076818235</v>
      </c>
      <c r="G106">
        <v>70.77437567060359</v>
      </c>
      <c r="H106">
        <v>66.156774320602537</v>
      </c>
      <c r="J106">
        <v>19.25685684935312</v>
      </c>
      <c r="L106">
        <v>1.6269469635348215</v>
      </c>
      <c r="M106">
        <v>10.022919846063532</v>
      </c>
      <c r="N106">
        <v>2.1288293736339305</v>
      </c>
      <c r="O106">
        <v>7.6581979324275569</v>
      </c>
      <c r="P106">
        <v>8.7619668876660999</v>
      </c>
      <c r="R106">
        <v>7.3318391917610555</v>
      </c>
      <c r="S106">
        <v>35.620817943413506</v>
      </c>
      <c r="U106">
        <v>2.8526358548028088</v>
      </c>
      <c r="V106">
        <v>50.478268892269568</v>
      </c>
      <c r="W106">
        <v>20.529190686606569</v>
      </c>
      <c r="X106">
        <v>44.771292496715915</v>
      </c>
      <c r="Y106">
        <v>3.3154200703815637</v>
      </c>
      <c r="Z106">
        <v>17.595003408203116</v>
      </c>
      <c r="AB106">
        <v>31.881042977024642</v>
      </c>
      <c r="AE106">
        <v>6.597846046432748</v>
      </c>
      <c r="AF106">
        <v>9.6184101895947425</v>
      </c>
      <c r="AG106">
        <v>17.354313775880321</v>
      </c>
      <c r="AI106">
        <v>2.059935162952844</v>
      </c>
      <c r="AK106">
        <v>23.320156375580659</v>
      </c>
    </row>
    <row r="107" spans="1:37" x14ac:dyDescent="0.2">
      <c r="A107">
        <v>106</v>
      </c>
      <c r="B107">
        <v>750</v>
      </c>
      <c r="C107">
        <v>150</v>
      </c>
      <c r="D107">
        <v>0.43178468455260599</v>
      </c>
      <c r="E107">
        <v>130.50181674258135</v>
      </c>
      <c r="F107">
        <v>54.383984477399082</v>
      </c>
      <c r="G107">
        <v>70.735409097992601</v>
      </c>
      <c r="H107">
        <v>66.113061420964783</v>
      </c>
      <c r="J107">
        <v>18.277344570521787</v>
      </c>
      <c r="L107">
        <v>1.6414704451954676</v>
      </c>
      <c r="M107">
        <v>9.4832596509974003</v>
      </c>
      <c r="N107">
        <v>2.1328127841086486</v>
      </c>
      <c r="O107">
        <v>7.5573267520291312</v>
      </c>
      <c r="P107">
        <v>8.7309838039614025</v>
      </c>
      <c r="R107">
        <v>6.8830961106269353</v>
      </c>
      <c r="S107">
        <v>36.01915649360464</v>
      </c>
      <c r="U107">
        <v>2.8075221073484067</v>
      </c>
      <c r="V107">
        <v>51.154760797179627</v>
      </c>
      <c r="W107">
        <v>19.823849232887675</v>
      </c>
      <c r="X107">
        <v>44.72657067047863</v>
      </c>
      <c r="Y107">
        <v>3.2680938045800771</v>
      </c>
      <c r="Z107">
        <v>17.655885365928381</v>
      </c>
      <c r="AB107">
        <v>32.379130384024307</v>
      </c>
      <c r="AE107">
        <v>6.6215340973860703</v>
      </c>
      <c r="AF107">
        <v>9.0765185229919272</v>
      </c>
      <c r="AG107">
        <v>17.822811049720098</v>
      </c>
      <c r="AI107">
        <v>2.0633464556341883</v>
      </c>
      <c r="AK107">
        <v>22.557670007562461</v>
      </c>
    </row>
    <row r="108" spans="1:37" x14ac:dyDescent="0.2">
      <c r="A108">
        <v>107</v>
      </c>
      <c r="B108">
        <v>748</v>
      </c>
      <c r="C108">
        <v>150</v>
      </c>
      <c r="D108">
        <v>0.43053469127944</v>
      </c>
      <c r="E108">
        <v>130.65270340577621</v>
      </c>
      <c r="F108">
        <v>54.883958333597221</v>
      </c>
      <c r="G108">
        <v>70.696191096926</v>
      </c>
      <c r="H108">
        <v>66.069149766928419</v>
      </c>
      <c r="J108">
        <v>17.471010918232555</v>
      </c>
      <c r="L108">
        <v>1.6548904134492768</v>
      </c>
      <c r="M108">
        <v>8.9801650385093374</v>
      </c>
      <c r="N108">
        <v>2.1367941533521075</v>
      </c>
      <c r="O108">
        <v>7.4557086526321958</v>
      </c>
      <c r="P108">
        <v>8.6995273019110275</v>
      </c>
      <c r="R108">
        <v>6.4613699558005813</v>
      </c>
      <c r="S108">
        <v>36.390650530868065</v>
      </c>
      <c r="U108">
        <v>2.7610133095068048</v>
      </c>
      <c r="V108">
        <v>51.781358128956391</v>
      </c>
      <c r="W108">
        <v>19.155786338951962</v>
      </c>
      <c r="X108">
        <v>44.678816106286796</v>
      </c>
      <c r="Y108">
        <v>3.2252578512646104</v>
      </c>
      <c r="Z108">
        <v>17.71003684638012</v>
      </c>
      <c r="AB108">
        <v>32.842777821770014</v>
      </c>
      <c r="AE108">
        <v>6.6417055482423288</v>
      </c>
      <c r="AF108">
        <v>8.5711918407644898</v>
      </c>
      <c r="AG108">
        <v>18.256876541986887</v>
      </c>
      <c r="AI108">
        <v>2.0667523393273144</v>
      </c>
      <c r="AK108">
        <v>21.920799104056524</v>
      </c>
    </row>
    <row r="109" spans="1:37" x14ac:dyDescent="0.2">
      <c r="A109">
        <v>108</v>
      </c>
      <c r="B109">
        <v>790</v>
      </c>
      <c r="C109">
        <v>125</v>
      </c>
      <c r="D109">
        <v>0.48166345294643498</v>
      </c>
      <c r="E109">
        <v>116.20855223142894</v>
      </c>
      <c r="F109">
        <v>62.255002516542056</v>
      </c>
      <c r="G109">
        <v>72.38716243154019</v>
      </c>
      <c r="H109">
        <v>67.868752353985542</v>
      </c>
      <c r="J109">
        <v>43.784038977069741</v>
      </c>
      <c r="L109">
        <v>5.1660628474351036</v>
      </c>
      <c r="M109">
        <v>14.836126010797104</v>
      </c>
      <c r="N109">
        <v>2.1426508125411026</v>
      </c>
      <c r="O109">
        <v>27.700237243330839</v>
      </c>
      <c r="P109">
        <v>11.049861975662582</v>
      </c>
      <c r="Q109">
        <v>7.7482798646848039E-2</v>
      </c>
      <c r="R109">
        <v>16.313092925581415</v>
      </c>
      <c r="S109">
        <v>44.05050416819585</v>
      </c>
      <c r="U109">
        <v>4.045406806797696</v>
      </c>
      <c r="V109">
        <v>45.620999141276364</v>
      </c>
      <c r="W109">
        <v>31.331990712570132</v>
      </c>
      <c r="X109">
        <v>44.32443101962096</v>
      </c>
      <c r="Y109">
        <v>6.8913943178634565</v>
      </c>
      <c r="Z109">
        <v>32.90733133481789</v>
      </c>
      <c r="AA109">
        <v>4.332195315044955</v>
      </c>
      <c r="AB109">
        <v>37.055841579976793</v>
      </c>
      <c r="AC109">
        <v>0.18079048835471323</v>
      </c>
      <c r="AD109">
        <v>8.3496723573493838</v>
      </c>
      <c r="AE109">
        <v>15.181800176767165</v>
      </c>
      <c r="AF109">
        <v>14.640984175355397</v>
      </c>
      <c r="AG109">
        <v>23.289560345809001</v>
      </c>
      <c r="AH109">
        <v>4.6720175970657252</v>
      </c>
      <c r="AI109">
        <v>2.0810602840098693</v>
      </c>
      <c r="AK109">
        <v>39.558874577206652</v>
      </c>
    </row>
    <row r="110" spans="1:37" x14ac:dyDescent="0.2">
      <c r="A110">
        <v>109</v>
      </c>
      <c r="B110">
        <v>788</v>
      </c>
      <c r="C110">
        <v>125</v>
      </c>
      <c r="D110">
        <v>0.48055458700466802</v>
      </c>
      <c r="E110">
        <v>116.00890296884698</v>
      </c>
      <c r="F110">
        <v>61.607001543605897</v>
      </c>
      <c r="G110">
        <v>72.27399325391336</v>
      </c>
      <c r="H110">
        <v>67.749846782421812</v>
      </c>
      <c r="J110">
        <v>43.706994347134859</v>
      </c>
      <c r="L110">
        <v>5.0119526047571341</v>
      </c>
      <c r="M110">
        <v>14.770644668616004</v>
      </c>
      <c r="N110">
        <v>2.1262446428453119</v>
      </c>
      <c r="O110">
        <v>26.929999929458223</v>
      </c>
      <c r="P110">
        <v>10.849500968445057</v>
      </c>
      <c r="R110">
        <v>15.988579518350521</v>
      </c>
      <c r="S110">
        <v>43.49538629175894</v>
      </c>
      <c r="U110">
        <v>3.9462528620295108</v>
      </c>
      <c r="V110">
        <v>45.528125256999047</v>
      </c>
      <c r="W110">
        <v>31.01939411692949</v>
      </c>
      <c r="X110">
        <v>44.124995708850449</v>
      </c>
      <c r="Y110">
        <v>6.7302940471941852</v>
      </c>
      <c r="Z110">
        <v>32.550316841060145</v>
      </c>
      <c r="AA110">
        <v>4.1710057824436229</v>
      </c>
      <c r="AB110">
        <v>36.872170757591789</v>
      </c>
      <c r="AC110">
        <v>0.16040104928666601</v>
      </c>
      <c r="AD110">
        <v>8.1595222898850679</v>
      </c>
      <c r="AE110">
        <v>15.018391611742437</v>
      </c>
      <c r="AF110">
        <v>14.552855344686877</v>
      </c>
      <c r="AG110">
        <v>23.055790036327934</v>
      </c>
      <c r="AH110">
        <v>4.4415742171979691</v>
      </c>
      <c r="AI110">
        <v>2.0641454489280737</v>
      </c>
      <c r="AK110">
        <v>39.567390467485509</v>
      </c>
    </row>
    <row r="111" spans="1:37" x14ac:dyDescent="0.2">
      <c r="A111">
        <v>110</v>
      </c>
      <c r="B111">
        <v>786</v>
      </c>
      <c r="C111">
        <v>125</v>
      </c>
      <c r="D111">
        <v>0.47944153330501299</v>
      </c>
      <c r="E111">
        <v>115.80576533516302</v>
      </c>
      <c r="F111">
        <v>60.801220716715513</v>
      </c>
      <c r="G111">
        <v>72.129548115387692</v>
      </c>
      <c r="H111">
        <v>67.599714846520811</v>
      </c>
      <c r="J111">
        <v>43.659431967553942</v>
      </c>
      <c r="L111">
        <v>4.7955433865461785</v>
      </c>
      <c r="M111">
        <v>14.79176842569804</v>
      </c>
      <c r="N111">
        <v>2.0959587043903918</v>
      </c>
      <c r="O111">
        <v>25.889460894220953</v>
      </c>
      <c r="P111">
        <v>10.572736406772391</v>
      </c>
      <c r="R111">
        <v>15.686718436504073</v>
      </c>
      <c r="S111">
        <v>43.26876048861871</v>
      </c>
      <c r="U111">
        <v>3.9170541703080191</v>
      </c>
      <c r="V111">
        <v>45.606457049302236</v>
      </c>
      <c r="W111">
        <v>30.784189700609353</v>
      </c>
      <c r="X111">
        <v>44.157425059696585</v>
      </c>
      <c r="Y111">
        <v>6.5007090331924147</v>
      </c>
      <c r="Z111">
        <v>32.102829734902855</v>
      </c>
      <c r="AA111">
        <v>3.9424730197115494</v>
      </c>
      <c r="AB111">
        <v>36.81940421761928</v>
      </c>
      <c r="AC111">
        <v>0.12613246840372788</v>
      </c>
      <c r="AD111">
        <v>7.9153679314455401</v>
      </c>
      <c r="AE111">
        <v>14.825743551250779</v>
      </c>
      <c r="AF111">
        <v>14.537452484171357</v>
      </c>
      <c r="AG111">
        <v>22.939053604764897</v>
      </c>
      <c r="AH111">
        <v>4.1273317488941847</v>
      </c>
      <c r="AI111">
        <v>2.0333477559560595</v>
      </c>
      <c r="AK111">
        <v>39.542028412894439</v>
      </c>
    </row>
    <row r="112" spans="1:37" x14ac:dyDescent="0.2">
      <c r="A112">
        <v>111</v>
      </c>
      <c r="B112">
        <v>784</v>
      </c>
      <c r="C112">
        <v>125</v>
      </c>
      <c r="D112">
        <v>0.47832426807926898</v>
      </c>
      <c r="E112">
        <v>115.60429162035955</v>
      </c>
      <c r="F112">
        <v>59.999681044575013</v>
      </c>
      <c r="G112">
        <v>71.985178962281708</v>
      </c>
      <c r="H112">
        <v>67.449708649550828</v>
      </c>
      <c r="J112">
        <v>43.610555156508838</v>
      </c>
      <c r="L112">
        <v>4.5783587424606447</v>
      </c>
      <c r="M112">
        <v>14.813410808480921</v>
      </c>
      <c r="N112">
        <v>2.0656232506876613</v>
      </c>
      <c r="O112">
        <v>24.849934159623881</v>
      </c>
      <c r="P112">
        <v>10.296102603612256</v>
      </c>
      <c r="R112">
        <v>15.382216602731276</v>
      </c>
      <c r="S112">
        <v>43.034267299531685</v>
      </c>
      <c r="U112">
        <v>3.8893386407721744</v>
      </c>
      <c r="V112">
        <v>45.680980289105946</v>
      </c>
      <c r="W112">
        <v>30.550921380475209</v>
      </c>
      <c r="X112">
        <v>44.195100944500552</v>
      </c>
      <c r="Y112">
        <v>6.2710277811636495</v>
      </c>
      <c r="Z112">
        <v>31.656620656718516</v>
      </c>
      <c r="AA112">
        <v>3.7138217640559232</v>
      </c>
      <c r="AB112">
        <v>36.762135171397652</v>
      </c>
      <c r="AC112">
        <v>9.181499573861121E-2</v>
      </c>
      <c r="AD112">
        <v>7.6712126424407874</v>
      </c>
      <c r="AE112">
        <v>14.633855852738256</v>
      </c>
      <c r="AF112">
        <v>14.522519415562723</v>
      </c>
      <c r="AG112">
        <v>22.817774558957467</v>
      </c>
      <c r="AH112">
        <v>3.8128304455585496</v>
      </c>
      <c r="AI112">
        <v>2.0024974440200523</v>
      </c>
      <c r="AK112">
        <v>39.517392819385144</v>
      </c>
    </row>
    <row r="113" spans="1:37" x14ac:dyDescent="0.2">
      <c r="A113">
        <v>112</v>
      </c>
      <c r="B113">
        <v>782</v>
      </c>
      <c r="C113">
        <v>125</v>
      </c>
      <c r="D113">
        <v>0.47720276737904699</v>
      </c>
      <c r="E113">
        <v>115.40449399696061</v>
      </c>
      <c r="F113">
        <v>59.202515030699509</v>
      </c>
      <c r="G113">
        <v>71.840926146772503</v>
      </c>
      <c r="H113">
        <v>67.299868701232413</v>
      </c>
      <c r="J113">
        <v>43.560310872019237</v>
      </c>
      <c r="L113">
        <v>4.3605563641509617</v>
      </c>
      <c r="M113">
        <v>14.835521309214521</v>
      </c>
      <c r="N113">
        <v>2.0352430730691795</v>
      </c>
      <c r="O113">
        <v>23.811644636668348</v>
      </c>
      <c r="P113">
        <v>10.019685222374092</v>
      </c>
      <c r="R113">
        <v>15.075215031369751</v>
      </c>
      <c r="S113">
        <v>42.791593073121504</v>
      </c>
      <c r="U113">
        <v>3.8630544407581784</v>
      </c>
      <c r="V113">
        <v>45.751585672698901</v>
      </c>
      <c r="W113">
        <v>30.319583122079891</v>
      </c>
      <c r="X113">
        <v>44.237870469347236</v>
      </c>
      <c r="Y113">
        <v>6.0413218536389133</v>
      </c>
      <c r="Z113">
        <v>31.211712375702486</v>
      </c>
      <c r="AA113">
        <v>3.4852005596823945</v>
      </c>
      <c r="AB113">
        <v>36.700175698000535</v>
      </c>
      <c r="AC113">
        <v>5.7453419139297808E-2</v>
      </c>
      <c r="AD113">
        <v>7.4270973903604594</v>
      </c>
      <c r="AE113">
        <v>14.442705808648025</v>
      </c>
      <c r="AF113">
        <v>14.508010464438451</v>
      </c>
      <c r="AG113">
        <v>22.691769812569291</v>
      </c>
      <c r="AH113">
        <v>3.4981874639935877</v>
      </c>
      <c r="AI113">
        <v>1.9715992898545611</v>
      </c>
      <c r="AK113">
        <v>39.493503866715457</v>
      </c>
    </row>
    <row r="114" spans="1:37" x14ac:dyDescent="0.2">
      <c r="A114">
        <v>113</v>
      </c>
      <c r="B114">
        <v>780</v>
      </c>
      <c r="C114">
        <v>125</v>
      </c>
      <c r="D114">
        <v>0.47607700707401701</v>
      </c>
      <c r="E114">
        <v>115.20638210805706</v>
      </c>
      <c r="F114">
        <v>58.40984811705416</v>
      </c>
      <c r="G114">
        <v>71.696830020952916</v>
      </c>
      <c r="H114">
        <v>67.150235511798826</v>
      </c>
      <c r="J114">
        <v>43.5086571188207</v>
      </c>
      <c r="L114">
        <v>4.1421140550799427</v>
      </c>
      <c r="M114">
        <v>14.858047174778642</v>
      </c>
      <c r="N114">
        <v>2.0048230698774834</v>
      </c>
      <c r="O114">
        <v>22.774816750175077</v>
      </c>
      <c r="P114">
        <v>9.7435700342267122</v>
      </c>
      <c r="R114">
        <v>14.765857573095158</v>
      </c>
      <c r="S114">
        <v>42.540468622894565</v>
      </c>
      <c r="U114">
        <v>3.8381460531378511</v>
      </c>
      <c r="V114">
        <v>45.818181639397899</v>
      </c>
      <c r="W114">
        <v>30.09016526295942</v>
      </c>
      <c r="X114">
        <v>44.285569665326392</v>
      </c>
      <c r="Y114">
        <v>5.8116631905672893</v>
      </c>
      <c r="Z114">
        <v>30.768123802341169</v>
      </c>
      <c r="AA114">
        <v>3.2565127106287108</v>
      </c>
      <c r="AB114">
        <v>36.633360828580869</v>
      </c>
      <c r="AC114">
        <v>2.3052633460172129E-2</v>
      </c>
      <c r="AD114">
        <v>7.1830607845266083</v>
      </c>
      <c r="AE114">
        <v>14.25226849344466</v>
      </c>
      <c r="AF114">
        <v>14.493877818204208</v>
      </c>
      <c r="AG114">
        <v>22.560879338621898</v>
      </c>
      <c r="AH114">
        <v>3.1835197184453201</v>
      </c>
      <c r="AI114">
        <v>1.9406581771946778</v>
      </c>
      <c r="AK114">
        <v>39.47038070444308</v>
      </c>
    </row>
    <row r="115" spans="1:37" x14ac:dyDescent="0.2">
      <c r="A115">
        <v>114</v>
      </c>
      <c r="B115">
        <v>778</v>
      </c>
      <c r="C115">
        <v>125</v>
      </c>
      <c r="D115">
        <v>0.47494696285021398</v>
      </c>
      <c r="E115">
        <v>114.95487467695018</v>
      </c>
      <c r="F115">
        <v>57.332191266892892</v>
      </c>
      <c r="G115">
        <v>71.503095436767751</v>
      </c>
      <c r="H115">
        <v>66.951014091935548</v>
      </c>
      <c r="J115">
        <v>43.36712384644526</v>
      </c>
      <c r="L115">
        <v>3.8464890197242605</v>
      </c>
      <c r="M115">
        <v>14.872635318670062</v>
      </c>
      <c r="N115">
        <v>1.985440729319599</v>
      </c>
      <c r="O115">
        <v>21.463962226386162</v>
      </c>
      <c r="P115">
        <v>9.37924440082476</v>
      </c>
      <c r="R115">
        <v>14.34678814264689</v>
      </c>
      <c r="S115">
        <v>42.142430598986444</v>
      </c>
      <c r="U115">
        <v>3.8044598990782452</v>
      </c>
      <c r="V115">
        <v>45.877696177161233</v>
      </c>
      <c r="W115">
        <v>29.78981400893802</v>
      </c>
      <c r="X115">
        <v>44.297950455251922</v>
      </c>
      <c r="Y115">
        <v>5.4911249959972572</v>
      </c>
      <c r="Z115">
        <v>30.17277066289045</v>
      </c>
      <c r="AA115">
        <v>2.9490143788837888</v>
      </c>
      <c r="AB115">
        <v>36.530816538401481</v>
      </c>
      <c r="AD115">
        <v>6.8410357622873299</v>
      </c>
      <c r="AE115">
        <v>14.010447661637098</v>
      </c>
      <c r="AF115">
        <v>14.482845920940836</v>
      </c>
      <c r="AG115">
        <v>22.405306644384087</v>
      </c>
      <c r="AH115">
        <v>2.7238839291935402</v>
      </c>
      <c r="AI115">
        <v>1.9207515796278758</v>
      </c>
      <c r="AK115">
        <v>39.381971413525861</v>
      </c>
    </row>
    <row r="116" spans="1:37" x14ac:dyDescent="0.2">
      <c r="A116">
        <v>115</v>
      </c>
      <c r="B116">
        <v>776</v>
      </c>
      <c r="C116">
        <v>125</v>
      </c>
      <c r="D116">
        <v>0.47381261020826598</v>
      </c>
      <c r="E116">
        <v>114.58800660644637</v>
      </c>
      <c r="F116">
        <v>55.624996042994965</v>
      </c>
      <c r="G116">
        <v>71.198815201758848</v>
      </c>
      <c r="H116">
        <v>66.641297408530932</v>
      </c>
      <c r="J116">
        <v>43.017875262834629</v>
      </c>
      <c r="L116">
        <v>3.3773738526629602</v>
      </c>
      <c r="M116">
        <v>14.871230800649721</v>
      </c>
      <c r="N116">
        <v>1.9894058910546646</v>
      </c>
      <c r="O116">
        <v>19.538475244054027</v>
      </c>
      <c r="P116">
        <v>8.8172039473991877</v>
      </c>
      <c r="R116">
        <v>13.67856091269552</v>
      </c>
      <c r="S116">
        <v>41.398395840645257</v>
      </c>
      <c r="U116">
        <v>3.7561221920379761</v>
      </c>
      <c r="V116">
        <v>45.914475938669831</v>
      </c>
      <c r="W116">
        <v>29.340608027841366</v>
      </c>
      <c r="X116">
        <v>44.24600763772262</v>
      </c>
      <c r="Y116">
        <v>4.9680265112425603</v>
      </c>
      <c r="Z116">
        <v>29.240328960530874</v>
      </c>
      <c r="AA116">
        <v>2.4647469231336583</v>
      </c>
      <c r="AB116">
        <v>36.337607730821539</v>
      </c>
      <c r="AD116">
        <v>6.2815989228729965</v>
      </c>
      <c r="AE116">
        <v>13.654726736999235</v>
      </c>
      <c r="AF116">
        <v>14.479169714634279</v>
      </c>
      <c r="AG116">
        <v>22.182426516945981</v>
      </c>
      <c r="AH116">
        <v>1.9416129251319736</v>
      </c>
      <c r="AI116">
        <v>1.9241893221854753</v>
      </c>
      <c r="AK116">
        <v>39.147194336782327</v>
      </c>
    </row>
    <row r="117" spans="1:37" x14ac:dyDescent="0.2">
      <c r="A117">
        <v>116</v>
      </c>
      <c r="B117">
        <v>774</v>
      </c>
      <c r="C117">
        <v>125</v>
      </c>
      <c r="D117">
        <v>0.47267392446163797</v>
      </c>
      <c r="E117">
        <v>114.21989706828926</v>
      </c>
      <c r="F117">
        <v>53.869145699043472</v>
      </c>
      <c r="G117">
        <v>70.88314350822661</v>
      </c>
      <c r="H117">
        <v>66.320239813837688</v>
      </c>
      <c r="J117">
        <v>42.62504169113032</v>
      </c>
      <c r="L117">
        <v>2.8850226361214881</v>
      </c>
      <c r="M117">
        <v>14.871486823507686</v>
      </c>
      <c r="N117">
        <v>1.9933687484670615</v>
      </c>
      <c r="O117">
        <v>17.541147695365876</v>
      </c>
      <c r="P117">
        <v>8.2324074233516065</v>
      </c>
      <c r="R117">
        <v>12.967836448423231</v>
      </c>
      <c r="S117">
        <v>40.552126271221702</v>
      </c>
      <c r="U117">
        <v>3.7183644012309025</v>
      </c>
      <c r="V117">
        <v>45.922958693286283</v>
      </c>
      <c r="W117">
        <v>28.897578012183303</v>
      </c>
      <c r="X117">
        <v>44.225736129060003</v>
      </c>
      <c r="Y117">
        <v>4.422672625418457</v>
      </c>
      <c r="Z117">
        <v>28.272687707224236</v>
      </c>
      <c r="AA117">
        <v>1.9589823745442991</v>
      </c>
      <c r="AB117">
        <v>36.095797537262847</v>
      </c>
      <c r="AD117">
        <v>5.6985128106587828</v>
      </c>
      <c r="AE117">
        <v>13.286987433053206</v>
      </c>
      <c r="AF117">
        <v>14.477152638222758</v>
      </c>
      <c r="AG117">
        <v>21.910952325461007</v>
      </c>
      <c r="AH117">
        <v>1.1247257445641889</v>
      </c>
      <c r="AI117">
        <v>1.9276215836132131</v>
      </c>
      <c r="AK117">
        <v>38.895406281150997</v>
      </c>
    </row>
    <row r="118" spans="1:37" x14ac:dyDescent="0.2">
      <c r="A118">
        <v>117</v>
      </c>
      <c r="B118">
        <v>772</v>
      </c>
      <c r="C118">
        <v>125</v>
      </c>
      <c r="D118">
        <v>0.47153088073482102</v>
      </c>
      <c r="E118">
        <v>113.84621101592786</v>
      </c>
      <c r="F118">
        <v>52.018073635382052</v>
      </c>
      <c r="G118">
        <v>70.548198027481334</v>
      </c>
      <c r="H118">
        <v>65.979959139729402</v>
      </c>
      <c r="J118">
        <v>42.157676983569893</v>
      </c>
      <c r="L118">
        <v>2.3540799560284467</v>
      </c>
      <c r="M118">
        <v>14.87196211446436</v>
      </c>
      <c r="N118">
        <v>1.9973286951018816</v>
      </c>
      <c r="O118">
        <v>15.418528742384895</v>
      </c>
      <c r="P118">
        <v>7.6090897372078476</v>
      </c>
      <c r="R118">
        <v>12.189015197840716</v>
      </c>
      <c r="S118">
        <v>39.543571599978463</v>
      </c>
      <c r="U118">
        <v>3.6939913513316318</v>
      </c>
      <c r="V118">
        <v>45.889553817361609</v>
      </c>
      <c r="W118">
        <v>28.460240248291047</v>
      </c>
      <c r="X118">
        <v>44.245277042773594</v>
      </c>
      <c r="Y118">
        <v>3.8393908339864229</v>
      </c>
      <c r="Z118">
        <v>27.236050852459794</v>
      </c>
      <c r="AA118">
        <v>1.4166280961179436</v>
      </c>
      <c r="AB118">
        <v>35.775764162101616</v>
      </c>
      <c r="AD118">
        <v>5.0718062732283036</v>
      </c>
      <c r="AE118">
        <v>12.892981207631765</v>
      </c>
      <c r="AF118">
        <v>14.475352855424131</v>
      </c>
      <c r="AG118">
        <v>21.56126171247945</v>
      </c>
      <c r="AH118">
        <v>0.24918684111775777</v>
      </c>
      <c r="AI118">
        <v>1.9310477428090378</v>
      </c>
      <c r="AK118">
        <v>38.611101551287931</v>
      </c>
    </row>
    <row r="119" spans="1:37" x14ac:dyDescent="0.2">
      <c r="A119">
        <v>118</v>
      </c>
      <c r="B119">
        <v>770</v>
      </c>
      <c r="C119">
        <v>125</v>
      </c>
      <c r="D119">
        <v>0.47038345396155901</v>
      </c>
      <c r="E119">
        <v>114.68797546760625</v>
      </c>
      <c r="F119">
        <v>52.955969245074968</v>
      </c>
      <c r="G119">
        <v>70.924753551520425</v>
      </c>
      <c r="H119">
        <v>66.351230339382795</v>
      </c>
      <c r="J119">
        <v>33.184375574693405</v>
      </c>
      <c r="L119">
        <v>1.455098865311411</v>
      </c>
      <c r="M119">
        <v>14.1687783666892</v>
      </c>
      <c r="N119">
        <v>2.0013492734353973</v>
      </c>
      <c r="O119">
        <v>9.9740998348173893</v>
      </c>
      <c r="P119">
        <v>8.4088641887423421</v>
      </c>
      <c r="R119">
        <v>10.851115165606968</v>
      </c>
      <c r="S119">
        <v>35.592028559022467</v>
      </c>
      <c r="U119">
        <v>3.8210395735888745</v>
      </c>
      <c r="V119">
        <v>46.01034805053844</v>
      </c>
      <c r="W119">
        <v>27.433018580036347</v>
      </c>
      <c r="X119">
        <v>44.693642585561271</v>
      </c>
      <c r="Y119">
        <v>3.4078482928467806</v>
      </c>
      <c r="Z119">
        <v>24.183648921708457</v>
      </c>
      <c r="AB119">
        <v>33.292321554082982</v>
      </c>
      <c r="AD119">
        <v>3.6282337536059694</v>
      </c>
      <c r="AE119">
        <v>10.722391720202408</v>
      </c>
      <c r="AF119">
        <v>13.769955645033118</v>
      </c>
      <c r="AG119">
        <v>19.048232214127015</v>
      </c>
      <c r="AI119">
        <v>1.934531327592999</v>
      </c>
      <c r="AK119">
        <v>32.784945604696077</v>
      </c>
    </row>
    <row r="120" spans="1:37" x14ac:dyDescent="0.2">
      <c r="A120">
        <v>119</v>
      </c>
      <c r="B120">
        <v>768</v>
      </c>
      <c r="C120">
        <v>125</v>
      </c>
      <c r="D120">
        <v>0.46923161888296799</v>
      </c>
      <c r="E120">
        <v>115.25943506506077</v>
      </c>
      <c r="F120">
        <v>53.055461880442635</v>
      </c>
      <c r="G120">
        <v>71.034530039095458</v>
      </c>
      <c r="H120">
        <v>66.455773533345337</v>
      </c>
      <c r="J120">
        <v>27.443107214991379</v>
      </c>
      <c r="L120">
        <v>1.4933695531526536</v>
      </c>
      <c r="M120">
        <v>13.264391383482929</v>
      </c>
      <c r="N120">
        <v>2.0053637313845916</v>
      </c>
      <c r="O120">
        <v>9.6976992447193382</v>
      </c>
      <c r="P120">
        <v>8.6751041176337704</v>
      </c>
      <c r="R120">
        <v>10.214892430520401</v>
      </c>
      <c r="S120">
        <v>35.606278351985694</v>
      </c>
      <c r="U120">
        <v>3.8459233247571345</v>
      </c>
      <c r="V120">
        <v>46.966808089061317</v>
      </c>
      <c r="W120">
        <v>26.314008650302181</v>
      </c>
      <c r="X120">
        <v>44.847095422201321</v>
      </c>
      <c r="Y120">
        <v>3.4023715949336548</v>
      </c>
      <c r="Z120">
        <v>21.484743271851936</v>
      </c>
      <c r="AB120">
        <v>32.0975578306779</v>
      </c>
      <c r="AD120">
        <v>2.3159076824581866</v>
      </c>
      <c r="AE120">
        <v>9.0543324297376753</v>
      </c>
      <c r="AF120">
        <v>12.863350101614555</v>
      </c>
      <c r="AG120">
        <v>17.823885240982566</v>
      </c>
      <c r="AI120">
        <v>1.9380055712181725</v>
      </c>
      <c r="AK120">
        <v>28.851282746498622</v>
      </c>
    </row>
    <row r="121" spans="1:37" x14ac:dyDescent="0.2">
      <c r="A121">
        <v>120</v>
      </c>
      <c r="B121">
        <v>766</v>
      </c>
      <c r="C121">
        <v>125</v>
      </c>
      <c r="D121">
        <v>0.46807535004571499</v>
      </c>
      <c r="E121">
        <v>115.66736747062313</v>
      </c>
      <c r="F121">
        <v>53.427192133782384</v>
      </c>
      <c r="G121">
        <v>71.083626993244309</v>
      </c>
      <c r="H121">
        <v>66.499688387073377</v>
      </c>
      <c r="J121">
        <v>24.229230783253787</v>
      </c>
      <c r="L121">
        <v>1.522217316939801</v>
      </c>
      <c r="M121">
        <v>12.479563203096239</v>
      </c>
      <c r="N121">
        <v>2.0093709155405652</v>
      </c>
      <c r="O121">
        <v>9.4755345162670537</v>
      </c>
      <c r="P121">
        <v>8.8200075517611243</v>
      </c>
      <c r="R121">
        <v>9.6502858261671847</v>
      </c>
      <c r="S121">
        <v>35.936835549709919</v>
      </c>
      <c r="U121">
        <v>3.8281247121729596</v>
      </c>
      <c r="V121">
        <v>47.915428141797108</v>
      </c>
      <c r="W121">
        <v>25.341350485706929</v>
      </c>
      <c r="X121">
        <v>44.87874922021097</v>
      </c>
      <c r="Y121">
        <v>3.3716329287266271</v>
      </c>
      <c r="Z121">
        <v>20.033300167971515</v>
      </c>
      <c r="AB121">
        <v>31.792619053923129</v>
      </c>
      <c r="AD121">
        <v>1.5877179251494664</v>
      </c>
      <c r="AE121">
        <v>8.1675921621902461</v>
      </c>
      <c r="AF121">
        <v>12.076297153549444</v>
      </c>
      <c r="AG121">
        <v>17.489365747147055</v>
      </c>
      <c r="AI121">
        <v>1.9414693056033705</v>
      </c>
      <c r="AK121">
        <v>26.56623397038241</v>
      </c>
    </row>
    <row r="122" spans="1:37" x14ac:dyDescent="0.2">
      <c r="A122">
        <v>121</v>
      </c>
      <c r="B122">
        <v>764</v>
      </c>
      <c r="C122">
        <v>125</v>
      </c>
      <c r="D122">
        <v>0.46691462180012799</v>
      </c>
      <c r="E122">
        <v>115.98611948551962</v>
      </c>
      <c r="F122">
        <v>53.841024768699377</v>
      </c>
      <c r="G122">
        <v>71.105748635322357</v>
      </c>
      <c r="H122">
        <v>66.516679284965178</v>
      </c>
      <c r="J122">
        <v>22.103686616770336</v>
      </c>
      <c r="L122">
        <v>1.5454265340823767</v>
      </c>
      <c r="M122">
        <v>11.790640882220893</v>
      </c>
      <c r="N122">
        <v>2.0133724571890808</v>
      </c>
      <c r="O122">
        <v>9.27842593935849</v>
      </c>
      <c r="P122">
        <v>8.9109847413040981</v>
      </c>
      <c r="R122">
        <v>9.1405538899999961</v>
      </c>
      <c r="S122">
        <v>36.313275452920749</v>
      </c>
      <c r="U122">
        <v>3.7959376409276548</v>
      </c>
      <c r="V122">
        <v>48.77482328578273</v>
      </c>
      <c r="W122">
        <v>24.473314580501224</v>
      </c>
      <c r="X122">
        <v>44.870089875308267</v>
      </c>
      <c r="Y122">
        <v>3.3361513148264681</v>
      </c>
      <c r="Z122">
        <v>19.07335780675216</v>
      </c>
      <c r="AB122">
        <v>31.765435190703322</v>
      </c>
      <c r="AD122">
        <v>1.0948208392946268</v>
      </c>
      <c r="AE122">
        <v>7.5822259110476677</v>
      </c>
      <c r="AF122">
        <v>11.385145532553951</v>
      </c>
      <c r="AG122">
        <v>17.432605376553067</v>
      </c>
      <c r="AI122">
        <v>1.9449241473555479</v>
      </c>
      <c r="AK122">
        <v>25.014467730022201</v>
      </c>
    </row>
    <row r="123" spans="1:37" x14ac:dyDescent="0.2">
      <c r="A123">
        <v>122</v>
      </c>
      <c r="B123">
        <v>762</v>
      </c>
      <c r="C123">
        <v>125</v>
      </c>
      <c r="D123">
        <v>0.46574940829831801</v>
      </c>
      <c r="E123">
        <v>116.24908731801264</v>
      </c>
      <c r="F123">
        <v>54.247722968871656</v>
      </c>
      <c r="G123">
        <v>71.113488261237791</v>
      </c>
      <c r="H123">
        <v>66.519339686601</v>
      </c>
      <c r="J123">
        <v>20.555114934193373</v>
      </c>
      <c r="L123">
        <v>1.5650807164899379</v>
      </c>
      <c r="M123">
        <v>11.171737055924792</v>
      </c>
      <c r="N123">
        <v>2.0173697938313055</v>
      </c>
      <c r="O123">
        <v>9.0947795091769592</v>
      </c>
      <c r="P123">
        <v>8.9732238927323404</v>
      </c>
      <c r="R123">
        <v>8.6719453651262022</v>
      </c>
      <c r="S123">
        <v>36.683645162231969</v>
      </c>
      <c r="U123">
        <v>3.7570806390666456</v>
      </c>
      <c r="V123">
        <v>49.55340809349719</v>
      </c>
      <c r="W123">
        <v>23.679216338041581</v>
      </c>
      <c r="X123">
        <v>44.843334582718946</v>
      </c>
      <c r="Y123">
        <v>3.3008138829042832</v>
      </c>
      <c r="Z123">
        <v>18.355862813037991</v>
      </c>
      <c r="AB123">
        <v>31.847755213331965</v>
      </c>
      <c r="AD123">
        <v>0.72005551131751011</v>
      </c>
      <c r="AE123">
        <v>7.1444214380830626</v>
      </c>
      <c r="AF123">
        <v>10.764009355132629</v>
      </c>
      <c r="AG123">
        <v>17.485354585064851</v>
      </c>
      <c r="AI123">
        <v>1.9483715192898456</v>
      </c>
      <c r="AK123">
        <v>23.859890380854889</v>
      </c>
    </row>
    <row r="124" spans="1:37" x14ac:dyDescent="0.2">
      <c r="A124">
        <v>123</v>
      </c>
      <c r="B124">
        <v>760</v>
      </c>
      <c r="C124">
        <v>125</v>
      </c>
      <c r="D124">
        <v>0.464579683492232</v>
      </c>
      <c r="E124">
        <v>116.47351404607078</v>
      </c>
      <c r="F124">
        <v>54.635479729461899</v>
      </c>
      <c r="G124">
        <v>71.112488080776814</v>
      </c>
      <c r="H124">
        <v>66.513311966072365</v>
      </c>
      <c r="J124">
        <v>19.357270920772368</v>
      </c>
      <c r="L124">
        <v>1.5822545026042789</v>
      </c>
      <c r="M124">
        <v>10.605578670974655</v>
      </c>
      <c r="N124">
        <v>2.0213638215054934</v>
      </c>
      <c r="O124">
        <v>8.9194050109326373</v>
      </c>
      <c r="P124">
        <v>9.0180104997871187</v>
      </c>
      <c r="R124">
        <v>8.2352228915086485</v>
      </c>
      <c r="S124">
        <v>37.036158695072629</v>
      </c>
      <c r="U124">
        <v>3.7144661968731052</v>
      </c>
      <c r="V124">
        <v>50.265819364461485</v>
      </c>
      <c r="W124">
        <v>22.939997564803864</v>
      </c>
      <c r="X124">
        <v>44.806861473333981</v>
      </c>
      <c r="Y124">
        <v>3.2669390328029215</v>
      </c>
      <c r="Z124">
        <v>17.777365257776488</v>
      </c>
      <c r="AB124">
        <v>31.978798700210241</v>
      </c>
      <c r="AD124">
        <v>0.41409485396832069</v>
      </c>
      <c r="AE124">
        <v>6.790956916759848</v>
      </c>
      <c r="AF124">
        <v>10.195616508224669</v>
      </c>
      <c r="AG124">
        <v>17.586833893464224</v>
      </c>
      <c r="AI124">
        <v>1.9518123027524388</v>
      </c>
      <c r="AK124">
        <v>22.950858366600411</v>
      </c>
    </row>
    <row r="125" spans="1:37" x14ac:dyDescent="0.2">
      <c r="A125">
        <v>124</v>
      </c>
      <c r="B125">
        <v>758</v>
      </c>
      <c r="C125">
        <v>125</v>
      </c>
      <c r="D125">
        <v>0.46340542113174599</v>
      </c>
      <c r="E125">
        <v>116.66945343650042</v>
      </c>
      <c r="F125">
        <v>55.002243047904173</v>
      </c>
      <c r="G125">
        <v>71.105679856723114</v>
      </c>
      <c r="H125">
        <v>66.501528051102483</v>
      </c>
      <c r="J125">
        <v>18.39289637114457</v>
      </c>
      <c r="L125">
        <v>1.5977586903815244</v>
      </c>
      <c r="M125">
        <v>10.080669265499866</v>
      </c>
      <c r="N125">
        <v>2.0253551188466683</v>
      </c>
      <c r="O125">
        <v>8.749649923703565</v>
      </c>
      <c r="P125">
        <v>9.0512088457880004</v>
      </c>
      <c r="R125">
        <v>7.8240929544435227</v>
      </c>
      <c r="S125">
        <v>37.368923237689998</v>
      </c>
      <c r="U125">
        <v>3.6694450830216194</v>
      </c>
      <c r="V125">
        <v>50.924110724504153</v>
      </c>
      <c r="W125">
        <v>22.243342086228598</v>
      </c>
      <c r="X125">
        <v>44.764552656204984</v>
      </c>
      <c r="Y125">
        <v>3.2348417797284217</v>
      </c>
      <c r="Z125">
        <v>17.286940179230545</v>
      </c>
      <c r="AB125">
        <v>32.13234197672184</v>
      </c>
      <c r="AD125">
        <v>0.15237665395803579</v>
      </c>
      <c r="AE125">
        <v>6.4908761193005011</v>
      </c>
      <c r="AF125">
        <v>9.6684711529302021</v>
      </c>
      <c r="AG125">
        <v>17.710820252407618</v>
      </c>
      <c r="AI125">
        <v>1.9552470616805677</v>
      </c>
      <c r="AK125">
        <v>22.207622255408388</v>
      </c>
    </row>
    <row r="126" spans="1:37" x14ac:dyDescent="0.2">
      <c r="A126">
        <v>125</v>
      </c>
      <c r="B126">
        <v>756</v>
      </c>
      <c r="C126">
        <v>125</v>
      </c>
      <c r="D126">
        <v>0.46222659476266797</v>
      </c>
      <c r="E126">
        <v>116.80835996911783</v>
      </c>
      <c r="F126">
        <v>55.590830202520543</v>
      </c>
      <c r="G126">
        <v>71.049869346091825</v>
      </c>
      <c r="H126">
        <v>66.44079386428821</v>
      </c>
      <c r="J126">
        <v>17.543694583281116</v>
      </c>
      <c r="L126">
        <v>1.6095434969070883</v>
      </c>
      <c r="M126">
        <v>9.5701806026576666</v>
      </c>
      <c r="N126">
        <v>2.0293427300054092</v>
      </c>
      <c r="O126">
        <v>8.6601612001185284</v>
      </c>
      <c r="P126">
        <v>8.9864296690263945</v>
      </c>
      <c r="R126">
        <v>7.3796235569139483</v>
      </c>
      <c r="S126">
        <v>37.739447627145722</v>
      </c>
      <c r="U126">
        <v>3.6232325996202568</v>
      </c>
      <c r="V126">
        <v>51.557582521511307</v>
      </c>
      <c r="W126">
        <v>21.561739317589844</v>
      </c>
      <c r="X126">
        <v>44.719906588205966</v>
      </c>
      <c r="Y126">
        <v>3.1811077364032423</v>
      </c>
      <c r="Z126">
        <v>17.617622985912387</v>
      </c>
      <c r="AB126">
        <v>32.758835061248924</v>
      </c>
      <c r="AE126">
        <v>6.6736717573787425</v>
      </c>
      <c r="AF126">
        <v>9.1557441410910361</v>
      </c>
      <c r="AG126">
        <v>18.307762771357591</v>
      </c>
      <c r="AI126">
        <v>1.9586748255219053</v>
      </c>
      <c r="AK126">
        <v>21.544332539467327</v>
      </c>
    </row>
    <row r="127" spans="1:37" x14ac:dyDescent="0.2">
      <c r="A127">
        <v>126</v>
      </c>
      <c r="B127">
        <v>754</v>
      </c>
      <c r="C127">
        <v>125</v>
      </c>
      <c r="D127">
        <v>0.46104317772477099</v>
      </c>
      <c r="E127">
        <v>116.9436956656905</v>
      </c>
      <c r="F127">
        <v>56.056023976815112</v>
      </c>
      <c r="G127">
        <v>71.010071312008051</v>
      </c>
      <c r="H127">
        <v>66.396124334978026</v>
      </c>
      <c r="J127">
        <v>16.843628149751517</v>
      </c>
      <c r="L127">
        <v>1.6213910209316018</v>
      </c>
      <c r="M127">
        <v>9.0964707561189382</v>
      </c>
      <c r="N127">
        <v>2.0333290517386158</v>
      </c>
      <c r="O127">
        <v>8.5433804170468353</v>
      </c>
      <c r="P127">
        <v>8.9537050736154331</v>
      </c>
      <c r="R127">
        <v>6.9774228734274164</v>
      </c>
      <c r="S127">
        <v>38.069208508054906</v>
      </c>
      <c r="U127">
        <v>3.5754621683143508</v>
      </c>
      <c r="V127">
        <v>52.14321069071157</v>
      </c>
      <c r="W127">
        <v>20.917700348374371</v>
      </c>
      <c r="X127">
        <v>44.671852670961201</v>
      </c>
      <c r="Y127">
        <v>3.1397636696336497</v>
      </c>
      <c r="Z127">
        <v>17.667937557579044</v>
      </c>
      <c r="AB127">
        <v>33.190366887741789</v>
      </c>
      <c r="AE127">
        <v>6.6921532387051377</v>
      </c>
      <c r="AF127">
        <v>8.6797959878716107</v>
      </c>
      <c r="AG127">
        <v>18.709752828253244</v>
      </c>
      <c r="AI127">
        <v>1.9620979763257893</v>
      </c>
      <c r="AK127">
        <v>20.990537378465945</v>
      </c>
    </row>
    <row r="128" spans="1:37" x14ac:dyDescent="0.2">
      <c r="A128">
        <v>127</v>
      </c>
      <c r="B128">
        <v>806</v>
      </c>
      <c r="C128">
        <v>100</v>
      </c>
      <c r="D128">
        <v>0.51586943427697896</v>
      </c>
      <c r="E128">
        <v>102.89660437641342</v>
      </c>
      <c r="F128">
        <v>65.721821463742984</v>
      </c>
      <c r="G128">
        <v>73.167564312070823</v>
      </c>
      <c r="H128">
        <v>68.69620994114851</v>
      </c>
      <c r="J128">
        <v>43.974780725066658</v>
      </c>
      <c r="L128">
        <v>5.943065507224004</v>
      </c>
      <c r="M128">
        <v>15.397353445121459</v>
      </c>
      <c r="N128">
        <v>2.0782549730510995</v>
      </c>
      <c r="O128">
        <v>33.516002920296607</v>
      </c>
      <c r="P128">
        <v>12.067466264129562</v>
      </c>
      <c r="Q128">
        <v>6.2241111998070552E-2</v>
      </c>
      <c r="R128">
        <v>18.51799317196663</v>
      </c>
      <c r="S128">
        <v>48.696521879559405</v>
      </c>
      <c r="U128">
        <v>5.1360986771355295</v>
      </c>
      <c r="V128">
        <v>45.824892881398938</v>
      </c>
      <c r="W128">
        <v>35.121700631661035</v>
      </c>
      <c r="X128">
        <v>44.023368614306008</v>
      </c>
      <c r="Y128">
        <v>7.6665878485141565</v>
      </c>
      <c r="Z128">
        <v>35.506719805897539</v>
      </c>
      <c r="AA128">
        <v>5.1868538627610326</v>
      </c>
      <c r="AB128">
        <v>38.866660856223028</v>
      </c>
      <c r="AC128">
        <v>0.23996851763625943</v>
      </c>
      <c r="AD128">
        <v>9.5413646053126868</v>
      </c>
      <c r="AE128">
        <v>16.682417534843665</v>
      </c>
      <c r="AF128">
        <v>15.265085286952344</v>
      </c>
      <c r="AG128">
        <v>25.412164304952608</v>
      </c>
      <c r="AH128">
        <v>5.6700406713164879</v>
      </c>
      <c r="AI128">
        <v>2.0177203707510682</v>
      </c>
      <c r="AK128">
        <v>38.739632815613476</v>
      </c>
    </row>
    <row r="129" spans="1:37" x14ac:dyDescent="0.2">
      <c r="A129">
        <v>128</v>
      </c>
      <c r="B129">
        <v>804</v>
      </c>
      <c r="C129">
        <v>100</v>
      </c>
      <c r="D129">
        <v>0.514840551455232</v>
      </c>
      <c r="E129">
        <v>102.69757314587341</v>
      </c>
      <c r="F129">
        <v>65.047018119304653</v>
      </c>
      <c r="G129">
        <v>73.048554314309968</v>
      </c>
      <c r="H129">
        <v>68.57105179621675</v>
      </c>
      <c r="J129">
        <v>43.892199281363098</v>
      </c>
      <c r="L129">
        <v>5.7790036832715996</v>
      </c>
      <c r="M129">
        <v>15.346649275181486</v>
      </c>
      <c r="N129">
        <v>2.0601505360378152</v>
      </c>
      <c r="O129">
        <v>32.693170505062263</v>
      </c>
      <c r="P129">
        <v>11.853487503125535</v>
      </c>
      <c r="R129">
        <v>18.1982932703853</v>
      </c>
      <c r="S129">
        <v>48.191208281386238</v>
      </c>
      <c r="U129">
        <v>5.0524991350303967</v>
      </c>
      <c r="V129">
        <v>45.762459802065152</v>
      </c>
      <c r="W129">
        <v>34.817361937123863</v>
      </c>
      <c r="X129">
        <v>43.868573697816103</v>
      </c>
      <c r="Y129">
        <v>7.4940763687754854</v>
      </c>
      <c r="Z129">
        <v>35.131721613339586</v>
      </c>
      <c r="AA129">
        <v>5.0146505241353516</v>
      </c>
      <c r="AB129">
        <v>38.702392159316517</v>
      </c>
      <c r="AC129">
        <v>0.2178713181068388</v>
      </c>
      <c r="AD129">
        <v>9.3497152535258401</v>
      </c>
      <c r="AE129">
        <v>16.512246663672148</v>
      </c>
      <c r="AF129">
        <v>15.190024126884779</v>
      </c>
      <c r="AG129">
        <v>25.196090221722617</v>
      </c>
      <c r="AH129">
        <v>5.42520766923389</v>
      </c>
      <c r="AI129">
        <v>1.9991337133029674</v>
      </c>
      <c r="AK129">
        <v>38.738955768617863</v>
      </c>
    </row>
    <row r="130" spans="1:37" x14ac:dyDescent="0.2">
      <c r="A130">
        <v>129</v>
      </c>
      <c r="B130">
        <v>802</v>
      </c>
      <c r="C130">
        <v>100</v>
      </c>
      <c r="D130">
        <v>0.51380784076640695</v>
      </c>
      <c r="E130">
        <v>102.49730325007721</v>
      </c>
      <c r="F130">
        <v>64.249736138762657</v>
      </c>
      <c r="G130">
        <v>72.905040141746071</v>
      </c>
      <c r="H130">
        <v>68.421437847901274</v>
      </c>
      <c r="J130">
        <v>43.834887011440436</v>
      </c>
      <c r="L130">
        <v>5.565949441505782</v>
      </c>
      <c r="M130">
        <v>15.365393449087296</v>
      </c>
      <c r="N130">
        <v>2.0308562472297891</v>
      </c>
      <c r="O130">
        <v>31.656215167182292</v>
      </c>
      <c r="P130">
        <v>11.579337360700359</v>
      </c>
      <c r="R130">
        <v>17.896633434357433</v>
      </c>
      <c r="S130">
        <v>47.946177415967931</v>
      </c>
      <c r="U130">
        <v>5.0256299395532933</v>
      </c>
      <c r="V130">
        <v>45.835148707011527</v>
      </c>
      <c r="W130">
        <v>34.575261729443838</v>
      </c>
      <c r="X130">
        <v>43.902663722195612</v>
      </c>
      <c r="Y130">
        <v>7.2677993611712157</v>
      </c>
      <c r="Z130">
        <v>34.683878517301629</v>
      </c>
      <c r="AA130">
        <v>4.7895428647578226</v>
      </c>
      <c r="AB130">
        <v>38.639484161936039</v>
      </c>
      <c r="AC130">
        <v>0.18458492136554211</v>
      </c>
      <c r="AD130">
        <v>9.1133159306238802</v>
      </c>
      <c r="AE130">
        <v>16.317944626196983</v>
      </c>
      <c r="AF130">
        <v>15.173221794944737</v>
      </c>
      <c r="AG130">
        <v>25.070196015960079</v>
      </c>
      <c r="AH130">
        <v>5.1152426620597558</v>
      </c>
      <c r="AI130">
        <v>1.9693542311593739</v>
      </c>
      <c r="AK130">
        <v>38.713142268787209</v>
      </c>
    </row>
    <row r="131" spans="1:37" x14ac:dyDescent="0.2">
      <c r="A131">
        <v>130</v>
      </c>
      <c r="B131">
        <v>800</v>
      </c>
      <c r="C131">
        <v>100</v>
      </c>
      <c r="D131">
        <v>0.51277128080883805</v>
      </c>
      <c r="E131">
        <v>102.29861843734703</v>
      </c>
      <c r="F131">
        <v>63.456744489537066</v>
      </c>
      <c r="G131">
        <v>72.761663972054052</v>
      </c>
      <c r="H131">
        <v>68.272010426194313</v>
      </c>
      <c r="J131">
        <v>43.776525164304466</v>
      </c>
      <c r="L131">
        <v>5.3523101004382259</v>
      </c>
      <c r="M131">
        <v>15.38453507290072</v>
      </c>
      <c r="N131">
        <v>2.0015389447106711</v>
      </c>
      <c r="O131">
        <v>30.620730564876823</v>
      </c>
      <c r="P131">
        <v>11.305467190085238</v>
      </c>
      <c r="R131">
        <v>17.592696267676367</v>
      </c>
      <c r="S131">
        <v>47.693829995509731</v>
      </c>
      <c r="U131">
        <v>5.0000038667772442</v>
      </c>
      <c r="V131">
        <v>45.904312560511997</v>
      </c>
      <c r="W131">
        <v>34.334883037208449</v>
      </c>
      <c r="X131">
        <v>43.941389469933689</v>
      </c>
      <c r="Y131">
        <v>7.0415726298845494</v>
      </c>
      <c r="Z131">
        <v>34.237332848656997</v>
      </c>
      <c r="AA131">
        <v>4.564361256601762</v>
      </c>
      <c r="AB131">
        <v>38.572335426953913</v>
      </c>
      <c r="AC131">
        <v>0.15127616206106839</v>
      </c>
      <c r="AD131">
        <v>8.8771967732883592</v>
      </c>
      <c r="AE131">
        <v>16.124372470376311</v>
      </c>
      <c r="AF131">
        <v>15.156794275597914</v>
      </c>
      <c r="AG131">
        <v>24.940047129543039</v>
      </c>
      <c r="AH131">
        <v>4.8051350177265011</v>
      </c>
      <c r="AI131">
        <v>1.9395487479233846</v>
      </c>
      <c r="AK131">
        <v>38.688134076273144</v>
      </c>
    </row>
    <row r="132" spans="1:37" x14ac:dyDescent="0.2">
      <c r="A132">
        <v>131</v>
      </c>
      <c r="B132">
        <v>798</v>
      </c>
      <c r="C132">
        <v>100</v>
      </c>
      <c r="D132">
        <v>0.51173085002101004</v>
      </c>
      <c r="E132">
        <v>102.10152322370946</v>
      </c>
      <c r="F132">
        <v>62.668145319772854</v>
      </c>
      <c r="G132">
        <v>72.618460056267025</v>
      </c>
      <c r="H132">
        <v>68.122803935013991</v>
      </c>
      <c r="J132">
        <v>43.717077262871371</v>
      </c>
      <c r="L132">
        <v>5.1381729138776686</v>
      </c>
      <c r="M132">
        <v>15.404029632101432</v>
      </c>
      <c r="N132">
        <v>1.972203293572677</v>
      </c>
      <c r="O132">
        <v>29.586909077010386</v>
      </c>
      <c r="P132">
        <v>11.031950319094873</v>
      </c>
      <c r="R132">
        <v>17.286612659944648</v>
      </c>
      <c r="S132">
        <v>47.433935606455975</v>
      </c>
      <c r="U132">
        <v>4.9755702957346237</v>
      </c>
      <c r="V132">
        <v>45.969873556365279</v>
      </c>
      <c r="W132">
        <v>34.096214957886247</v>
      </c>
      <c r="X132">
        <v>43.984601899604868</v>
      </c>
      <c r="Y132">
        <v>6.8154568518151706</v>
      </c>
      <c r="Z132">
        <v>33.792106257699231</v>
      </c>
      <c r="AA132">
        <v>4.3392552899048464</v>
      </c>
      <c r="AB132">
        <v>38.500808344279939</v>
      </c>
      <c r="AC132">
        <v>0.117949701843931</v>
      </c>
      <c r="AD132">
        <v>8.6414015576389378</v>
      </c>
      <c r="AE132">
        <v>15.93151101397024</v>
      </c>
      <c r="AF132">
        <v>15.140701759913714</v>
      </c>
      <c r="AG132">
        <v>24.805510658647645</v>
      </c>
      <c r="AH132">
        <v>4.4949878531442646</v>
      </c>
      <c r="AI132">
        <v>1.9097219141916453</v>
      </c>
      <c r="AK132">
        <v>38.663946869210413</v>
      </c>
    </row>
    <row r="133" spans="1:37" x14ac:dyDescent="0.2">
      <c r="A133">
        <v>132</v>
      </c>
      <c r="B133">
        <v>796</v>
      </c>
      <c r="C133">
        <v>100</v>
      </c>
      <c r="D133">
        <v>0.51068652668007097</v>
      </c>
      <c r="E133">
        <v>101.90601996848339</v>
      </c>
      <c r="F133">
        <v>61.884034051161699</v>
      </c>
      <c r="G133">
        <v>72.475462326739859</v>
      </c>
      <c r="H133">
        <v>67.973852460170576</v>
      </c>
      <c r="J133">
        <v>43.656516154220142</v>
      </c>
      <c r="L133">
        <v>4.9236238077361598</v>
      </c>
      <c r="M133">
        <v>15.423831223928033</v>
      </c>
      <c r="N133">
        <v>1.9428540105418264</v>
      </c>
      <c r="O133">
        <v>28.554940839614005</v>
      </c>
      <c r="P133">
        <v>10.758859490688277</v>
      </c>
      <c r="R133">
        <v>16.978514701157223</v>
      </c>
      <c r="S133">
        <v>47.16630184106738</v>
      </c>
      <c r="U133">
        <v>4.9522760151828669</v>
      </c>
      <c r="V133">
        <v>46.031768697918217</v>
      </c>
      <c r="W133">
        <v>33.859243654690317</v>
      </c>
      <c r="X133">
        <v>44.032144243623186</v>
      </c>
      <c r="Y133">
        <v>6.5895124310174733</v>
      </c>
      <c r="Z133">
        <v>33.348217251612454</v>
      </c>
      <c r="AA133">
        <v>4.1143650558207296</v>
      </c>
      <c r="AB133">
        <v>38.424785235936817</v>
      </c>
      <c r="AC133">
        <v>8.4610253994023527E-2</v>
      </c>
      <c r="AD133">
        <v>8.4059728930525939</v>
      </c>
      <c r="AE133">
        <v>15.739339513038283</v>
      </c>
      <c r="AF133">
        <v>15.12490310254228</v>
      </c>
      <c r="AG133">
        <v>24.666473683447819</v>
      </c>
      <c r="AH133">
        <v>4.1849032020293944</v>
      </c>
      <c r="AI133">
        <v>1.8798784321812176</v>
      </c>
      <c r="AK133">
        <v>38.640595372565173</v>
      </c>
    </row>
    <row r="134" spans="1:37" x14ac:dyDescent="0.2">
      <c r="A134">
        <v>133</v>
      </c>
      <c r="B134">
        <v>794</v>
      </c>
      <c r="C134">
        <v>100</v>
      </c>
      <c r="D134">
        <v>0.50963828890034402</v>
      </c>
      <c r="E134">
        <v>101.71210899793743</v>
      </c>
      <c r="F134">
        <v>61.104498733507675</v>
      </c>
      <c r="G134">
        <v>72.332704151787169</v>
      </c>
      <c r="H134">
        <v>67.825189524009659</v>
      </c>
      <c r="J134">
        <v>43.594823449288455</v>
      </c>
      <c r="L134">
        <v>4.7087468686742282</v>
      </c>
      <c r="M134">
        <v>15.443892896715447</v>
      </c>
      <c r="N134">
        <v>1.9134957841278599</v>
      </c>
      <c r="O134">
        <v>27.525012080376129</v>
      </c>
      <c r="P134">
        <v>10.486266292401469</v>
      </c>
      <c r="R134">
        <v>16.668534427863932</v>
      </c>
      <c r="S134">
        <v>46.890773298921602</v>
      </c>
      <c r="U134">
        <v>4.9300657598472561</v>
      </c>
      <c r="V134">
        <v>46.089949207163464</v>
      </c>
      <c r="W134">
        <v>33.623952775054597</v>
      </c>
      <c r="X134">
        <v>44.083853651635884</v>
      </c>
      <c r="Y134">
        <v>6.3637990158616091</v>
      </c>
      <c r="Z134">
        <v>32.905680845053432</v>
      </c>
      <c r="AA134">
        <v>3.8895811215422365</v>
      </c>
      <c r="AB134">
        <v>38.344167879062773</v>
      </c>
      <c r="AC134">
        <v>5.1262503568440289E-2</v>
      </c>
      <c r="AD134">
        <v>8.1709518836423491</v>
      </c>
      <c r="AE134">
        <v>15.547835664954034</v>
      </c>
      <c r="AF134">
        <v>15.109356081196346</v>
      </c>
      <c r="AG134">
        <v>24.52284271127569</v>
      </c>
      <c r="AH134">
        <v>3.8749813526147188</v>
      </c>
      <c r="AI134">
        <v>1.8500229758790308</v>
      </c>
      <c r="AK134">
        <v>38.618093144565904</v>
      </c>
    </row>
    <row r="135" spans="1:37" x14ac:dyDescent="0.2">
      <c r="A135">
        <v>134</v>
      </c>
      <c r="B135">
        <v>792</v>
      </c>
      <c r="C135">
        <v>100</v>
      </c>
      <c r="D135">
        <v>0.50858611463174297</v>
      </c>
      <c r="E135">
        <v>101.5197887558857</v>
      </c>
      <c r="F135">
        <v>60.329619540140236</v>
      </c>
      <c r="G135">
        <v>72.190218116979779</v>
      </c>
      <c r="H135">
        <v>67.676847866707689</v>
      </c>
      <c r="J135">
        <v>43.531988830116106</v>
      </c>
      <c r="L135">
        <v>4.493623882018448</v>
      </c>
      <c r="M135">
        <v>15.464166968006067</v>
      </c>
      <c r="N135">
        <v>1.8841331970930295</v>
      </c>
      <c r="O135">
        <v>26.497303614422947</v>
      </c>
      <c r="P135">
        <v>10.214240641407111</v>
      </c>
      <c r="R135">
        <v>16.356802634659452</v>
      </c>
      <c r="S135">
        <v>46.607230009402862</v>
      </c>
      <c r="U135">
        <v>4.9088827376634798</v>
      </c>
      <c r="V135">
        <v>46.144379732485248</v>
      </c>
      <c r="W135">
        <v>33.390323897352019</v>
      </c>
      <c r="X135">
        <v>44.139562801819707</v>
      </c>
      <c r="Y135">
        <v>6.1383750619378814</v>
      </c>
      <c r="Z135">
        <v>32.464508253370425</v>
      </c>
      <c r="AA135">
        <v>3.6650479376671794</v>
      </c>
      <c r="AB135">
        <v>38.258876713417301</v>
      </c>
      <c r="AC135">
        <v>1.7911029871549519E-2</v>
      </c>
      <c r="AD135">
        <v>7.9363778233543893</v>
      </c>
      <c r="AE135">
        <v>15.356975613810237</v>
      </c>
      <c r="AF135">
        <v>15.094017637234881</v>
      </c>
      <c r="AG135">
        <v>24.37454280659092</v>
      </c>
      <c r="AH135">
        <v>3.5653202709307505</v>
      </c>
      <c r="AI135">
        <v>1.8201601135104393</v>
      </c>
      <c r="AK135">
        <v>38.596452380791391</v>
      </c>
    </row>
    <row r="136" spans="1:37" x14ac:dyDescent="0.2">
      <c r="A136">
        <v>135</v>
      </c>
      <c r="B136">
        <v>790</v>
      </c>
      <c r="C136">
        <v>100</v>
      </c>
      <c r="D136">
        <v>0.507529981658283</v>
      </c>
      <c r="E136">
        <v>101.25286497831824</v>
      </c>
      <c r="F136">
        <v>59.151029282715371</v>
      </c>
      <c r="G136">
        <v>71.977184204391307</v>
      </c>
      <c r="H136">
        <v>67.458007625527785</v>
      </c>
      <c r="J136">
        <v>43.338694470509417</v>
      </c>
      <c r="L136">
        <v>4.1680728938302343</v>
      </c>
      <c r="M136">
        <v>15.473963998826576</v>
      </c>
      <c r="N136">
        <v>1.8698862246445933</v>
      </c>
      <c r="O136">
        <v>25.077328122502117</v>
      </c>
      <c r="P136">
        <v>9.8162626412219236</v>
      </c>
      <c r="R136">
        <v>15.887009999341888</v>
      </c>
      <c r="S136">
        <v>46.106719673924182</v>
      </c>
      <c r="U136">
        <v>4.8767228764077295</v>
      </c>
      <c r="V136">
        <v>46.185800216958256</v>
      </c>
      <c r="W136">
        <v>33.058464915715724</v>
      </c>
      <c r="X136">
        <v>44.150699995371788</v>
      </c>
      <c r="Y136">
        <v>5.7834827823107142</v>
      </c>
      <c r="Z136">
        <v>31.807636627796366</v>
      </c>
      <c r="AA136">
        <v>3.3278808809131442</v>
      </c>
      <c r="AB136">
        <v>38.118027067666937</v>
      </c>
      <c r="AD136">
        <v>7.5621297540756558</v>
      </c>
      <c r="AE136">
        <v>15.093000581802915</v>
      </c>
      <c r="AF136">
        <v>15.083318348133936</v>
      </c>
      <c r="AG136">
        <v>24.18580931546704</v>
      </c>
      <c r="AH136">
        <v>3.0502506129965479</v>
      </c>
      <c r="AI136">
        <v>1.8054098057338124</v>
      </c>
      <c r="AK136">
        <v>38.481839537907476</v>
      </c>
    </row>
    <row r="137" spans="1:37" x14ac:dyDescent="0.2">
      <c r="A137">
        <v>136</v>
      </c>
      <c r="B137">
        <v>788</v>
      </c>
      <c r="C137">
        <v>100</v>
      </c>
      <c r="D137">
        <v>0.50646986759647905</v>
      </c>
      <c r="E137">
        <v>100.89473886588522</v>
      </c>
      <c r="F137">
        <v>57.457813218880872</v>
      </c>
      <c r="G137">
        <v>71.672775154506226</v>
      </c>
      <c r="H137">
        <v>67.147841696725592</v>
      </c>
      <c r="J137">
        <v>42.965051150854755</v>
      </c>
      <c r="L137">
        <v>3.6969261103471873</v>
      </c>
      <c r="M137">
        <v>15.471954065017524</v>
      </c>
      <c r="N137">
        <v>1.8738587708981693</v>
      </c>
      <c r="O137">
        <v>23.144543018783239</v>
      </c>
      <c r="P137">
        <v>9.2537818419751474</v>
      </c>
      <c r="R137">
        <v>15.204328898643032</v>
      </c>
      <c r="S137">
        <v>45.29216770572819</v>
      </c>
      <c r="U137">
        <v>4.8368649935420445</v>
      </c>
      <c r="V137">
        <v>46.197948588632087</v>
      </c>
      <c r="W137">
        <v>32.610997024932686</v>
      </c>
      <c r="X137">
        <v>44.12397367994371</v>
      </c>
      <c r="Y137">
        <v>5.2603917707748424</v>
      </c>
      <c r="Z137">
        <v>30.871619714870246</v>
      </c>
      <c r="AA137">
        <v>2.8431468017474981</v>
      </c>
      <c r="AB137">
        <v>37.885857381671038</v>
      </c>
      <c r="AD137">
        <v>7.00681860374723</v>
      </c>
      <c r="AE137">
        <v>14.73446717326704</v>
      </c>
      <c r="AF137">
        <v>15.079032235276186</v>
      </c>
      <c r="AG137">
        <v>23.923984624339752</v>
      </c>
      <c r="AH137">
        <v>2.2686492851921991</v>
      </c>
      <c r="AI137">
        <v>1.808875942102725</v>
      </c>
      <c r="AK137">
        <v>38.24576923206272</v>
      </c>
    </row>
    <row r="138" spans="1:37" x14ac:dyDescent="0.2">
      <c r="A138">
        <v>137</v>
      </c>
      <c r="B138">
        <v>786</v>
      </c>
      <c r="C138">
        <v>100</v>
      </c>
      <c r="D138">
        <v>0.50540574989378495</v>
      </c>
      <c r="E138">
        <v>100.53500215334098</v>
      </c>
      <c r="F138">
        <v>55.711374343168885</v>
      </c>
      <c r="G138">
        <v>71.356528512530403</v>
      </c>
      <c r="H138">
        <v>66.825887781865802</v>
      </c>
      <c r="J138">
        <v>42.544130568488519</v>
      </c>
      <c r="L138">
        <v>3.2015262730243923</v>
      </c>
      <c r="M138">
        <v>15.47058951423725</v>
      </c>
      <c r="N138">
        <v>1.8778289913982966</v>
      </c>
      <c r="O138">
        <v>21.13594934715487</v>
      </c>
      <c r="P138">
        <v>8.6676516555652618</v>
      </c>
      <c r="R138">
        <v>14.477500133624401</v>
      </c>
      <c r="S138">
        <v>44.367509826334555</v>
      </c>
      <c r="U138">
        <v>4.8071194753431898</v>
      </c>
      <c r="V138">
        <v>46.180405714439438</v>
      </c>
      <c r="W138">
        <v>32.169249741438996</v>
      </c>
      <c r="X138">
        <v>44.127647895350236</v>
      </c>
      <c r="Y138">
        <v>4.7140537699508105</v>
      </c>
      <c r="Z138">
        <v>29.895917628166483</v>
      </c>
      <c r="AA138">
        <v>2.3358070815486136</v>
      </c>
      <c r="AB138">
        <v>37.600485888141741</v>
      </c>
      <c r="AD138">
        <v>6.4262017308235357</v>
      </c>
      <c r="AE138">
        <v>14.361425742710242</v>
      </c>
      <c r="AF138">
        <v>15.07538984348019</v>
      </c>
      <c r="AG138">
        <v>23.608965164189481</v>
      </c>
      <c r="AH138">
        <v>1.4507876657478949</v>
      </c>
      <c r="AI138">
        <v>1.812336663587333</v>
      </c>
      <c r="AK138">
        <v>37.990930960090928</v>
      </c>
    </row>
    <row r="139" spans="1:37" x14ac:dyDescent="0.2">
      <c r="A139">
        <v>138</v>
      </c>
      <c r="B139">
        <v>784</v>
      </c>
      <c r="C139">
        <v>100</v>
      </c>
      <c r="D139">
        <v>0.50433760582698905</v>
      </c>
      <c r="E139">
        <v>100.16895565451603</v>
      </c>
      <c r="F139">
        <v>53.860773335100582</v>
      </c>
      <c r="G139">
        <v>71.019894556295171</v>
      </c>
      <c r="H139">
        <v>66.483596315729017</v>
      </c>
      <c r="J139">
        <v>42.042028165354999</v>
      </c>
      <c r="L139">
        <v>2.6653439789390396</v>
      </c>
      <c r="M139">
        <v>15.467876662438155</v>
      </c>
      <c r="N139">
        <v>1.8817962650112587</v>
      </c>
      <c r="O139">
        <v>18.9934315567331</v>
      </c>
      <c r="P139">
        <v>8.0407721833666361</v>
      </c>
      <c r="R139">
        <v>13.678221293380835</v>
      </c>
      <c r="S139">
        <v>43.267393369120171</v>
      </c>
      <c r="U139">
        <v>4.7903161304487609</v>
      </c>
      <c r="V139">
        <v>46.118535389179321</v>
      </c>
      <c r="W139">
        <v>31.732550772695848</v>
      </c>
      <c r="X139">
        <v>44.169897570439289</v>
      </c>
      <c r="Y139">
        <v>4.1274507940525034</v>
      </c>
      <c r="Z139">
        <v>28.843457710605513</v>
      </c>
      <c r="AA139">
        <v>1.7894139840050338</v>
      </c>
      <c r="AB139">
        <v>37.229589748273206</v>
      </c>
      <c r="AD139">
        <v>5.7995883289388814</v>
      </c>
      <c r="AE139">
        <v>13.957985525449855</v>
      </c>
      <c r="AF139">
        <v>15.070396909369382</v>
      </c>
      <c r="AG139">
        <v>23.208427518065808</v>
      </c>
      <c r="AH139">
        <v>0.5705942745716297</v>
      </c>
      <c r="AI139">
        <v>1.8157913344684768</v>
      </c>
      <c r="AK139">
        <v>37.700199738065812</v>
      </c>
    </row>
    <row r="140" spans="1:37" x14ac:dyDescent="0.2">
      <c r="A140">
        <v>139</v>
      </c>
      <c r="B140">
        <v>782</v>
      </c>
      <c r="C140">
        <v>100</v>
      </c>
      <c r="D140">
        <v>0.50326541250059598</v>
      </c>
      <c r="E140">
        <v>100.59946380145711</v>
      </c>
      <c r="F140">
        <v>54.3990984677367</v>
      </c>
      <c r="G140">
        <v>71.198765393811442</v>
      </c>
      <c r="H140">
        <v>66.656859563870043</v>
      </c>
      <c r="J140">
        <v>36.815699834423015</v>
      </c>
      <c r="L140">
        <v>1.55462529677957</v>
      </c>
      <c r="M140">
        <v>15.133672884101395</v>
      </c>
      <c r="N140">
        <v>1.8858020778319942</v>
      </c>
      <c r="O140">
        <v>12.934928724871224</v>
      </c>
      <c r="P140">
        <v>8.4449692952484501</v>
      </c>
      <c r="R140">
        <v>12.261495120496793</v>
      </c>
      <c r="S140">
        <v>38.94986068013543</v>
      </c>
      <c r="U140">
        <v>4.8875734176355694</v>
      </c>
      <c r="V140">
        <v>45.829439880640351</v>
      </c>
      <c r="W140">
        <v>31.015633105162522</v>
      </c>
      <c r="X140">
        <v>44.536446716349388</v>
      </c>
      <c r="Y140">
        <v>3.4535040735923861</v>
      </c>
      <c r="Z140">
        <v>27.298563590072053</v>
      </c>
      <c r="AA140">
        <v>0.49410771936245873</v>
      </c>
      <c r="AB140">
        <v>35.59896963062004</v>
      </c>
      <c r="AD140">
        <v>5.1079275245581073</v>
      </c>
      <c r="AE140">
        <v>12.803746407403146</v>
      </c>
      <c r="AF140">
        <v>14.733952335515513</v>
      </c>
      <c r="AG140">
        <v>21.548213883875199</v>
      </c>
      <c r="AI140">
        <v>1.8192814262436614</v>
      </c>
      <c r="AK140">
        <v>34.429465889684963</v>
      </c>
    </row>
    <row r="141" spans="1:37" x14ac:dyDescent="0.2">
      <c r="A141">
        <v>140</v>
      </c>
      <c r="B141">
        <v>780</v>
      </c>
      <c r="C141">
        <v>100</v>
      </c>
      <c r="D141">
        <v>0.50218914684517901</v>
      </c>
      <c r="E141">
        <v>101.20735566652755</v>
      </c>
      <c r="F141">
        <v>54.203268650119625</v>
      </c>
      <c r="G141">
        <v>71.331527033067601</v>
      </c>
      <c r="H141">
        <v>66.784063692418215</v>
      </c>
      <c r="J141">
        <v>29.976696045831453</v>
      </c>
      <c r="L141">
        <v>1.4273620741415398</v>
      </c>
      <c r="M141">
        <v>14.318112633520613</v>
      </c>
      <c r="N141">
        <v>1.8898224504774477</v>
      </c>
      <c r="O141">
        <v>11.884379305622854</v>
      </c>
      <c r="P141">
        <v>8.7569911964713381</v>
      </c>
      <c r="R141">
        <v>11.473424834239761</v>
      </c>
      <c r="S141">
        <v>37.832463029869444</v>
      </c>
      <c r="U141">
        <v>4.9692344344953909</v>
      </c>
      <c r="V141">
        <v>46.377994617084617</v>
      </c>
      <c r="W141">
        <v>29.936799351643817</v>
      </c>
      <c r="X141">
        <v>44.853143987560244</v>
      </c>
      <c r="Y141">
        <v>3.3508028158474525</v>
      </c>
      <c r="Z141">
        <v>24.007797145347631</v>
      </c>
      <c r="AB141">
        <v>33.544378533489599</v>
      </c>
      <c r="AD141">
        <v>3.5423015110864293</v>
      </c>
      <c r="AE141">
        <v>10.698858859330302</v>
      </c>
      <c r="AF141">
        <v>13.916166639012728</v>
      </c>
      <c r="AG141">
        <v>19.464053324069159</v>
      </c>
      <c r="AI141">
        <v>1.8227829449223862</v>
      </c>
      <c r="AK141">
        <v>29.907904025185047</v>
      </c>
    </row>
    <row r="142" spans="1:37" x14ac:dyDescent="0.2">
      <c r="A142">
        <v>141</v>
      </c>
      <c r="B142">
        <v>778</v>
      </c>
      <c r="C142">
        <v>100</v>
      </c>
      <c r="D142">
        <v>0.501108785615755</v>
      </c>
      <c r="E142">
        <v>101.67071714710622</v>
      </c>
      <c r="F142">
        <v>54.437755250396869</v>
      </c>
      <c r="G142">
        <v>71.401776941706245</v>
      </c>
      <c r="H142">
        <v>66.848806327756321</v>
      </c>
      <c r="J142">
        <v>25.935831310483827</v>
      </c>
      <c r="L142">
        <v>1.4572982087818818</v>
      </c>
      <c r="M142">
        <v>13.516089523973045</v>
      </c>
      <c r="N142">
        <v>1.8938408128621929</v>
      </c>
      <c r="O142">
        <v>11.636002513560724</v>
      </c>
      <c r="P142">
        <v>8.9440164218210558</v>
      </c>
      <c r="R142">
        <v>10.887594072890995</v>
      </c>
      <c r="S142">
        <v>37.920450476623053</v>
      </c>
      <c r="U142">
        <v>4.9770722852676847</v>
      </c>
      <c r="V142">
        <v>47.255005350127561</v>
      </c>
      <c r="W142">
        <v>28.922715242538299</v>
      </c>
      <c r="X142">
        <v>44.957570213762544</v>
      </c>
      <c r="Y142">
        <v>3.3257809285360902</v>
      </c>
      <c r="Z142">
        <v>22.078702626801441</v>
      </c>
      <c r="AB142">
        <v>32.811101426301121</v>
      </c>
      <c r="AD142">
        <v>2.5977222632819399</v>
      </c>
      <c r="AE142">
        <v>9.500862961971789</v>
      </c>
      <c r="AF142">
        <v>13.111916905428254</v>
      </c>
      <c r="AG142">
        <v>18.701214281779976</v>
      </c>
      <c r="AI142">
        <v>1.8262793057997886</v>
      </c>
      <c r="AK142">
        <v>27.113481520052204</v>
      </c>
    </row>
    <row r="143" spans="1:37" x14ac:dyDescent="0.2">
      <c r="A143">
        <v>142</v>
      </c>
      <c r="B143">
        <v>776</v>
      </c>
      <c r="C143">
        <v>100</v>
      </c>
      <c r="D143">
        <v>0.50002430539008103</v>
      </c>
      <c r="E143">
        <v>102.02745858245649</v>
      </c>
      <c r="F143">
        <v>54.799735784278681</v>
      </c>
      <c r="G143">
        <v>71.436474906296652</v>
      </c>
      <c r="H143">
        <v>66.878047415799657</v>
      </c>
      <c r="J143">
        <v>23.348831366299066</v>
      </c>
      <c r="L143">
        <v>1.4813850399172734</v>
      </c>
      <c r="M143">
        <v>12.800520486095317</v>
      </c>
      <c r="N143">
        <v>1.8978536767257914</v>
      </c>
      <c r="O143">
        <v>11.416345241921979</v>
      </c>
      <c r="P143">
        <v>9.0599612266908967</v>
      </c>
      <c r="R143">
        <v>10.357322987333474</v>
      </c>
      <c r="S143">
        <v>38.195905223950632</v>
      </c>
      <c r="U143">
        <v>4.9573053284599826</v>
      </c>
      <c r="V143">
        <v>48.112073081578934</v>
      </c>
      <c r="W143">
        <v>28.013136134504794</v>
      </c>
      <c r="X143">
        <v>44.98346602775618</v>
      </c>
      <c r="Y143">
        <v>3.2899050388844167</v>
      </c>
      <c r="Z143">
        <v>20.859634798711895</v>
      </c>
      <c r="AB143">
        <v>32.583159066736066</v>
      </c>
      <c r="AD143">
        <v>1.9844390905731433</v>
      </c>
      <c r="AE143">
        <v>8.7502429378739386</v>
      </c>
      <c r="AF143">
        <v>12.394116619706349</v>
      </c>
      <c r="AG143">
        <v>18.443714070500601</v>
      </c>
      <c r="AI143">
        <v>1.8297670059874958</v>
      </c>
      <c r="AK143">
        <v>25.268838319574623</v>
      </c>
    </row>
    <row r="144" spans="1:37" x14ac:dyDescent="0.2">
      <c r="A144">
        <v>143</v>
      </c>
      <c r="B144">
        <v>774</v>
      </c>
      <c r="C144">
        <v>100</v>
      </c>
      <c r="D144">
        <v>0.49893568256697302</v>
      </c>
      <c r="E144">
        <v>102.31719955384268</v>
      </c>
      <c r="F144">
        <v>55.184335817284612</v>
      </c>
      <c r="G144">
        <v>71.452266318193722</v>
      </c>
      <c r="H144">
        <v>66.88843250785591</v>
      </c>
      <c r="J144">
        <v>21.514146939416587</v>
      </c>
      <c r="L144">
        <v>1.5014732580330747</v>
      </c>
      <c r="M144">
        <v>12.157498123837028</v>
      </c>
      <c r="N144">
        <v>1.9018619025738646</v>
      </c>
      <c r="O144">
        <v>11.212998689226378</v>
      </c>
      <c r="P144">
        <v>9.1381174257412834</v>
      </c>
      <c r="R144">
        <v>9.871357184612064</v>
      </c>
      <c r="S144">
        <v>38.513124072252005</v>
      </c>
      <c r="U144">
        <v>4.9255584616529156</v>
      </c>
      <c r="V144">
        <v>48.905162768109292</v>
      </c>
      <c r="W144">
        <v>27.183648321048985</v>
      </c>
      <c r="X144">
        <v>44.976010366993897</v>
      </c>
      <c r="Y144">
        <v>3.2522705017785114</v>
      </c>
      <c r="Z144">
        <v>19.984946019284298</v>
      </c>
      <c r="AB144">
        <v>32.555133083573843</v>
      </c>
      <c r="AD144">
        <v>1.5354157203921812</v>
      </c>
      <c r="AE144">
        <v>8.2129470619472045</v>
      </c>
      <c r="AF144">
        <v>11.748859289064493</v>
      </c>
      <c r="AG144">
        <v>18.386135223862976</v>
      </c>
      <c r="AI144">
        <v>1.8332468913522519</v>
      </c>
      <c r="AK144">
        <v>23.930063967035302</v>
      </c>
    </row>
    <row r="145" spans="1:37" x14ac:dyDescent="0.2">
      <c r="A145">
        <v>144</v>
      </c>
      <c r="B145">
        <v>772</v>
      </c>
      <c r="C145">
        <v>100</v>
      </c>
      <c r="D145">
        <v>0.49784289336458698</v>
      </c>
      <c r="E145">
        <v>102.56142985371818</v>
      </c>
      <c r="F145">
        <v>55.561990337987858</v>
      </c>
      <c r="G145">
        <v>71.456827913255637</v>
      </c>
      <c r="H145">
        <v>66.887638500347009</v>
      </c>
      <c r="J145">
        <v>20.121840702257202</v>
      </c>
      <c r="L145">
        <v>1.5189191786783558</v>
      </c>
      <c r="M145">
        <v>11.570946878476621</v>
      </c>
      <c r="N145">
        <v>1.9058663994579212</v>
      </c>
      <c r="O145">
        <v>11.019681531005917</v>
      </c>
      <c r="P145">
        <v>9.1938395721259525</v>
      </c>
      <c r="R145">
        <v>9.4201050855283306</v>
      </c>
      <c r="S145">
        <v>38.832398998861962</v>
      </c>
      <c r="U145">
        <v>4.8874658847007977</v>
      </c>
      <c r="V145">
        <v>49.635994948301239</v>
      </c>
      <c r="W145">
        <v>26.41448258310043</v>
      </c>
      <c r="X145">
        <v>44.951485721926609</v>
      </c>
      <c r="Y145">
        <v>3.2154961764401855</v>
      </c>
      <c r="Z145">
        <v>19.301777813886947</v>
      </c>
      <c r="AB145">
        <v>32.618165073621149</v>
      </c>
      <c r="AD145">
        <v>1.1793398856042141</v>
      </c>
      <c r="AE145">
        <v>7.7933984775913485</v>
      </c>
      <c r="AF145">
        <v>11.160070306786052</v>
      </c>
      <c r="AG145">
        <v>18.419620292353706</v>
      </c>
      <c r="AI145">
        <v>1.836719856298888</v>
      </c>
      <c r="AK145">
        <v>22.894960914881121</v>
      </c>
    </row>
    <row r="146" spans="1:37" x14ac:dyDescent="0.2">
      <c r="A146">
        <v>145</v>
      </c>
      <c r="B146">
        <v>770</v>
      </c>
      <c r="C146">
        <v>100</v>
      </c>
      <c r="D146">
        <v>0.49674591381872402</v>
      </c>
      <c r="E146">
        <v>102.77261437684906</v>
      </c>
      <c r="F146">
        <v>55.924067445338203</v>
      </c>
      <c r="G146">
        <v>71.454091003128312</v>
      </c>
      <c r="H146">
        <v>66.879596866097756</v>
      </c>
      <c r="J146">
        <v>19.015808776176296</v>
      </c>
      <c r="L146">
        <v>1.5344349785787781</v>
      </c>
      <c r="M146">
        <v>11.028880141423631</v>
      </c>
      <c r="N146">
        <v>1.9098678208721103</v>
      </c>
      <c r="O146">
        <v>10.833087026354276</v>
      </c>
      <c r="P146">
        <v>9.2349911159637124</v>
      </c>
      <c r="R146">
        <v>8.9966524873931792</v>
      </c>
      <c r="S146">
        <v>39.141528909627432</v>
      </c>
      <c r="U146">
        <v>4.8455069641157777</v>
      </c>
      <c r="V146">
        <v>50.312927621390763</v>
      </c>
      <c r="W146">
        <v>25.692050739469344</v>
      </c>
      <c r="X146">
        <v>44.917052629747751</v>
      </c>
      <c r="Y146">
        <v>3.1803386113492622</v>
      </c>
      <c r="Z146">
        <v>18.736790978192399</v>
      </c>
      <c r="AB146">
        <v>32.726302390729842</v>
      </c>
      <c r="AD146">
        <v>0.88150097870002386</v>
      </c>
      <c r="AE146">
        <v>7.4462400161295745</v>
      </c>
      <c r="AF146">
        <v>10.615763760922651</v>
      </c>
      <c r="AG146">
        <v>18.49821732822436</v>
      </c>
      <c r="AI146">
        <v>1.8401865396650974</v>
      </c>
      <c r="AK146">
        <v>22.059658638357341</v>
      </c>
    </row>
    <row r="147" spans="1:37" x14ac:dyDescent="0.2">
      <c r="A147">
        <v>146</v>
      </c>
      <c r="B147">
        <v>768</v>
      </c>
      <c r="C147">
        <v>100</v>
      </c>
      <c r="D147">
        <v>0.49564471978101199</v>
      </c>
      <c r="E147">
        <v>102.95856978192346</v>
      </c>
      <c r="F147">
        <v>56.268576333088298</v>
      </c>
      <c r="G147">
        <v>71.446280912288813</v>
      </c>
      <c r="H147">
        <v>66.866533091381072</v>
      </c>
      <c r="J147">
        <v>18.108336404765634</v>
      </c>
      <c r="L147">
        <v>1.5485167122628809</v>
      </c>
      <c r="M147">
        <v>10.522698671044628</v>
      </c>
      <c r="N147">
        <v>1.9138666282911918</v>
      </c>
      <c r="O147">
        <v>10.651332244707488</v>
      </c>
      <c r="P147">
        <v>9.2660233419667382</v>
      </c>
      <c r="R147">
        <v>8.5960333735254277</v>
      </c>
      <c r="S147">
        <v>39.436917612767168</v>
      </c>
      <c r="U147">
        <v>4.8009434306977852</v>
      </c>
      <c r="V147">
        <v>50.944035189283341</v>
      </c>
      <c r="W147">
        <v>25.006947308837546</v>
      </c>
      <c r="X147">
        <v>44.876351620727256</v>
      </c>
      <c r="Y147">
        <v>3.146954409339199</v>
      </c>
      <c r="Z147">
        <v>18.250447729732535</v>
      </c>
      <c r="AB147">
        <v>32.857555962958436</v>
      </c>
      <c r="AD147">
        <v>0.62296386029857209</v>
      </c>
      <c r="AE147">
        <v>7.1471704197769368</v>
      </c>
      <c r="AF147">
        <v>10.107340914664029</v>
      </c>
      <c r="AG147">
        <v>18.599937766198796</v>
      </c>
      <c r="AI147">
        <v>1.8436473882615001</v>
      </c>
      <c r="AK147">
        <v>21.364910198140123</v>
      </c>
    </row>
    <row r="148" spans="1:37" x14ac:dyDescent="0.2">
      <c r="A148">
        <v>147</v>
      </c>
      <c r="B148">
        <v>766</v>
      </c>
      <c r="C148">
        <v>100</v>
      </c>
      <c r="D148">
        <v>0.49453928691719501</v>
      </c>
      <c r="E148">
        <v>103.12452234161555</v>
      </c>
      <c r="F148">
        <v>56.595798069861914</v>
      </c>
      <c r="G148">
        <v>71.434761066968434</v>
      </c>
      <c r="H148">
        <v>66.849810764846282</v>
      </c>
      <c r="J148">
        <v>17.345869414892917</v>
      </c>
      <c r="L148">
        <v>1.5614287210357178</v>
      </c>
      <c r="M148">
        <v>10.046135742581523</v>
      </c>
      <c r="N148">
        <v>1.9178631569159716</v>
      </c>
      <c r="O148">
        <v>10.473268605491507</v>
      </c>
      <c r="P148">
        <v>9.2896636130404318</v>
      </c>
      <c r="R148">
        <v>8.214594727101673</v>
      </c>
      <c r="S148">
        <v>39.71798712231827</v>
      </c>
      <c r="U148">
        <v>4.754488720889257</v>
      </c>
      <c r="V148">
        <v>51.53601646361659</v>
      </c>
      <c r="W148">
        <v>24.352453999418525</v>
      </c>
      <c r="X148">
        <v>44.831438416198459</v>
      </c>
      <c r="Y148">
        <v>3.1152949918330832</v>
      </c>
      <c r="Z148">
        <v>17.819452340999721</v>
      </c>
      <c r="AB148">
        <v>33.000425817909949</v>
      </c>
      <c r="AD148">
        <v>0.39245532263839406</v>
      </c>
      <c r="AE148">
        <v>6.8819270233204684</v>
      </c>
      <c r="AF148">
        <v>9.6285354219902537</v>
      </c>
      <c r="AG148">
        <v>18.713282014552998</v>
      </c>
      <c r="AI148">
        <v>1.8471027226169627</v>
      </c>
      <c r="AK148">
        <v>20.774092244787308</v>
      </c>
    </row>
    <row r="149" spans="1:37" x14ac:dyDescent="0.2">
      <c r="A149">
        <v>148</v>
      </c>
      <c r="B149">
        <v>764</v>
      </c>
      <c r="C149">
        <v>100</v>
      </c>
      <c r="D149">
        <v>0.49342959070530001</v>
      </c>
      <c r="E149">
        <v>103.27414795070273</v>
      </c>
      <c r="F149">
        <v>56.906778408324307</v>
      </c>
      <c r="G149">
        <v>71.420420014123096</v>
      </c>
      <c r="H149">
        <v>66.830318596492646</v>
      </c>
      <c r="J149">
        <v>16.693568446754213</v>
      </c>
      <c r="L149">
        <v>1.5735425877044873</v>
      </c>
      <c r="M149">
        <v>9.5945078048080426</v>
      </c>
      <c r="N149">
        <v>1.9218576582992379</v>
      </c>
      <c r="O149">
        <v>10.298155666612233</v>
      </c>
      <c r="P149">
        <v>9.3076894508586125</v>
      </c>
      <c r="R149">
        <v>7.8495751309419814</v>
      </c>
      <c r="S149">
        <v>39.985263040937966</v>
      </c>
      <c r="U149">
        <v>4.7065794035341852</v>
      </c>
      <c r="V149">
        <v>52.094254310510159</v>
      </c>
      <c r="W149">
        <v>23.723613574108857</v>
      </c>
      <c r="X149">
        <v>44.783568565055447</v>
      </c>
      <c r="Y149">
        <v>3.0852444156292793</v>
      </c>
      <c r="Z149">
        <v>17.429111698361115</v>
      </c>
      <c r="AB149">
        <v>33.148505874612901</v>
      </c>
      <c r="AD149">
        <v>0.18279747672654909</v>
      </c>
      <c r="AE149">
        <v>6.6415374048790055</v>
      </c>
      <c r="AF149">
        <v>9.1746640269685695</v>
      </c>
      <c r="AG149">
        <v>18.831844289632077</v>
      </c>
      <c r="AI149">
        <v>1.8505527796055818</v>
      </c>
      <c r="AK149">
        <v>20.263123443825343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B2756-4B0A-421B-A145-0A6FCA36CD96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3.332031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76.77</v>
      </c>
      <c r="D2" t="s">
        <v>22</v>
      </c>
      <c r="E2">
        <v>700</v>
      </c>
      <c r="G2" t="s">
        <v>31</v>
      </c>
      <c r="H2" t="s">
        <v>33</v>
      </c>
    </row>
    <row r="3" spans="1:8" x14ac:dyDescent="0.2">
      <c r="A3" t="s">
        <v>3</v>
      </c>
      <c r="B3">
        <v>9.6000000000000002E-2</v>
      </c>
      <c r="D3" t="s">
        <v>23</v>
      </c>
      <c r="E3">
        <v>2</v>
      </c>
    </row>
    <row r="4" spans="1:8" x14ac:dyDescent="0.2">
      <c r="A4" t="s">
        <v>4</v>
      </c>
      <c r="B4">
        <v>12.96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0.83</v>
      </c>
      <c r="D7" t="s">
        <v>26</v>
      </c>
      <c r="E7">
        <v>25</v>
      </c>
    </row>
    <row r="8" spans="1:8" x14ac:dyDescent="0.2">
      <c r="A8" t="s">
        <v>8</v>
      </c>
      <c r="B8">
        <v>2.7E-2</v>
      </c>
    </row>
    <row r="9" spans="1:8" x14ac:dyDescent="0.2">
      <c r="A9" t="s">
        <v>9</v>
      </c>
      <c r="B9">
        <v>0.12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0.79</v>
      </c>
    </row>
    <row r="13" spans="1:8" x14ac:dyDescent="0.2">
      <c r="A13" t="s">
        <v>13</v>
      </c>
      <c r="B13">
        <v>3.55</v>
      </c>
    </row>
    <row r="14" spans="1:8" x14ac:dyDescent="0.2">
      <c r="A14" t="s">
        <v>14</v>
      </c>
      <c r="B14">
        <v>4.6900000000000004</v>
      </c>
    </row>
    <row r="15" spans="1:8" x14ac:dyDescent="0.2">
      <c r="A15" t="s">
        <v>15</v>
      </c>
      <c r="B15">
        <v>0.04</v>
      </c>
    </row>
    <row r="16" spans="1:8" x14ac:dyDescent="0.2">
      <c r="A16" t="s">
        <v>16</v>
      </c>
      <c r="B16">
        <v>10.986030000000001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2025-06-09T21:37:34Z</dcterms:created>
  <dcterms:modified xsi:type="dcterms:W3CDTF">2025-06-09T21:38:52Z</dcterms:modified>
</cp:coreProperties>
</file>