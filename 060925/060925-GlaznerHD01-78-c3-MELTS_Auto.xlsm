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43A6A02C-F869-44F6-B350-B9D954F6D426}" xr6:coauthVersionLast="47" xr6:coauthVersionMax="47" xr10:uidLastSave="{00000000-0000-0000-0000-000000000000}"/>
  <bookViews>
    <workbookView xWindow="28680" yWindow="4920" windowWidth="29040" windowHeight="15720" activeTab="1" xr2:uid="{E38874B5-B688-4D79-B798-45C832A2F358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K1" i="17"/>
  <c r="L1" i="17"/>
  <c r="B1" i="17"/>
  <c r="C2" i="13"/>
  <c r="E3" i="13"/>
  <c r="G4" i="13"/>
  <c r="I5" i="13"/>
  <c r="K6" i="13"/>
  <c r="C8" i="13"/>
  <c r="E9" i="13"/>
  <c r="G10" i="13"/>
  <c r="J5" i="13"/>
  <c r="D8" i="13"/>
  <c r="H10" i="13"/>
  <c r="E8" i="13"/>
  <c r="F2" i="13"/>
  <c r="L5" i="13"/>
  <c r="H9" i="13"/>
  <c r="C6" i="13"/>
  <c r="H2" i="13"/>
  <c r="J9" i="13"/>
  <c r="C5" i="13"/>
  <c r="J2" i="13"/>
  <c r="H7" i="13"/>
  <c r="C4" i="13"/>
  <c r="D4" i="13"/>
  <c r="L8" i="13"/>
  <c r="I6" i="13"/>
  <c r="F4" i="13"/>
  <c r="D9" i="13"/>
  <c r="D2" i="13"/>
  <c r="F3" i="13"/>
  <c r="H4" i="13"/>
  <c r="L6" i="13"/>
  <c r="F9" i="13"/>
  <c r="I10" i="13"/>
  <c r="J4" i="13"/>
  <c r="F8" i="13"/>
  <c r="I3" i="13"/>
  <c r="G8" i="13"/>
  <c r="L4" i="13"/>
  <c r="L10" i="13"/>
  <c r="E6" i="13"/>
  <c r="K9" i="13"/>
  <c r="F6" i="13"/>
  <c r="L9" i="13"/>
  <c r="G6" i="13"/>
  <c r="C10" i="13"/>
  <c r="J7" i="13"/>
  <c r="G5" i="13"/>
  <c r="E10" i="13"/>
  <c r="L7" i="13"/>
  <c r="E2" i="13"/>
  <c r="G3" i="13"/>
  <c r="I4" i="13"/>
  <c r="K5" i="13"/>
  <c r="C7" i="13"/>
  <c r="G9" i="13"/>
  <c r="H3" i="13"/>
  <c r="D7" i="13"/>
  <c r="J10" i="13"/>
  <c r="E7" i="13"/>
  <c r="I9" i="13"/>
  <c r="J3" i="13"/>
  <c r="H8" i="13"/>
  <c r="K3" i="13"/>
  <c r="I8" i="13"/>
  <c r="D5" i="13"/>
  <c r="J8" i="13"/>
  <c r="E5" i="13"/>
  <c r="K8" i="13"/>
  <c r="H6" i="13"/>
  <c r="E4" i="13"/>
  <c r="C9" i="13"/>
  <c r="J6" i="13"/>
  <c r="F10" i="13"/>
  <c r="D6" i="13"/>
  <c r="G2" i="13"/>
  <c r="K4" i="13"/>
  <c r="K10" i="13"/>
  <c r="F7" i="13"/>
  <c r="I2" i="13"/>
  <c r="G7" i="13"/>
  <c r="K2" i="13"/>
  <c r="I7" i="13"/>
  <c r="F5" i="13"/>
  <c r="D10" i="13"/>
  <c r="K7" i="13"/>
  <c r="H5" i="13"/>
  <c r="D3" i="13"/>
  <c r="L2" i="13"/>
  <c r="C3" i="13"/>
  <c r="B10" i="13"/>
  <c r="B9" i="13"/>
  <c r="B8" i="13"/>
  <c r="B7" i="13"/>
  <c r="B6" i="13"/>
  <c r="B5" i="13"/>
  <c r="B4" i="13"/>
  <c r="B3" i="13"/>
  <c r="B2" i="13"/>
  <c r="K4" i="17" l="1"/>
  <c r="I4" i="17"/>
  <c r="G4" i="17"/>
  <c r="F4" i="17"/>
  <c r="D3" i="17"/>
  <c r="J3" i="17"/>
  <c r="H3" i="17"/>
  <c r="K2" i="17"/>
  <c r="J2" i="17"/>
  <c r="I2" i="17"/>
  <c r="H2" i="17"/>
  <c r="E4" i="17"/>
  <c r="D4" i="17"/>
  <c r="C4" i="17"/>
  <c r="L4" i="17"/>
  <c r="J4" i="17"/>
  <c r="G3" i="17"/>
  <c r="F3" i="17"/>
  <c r="E3" i="17"/>
  <c r="G2" i="17"/>
  <c r="F2" i="17"/>
  <c r="L3" i="17"/>
  <c r="I3" i="17"/>
  <c r="L2" i="17"/>
  <c r="H4" i="17"/>
  <c r="C3" i="17"/>
  <c r="E2" i="17"/>
  <c r="D2" i="17"/>
  <c r="C2" i="17"/>
  <c r="K3" i="17"/>
  <c r="B4" i="17"/>
  <c r="B3" i="17"/>
  <c r="B2" i="17"/>
  <c r="J6" i="17" l="1"/>
  <c r="J7" i="17"/>
  <c r="F6" i="17"/>
  <c r="F7" i="17"/>
  <c r="L6" i="17"/>
  <c r="L7" i="17"/>
  <c r="K6" i="17"/>
  <c r="K7" i="17"/>
  <c r="H7" i="17"/>
  <c r="H6" i="17"/>
  <c r="D7" i="17"/>
  <c r="D6" i="17"/>
  <c r="E7" i="17"/>
  <c r="E6" i="17"/>
  <c r="G7" i="17"/>
  <c r="G6" i="17"/>
  <c r="C7" i="17"/>
  <c r="C6" i="17"/>
  <c r="I6" i="17"/>
  <c r="I7" i="17"/>
  <c r="B6" i="17"/>
  <c r="B7" i="17"/>
  <c r="N6" i="17" l="1"/>
  <c r="B13" i="17" s="1"/>
  <c r="N7" i="17"/>
  <c r="O6" i="17"/>
  <c r="P6" i="17"/>
  <c r="R6" i="17" s="1" a="1"/>
  <c r="O7" i="17" l="1"/>
  <c r="P7" i="17"/>
  <c r="T6" i="17"/>
  <c r="R6" i="17"/>
  <c r="S6" i="17"/>
  <c r="B9" i="17"/>
  <c r="R7" i="17" a="1"/>
  <c r="R7" i="17" l="1"/>
  <c r="C9" i="17"/>
  <c r="D9" i="17"/>
  <c r="E9" i="17"/>
  <c r="F9" i="17"/>
  <c r="I9" i="17"/>
  <c r="G9" i="17"/>
  <c r="J9" i="17"/>
  <c r="L9" i="17"/>
  <c r="H9" i="17"/>
  <c r="K9" i="17"/>
  <c r="C13" i="17"/>
  <c r="T7" i="17"/>
  <c r="S7" i="17"/>
  <c r="B10" i="17"/>
  <c r="E10" i="17" l="1"/>
  <c r="F10" i="17"/>
  <c r="L10" i="17"/>
  <c r="D10" i="17"/>
  <c r="G10" i="17"/>
  <c r="H10" i="17"/>
  <c r="I10" i="17"/>
  <c r="J10" i="17"/>
  <c r="K10" i="17"/>
  <c r="C10" i="17"/>
  <c r="B14" i="17"/>
  <c r="C14" i="17" s="1"/>
</calcChain>
</file>

<file path=xl/sharedStrings.xml><?xml version="1.0" encoding="utf-8"?>
<sst xmlns="http://schemas.openxmlformats.org/spreadsheetml/2006/main" count="665" uniqueCount="150">
  <si>
    <t xml:space="preserve"> </t>
  </si>
  <si>
    <t>060925-GlaznerHD01-78-c3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</si>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</sst>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Phase_Data!$B$2:$L$2</c:f>
              <c:numCache>
                <c:formatCode>General</c:formatCode>
                <c:ptCount val="11"/>
                <c:pt idx="0">
                  <c:v>760</c:v>
                </c:pt>
                <c:pt idx="1">
                  <c:v>760</c:v>
                </c:pt>
                <c:pt idx="2">
                  <c:v>760</c:v>
                </c:pt>
                <c:pt idx="3">
                  <c:v>760</c:v>
                </c:pt>
                <c:pt idx="4">
                  <c:v>760</c:v>
                </c:pt>
                <c:pt idx="5">
                  <c:v>760</c:v>
                </c:pt>
                <c:pt idx="6">
                  <c:v>764</c:v>
                </c:pt>
                <c:pt idx="7">
                  <c:v>772</c:v>
                </c:pt>
                <c:pt idx="8">
                  <c:v>782</c:v>
                </c:pt>
                <c:pt idx="9">
                  <c:v>792</c:v>
                </c:pt>
                <c:pt idx="10">
                  <c:v>806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2F-4C5D-8C34-C5790DA57A9C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Phase_Data!$B$3:$L$3</c:f>
              <c:numCache>
                <c:formatCode>General</c:formatCode>
                <c:ptCount val="11"/>
                <c:pt idx="0">
                  <c:v>732</c:v>
                </c:pt>
                <c:pt idx="1">
                  <c:v>736</c:v>
                </c:pt>
                <c:pt idx="2">
                  <c:v>738</c:v>
                </c:pt>
                <c:pt idx="3">
                  <c:v>740</c:v>
                </c:pt>
                <c:pt idx="4">
                  <c:v>742</c:v>
                </c:pt>
                <c:pt idx="5">
                  <c:v>744</c:v>
                </c:pt>
                <c:pt idx="6">
                  <c:v>748</c:v>
                </c:pt>
                <c:pt idx="7">
                  <c:v>750</c:v>
                </c:pt>
                <c:pt idx="8">
                  <c:v>754</c:v>
                </c:pt>
                <c:pt idx="9">
                  <c:v>756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2F-4C5D-8C34-C5790DA57A9C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Phase_Data!$B$4:$L$4</c:f>
              <c:numCache>
                <c:formatCode>General</c:formatCode>
                <c:ptCount val="11"/>
                <c:pt idx="0">
                  <c:v>734</c:v>
                </c:pt>
                <c:pt idx="1">
                  <c:v>736</c:v>
                </c:pt>
                <c:pt idx="2">
                  <c:v>740</c:v>
                </c:pt>
                <c:pt idx="3">
                  <c:v>744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760</c:v>
                </c:pt>
                <c:pt idx="8">
                  <c:v>766</c:v>
                </c:pt>
                <c:pt idx="9">
                  <c:v>772</c:v>
                </c:pt>
                <c:pt idx="10">
                  <c:v>782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2F-4C5D-8C34-C5790DA57A9C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Phase_Data!$B$5:$L$5</c:f>
              <c:numCache>
                <c:formatCode>General</c:formatCode>
                <c:ptCount val="11"/>
                <c:pt idx="0">
                  <c:v>734</c:v>
                </c:pt>
                <c:pt idx="1">
                  <c:v>736</c:v>
                </c:pt>
                <c:pt idx="2">
                  <c:v>740</c:v>
                </c:pt>
                <c:pt idx="3">
                  <c:v>744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758</c:v>
                </c:pt>
                <c:pt idx="8">
                  <c:v>764</c:v>
                </c:pt>
                <c:pt idx="9">
                  <c:v>772</c:v>
                </c:pt>
                <c:pt idx="10">
                  <c:v>780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2F-4C5D-8C34-C5790DA57A9C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Phase_Data!$B$6:$L$6</c:f>
              <c:numCache>
                <c:formatCode>General</c:formatCode>
                <c:ptCount val="11"/>
                <c:pt idx="0">
                  <c:v>736</c:v>
                </c:pt>
                <c:pt idx="1">
                  <c:v>736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780</c:v>
                </c:pt>
                <c:pt idx="9">
                  <c:v>790</c:v>
                </c:pt>
                <c:pt idx="10">
                  <c:v>804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C2F-4C5D-8C34-C5790DA57A9C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Phase_Data!$B$7:$L$7</c:f>
              <c:numCache>
                <c:formatCode>General</c:formatCode>
                <c:ptCount val="11"/>
                <c:pt idx="0">
                  <c:v>734</c:v>
                </c:pt>
                <c:pt idx="1">
                  <c:v>736</c:v>
                </c:pt>
                <c:pt idx="2">
                  <c:v>740</c:v>
                </c:pt>
                <c:pt idx="3">
                  <c:v>744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760</c:v>
                </c:pt>
                <c:pt idx="8">
                  <c:v>766</c:v>
                </c:pt>
                <c:pt idx="9">
                  <c:v>772</c:v>
                </c:pt>
                <c:pt idx="10">
                  <c:v>782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2F-4C5D-8C34-C5790DA57A9C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Phase_Data!$B$8:$L$8</c:f>
              <c:numCache>
                <c:formatCode>General</c:formatCode>
                <c:ptCount val="11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760</c:v>
                </c:pt>
                <c:pt idx="7">
                  <c:v>766</c:v>
                </c:pt>
                <c:pt idx="8">
                  <c:v>772</c:v>
                </c:pt>
                <c:pt idx="9">
                  <c:v>780</c:v>
                </c:pt>
                <c:pt idx="10">
                  <c:v>790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C2F-4C5D-8C34-C5790DA57A9C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Phase_Data!$B$9:$L$9</c:f>
              <c:numCache>
                <c:formatCode>General</c:formatCode>
                <c:ptCount val="11"/>
                <c:pt idx="0">
                  <c:v>760</c:v>
                </c:pt>
                <c:pt idx="1">
                  <c:v>760</c:v>
                </c:pt>
                <c:pt idx="2">
                  <c:v>760</c:v>
                </c:pt>
                <c:pt idx="3">
                  <c:v>760</c:v>
                </c:pt>
                <c:pt idx="4">
                  <c:v>760</c:v>
                </c:pt>
                <c:pt idx="5">
                  <c:v>760</c:v>
                </c:pt>
                <c:pt idx="6">
                  <c:v>764</c:v>
                </c:pt>
                <c:pt idx="7">
                  <c:v>772</c:v>
                </c:pt>
                <c:pt idx="8">
                  <c:v>782</c:v>
                </c:pt>
                <c:pt idx="9">
                  <c:v>792</c:v>
                </c:pt>
                <c:pt idx="10">
                  <c:v>806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C2F-4C5D-8C34-C5790DA57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359967"/>
        <c:axId val="80391295"/>
      </c:scatterChart>
      <c:valAx>
        <c:axId val="4603599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80391295"/>
        <c:crosses val="autoZero"/>
        <c:crossBetween val="midCat"/>
      </c:valAx>
      <c:valAx>
        <c:axId val="80391295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460359967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P_Calc!$B$2:$L$2</c:f>
              <c:numCache>
                <c:formatCode>General</c:formatCode>
                <c:ptCount val="11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760</c:v>
                </c:pt>
                <c:pt idx="7">
                  <c:v>766</c:v>
                </c:pt>
                <c:pt idx="8">
                  <c:v>772</c:v>
                </c:pt>
                <c:pt idx="9">
                  <c:v>780</c:v>
                </c:pt>
                <c:pt idx="10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E-4AC0-BD0C-0CEBC9403A9D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P_Calc!$B$3:$L$3</c:f>
              <c:numCache>
                <c:formatCode>General</c:formatCode>
                <c:ptCount val="11"/>
                <c:pt idx="0">
                  <c:v>736</c:v>
                </c:pt>
                <c:pt idx="1">
                  <c:v>736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780</c:v>
                </c:pt>
                <c:pt idx="9">
                  <c:v>790</c:v>
                </c:pt>
                <c:pt idx="10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1E-4AC0-BD0C-0CEBC9403A9D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P_Calc!$B$4:$L$4</c:f>
              <c:numCache>
                <c:formatCode>General</c:formatCode>
                <c:ptCount val="11"/>
                <c:pt idx="0">
                  <c:v>734</c:v>
                </c:pt>
                <c:pt idx="1">
                  <c:v>736</c:v>
                </c:pt>
                <c:pt idx="2">
                  <c:v>740</c:v>
                </c:pt>
                <c:pt idx="3">
                  <c:v>744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760</c:v>
                </c:pt>
                <c:pt idx="8">
                  <c:v>766</c:v>
                </c:pt>
                <c:pt idx="9">
                  <c:v>772</c:v>
                </c:pt>
                <c:pt idx="10">
                  <c:v>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1E-4AC0-BD0C-0CEBC9403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306351"/>
        <c:axId val="460359967"/>
      </c:scatterChart>
      <c:valAx>
        <c:axId val="186130635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60359967"/>
        <c:crosses val="autoZero"/>
        <c:crossBetween val="midCat"/>
      </c:valAx>
      <c:valAx>
        <c:axId val="46035996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86130635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P_Calc!$B$2:$L$2</c:f>
              <c:numCache>
                <c:formatCode>General</c:formatCode>
                <c:ptCount val="11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760</c:v>
                </c:pt>
                <c:pt idx="7">
                  <c:v>766</c:v>
                </c:pt>
                <c:pt idx="8">
                  <c:v>772</c:v>
                </c:pt>
                <c:pt idx="9">
                  <c:v>780</c:v>
                </c:pt>
                <c:pt idx="10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7F-45CD-BEFA-A34B65432C3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P_Calc!$B$3:$L$3</c:f>
              <c:numCache>
                <c:formatCode>General</c:formatCode>
                <c:ptCount val="11"/>
                <c:pt idx="0">
                  <c:v>736</c:v>
                </c:pt>
                <c:pt idx="1">
                  <c:v>736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780</c:v>
                </c:pt>
                <c:pt idx="9">
                  <c:v>790</c:v>
                </c:pt>
                <c:pt idx="10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7F-45CD-BEFA-A34B65432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320719"/>
        <c:axId val="462321199"/>
      </c:scatterChart>
      <c:valAx>
        <c:axId val="46232071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62321199"/>
        <c:crosses val="autoZero"/>
        <c:crossBetween val="midCat"/>
      </c:valAx>
      <c:valAx>
        <c:axId val="46232119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6232071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P_Calc!$B$6:$L$6</c:f>
              <c:numCache>
                <c:formatCode>General</c:formatCode>
                <c:ptCount val="11"/>
                <c:pt idx="0">
                  <c:v>24</c:v>
                </c:pt>
                <c:pt idx="1">
                  <c:v>22</c:v>
                </c:pt>
                <c:pt idx="2">
                  <c:v>18</c:v>
                </c:pt>
                <c:pt idx="3">
                  <c:v>14</c:v>
                </c:pt>
                <c:pt idx="4">
                  <c:v>12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14</c:v>
                </c:pt>
                <c:pt idx="9">
                  <c:v>18</c:v>
                </c:pt>
                <c:pt idx="10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3-42D9-AC6E-D1E2A61FE460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P_Calc!$B$9:$L$9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13-42D9-AC6E-D1E2A61FE460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13-42D9-AC6E-D1E2A61FE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64559"/>
        <c:axId val="671665039"/>
      </c:scatterChart>
      <c:valAx>
        <c:axId val="67166455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1665039"/>
        <c:crosses val="autoZero"/>
        <c:crossBetween val="midCat"/>
      </c:valAx>
      <c:valAx>
        <c:axId val="67166503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166455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P_Calc!$B$7:$L$7</c:f>
              <c:numCache>
                <c:formatCode>General</c:formatCode>
                <c:ptCount val="11"/>
                <c:pt idx="0">
                  <c:v>22</c:v>
                </c:pt>
                <c:pt idx="1">
                  <c:v>22</c:v>
                </c:pt>
                <c:pt idx="2">
                  <c:v>16</c:v>
                </c:pt>
                <c:pt idx="3">
                  <c:v>12</c:v>
                </c:pt>
                <c:pt idx="4">
                  <c:v>8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8</c:v>
                </c:pt>
                <c:pt idx="9">
                  <c:v>10</c:v>
                </c:pt>
                <c:pt idx="1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B-48A7-AF3A-781492145737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P_Calc!$B$10:$L$10</c:f>
              <c:numCache>
                <c:formatCode>General</c:formatCode>
                <c:ptCount val="11"/>
                <c:pt idx="0">
                  <c:v>46.171428571411809</c:v>
                </c:pt>
                <c:pt idx="1">
                  <c:v>32.399999999984999</c:v>
                </c:pt>
                <c:pt idx="2">
                  <c:v>21.199999999986403</c:v>
                </c:pt>
                <c:pt idx="3">
                  <c:v>12.571428571416021</c:v>
                </c:pt>
                <c:pt idx="4">
                  <c:v>6.5142857142738819</c:v>
                </c:pt>
                <c:pt idx="5">
                  <c:v>3.0285714285599568</c:v>
                </c:pt>
                <c:pt idx="6">
                  <c:v>2.1142857142742457</c:v>
                </c:pt>
                <c:pt idx="7">
                  <c:v>3.7714285714167772</c:v>
                </c:pt>
                <c:pt idx="8">
                  <c:v>7.9999999999875229</c:v>
                </c:pt>
                <c:pt idx="9">
                  <c:v>14.799999999986511</c:v>
                </c:pt>
                <c:pt idx="10">
                  <c:v>24.171428571413713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CB-48A7-AF3A-781492145737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182.88888888888806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2.0874603174488726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CB-48A7-AF3A-781492145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618655"/>
        <c:axId val="673619135"/>
      </c:scatterChart>
      <c:valAx>
        <c:axId val="67361865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3619135"/>
        <c:crosses val="autoZero"/>
        <c:crossBetween val="midCat"/>
      </c:valAx>
      <c:valAx>
        <c:axId val="673619135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361865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E7D0F99-7D67-4060-83DC-46613BC216A8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5BC3D2-4454-C072-5D90-D77A724EFFB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C739BA-8A90-E03A-0968-3512D91BF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8F959F-37D5-38F7-BC8B-3C92FED361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F47D87-2321-9003-90A4-6A9F50B121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638E98-D9A7-C3DB-64D1-7A63135BD1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46EE-DE3A-4665-BD32-9195375EA814}">
  <dimension ref="A1:T14"/>
  <sheetViews>
    <sheetView tabSelected="1" workbookViewId="0"/>
  </sheetViews>
  <sheetFormatPr defaultRowHeight="15" x14ac:dyDescent="0.2"/>
  <sheetData>
    <row r="1" spans="1:20" x14ac:dyDescent="0.2">
      <c r="A1" t="s">
        <v>135</v>
      </c>
      <c r="B1">
        <f>Phase_Data!B1</f>
        <v>300</v>
      </c>
      <c r="C1">
        <f>Phase_Data!C1</f>
        <v>280</v>
      </c>
      <c r="D1">
        <f>Phase_Data!D1</f>
        <v>260</v>
      </c>
      <c r="E1">
        <f>Phase_Data!E1</f>
        <v>240</v>
      </c>
      <c r="F1">
        <f>Phase_Data!F1</f>
        <v>220</v>
      </c>
      <c r="G1">
        <f>Phase_Data!G1</f>
        <v>200</v>
      </c>
      <c r="H1">
        <f>Phase_Data!H1</f>
        <v>180</v>
      </c>
      <c r="I1">
        <f>Phase_Data!I1</f>
        <v>160</v>
      </c>
      <c r="J1">
        <f>Phase_Data!J1</f>
        <v>140</v>
      </c>
      <c r="K1">
        <f>Phase_Data!K1</f>
        <v>120</v>
      </c>
      <c r="L1">
        <f>Phase_Data!L1</f>
        <v>100</v>
      </c>
      <c r="N1" t="s">
        <v>142</v>
      </c>
      <c r="O1" t="s">
        <v>143</v>
      </c>
      <c r="P1" t="s">
        <v>144</v>
      </c>
      <c r="R1" t="s">
        <v>145</v>
      </c>
      <c r="S1" t="s">
        <v>146</v>
      </c>
      <c r="T1" t="s">
        <v>147</v>
      </c>
    </row>
    <row r="2" spans="1:20" x14ac:dyDescent="0.2">
      <c r="A2" t="s">
        <v>96</v>
      </c>
      <c r="B2">
        <f ca="1">IFERROR(VLOOKUP($A2,Phase_Data!$1:$1048576,COLUMN(),0),"-")</f>
        <v>758</v>
      </c>
      <c r="C2">
        <f ca="1">IFERROR(VLOOKUP($A2,Phase_Data!$1:$1048576,COLUMN(),0),"-")</f>
        <v>758</v>
      </c>
      <c r="D2">
        <f ca="1">IFERROR(VLOOKUP($A2,Phase_Data!$1:$1048576,COLUMN(),0),"-")</f>
        <v>758</v>
      </c>
      <c r="E2">
        <f ca="1">IFERROR(VLOOKUP($A2,Phase_Data!$1:$1048576,COLUMN(),0),"-")</f>
        <v>758</v>
      </c>
      <c r="F2">
        <f ca="1">IFERROR(VLOOKUP($A2,Phase_Data!$1:$1048576,COLUMN(),0),"-")</f>
        <v>758</v>
      </c>
      <c r="G2">
        <f ca="1">IFERROR(VLOOKUP($A2,Phase_Data!$1:$1048576,COLUMN(),0),"-")</f>
        <v>758</v>
      </c>
      <c r="H2">
        <f ca="1">IFERROR(VLOOKUP($A2,Phase_Data!$1:$1048576,COLUMN(),0),"-")</f>
        <v>760</v>
      </c>
      <c r="I2">
        <f ca="1">IFERROR(VLOOKUP($A2,Phase_Data!$1:$1048576,COLUMN(),0),"-")</f>
        <v>766</v>
      </c>
      <c r="J2">
        <f ca="1">IFERROR(VLOOKUP($A2,Phase_Data!$1:$1048576,COLUMN(),0),"-")</f>
        <v>772</v>
      </c>
      <c r="K2">
        <f ca="1">IFERROR(VLOOKUP($A2,Phase_Data!$1:$1048576,COLUMN(),0),"-")</f>
        <v>780</v>
      </c>
      <c r="L2">
        <f ca="1">IFERROR(VLOOKUP($A2,Phase_Data!$1:$1048576,COLUMN(),0),"-")</f>
        <v>790</v>
      </c>
    </row>
    <row r="3" spans="1:20" x14ac:dyDescent="0.2">
      <c r="A3" t="s">
        <v>133</v>
      </c>
      <c r="B3">
        <f ca="1">IFERROR(VLOOKUP($A3,Phase_Data!$1:$1048576,COLUMN(),0),"-")</f>
        <v>736</v>
      </c>
      <c r="C3">
        <f ca="1">IFERROR(VLOOKUP($A3,Phase_Data!$1:$1048576,COLUMN(),0),"-")</f>
        <v>736</v>
      </c>
      <c r="D3">
        <f ca="1">IFERROR(VLOOKUP($A3,Phase_Data!$1:$1048576,COLUMN(),0),"-")</f>
        <v>742</v>
      </c>
      <c r="E3">
        <f ca="1">IFERROR(VLOOKUP($A3,Phase_Data!$1:$1048576,COLUMN(),0),"-")</f>
        <v>746</v>
      </c>
      <c r="F3">
        <f ca="1">IFERROR(VLOOKUP($A3,Phase_Data!$1:$1048576,COLUMN(),0),"-")</f>
        <v>750</v>
      </c>
      <c r="G3">
        <f ca="1">IFERROR(VLOOKUP($A3,Phase_Data!$1:$1048576,COLUMN(),0),"-")</f>
        <v>756</v>
      </c>
      <c r="H3">
        <f ca="1">IFERROR(VLOOKUP($A3,Phase_Data!$1:$1048576,COLUMN(),0),"-")</f>
        <v>762</v>
      </c>
      <c r="I3">
        <f ca="1">IFERROR(VLOOKUP($A3,Phase_Data!$1:$1048576,COLUMN(),0),"-")</f>
        <v>770</v>
      </c>
      <c r="J3">
        <f ca="1">IFERROR(VLOOKUP($A3,Phase_Data!$1:$1048576,COLUMN(),0),"-")</f>
        <v>780</v>
      </c>
      <c r="K3">
        <f ca="1">IFERROR(VLOOKUP($A3,Phase_Data!$1:$1048576,COLUMN(),0),"-")</f>
        <v>790</v>
      </c>
      <c r="L3">
        <f ca="1">IFERROR(VLOOKUP($A3,Phase_Data!$1:$1048576,COLUMN(),0),"-")</f>
        <v>804</v>
      </c>
    </row>
    <row r="4" spans="1:20" x14ac:dyDescent="0.2">
      <c r="A4" t="s">
        <v>134</v>
      </c>
      <c r="B4">
        <f ca="1">IFERROR(VLOOKUP($A4,Phase_Data!$1:$1048576,COLUMN(),0),"-")</f>
        <v>734</v>
      </c>
      <c r="C4">
        <f ca="1">IFERROR(VLOOKUP($A4,Phase_Data!$1:$1048576,COLUMN(),0),"-")</f>
        <v>736</v>
      </c>
      <c r="D4">
        <f ca="1">IFERROR(VLOOKUP($A4,Phase_Data!$1:$1048576,COLUMN(),0),"-")</f>
        <v>740</v>
      </c>
      <c r="E4">
        <f ca="1">IFERROR(VLOOKUP($A4,Phase_Data!$1:$1048576,COLUMN(),0),"-")</f>
        <v>744</v>
      </c>
      <c r="F4">
        <f ca="1">IFERROR(VLOOKUP($A4,Phase_Data!$1:$1048576,COLUMN(),0),"-")</f>
        <v>746</v>
      </c>
      <c r="G4">
        <f ca="1">IFERROR(VLOOKUP($A4,Phase_Data!$1:$1048576,COLUMN(),0),"-")</f>
        <v>750</v>
      </c>
      <c r="H4">
        <f ca="1">IFERROR(VLOOKUP($A4,Phase_Data!$1:$1048576,COLUMN(),0),"-")</f>
        <v>754</v>
      </c>
      <c r="I4">
        <f ca="1">IFERROR(VLOOKUP($A4,Phase_Data!$1:$1048576,COLUMN(),0),"-")</f>
        <v>760</v>
      </c>
      <c r="J4">
        <f ca="1">IFERROR(VLOOKUP($A4,Phase_Data!$1:$1048576,COLUMN(),0),"-")</f>
        <v>766</v>
      </c>
      <c r="K4">
        <f ca="1">IFERROR(VLOOKUP($A4,Phase_Data!$1:$1048576,COLUMN(),0),"-")</f>
        <v>772</v>
      </c>
      <c r="L4">
        <f ca="1">IFERROR(VLOOKUP($A4,Phase_Data!$1:$1048576,COLUMN(),0),"-")</f>
        <v>782</v>
      </c>
    </row>
    <row r="6" spans="1:20" x14ac:dyDescent="0.2">
      <c r="A6" t="s">
        <v>136</v>
      </c>
      <c r="B6">
        <f ca="1">IF(AND(B2&lt;&gt;0,B3&lt;&gt;0,B4&lt;&gt;0),MAX(B2:B4)-MIN(B2:B4),"-")</f>
        <v>24</v>
      </c>
      <c r="C6">
        <f t="shared" ref="C6:L6" ca="1" si="0">IF(AND(C2&lt;&gt;0,C3&lt;&gt;0,C4&lt;&gt;0),MAX(C2:C4)-MIN(C2:C4),"-")</f>
        <v>22</v>
      </c>
      <c r="D6">
        <f t="shared" ca="1" si="0"/>
        <v>18</v>
      </c>
      <c r="E6">
        <f t="shared" ca="1" si="0"/>
        <v>14</v>
      </c>
      <c r="F6">
        <f t="shared" ca="1" si="0"/>
        <v>12</v>
      </c>
      <c r="G6">
        <f t="shared" ca="1" si="0"/>
        <v>8</v>
      </c>
      <c r="H6">
        <f t="shared" ca="1" si="0"/>
        <v>8</v>
      </c>
      <c r="I6">
        <f t="shared" ca="1" si="0"/>
        <v>10</v>
      </c>
      <c r="J6">
        <f t="shared" ca="1" si="0"/>
        <v>14</v>
      </c>
      <c r="K6">
        <f t="shared" ca="1" si="0"/>
        <v>18</v>
      </c>
      <c r="L6">
        <f t="shared" ca="1" si="0"/>
        <v>22</v>
      </c>
      <c r="N6">
        <f ca="1">MIN(B6:L6)</f>
        <v>8</v>
      </c>
      <c r="O6" t="str">
        <f ca="1">IF(N6&lt;=5,INDEX(B$1:L$1,1,MATCH(N6,B6:L6,0)),"-")</f>
        <v>-</v>
      </c>
      <c r="P6" t="str">
        <f ca="1">IF(N6&lt;=5,MATCH(N6,B6:L6,0),"-")</f>
        <v>-</v>
      </c>
      <c r="R6" t="str">
        <f t="array" aca="1" ref="R6:T6" ca="1">IF(P6="-","-",TRANSPOSE(MMULT(MINVERSE(MMULT(TRANSPOSE(generate_matrix(TRANSPOSE(INDEX(B$1:L$1,1,MAX(P6-2,1)):INDEX(B$1:L$1,1,MIN(P6+2,COUNT(B$1:L$1)))))),generate_matrix(TRANSPOSE(INDEX(B$1:L$1,1,MAX(P6-2,1)):INDEX(B$1:L$1,1,MIN(P6+2,COUNT(B$1:L$1))))))),MMULT(TRANSPOSE(generate_matrix(TRANSPOSE(INDEX(B$1:L$1,1,MAX(P6-2,1)):INDEX(B$1:L$1,1,MIN(P6+2,COUNT(B$1:L$1)))))),TRANSPOSE(INDEX(B6:L6,1,MAX(P6-2,1)):INDEX(B6:L6,1,MIN(P6+2,COUNT(B$1:L$1))))))))</f>
        <v>-</v>
      </c>
      <c r="S6" t="str">
        <f ca="1"/>
        <v>-</v>
      </c>
      <c r="T6" t="str">
        <f ca="1"/>
        <v>-</v>
      </c>
    </row>
    <row r="7" spans="1:20" x14ac:dyDescent="0.2">
      <c r="A7" t="s">
        <v>137</v>
      </c>
      <c r="B7">
        <f ca="1">IF(AND(MAX(B2:B4)&lt;&gt;0,LARGE(B2:B4,2)&lt;&gt;0),MAX(B2:B4)-LARGE(B2:B4,2),"-")</f>
        <v>22</v>
      </c>
      <c r="C7">
        <f t="shared" ref="C7:L7" ca="1" si="1">IF(AND(MAX(C2:C4)&lt;&gt;0,LARGE(C2:C4,2)&lt;&gt;0),MAX(C2:C4)-LARGE(C2:C4,2),"-")</f>
        <v>22</v>
      </c>
      <c r="D7">
        <f t="shared" ca="1" si="1"/>
        <v>16</v>
      </c>
      <c r="E7">
        <f t="shared" ca="1" si="1"/>
        <v>12</v>
      </c>
      <c r="F7">
        <f t="shared" ca="1" si="1"/>
        <v>8</v>
      </c>
      <c r="G7">
        <f t="shared" ca="1" si="1"/>
        <v>2</v>
      </c>
      <c r="H7">
        <f t="shared" ca="1" si="1"/>
        <v>2</v>
      </c>
      <c r="I7">
        <f t="shared" ca="1" si="1"/>
        <v>4</v>
      </c>
      <c r="J7">
        <f t="shared" ca="1" si="1"/>
        <v>8</v>
      </c>
      <c r="K7">
        <f t="shared" ca="1" si="1"/>
        <v>10</v>
      </c>
      <c r="L7">
        <f t="shared" ca="1" si="1"/>
        <v>14</v>
      </c>
      <c r="N7">
        <f ca="1">MIN(B7:L7)</f>
        <v>2</v>
      </c>
      <c r="O7">
        <f ca="1">IF(N7&lt;=5,INDEX(B$1:L$1,1,MATCH(N7,B7:L7,0)),"-")</f>
        <v>200</v>
      </c>
      <c r="P7">
        <f ca="1">IF(N7&lt;=5,MATCH(N7,B7:L7,0),"-")</f>
        <v>6</v>
      </c>
      <c r="R7">
        <f t="array" aca="1" ref="R7:T7" ca="1">IF(P7="-","-",TRANSPOSE(MMULT(MINVERSE(MMULT(TRANSPOSE(generate_matrix(TRANSPOSE(INDEX(B$1:L$1,1,MAX(P7-2,1)):INDEX(B$1:L$1,1,MIN(P7+2,COUNT(B$1:L$1)))))),generate_matrix(TRANSPOSE(INDEX(B$1:L$1,1,MAX(P7-2,1)):INDEX(B$1:L$1,1,MIN(P7+2,COUNT(B$1:L$1))))))),MMULT(TRANSPOSE(generate_matrix(TRANSPOSE(INDEX(B$1:L$1,1,MAX(P7-2,1)):INDEX(B$1:L$1,1,MIN(P7+2,COUNT(B$1:L$1)))))),TRANSPOSE(INDEX(B7:L7,1,MAX(P7-2,1)):INDEX(B7:L7,1,MIN(P7+2,COUNT(B$1:L$1))))))))</f>
        <v>109.59999999997308</v>
      </c>
      <c r="S7">
        <f ca="1"/>
        <v>-1.1757142857141218</v>
      </c>
      <c r="T7">
        <f ca="1"/>
        <v>3.214285714285281E-3</v>
      </c>
    </row>
    <row r="9" spans="1:20" x14ac:dyDescent="0.2">
      <c r="A9" t="s">
        <v>138</v>
      </c>
      <c r="B9" t="str">
        <f ca="1">IFERROR(IF($T6&gt;0,$T6*B$1^2+$S6*B$1+$R6,"-"),"-")</f>
        <v>-</v>
      </c>
      <c r="C9" t="str">
        <f ca="1">IFERROR(IF($T6&gt;0,$T6*C$1^2+$S6*C$1+$R6,"-"),"-")</f>
        <v>-</v>
      </c>
      <c r="D9" t="str">
        <f ca="1">IFERROR(IF($T6&gt;0,$T6*D$1^2+$S6*D$1+$R6,"-"),"-")</f>
        <v>-</v>
      </c>
      <c r="E9" t="str">
        <f ca="1">IFERROR(IF($T6&gt;0,$T6*E$1^2+$S6*E$1+$R6,"-"),"-")</f>
        <v>-</v>
      </c>
      <c r="F9" t="str">
        <f ca="1">IFERROR(IF($T6&gt;0,$T6*F$1^2+$S6*F$1+$R6,"-"),"-")</f>
        <v>-</v>
      </c>
      <c r="G9" t="str">
        <f ca="1">IFERROR(IF($T6&gt;0,$T6*G$1^2+$S6*G$1+$R6,"-"),"-")</f>
        <v>-</v>
      </c>
      <c r="H9" t="str">
        <f ca="1">IFERROR(IF($T6&gt;0,$T6*H$1^2+$S6*H$1+$R6,"-"),"-")</f>
        <v>-</v>
      </c>
      <c r="I9" t="str">
        <f ca="1">IFERROR(IF($T6&gt;0,$T6*I$1^2+$S6*I$1+$R6,"-"),"-")</f>
        <v>-</v>
      </c>
      <c r="J9" t="str">
        <f ca="1">IFERROR(IF($T6&gt;0,$T6*J$1^2+$S6*J$1+$R6,"-"),"-")</f>
        <v>-</v>
      </c>
      <c r="K9" t="str">
        <f ca="1">IFERROR(IF($T6&gt;0,$T6*K$1^2+$S6*K$1+$R6,"-"),"-")</f>
        <v>-</v>
      </c>
      <c r="L9" t="str">
        <f ca="1">IFERROR(IF($T6&gt;0,$T6*L$1^2+$S6*L$1+$R6,"-"),"-")</f>
        <v>-</v>
      </c>
    </row>
    <row r="10" spans="1:20" x14ac:dyDescent="0.2">
      <c r="A10" t="s">
        <v>139</v>
      </c>
      <c r="B10">
        <f ca="1">IFERROR(IF($T7&gt;0,$T7*B$1^2+$S7*B$1+$R7,"-"),"-")</f>
        <v>46.171428571411809</v>
      </c>
      <c r="C10">
        <f ca="1">IFERROR(IF($T7&gt;0,$T7*C$1^2+$S7*C$1+$R7,"-"),"-")</f>
        <v>32.399999999984999</v>
      </c>
      <c r="D10">
        <f ca="1">IFERROR(IF($T7&gt;0,$T7*D$1^2+$S7*D$1+$R7,"-"),"-")</f>
        <v>21.199999999986403</v>
      </c>
      <c r="E10">
        <f ca="1">IFERROR(IF($T7&gt;0,$T7*E$1^2+$S7*E$1+$R7,"-"),"-")</f>
        <v>12.571428571416021</v>
      </c>
      <c r="F10">
        <f ca="1">IFERROR(IF($T7&gt;0,$T7*F$1^2+$S7*F$1+$R7,"-"),"-")</f>
        <v>6.5142857142738819</v>
      </c>
      <c r="G10">
        <f ca="1">IFERROR(IF($T7&gt;0,$T7*G$1^2+$S7*G$1+$R7,"-"),"-")</f>
        <v>3.0285714285599568</v>
      </c>
      <c r="H10">
        <f ca="1">IFERROR(IF($T7&gt;0,$T7*H$1^2+$S7*H$1+$R7,"-"),"-")</f>
        <v>2.1142857142742457</v>
      </c>
      <c r="I10">
        <f ca="1">IFERROR(IF($T7&gt;0,$T7*I$1^2+$S7*I$1+$R7,"-"),"-")</f>
        <v>3.7714285714167772</v>
      </c>
      <c r="J10">
        <f ca="1">IFERROR(IF($T7&gt;0,$T7*J$1^2+$S7*J$1+$R7,"-"),"-")</f>
        <v>7.9999999999875229</v>
      </c>
      <c r="K10">
        <f ca="1">IFERROR(IF($T7&gt;0,$T7*K$1^2+$S7*K$1+$R7,"-"),"-")</f>
        <v>14.799999999986511</v>
      </c>
      <c r="L10">
        <f ca="1">IFERROR(IF($T7&gt;0,$T7*L$1^2+$S7*L$1+$R7,"-"),"-")</f>
        <v>24.171428571413713</v>
      </c>
    </row>
    <row r="12" spans="1:20" x14ac:dyDescent="0.2">
      <c r="B12" t="s">
        <v>148</v>
      </c>
      <c r="C12" t="s">
        <v>149</v>
      </c>
    </row>
    <row r="13" spans="1:20" x14ac:dyDescent="0.2">
      <c r="A13" t="s">
        <v>140</v>
      </c>
      <c r="B13" s="2" t="str">
        <f ca="1">IFERROR(IF($N6&lt;=5,IF($T6&gt;0,-$S6/(2*$T6),"-"),"-"),"-")</f>
        <v>-</v>
      </c>
      <c r="C13" s="2" t="str">
        <f ca="1">IFERROR(IF($T6&gt;0,$T6*B13^2+$S6*B13+$R6,"-"),"-")</f>
        <v>-</v>
      </c>
    </row>
    <row r="14" spans="1:20" x14ac:dyDescent="0.2">
      <c r="A14" t="s">
        <v>141</v>
      </c>
      <c r="B14" s="2">
        <f ca="1">IFERROR(IF($N7&lt;=5,IF($T7&gt;0,-$S7/(2*$T7),"-"),"-"),"-")</f>
        <v>182.88888888888806</v>
      </c>
      <c r="C14" s="2">
        <f ca="1">IFERROR(IF($T7&gt;0,$T7*B14^2+$S7*B14+$R7,"-"),"-")</f>
        <v>2.0874603174488726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3A27A-1695-434A-A8D7-85F402DE0B0B}">
  <sheetPr codeName="Sheet2"/>
  <dimension ref="A1:L10"/>
  <sheetViews>
    <sheetView workbookViewId="0"/>
  </sheetViews>
  <sheetFormatPr defaultRowHeight="15" x14ac:dyDescent="0.2"/>
  <sheetData>
    <row r="1" spans="1:12" x14ac:dyDescent="0.2">
      <c r="A1">
        <v>300</v>
      </c>
      <c r="B1">
        <v>300</v>
      </c>
      <c r="C1">
        <v>280</v>
      </c>
      <c r="D1">
        <v>260</v>
      </c>
      <c r="E1">
        <v>240</v>
      </c>
      <c r="F1">
        <v>220</v>
      </c>
      <c r="G1">
        <v>200</v>
      </c>
      <c r="H1">
        <v>180</v>
      </c>
      <c r="I1">
        <v>160</v>
      </c>
      <c r="J1">
        <v>140</v>
      </c>
      <c r="K1">
        <v>120</v>
      </c>
      <c r="L1">
        <v>100</v>
      </c>
    </row>
    <row r="2" spans="1:12" x14ac:dyDescent="0.2">
      <c r="A2" t="s">
        <v>132</v>
      </c>
      <c r="B2">
        <f ca="1">_xlfn.IFNA(INDEX(INDIRECT("'"&amp;$A2&amp;"'!$B:$B"),MATCH(B$1,INDIRECT("'"&amp;$A2&amp;"'!$c:$c"),0)),"")</f>
        <v>760</v>
      </c>
      <c r="C2">
        <f t="shared" ref="C2:L10" ca="1" si="0">_xlfn.IFNA(INDEX(INDIRECT("'"&amp;$A2&amp;"'!$B:$B"),MATCH(C$1,INDIRECT("'"&amp;$A2&amp;"'!$c:$c"),0)),"")</f>
        <v>760</v>
      </c>
      <c r="D2">
        <f t="shared" ca="1" si="0"/>
        <v>760</v>
      </c>
      <c r="E2">
        <f t="shared" ca="1" si="0"/>
        <v>760</v>
      </c>
      <c r="F2">
        <f t="shared" ca="1" si="0"/>
        <v>760</v>
      </c>
      <c r="G2">
        <f t="shared" ca="1" si="0"/>
        <v>760</v>
      </c>
      <c r="H2">
        <f t="shared" ca="1" si="0"/>
        <v>764</v>
      </c>
      <c r="I2">
        <f t="shared" ca="1" si="0"/>
        <v>772</v>
      </c>
      <c r="J2">
        <f t="shared" ca="1" si="0"/>
        <v>782</v>
      </c>
      <c r="K2">
        <f t="shared" ca="1" si="0"/>
        <v>792</v>
      </c>
      <c r="L2">
        <f t="shared" ca="1" si="0"/>
        <v>806</v>
      </c>
    </row>
    <row r="3" spans="1:12" x14ac:dyDescent="0.2">
      <c r="A3" t="s">
        <v>97</v>
      </c>
      <c r="B3">
        <f ca="1">_xlfn.IFNA(INDEX(INDIRECT("'"&amp;$A3&amp;"'!$B:$B"),MATCH(B$1,INDIRECT("'"&amp;$A3&amp;"'!$c:$c"),0)),"")</f>
        <v>732</v>
      </c>
      <c r="C3">
        <f t="shared" ca="1" si="0"/>
        <v>736</v>
      </c>
      <c r="D3">
        <f t="shared" ca="1" si="0"/>
        <v>738</v>
      </c>
      <c r="E3">
        <f t="shared" ca="1" si="0"/>
        <v>740</v>
      </c>
      <c r="F3">
        <f t="shared" ca="1" si="0"/>
        <v>742</v>
      </c>
      <c r="G3">
        <f t="shared" ca="1" si="0"/>
        <v>744</v>
      </c>
      <c r="H3">
        <f t="shared" ca="1" si="0"/>
        <v>748</v>
      </c>
      <c r="I3">
        <f t="shared" ca="1" si="0"/>
        <v>750</v>
      </c>
      <c r="J3">
        <f t="shared" ca="1" si="0"/>
        <v>754</v>
      </c>
      <c r="K3">
        <f t="shared" ca="1" si="0"/>
        <v>756</v>
      </c>
    </row>
    <row r="4" spans="1:12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736</v>
      </c>
      <c r="D4">
        <f t="shared" ca="1" si="0"/>
        <v>740</v>
      </c>
      <c r="E4">
        <f t="shared" ca="1" si="0"/>
        <v>744</v>
      </c>
      <c r="F4">
        <f t="shared" ca="1" si="0"/>
        <v>746</v>
      </c>
      <c r="G4">
        <f t="shared" ca="1" si="0"/>
        <v>750</v>
      </c>
      <c r="H4">
        <f t="shared" ca="1" si="0"/>
        <v>754</v>
      </c>
      <c r="I4">
        <f t="shared" ca="1" si="0"/>
        <v>760</v>
      </c>
      <c r="J4">
        <f t="shared" ca="1" si="0"/>
        <v>766</v>
      </c>
      <c r="K4">
        <f t="shared" ca="1" si="0"/>
        <v>772</v>
      </c>
      <c r="L4">
        <f t="shared" ca="1" si="0"/>
        <v>782</v>
      </c>
    </row>
    <row r="5" spans="1:12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736</v>
      </c>
      <c r="D5">
        <f t="shared" ca="1" si="0"/>
        <v>740</v>
      </c>
      <c r="E5">
        <f t="shared" ca="1" si="0"/>
        <v>744</v>
      </c>
      <c r="F5">
        <f t="shared" ca="1" si="0"/>
        <v>746</v>
      </c>
      <c r="G5">
        <f t="shared" ca="1" si="0"/>
        <v>750</v>
      </c>
      <c r="H5">
        <f t="shared" ca="1" si="0"/>
        <v>754</v>
      </c>
      <c r="I5">
        <f t="shared" ca="1" si="0"/>
        <v>758</v>
      </c>
      <c r="J5">
        <f t="shared" ca="1" si="0"/>
        <v>764</v>
      </c>
      <c r="K5">
        <f t="shared" ca="1" si="0"/>
        <v>772</v>
      </c>
      <c r="L5">
        <f t="shared" ca="1" si="0"/>
        <v>780</v>
      </c>
    </row>
    <row r="6" spans="1:12" x14ac:dyDescent="0.2">
      <c r="A6" t="s">
        <v>133</v>
      </c>
      <c r="B6">
        <f ca="1">_xlfn.IFNA(INDEX(INDIRECT("'"&amp;$A6&amp;"'!$B:$B"),MATCH(B$1,INDIRECT("'"&amp;$A6&amp;"'!$c:$c"),0)),"")</f>
        <v>736</v>
      </c>
      <c r="C6">
        <f t="shared" ca="1" si="0"/>
        <v>736</v>
      </c>
      <c r="D6">
        <f t="shared" ca="1" si="0"/>
        <v>742</v>
      </c>
      <c r="E6">
        <f t="shared" ca="1" si="0"/>
        <v>746</v>
      </c>
      <c r="F6">
        <f t="shared" ca="1" si="0"/>
        <v>750</v>
      </c>
      <c r="G6">
        <f t="shared" ca="1" si="0"/>
        <v>756</v>
      </c>
      <c r="H6">
        <f t="shared" ca="1" si="0"/>
        <v>762</v>
      </c>
      <c r="I6">
        <f t="shared" ca="1" si="0"/>
        <v>770</v>
      </c>
      <c r="J6">
        <f t="shared" ca="1" si="0"/>
        <v>780</v>
      </c>
      <c r="K6">
        <f t="shared" ca="1" si="0"/>
        <v>790</v>
      </c>
      <c r="L6">
        <f t="shared" ca="1" si="0"/>
        <v>804</v>
      </c>
    </row>
    <row r="7" spans="1:12" x14ac:dyDescent="0.2">
      <c r="A7" t="s">
        <v>134</v>
      </c>
      <c r="B7">
        <f ca="1">_xlfn.IFNA(INDEX(INDIRECT("'"&amp;$A7&amp;"'!$B:$B"),MATCH(B$1,INDIRECT("'"&amp;$A7&amp;"'!$c:$c"),0)),"")</f>
        <v>734</v>
      </c>
      <c r="C7">
        <f t="shared" ca="1" si="0"/>
        <v>736</v>
      </c>
      <c r="D7">
        <f t="shared" ca="1" si="0"/>
        <v>740</v>
      </c>
      <c r="E7">
        <f t="shared" ca="1" si="0"/>
        <v>744</v>
      </c>
      <c r="F7">
        <f t="shared" ca="1" si="0"/>
        <v>746</v>
      </c>
      <c r="G7">
        <f t="shared" ca="1" si="0"/>
        <v>750</v>
      </c>
      <c r="H7">
        <f t="shared" ca="1" si="0"/>
        <v>754</v>
      </c>
      <c r="I7">
        <f t="shared" ca="1" si="0"/>
        <v>760</v>
      </c>
      <c r="J7">
        <f t="shared" ca="1" si="0"/>
        <v>766</v>
      </c>
      <c r="K7">
        <f t="shared" ca="1" si="0"/>
        <v>772</v>
      </c>
      <c r="L7">
        <f t="shared" ca="1" si="0"/>
        <v>782</v>
      </c>
    </row>
    <row r="8" spans="1:12" x14ac:dyDescent="0.2">
      <c r="A8" t="s">
        <v>96</v>
      </c>
      <c r="B8">
        <f ca="1">_xlfn.IFNA(INDEX(INDIRECT("'"&amp;$A8&amp;"'!$B:$B"),MATCH(B$1,INDIRECT("'"&amp;$A8&amp;"'!$c:$c"),0)),"")</f>
        <v>758</v>
      </c>
      <c r="C8">
        <f t="shared" ca="1" si="0"/>
        <v>758</v>
      </c>
      <c r="D8">
        <f t="shared" ca="1" si="0"/>
        <v>758</v>
      </c>
      <c r="E8">
        <f t="shared" ca="1" si="0"/>
        <v>758</v>
      </c>
      <c r="F8">
        <f t="shared" ca="1" si="0"/>
        <v>758</v>
      </c>
      <c r="G8">
        <f t="shared" ca="1" si="0"/>
        <v>758</v>
      </c>
      <c r="H8">
        <f t="shared" ca="1" si="0"/>
        <v>760</v>
      </c>
      <c r="I8">
        <f t="shared" ca="1" si="0"/>
        <v>766</v>
      </c>
      <c r="J8">
        <f t="shared" ca="1" si="0"/>
        <v>772</v>
      </c>
      <c r="K8">
        <f t="shared" ca="1" si="0"/>
        <v>780</v>
      </c>
      <c r="L8">
        <f t="shared" ca="1" si="0"/>
        <v>790</v>
      </c>
    </row>
    <row r="9" spans="1:12" x14ac:dyDescent="0.2">
      <c r="A9" t="s">
        <v>71</v>
      </c>
      <c r="B9">
        <f ca="1">_xlfn.IFNA(INDEX(INDIRECT("'"&amp;$A9&amp;"'!$B:$B"),MATCH(B$1,INDIRECT("'"&amp;$A9&amp;"'!$c:$c"),0)),"")</f>
        <v>760</v>
      </c>
      <c r="C9">
        <f t="shared" ca="1" si="0"/>
        <v>760</v>
      </c>
      <c r="D9">
        <f t="shared" ca="1" si="0"/>
        <v>760</v>
      </c>
      <c r="E9">
        <f t="shared" ca="1" si="0"/>
        <v>760</v>
      </c>
      <c r="F9">
        <f t="shared" ca="1" si="0"/>
        <v>760</v>
      </c>
      <c r="G9">
        <f t="shared" ca="1" si="0"/>
        <v>760</v>
      </c>
      <c r="H9">
        <f t="shared" ca="1" si="0"/>
        <v>764</v>
      </c>
      <c r="I9">
        <f t="shared" ca="1" si="0"/>
        <v>772</v>
      </c>
      <c r="J9">
        <f t="shared" ca="1" si="0"/>
        <v>782</v>
      </c>
      <c r="K9">
        <f t="shared" ca="1" si="0"/>
        <v>792</v>
      </c>
      <c r="L9">
        <f t="shared" ca="1" si="0"/>
        <v>806</v>
      </c>
    </row>
    <row r="10" spans="1:12" x14ac:dyDescent="0.2">
      <c r="A10" t="s">
        <v>84</v>
      </c>
      <c r="B10">
        <f ca="1">_xlfn.IFNA(INDEX(INDIRECT("'"&amp;$A10&amp;"'!$B:$B"),MATCH(B$1,INDIRECT("'"&amp;$A10&amp;"'!$c:$c"),0)),"")</f>
        <v>736</v>
      </c>
      <c r="C10">
        <f t="shared" ca="1" si="0"/>
        <v>736</v>
      </c>
      <c r="D10">
        <f t="shared" ca="1" si="0"/>
        <v>742</v>
      </c>
      <c r="E10">
        <f t="shared" ca="1" si="0"/>
        <v>746</v>
      </c>
      <c r="F10">
        <f t="shared" ca="1" si="0"/>
        <v>750</v>
      </c>
      <c r="G10">
        <f t="shared" ca="1" si="0"/>
        <v>756</v>
      </c>
      <c r="H10">
        <f t="shared" ca="1" si="0"/>
        <v>762</v>
      </c>
      <c r="I10">
        <f t="shared" ca="1" si="0"/>
        <v>770</v>
      </c>
      <c r="J10">
        <f t="shared" ca="1" si="0"/>
        <v>780</v>
      </c>
      <c r="K10">
        <f t="shared" ca="1" si="0"/>
        <v>790</v>
      </c>
      <c r="L10">
        <f t="shared" ca="1" si="0"/>
        <v>804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9AE78-4029-4394-BD39-7E768375B939}">
  <sheetPr codeName="Sheet3"/>
  <dimension ref="A1:Q182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760</v>
      </c>
      <c r="C2">
        <v>300</v>
      </c>
      <c r="D2">
        <v>0.27825630353772701</v>
      </c>
      <c r="E2">
        <v>110.883237556862</v>
      </c>
      <c r="F2">
        <v>2.0032256075830901</v>
      </c>
      <c r="G2">
        <v>-1833.337175707223</v>
      </c>
      <c r="H2">
        <v>-1506.5621462511476</v>
      </c>
      <c r="I2">
        <v>316.292158643844</v>
      </c>
      <c r="J2">
        <v>160.06413620984</v>
      </c>
      <c r="K2">
        <v>55.352346304440303</v>
      </c>
      <c r="L2">
        <v>0.87910196219108128</v>
      </c>
      <c r="M2">
        <v>-0.87894646967925127</v>
      </c>
      <c r="N2">
        <v>48.652884574664803</v>
      </c>
      <c r="O2">
        <v>48.652880555532697</v>
      </c>
      <c r="P2">
        <v>48.6528764577575</v>
      </c>
      <c r="Q2" t="s">
        <v>51</v>
      </c>
    </row>
    <row r="3" spans="1:17" x14ac:dyDescent="0.2">
      <c r="A3">
        <v>2</v>
      </c>
      <c r="B3">
        <v>758</v>
      </c>
      <c r="C3">
        <v>300</v>
      </c>
      <c r="D3">
        <v>0.27672065169955901</v>
      </c>
      <c r="E3">
        <v>110.88332013740499</v>
      </c>
      <c r="F3">
        <v>2.0042975545678599</v>
      </c>
      <c r="G3">
        <v>-1832.706241628031</v>
      </c>
      <c r="H3">
        <v>-1506.9132191939989</v>
      </c>
      <c r="I3">
        <v>315.95329797144899</v>
      </c>
      <c r="J3">
        <v>160.058921073748</v>
      </c>
      <c r="K3">
        <v>55.3227837277445</v>
      </c>
      <c r="L3">
        <v>0.87772229617321562</v>
      </c>
      <c r="M3">
        <v>-0.87756655616957469</v>
      </c>
      <c r="N3">
        <v>48.5505569094733</v>
      </c>
      <c r="O3">
        <v>48.550552808453098</v>
      </c>
      <c r="P3">
        <v>48.550548708320598</v>
      </c>
      <c r="Q3" t="s">
        <v>51</v>
      </c>
    </row>
    <row r="4" spans="1:17" x14ac:dyDescent="0.2">
      <c r="A4">
        <v>3</v>
      </c>
      <c r="B4">
        <v>756</v>
      </c>
      <c r="C4">
        <v>300</v>
      </c>
      <c r="D4">
        <v>0.27517903123937498</v>
      </c>
      <c r="E4">
        <v>110.883413174003</v>
      </c>
      <c r="F4">
        <v>2.00538243094545</v>
      </c>
      <c r="G4">
        <v>-1832.0762173940066</v>
      </c>
      <c r="H4">
        <v>-1507.3098896133947</v>
      </c>
      <c r="I4">
        <v>315.56970659713801</v>
      </c>
      <c r="J4">
        <v>160.06812361106199</v>
      </c>
      <c r="K4">
        <v>55.292901475020201</v>
      </c>
      <c r="L4">
        <v>0.87398944297207515</v>
      </c>
      <c r="M4">
        <v>-0.87383286256829007</v>
      </c>
      <c r="N4">
        <v>48.317887798823897</v>
      </c>
      <c r="O4">
        <v>48.317883599486699</v>
      </c>
      <c r="P4">
        <v>48.3178794815787</v>
      </c>
      <c r="Q4" t="s">
        <v>51</v>
      </c>
    </row>
    <row r="5" spans="1:17" x14ac:dyDescent="0.2">
      <c r="A5">
        <v>4</v>
      </c>
      <c r="B5">
        <v>754</v>
      </c>
      <c r="C5">
        <v>300</v>
      </c>
      <c r="D5">
        <v>0.27363140729202201</v>
      </c>
      <c r="E5">
        <v>110.883506945305</v>
      </c>
      <c r="F5">
        <v>2.00647282114896</v>
      </c>
      <c r="G5">
        <v>-1831.446971942562</v>
      </c>
      <c r="H5">
        <v>-1507.7058395548511</v>
      </c>
      <c r="I5">
        <v>315.18608086210997</v>
      </c>
      <c r="J5">
        <v>160.07705948306401</v>
      </c>
      <c r="K5">
        <v>55.262900038591297</v>
      </c>
      <c r="L5">
        <v>0.87029701663032022</v>
      </c>
      <c r="M5">
        <v>-0.87013961404301332</v>
      </c>
      <c r="N5">
        <v>48.087573064799102</v>
      </c>
      <c r="O5">
        <v>48.087568766461899</v>
      </c>
      <c r="P5">
        <v>48.087564631388602</v>
      </c>
      <c r="Q5" t="s">
        <v>51</v>
      </c>
    </row>
    <row r="6" spans="1:17" x14ac:dyDescent="0.2">
      <c r="A6">
        <v>5</v>
      </c>
      <c r="B6">
        <v>752</v>
      </c>
      <c r="C6">
        <v>300</v>
      </c>
      <c r="D6">
        <v>0.27207774472028401</v>
      </c>
      <c r="E6">
        <v>110.883601458328</v>
      </c>
      <c r="F6">
        <v>2.0075686355584201</v>
      </c>
      <c r="G6">
        <v>-1830.8185054644598</v>
      </c>
      <c r="H6">
        <v>-1508.1010811181231</v>
      </c>
      <c r="I6">
        <v>314.80240895116202</v>
      </c>
      <c r="J6">
        <v>160.08572779672701</v>
      </c>
      <c r="K6">
        <v>55.232782329001097</v>
      </c>
      <c r="L6">
        <v>0.86664430760620725</v>
      </c>
      <c r="M6">
        <v>-0.86648610085417666</v>
      </c>
      <c r="N6">
        <v>47.859573712271199</v>
      </c>
      <c r="O6">
        <v>47.859569314271504</v>
      </c>
      <c r="P6">
        <v>47.859565162638098</v>
      </c>
      <c r="Q6" t="s">
        <v>51</v>
      </c>
    </row>
    <row r="7" spans="1:17" x14ac:dyDescent="0.2">
      <c r="A7">
        <v>6</v>
      </c>
      <c r="B7">
        <v>750</v>
      </c>
      <c r="C7">
        <v>300</v>
      </c>
      <c r="D7">
        <v>0.270518008112205</v>
      </c>
      <c r="E7">
        <v>110.883696720223</v>
      </c>
      <c r="F7">
        <v>2.0086697863021401</v>
      </c>
      <c r="G7">
        <v>-1830.1908181760473</v>
      </c>
      <c r="H7">
        <v>-1508.4956261318521</v>
      </c>
      <c r="I7">
        <v>314.41867924662398</v>
      </c>
      <c r="J7">
        <v>160.09412758043899</v>
      </c>
      <c r="K7">
        <v>55.202551198997298</v>
      </c>
      <c r="L7">
        <v>0.86303062245141926</v>
      </c>
      <c r="M7">
        <v>-0.8628716293603208</v>
      </c>
      <c r="N7">
        <v>47.633851599680703</v>
      </c>
      <c r="O7">
        <v>47.633847101376702</v>
      </c>
      <c r="P7">
        <v>47.633842933783498</v>
      </c>
      <c r="Q7" t="s">
        <v>51</v>
      </c>
    </row>
    <row r="8" spans="1:17" x14ac:dyDescent="0.2">
      <c r="A8">
        <v>7</v>
      </c>
      <c r="B8">
        <v>748</v>
      </c>
      <c r="C8">
        <v>300</v>
      </c>
      <c r="D8">
        <v>0.26895216177838999</v>
      </c>
      <c r="E8">
        <v>110.883792738184</v>
      </c>
      <c r="F8">
        <v>2.0097761872181099</v>
      </c>
      <c r="G8">
        <v>-1829.5639103173442</v>
      </c>
      <c r="H8">
        <v>-1508.8894861591916</v>
      </c>
      <c r="I8">
        <v>314.034880322915</v>
      </c>
      <c r="J8">
        <v>160.10225778490999</v>
      </c>
      <c r="K8">
        <v>55.172209444707903</v>
      </c>
      <c r="L8">
        <v>0.85945528338067989</v>
      </c>
      <c r="M8">
        <v>-0.85929552158756861</v>
      </c>
      <c r="N8">
        <v>47.410369416847303</v>
      </c>
      <c r="O8">
        <v>47.410364817618301</v>
      </c>
      <c r="P8">
        <v>47.410360634660698</v>
      </c>
      <c r="Q8" t="s">
        <v>51</v>
      </c>
    </row>
    <row r="9" spans="1:17" x14ac:dyDescent="0.2">
      <c r="A9">
        <v>8</v>
      </c>
      <c r="B9">
        <v>746</v>
      </c>
      <c r="C9">
        <v>300</v>
      </c>
      <c r="D9">
        <v>0.26738016974930101</v>
      </c>
      <c r="E9">
        <v>110.88388951943701</v>
      </c>
      <c r="F9">
        <v>2.0108877538121601</v>
      </c>
      <c r="G9">
        <v>-1828.9377821515125</v>
      </c>
      <c r="H9">
        <v>-1509.2826725050418</v>
      </c>
      <c r="I9">
        <v>313.65100094080901</v>
      </c>
      <c r="J9">
        <v>160.110117284642</v>
      </c>
      <c r="K9">
        <v>55.141759806944599</v>
      </c>
      <c r="L9">
        <v>0.85591762781680869</v>
      </c>
      <c r="M9">
        <v>-0.85575711477453176</v>
      </c>
      <c r="N9">
        <v>47.189090661489601</v>
      </c>
      <c r="O9">
        <v>47.189085960735902</v>
      </c>
      <c r="P9">
        <v>47.189081763004403</v>
      </c>
      <c r="Q9" t="s">
        <v>51</v>
      </c>
    </row>
    <row r="10" spans="1:17" x14ac:dyDescent="0.2">
      <c r="A10">
        <v>9</v>
      </c>
      <c r="B10">
        <v>744</v>
      </c>
      <c r="C10">
        <v>300</v>
      </c>
      <c r="D10">
        <v>0.26580199577250502</v>
      </c>
      <c r="E10">
        <v>110.88398707131699</v>
      </c>
      <c r="F10">
        <v>2.0120044032251099</v>
      </c>
      <c r="G10">
        <v>-1828.3124339657631</v>
      </c>
      <c r="H10">
        <v>-1509.6751962242158</v>
      </c>
      <c r="I10">
        <v>313.26703004213402</v>
      </c>
      <c r="J10">
        <v>160.11770487905599</v>
      </c>
      <c r="K10">
        <v>55.111204972303703</v>
      </c>
      <c r="L10">
        <v>0.85241700796140818</v>
      </c>
      <c r="M10">
        <v>-0.85225576094286404</v>
      </c>
      <c r="N10">
        <v>46.969979616945402</v>
      </c>
      <c r="O10">
        <v>46.969974814088403</v>
      </c>
      <c r="P10">
        <v>46.9699706021689</v>
      </c>
      <c r="Q10" t="s">
        <v>51</v>
      </c>
    </row>
    <row r="11" spans="1:17" x14ac:dyDescent="0.2">
      <c r="A11">
        <v>10</v>
      </c>
      <c r="B11">
        <v>742</v>
      </c>
      <c r="C11">
        <v>300</v>
      </c>
      <c r="D11">
        <v>0.264217603309855</v>
      </c>
      <c r="E11">
        <v>110.88408540118699</v>
      </c>
      <c r="F11">
        <v>2.0131260541948399</v>
      </c>
      <c r="G11">
        <v>-1827.6878660696252</v>
      </c>
      <c r="H11">
        <v>-1510.0670681266799</v>
      </c>
      <c r="I11">
        <v>312.88295674468498</v>
      </c>
      <c r="J11">
        <v>160.125019293576</v>
      </c>
      <c r="K11">
        <v>55.080547574322303</v>
      </c>
      <c r="L11">
        <v>0.84895279039468452</v>
      </c>
      <c r="M11">
        <v>-0.84879082649695081</v>
      </c>
      <c r="N11">
        <v>46.753001331508798</v>
      </c>
      <c r="O11">
        <v>46.752996425991697</v>
      </c>
      <c r="P11">
        <v>46.7529922004653</v>
      </c>
      <c r="Q11" t="s">
        <v>51</v>
      </c>
    </row>
    <row r="12" spans="1:17" x14ac:dyDescent="0.2">
      <c r="A12">
        <v>11</v>
      </c>
      <c r="B12">
        <v>740</v>
      </c>
      <c r="C12">
        <v>300</v>
      </c>
      <c r="D12">
        <v>0.26262695553471999</v>
      </c>
      <c r="E12">
        <v>110.884184516498</v>
      </c>
      <c r="F12">
        <v>2.0142526270258299</v>
      </c>
      <c r="G12">
        <v>-1827.0640787956399</v>
      </c>
      <c r="H12">
        <v>-1510.4582987849408</v>
      </c>
      <c r="I12">
        <v>312.49877033736499</v>
      </c>
      <c r="J12">
        <v>160.13205918064801</v>
      </c>
      <c r="K12">
        <v>55.049790194502798</v>
      </c>
      <c r="L12">
        <v>0.84552435568092976</v>
      </c>
      <c r="M12">
        <v>-0.84536169182926735</v>
      </c>
      <c r="N12">
        <v>46.538121597930797</v>
      </c>
      <c r="O12">
        <v>46.538116589217999</v>
      </c>
      <c r="P12">
        <v>46.538112350661301</v>
      </c>
      <c r="Q12" t="s">
        <v>51</v>
      </c>
    </row>
    <row r="13" spans="1:17" x14ac:dyDescent="0.2">
      <c r="A13">
        <v>12</v>
      </c>
      <c r="B13">
        <v>738</v>
      </c>
      <c r="C13">
        <v>300</v>
      </c>
      <c r="D13">
        <v>0.26103001532908299</v>
      </c>
      <c r="E13">
        <v>110.88428442472799</v>
      </c>
      <c r="F13">
        <v>2.0153840435569501</v>
      </c>
      <c r="G13">
        <v>-1826.4410724979471</v>
      </c>
      <c r="H13">
        <v>-1510.8488985394958</v>
      </c>
      <c r="I13">
        <v>312.11446027507702</v>
      </c>
      <c r="J13">
        <v>160.138823120761</v>
      </c>
      <c r="K13">
        <v>55.0189353633208</v>
      </c>
      <c r="L13">
        <v>0.84213109797747532</v>
      </c>
      <c r="M13">
        <v>-0.84196775092920706</v>
      </c>
      <c r="N13">
        <v>46.3253069330638</v>
      </c>
      <c r="O13">
        <v>46.325301820641698</v>
      </c>
      <c r="P13">
        <v>46.3252975696265</v>
      </c>
      <c r="Q13" t="s">
        <v>51</v>
      </c>
    </row>
    <row r="14" spans="1:17" x14ac:dyDescent="0.2">
      <c r="A14">
        <v>13</v>
      </c>
      <c r="B14">
        <v>736</v>
      </c>
      <c r="C14">
        <v>300</v>
      </c>
      <c r="D14">
        <v>0.25942674528068399</v>
      </c>
      <c r="E14">
        <v>110.884381565713</v>
      </c>
      <c r="F14">
        <v>2.01622138745071</v>
      </c>
      <c r="G14">
        <v>-1825.8187940910314</v>
      </c>
      <c r="H14">
        <v>-1511.3132867032016</v>
      </c>
      <c r="I14">
        <v>311.65624380531301</v>
      </c>
      <c r="J14">
        <v>160.14409337787001</v>
      </c>
      <c r="K14">
        <v>54.996133984033499</v>
      </c>
      <c r="L14">
        <v>0.83480931735446118</v>
      </c>
      <c r="M14">
        <v>-0.83464420846085829</v>
      </c>
      <c r="N14">
        <v>45.9033496533619</v>
      </c>
      <c r="O14">
        <v>45.903344406459802</v>
      </c>
      <c r="P14">
        <v>45.903340116158901</v>
      </c>
      <c r="Q14" t="s">
        <v>51</v>
      </c>
    </row>
    <row r="15" spans="1:17" x14ac:dyDescent="0.2">
      <c r="A15">
        <v>14</v>
      </c>
      <c r="B15">
        <v>734</v>
      </c>
      <c r="C15">
        <v>300</v>
      </c>
      <c r="D15">
        <v>0.25781710768008598</v>
      </c>
      <c r="E15">
        <v>110.890992139958</v>
      </c>
      <c r="F15">
        <v>1.9626767510130001</v>
      </c>
      <c r="G15">
        <v>-1825.3129809628126</v>
      </c>
      <c r="H15">
        <v>-1522.2645047176848</v>
      </c>
      <c r="I15">
        <v>300.90182899249498</v>
      </c>
      <c r="J15">
        <v>160.67562697629899</v>
      </c>
      <c r="K15">
        <v>56.499875531069598</v>
      </c>
      <c r="L15">
        <v>0.31003246506090137</v>
      </c>
      <c r="M15">
        <v>-0.30970172650030342</v>
      </c>
      <c r="N15">
        <v>17.500427169364499</v>
      </c>
      <c r="O15">
        <v>17.500417217917601</v>
      </c>
      <c r="P15">
        <v>17.500408630341798</v>
      </c>
      <c r="Q15" t="s">
        <v>51</v>
      </c>
    </row>
    <row r="16" spans="1:17" x14ac:dyDescent="0.2">
      <c r="A16">
        <v>15</v>
      </c>
      <c r="B16">
        <v>732</v>
      </c>
      <c r="C16">
        <v>300</v>
      </c>
      <c r="D16">
        <v>0.256201064517732</v>
      </c>
      <c r="E16">
        <v>110.891433082142</v>
      </c>
      <c r="F16">
        <v>1.95029262042354</v>
      </c>
      <c r="G16">
        <v>-1824.7220434073954</v>
      </c>
      <c r="H16">
        <v>-1525.3229844767391</v>
      </c>
      <c r="I16">
        <v>297.87045214723099</v>
      </c>
      <c r="J16">
        <v>160.90320330244799</v>
      </c>
      <c r="K16">
        <v>56.858869238842701</v>
      </c>
      <c r="L16">
        <v>0.17931000130900429</v>
      </c>
      <c r="M16">
        <v>-0.17893814953537848</v>
      </c>
      <c r="N16">
        <v>10.176829489098299</v>
      </c>
      <c r="O16">
        <v>10.176818236219299</v>
      </c>
      <c r="P16">
        <v>10.1768085585877</v>
      </c>
      <c r="Q16" t="s">
        <v>51</v>
      </c>
    </row>
    <row r="17" spans="1:17" x14ac:dyDescent="0.2">
      <c r="A17">
        <v>16</v>
      </c>
      <c r="B17">
        <v>730</v>
      </c>
      <c r="C17">
        <v>300</v>
      </c>
      <c r="D17">
        <v>0.25457857748093798</v>
      </c>
      <c r="E17">
        <v>110.891557014162</v>
      </c>
      <c r="F17">
        <v>1.9471364869396901</v>
      </c>
      <c r="G17">
        <v>-1824.1296629940364</v>
      </c>
      <c r="H17">
        <v>-1526.5694353611432</v>
      </c>
      <c r="I17">
        <v>296.63147523837603</v>
      </c>
      <c r="J17">
        <v>161.04456868590501</v>
      </c>
      <c r="K17">
        <v>56.951096010968399</v>
      </c>
      <c r="L17">
        <v>0.13564454518160546</v>
      </c>
      <c r="M17">
        <v>-0.1352593032409678</v>
      </c>
      <c r="N17">
        <v>7.7058605263593902</v>
      </c>
      <c r="O17">
        <v>7.7058487642386897</v>
      </c>
      <c r="P17">
        <v>7.7058387403339097</v>
      </c>
      <c r="Q17" t="s">
        <v>51</v>
      </c>
    </row>
    <row r="18" spans="1:17" x14ac:dyDescent="0.2">
      <c r="A18">
        <v>17</v>
      </c>
      <c r="B18">
        <v>728</v>
      </c>
      <c r="C18">
        <v>300</v>
      </c>
      <c r="D18">
        <v>0.25294960795086002</v>
      </c>
      <c r="E18">
        <v>110.89153490821199</v>
      </c>
      <c r="F18">
        <v>1.9461637343357601</v>
      </c>
      <c r="G18">
        <v>-1823.5368954334167</v>
      </c>
      <c r="H18">
        <v>-1527.385922827895</v>
      </c>
      <c r="I18">
        <v>295.816532416256</v>
      </c>
      <c r="J18">
        <v>161.16862537876099</v>
      </c>
      <c r="K18">
        <v>56.979550564927401</v>
      </c>
      <c r="L18">
        <v>0.11242760109162418</v>
      </c>
      <c r="M18">
        <v>-0.11203550140322104</v>
      </c>
      <c r="N18">
        <v>6.3864651689281304</v>
      </c>
      <c r="O18">
        <v>6.3864530895614298</v>
      </c>
      <c r="P18">
        <v>6.386442896778</v>
      </c>
      <c r="Q18" t="s">
        <v>51</v>
      </c>
    </row>
    <row r="19" spans="1:17" x14ac:dyDescent="0.2">
      <c r="A19">
        <v>18</v>
      </c>
      <c r="B19">
        <v>726</v>
      </c>
      <c r="C19">
        <v>300</v>
      </c>
      <c r="D19">
        <v>0.251314116999449</v>
      </c>
      <c r="E19">
        <v>110.891452221249</v>
      </c>
      <c r="F19">
        <v>1.9460874117144</v>
      </c>
      <c r="G19">
        <v>-1822.9445799774398</v>
      </c>
      <c r="H19">
        <v>-1528.0253054977131</v>
      </c>
      <c r="I19">
        <v>295.17599430895598</v>
      </c>
      <c r="J19">
        <v>161.289339793952</v>
      </c>
      <c r="K19">
        <v>56.981742728379999</v>
      </c>
      <c r="L19">
        <v>9.7607563819349416E-2</v>
      </c>
      <c r="M19">
        <v>-9.7211290785124624E-2</v>
      </c>
      <c r="N19">
        <v>5.5420190476559501</v>
      </c>
      <c r="O19">
        <v>5.5420067332077503</v>
      </c>
      <c r="P19">
        <v>5.5419964449337904</v>
      </c>
      <c r="Q19" t="s">
        <v>51</v>
      </c>
    </row>
    <row r="20" spans="1:17" x14ac:dyDescent="0.2">
      <c r="A20">
        <v>19</v>
      </c>
      <c r="B20">
        <v>724</v>
      </c>
      <c r="C20">
        <v>300</v>
      </c>
      <c r="D20">
        <v>0.249672065386352</v>
      </c>
      <c r="E20">
        <v>110.891337216826</v>
      </c>
      <c r="F20">
        <v>1.9464753931548999</v>
      </c>
      <c r="G20">
        <v>-1822.3529232879207</v>
      </c>
      <c r="H20">
        <v>-1528.5727698381124</v>
      </c>
      <c r="I20">
        <v>294.62570724553899</v>
      </c>
      <c r="J20">
        <v>161.41167644250299</v>
      </c>
      <c r="K20">
        <v>56.970325752277098</v>
      </c>
      <c r="L20">
        <v>8.7140985021415679E-2</v>
      </c>
      <c r="M20">
        <v>-8.6741931306064071E-2</v>
      </c>
      <c r="N20">
        <v>4.9444735864754099</v>
      </c>
      <c r="O20">
        <v>4.9444610820605996</v>
      </c>
      <c r="P20">
        <v>4.9444507366088004</v>
      </c>
      <c r="Q20" t="s">
        <v>51</v>
      </c>
    </row>
    <row r="21" spans="1:17" x14ac:dyDescent="0.2">
      <c r="A21">
        <v>20</v>
      </c>
      <c r="B21">
        <v>760</v>
      </c>
      <c r="C21">
        <v>280</v>
      </c>
      <c r="D21">
        <v>0.29955040410395301</v>
      </c>
      <c r="E21">
        <v>110.883473062013</v>
      </c>
      <c r="F21">
        <v>1.9790295545318699</v>
      </c>
      <c r="G21">
        <v>-1834.4546734315695</v>
      </c>
      <c r="H21">
        <v>-1507.364362484783</v>
      </c>
      <c r="I21">
        <v>316.59750865157099</v>
      </c>
      <c r="J21">
        <v>160.70552758446601</v>
      </c>
      <c r="K21">
        <v>56.029215333392003</v>
      </c>
      <c r="L21">
        <v>0.8655544410782201</v>
      </c>
      <c r="M21">
        <v>-0.86537009550452548</v>
      </c>
      <c r="N21">
        <v>48.487441707118997</v>
      </c>
      <c r="O21">
        <v>48.487437165455603</v>
      </c>
      <c r="P21">
        <v>48.487431775179999</v>
      </c>
      <c r="Q21" t="s">
        <v>51</v>
      </c>
    </row>
    <row r="22" spans="1:17" x14ac:dyDescent="0.2">
      <c r="A22">
        <v>21</v>
      </c>
      <c r="B22">
        <v>758</v>
      </c>
      <c r="C22">
        <v>280</v>
      </c>
      <c r="D22">
        <v>0.29805605392037998</v>
      </c>
      <c r="E22">
        <v>110.883555752424</v>
      </c>
      <c r="F22">
        <v>1.98014760680848</v>
      </c>
      <c r="G22">
        <v>-1833.8231298000383</v>
      </c>
      <c r="H22">
        <v>-1507.7126369319137</v>
      </c>
      <c r="I22">
        <v>316.26136239843299</v>
      </c>
      <c r="J22">
        <v>160.70197596546799</v>
      </c>
      <c r="K22">
        <v>55.997621273871097</v>
      </c>
      <c r="L22">
        <v>0.864409681677621</v>
      </c>
      <c r="M22">
        <v>-0.86422513901096965</v>
      </c>
      <c r="N22">
        <v>48.395981435730299</v>
      </c>
      <c r="O22">
        <v>48.395976789074098</v>
      </c>
      <c r="P22">
        <v>48.395971397650797</v>
      </c>
      <c r="Q22" t="s">
        <v>51</v>
      </c>
    </row>
    <row r="23" spans="1:17" x14ac:dyDescent="0.2">
      <c r="A23">
        <v>22</v>
      </c>
      <c r="B23">
        <v>756</v>
      </c>
      <c r="C23">
        <v>280</v>
      </c>
      <c r="D23">
        <v>0.29655589564203599</v>
      </c>
      <c r="E23">
        <v>110.88364956605299</v>
      </c>
      <c r="F23">
        <v>1.98127383827709</v>
      </c>
      <c r="G23">
        <v>-1833.1925015525132</v>
      </c>
      <c r="H23">
        <v>-1508.1080533555341</v>
      </c>
      <c r="I23">
        <v>315.87900074330798</v>
      </c>
      <c r="J23">
        <v>160.71309688050499</v>
      </c>
      <c r="K23">
        <v>55.965837444498298</v>
      </c>
      <c r="L23">
        <v>0.86082667732689067</v>
      </c>
      <c r="M23">
        <v>-0.86064128187472988</v>
      </c>
      <c r="N23">
        <v>48.167939778317198</v>
      </c>
      <c r="O23">
        <v>48.167935009108199</v>
      </c>
      <c r="P23">
        <v>48.1679295976083</v>
      </c>
      <c r="Q23" t="s">
        <v>51</v>
      </c>
    </row>
    <row r="24" spans="1:17" x14ac:dyDescent="0.2">
      <c r="A24">
        <v>23</v>
      </c>
      <c r="B24">
        <v>754</v>
      </c>
      <c r="C24">
        <v>280</v>
      </c>
      <c r="D24">
        <v>0.29504989534147702</v>
      </c>
      <c r="E24">
        <v>110.883744120242</v>
      </c>
      <c r="F24">
        <v>1.9824057299582201</v>
      </c>
      <c r="G24">
        <v>-1832.5626497627657</v>
      </c>
      <c r="H24">
        <v>-1508.5027839810941</v>
      </c>
      <c r="I24">
        <v>315.49657350790199</v>
      </c>
      <c r="J24">
        <v>160.72398795065999</v>
      </c>
      <c r="K24">
        <v>55.933930398082197</v>
      </c>
      <c r="L24">
        <v>0.85728198837346503</v>
      </c>
      <c r="M24">
        <v>-0.85709575905545921</v>
      </c>
      <c r="N24">
        <v>47.942164329674497</v>
      </c>
      <c r="O24">
        <v>47.942159436938297</v>
      </c>
      <c r="P24">
        <v>47.942154006081701</v>
      </c>
      <c r="Q24" t="s">
        <v>51</v>
      </c>
    </row>
    <row r="25" spans="1:17" x14ac:dyDescent="0.2">
      <c r="A25">
        <v>24</v>
      </c>
      <c r="B25">
        <v>752</v>
      </c>
      <c r="C25">
        <v>280</v>
      </c>
      <c r="D25">
        <v>0.29353801882651298</v>
      </c>
      <c r="E25">
        <v>110.88383942212801</v>
      </c>
      <c r="F25">
        <v>1.98354318232475</v>
      </c>
      <c r="G25">
        <v>-1831.9335746854799</v>
      </c>
      <c r="H25">
        <v>-1508.8968401921657</v>
      </c>
      <c r="I25">
        <v>315.11406945511999</v>
      </c>
      <c r="J25">
        <v>160.734647786941</v>
      </c>
      <c r="K25">
        <v>55.901903427265196</v>
      </c>
      <c r="L25">
        <v>0.8537749470117636</v>
      </c>
      <c r="M25">
        <v>-0.85358790255666772</v>
      </c>
      <c r="N25">
        <v>47.718618203186402</v>
      </c>
      <c r="O25">
        <v>47.7186131859753</v>
      </c>
      <c r="P25">
        <v>47.718607736477303</v>
      </c>
      <c r="Q25" t="s">
        <v>51</v>
      </c>
    </row>
    <row r="26" spans="1:17" x14ac:dyDescent="0.2">
      <c r="A26">
        <v>25</v>
      </c>
      <c r="B26">
        <v>750</v>
      </c>
      <c r="C26">
        <v>280</v>
      </c>
      <c r="D26">
        <v>0.292020231637589</v>
      </c>
      <c r="E26">
        <v>110.883935478815</v>
      </c>
      <c r="F26">
        <v>1.98468609742552</v>
      </c>
      <c r="G26">
        <v>-1831.3052765970826</v>
      </c>
      <c r="H26">
        <v>-1509.2902331161831</v>
      </c>
      <c r="I26">
        <v>314.73147753153899</v>
      </c>
      <c r="J26">
        <v>160.74507493636699</v>
      </c>
      <c r="K26">
        <v>55.869759768383702</v>
      </c>
      <c r="L26">
        <v>0.85030490033781025</v>
      </c>
      <c r="M26">
        <v>-0.8501170592876347</v>
      </c>
      <c r="N26">
        <v>47.497265308946403</v>
      </c>
      <c r="O26">
        <v>47.497260166339302</v>
      </c>
      <c r="P26">
        <v>47.497254698911</v>
      </c>
      <c r="Q26" t="s">
        <v>51</v>
      </c>
    </row>
    <row r="27" spans="1:17" x14ac:dyDescent="0.2">
      <c r="A27">
        <v>26</v>
      </c>
      <c r="B27">
        <v>748</v>
      </c>
      <c r="C27">
        <v>280</v>
      </c>
      <c r="D27">
        <v>0.29049649904519698</v>
      </c>
      <c r="E27">
        <v>110.884032297559</v>
      </c>
      <c r="F27">
        <v>1.9858343788433399</v>
      </c>
      <c r="G27">
        <v>-1830.6777557983628</v>
      </c>
      <c r="H27">
        <v>-1509.6829736336078</v>
      </c>
      <c r="I27">
        <v>314.34878686279802</v>
      </c>
      <c r="J27">
        <v>160.75526788357701</v>
      </c>
      <c r="K27">
        <v>55.837502602882701</v>
      </c>
      <c r="L27">
        <v>0.84687120994186227</v>
      </c>
      <c r="M27">
        <v>-0.84668259065588902</v>
      </c>
      <c r="N27">
        <v>47.278070332783201</v>
      </c>
      <c r="O27">
        <v>47.2780650638867</v>
      </c>
      <c r="P27">
        <v>47.278059579234402</v>
      </c>
      <c r="Q27" t="s">
        <v>51</v>
      </c>
    </row>
    <row r="28" spans="1:17" x14ac:dyDescent="0.2">
      <c r="A28">
        <v>27</v>
      </c>
      <c r="B28">
        <v>746</v>
      </c>
      <c r="C28">
        <v>280</v>
      </c>
      <c r="D28">
        <v>0.288966786047197</v>
      </c>
      <c r="E28">
        <v>110.884129885628</v>
      </c>
      <c r="F28">
        <v>1.986987931649</v>
      </c>
      <c r="G28">
        <v>-1830.0510126118272</v>
      </c>
      <c r="H28">
        <v>-1510.0750723825613</v>
      </c>
      <c r="I28">
        <v>313.96598674821303</v>
      </c>
      <c r="J28">
        <v>160.76522505235999</v>
      </c>
      <c r="K28">
        <v>55.805135058674203</v>
      </c>
      <c r="L28">
        <v>0.84347325149634889</v>
      </c>
      <c r="M28">
        <v>-0.84328387215499656</v>
      </c>
      <c r="N28">
        <v>47.060998714930697</v>
      </c>
      <c r="O28">
        <v>47.060993318878602</v>
      </c>
      <c r="P28">
        <v>47.060987817704401</v>
      </c>
      <c r="Q28" t="s">
        <v>51</v>
      </c>
    </row>
    <row r="29" spans="1:17" x14ac:dyDescent="0.2">
      <c r="A29">
        <v>28</v>
      </c>
      <c r="B29">
        <v>744</v>
      </c>
      <c r="C29">
        <v>280</v>
      </c>
      <c r="D29">
        <v>0.28743105736617303</v>
      </c>
      <c r="E29">
        <v>110.884228250351</v>
      </c>
      <c r="F29">
        <v>1.9881466623617701</v>
      </c>
      <c r="G29">
        <v>-1829.4250473821417</v>
      </c>
      <c r="H29">
        <v>-1510.4665397655529</v>
      </c>
      <c r="I29">
        <v>313.58306665631397</v>
      </c>
      <c r="J29">
        <v>160.774944807037</v>
      </c>
      <c r="K29">
        <v>55.772660211409502</v>
      </c>
      <c r="L29">
        <v>0.8401104143808249</v>
      </c>
      <c r="M29">
        <v>-0.83992029298937665</v>
      </c>
      <c r="N29">
        <v>46.846016630647497</v>
      </c>
      <c r="O29">
        <v>46.846011106601502</v>
      </c>
      <c r="P29">
        <v>46.846005589603102</v>
      </c>
      <c r="Q29" t="s">
        <v>51</v>
      </c>
    </row>
    <row r="30" spans="1:17" x14ac:dyDescent="0.2">
      <c r="A30">
        <v>29</v>
      </c>
      <c r="B30">
        <v>742</v>
      </c>
      <c r="C30">
        <v>280</v>
      </c>
      <c r="D30">
        <v>0.28588927744668102</v>
      </c>
      <c r="E30">
        <v>110.884327399155</v>
      </c>
      <c r="F30">
        <v>1.98931047890948</v>
      </c>
      <c r="G30">
        <v>-1828.7998604764664</v>
      </c>
      <c r="H30">
        <v>-1510.8573859565131</v>
      </c>
      <c r="I30">
        <v>313.20001621990701</v>
      </c>
      <c r="J30">
        <v>160.784425454115</v>
      </c>
      <c r="K30">
        <v>55.740081085754099</v>
      </c>
      <c r="L30">
        <v>0.83678210128612829</v>
      </c>
      <c r="M30">
        <v>-0.83659125567831427</v>
      </c>
      <c r="N30">
        <v>46.633090969636903</v>
      </c>
      <c r="O30">
        <v>46.633085316787003</v>
      </c>
      <c r="P30">
        <v>46.633079784657802</v>
      </c>
      <c r="Q30" t="s">
        <v>51</v>
      </c>
    </row>
    <row r="31" spans="1:17" x14ac:dyDescent="0.2">
      <c r="A31">
        <v>30</v>
      </c>
      <c r="B31">
        <v>740</v>
      </c>
      <c r="C31">
        <v>280</v>
      </c>
      <c r="D31">
        <v>0.28434141045255101</v>
      </c>
      <c r="E31">
        <v>110.884427339512</v>
      </c>
      <c r="F31">
        <v>1.9904792905920601</v>
      </c>
      <c r="G31">
        <v>-1828.1754522831955</v>
      </c>
      <c r="H31">
        <v>-1511.2476209053727</v>
      </c>
      <c r="I31">
        <v>312.81682523193302</v>
      </c>
      <c r="J31">
        <v>160.793665243389</v>
      </c>
      <c r="K31">
        <v>55.707400656517002</v>
      </c>
      <c r="L31">
        <v>0.83348772787834358</v>
      </c>
      <c r="M31">
        <v>-0.83329617571980286</v>
      </c>
      <c r="N31">
        <v>46.4221893186456</v>
      </c>
      <c r="O31">
        <v>46.422183536209999</v>
      </c>
      <c r="P31">
        <v>46.422177989639003</v>
      </c>
      <c r="Q31" t="s">
        <v>51</v>
      </c>
    </row>
    <row r="32" spans="1:17" x14ac:dyDescent="0.2">
      <c r="A32">
        <v>31</v>
      </c>
      <c r="B32">
        <v>738</v>
      </c>
      <c r="C32">
        <v>280</v>
      </c>
      <c r="D32">
        <v>0.28278742026405701</v>
      </c>
      <c r="E32">
        <v>110.884528078947</v>
      </c>
      <c r="F32">
        <v>1.99165300804319</v>
      </c>
      <c r="G32">
        <v>-1827.5518232118086</v>
      </c>
      <c r="H32">
        <v>-1511.6372543443047</v>
      </c>
      <c r="I32">
        <v>312.43348364074097</v>
      </c>
      <c r="J32">
        <v>160.80266236959699</v>
      </c>
      <c r="K32">
        <v>55.674621849863101</v>
      </c>
      <c r="L32">
        <v>0.83022672242496098</v>
      </c>
      <c r="M32">
        <v>-0.83003448121656498</v>
      </c>
      <c r="N32">
        <v>46.213279941984901</v>
      </c>
      <c r="O32">
        <v>46.213274029210702</v>
      </c>
      <c r="P32">
        <v>46.213268468882603</v>
      </c>
      <c r="Q32" t="s">
        <v>51</v>
      </c>
    </row>
    <row r="33" spans="1:17" x14ac:dyDescent="0.2">
      <c r="A33">
        <v>32</v>
      </c>
      <c r="B33">
        <v>736</v>
      </c>
      <c r="C33">
        <v>280</v>
      </c>
      <c r="D33">
        <v>0.281227270475152</v>
      </c>
      <c r="E33">
        <v>110.892237854781</v>
      </c>
      <c r="F33">
        <v>1.9294977760899901</v>
      </c>
      <c r="G33">
        <v>-1827.0736923123952</v>
      </c>
      <c r="H33">
        <v>-1524.4553292974583</v>
      </c>
      <c r="I33">
        <v>299.879731048542</v>
      </c>
      <c r="J33">
        <v>161.15226965444199</v>
      </c>
      <c r="K33">
        <v>57.472073421871201</v>
      </c>
      <c r="L33">
        <v>0.22154711762514001</v>
      </c>
      <c r="M33">
        <v>-0.22115277728752186</v>
      </c>
      <c r="N33">
        <v>12.7130745719289</v>
      </c>
      <c r="O33">
        <v>12.713062949925799</v>
      </c>
      <c r="P33">
        <v>12.713051488747899</v>
      </c>
      <c r="Q33" t="s">
        <v>51</v>
      </c>
    </row>
    <row r="34" spans="1:17" x14ac:dyDescent="0.2">
      <c r="A34">
        <v>33</v>
      </c>
      <c r="B34">
        <v>734</v>
      </c>
      <c r="C34">
        <v>280</v>
      </c>
      <c r="D34">
        <v>0.27966092439060802</v>
      </c>
      <c r="E34">
        <v>110.89244640874</v>
      </c>
      <c r="F34">
        <v>1.92398158388317</v>
      </c>
      <c r="G34">
        <v>-1826.479299246113</v>
      </c>
      <c r="H34">
        <v>-1526.2257307865641</v>
      </c>
      <c r="I34">
        <v>298.12753880906598</v>
      </c>
      <c r="J34">
        <v>161.26528262600701</v>
      </c>
      <c r="K34">
        <v>57.636958345997201</v>
      </c>
      <c r="L34">
        <v>0.1533875440122672</v>
      </c>
      <c r="M34">
        <v>-0.15297111363492918</v>
      </c>
      <c r="N34">
        <v>8.8199157733156994</v>
      </c>
      <c r="O34">
        <v>8.8199033454331595</v>
      </c>
      <c r="P34">
        <v>8.8198912330263592</v>
      </c>
      <c r="Q34" t="s">
        <v>51</v>
      </c>
    </row>
    <row r="35" spans="1:17" x14ac:dyDescent="0.2">
      <c r="A35">
        <v>34</v>
      </c>
      <c r="B35">
        <v>732</v>
      </c>
      <c r="C35">
        <v>280</v>
      </c>
      <c r="D35">
        <v>0.27808834502313201</v>
      </c>
      <c r="E35">
        <v>110.892445398465</v>
      </c>
      <c r="F35">
        <v>1.92237407671376</v>
      </c>
      <c r="G35">
        <v>-1825.8840645516043</v>
      </c>
      <c r="H35">
        <v>-1527.2057629498681</v>
      </c>
      <c r="I35">
        <v>297.15368459046698</v>
      </c>
      <c r="J35">
        <v>161.36711055625301</v>
      </c>
      <c r="K35">
        <v>57.685154383704401</v>
      </c>
      <c r="L35">
        <v>0.12265674000459433</v>
      </c>
      <c r="M35">
        <v>-0.12223068385792563</v>
      </c>
      <c r="N35">
        <v>7.0540827833003297</v>
      </c>
      <c r="O35">
        <v>7.0540699035598902</v>
      </c>
      <c r="P35">
        <v>7.0540575172789604</v>
      </c>
      <c r="Q35" t="s">
        <v>51</v>
      </c>
    </row>
    <row r="36" spans="1:17" x14ac:dyDescent="0.2">
      <c r="A36">
        <v>35</v>
      </c>
      <c r="B36">
        <v>730</v>
      </c>
      <c r="C36">
        <v>280</v>
      </c>
      <c r="D36">
        <v>0.27650949509046802</v>
      </c>
      <c r="E36">
        <v>110.892373847901</v>
      </c>
      <c r="F36">
        <v>1.9220766830546301</v>
      </c>
      <c r="G36">
        <v>-1825.2893340871808</v>
      </c>
      <c r="H36">
        <v>-1527.9194987433564</v>
      </c>
      <c r="I36">
        <v>296.44185204940101</v>
      </c>
      <c r="J36">
        <v>161.468909160469</v>
      </c>
      <c r="K36">
        <v>57.694042503896</v>
      </c>
      <c r="L36">
        <v>0.10447262430052501</v>
      </c>
      <c r="M36">
        <v>-0.104041124016732</v>
      </c>
      <c r="N36">
        <v>6.0057672872695802</v>
      </c>
      <c r="O36">
        <v>6.0057540781047303</v>
      </c>
      <c r="P36">
        <v>6.0057415455747503</v>
      </c>
      <c r="Q36" t="s">
        <v>51</v>
      </c>
    </row>
    <row r="37" spans="1:17" x14ac:dyDescent="0.2">
      <c r="A37">
        <v>36</v>
      </c>
      <c r="B37">
        <v>728</v>
      </c>
      <c r="C37">
        <v>280</v>
      </c>
      <c r="D37">
        <v>0.27492433701243602</v>
      </c>
      <c r="E37">
        <v>110.892268380381</v>
      </c>
      <c r="F37">
        <v>1.9223939773218299</v>
      </c>
      <c r="G37">
        <v>-1824.6953414279108</v>
      </c>
      <c r="H37">
        <v>-1528.5079278470989</v>
      </c>
      <c r="I37">
        <v>295.85304782721698</v>
      </c>
      <c r="J37">
        <v>161.57395734976299</v>
      </c>
      <c r="K37">
        <v>57.684465145313297</v>
      </c>
      <c r="L37">
        <v>9.2180643596903533E-2</v>
      </c>
      <c r="M37">
        <v>-9.1745664800996038E-2</v>
      </c>
      <c r="N37">
        <v>5.2955254239084297</v>
      </c>
      <c r="O37">
        <v>5.29551194565376</v>
      </c>
      <c r="P37">
        <v>5.2954993272556603</v>
      </c>
      <c r="Q37" t="s">
        <v>51</v>
      </c>
    </row>
    <row r="38" spans="1:17" x14ac:dyDescent="0.2">
      <c r="A38">
        <v>37</v>
      </c>
      <c r="B38">
        <v>726</v>
      </c>
      <c r="C38">
        <v>280</v>
      </c>
      <c r="D38">
        <v>0.273332832907971</v>
      </c>
      <c r="E38">
        <v>110.89214294496399</v>
      </c>
      <c r="F38">
        <v>1.9230546196876801</v>
      </c>
      <c r="G38">
        <v>-1824.1021286668058</v>
      </c>
      <c r="H38">
        <v>-1529.0262539473622</v>
      </c>
      <c r="I38">
        <v>295.332814259587</v>
      </c>
      <c r="J38">
        <v>161.683728973905</v>
      </c>
      <c r="K38">
        <v>57.664583111515597</v>
      </c>
      <c r="L38">
        <v>8.318340313070989E-2</v>
      </c>
      <c r="M38">
        <v>-8.2746046471951454E-2</v>
      </c>
      <c r="N38">
        <v>4.7747448285927101</v>
      </c>
      <c r="O38">
        <v>4.7747311173437197</v>
      </c>
      <c r="P38">
        <v>4.7747184471219297</v>
      </c>
      <c r="Q38" t="s">
        <v>51</v>
      </c>
    </row>
    <row r="39" spans="1:17" x14ac:dyDescent="0.2">
      <c r="A39">
        <v>38</v>
      </c>
      <c r="B39">
        <v>760</v>
      </c>
      <c r="C39">
        <v>260</v>
      </c>
      <c r="D39">
        <v>0.320844504670183</v>
      </c>
      <c r="E39">
        <v>110.88371029788</v>
      </c>
      <c r="F39">
        <v>1.95271324216858</v>
      </c>
      <c r="G39">
        <v>-1835.5864838676464</v>
      </c>
      <c r="H39">
        <v>-1508.1557399731762</v>
      </c>
      <c r="I39">
        <v>316.92719819426702</v>
      </c>
      <c r="J39">
        <v>161.35427378051099</v>
      </c>
      <c r="K39">
        <v>56.784430966800997</v>
      </c>
      <c r="L39">
        <v>0.85122047766466169</v>
      </c>
      <c r="M39">
        <v>-0.85100184300897519</v>
      </c>
      <c r="N39">
        <v>48.325480977941503</v>
      </c>
      <c r="O39">
        <v>48.325476077191396</v>
      </c>
      <c r="P39">
        <v>48.325468937115602</v>
      </c>
      <c r="Q39" t="s">
        <v>51</v>
      </c>
    </row>
    <row r="40" spans="1:17" x14ac:dyDescent="0.2">
      <c r="A40">
        <v>39</v>
      </c>
      <c r="B40">
        <v>758</v>
      </c>
      <c r="C40">
        <v>260</v>
      </c>
      <c r="D40">
        <v>0.31939145614120401</v>
      </c>
      <c r="E40">
        <v>110.883793708205</v>
      </c>
      <c r="F40">
        <v>1.9538926394255101</v>
      </c>
      <c r="G40">
        <v>-1834.954294113154</v>
      </c>
      <c r="H40">
        <v>-1508.5042108139828</v>
      </c>
      <c r="I40">
        <v>316.59087413384498</v>
      </c>
      <c r="J40">
        <v>161.353692514974</v>
      </c>
      <c r="K40">
        <v>56.750197769723897</v>
      </c>
      <c r="L40">
        <v>0.85016652451301822</v>
      </c>
      <c r="M40">
        <v>-0.84994770741548309</v>
      </c>
      <c r="N40">
        <v>48.236519124358203</v>
      </c>
      <c r="O40">
        <v>48.236514085990301</v>
      </c>
      <c r="P40">
        <v>48.236506944526298</v>
      </c>
      <c r="Q40" t="s">
        <v>51</v>
      </c>
    </row>
    <row r="41" spans="1:17" x14ac:dyDescent="0.2">
      <c r="A41">
        <v>40</v>
      </c>
      <c r="B41">
        <v>756</v>
      </c>
      <c r="C41">
        <v>260</v>
      </c>
      <c r="D41">
        <v>0.317932760044698</v>
      </c>
      <c r="E41">
        <v>110.88388826158899</v>
      </c>
      <c r="F41">
        <v>1.9550724457300099</v>
      </c>
      <c r="G41">
        <v>-1834.3230183028961</v>
      </c>
      <c r="H41">
        <v>-1508.8983101982778</v>
      </c>
      <c r="I41">
        <v>316.20980271801699</v>
      </c>
      <c r="J41">
        <v>161.36708662735501</v>
      </c>
      <c r="K41">
        <v>56.715999708228601</v>
      </c>
      <c r="L41">
        <v>0.84674730661809605</v>
      </c>
      <c r="M41">
        <v>-0.84652762422446903</v>
      </c>
      <c r="N41">
        <v>48.013477956450799</v>
      </c>
      <c r="O41">
        <v>48.013472763278997</v>
      </c>
      <c r="P41">
        <v>48.013465598393601</v>
      </c>
      <c r="Q41" t="s">
        <v>51</v>
      </c>
    </row>
    <row r="42" spans="1:17" x14ac:dyDescent="0.2">
      <c r="A42">
        <v>41</v>
      </c>
      <c r="B42">
        <v>754</v>
      </c>
      <c r="C42">
        <v>260</v>
      </c>
      <c r="D42">
        <v>0.31646838339093702</v>
      </c>
      <c r="E42">
        <v>110.88398356107599</v>
      </c>
      <c r="F42">
        <v>1.95625820934316</v>
      </c>
      <c r="G42">
        <v>-1833.692516503442</v>
      </c>
      <c r="H42">
        <v>-1509.2917625758046</v>
      </c>
      <c r="I42">
        <v>315.82863061497801</v>
      </c>
      <c r="J42">
        <v>161.380286473513</v>
      </c>
      <c r="K42">
        <v>56.68167066673</v>
      </c>
      <c r="L42">
        <v>0.84336421038137865</v>
      </c>
      <c r="M42">
        <v>-0.84314368262904094</v>
      </c>
      <c r="N42">
        <v>47.792608628228002</v>
      </c>
      <c r="O42">
        <v>47.792603278818902</v>
      </c>
      <c r="P42">
        <v>47.792596091376502</v>
      </c>
      <c r="Q42" t="s">
        <v>51</v>
      </c>
    </row>
    <row r="43" spans="1:17" x14ac:dyDescent="0.2">
      <c r="A43">
        <v>42</v>
      </c>
      <c r="B43">
        <v>752</v>
      </c>
      <c r="C43">
        <v>260</v>
      </c>
      <c r="D43">
        <v>0.31499829293274201</v>
      </c>
      <c r="E43">
        <v>110.884079613762</v>
      </c>
      <c r="F43">
        <v>1.9574498218971399</v>
      </c>
      <c r="G43">
        <v>-1833.0627890385847</v>
      </c>
      <c r="H43">
        <v>-1509.6845786067831</v>
      </c>
      <c r="I43">
        <v>315.44734715500402</v>
      </c>
      <c r="J43">
        <v>161.393289899168</v>
      </c>
      <c r="K43">
        <v>56.6472143364037</v>
      </c>
      <c r="L43">
        <v>0.84001661107910708</v>
      </c>
      <c r="M43">
        <v>-0.83979525773018171</v>
      </c>
      <c r="N43">
        <v>47.573876452633201</v>
      </c>
      <c r="O43">
        <v>47.573870945587998</v>
      </c>
      <c r="P43">
        <v>47.5738637364501</v>
      </c>
      <c r="Q43" t="s">
        <v>51</v>
      </c>
    </row>
    <row r="44" spans="1:17" x14ac:dyDescent="0.2">
      <c r="A44">
        <v>43</v>
      </c>
      <c r="B44">
        <v>750</v>
      </c>
      <c r="C44">
        <v>260</v>
      </c>
      <c r="D44">
        <v>0.313522455162978</v>
      </c>
      <c r="E44">
        <v>110.884176426813</v>
      </c>
      <c r="F44">
        <v>1.9586471764526501</v>
      </c>
      <c r="G44">
        <v>-1832.433836254379</v>
      </c>
      <c r="H44">
        <v>-1510.0767687148793</v>
      </c>
      <c r="I44">
        <v>315.06594183785802</v>
      </c>
      <c r="J44">
        <v>161.406094693402</v>
      </c>
      <c r="K44">
        <v>56.612634352878999</v>
      </c>
      <c r="L44">
        <v>0.83670389768122599</v>
      </c>
      <c r="M44">
        <v>-0.83648173832618788</v>
      </c>
      <c r="N44">
        <v>47.357247480660099</v>
      </c>
      <c r="O44">
        <v>47.357241814615399</v>
      </c>
      <c r="P44">
        <v>47.357234584640103</v>
      </c>
      <c r="Q44" t="s">
        <v>51</v>
      </c>
    </row>
    <row r="45" spans="1:17" x14ac:dyDescent="0.2">
      <c r="A45">
        <v>44</v>
      </c>
      <c r="B45">
        <v>748</v>
      </c>
      <c r="C45">
        <v>260</v>
      </c>
      <c r="D45">
        <v>0.31204083631200402</v>
      </c>
      <c r="E45">
        <v>110.88427400747</v>
      </c>
      <c r="F45">
        <v>1.95985016745216</v>
      </c>
      <c r="G45">
        <v>-1831.805658518969</v>
      </c>
      <c r="H45">
        <v>-1510.4683430935022</v>
      </c>
      <c r="I45">
        <v>314.68440432810701</v>
      </c>
      <c r="J45">
        <v>161.41869859050701</v>
      </c>
      <c r="K45">
        <v>56.577934297713199</v>
      </c>
      <c r="L45">
        <v>0.83342547246813237</v>
      </c>
      <c r="M45">
        <v>-0.83320252652925597</v>
      </c>
      <c r="N45">
        <v>47.142688481506603</v>
      </c>
      <c r="O45">
        <v>47.142682655134799</v>
      </c>
      <c r="P45">
        <v>47.1426754051773</v>
      </c>
      <c r="Q45" t="s">
        <v>51</v>
      </c>
    </row>
    <row r="46" spans="1:17" x14ac:dyDescent="0.2">
      <c r="A46">
        <v>45</v>
      </c>
      <c r="B46">
        <v>746</v>
      </c>
      <c r="C46">
        <v>260</v>
      </c>
      <c r="D46">
        <v>0.31055340234509199</v>
      </c>
      <c r="E46">
        <v>110.88437236306</v>
      </c>
      <c r="F46">
        <v>1.96105869067644</v>
      </c>
      <c r="G46">
        <v>-1831.178256222265</v>
      </c>
      <c r="H46">
        <v>-1510.8593117114881</v>
      </c>
      <c r="I46">
        <v>314.30272445085501</v>
      </c>
      <c r="J46">
        <v>161.431099271661</v>
      </c>
      <c r="K46">
        <v>56.543117699762298</v>
      </c>
      <c r="L46">
        <v>0.83018075067684238</v>
      </c>
      <c r="M46">
        <v>-0.82995703741149707</v>
      </c>
      <c r="N46">
        <v>46.930166924261798</v>
      </c>
      <c r="O46">
        <v>46.930160936271797</v>
      </c>
      <c r="P46">
        <v>46.9301536671843</v>
      </c>
      <c r="Q46" t="s">
        <v>51</v>
      </c>
    </row>
    <row r="47" spans="1:17" x14ac:dyDescent="0.2">
      <c r="A47">
        <v>46</v>
      </c>
      <c r="B47">
        <v>744</v>
      </c>
      <c r="C47">
        <v>260</v>
      </c>
      <c r="D47">
        <v>0.30906011895984098</v>
      </c>
      <c r="E47">
        <v>110.88447150094601</v>
      </c>
      <c r="F47">
        <v>1.96227264320266</v>
      </c>
      <c r="G47">
        <v>-1830.551629775016</v>
      </c>
      <c r="H47">
        <v>-1511.2496843184686</v>
      </c>
      <c r="I47">
        <v>313.92089218712402</v>
      </c>
      <c r="J47">
        <v>161.443294366668</v>
      </c>
      <c r="K47">
        <v>56.508188036485002</v>
      </c>
      <c r="L47">
        <v>0.8269691601377015</v>
      </c>
      <c r="M47">
        <v>-0.82674469864149525</v>
      </c>
      <c r="N47">
        <v>46.719650958956201</v>
      </c>
      <c r="O47">
        <v>46.719644808094301</v>
      </c>
      <c r="P47">
        <v>46.719637520725698</v>
      </c>
      <c r="Q47" t="s">
        <v>51</v>
      </c>
    </row>
    <row r="48" spans="1:17" x14ac:dyDescent="0.2">
      <c r="A48">
        <v>47</v>
      </c>
      <c r="B48">
        <v>742</v>
      </c>
      <c r="C48">
        <v>260</v>
      </c>
      <c r="D48">
        <v>0.30756095158350699</v>
      </c>
      <c r="E48">
        <v>110.884569836975</v>
      </c>
      <c r="F48">
        <v>1.96101572710323</v>
      </c>
      <c r="G48">
        <v>-1829.9259593752893</v>
      </c>
      <c r="H48">
        <v>-1511.985185341571</v>
      </c>
      <c r="I48">
        <v>313.198602008649</v>
      </c>
      <c r="J48">
        <v>161.48941365928999</v>
      </c>
      <c r="K48">
        <v>56.544457193503398</v>
      </c>
      <c r="L48">
        <v>0.80676658930785039</v>
      </c>
      <c r="M48">
        <v>-0.80653441001406223</v>
      </c>
      <c r="N48">
        <v>45.606910996687198</v>
      </c>
      <c r="O48">
        <v>45.6069045131945</v>
      </c>
      <c r="P48">
        <v>45.606896981495602</v>
      </c>
      <c r="Q48" t="s">
        <v>51</v>
      </c>
    </row>
    <row r="49" spans="1:17" x14ac:dyDescent="0.2">
      <c r="A49">
        <v>48</v>
      </c>
      <c r="B49">
        <v>740</v>
      </c>
      <c r="C49">
        <v>260</v>
      </c>
      <c r="D49">
        <v>0.30605586537038199</v>
      </c>
      <c r="E49">
        <v>110.892643113796</v>
      </c>
      <c r="F49">
        <v>1.9094051540554</v>
      </c>
      <c r="G49">
        <v>-1829.4406400076732</v>
      </c>
      <c r="H49">
        <v>-1522.7669572284394</v>
      </c>
      <c r="I49">
        <v>302.69816190191699</v>
      </c>
      <c r="J49">
        <v>161.492721041523</v>
      </c>
      <c r="K49">
        <v>58.077062837224503</v>
      </c>
      <c r="L49">
        <v>0.30042855305775884</v>
      </c>
      <c r="M49">
        <v>-0.30001892134103103</v>
      </c>
      <c r="N49">
        <v>17.427542065984198</v>
      </c>
      <c r="O49">
        <v>17.427530834447001</v>
      </c>
      <c r="P49">
        <v>17.427517463369401</v>
      </c>
      <c r="Q49" t="s">
        <v>51</v>
      </c>
    </row>
    <row r="50" spans="1:17" x14ac:dyDescent="0.2">
      <c r="A50">
        <v>49</v>
      </c>
      <c r="B50">
        <v>738</v>
      </c>
      <c r="C50">
        <v>260</v>
      </c>
      <c r="D50">
        <v>0.30454482519902998</v>
      </c>
      <c r="E50">
        <v>110.89329709788601</v>
      </c>
      <c r="F50">
        <v>1.8983727815278</v>
      </c>
      <c r="G50">
        <v>-1828.8492799866976</v>
      </c>
      <c r="H50">
        <v>-1525.6902953839028</v>
      </c>
      <c r="I50">
        <v>299.82147516227201</v>
      </c>
      <c r="J50">
        <v>161.547747402775</v>
      </c>
      <c r="K50">
        <v>58.414921545935698</v>
      </c>
      <c r="L50">
        <v>0.17826701526196984</v>
      </c>
      <c r="M50">
        <v>-0.17781519249282307</v>
      </c>
      <c r="N50">
        <v>10.3907284430231</v>
      </c>
      <c r="O50">
        <v>10.390715842942701</v>
      </c>
      <c r="P50">
        <v>10.3907010526126</v>
      </c>
      <c r="Q50" t="s">
        <v>51</v>
      </c>
    </row>
    <row r="51" spans="1:17" x14ac:dyDescent="0.2">
      <c r="A51">
        <v>50</v>
      </c>
      <c r="B51">
        <v>736</v>
      </c>
      <c r="C51">
        <v>260</v>
      </c>
      <c r="D51">
        <v>0.30302779566962401</v>
      </c>
      <c r="E51">
        <v>110.893315442717</v>
      </c>
      <c r="F51">
        <v>1.89562070120598</v>
      </c>
      <c r="G51">
        <v>-1828.2512778853397</v>
      </c>
      <c r="H51">
        <v>-1526.9365077663128</v>
      </c>
      <c r="I51">
        <v>298.58837728528403</v>
      </c>
      <c r="J51">
        <v>161.62041353565499</v>
      </c>
      <c r="K51">
        <v>58.499738566986302</v>
      </c>
      <c r="L51">
        <v>0.13532074918610967</v>
      </c>
      <c r="M51">
        <v>-0.13485453116465626</v>
      </c>
      <c r="N51">
        <v>7.8927276298027502</v>
      </c>
      <c r="O51">
        <v>7.8927143930811798</v>
      </c>
      <c r="P51">
        <v>7.8926991280397401</v>
      </c>
      <c r="Q51" t="s">
        <v>51</v>
      </c>
    </row>
    <row r="52" spans="1:17" x14ac:dyDescent="0.2">
      <c r="A52">
        <v>51</v>
      </c>
      <c r="B52">
        <v>734</v>
      </c>
      <c r="C52">
        <v>260</v>
      </c>
      <c r="D52">
        <v>0.30150474110112602</v>
      </c>
      <c r="E52">
        <v>110.89325091347899</v>
      </c>
      <c r="F52">
        <v>1.89495327245248</v>
      </c>
      <c r="G52">
        <v>-1827.653904941362</v>
      </c>
      <c r="H52">
        <v>-1527.7547131805929</v>
      </c>
      <c r="I52">
        <v>297.77588674032802</v>
      </c>
      <c r="J52">
        <v>161.70203530581799</v>
      </c>
      <c r="K52">
        <v>58.520308930868502</v>
      </c>
      <c r="L52">
        <v>0.11242529712274334</v>
      </c>
      <c r="M52">
        <v>-0.11195171295191196</v>
      </c>
      <c r="N52">
        <v>6.5552655971632001</v>
      </c>
      <c r="O52">
        <v>6.5552519131108502</v>
      </c>
      <c r="P52">
        <v>6.5552364148729101</v>
      </c>
      <c r="Q52" t="s">
        <v>51</v>
      </c>
    </row>
    <row r="53" spans="1:17" x14ac:dyDescent="0.2">
      <c r="A53">
        <v>52</v>
      </c>
      <c r="B53">
        <v>732</v>
      </c>
      <c r="C53">
        <v>260</v>
      </c>
      <c r="D53">
        <v>0.29997562552852802</v>
      </c>
      <c r="E53">
        <v>110.893151758729</v>
      </c>
      <c r="F53">
        <v>1.89514245977524</v>
      </c>
      <c r="G53">
        <v>-1827.057401171993</v>
      </c>
      <c r="H53">
        <v>-1528.396298264295</v>
      </c>
      <c r="I53">
        <v>297.13670644396899</v>
      </c>
      <c r="J53">
        <v>161.79053736114</v>
      </c>
      <c r="K53">
        <v>58.5144146745995</v>
      </c>
      <c r="L53">
        <v>9.7776892911708047E-2</v>
      </c>
      <c r="M53">
        <v>-9.7298836683770151E-2</v>
      </c>
      <c r="N53">
        <v>5.6972200415007102</v>
      </c>
      <c r="O53">
        <v>5.6972059907151698</v>
      </c>
      <c r="P53">
        <v>5.6971903594212501</v>
      </c>
      <c r="Q53" t="s">
        <v>51</v>
      </c>
    </row>
    <row r="54" spans="1:17" x14ac:dyDescent="0.2">
      <c r="A54">
        <v>53</v>
      </c>
      <c r="B54">
        <v>730</v>
      </c>
      <c r="C54">
        <v>260</v>
      </c>
      <c r="D54">
        <v>0.29844041269999899</v>
      </c>
      <c r="E54">
        <v>110.893033664016</v>
      </c>
      <c r="F54">
        <v>1.89577644688174</v>
      </c>
      <c r="G54">
        <v>-1826.4617705724984</v>
      </c>
      <c r="H54">
        <v>-1528.9459734019165</v>
      </c>
      <c r="I54">
        <v>296.58745015815799</v>
      </c>
      <c r="J54">
        <v>161.88538395795101</v>
      </c>
      <c r="K54">
        <v>58.4947839427048</v>
      </c>
      <c r="L54">
        <v>8.741462351901616E-2</v>
      </c>
      <c r="M54">
        <v>-8.6933602025329737E-2</v>
      </c>
      <c r="N54">
        <v>5.0890035247377696</v>
      </c>
      <c r="O54">
        <v>5.08898915144702</v>
      </c>
      <c r="P54">
        <v>5.0889734395968897</v>
      </c>
      <c r="Q54" t="s">
        <v>51</v>
      </c>
    </row>
    <row r="55" spans="1:17" x14ac:dyDescent="0.2">
      <c r="A55">
        <v>54</v>
      </c>
      <c r="B55">
        <v>728</v>
      </c>
      <c r="C55">
        <v>260</v>
      </c>
      <c r="D55">
        <v>0.29689906607401501</v>
      </c>
      <c r="E55">
        <v>110.89290326102601</v>
      </c>
      <c r="F55">
        <v>1.89667473369541</v>
      </c>
      <c r="G55">
        <v>-1825.8669820541622</v>
      </c>
      <c r="H55">
        <v>-1529.440995877477</v>
      </c>
      <c r="I55">
        <v>296.09141900490602</v>
      </c>
      <c r="J55">
        <v>161.986504295407</v>
      </c>
      <c r="K55">
        <v>58.467011391545398</v>
      </c>
      <c r="L55">
        <v>7.9600869449496459E-2</v>
      </c>
      <c r="M55">
        <v>-7.9117781017974578E-2</v>
      </c>
      <c r="N55">
        <v>4.6296193590688199</v>
      </c>
      <c r="O55">
        <v>4.6296046916515303</v>
      </c>
      <c r="P55">
        <v>4.6295889307959399</v>
      </c>
      <c r="Q55" t="s">
        <v>51</v>
      </c>
    </row>
    <row r="56" spans="1:17" x14ac:dyDescent="0.2">
      <c r="A56">
        <v>55</v>
      </c>
      <c r="B56">
        <v>760</v>
      </c>
      <c r="C56">
        <v>240</v>
      </c>
      <c r="D56">
        <v>0.34213860523641398</v>
      </c>
      <c r="E56">
        <v>110.883949548381</v>
      </c>
      <c r="F56">
        <v>1.9235476527263</v>
      </c>
      <c r="G56">
        <v>-1836.7344376681165</v>
      </c>
      <c r="H56">
        <v>-1508.9307182007717</v>
      </c>
      <c r="I56">
        <v>317.288382910905</v>
      </c>
      <c r="J56">
        <v>162.01302147935601</v>
      </c>
      <c r="K56">
        <v>57.6455433226323</v>
      </c>
      <c r="L56">
        <v>0.83573612772986938</v>
      </c>
      <c r="M56">
        <v>-0.83547592849295993</v>
      </c>
      <c r="N56">
        <v>48.163815391583597</v>
      </c>
      <c r="O56">
        <v>48.163810528319999</v>
      </c>
      <c r="P56">
        <v>48.163800973748799</v>
      </c>
      <c r="Q56" t="s">
        <v>51</v>
      </c>
    </row>
    <row r="57" spans="1:17" x14ac:dyDescent="0.2">
      <c r="A57">
        <v>56</v>
      </c>
      <c r="B57">
        <v>758</v>
      </c>
      <c r="C57">
        <v>240</v>
      </c>
      <c r="D57">
        <v>0.34072685836202499</v>
      </c>
      <c r="E57">
        <v>110.884034684602</v>
      </c>
      <c r="F57">
        <v>1.92480423782816</v>
      </c>
      <c r="G57">
        <v>-1836.1015583847725</v>
      </c>
      <c r="H57">
        <v>-1509.2837625832115</v>
      </c>
      <c r="I57">
        <v>316.94765577851598</v>
      </c>
      <c r="J57">
        <v>162.017340747894</v>
      </c>
      <c r="K57">
        <v>57.607954359928598</v>
      </c>
      <c r="L57">
        <v>0.83455708651787697</v>
      </c>
      <c r="M57">
        <v>-0.83429664613487586</v>
      </c>
      <c r="N57">
        <v>48.064465552470999</v>
      </c>
      <c r="O57">
        <v>48.064460506039602</v>
      </c>
      <c r="P57">
        <v>48.064450946011803</v>
      </c>
      <c r="Q57" t="s">
        <v>51</v>
      </c>
    </row>
    <row r="58" spans="1:17" x14ac:dyDescent="0.2">
      <c r="A58">
        <v>57</v>
      </c>
      <c r="B58">
        <v>756</v>
      </c>
      <c r="C58">
        <v>240</v>
      </c>
      <c r="D58">
        <v>0.33930962444735902</v>
      </c>
      <c r="E58">
        <v>110.88412993875799</v>
      </c>
      <c r="F58">
        <v>1.92605222384584</v>
      </c>
      <c r="G58">
        <v>-1835.4695797513468</v>
      </c>
      <c r="H58">
        <v>-1509.6764412496623</v>
      </c>
      <c r="I58">
        <v>316.567974546578</v>
      </c>
      <c r="J58">
        <v>162.033599106222</v>
      </c>
      <c r="K58">
        <v>57.570676727212899</v>
      </c>
      <c r="L58">
        <v>0.83131912445471223</v>
      </c>
      <c r="M58">
        <v>-0.83105780106555915</v>
      </c>
      <c r="N58">
        <v>47.8468991863583</v>
      </c>
      <c r="O58">
        <v>47.8468939421223</v>
      </c>
      <c r="P58">
        <v>47.846884353329898</v>
      </c>
      <c r="Q58" t="s">
        <v>51</v>
      </c>
    </row>
    <row r="59" spans="1:17" x14ac:dyDescent="0.2">
      <c r="A59">
        <v>58</v>
      </c>
      <c r="B59">
        <v>754</v>
      </c>
      <c r="C59">
        <v>240</v>
      </c>
      <c r="D59">
        <v>0.33788687144039198</v>
      </c>
      <c r="E59">
        <v>110.88422594419499</v>
      </c>
      <c r="F59">
        <v>1.9273066288137</v>
      </c>
      <c r="G59">
        <v>-1834.838372480204</v>
      </c>
      <c r="H59">
        <v>-1510.0685161651538</v>
      </c>
      <c r="I59">
        <v>316.18815336599198</v>
      </c>
      <c r="J59">
        <v>162.049701691937</v>
      </c>
      <c r="K59">
        <v>57.5332561443252</v>
      </c>
      <c r="L59">
        <v>0.82811498314472198</v>
      </c>
      <c r="M59">
        <v>-0.82785279806811662</v>
      </c>
      <c r="N59">
        <v>47.6314027530698</v>
      </c>
      <c r="O59">
        <v>47.631397308833101</v>
      </c>
      <c r="P59">
        <v>47.631387692325397</v>
      </c>
      <c r="Q59" t="s">
        <v>51</v>
      </c>
    </row>
    <row r="60" spans="1:17" x14ac:dyDescent="0.2">
      <c r="A60">
        <v>59</v>
      </c>
      <c r="B60">
        <v>752</v>
      </c>
      <c r="C60">
        <v>240</v>
      </c>
      <c r="D60">
        <v>0.33645856703896998</v>
      </c>
      <c r="E60">
        <v>110.884322707994</v>
      </c>
      <c r="F60">
        <v>1.9285673363542599</v>
      </c>
      <c r="G60">
        <v>-1834.2079369730129</v>
      </c>
      <c r="H60">
        <v>-1510.4599972585488</v>
      </c>
      <c r="I60">
        <v>315.80818212642902</v>
      </c>
      <c r="J60">
        <v>162.06564528673599</v>
      </c>
      <c r="K60">
        <v>57.495696737044298</v>
      </c>
      <c r="L60">
        <v>0.82494408236000571</v>
      </c>
      <c r="M60">
        <v>-0.82468105676870906</v>
      </c>
      <c r="N60">
        <v>47.417943866187699</v>
      </c>
      <c r="O60">
        <v>47.417938219797897</v>
      </c>
      <c r="P60">
        <v>47.417928576624298</v>
      </c>
      <c r="Q60" t="s">
        <v>51</v>
      </c>
    </row>
    <row r="61" spans="1:17" x14ac:dyDescent="0.2">
      <c r="A61">
        <v>60</v>
      </c>
      <c r="B61">
        <v>750</v>
      </c>
      <c r="C61">
        <v>240</v>
      </c>
      <c r="D61">
        <v>0.335024678688366</v>
      </c>
      <c r="E61">
        <v>110.88442023738</v>
      </c>
      <c r="F61">
        <v>1.92983423134958</v>
      </c>
      <c r="G61">
        <v>-1833.5782736537712</v>
      </c>
      <c r="H61">
        <v>-1510.8508942417423</v>
      </c>
      <c r="I61">
        <v>315.42805087234802</v>
      </c>
      <c r="J61">
        <v>162.081426612678</v>
      </c>
      <c r="K61">
        <v>57.458002576644198</v>
      </c>
      <c r="L61">
        <v>0.82180585431785547</v>
      </c>
      <c r="M61">
        <v>-0.82154200924171139</v>
      </c>
      <c r="N61">
        <v>47.206490816408298</v>
      </c>
      <c r="O61">
        <v>47.2064849657582</v>
      </c>
      <c r="P61">
        <v>47.2064752969682</v>
      </c>
      <c r="Q61" t="s">
        <v>51</v>
      </c>
    </row>
    <row r="62" spans="1:17" x14ac:dyDescent="0.2">
      <c r="A62">
        <v>61</v>
      </c>
      <c r="B62">
        <v>748</v>
      </c>
      <c r="C62">
        <v>240</v>
      </c>
      <c r="D62">
        <v>0.33358517357881101</v>
      </c>
      <c r="E62">
        <v>110.884518539618</v>
      </c>
      <c r="F62">
        <v>1.93110719989085</v>
      </c>
      <c r="G62">
        <v>-1832.9493829668618</v>
      </c>
      <c r="H62">
        <v>-1511.2412166137112</v>
      </c>
      <c r="I62">
        <v>315.04774979864402</v>
      </c>
      <c r="J62">
        <v>162.097042334344</v>
      </c>
      <c r="K62">
        <v>57.420177681428498</v>
      </c>
      <c r="L62">
        <v>0.81869974333569173</v>
      </c>
      <c r="M62">
        <v>-0.81843509966446348</v>
      </c>
      <c r="N62">
        <v>46.9970125536233</v>
      </c>
      <c r="O62">
        <v>46.997006496652197</v>
      </c>
      <c r="P62">
        <v>46.996996803295303</v>
      </c>
      <c r="Q62" t="s">
        <v>51</v>
      </c>
    </row>
    <row r="63" spans="1:17" x14ac:dyDescent="0.2">
      <c r="A63">
        <v>62</v>
      </c>
      <c r="B63">
        <v>746</v>
      </c>
      <c r="C63">
        <v>240</v>
      </c>
      <c r="D63">
        <v>0.33214001864298798</v>
      </c>
      <c r="E63">
        <v>110.88461546912799</v>
      </c>
      <c r="F63">
        <v>1.92937805335117</v>
      </c>
      <c r="G63">
        <v>-1832.3215359221081</v>
      </c>
      <c r="H63">
        <v>-1512.0497805751763</v>
      </c>
      <c r="I63">
        <v>314.256692052348</v>
      </c>
      <c r="J63">
        <v>162.13915532806601</v>
      </c>
      <c r="K63">
        <v>57.471689012182303</v>
      </c>
      <c r="L63">
        <v>0.79524144763913029</v>
      </c>
      <c r="M63">
        <v>-0.79496713728480162</v>
      </c>
      <c r="N63">
        <v>45.690503130286203</v>
      </c>
      <c r="O63">
        <v>45.690496682061301</v>
      </c>
      <c r="P63">
        <v>45.690486636533798</v>
      </c>
      <c r="Q63" t="s">
        <v>51</v>
      </c>
    </row>
    <row r="64" spans="1:17" x14ac:dyDescent="0.2">
      <c r="A64">
        <v>63</v>
      </c>
      <c r="B64">
        <v>744</v>
      </c>
      <c r="C64">
        <v>240</v>
      </c>
      <c r="D64">
        <v>0.33068918055350899</v>
      </c>
      <c r="E64">
        <v>110.891353268636</v>
      </c>
      <c r="F64">
        <v>1.89536124540632</v>
      </c>
      <c r="G64">
        <v>-1831.8053274016543</v>
      </c>
      <c r="H64">
        <v>-1519.1239995481715</v>
      </c>
      <c r="I64">
        <v>307.413486795724</v>
      </c>
      <c r="J64">
        <v>162.00986768130599</v>
      </c>
      <c r="K64">
        <v>58.506711339274901</v>
      </c>
      <c r="L64">
        <v>0.46913863581346227</v>
      </c>
      <c r="M64">
        <v>-0.4687418057438133</v>
      </c>
      <c r="N64">
        <v>27.428035704567701</v>
      </c>
      <c r="O64">
        <v>27.4280263496704</v>
      </c>
      <c r="P64">
        <v>27.428011747794301</v>
      </c>
      <c r="Q64" t="s">
        <v>51</v>
      </c>
    </row>
    <row r="65" spans="1:17" x14ac:dyDescent="0.2">
      <c r="A65">
        <v>64</v>
      </c>
      <c r="B65">
        <v>742</v>
      </c>
      <c r="C65">
        <v>240</v>
      </c>
      <c r="D65">
        <v>0.32923262572033701</v>
      </c>
      <c r="E65">
        <v>110.894116903588</v>
      </c>
      <c r="F65">
        <v>1.8698643318926</v>
      </c>
      <c r="G65">
        <v>-1831.2427052421401</v>
      </c>
      <c r="H65">
        <v>-1524.8923418527302</v>
      </c>
      <c r="I65">
        <v>301.78372179501798</v>
      </c>
      <c r="J65">
        <v>161.89697756887799</v>
      </c>
      <c r="K65">
        <v>59.305969428993301</v>
      </c>
      <c r="L65">
        <v>0.21298304562233489</v>
      </c>
      <c r="M65">
        <v>-0.21249122479479113</v>
      </c>
      <c r="N65">
        <v>12.606355690737001</v>
      </c>
      <c r="O65">
        <v>12.6063438453599</v>
      </c>
      <c r="P65">
        <v>12.606325608642299</v>
      </c>
      <c r="Q65" t="s">
        <v>51</v>
      </c>
    </row>
    <row r="66" spans="1:17" x14ac:dyDescent="0.2">
      <c r="A66">
        <v>65</v>
      </c>
      <c r="B66">
        <v>740</v>
      </c>
      <c r="C66">
        <v>240</v>
      </c>
      <c r="D66">
        <v>0.32777032028821201</v>
      </c>
      <c r="E66">
        <v>110.894156542739</v>
      </c>
      <c r="F66">
        <v>1.8650774726297801</v>
      </c>
      <c r="G66">
        <v>-1830.6416382639966</v>
      </c>
      <c r="H66">
        <v>-1526.5716593640998</v>
      </c>
      <c r="I66">
        <v>300.12893321904397</v>
      </c>
      <c r="J66">
        <v>161.922801374735</v>
      </c>
      <c r="K66">
        <v>59.4582038387803</v>
      </c>
      <c r="L66">
        <v>0.15022578753617682</v>
      </c>
      <c r="M66">
        <v>-0.14971128570127606</v>
      </c>
      <c r="N66">
        <v>8.9061120413724701</v>
      </c>
      <c r="O66">
        <v>8.9060993270128108</v>
      </c>
      <c r="P66">
        <v>8.9060802221767297</v>
      </c>
      <c r="Q66" t="s">
        <v>51</v>
      </c>
    </row>
    <row r="67" spans="1:17" x14ac:dyDescent="0.2">
      <c r="A67">
        <v>66</v>
      </c>
      <c r="B67">
        <v>738</v>
      </c>
      <c r="C67">
        <v>240</v>
      </c>
      <c r="D67">
        <v>0.326302230134007</v>
      </c>
      <c r="E67">
        <v>110.894090203095</v>
      </c>
      <c r="F67">
        <v>1.86383888167056</v>
      </c>
      <c r="G67">
        <v>-1830.0413098696072</v>
      </c>
      <c r="H67">
        <v>-1527.5303985761464</v>
      </c>
      <c r="I67">
        <v>299.18081979382799</v>
      </c>
      <c r="J67">
        <v>161.980327275408</v>
      </c>
      <c r="K67">
        <v>59.4976804559955</v>
      </c>
      <c r="L67">
        <v>0.1210413729257909</v>
      </c>
      <c r="M67">
        <v>-0.12051669068905428</v>
      </c>
      <c r="N67">
        <v>7.1750832314826498</v>
      </c>
      <c r="O67">
        <v>7.1750699353990202</v>
      </c>
      <c r="P67">
        <v>7.17505045019211</v>
      </c>
      <c r="Q67" t="s">
        <v>51</v>
      </c>
    </row>
    <row r="68" spans="1:17" x14ac:dyDescent="0.2">
      <c r="A68">
        <v>67</v>
      </c>
      <c r="B68">
        <v>736</v>
      </c>
      <c r="C68">
        <v>240</v>
      </c>
      <c r="D68">
        <v>0.32482832086409602</v>
      </c>
      <c r="E68">
        <v>110.89399194032001</v>
      </c>
      <c r="F68">
        <v>1.8638331750399599</v>
      </c>
      <c r="G68">
        <v>-1829.4420784891784</v>
      </c>
      <c r="H68">
        <v>-1528.2369767079633</v>
      </c>
      <c r="I68">
        <v>298.47986049495302</v>
      </c>
      <c r="J68">
        <v>162.052185122324</v>
      </c>
      <c r="K68">
        <v>59.497809903476501</v>
      </c>
      <c r="L68">
        <v>0.1035448710750482</v>
      </c>
      <c r="M68">
        <v>-0.10301436319607085</v>
      </c>
      <c r="N68">
        <v>6.1337789671701302</v>
      </c>
      <c r="O68">
        <v>6.1337651914342004</v>
      </c>
      <c r="P68">
        <v>6.1337454971579399</v>
      </c>
      <c r="Q68" t="s">
        <v>51</v>
      </c>
    </row>
    <row r="69" spans="1:17" x14ac:dyDescent="0.2">
      <c r="A69">
        <v>68</v>
      </c>
      <c r="B69">
        <v>734</v>
      </c>
      <c r="C69">
        <v>240</v>
      </c>
      <c r="D69">
        <v>0.32334855781164801</v>
      </c>
      <c r="E69">
        <v>110.893877610586</v>
      </c>
      <c r="F69">
        <v>1.8644157210307899</v>
      </c>
      <c r="G69">
        <v>-1828.843858417265</v>
      </c>
      <c r="H69">
        <v>-1528.822886680415</v>
      </c>
      <c r="I69">
        <v>297.89690912453602</v>
      </c>
      <c r="J69">
        <v>162.13352429766999</v>
      </c>
      <c r="K69">
        <v>59.4791581940081</v>
      </c>
      <c r="L69">
        <v>9.1629257268726519E-2</v>
      </c>
      <c r="M69">
        <v>-9.109500726051345E-2</v>
      </c>
      <c r="N69">
        <v>5.42291473423355</v>
      </c>
      <c r="O69">
        <v>5.4229005293913399</v>
      </c>
      <c r="P69">
        <v>5.42288070858375</v>
      </c>
      <c r="Q69" t="s">
        <v>51</v>
      </c>
    </row>
    <row r="70" spans="1:17" x14ac:dyDescent="0.2">
      <c r="A70">
        <v>69</v>
      </c>
      <c r="B70">
        <v>732</v>
      </c>
      <c r="C70">
        <v>240</v>
      </c>
      <c r="D70">
        <v>0.32186290603392398</v>
      </c>
      <c r="E70">
        <v>110.893753176384</v>
      </c>
      <c r="F70">
        <v>1.8653304788043501</v>
      </c>
      <c r="G70">
        <v>-1828.2465687916208</v>
      </c>
      <c r="H70">
        <v>-1529.3405863088783</v>
      </c>
      <c r="I70">
        <v>297.38041096792898</v>
      </c>
      <c r="J70">
        <v>162.222546478959</v>
      </c>
      <c r="K70">
        <v>59.449922915249701</v>
      </c>
      <c r="L70">
        <v>8.2866086740785619E-2</v>
      </c>
      <c r="M70">
        <v>-8.2329275375503302E-2</v>
      </c>
      <c r="N70">
        <v>4.8991286374122902</v>
      </c>
      <c r="O70">
        <v>4.8991140337332801</v>
      </c>
      <c r="P70">
        <v>4.8990941335392399</v>
      </c>
      <c r="Q70" t="s">
        <v>51</v>
      </c>
    </row>
    <row r="71" spans="1:17" x14ac:dyDescent="0.2">
      <c r="A71">
        <v>70</v>
      </c>
      <c r="B71">
        <v>760</v>
      </c>
      <c r="C71">
        <v>220</v>
      </c>
      <c r="D71">
        <v>0.36343270580264397</v>
      </c>
      <c r="E71">
        <v>110.88419114342599</v>
      </c>
      <c r="F71">
        <v>1.8905220484140199</v>
      </c>
      <c r="G71">
        <v>-1837.9010333216911</v>
      </c>
      <c r="H71">
        <v>-1509.6822086805944</v>
      </c>
      <c r="I71">
        <v>317.69034387264003</v>
      </c>
      <c r="J71">
        <v>162.679920151929</v>
      </c>
      <c r="K71">
        <v>58.652683387875797</v>
      </c>
      <c r="L71">
        <v>0.81861770791316335</v>
      </c>
      <c r="M71">
        <v>-0.81830612357951082</v>
      </c>
      <c r="N71">
        <v>47.998929903000501</v>
      </c>
      <c r="O71">
        <v>47.998925923018597</v>
      </c>
      <c r="P71">
        <v>47.998912973393601</v>
      </c>
      <c r="Q71" t="s">
        <v>51</v>
      </c>
    </row>
    <row r="72" spans="1:17" x14ac:dyDescent="0.2">
      <c r="A72">
        <v>71</v>
      </c>
      <c r="B72">
        <v>758</v>
      </c>
      <c r="C72">
        <v>220</v>
      </c>
      <c r="D72">
        <v>0.36206226058284502</v>
      </c>
      <c r="E72">
        <v>110.88427953606001</v>
      </c>
      <c r="F72">
        <v>1.8918692798235099</v>
      </c>
      <c r="G72">
        <v>-1837.267414561944</v>
      </c>
      <c r="H72">
        <v>-1510.0458647045486</v>
      </c>
      <c r="I72">
        <v>317.33938951939001</v>
      </c>
      <c r="J72">
        <v>162.69180697558301</v>
      </c>
      <c r="K72">
        <v>58.610962564181399</v>
      </c>
      <c r="L72">
        <v>0.81701097182291504</v>
      </c>
      <c r="M72">
        <v>-0.81669895352851907</v>
      </c>
      <c r="N72">
        <v>47.870580658116999</v>
      </c>
      <c r="O72">
        <v>47.870576434267903</v>
      </c>
      <c r="P72">
        <v>47.870563466562302</v>
      </c>
      <c r="Q72" t="s">
        <v>51</v>
      </c>
    </row>
    <row r="73" spans="1:17" x14ac:dyDescent="0.2">
      <c r="A73">
        <v>72</v>
      </c>
      <c r="B73">
        <v>756</v>
      </c>
      <c r="C73">
        <v>220</v>
      </c>
      <c r="D73">
        <v>0.36068648885002402</v>
      </c>
      <c r="E73">
        <v>110.88437544924101</v>
      </c>
      <c r="F73">
        <v>1.89320322991485</v>
      </c>
      <c r="G73">
        <v>-1836.6346623891761</v>
      </c>
      <c r="H73">
        <v>-1510.4369701715445</v>
      </c>
      <c r="I73">
        <v>316.96124574948402</v>
      </c>
      <c r="J73">
        <v>162.711825425157</v>
      </c>
      <c r="K73">
        <v>58.569715969810701</v>
      </c>
      <c r="L73">
        <v>0.81397612177666356</v>
      </c>
      <c r="M73">
        <v>-0.81366318746875888</v>
      </c>
      <c r="N73">
        <v>47.659084396778802</v>
      </c>
      <c r="O73">
        <v>47.6590799190353</v>
      </c>
      <c r="P73">
        <v>47.659066913430699</v>
      </c>
      <c r="Q73" t="s">
        <v>51</v>
      </c>
    </row>
    <row r="74" spans="1:17" x14ac:dyDescent="0.2">
      <c r="A74">
        <v>73</v>
      </c>
      <c r="B74">
        <v>754</v>
      </c>
      <c r="C74">
        <v>220</v>
      </c>
      <c r="D74">
        <v>0.35930535948985198</v>
      </c>
      <c r="E74">
        <v>110.88447211853099</v>
      </c>
      <c r="F74">
        <v>1.89454426091754</v>
      </c>
      <c r="G74">
        <v>-1836.0026786347685</v>
      </c>
      <c r="H74">
        <v>-1510.8275201354529</v>
      </c>
      <c r="I74">
        <v>316.582918194586</v>
      </c>
      <c r="J74">
        <v>162.73173665424301</v>
      </c>
      <c r="K74">
        <v>58.5283091062906</v>
      </c>
      <c r="L74">
        <v>0.81097266960432612</v>
      </c>
      <c r="M74">
        <v>-0.81065884236597274</v>
      </c>
      <c r="N74">
        <v>47.4495473704132</v>
      </c>
      <c r="O74">
        <v>47.449542635274199</v>
      </c>
      <c r="P74">
        <v>47.449529593037099</v>
      </c>
      <c r="Q74" t="s">
        <v>51</v>
      </c>
    </row>
    <row r="75" spans="1:17" x14ac:dyDescent="0.2">
      <c r="A75">
        <v>74</v>
      </c>
      <c r="B75">
        <v>752</v>
      </c>
      <c r="C75">
        <v>220</v>
      </c>
      <c r="D75">
        <v>0.35791884114519901</v>
      </c>
      <c r="E75">
        <v>110.88456955107701</v>
      </c>
      <c r="F75">
        <v>1.8958922496499</v>
      </c>
      <c r="G75">
        <v>-1835.3714637886892</v>
      </c>
      <c r="H75">
        <v>-1511.2175237955732</v>
      </c>
      <c r="I75">
        <v>316.20439728538901</v>
      </c>
      <c r="J75">
        <v>162.751536059073</v>
      </c>
      <c r="K75">
        <v>58.486746581485797</v>
      </c>
      <c r="L75">
        <v>0.80800008112132882</v>
      </c>
      <c r="M75">
        <v>-0.80768538394147815</v>
      </c>
      <c r="N75">
        <v>47.241939599243302</v>
      </c>
      <c r="O75">
        <v>47.241934603257697</v>
      </c>
      <c r="P75">
        <v>47.241921525661098</v>
      </c>
      <c r="Q75" t="s">
        <v>51</v>
      </c>
    </row>
    <row r="76" spans="1:17" x14ac:dyDescent="0.2">
      <c r="A76">
        <v>75</v>
      </c>
      <c r="B76">
        <v>750</v>
      </c>
      <c r="C76">
        <v>220</v>
      </c>
      <c r="D76">
        <v>0.356526902213751</v>
      </c>
      <c r="E76">
        <v>110.88466445090199</v>
      </c>
      <c r="F76">
        <v>1.8932058591227201</v>
      </c>
      <c r="G76">
        <v>-1834.7415009095585</v>
      </c>
      <c r="H76">
        <v>-1512.1582989411806</v>
      </c>
      <c r="I76">
        <v>315.287428561902</v>
      </c>
      <c r="J76">
        <v>162.78777580421601</v>
      </c>
      <c r="K76">
        <v>58.569787282553499</v>
      </c>
      <c r="L76">
        <v>0.77851732402719009</v>
      </c>
      <c r="M76">
        <v>-0.77818937699712742</v>
      </c>
      <c r="N76">
        <v>45.581552306506303</v>
      </c>
      <c r="O76">
        <v>45.581546868347701</v>
      </c>
      <c r="P76">
        <v>45.581533230354502</v>
      </c>
      <c r="Q76" t="s">
        <v>51</v>
      </c>
    </row>
    <row r="77" spans="1:17" x14ac:dyDescent="0.2">
      <c r="A77">
        <v>76</v>
      </c>
      <c r="B77">
        <v>748</v>
      </c>
      <c r="C77">
        <v>220</v>
      </c>
      <c r="D77">
        <v>0.355129510845618</v>
      </c>
      <c r="E77">
        <v>110.88475668484899</v>
      </c>
      <c r="F77">
        <v>1.89043405952803</v>
      </c>
      <c r="G77">
        <v>-1834.1133458537915</v>
      </c>
      <c r="H77">
        <v>-1513.1185079064489</v>
      </c>
      <c r="I77">
        <v>314.34961153556497</v>
      </c>
      <c r="J77">
        <v>162.83458433001101</v>
      </c>
      <c r="K77">
        <v>58.655712494162699</v>
      </c>
      <c r="L77">
        <v>0.74796955886902472</v>
      </c>
      <c r="M77">
        <v>-0.74762796610068871</v>
      </c>
      <c r="N77">
        <v>43.8559368897429</v>
      </c>
      <c r="O77">
        <v>43.855930983869598</v>
      </c>
      <c r="P77">
        <v>43.855916767619703</v>
      </c>
      <c r="Q77" t="s">
        <v>51</v>
      </c>
    </row>
    <row r="78" spans="1:17" x14ac:dyDescent="0.2">
      <c r="A78">
        <v>77</v>
      </c>
      <c r="B78">
        <v>746</v>
      </c>
      <c r="C78">
        <v>220</v>
      </c>
      <c r="D78">
        <v>0.35372663494088302</v>
      </c>
      <c r="E78">
        <v>110.894547654321</v>
      </c>
      <c r="F78">
        <v>1.8370092748937099</v>
      </c>
      <c r="G78">
        <v>-1833.6574281919723</v>
      </c>
      <c r="H78">
        <v>-1523.9365093621263</v>
      </c>
      <c r="I78">
        <v>303.90636625581601</v>
      </c>
      <c r="J78">
        <v>162.30138804866101</v>
      </c>
      <c r="K78">
        <v>60.366895894272197</v>
      </c>
      <c r="L78">
        <v>0.25180833042342232</v>
      </c>
      <c r="M78">
        <v>-0.25126815759713439</v>
      </c>
      <c r="N78">
        <v>15.173562091205399</v>
      </c>
      <c r="O78">
        <v>15.1735525701162</v>
      </c>
      <c r="P78">
        <v>15.1735297464187</v>
      </c>
      <c r="Q78" t="s">
        <v>51</v>
      </c>
    </row>
    <row r="79" spans="1:17" x14ac:dyDescent="0.2">
      <c r="A79">
        <v>78</v>
      </c>
      <c r="B79">
        <v>744</v>
      </c>
      <c r="C79">
        <v>220</v>
      </c>
      <c r="D79">
        <v>0.352318242147177</v>
      </c>
      <c r="E79">
        <v>110.895031592943</v>
      </c>
      <c r="F79">
        <v>1.82952404040774</v>
      </c>
      <c r="G79">
        <v>-1833.0599438792719</v>
      </c>
      <c r="H79">
        <v>-1526.1243637939344</v>
      </c>
      <c r="I79">
        <v>301.76590231371</v>
      </c>
      <c r="J79">
        <v>162.258714948478</v>
      </c>
      <c r="K79">
        <v>60.614142882882597</v>
      </c>
      <c r="L79">
        <v>0.16610902768723179</v>
      </c>
      <c r="M79">
        <v>-0.16553521094990617</v>
      </c>
      <c r="N79">
        <v>10.0393810477093</v>
      </c>
      <c r="O79">
        <v>10.0393705073144</v>
      </c>
      <c r="P79">
        <v>10.0393461864477</v>
      </c>
      <c r="Q79" t="s">
        <v>51</v>
      </c>
    </row>
    <row r="80" spans="1:17" x14ac:dyDescent="0.2">
      <c r="A80">
        <v>79</v>
      </c>
      <c r="B80">
        <v>742</v>
      </c>
      <c r="C80">
        <v>220</v>
      </c>
      <c r="D80">
        <v>0.35090429985716198</v>
      </c>
      <c r="E80">
        <v>110.894897097463</v>
      </c>
      <c r="F80">
        <v>1.8274749150152501</v>
      </c>
      <c r="G80">
        <v>-1832.4554456745923</v>
      </c>
      <c r="H80">
        <v>-1527.260055991781</v>
      </c>
      <c r="I80">
        <v>300.64635719972301</v>
      </c>
      <c r="J80">
        <v>162.28420100305101</v>
      </c>
      <c r="K80">
        <v>60.682035187628301</v>
      </c>
      <c r="L80">
        <v>0.12912613764604375</v>
      </c>
      <c r="M80">
        <v>-0.1285382300920476</v>
      </c>
      <c r="N80">
        <v>7.8056843082374101</v>
      </c>
      <c r="O80">
        <v>7.8056730672349</v>
      </c>
      <c r="P80">
        <v>7.8056481243687896</v>
      </c>
      <c r="Q80" t="s">
        <v>51</v>
      </c>
    </row>
    <row r="81" spans="1:17" x14ac:dyDescent="0.2">
      <c r="A81">
        <v>80</v>
      </c>
      <c r="B81">
        <v>740</v>
      </c>
      <c r="C81">
        <v>220</v>
      </c>
      <c r="D81">
        <v>0.34948477520604299</v>
      </c>
      <c r="E81">
        <v>110.894791905952</v>
      </c>
      <c r="F81">
        <v>1.82722315950132</v>
      </c>
      <c r="G81">
        <v>-1831.8532437578826</v>
      </c>
      <c r="H81">
        <v>-1528.0361578529435</v>
      </c>
      <c r="I81">
        <v>299.87951453397</v>
      </c>
      <c r="J81">
        <v>162.33873561598199</v>
      </c>
      <c r="K81">
        <v>60.690338412861301</v>
      </c>
      <c r="L81">
        <v>0.10865833843237387</v>
      </c>
      <c r="M81">
        <v>-0.10806292682035247</v>
      </c>
      <c r="N81">
        <v>6.56414556546863</v>
      </c>
      <c r="O81">
        <v>6.56413373278225</v>
      </c>
      <c r="P81">
        <v>6.5641084651206603</v>
      </c>
      <c r="Q81" t="s">
        <v>51</v>
      </c>
    </row>
    <row r="82" spans="1:17" x14ac:dyDescent="0.2">
      <c r="A82">
        <v>81</v>
      </c>
      <c r="B82">
        <v>738</v>
      </c>
      <c r="C82">
        <v>220</v>
      </c>
      <c r="D82">
        <v>0.34805963506898102</v>
      </c>
      <c r="E82">
        <v>110.894676734821</v>
      </c>
      <c r="F82">
        <v>1.8277408509050601</v>
      </c>
      <c r="G82">
        <v>-1831.2522469614512</v>
      </c>
      <c r="H82">
        <v>-1528.6587340631047</v>
      </c>
      <c r="I82">
        <v>299.262634120104</v>
      </c>
      <c r="J82">
        <v>162.40795831661799</v>
      </c>
      <c r="K82">
        <v>60.673085399338099</v>
      </c>
      <c r="L82">
        <v>9.5222915906366251E-2</v>
      </c>
      <c r="M82">
        <v>-9.4622815266087915E-2</v>
      </c>
      <c r="N82">
        <v>5.7468452893797002</v>
      </c>
      <c r="O82">
        <v>5.7468329118134598</v>
      </c>
      <c r="P82">
        <v>5.7468074473703501</v>
      </c>
      <c r="Q82" t="s">
        <v>51</v>
      </c>
    </row>
    <row r="83" spans="1:17" x14ac:dyDescent="0.2">
      <c r="A83">
        <v>82</v>
      </c>
      <c r="B83">
        <v>736</v>
      </c>
      <c r="C83">
        <v>220</v>
      </c>
      <c r="D83">
        <v>0.34662884605856398</v>
      </c>
      <c r="E83">
        <v>110.894555207984</v>
      </c>
      <c r="F83">
        <v>1.82867260231358</v>
      </c>
      <c r="G83">
        <v>-1830.6522935295463</v>
      </c>
      <c r="H83">
        <v>-1529.1986106364677</v>
      </c>
      <c r="I83">
        <v>298.72627674463899</v>
      </c>
      <c r="J83">
        <v>162.48723209572299</v>
      </c>
      <c r="K83">
        <v>60.642104588696697</v>
      </c>
      <c r="L83">
        <v>8.5570429560152206E-2</v>
      </c>
      <c r="M83">
        <v>-8.4967159927274258E-2</v>
      </c>
      <c r="N83">
        <v>5.1583755839530303</v>
      </c>
      <c r="O83">
        <v>5.15836268737295</v>
      </c>
      <c r="P83">
        <v>5.15833709579488</v>
      </c>
      <c r="Q83" t="s">
        <v>51</v>
      </c>
    </row>
    <row r="84" spans="1:17" x14ac:dyDescent="0.2">
      <c r="A84">
        <v>83</v>
      </c>
      <c r="B84">
        <v>734</v>
      </c>
      <c r="C84">
        <v>220</v>
      </c>
      <c r="D84">
        <v>0.345192374522167</v>
      </c>
      <c r="E84">
        <v>110.894428770053</v>
      </c>
      <c r="F84">
        <v>1.8298562902518301</v>
      </c>
      <c r="G84">
        <v>-1830.053281335779</v>
      </c>
      <c r="H84">
        <v>-1529.6882243487605</v>
      </c>
      <c r="I84">
        <v>298.23862030959498</v>
      </c>
      <c r="J84">
        <v>162.574557510582</v>
      </c>
      <c r="K84">
        <v>60.6028076416818</v>
      </c>
      <c r="L84">
        <v>7.8216659468439892E-2</v>
      </c>
      <c r="M84">
        <v>-7.7611149753656461E-2</v>
      </c>
      <c r="N84">
        <v>4.7092329928858101</v>
      </c>
      <c r="O84">
        <v>4.7092195938418104</v>
      </c>
      <c r="P84">
        <v>4.7091939180729501</v>
      </c>
      <c r="Q84" t="s">
        <v>51</v>
      </c>
    </row>
    <row r="85" spans="1:17" x14ac:dyDescent="0.2">
      <c r="A85">
        <v>84</v>
      </c>
      <c r="B85">
        <v>760</v>
      </c>
      <c r="C85">
        <v>200</v>
      </c>
      <c r="D85">
        <v>0.38472680636887402</v>
      </c>
      <c r="E85">
        <v>110.884435481483</v>
      </c>
      <c r="F85">
        <v>1.85220013436007</v>
      </c>
      <c r="G85">
        <v>-1839.0897598554839</v>
      </c>
      <c r="H85">
        <v>-1510.4009811262381</v>
      </c>
      <c r="I85">
        <v>318.14539415554702</v>
      </c>
      <c r="J85">
        <v>163.34418676756701</v>
      </c>
      <c r="K85">
        <v>59.866335945274798</v>
      </c>
      <c r="L85">
        <v>0.79920004453244875</v>
      </c>
      <c r="M85">
        <v>-0.79882372682194036</v>
      </c>
      <c r="N85">
        <v>47.826771497069799</v>
      </c>
      <c r="O85">
        <v>47.826770082171201</v>
      </c>
      <c r="P85">
        <v>47.826752270562501</v>
      </c>
      <c r="Q85" t="s">
        <v>51</v>
      </c>
    </row>
    <row r="86" spans="1:17" x14ac:dyDescent="0.2">
      <c r="A86">
        <v>85</v>
      </c>
      <c r="B86">
        <v>758</v>
      </c>
      <c r="C86">
        <v>200</v>
      </c>
      <c r="D86">
        <v>0.383397662803666</v>
      </c>
      <c r="E86">
        <v>110.884529365932</v>
      </c>
      <c r="F86">
        <v>1.8536425477793099</v>
      </c>
      <c r="G86">
        <v>-1838.455348164684</v>
      </c>
      <c r="H86">
        <v>-1510.7832939198245</v>
      </c>
      <c r="I86">
        <v>317.77646277503999</v>
      </c>
      <c r="J86">
        <v>163.36710648954201</v>
      </c>
      <c r="K86">
        <v>59.819801557087203</v>
      </c>
      <c r="L86">
        <v>0.79675810760493293</v>
      </c>
      <c r="M86">
        <v>-0.79638093069277938</v>
      </c>
      <c r="N86">
        <v>47.643459305798601</v>
      </c>
      <c r="O86">
        <v>47.6434575750649</v>
      </c>
      <c r="P86">
        <v>47.643439715184101</v>
      </c>
      <c r="Q86" t="s">
        <v>51</v>
      </c>
    </row>
    <row r="87" spans="1:17" x14ac:dyDescent="0.2">
      <c r="A87">
        <v>86</v>
      </c>
      <c r="B87">
        <v>756</v>
      </c>
      <c r="C87">
        <v>200</v>
      </c>
      <c r="D87">
        <v>0.38206335325268598</v>
      </c>
      <c r="E87">
        <v>110.88462478082801</v>
      </c>
      <c r="F87">
        <v>1.8533054638595501</v>
      </c>
      <c r="G87">
        <v>-1837.8218104003815</v>
      </c>
      <c r="H87">
        <v>-1511.4048274537126</v>
      </c>
      <c r="I87">
        <v>317.174549668932</v>
      </c>
      <c r="J87">
        <v>163.389151238181</v>
      </c>
      <c r="K87">
        <v>59.8307332186398</v>
      </c>
      <c r="L87">
        <v>0.78291388441931165</v>
      </c>
      <c r="M87">
        <v>-0.78253013584254083</v>
      </c>
      <c r="N87">
        <v>46.8235147605305</v>
      </c>
      <c r="O87">
        <v>46.823512687651601</v>
      </c>
      <c r="P87">
        <v>46.823494500036098</v>
      </c>
      <c r="Q87" t="s">
        <v>51</v>
      </c>
    </row>
    <row r="88" spans="1:17" x14ac:dyDescent="0.2">
      <c r="A88">
        <v>87</v>
      </c>
      <c r="B88">
        <v>754</v>
      </c>
      <c r="C88">
        <v>200</v>
      </c>
      <c r="D88">
        <v>0.38072384753930699</v>
      </c>
      <c r="E88">
        <v>110.88471750497</v>
      </c>
      <c r="F88">
        <v>1.8506308925178501</v>
      </c>
      <c r="G88">
        <v>-1837.1898603495965</v>
      </c>
      <c r="H88">
        <v>-1512.336416221026</v>
      </c>
      <c r="I88">
        <v>316.270041572119</v>
      </c>
      <c r="J88">
        <v>163.41383142164</v>
      </c>
      <c r="K88">
        <v>59.9172519778419</v>
      </c>
      <c r="L88">
        <v>0.75427657027630568</v>
      </c>
      <c r="M88">
        <v>-0.75387881367181864</v>
      </c>
      <c r="N88">
        <v>45.174646290803899</v>
      </c>
      <c r="O88">
        <v>45.174643829666998</v>
      </c>
      <c r="P88">
        <v>45.1746249484532</v>
      </c>
      <c r="Q88" t="s">
        <v>51</v>
      </c>
    </row>
    <row r="89" spans="1:17" x14ac:dyDescent="0.2">
      <c r="A89">
        <v>88</v>
      </c>
      <c r="B89">
        <v>752</v>
      </c>
      <c r="C89">
        <v>200</v>
      </c>
      <c r="D89">
        <v>0.37937911525142798</v>
      </c>
      <c r="E89">
        <v>110.884807484471</v>
      </c>
      <c r="F89">
        <v>1.8478734742963301</v>
      </c>
      <c r="G89">
        <v>-1836.5596921743902</v>
      </c>
      <c r="H89">
        <v>-1513.2872868788809</v>
      </c>
      <c r="I89">
        <v>315.344937757026</v>
      </c>
      <c r="J89">
        <v>163.44737849430899</v>
      </c>
      <c r="K89">
        <v>60.006709889429096</v>
      </c>
      <c r="L89">
        <v>0.72458421909540738</v>
      </c>
      <c r="M89">
        <v>-0.72417203266613406</v>
      </c>
      <c r="N89">
        <v>43.459620640360598</v>
      </c>
      <c r="O89">
        <v>43.459617763600498</v>
      </c>
      <c r="P89">
        <v>43.459598165897198</v>
      </c>
      <c r="Q89" t="s">
        <v>51</v>
      </c>
    </row>
    <row r="90" spans="1:17" x14ac:dyDescent="0.2">
      <c r="A90">
        <v>89</v>
      </c>
      <c r="B90">
        <v>750</v>
      </c>
      <c r="C90">
        <v>200</v>
      </c>
      <c r="D90">
        <v>0.37802912573913899</v>
      </c>
      <c r="E90">
        <v>110.894989182779</v>
      </c>
      <c r="F90">
        <v>1.79687981174333</v>
      </c>
      <c r="G90">
        <v>-1836.104565216222</v>
      </c>
      <c r="H90">
        <v>-1523.1072340445721</v>
      </c>
      <c r="I90">
        <v>305.92044773402102</v>
      </c>
      <c r="J90">
        <v>162.715132726512</v>
      </c>
      <c r="K90">
        <v>61.715306977147797</v>
      </c>
      <c r="L90">
        <v>0.28063353458477514</v>
      </c>
      <c r="M90">
        <v>-0.2800281259594124</v>
      </c>
      <c r="N90">
        <v>17.288655590751699</v>
      </c>
      <c r="O90">
        <v>17.288651064362501</v>
      </c>
      <c r="P90">
        <v>17.2886217545371</v>
      </c>
      <c r="Q90" t="s">
        <v>51</v>
      </c>
    </row>
    <row r="91" spans="1:17" x14ac:dyDescent="0.2">
      <c r="A91">
        <v>90</v>
      </c>
      <c r="B91">
        <v>748</v>
      </c>
      <c r="C91">
        <v>200</v>
      </c>
      <c r="D91">
        <v>0.37667384811242399</v>
      </c>
      <c r="E91">
        <v>110.895682529811</v>
      </c>
      <c r="F91">
        <v>1.7866313201477</v>
      </c>
      <c r="G91">
        <v>-1835.5070157078442</v>
      </c>
      <c r="H91">
        <v>-1525.7493570221491</v>
      </c>
      <c r="I91">
        <v>303.34745416252002</v>
      </c>
      <c r="J91">
        <v>162.576822947328</v>
      </c>
      <c r="K91">
        <v>62.069706983891599</v>
      </c>
      <c r="L91">
        <v>0.17515221285673391</v>
      </c>
      <c r="M91">
        <v>-0.17450159318756692</v>
      </c>
      <c r="N91">
        <v>10.8383938168247</v>
      </c>
      <c r="O91">
        <v>10.8383884222962</v>
      </c>
      <c r="P91">
        <v>10.8383567618472</v>
      </c>
      <c r="Q91" t="s">
        <v>51</v>
      </c>
    </row>
    <row r="92" spans="1:17" x14ac:dyDescent="0.2">
      <c r="A92">
        <v>91</v>
      </c>
      <c r="B92">
        <v>746</v>
      </c>
      <c r="C92">
        <v>200</v>
      </c>
      <c r="D92">
        <v>0.37531325123877901</v>
      </c>
      <c r="E92">
        <v>110.89572974440399</v>
      </c>
      <c r="F92">
        <v>1.78405056718417</v>
      </c>
      <c r="G92">
        <v>-1834.9023825517222</v>
      </c>
      <c r="H92">
        <v>-1526.9695296849418</v>
      </c>
      <c r="I92">
        <v>302.15239007183197</v>
      </c>
      <c r="J92">
        <v>162.57427462010099</v>
      </c>
      <c r="K92">
        <v>62.159521587683997</v>
      </c>
      <c r="L92">
        <v>0.13475597972321859</v>
      </c>
      <c r="M92">
        <v>-0.13408840892359067</v>
      </c>
      <c r="N92">
        <v>8.3421632477603698</v>
      </c>
      <c r="O92">
        <v>8.3421571483297594</v>
      </c>
      <c r="P92">
        <v>8.3421246006047607</v>
      </c>
      <c r="Q92" t="s">
        <v>51</v>
      </c>
    </row>
    <row r="93" spans="1:17" x14ac:dyDescent="0.2">
      <c r="A93">
        <v>92</v>
      </c>
      <c r="B93">
        <v>744</v>
      </c>
      <c r="C93">
        <v>200</v>
      </c>
      <c r="D93">
        <v>0.373947303740848</v>
      </c>
      <c r="E93">
        <v>110.895550401788</v>
      </c>
      <c r="F93">
        <v>1.7835371002268701</v>
      </c>
      <c r="G93">
        <v>-1834.2960530404175</v>
      </c>
      <c r="H93">
        <v>-1527.8114692575609</v>
      </c>
      <c r="I93">
        <v>301.32274611187</v>
      </c>
      <c r="J93">
        <v>162.609688448615</v>
      </c>
      <c r="K93">
        <v>62.177316293382297</v>
      </c>
      <c r="L93">
        <v>0.11164237551933796</v>
      </c>
      <c r="M93">
        <v>-0.11096538547054063</v>
      </c>
      <c r="N93">
        <v>6.9068918228104197</v>
      </c>
      <c r="O93">
        <v>6.9068850576092604</v>
      </c>
      <c r="P93">
        <v>6.9068520178076103</v>
      </c>
      <c r="Q93" t="s">
        <v>51</v>
      </c>
    </row>
    <row r="94" spans="1:17" x14ac:dyDescent="0.2">
      <c r="A94">
        <v>93</v>
      </c>
      <c r="B94">
        <v>742</v>
      </c>
      <c r="C94">
        <v>200</v>
      </c>
      <c r="D94">
        <v>0.37257597399398801</v>
      </c>
      <c r="E94">
        <v>110.895429888195</v>
      </c>
      <c r="F94">
        <v>1.7840153743385501</v>
      </c>
      <c r="G94">
        <v>-1833.6921086293421</v>
      </c>
      <c r="H94">
        <v>-1528.4609499757546</v>
      </c>
      <c r="I94">
        <v>300.68173531219702</v>
      </c>
      <c r="J94">
        <v>162.66888228131</v>
      </c>
      <c r="K94">
        <v>62.160579714348998</v>
      </c>
      <c r="L94">
        <v>9.7201856521526478E-2</v>
      </c>
      <c r="M94">
        <v>-9.6519189965745253E-2</v>
      </c>
      <c r="N94">
        <v>6.0070758147249101</v>
      </c>
      <c r="O94">
        <v>6.0070684030675396</v>
      </c>
      <c r="P94">
        <v>6.0070350681301097</v>
      </c>
      <c r="Q94" t="s">
        <v>51</v>
      </c>
    </row>
    <row r="95" spans="1:17" x14ac:dyDescent="0.2">
      <c r="A95">
        <v>94</v>
      </c>
      <c r="B95">
        <v>740</v>
      </c>
      <c r="C95">
        <v>200</v>
      </c>
      <c r="D95">
        <v>0.37119923012387401</v>
      </c>
      <c r="E95">
        <v>110.895308391002</v>
      </c>
      <c r="F95">
        <v>1.7849857428575999</v>
      </c>
      <c r="G95">
        <v>-1833.0893313038241</v>
      </c>
      <c r="H95">
        <v>-1529.0168137571907</v>
      </c>
      <c r="I95">
        <v>300.13173086294</v>
      </c>
      <c r="J95">
        <v>162.74131326275699</v>
      </c>
      <c r="K95">
        <v>62.126719406435498</v>
      </c>
      <c r="L95">
        <v>8.6988499688910259E-2</v>
      </c>
      <c r="M95">
        <v>-8.6301996563040786E-2</v>
      </c>
      <c r="N95">
        <v>5.3690498268955098</v>
      </c>
      <c r="O95">
        <v>5.3690417764421499</v>
      </c>
      <c r="P95">
        <v>5.3690082440094899</v>
      </c>
      <c r="Q95" t="s">
        <v>51</v>
      </c>
    </row>
    <row r="96" spans="1:17" x14ac:dyDescent="0.2">
      <c r="A96">
        <v>95</v>
      </c>
      <c r="B96">
        <v>738</v>
      </c>
      <c r="C96">
        <v>200</v>
      </c>
      <c r="D96">
        <v>0.36981704000395799</v>
      </c>
      <c r="E96">
        <v>110.89518527379001</v>
      </c>
      <c r="F96">
        <v>1.7862497471548899</v>
      </c>
      <c r="G96">
        <v>-1832.487570141305</v>
      </c>
      <c r="H96">
        <v>-1529.5169320163122</v>
      </c>
      <c r="I96">
        <v>299.63567647679599</v>
      </c>
      <c r="J96">
        <v>162.82336985677301</v>
      </c>
      <c r="K96">
        <v>62.082687737491199</v>
      </c>
      <c r="L96">
        <v>7.9290700269111669E-2</v>
      </c>
      <c r="M96">
        <v>-7.8601462811290171E-2</v>
      </c>
      <c r="N96">
        <v>4.8871696182935196</v>
      </c>
      <c r="O96">
        <v>4.8871609327464798</v>
      </c>
      <c r="P96">
        <v>4.8871272617610098</v>
      </c>
      <c r="Q96" t="s">
        <v>51</v>
      </c>
    </row>
    <row r="97" spans="1:17" x14ac:dyDescent="0.2">
      <c r="A97">
        <v>96</v>
      </c>
      <c r="B97">
        <v>764</v>
      </c>
      <c r="C97">
        <v>180</v>
      </c>
      <c r="D97">
        <v>0.40858169020874802</v>
      </c>
      <c r="E97">
        <v>110.884523339154</v>
      </c>
      <c r="F97">
        <v>1.8031661418804501</v>
      </c>
      <c r="G97">
        <v>-1841.5789977845175</v>
      </c>
      <c r="H97">
        <v>-1510.4162833925793</v>
      </c>
      <c r="I97">
        <v>319.303892157566</v>
      </c>
      <c r="J97">
        <v>163.94774448707</v>
      </c>
      <c r="K97">
        <v>61.494346396454297</v>
      </c>
      <c r="L97">
        <v>0.77559508843780989</v>
      </c>
      <c r="M97">
        <v>-0.77513558480693578</v>
      </c>
      <c r="N97">
        <v>47.672187396091097</v>
      </c>
      <c r="O97">
        <v>47.672192478937703</v>
      </c>
      <c r="P97">
        <v>47.672167602469102</v>
      </c>
      <c r="Q97" t="s">
        <v>51</v>
      </c>
    </row>
    <row r="98" spans="1:17" x14ac:dyDescent="0.2">
      <c r="A98">
        <v>97</v>
      </c>
      <c r="B98">
        <v>762</v>
      </c>
      <c r="C98">
        <v>180</v>
      </c>
      <c r="D98">
        <v>0.40730377240013699</v>
      </c>
      <c r="E98">
        <v>110.88459530178</v>
      </c>
      <c r="F98">
        <v>1.80415001118695</v>
      </c>
      <c r="G98">
        <v>-1840.9418946308588</v>
      </c>
      <c r="H98">
        <v>-1510.8085862812081</v>
      </c>
      <c r="I98">
        <v>318.92637758821701</v>
      </c>
      <c r="J98">
        <v>163.95036846226299</v>
      </c>
      <c r="K98">
        <v>61.460851156622397</v>
      </c>
      <c r="L98">
        <v>0.77326011208003476</v>
      </c>
      <c r="M98">
        <v>-0.77279899878492397</v>
      </c>
      <c r="N98">
        <v>47.502606299817302</v>
      </c>
      <c r="O98">
        <v>47.5026110257269</v>
      </c>
      <c r="P98">
        <v>47.502586036474497</v>
      </c>
      <c r="Q98" t="s">
        <v>51</v>
      </c>
    </row>
    <row r="99" spans="1:17" x14ac:dyDescent="0.2">
      <c r="A99">
        <v>98</v>
      </c>
      <c r="B99">
        <v>760</v>
      </c>
      <c r="C99">
        <v>180</v>
      </c>
      <c r="D99">
        <v>0.40602090693510101</v>
      </c>
      <c r="E99">
        <v>110.884685271973</v>
      </c>
      <c r="F99">
        <v>1.8016358018623799</v>
      </c>
      <c r="G99">
        <v>-1840.3063237517715</v>
      </c>
      <c r="H99">
        <v>-1511.6939097453778</v>
      </c>
      <c r="I99">
        <v>318.07177473291898</v>
      </c>
      <c r="J99">
        <v>163.955242348723</v>
      </c>
      <c r="K99">
        <v>61.546670618640299</v>
      </c>
      <c r="L99">
        <v>0.7473540113101701</v>
      </c>
      <c r="M99">
        <v>-0.7468788330415016</v>
      </c>
      <c r="N99">
        <v>45.973781205018597</v>
      </c>
      <c r="O99">
        <v>45.973785705598303</v>
      </c>
      <c r="P99">
        <v>45.973759894520803</v>
      </c>
      <c r="Q99" t="s">
        <v>51</v>
      </c>
    </row>
    <row r="100" spans="1:17" x14ac:dyDescent="0.2">
      <c r="A100">
        <v>99</v>
      </c>
      <c r="B100">
        <v>758</v>
      </c>
      <c r="C100">
        <v>180</v>
      </c>
      <c r="D100">
        <v>0.40473306502448703</v>
      </c>
      <c r="E100">
        <v>110.88477501359201</v>
      </c>
      <c r="F100">
        <v>1.7989200970249399</v>
      </c>
      <c r="G100">
        <v>-1839.6725198954518</v>
      </c>
      <c r="H100">
        <v>-1512.616934687512</v>
      </c>
      <c r="I100">
        <v>317.17901514771597</v>
      </c>
      <c r="J100">
        <v>163.968911877789</v>
      </c>
      <c r="K100">
        <v>61.639633242729097</v>
      </c>
      <c r="L100">
        <v>0.71955359032232147</v>
      </c>
      <c r="M100">
        <v>-0.71906342551088509</v>
      </c>
      <c r="N100">
        <v>44.328845797202902</v>
      </c>
      <c r="O100">
        <v>44.3288500535811</v>
      </c>
      <c r="P100">
        <v>44.328823364371502</v>
      </c>
      <c r="Q100" t="s">
        <v>51</v>
      </c>
    </row>
    <row r="101" spans="1:17" x14ac:dyDescent="0.2">
      <c r="A101">
        <v>100</v>
      </c>
      <c r="B101">
        <v>756</v>
      </c>
      <c r="C101">
        <v>180</v>
      </c>
      <c r="D101">
        <v>0.40344021765534699</v>
      </c>
      <c r="E101">
        <v>110.88486161767899</v>
      </c>
      <c r="F101">
        <v>1.7960960942504101</v>
      </c>
      <c r="G101">
        <v>-1839.0404708459423</v>
      </c>
      <c r="H101">
        <v>-1513.5628342827376</v>
      </c>
      <c r="I101">
        <v>316.262268692666</v>
      </c>
      <c r="J101">
        <v>163.98951581249801</v>
      </c>
      <c r="K101">
        <v>61.736597486425701</v>
      </c>
      <c r="L101">
        <v>0.69050911485169597</v>
      </c>
      <c r="M101">
        <v>-0.69000341347800975</v>
      </c>
      <c r="N101">
        <v>42.604673020130399</v>
      </c>
      <c r="O101">
        <v>42.604677007175397</v>
      </c>
      <c r="P101">
        <v>42.604649404301099</v>
      </c>
      <c r="Q101" t="s">
        <v>51</v>
      </c>
    </row>
    <row r="102" spans="1:17" x14ac:dyDescent="0.2">
      <c r="A102">
        <v>101</v>
      </c>
      <c r="B102">
        <v>754</v>
      </c>
      <c r="C102">
        <v>180</v>
      </c>
      <c r="D102">
        <v>0.402142335588766</v>
      </c>
      <c r="E102">
        <v>110.895742509161</v>
      </c>
      <c r="F102">
        <v>1.74346376856893</v>
      </c>
      <c r="G102">
        <v>-1838.5954419767188</v>
      </c>
      <c r="H102">
        <v>-1523.0568406664436</v>
      </c>
      <c r="I102">
        <v>307.203286747351</v>
      </c>
      <c r="J102">
        <v>162.98546006415299</v>
      </c>
      <c r="K102">
        <v>63.606565566995499</v>
      </c>
      <c r="L102">
        <v>0.26891944390818445</v>
      </c>
      <c r="M102">
        <v>-0.26821290479267201</v>
      </c>
      <c r="N102">
        <v>17.068952340540601</v>
      </c>
      <c r="O102">
        <v>17.068957647546</v>
      </c>
      <c r="P102">
        <v>17.068918198135801</v>
      </c>
      <c r="Q102" t="s">
        <v>51</v>
      </c>
    </row>
    <row r="103" spans="1:17" x14ac:dyDescent="0.2">
      <c r="A103">
        <v>102</v>
      </c>
      <c r="B103">
        <v>752</v>
      </c>
      <c r="C103">
        <v>180</v>
      </c>
      <c r="D103">
        <v>0.40083938935765601</v>
      </c>
      <c r="E103">
        <v>110.89635226852</v>
      </c>
      <c r="F103">
        <v>1.73332022920762</v>
      </c>
      <c r="G103">
        <v>-1837.9937798390793</v>
      </c>
      <c r="H103">
        <v>-1525.5614441351504</v>
      </c>
      <c r="I103">
        <v>304.77292665008599</v>
      </c>
      <c r="J103">
        <v>162.78951492221901</v>
      </c>
      <c r="K103">
        <v>63.979148457302699</v>
      </c>
      <c r="L103">
        <v>0.17140189846329409</v>
      </c>
      <c r="M103">
        <v>-0.1706494116468219</v>
      </c>
      <c r="N103">
        <v>10.9274344082346</v>
      </c>
      <c r="O103">
        <v>10.927439461481899</v>
      </c>
      <c r="P103">
        <v>10.927397188338601</v>
      </c>
      <c r="Q103" t="s">
        <v>51</v>
      </c>
    </row>
    <row r="104" spans="1:17" x14ac:dyDescent="0.2">
      <c r="A104">
        <v>103</v>
      </c>
      <c r="B104">
        <v>750</v>
      </c>
      <c r="C104">
        <v>180</v>
      </c>
      <c r="D104">
        <v>0.39953134926452799</v>
      </c>
      <c r="E104">
        <v>110.896384832929</v>
      </c>
      <c r="F104">
        <v>1.7307042227204601</v>
      </c>
      <c r="G104">
        <v>-1837.3860298462102</v>
      </c>
      <c r="H104">
        <v>-1526.7625837350324</v>
      </c>
      <c r="I104">
        <v>303.600866356209</v>
      </c>
      <c r="J104">
        <v>162.764012072875</v>
      </c>
      <c r="K104">
        <v>64.075873495364505</v>
      </c>
      <c r="L104">
        <v>0.13257639037186306</v>
      </c>
      <c r="M104">
        <v>-0.13180580472200815</v>
      </c>
      <c r="N104">
        <v>8.4551966961752498</v>
      </c>
      <c r="O104">
        <v>8.4552012018998308</v>
      </c>
      <c r="P104">
        <v>8.4551577963843201</v>
      </c>
      <c r="Q104" t="s">
        <v>51</v>
      </c>
    </row>
    <row r="105" spans="1:17" x14ac:dyDescent="0.2">
      <c r="A105">
        <v>104</v>
      </c>
      <c r="B105">
        <v>748</v>
      </c>
      <c r="C105">
        <v>180</v>
      </c>
      <c r="D105">
        <v>0.39821818537923098</v>
      </c>
      <c r="E105">
        <v>110.89625806218</v>
      </c>
      <c r="F105">
        <v>1.73024699182646</v>
      </c>
      <c r="G105">
        <v>-1836.7776144518402</v>
      </c>
      <c r="H105">
        <v>-1527.5902074235685</v>
      </c>
      <c r="I105">
        <v>302.78927942127302</v>
      </c>
      <c r="J105">
        <v>162.790047766816</v>
      </c>
      <c r="K105">
        <v>64.092732763613697</v>
      </c>
      <c r="L105">
        <v>0.11048641000358107</v>
      </c>
      <c r="M105">
        <v>-0.10970567805505384</v>
      </c>
      <c r="N105">
        <v>7.0410441678058699</v>
      </c>
      <c r="O105">
        <v>7.04104803253726</v>
      </c>
      <c r="P105">
        <v>7.0410039834661298</v>
      </c>
      <c r="Q105" t="s">
        <v>51</v>
      </c>
    </row>
    <row r="106" spans="1:17" x14ac:dyDescent="0.2">
      <c r="A106">
        <v>105</v>
      </c>
      <c r="B106">
        <v>746</v>
      </c>
      <c r="C106">
        <v>180</v>
      </c>
      <c r="D106">
        <v>0.396899867536674</v>
      </c>
      <c r="E106">
        <v>110.896130552854</v>
      </c>
      <c r="F106">
        <v>1.73078700715337</v>
      </c>
      <c r="G106">
        <v>-1836.1706217006449</v>
      </c>
      <c r="H106">
        <v>-1528.2415636871535</v>
      </c>
      <c r="I106">
        <v>302.14882859178999</v>
      </c>
      <c r="J106">
        <v>162.843294780722</v>
      </c>
      <c r="K106">
        <v>64.072661797505106</v>
      </c>
      <c r="L106">
        <v>9.6243356441294503E-2</v>
      </c>
      <c r="M106">
        <v>-9.5456197293400727E-2</v>
      </c>
      <c r="N106">
        <v>6.1258707357695803</v>
      </c>
      <c r="O106">
        <v>6.1258739110523299</v>
      </c>
      <c r="P106">
        <v>6.1258294480964102</v>
      </c>
      <c r="Q106" t="s">
        <v>51</v>
      </c>
    </row>
    <row r="107" spans="1:17" x14ac:dyDescent="0.2">
      <c r="A107">
        <v>106</v>
      </c>
      <c r="B107">
        <v>744</v>
      </c>
      <c r="C107">
        <v>180</v>
      </c>
      <c r="D107">
        <v>0.39557636533451601</v>
      </c>
      <c r="E107">
        <v>110.89600786522399</v>
      </c>
      <c r="F107">
        <v>1.7318558056971201</v>
      </c>
      <c r="G107">
        <v>-1835.564889327329</v>
      </c>
      <c r="H107">
        <v>-1528.7990365051328</v>
      </c>
      <c r="I107">
        <v>301.59938292281402</v>
      </c>
      <c r="J107">
        <v>162.91285933671401</v>
      </c>
      <c r="K107">
        <v>64.033049114377903</v>
      </c>
      <c r="L107">
        <v>8.6165429294642798E-2</v>
      </c>
      <c r="M107">
        <v>-8.5373824466111442E-2</v>
      </c>
      <c r="N107">
        <v>5.4764871881778099</v>
      </c>
      <c r="O107">
        <v>5.4764896438375601</v>
      </c>
      <c r="P107">
        <v>5.4764448898882501</v>
      </c>
      <c r="Q107" t="s">
        <v>51</v>
      </c>
    </row>
    <row r="108" spans="1:17" x14ac:dyDescent="0.2">
      <c r="A108">
        <v>107</v>
      </c>
      <c r="B108">
        <v>742</v>
      </c>
      <c r="C108">
        <v>180</v>
      </c>
      <c r="D108">
        <v>0.39424764813081797</v>
      </c>
      <c r="E108">
        <v>110.895887039611</v>
      </c>
      <c r="F108">
        <v>1.7332412410243101</v>
      </c>
      <c r="G108">
        <v>-1834.9602284897242</v>
      </c>
      <c r="H108">
        <v>-1529.3005173443316</v>
      </c>
      <c r="I108">
        <v>301.10397470344299</v>
      </c>
      <c r="J108">
        <v>162.99371078079301</v>
      </c>
      <c r="K108">
        <v>63.981795733220302</v>
      </c>
      <c r="L108">
        <v>7.856947061482028E-2</v>
      </c>
      <c r="M108">
        <v>-7.7774609901233263E-2</v>
      </c>
      <c r="N108">
        <v>4.9858862202093999</v>
      </c>
      <c r="O108">
        <v>4.9858879346021503</v>
      </c>
      <c r="P108">
        <v>4.9858429637965296</v>
      </c>
      <c r="Q108" t="s">
        <v>51</v>
      </c>
    </row>
    <row r="109" spans="1:17" x14ac:dyDescent="0.2">
      <c r="A109">
        <v>108</v>
      </c>
      <c r="B109">
        <v>740</v>
      </c>
      <c r="C109">
        <v>180</v>
      </c>
      <c r="D109">
        <v>0.39291368504170499</v>
      </c>
      <c r="E109">
        <v>110.89576643083301</v>
      </c>
      <c r="F109">
        <v>1.7348339893661999</v>
      </c>
      <c r="G109">
        <v>-1834.3565253620509</v>
      </c>
      <c r="H109">
        <v>-1529.7656061133332</v>
      </c>
      <c r="I109">
        <v>300.643469404673</v>
      </c>
      <c r="J109">
        <v>163.083335679453</v>
      </c>
      <c r="K109">
        <v>63.922984625951003</v>
      </c>
      <c r="L109">
        <v>7.2587069674892354E-2</v>
      </c>
      <c r="M109">
        <v>-7.1789734921845927E-2</v>
      </c>
      <c r="N109">
        <v>4.5987163465341201</v>
      </c>
      <c r="O109">
        <v>4.5987173026349701</v>
      </c>
      <c r="P109">
        <v>4.5986721639588604</v>
      </c>
      <c r="Q109" t="s">
        <v>51</v>
      </c>
    </row>
    <row r="110" spans="1:17" x14ac:dyDescent="0.2">
      <c r="A110">
        <v>109</v>
      </c>
      <c r="B110">
        <v>772</v>
      </c>
      <c r="C110">
        <v>160</v>
      </c>
      <c r="D110">
        <v>0.43469406305315</v>
      </c>
      <c r="E110">
        <v>110.884459351229</v>
      </c>
      <c r="F110">
        <v>1.7392454386743701</v>
      </c>
      <c r="G110">
        <v>-1845.3912571200678</v>
      </c>
      <c r="H110">
        <v>-1509.7067610578533</v>
      </c>
      <c r="I110">
        <v>321.18643379506301</v>
      </c>
      <c r="J110">
        <v>164.37995240158801</v>
      </c>
      <c r="K110">
        <v>63.7543482280131</v>
      </c>
      <c r="L110">
        <v>0.74583677238303048</v>
      </c>
      <c r="M110">
        <v>-0.74527038370837595</v>
      </c>
      <c r="N110">
        <v>47.522537936825003</v>
      </c>
      <c r="O110">
        <v>47.522556100821497</v>
      </c>
      <c r="P110">
        <v>47.522520880328202</v>
      </c>
      <c r="Q110" t="s">
        <v>51</v>
      </c>
    </row>
    <row r="111" spans="1:17" x14ac:dyDescent="0.2">
      <c r="A111">
        <v>110</v>
      </c>
      <c r="B111">
        <v>770</v>
      </c>
      <c r="C111">
        <v>160</v>
      </c>
      <c r="D111">
        <v>0.43347601016152998</v>
      </c>
      <c r="E111">
        <v>110.884528285352</v>
      </c>
      <c r="F111">
        <v>1.7403073334819601</v>
      </c>
      <c r="G111">
        <v>-1844.7503463902833</v>
      </c>
      <c r="H111">
        <v>-1510.1062094422723</v>
      </c>
      <c r="I111">
        <v>320.80492368799997</v>
      </c>
      <c r="J111">
        <v>164.38501777996501</v>
      </c>
      <c r="K111">
        <v>63.715486427042698</v>
      </c>
      <c r="L111">
        <v>0.74340441284520076</v>
      </c>
      <c r="M111">
        <v>-0.74283589375588255</v>
      </c>
      <c r="N111">
        <v>47.338449688257697</v>
      </c>
      <c r="O111">
        <v>47.338467537190397</v>
      </c>
      <c r="P111">
        <v>47.3384321398092</v>
      </c>
      <c r="Q111" t="s">
        <v>51</v>
      </c>
    </row>
    <row r="112" spans="1:17" x14ac:dyDescent="0.2">
      <c r="A112">
        <v>111</v>
      </c>
      <c r="B112">
        <v>768</v>
      </c>
      <c r="C112">
        <v>160</v>
      </c>
      <c r="D112">
        <v>0.43225327762570398</v>
      </c>
      <c r="E112">
        <v>110.884589403162</v>
      </c>
      <c r="F112">
        <v>1.74063871144796</v>
      </c>
      <c r="G112">
        <v>-1844.1101669174006</v>
      </c>
      <c r="H112">
        <v>-1510.5710512770456</v>
      </c>
      <c r="I112">
        <v>320.35985377877302</v>
      </c>
      <c r="J112">
        <v>164.37430134944799</v>
      </c>
      <c r="K112">
        <v>63.703391561895302</v>
      </c>
      <c r="L112">
        <v>0.7381184743486644</v>
      </c>
      <c r="M112">
        <v>-0.73754592422804244</v>
      </c>
      <c r="N112">
        <v>46.992495276348897</v>
      </c>
      <c r="O112">
        <v>46.9925128646912</v>
      </c>
      <c r="P112">
        <v>46.992477159932299</v>
      </c>
      <c r="Q112" t="s">
        <v>51</v>
      </c>
    </row>
    <row r="113" spans="1:17" x14ac:dyDescent="0.2">
      <c r="A113">
        <v>112</v>
      </c>
      <c r="B113">
        <v>766</v>
      </c>
      <c r="C113">
        <v>160</v>
      </c>
      <c r="D113">
        <v>0.43102583842564002</v>
      </c>
      <c r="E113">
        <v>110.884662901173</v>
      </c>
      <c r="F113">
        <v>1.7396264464547899</v>
      </c>
      <c r="G113">
        <v>-1843.4711588039479</v>
      </c>
      <c r="H113">
        <v>-1511.2246154138797</v>
      </c>
      <c r="I113">
        <v>319.73261835187702</v>
      </c>
      <c r="J113">
        <v>164.36488549579201</v>
      </c>
      <c r="K113">
        <v>63.740501949223798</v>
      </c>
      <c r="L113">
        <v>0.723805435485944</v>
      </c>
      <c r="M113">
        <v>-0.72322374872892725</v>
      </c>
      <c r="N113">
        <v>46.107061258599103</v>
      </c>
      <c r="O113">
        <v>46.107078739874702</v>
      </c>
      <c r="P113">
        <v>46.107042385453603</v>
      </c>
      <c r="Q113" t="s">
        <v>51</v>
      </c>
    </row>
    <row r="114" spans="1:17" x14ac:dyDescent="0.2">
      <c r="A114">
        <v>113</v>
      </c>
      <c r="B114">
        <v>764</v>
      </c>
      <c r="C114">
        <v>160</v>
      </c>
      <c r="D114">
        <v>0.42979366533288699</v>
      </c>
      <c r="E114">
        <v>110.884750864054</v>
      </c>
      <c r="F114">
        <v>1.73685617814305</v>
      </c>
      <c r="G114">
        <v>-1842.8339826196529</v>
      </c>
      <c r="H114">
        <v>-1512.1279191746312</v>
      </c>
      <c r="I114">
        <v>318.86397951572599</v>
      </c>
      <c r="J114">
        <v>164.359304040594</v>
      </c>
      <c r="K114">
        <v>63.842218060108102</v>
      </c>
      <c r="L114">
        <v>0.69752368981225832</v>
      </c>
      <c r="M114">
        <v>-0.69692611617321742</v>
      </c>
      <c r="N114">
        <v>44.501927359773099</v>
      </c>
      <c r="O114">
        <v>44.501944930619899</v>
      </c>
      <c r="P114">
        <v>44.5019074706128</v>
      </c>
      <c r="Q114" t="s">
        <v>51</v>
      </c>
    </row>
    <row r="115" spans="1:17" x14ac:dyDescent="0.2">
      <c r="A115">
        <v>114</v>
      </c>
      <c r="B115">
        <v>762</v>
      </c>
      <c r="C115">
        <v>160</v>
      </c>
      <c r="D115">
        <v>0.428556730908567</v>
      </c>
      <c r="E115">
        <v>110.884836137221</v>
      </c>
      <c r="F115">
        <v>1.7340205165812901</v>
      </c>
      <c r="G115">
        <v>-1842.1985141649823</v>
      </c>
      <c r="H115">
        <v>-1513.0470309216255</v>
      </c>
      <c r="I115">
        <v>317.97836580131201</v>
      </c>
      <c r="J115">
        <v>164.359556439404</v>
      </c>
      <c r="K115">
        <v>63.946669071618899</v>
      </c>
      <c r="L115">
        <v>0.67038001619680754</v>
      </c>
      <c r="M115">
        <v>-0.66976613598671964</v>
      </c>
      <c r="N115">
        <v>42.838138260904103</v>
      </c>
      <c r="O115">
        <v>42.8381559029729</v>
      </c>
      <c r="P115">
        <v>42.838117302513602</v>
      </c>
      <c r="Q115" t="s">
        <v>51</v>
      </c>
    </row>
    <row r="116" spans="1:17" x14ac:dyDescent="0.2">
      <c r="A116">
        <v>115</v>
      </c>
      <c r="B116">
        <v>760</v>
      </c>
      <c r="C116">
        <v>160</v>
      </c>
      <c r="D116">
        <v>0.427315007501331</v>
      </c>
      <c r="E116">
        <v>110.894186455568</v>
      </c>
      <c r="F116">
        <v>1.70495036939378</v>
      </c>
      <c r="G116">
        <v>-1841.7173352400516</v>
      </c>
      <c r="H116">
        <v>-1517.9998872187143</v>
      </c>
      <c r="I116">
        <v>313.33497286800502</v>
      </c>
      <c r="J116">
        <v>163.74897197391101</v>
      </c>
      <c r="K116">
        <v>65.042471878520601</v>
      </c>
      <c r="L116">
        <v>0.46098523753055254</v>
      </c>
      <c r="M116">
        <v>-0.46025986858031642</v>
      </c>
      <c r="N116">
        <v>29.9469691311999</v>
      </c>
      <c r="O116">
        <v>29.946989803624302</v>
      </c>
      <c r="P116">
        <v>29.946943511595499</v>
      </c>
      <c r="Q116" t="s">
        <v>51</v>
      </c>
    </row>
    <row r="117" spans="1:17" x14ac:dyDescent="0.2">
      <c r="A117">
        <v>116</v>
      </c>
      <c r="B117">
        <v>758</v>
      </c>
      <c r="C117">
        <v>160</v>
      </c>
      <c r="D117">
        <v>0.426068467245311</v>
      </c>
      <c r="E117">
        <v>110.896763750264</v>
      </c>
      <c r="F117">
        <v>1.67220404937268</v>
      </c>
      <c r="G117">
        <v>-1841.1397561020124</v>
      </c>
      <c r="H117">
        <v>-1523.8338645676436</v>
      </c>
      <c r="I117">
        <v>307.72571880894799</v>
      </c>
      <c r="J117">
        <v>162.91114822559601</v>
      </c>
      <c r="K117">
        <v>66.317722285068399</v>
      </c>
      <c r="L117">
        <v>0.21532958822200671</v>
      </c>
      <c r="M117">
        <v>-0.21447553517060475</v>
      </c>
      <c r="N117">
        <v>14.2360829785181</v>
      </c>
      <c r="O117">
        <v>14.236107143941</v>
      </c>
      <c r="P117">
        <v>14.2360516568316</v>
      </c>
      <c r="Q117" t="s">
        <v>51</v>
      </c>
    </row>
    <row r="118" spans="1:17" x14ac:dyDescent="0.2">
      <c r="A118">
        <v>117</v>
      </c>
      <c r="B118">
        <v>756</v>
      </c>
      <c r="C118">
        <v>160</v>
      </c>
      <c r="D118">
        <v>0.424817082058009</v>
      </c>
      <c r="E118">
        <v>110.897029823441</v>
      </c>
      <c r="F118">
        <v>1.66566402504481</v>
      </c>
      <c r="G118">
        <v>-1840.5305745933413</v>
      </c>
      <c r="H118">
        <v>-1525.6226964466455</v>
      </c>
      <c r="I118">
        <v>305.99387875862499</v>
      </c>
      <c r="J118">
        <v>162.751346040518</v>
      </c>
      <c r="K118">
        <v>66.578270381061998</v>
      </c>
      <c r="L118">
        <v>0.15167450102139013</v>
      </c>
      <c r="M118">
        <v>-0.15078706426740957</v>
      </c>
      <c r="N118">
        <v>10.0521720488826</v>
      </c>
      <c r="O118">
        <v>10.0521965594381</v>
      </c>
      <c r="P118">
        <v>10.0521386001267</v>
      </c>
      <c r="Q118" t="s">
        <v>51</v>
      </c>
    </row>
    <row r="119" spans="1:17" x14ac:dyDescent="0.2">
      <c r="A119">
        <v>118</v>
      </c>
      <c r="B119">
        <v>754</v>
      </c>
      <c r="C119">
        <v>160</v>
      </c>
      <c r="D119">
        <v>0.42356082363822201</v>
      </c>
      <c r="E119">
        <v>110.89700409108001</v>
      </c>
      <c r="F119">
        <v>1.66391998421905</v>
      </c>
      <c r="G119">
        <v>-1839.9192251013856</v>
      </c>
      <c r="H119">
        <v>-1526.6438020745122</v>
      </c>
      <c r="I119">
        <v>305.00049481625302</v>
      </c>
      <c r="J119">
        <v>162.72798579533901</v>
      </c>
      <c r="K119">
        <v>66.648039054071205</v>
      </c>
      <c r="L119">
        <v>0.12164923732739578</v>
      </c>
      <c r="M119">
        <v>-0.12074594460434077</v>
      </c>
      <c r="N119">
        <v>8.0606937702216506</v>
      </c>
      <c r="O119">
        <v>8.0607180166358301</v>
      </c>
      <c r="P119">
        <v>8.0606588557361398</v>
      </c>
      <c r="Q119" t="s">
        <v>51</v>
      </c>
    </row>
    <row r="120" spans="1:17" x14ac:dyDescent="0.2">
      <c r="A120">
        <v>119</v>
      </c>
      <c r="B120">
        <v>752</v>
      </c>
      <c r="C120">
        <v>160</v>
      </c>
      <c r="D120">
        <v>0.42229966346388498</v>
      </c>
      <c r="E120">
        <v>110.89690907743299</v>
      </c>
      <c r="F120">
        <v>1.6638993725457101</v>
      </c>
      <c r="G120">
        <v>-1839.3084307972713</v>
      </c>
      <c r="H120">
        <v>-1527.3865401770001</v>
      </c>
      <c r="I120">
        <v>304.27527030563999</v>
      </c>
      <c r="J120">
        <v>162.75693168710501</v>
      </c>
      <c r="K120">
        <v>66.648807558455502</v>
      </c>
      <c r="L120">
        <v>0.10373151681852874</v>
      </c>
      <c r="M120">
        <v>-0.10281867651108924</v>
      </c>
      <c r="N120">
        <v>6.86603236958757</v>
      </c>
      <c r="O120">
        <v>6.8660561192302501</v>
      </c>
      <c r="P120">
        <v>6.86599621748279</v>
      </c>
      <c r="Q120" t="s">
        <v>51</v>
      </c>
    </row>
    <row r="121" spans="1:17" x14ac:dyDescent="0.2">
      <c r="A121">
        <v>120</v>
      </c>
      <c r="B121">
        <v>750</v>
      </c>
      <c r="C121">
        <v>160</v>
      </c>
      <c r="D121">
        <v>0.42103357278991599</v>
      </c>
      <c r="E121">
        <v>110.896765867637</v>
      </c>
      <c r="F121">
        <v>1.6646635225223001</v>
      </c>
      <c r="G121">
        <v>-1838.6981819435352</v>
      </c>
      <c r="H121">
        <v>-1528.0083929366269</v>
      </c>
      <c r="I121">
        <v>303.66587392998099</v>
      </c>
      <c r="J121">
        <v>162.809907523357</v>
      </c>
      <c r="K121">
        <v>66.618126947123997</v>
      </c>
      <c r="L121">
        <v>9.1153090210632393E-2</v>
      </c>
      <c r="M121">
        <v>-9.023351118601676E-2</v>
      </c>
      <c r="N121">
        <v>6.0245066840619002</v>
      </c>
      <c r="O121">
        <v>6.0245298215880796</v>
      </c>
      <c r="P121">
        <v>6.02446938522381</v>
      </c>
      <c r="Q121" t="s">
        <v>51</v>
      </c>
    </row>
    <row r="122" spans="1:17" x14ac:dyDescent="0.2">
      <c r="A122">
        <v>121</v>
      </c>
      <c r="B122">
        <v>748</v>
      </c>
      <c r="C122">
        <v>160</v>
      </c>
      <c r="D122">
        <v>0.41976252264603803</v>
      </c>
      <c r="E122">
        <v>110.89664404224401</v>
      </c>
      <c r="F122">
        <v>1.66593203851476</v>
      </c>
      <c r="G122">
        <v>-1838.0894056987602</v>
      </c>
      <c r="H122">
        <v>-1528.5463671037489</v>
      </c>
      <c r="I122">
        <v>303.13766066249599</v>
      </c>
      <c r="J122">
        <v>162.88167797538401</v>
      </c>
      <c r="K122">
        <v>66.567327765130699</v>
      </c>
      <c r="L122">
        <v>8.2176505325133098E-2</v>
      </c>
      <c r="M122">
        <v>-8.1252064736859544E-2</v>
      </c>
      <c r="N122">
        <v>5.4220492802002997</v>
      </c>
      <c r="O122">
        <v>5.4220717243447396</v>
      </c>
      <c r="P122">
        <v>5.4220108906044304</v>
      </c>
      <c r="Q122" t="s">
        <v>51</v>
      </c>
    </row>
    <row r="123" spans="1:17" x14ac:dyDescent="0.2">
      <c r="A123">
        <v>122</v>
      </c>
      <c r="B123">
        <v>746</v>
      </c>
      <c r="C123">
        <v>160</v>
      </c>
      <c r="D123">
        <v>0.41848648383456999</v>
      </c>
      <c r="E123">
        <v>110.896526490737</v>
      </c>
      <c r="F123">
        <v>1.66750222666348</v>
      </c>
      <c r="G123">
        <v>-1837.4817057801245</v>
      </c>
      <c r="H123">
        <v>-1529.0356396740192</v>
      </c>
      <c r="I123">
        <v>302.65620905115702</v>
      </c>
      <c r="J123">
        <v>162.96572535521</v>
      </c>
      <c r="K123">
        <v>66.504574757079396</v>
      </c>
      <c r="L123">
        <v>7.530498343410591E-2</v>
      </c>
      <c r="M123">
        <v>-7.43767918033756E-2</v>
      </c>
      <c r="N123">
        <v>4.9596918178536296</v>
      </c>
      <c r="O123">
        <v>4.9597135130968404</v>
      </c>
      <c r="P123">
        <v>4.9596523631641203</v>
      </c>
      <c r="Q123" t="s">
        <v>51</v>
      </c>
    </row>
    <row r="124" spans="1:17" x14ac:dyDescent="0.2">
      <c r="A124">
        <v>123</v>
      </c>
      <c r="B124">
        <v>744</v>
      </c>
      <c r="C124">
        <v>160</v>
      </c>
      <c r="D124">
        <v>0.41720542692818402</v>
      </c>
      <c r="E124">
        <v>110.89641083327901</v>
      </c>
      <c r="F124">
        <v>1.66927535484453</v>
      </c>
      <c r="G124">
        <v>-1836.8749672956924</v>
      </c>
      <c r="H124">
        <v>-1529.4925430835935</v>
      </c>
      <c r="I124">
        <v>302.20562753206201</v>
      </c>
      <c r="J124">
        <v>163.059217630289</v>
      </c>
      <c r="K124">
        <v>66.433863359594</v>
      </c>
      <c r="L124">
        <v>6.9833159518080057E-2</v>
      </c>
      <c r="M124">
        <v>-6.8901963891620607E-2</v>
      </c>
      <c r="N124">
        <v>4.5906843742279504</v>
      </c>
      <c r="O124">
        <v>4.5907052775909003</v>
      </c>
      <c r="P124">
        <v>4.5906438659515603</v>
      </c>
      <c r="Q124" t="s">
        <v>51</v>
      </c>
    </row>
    <row r="125" spans="1:17" x14ac:dyDescent="0.2">
      <c r="A125">
        <v>124</v>
      </c>
      <c r="B125">
        <v>782</v>
      </c>
      <c r="C125">
        <v>140</v>
      </c>
      <c r="D125">
        <v>0.46156518030611998</v>
      </c>
      <c r="E125">
        <v>110.884330393178</v>
      </c>
      <c r="F125">
        <v>1.6567600875994499</v>
      </c>
      <c r="G125">
        <v>-1849.9175417623678</v>
      </c>
      <c r="H125">
        <v>-1508.5829404837216</v>
      </c>
      <c r="I125">
        <v>323.49742299973701</v>
      </c>
      <c r="J125">
        <v>164.526130301362</v>
      </c>
      <c r="K125">
        <v>66.928417230187407</v>
      </c>
      <c r="L125">
        <v>0.70797775418117903</v>
      </c>
      <c r="M125">
        <v>-0.70727508784253346</v>
      </c>
      <c r="N125">
        <v>47.349333813545996</v>
      </c>
      <c r="O125">
        <v>47.349374046396697</v>
      </c>
      <c r="P125">
        <v>47.349323168317099</v>
      </c>
      <c r="Q125" t="s">
        <v>51</v>
      </c>
    </row>
    <row r="126" spans="1:17" x14ac:dyDescent="0.2">
      <c r="A126">
        <v>125</v>
      </c>
      <c r="B126">
        <v>780</v>
      </c>
      <c r="C126">
        <v>140</v>
      </c>
      <c r="D126">
        <v>0.46040972321132001</v>
      </c>
      <c r="E126">
        <v>110.884402255007</v>
      </c>
      <c r="F126">
        <v>1.6585021946960199</v>
      </c>
      <c r="G126">
        <v>-1849.2720258330839</v>
      </c>
      <c r="H126">
        <v>-1508.9370650932224</v>
      </c>
      <c r="I126">
        <v>323.16257853456102</v>
      </c>
      <c r="J126">
        <v>164.54905832558799</v>
      </c>
      <c r="K126">
        <v>66.858158288618299</v>
      </c>
      <c r="L126">
        <v>0.70766448492477174</v>
      </c>
      <c r="M126">
        <v>-0.70696057567717985</v>
      </c>
      <c r="N126">
        <v>47.278570452205798</v>
      </c>
      <c r="O126">
        <v>47.278610451899198</v>
      </c>
      <c r="P126">
        <v>47.278559447590801</v>
      </c>
      <c r="Q126" t="s">
        <v>51</v>
      </c>
    </row>
    <row r="127" spans="1:17" x14ac:dyDescent="0.2">
      <c r="A127">
        <v>126</v>
      </c>
      <c r="B127">
        <v>778</v>
      </c>
      <c r="C127">
        <v>140</v>
      </c>
      <c r="D127">
        <v>0.45924986919088701</v>
      </c>
      <c r="E127">
        <v>110.88446116866599</v>
      </c>
      <c r="F127">
        <v>1.6589986343018199</v>
      </c>
      <c r="G127">
        <v>-1848.6270876372998</v>
      </c>
      <c r="H127">
        <v>-1509.3967706728222</v>
      </c>
      <c r="I127">
        <v>322.726584462701</v>
      </c>
      <c r="J127">
        <v>164.535610055543</v>
      </c>
      <c r="K127">
        <v>66.838187130473898</v>
      </c>
      <c r="L127">
        <v>0.70292951661584424</v>
      </c>
      <c r="M127">
        <v>-0.70222115846125144</v>
      </c>
      <c r="N127">
        <v>46.947698668448602</v>
      </c>
      <c r="O127">
        <v>46.947738632609799</v>
      </c>
      <c r="P127">
        <v>46.947687236409799</v>
      </c>
      <c r="Q127" t="s">
        <v>51</v>
      </c>
    </row>
    <row r="128" spans="1:17" x14ac:dyDescent="0.2">
      <c r="A128">
        <v>127</v>
      </c>
      <c r="B128">
        <v>776</v>
      </c>
      <c r="C128">
        <v>140</v>
      </c>
      <c r="D128">
        <v>0.45808559309917701</v>
      </c>
      <c r="E128">
        <v>110.884520220794</v>
      </c>
      <c r="F128">
        <v>1.6595126679102199</v>
      </c>
      <c r="G128">
        <v>-1847.9830239754169</v>
      </c>
      <c r="H128">
        <v>-1509.8560988849374</v>
      </c>
      <c r="I128">
        <v>322.29012140949698</v>
      </c>
      <c r="J128">
        <v>164.52483154571601</v>
      </c>
      <c r="K128">
        <v>66.817519603768801</v>
      </c>
      <c r="L128">
        <v>0.69818891804161365</v>
      </c>
      <c r="M128">
        <v>-0.69747610710927854</v>
      </c>
      <c r="N128">
        <v>46.616153173544198</v>
      </c>
      <c r="O128">
        <v>46.616193088008103</v>
      </c>
      <c r="P128">
        <v>46.616141297400603</v>
      </c>
      <c r="Q128" t="s">
        <v>51</v>
      </c>
    </row>
    <row r="129" spans="1:17" x14ac:dyDescent="0.2">
      <c r="A129">
        <v>128</v>
      </c>
      <c r="B129">
        <v>774</v>
      </c>
      <c r="C129">
        <v>140</v>
      </c>
      <c r="D129">
        <v>0.45691686959843703</v>
      </c>
      <c r="E129">
        <v>110.884579425615</v>
      </c>
      <c r="F129">
        <v>1.66004598343008</v>
      </c>
      <c r="G129">
        <v>-1847.339835912494</v>
      </c>
      <c r="H129">
        <v>-1510.3149389644648</v>
      </c>
      <c r="I129">
        <v>321.85329345790501</v>
      </c>
      <c r="J129">
        <v>164.516775276007</v>
      </c>
      <c r="K129">
        <v>66.796089103808299</v>
      </c>
      <c r="L129">
        <v>0.69344766844410477</v>
      </c>
      <c r="M129">
        <v>-0.69273040561513521</v>
      </c>
      <c r="N129">
        <v>46.2842309063562</v>
      </c>
      <c r="O129">
        <v>46.284270756169597</v>
      </c>
      <c r="P129">
        <v>46.284218568986198</v>
      </c>
      <c r="Q129" t="s">
        <v>51</v>
      </c>
    </row>
    <row r="130" spans="1:17" x14ac:dyDescent="0.2">
      <c r="A130">
        <v>129</v>
      </c>
      <c r="B130">
        <v>772</v>
      </c>
      <c r="C130">
        <v>140</v>
      </c>
      <c r="D130">
        <v>0.45574367315696301</v>
      </c>
      <c r="E130">
        <v>110.884652222117</v>
      </c>
      <c r="F130">
        <v>1.6588758272845501</v>
      </c>
      <c r="G130">
        <v>-1846.6978452520511</v>
      </c>
      <c r="H130">
        <v>-1510.9858510876959</v>
      </c>
      <c r="I130">
        <v>321.213063260213</v>
      </c>
      <c r="J130">
        <v>164.49756745411</v>
      </c>
      <c r="K130">
        <v>66.843250349621599</v>
      </c>
      <c r="L130">
        <v>0.6787798260847232</v>
      </c>
      <c r="M130">
        <v>-0.67805191226110251</v>
      </c>
      <c r="N130">
        <v>45.335881018945102</v>
      </c>
      <c r="O130">
        <v>45.335921170423497</v>
      </c>
      <c r="P130">
        <v>45.3358680856117</v>
      </c>
      <c r="Q130" t="s">
        <v>51</v>
      </c>
    </row>
    <row r="131" spans="1:17" x14ac:dyDescent="0.2">
      <c r="A131">
        <v>130</v>
      </c>
      <c r="B131">
        <v>770</v>
      </c>
      <c r="C131">
        <v>140</v>
      </c>
      <c r="D131">
        <v>0.45456597804726301</v>
      </c>
      <c r="E131">
        <v>110.884736760834</v>
      </c>
      <c r="F131">
        <v>1.6559988985434799</v>
      </c>
      <c r="G131">
        <v>-1846.057633083557</v>
      </c>
      <c r="H131">
        <v>-1511.8727339031823</v>
      </c>
      <c r="I131">
        <v>320.36508140975201</v>
      </c>
      <c r="J131">
        <v>164.46943524841001</v>
      </c>
      <c r="K131">
        <v>66.959426638726598</v>
      </c>
      <c r="L131">
        <v>0.65396774256526391</v>
      </c>
      <c r="M131">
        <v>-0.65322286309339384</v>
      </c>
      <c r="N131">
        <v>43.752374187925199</v>
      </c>
      <c r="O131">
        <v>43.7524150073356</v>
      </c>
      <c r="P131">
        <v>43.752360509400702</v>
      </c>
      <c r="Q131" t="s">
        <v>51</v>
      </c>
    </row>
    <row r="132" spans="1:17" x14ac:dyDescent="0.2">
      <c r="A132">
        <v>131</v>
      </c>
      <c r="B132">
        <v>768</v>
      </c>
      <c r="C132">
        <v>140</v>
      </c>
      <c r="D132">
        <v>0.45338375834414102</v>
      </c>
      <c r="E132">
        <v>110.884818401506</v>
      </c>
      <c r="F132">
        <v>1.6530364349947</v>
      </c>
      <c r="G132">
        <v>-1845.4190848848225</v>
      </c>
      <c r="H132">
        <v>-1512.7767804481612</v>
      </c>
      <c r="I132">
        <v>319.49895772358798</v>
      </c>
      <c r="J132">
        <v>164.44498894521399</v>
      </c>
      <c r="K132">
        <v>67.079476322529601</v>
      </c>
      <c r="L132">
        <v>0.62823799218507326</v>
      </c>
      <c r="M132">
        <v>-0.62747563483731505</v>
      </c>
      <c r="N132">
        <v>42.1039488830314</v>
      </c>
      <c r="O132">
        <v>42.103990375668097</v>
      </c>
      <c r="P132">
        <v>42.103934413782902</v>
      </c>
      <c r="Q132" t="s">
        <v>51</v>
      </c>
    </row>
    <row r="133" spans="1:17" x14ac:dyDescent="0.2">
      <c r="A133">
        <v>132</v>
      </c>
      <c r="B133">
        <v>766</v>
      </c>
      <c r="C133">
        <v>140</v>
      </c>
      <c r="D133">
        <v>0.45219698792282498</v>
      </c>
      <c r="E133">
        <v>110.892743208597</v>
      </c>
      <c r="F133">
        <v>1.62803297098406</v>
      </c>
      <c r="G133">
        <v>-1844.9111350911494</v>
      </c>
      <c r="H133">
        <v>-1516.7438738746994</v>
      </c>
      <c r="I133">
        <v>315.807977237567</v>
      </c>
      <c r="J133">
        <v>163.79563779450299</v>
      </c>
      <c r="K133">
        <v>68.114556145363593</v>
      </c>
      <c r="L133">
        <v>0.46817334390765014</v>
      </c>
      <c r="M133">
        <v>-0.46731602195792404</v>
      </c>
      <c r="N133">
        <v>31.846016945588602</v>
      </c>
      <c r="O133">
        <v>31.846063846915001</v>
      </c>
      <c r="P133">
        <v>31.8459999857137</v>
      </c>
      <c r="Q133" t="s">
        <v>51</v>
      </c>
    </row>
    <row r="134" spans="1:17" x14ac:dyDescent="0.2">
      <c r="A134">
        <v>133</v>
      </c>
      <c r="B134">
        <v>764</v>
      </c>
      <c r="C134">
        <v>140</v>
      </c>
      <c r="D134">
        <v>0.45100564045702202</v>
      </c>
      <c r="E134">
        <v>110.897240118055</v>
      </c>
      <c r="F134">
        <v>1.5909229824454101</v>
      </c>
      <c r="G134">
        <v>-1844.359490313102</v>
      </c>
      <c r="H134">
        <v>-1522.6891954793837</v>
      </c>
      <c r="I134">
        <v>310.15355630200702</v>
      </c>
      <c r="J134">
        <v>162.64826576534301</v>
      </c>
      <c r="K134">
        <v>69.7062279832017</v>
      </c>
      <c r="L134">
        <v>0.22511461449589418</v>
      </c>
      <c r="M134">
        <v>-0.22411620810702299</v>
      </c>
      <c r="N134">
        <v>15.6400476556926</v>
      </c>
      <c r="O134">
        <v>15.6401029473537</v>
      </c>
      <c r="P134">
        <v>15.640026923315499</v>
      </c>
      <c r="Q134" t="s">
        <v>51</v>
      </c>
    </row>
    <row r="135" spans="1:17" x14ac:dyDescent="0.2">
      <c r="A135">
        <v>134</v>
      </c>
      <c r="B135">
        <v>762</v>
      </c>
      <c r="C135">
        <v>140</v>
      </c>
      <c r="D135">
        <v>0.44980968941699401</v>
      </c>
      <c r="E135">
        <v>110.897633132311</v>
      </c>
      <c r="F135">
        <v>1.58215496432408</v>
      </c>
      <c r="G135">
        <v>-1843.74775957923</v>
      </c>
      <c r="H135">
        <v>-1524.6936298191463</v>
      </c>
      <c r="I135">
        <v>308.22572022029101</v>
      </c>
      <c r="J135">
        <v>162.36255968492699</v>
      </c>
      <c r="K135">
        <v>70.092775760235497</v>
      </c>
      <c r="L135">
        <v>0.15442124794888806</v>
      </c>
      <c r="M135">
        <v>-0.1533812456929087</v>
      </c>
      <c r="N135">
        <v>10.769420345865999</v>
      </c>
      <c r="O135">
        <v>10.769477688034801</v>
      </c>
      <c r="P135">
        <v>10.7693979510777</v>
      </c>
      <c r="Q135" t="s">
        <v>51</v>
      </c>
    </row>
    <row r="136" spans="1:17" x14ac:dyDescent="0.2">
      <c r="A136">
        <v>135</v>
      </c>
      <c r="B136">
        <v>760</v>
      </c>
      <c r="C136">
        <v>140</v>
      </c>
      <c r="D136">
        <v>0.44860910806756099</v>
      </c>
      <c r="E136">
        <v>110.897638766616</v>
      </c>
      <c r="F136">
        <v>1.5796350079766299</v>
      </c>
      <c r="G136">
        <v>-1843.132533744372</v>
      </c>
      <c r="H136">
        <v>-1525.7904647271112</v>
      </c>
      <c r="I136">
        <v>307.165379532938</v>
      </c>
      <c r="J136">
        <v>162.28813379441601</v>
      </c>
      <c r="K136">
        <v>70.204596762302501</v>
      </c>
      <c r="L136">
        <v>0.12224778147545452</v>
      </c>
      <c r="M136">
        <v>-0.12118829258676783</v>
      </c>
      <c r="N136">
        <v>8.5267675066641804</v>
      </c>
      <c r="O136">
        <v>8.5268254273911896</v>
      </c>
      <c r="P136">
        <v>8.52674392002797</v>
      </c>
      <c r="Q136" t="s">
        <v>51</v>
      </c>
    </row>
    <row r="137" spans="1:17" x14ac:dyDescent="0.2">
      <c r="A137">
        <v>136</v>
      </c>
      <c r="B137">
        <v>758</v>
      </c>
      <c r="C137">
        <v>140</v>
      </c>
      <c r="D137">
        <v>0.44740386946613198</v>
      </c>
      <c r="E137">
        <v>110.897555509895</v>
      </c>
      <c r="F137">
        <v>1.57928352763288</v>
      </c>
      <c r="G137">
        <v>-1842.5176330862512</v>
      </c>
      <c r="H137">
        <v>-1526.5683788635913</v>
      </c>
      <c r="I137">
        <v>306.410479792513</v>
      </c>
      <c r="J137">
        <v>162.291150287633</v>
      </c>
      <c r="K137">
        <v>70.2201685571398</v>
      </c>
      <c r="L137">
        <v>0.10347410300445822</v>
      </c>
      <c r="M137">
        <v>-0.10240280367348108</v>
      </c>
      <c r="N137">
        <v>7.2096612549067496</v>
      </c>
      <c r="O137">
        <v>7.2097192226714801</v>
      </c>
      <c r="P137">
        <v>7.2096366252977901</v>
      </c>
      <c r="Q137" t="s">
        <v>51</v>
      </c>
    </row>
    <row r="138" spans="1:17" x14ac:dyDescent="0.2">
      <c r="A138">
        <v>137</v>
      </c>
      <c r="B138">
        <v>756</v>
      </c>
      <c r="C138">
        <v>140</v>
      </c>
      <c r="D138">
        <v>0.44619394646067401</v>
      </c>
      <c r="E138">
        <v>110.897445141763</v>
      </c>
      <c r="F138">
        <v>1.5799488299828099</v>
      </c>
      <c r="G138">
        <v>-1841.9036425061965</v>
      </c>
      <c r="H138">
        <v>-1527.1964944591193</v>
      </c>
      <c r="I138">
        <v>305.79906345434199</v>
      </c>
      <c r="J138">
        <v>162.3325316136</v>
      </c>
      <c r="K138">
        <v>70.190529615424296</v>
      </c>
      <c r="L138">
        <v>9.0967963671980082E-2</v>
      </c>
      <c r="M138">
        <v>-8.9888445359575797E-2</v>
      </c>
      <c r="N138">
        <v>6.3282869730258797</v>
      </c>
      <c r="O138">
        <v>6.3283447255240501</v>
      </c>
      <c r="P138">
        <v>6.3282613567946999</v>
      </c>
      <c r="Q138" t="s">
        <v>51</v>
      </c>
    </row>
    <row r="139" spans="1:17" x14ac:dyDescent="0.2">
      <c r="A139">
        <v>138</v>
      </c>
      <c r="B139">
        <v>754</v>
      </c>
      <c r="C139">
        <v>140</v>
      </c>
      <c r="D139">
        <v>0.44497931168767801</v>
      </c>
      <c r="E139">
        <v>110.89732009033401</v>
      </c>
      <c r="F139">
        <v>1.5811512303506501</v>
      </c>
      <c r="G139">
        <v>-1841.2905594187478</v>
      </c>
      <c r="H139">
        <v>-1527.7497381992787</v>
      </c>
      <c r="I139">
        <v>305.25903081637301</v>
      </c>
      <c r="J139">
        <v>162.39455508037</v>
      </c>
      <c r="K139">
        <v>70.137073520627794</v>
      </c>
      <c r="L139">
        <v>8.165895228130586E-2</v>
      </c>
      <c r="M139">
        <v>-8.057306353600073E-2</v>
      </c>
      <c r="N139">
        <v>5.6701386275287602</v>
      </c>
      <c r="O139">
        <v>5.6701960168127599</v>
      </c>
      <c r="P139">
        <v>5.6701120404727101</v>
      </c>
      <c r="Q139" t="s">
        <v>51</v>
      </c>
    </row>
    <row r="140" spans="1:17" x14ac:dyDescent="0.2">
      <c r="A140">
        <v>139</v>
      </c>
      <c r="B140">
        <v>752</v>
      </c>
      <c r="C140">
        <v>140</v>
      </c>
      <c r="D140">
        <v>0.443759937570114</v>
      </c>
      <c r="E140">
        <v>110.89720429620699</v>
      </c>
      <c r="F140">
        <v>1.5827241958335001</v>
      </c>
      <c r="G140">
        <v>-1840.678650720256</v>
      </c>
      <c r="H140">
        <v>-1528.2483148799472</v>
      </c>
      <c r="I140">
        <v>304.77135438285001</v>
      </c>
      <c r="J140">
        <v>162.47300658790499</v>
      </c>
      <c r="K140">
        <v>70.067295734874307</v>
      </c>
      <c r="L140">
        <v>7.462329301159823E-2</v>
      </c>
      <c r="M140">
        <v>-7.3532340168858165E-2</v>
      </c>
      <c r="N140">
        <v>5.1711742696436804</v>
      </c>
      <c r="O140">
        <v>5.1712311849682902</v>
      </c>
      <c r="P140">
        <v>5.1711467156082902</v>
      </c>
      <c r="Q140" t="s">
        <v>51</v>
      </c>
    </row>
    <row r="141" spans="1:17" x14ac:dyDescent="0.2">
      <c r="A141">
        <v>140</v>
      </c>
      <c r="B141">
        <v>750</v>
      </c>
      <c r="C141">
        <v>140</v>
      </c>
      <c r="D141">
        <v>0.44253579631530099</v>
      </c>
      <c r="E141">
        <v>110.89709307598</v>
      </c>
      <c r="F141">
        <v>1.58454220788422</v>
      </c>
      <c r="G141">
        <v>-1840.0677564109444</v>
      </c>
      <c r="H141">
        <v>-1528.7114310691445</v>
      </c>
      <c r="I141">
        <v>304.31741565747399</v>
      </c>
      <c r="J141">
        <v>162.563371937981</v>
      </c>
      <c r="K141">
        <v>69.986834382946</v>
      </c>
      <c r="L141">
        <v>6.9064837687210584E-2</v>
      </c>
      <c r="M141">
        <v>-6.7969676357222369E-2</v>
      </c>
      <c r="N141">
        <v>4.7759083556560897</v>
      </c>
      <c r="O141">
        <v>4.7759647159128296</v>
      </c>
      <c r="P141">
        <v>4.7758798277295096</v>
      </c>
      <c r="Q141" t="s">
        <v>51</v>
      </c>
    </row>
    <row r="142" spans="1:17" x14ac:dyDescent="0.2">
      <c r="A142">
        <v>141</v>
      </c>
      <c r="B142">
        <v>792</v>
      </c>
      <c r="C142">
        <v>120</v>
      </c>
      <c r="D142">
        <v>0.48793174670234402</v>
      </c>
      <c r="E142">
        <v>110.884216542841</v>
      </c>
      <c r="F142">
        <v>1.5511459260198199</v>
      </c>
      <c r="G142">
        <v>-1854.544031905421</v>
      </c>
      <c r="H142">
        <v>-1507.3599997764061</v>
      </c>
      <c r="I142">
        <v>325.95216855209998</v>
      </c>
      <c r="J142">
        <v>164.30302668030899</v>
      </c>
      <c r="K142">
        <v>71.4853545903092</v>
      </c>
      <c r="L142">
        <v>0.65984952243014205</v>
      </c>
      <c r="M142">
        <v>-0.6589727486329614</v>
      </c>
      <c r="N142">
        <v>47.126554519002497</v>
      </c>
      <c r="O142">
        <v>47.126628962668804</v>
      </c>
      <c r="P142">
        <v>47.1265524864939</v>
      </c>
      <c r="Q142" t="s">
        <v>51</v>
      </c>
    </row>
    <row r="143" spans="1:17" x14ac:dyDescent="0.2">
      <c r="A143">
        <v>142</v>
      </c>
      <c r="B143">
        <v>790</v>
      </c>
      <c r="C143">
        <v>120</v>
      </c>
      <c r="D143">
        <v>0.486836758688802</v>
      </c>
      <c r="E143">
        <v>110.884277655521</v>
      </c>
      <c r="F143">
        <v>1.5522488949147399</v>
      </c>
      <c r="G143">
        <v>-1853.8934815214106</v>
      </c>
      <c r="H143">
        <v>-1507.7762060271773</v>
      </c>
      <c r="I143">
        <v>325.561971050088</v>
      </c>
      <c r="J143">
        <v>164.29926443326301</v>
      </c>
      <c r="K143">
        <v>71.434599192684004</v>
      </c>
      <c r="L143">
        <v>0.65720132759026695</v>
      </c>
      <c r="M143">
        <v>-0.65632081884069848</v>
      </c>
      <c r="N143">
        <v>46.903662745111198</v>
      </c>
      <c r="O143">
        <v>46.903737400405198</v>
      </c>
      <c r="P143">
        <v>46.903660569835303</v>
      </c>
      <c r="Q143" t="s">
        <v>51</v>
      </c>
    </row>
    <row r="144" spans="1:17" x14ac:dyDescent="0.2">
      <c r="A144">
        <v>143</v>
      </c>
      <c r="B144">
        <v>788</v>
      </c>
      <c r="C144">
        <v>120</v>
      </c>
      <c r="D144">
        <v>0.48573764312303003</v>
      </c>
      <c r="E144">
        <v>110.88433402275101</v>
      </c>
      <c r="F144">
        <v>1.55289860846309</v>
      </c>
      <c r="G144">
        <v>-1853.2436950192855</v>
      </c>
      <c r="H144">
        <v>-1508.2301554152154</v>
      </c>
      <c r="I144">
        <v>325.13546037308703</v>
      </c>
      <c r="J144">
        <v>164.28046964019501</v>
      </c>
      <c r="K144">
        <v>71.404748139026395</v>
      </c>
      <c r="L144">
        <v>0.65304220925532341</v>
      </c>
      <c r="M144">
        <v>-0.65215677402885985</v>
      </c>
      <c r="N144">
        <v>46.586763205270003</v>
      </c>
      <c r="O144">
        <v>46.586838185479301</v>
      </c>
      <c r="P144">
        <v>46.586760874039697</v>
      </c>
      <c r="Q144" t="s">
        <v>51</v>
      </c>
    </row>
    <row r="145" spans="1:17" x14ac:dyDescent="0.2">
      <c r="A145">
        <v>144</v>
      </c>
      <c r="B145">
        <v>786</v>
      </c>
      <c r="C145">
        <v>120</v>
      </c>
      <c r="D145">
        <v>0.48463437662276798</v>
      </c>
      <c r="E145">
        <v>110.884390553716</v>
      </c>
      <c r="F145">
        <v>1.5535676531621001</v>
      </c>
      <c r="G145">
        <v>-1852.5947642975048</v>
      </c>
      <c r="H145">
        <v>-1508.683534798839</v>
      </c>
      <c r="I145">
        <v>324.70868510120698</v>
      </c>
      <c r="J145">
        <v>164.26421720321801</v>
      </c>
      <c r="K145">
        <v>71.374034035803902</v>
      </c>
      <c r="L145">
        <v>0.64888415622899198</v>
      </c>
      <c r="M145">
        <v>-0.64799378125195084</v>
      </c>
      <c r="N145">
        <v>46.269627043653898</v>
      </c>
      <c r="O145">
        <v>46.269702341038901</v>
      </c>
      <c r="P145">
        <v>46.269624545225298</v>
      </c>
      <c r="Q145" t="s">
        <v>51</v>
      </c>
    </row>
    <row r="146" spans="1:17" x14ac:dyDescent="0.2">
      <c r="A146">
        <v>145</v>
      </c>
      <c r="B146">
        <v>784</v>
      </c>
      <c r="C146">
        <v>120</v>
      </c>
      <c r="D146">
        <v>0.48352693562881199</v>
      </c>
      <c r="E146">
        <v>110.88444726310701</v>
      </c>
      <c r="F146">
        <v>1.55425756189231</v>
      </c>
      <c r="G146">
        <v>-1851.9466900367479</v>
      </c>
      <c r="H146">
        <v>-1509.1362508076209</v>
      </c>
      <c r="I146">
        <v>324.28173268034402</v>
      </c>
      <c r="J146">
        <v>164.25056152546199</v>
      </c>
      <c r="K146">
        <v>71.342388791794207</v>
      </c>
      <c r="L146">
        <v>0.64473125039873136</v>
      </c>
      <c r="M146">
        <v>-0.64383592630421282</v>
      </c>
      <c r="N146">
        <v>45.952512482057898</v>
      </c>
      <c r="O146">
        <v>45.952588088051698</v>
      </c>
      <c r="P146">
        <v>45.952509804679003</v>
      </c>
      <c r="Q146" t="s">
        <v>51</v>
      </c>
    </row>
    <row r="147" spans="1:17" x14ac:dyDescent="0.2">
      <c r="A147">
        <v>146</v>
      </c>
      <c r="B147">
        <v>782</v>
      </c>
      <c r="C147">
        <v>120</v>
      </c>
      <c r="D147">
        <v>0.48241529640335601</v>
      </c>
      <c r="E147">
        <v>110.884504166032</v>
      </c>
      <c r="F147">
        <v>1.55496980082014</v>
      </c>
      <c r="G147">
        <v>-1851.29947275258</v>
      </c>
      <c r="H147">
        <v>-1509.5882139913244</v>
      </c>
      <c r="I147">
        <v>323.854687348163</v>
      </c>
      <c r="J147">
        <v>164.23955604966201</v>
      </c>
      <c r="K147">
        <v>71.309747692558503</v>
      </c>
      <c r="L147">
        <v>0.64058742007554714</v>
      </c>
      <c r="M147">
        <v>-0.6396871413177323</v>
      </c>
      <c r="N147">
        <v>45.635669543254203</v>
      </c>
      <c r="O147">
        <v>45.635745448456497</v>
      </c>
      <c r="P147">
        <v>45.635666674648903</v>
      </c>
      <c r="Q147" t="s">
        <v>51</v>
      </c>
    </row>
    <row r="148" spans="1:17" x14ac:dyDescent="0.2">
      <c r="A148">
        <v>147</v>
      </c>
      <c r="B148">
        <v>780</v>
      </c>
      <c r="C148">
        <v>120</v>
      </c>
      <c r="D148">
        <v>0.48129943502824801</v>
      </c>
      <c r="E148">
        <v>110.884571079075</v>
      </c>
      <c r="F148">
        <v>1.5542642730305301</v>
      </c>
      <c r="G148">
        <v>-1850.6533309354763</v>
      </c>
      <c r="H148">
        <v>-1510.1980018886434</v>
      </c>
      <c r="I148">
        <v>323.27720546222503</v>
      </c>
      <c r="J148">
        <v>164.208765440104</v>
      </c>
      <c r="K148">
        <v>71.342160405495306</v>
      </c>
      <c r="L148">
        <v>0.62931776753061819</v>
      </c>
      <c r="M148">
        <v>-0.62840764063192556</v>
      </c>
      <c r="N148">
        <v>44.851843654859103</v>
      </c>
      <c r="O148">
        <v>44.851920327867298</v>
      </c>
      <c r="P148">
        <v>44.851840565621501</v>
      </c>
      <c r="Q148" t="s">
        <v>51</v>
      </c>
    </row>
    <row r="149" spans="1:17" x14ac:dyDescent="0.2">
      <c r="A149">
        <v>148</v>
      </c>
      <c r="B149">
        <v>778</v>
      </c>
      <c r="C149">
        <v>120</v>
      </c>
      <c r="D149">
        <v>0.48017932740332298</v>
      </c>
      <c r="E149">
        <v>110.88465214873401</v>
      </c>
      <c r="F149">
        <v>1.5512747685177799</v>
      </c>
      <c r="G149">
        <v>-1850.0089094702146</v>
      </c>
      <c r="H149">
        <v>-1511.0638529710081</v>
      </c>
      <c r="I149">
        <v>322.45559878403202</v>
      </c>
      <c r="J149">
        <v>164.145918644624</v>
      </c>
      <c r="K149">
        <v>71.479698116074204</v>
      </c>
      <c r="L149">
        <v>0.60647088925843418</v>
      </c>
      <c r="M149">
        <v>-0.60554298286882113</v>
      </c>
      <c r="N149">
        <v>43.304257312592803</v>
      </c>
      <c r="O149">
        <v>43.304335520111998</v>
      </c>
      <c r="P149">
        <v>43.304253958364598</v>
      </c>
      <c r="Q149" t="s">
        <v>51</v>
      </c>
    </row>
    <row r="150" spans="1:17" x14ac:dyDescent="0.2">
      <c r="A150">
        <v>149</v>
      </c>
      <c r="B150">
        <v>776</v>
      </c>
      <c r="C150">
        <v>120</v>
      </c>
      <c r="D150">
        <v>0.47905494924462999</v>
      </c>
      <c r="E150">
        <v>110.88473038054499</v>
      </c>
      <c r="F150">
        <v>1.54820047341936</v>
      </c>
      <c r="G150">
        <v>-1849.3660984851681</v>
      </c>
      <c r="H150">
        <v>-1511.9450619380148</v>
      </c>
      <c r="I150">
        <v>321.61775895406203</v>
      </c>
      <c r="J150">
        <v>164.084692956868</v>
      </c>
      <c r="K150">
        <v>71.6216874263351</v>
      </c>
      <c r="L150">
        <v>0.5828250782036819</v>
      </c>
      <c r="M150">
        <v>-0.58187888046222502</v>
      </c>
      <c r="N150">
        <v>41.695727730192097</v>
      </c>
      <c r="O150">
        <v>41.695807512498597</v>
      </c>
      <c r="P150">
        <v>41.695724088632304</v>
      </c>
      <c r="Q150" t="s">
        <v>51</v>
      </c>
    </row>
    <row r="151" spans="1:17" x14ac:dyDescent="0.2">
      <c r="A151">
        <v>150</v>
      </c>
      <c r="B151">
        <v>774</v>
      </c>
      <c r="C151">
        <v>120</v>
      </c>
      <c r="D151">
        <v>0.47792627608270499</v>
      </c>
      <c r="E151">
        <v>110.884803842415</v>
      </c>
      <c r="F151">
        <v>1.54484906511581</v>
      </c>
      <c r="G151">
        <v>-1848.7249164983191</v>
      </c>
      <c r="H151">
        <v>-1512.8631493359499</v>
      </c>
      <c r="I151">
        <v>320.74306238751802</v>
      </c>
      <c r="J151">
        <v>164.01926056345201</v>
      </c>
      <c r="K151">
        <v>71.7771116585442</v>
      </c>
      <c r="L151">
        <v>0.55732647953935621</v>
      </c>
      <c r="M151">
        <v>-0.55636082400594356</v>
      </c>
      <c r="N151">
        <v>39.954932683262498</v>
      </c>
      <c r="O151">
        <v>39.955014144505498</v>
      </c>
      <c r="P151">
        <v>39.954928727615503</v>
      </c>
      <c r="Q151" t="s">
        <v>51</v>
      </c>
    </row>
    <row r="152" spans="1:17" x14ac:dyDescent="0.2">
      <c r="A152">
        <v>151</v>
      </c>
      <c r="B152">
        <v>772</v>
      </c>
      <c r="C152">
        <v>120</v>
      </c>
      <c r="D152">
        <v>0.47679328326077502</v>
      </c>
      <c r="E152">
        <v>110.89706418952299</v>
      </c>
      <c r="F152">
        <v>1.4941244824652899</v>
      </c>
      <c r="G152">
        <v>-1848.2905400026348</v>
      </c>
      <c r="H152">
        <v>-1519.9329654723215</v>
      </c>
      <c r="I152">
        <v>314.17774384004002</v>
      </c>
      <c r="J152">
        <v>162.20918602693999</v>
      </c>
      <c r="K152">
        <v>74.222104979194498</v>
      </c>
      <c r="L152">
        <v>0.27710488949794698</v>
      </c>
      <c r="M152">
        <v>-0.27595937641908147</v>
      </c>
      <c r="N152">
        <v>20.507827952008402</v>
      </c>
      <c r="O152">
        <v>20.507927455607799</v>
      </c>
      <c r="P152">
        <v>20.507822884747299</v>
      </c>
      <c r="Q152" t="s">
        <v>51</v>
      </c>
    </row>
    <row r="153" spans="1:17" x14ac:dyDescent="0.2">
      <c r="A153">
        <v>152</v>
      </c>
      <c r="B153">
        <v>770</v>
      </c>
      <c r="C153">
        <v>120</v>
      </c>
      <c r="D153">
        <v>0.47565594593299199</v>
      </c>
      <c r="E153">
        <v>110.89810011984</v>
      </c>
      <c r="F153">
        <v>1.4770835786535499</v>
      </c>
      <c r="G153">
        <v>-1847.6823278906677</v>
      </c>
      <c r="H153">
        <v>-1522.8820047638692</v>
      </c>
      <c r="I153">
        <v>311.37036392092898</v>
      </c>
      <c r="J153">
        <v>161.51957160475399</v>
      </c>
      <c r="K153">
        <v>75.079096215347903</v>
      </c>
      <c r="L153">
        <v>0.17121835366602245</v>
      </c>
      <c r="M153">
        <v>-0.1700040452186066</v>
      </c>
      <c r="N153">
        <v>12.791007290846499</v>
      </c>
      <c r="O153">
        <v>12.791113722882899</v>
      </c>
      <c r="P153">
        <v>12.791001537180399</v>
      </c>
      <c r="Q153" t="s">
        <v>51</v>
      </c>
    </row>
    <row r="154" spans="1:17" x14ac:dyDescent="0.2">
      <c r="A154">
        <v>153</v>
      </c>
      <c r="B154">
        <v>768</v>
      </c>
      <c r="C154">
        <v>120</v>
      </c>
      <c r="D154">
        <v>0.474514239062578</v>
      </c>
      <c r="E154">
        <v>110.898243725751</v>
      </c>
      <c r="F154">
        <v>1.47202401521152</v>
      </c>
      <c r="G154">
        <v>-1847.0633682330479</v>
      </c>
      <c r="H154">
        <v>-1524.2639139826219</v>
      </c>
      <c r="I154">
        <v>310.04684991286598</v>
      </c>
      <c r="J154">
        <v>161.30050387256799</v>
      </c>
      <c r="K154">
        <v>75.337251688666001</v>
      </c>
      <c r="L154">
        <v>0.12925549863490002</v>
      </c>
      <c r="M154">
        <v>-0.12801271007573567</v>
      </c>
      <c r="N154">
        <v>9.6719964705609396</v>
      </c>
      <c r="O154">
        <v>9.6721055439650101</v>
      </c>
      <c r="P154">
        <v>9.6719901949824205</v>
      </c>
      <c r="Q154" t="s">
        <v>51</v>
      </c>
    </row>
    <row r="155" spans="1:17" x14ac:dyDescent="0.2">
      <c r="A155">
        <v>154</v>
      </c>
      <c r="B155">
        <v>766</v>
      </c>
      <c r="C155">
        <v>120</v>
      </c>
      <c r="D155">
        <v>0.47336813742000999</v>
      </c>
      <c r="E155">
        <v>110.898205491056</v>
      </c>
      <c r="F155">
        <v>1.4705740750449099</v>
      </c>
      <c r="G155">
        <v>-1846.4435592395764</v>
      </c>
      <c r="H155">
        <v>-1525.1616399748386</v>
      </c>
      <c r="I155">
        <v>309.18329861916999</v>
      </c>
      <c r="J155">
        <v>161.23163931136901</v>
      </c>
      <c r="K155">
        <v>75.411505869005296</v>
      </c>
      <c r="L155">
        <v>0.10665856390488312</v>
      </c>
      <c r="M155">
        <v>-0.10539945168462958</v>
      </c>
      <c r="N155">
        <v>7.9764759730627901</v>
      </c>
      <c r="O155">
        <v>7.9765863560985801</v>
      </c>
      <c r="P155">
        <v>7.9764692112897304</v>
      </c>
      <c r="Q155" t="s">
        <v>51</v>
      </c>
    </row>
    <row r="156" spans="1:17" x14ac:dyDescent="0.2">
      <c r="A156">
        <v>155</v>
      </c>
      <c r="B156">
        <v>764</v>
      </c>
      <c r="C156">
        <v>120</v>
      </c>
      <c r="D156">
        <v>0.47221761558116099</v>
      </c>
      <c r="E156">
        <v>110.898114858974</v>
      </c>
      <c r="F156">
        <v>1.47066647374828</v>
      </c>
      <c r="G156">
        <v>-1845.8244023021332</v>
      </c>
      <c r="H156">
        <v>-1525.8510509904661</v>
      </c>
      <c r="I156">
        <v>308.517869998008</v>
      </c>
      <c r="J156">
        <v>161.22978154103299</v>
      </c>
      <c r="K156">
        <v>75.406706305290598</v>
      </c>
      <c r="L156">
        <v>9.2329010863593533E-2</v>
      </c>
      <c r="M156">
        <v>-9.1058748940193515E-2</v>
      </c>
      <c r="N156">
        <v>6.8947124658448198</v>
      </c>
      <c r="O156">
        <v>6.8948235756577096</v>
      </c>
      <c r="P156">
        <v>6.8947052200114198</v>
      </c>
      <c r="Q156" t="s">
        <v>51</v>
      </c>
    </row>
    <row r="157" spans="1:17" x14ac:dyDescent="0.2">
      <c r="A157">
        <v>156</v>
      </c>
      <c r="B157">
        <v>762</v>
      </c>
      <c r="C157">
        <v>120</v>
      </c>
      <c r="D157">
        <v>0.47106264792542502</v>
      </c>
      <c r="E157">
        <v>110.898006360886</v>
      </c>
      <c r="F157">
        <v>1.47156751865518</v>
      </c>
      <c r="G157">
        <v>-1845.2061723118941</v>
      </c>
      <c r="H157">
        <v>-1526.4314634880045</v>
      </c>
      <c r="I157">
        <v>307.95604772499797</v>
      </c>
      <c r="J157">
        <v>161.264698214997</v>
      </c>
      <c r="K157">
        <v>75.360460838543105</v>
      </c>
      <c r="L157">
        <v>8.2309493609324824E-2</v>
      </c>
      <c r="M157">
        <v>-8.1030773142448151E-2</v>
      </c>
      <c r="N157">
        <v>6.1348391226974002</v>
      </c>
      <c r="O157">
        <v>6.1349506450128102</v>
      </c>
      <c r="P157">
        <v>6.13483138234918</v>
      </c>
      <c r="Q157" t="s">
        <v>51</v>
      </c>
    </row>
    <row r="158" spans="1:17" x14ac:dyDescent="0.2">
      <c r="A158">
        <v>157</v>
      </c>
      <c r="B158">
        <v>760</v>
      </c>
      <c r="C158">
        <v>120</v>
      </c>
      <c r="D158">
        <v>0.46990320863379098</v>
      </c>
      <c r="E158">
        <v>110.8978914529</v>
      </c>
      <c r="F158">
        <v>1.4729517711100399</v>
      </c>
      <c r="G158">
        <v>-1844.5888961143883</v>
      </c>
      <c r="H158">
        <v>-1526.9473147212068</v>
      </c>
      <c r="I158">
        <v>307.45545421829701</v>
      </c>
      <c r="J158">
        <v>161.32281607954499</v>
      </c>
      <c r="K158">
        <v>75.289560478497904</v>
      </c>
      <c r="L158">
        <v>7.4839050199330265E-2</v>
      </c>
      <c r="M158">
        <v>-7.3553460029302117E-2</v>
      </c>
      <c r="N158">
        <v>5.5661350772389904</v>
      </c>
      <c r="O158">
        <v>5.5662468173828898</v>
      </c>
      <c r="P158">
        <v>5.5661268258606498</v>
      </c>
      <c r="Q158" t="s">
        <v>51</v>
      </c>
    </row>
    <row r="159" spans="1:17" x14ac:dyDescent="0.2">
      <c r="A159">
        <v>158</v>
      </c>
      <c r="B159">
        <v>758</v>
      </c>
      <c r="C159">
        <v>120</v>
      </c>
      <c r="D159">
        <v>0.46873927168695301</v>
      </c>
      <c r="E159">
        <v>110.89777440819699</v>
      </c>
      <c r="F159">
        <v>1.47465223671235</v>
      </c>
      <c r="G159">
        <v>-1843.972544941349</v>
      </c>
      <c r="H159">
        <v>-1527.4215485670823</v>
      </c>
      <c r="I159">
        <v>306.99417027485799</v>
      </c>
      <c r="J159">
        <v>161.39714403465601</v>
      </c>
      <c r="K159">
        <v>75.202662463278301</v>
      </c>
      <c r="L159">
        <v>6.9011762311555674E-2</v>
      </c>
      <c r="M159">
        <v>-6.7720325422916214E-2</v>
      </c>
      <c r="N159">
        <v>5.1210509599670502</v>
      </c>
      <c r="O159">
        <v>5.1211627845824301</v>
      </c>
      <c r="P159">
        <v>5.12104217752744</v>
      </c>
      <c r="Q159" t="s">
        <v>51</v>
      </c>
    </row>
    <row r="160" spans="1:17" x14ac:dyDescent="0.2">
      <c r="A160">
        <v>159</v>
      </c>
      <c r="B160">
        <v>756</v>
      </c>
      <c r="C160">
        <v>120</v>
      </c>
      <c r="D160">
        <v>0.46757081086333502</v>
      </c>
      <c r="E160">
        <v>110.897677332371</v>
      </c>
      <c r="F160">
        <v>1.4765401730671399</v>
      </c>
      <c r="G160">
        <v>-1843.3574355241788</v>
      </c>
      <c r="H160">
        <v>-1527.8774244368453</v>
      </c>
      <c r="I160">
        <v>306.55013492268603</v>
      </c>
      <c r="J160">
        <v>161.48069769264001</v>
      </c>
      <c r="K160">
        <v>75.106440959211497</v>
      </c>
      <c r="L160">
        <v>6.4025642412949307E-2</v>
      </c>
      <c r="M160">
        <v>-6.2728893307281305E-2</v>
      </c>
      <c r="N160">
        <v>4.7396043348085097</v>
      </c>
      <c r="O160">
        <v>4.73971616176045</v>
      </c>
      <c r="P160">
        <v>4.7395949975396103</v>
      </c>
      <c r="Q160" t="s">
        <v>51</v>
      </c>
    </row>
    <row r="161" spans="1:17" x14ac:dyDescent="0.2">
      <c r="A161">
        <v>160</v>
      </c>
      <c r="B161">
        <v>806</v>
      </c>
      <c r="C161">
        <v>100</v>
      </c>
      <c r="D161">
        <v>0.51586943427697896</v>
      </c>
      <c r="E161">
        <v>110.883980431997</v>
      </c>
      <c r="F161">
        <v>1.41013026971086</v>
      </c>
      <c r="G161">
        <v>-1860.6219907045847</v>
      </c>
      <c r="H161">
        <v>-1505.3693047328813</v>
      </c>
      <c r="I161">
        <v>329.20061524287701</v>
      </c>
      <c r="J161">
        <v>163.57195920458901</v>
      </c>
      <c r="K161">
        <v>78.633855902358107</v>
      </c>
      <c r="L161">
        <v>0.59661153858121285</v>
      </c>
      <c r="M161">
        <v>-0.59551225319376133</v>
      </c>
      <c r="N161">
        <v>46.8600237043131</v>
      </c>
      <c r="O161">
        <v>46.860152235789499</v>
      </c>
      <c r="P161">
        <v>46.860028987181799</v>
      </c>
      <c r="Q161" t="s">
        <v>51</v>
      </c>
    </row>
    <row r="162" spans="1:17" x14ac:dyDescent="0.2">
      <c r="A162">
        <v>161</v>
      </c>
      <c r="B162">
        <v>804</v>
      </c>
      <c r="C162">
        <v>100</v>
      </c>
      <c r="D162">
        <v>0.514840551455232</v>
      </c>
      <c r="E162">
        <v>110.884043402884</v>
      </c>
      <c r="F162">
        <v>1.41179252924801</v>
      </c>
      <c r="G162">
        <v>-1859.9649290146272</v>
      </c>
      <c r="H162">
        <v>-1505.7416300104794</v>
      </c>
      <c r="I162">
        <v>328.85620638771002</v>
      </c>
      <c r="J162">
        <v>163.57968985965701</v>
      </c>
      <c r="K162">
        <v>78.541316167713205</v>
      </c>
      <c r="L162">
        <v>0.59583103367809509</v>
      </c>
      <c r="M162">
        <v>-0.59472876149737752</v>
      </c>
      <c r="N162">
        <v>46.743324642577399</v>
      </c>
      <c r="O162">
        <v>46.743453580513503</v>
      </c>
      <c r="P162">
        <v>46.7433301076519</v>
      </c>
      <c r="Q162" t="s">
        <v>51</v>
      </c>
    </row>
    <row r="163" spans="1:17" x14ac:dyDescent="0.2">
      <c r="A163">
        <v>162</v>
      </c>
      <c r="B163">
        <v>802</v>
      </c>
      <c r="C163">
        <v>100</v>
      </c>
      <c r="D163">
        <v>0.51380784076640695</v>
      </c>
      <c r="E163">
        <v>110.884096487983</v>
      </c>
      <c r="F163">
        <v>1.41252502335136</v>
      </c>
      <c r="G163">
        <v>-1859.3084916312696</v>
      </c>
      <c r="H163">
        <v>-1506.1901502987228</v>
      </c>
      <c r="I163">
        <v>328.44023811588801</v>
      </c>
      <c r="J163">
        <v>163.54666814884499</v>
      </c>
      <c r="K163">
        <v>78.500624523379699</v>
      </c>
      <c r="L163">
        <v>0.59227745483814331</v>
      </c>
      <c r="M163">
        <v>-0.59116987601554116</v>
      </c>
      <c r="N163">
        <v>46.439782532225898</v>
      </c>
      <c r="O163">
        <v>46.4399122274707</v>
      </c>
      <c r="P163">
        <v>46.439788193961498</v>
      </c>
      <c r="Q163" t="s">
        <v>51</v>
      </c>
    </row>
    <row r="164" spans="1:17" x14ac:dyDescent="0.2">
      <c r="A164">
        <v>163</v>
      </c>
      <c r="B164">
        <v>800</v>
      </c>
      <c r="C164">
        <v>100</v>
      </c>
      <c r="D164">
        <v>0.51277128080883805</v>
      </c>
      <c r="E164">
        <v>110.884149744075</v>
      </c>
      <c r="F164">
        <v>1.41327626337336</v>
      </c>
      <c r="G164">
        <v>-1858.6528889232475</v>
      </c>
      <c r="H164">
        <v>-1506.6379673380163</v>
      </c>
      <c r="I164">
        <v>328.02415247979201</v>
      </c>
      <c r="J164">
        <v>163.51588405828301</v>
      </c>
      <c r="K164">
        <v>78.458934475701597</v>
      </c>
      <c r="L164">
        <v>0.58872763362278813</v>
      </c>
      <c r="M164">
        <v>-0.58761472276850102</v>
      </c>
      <c r="N164">
        <v>46.136235014611501</v>
      </c>
      <c r="O164">
        <v>46.136365469682097</v>
      </c>
      <c r="P164">
        <v>46.136240871994801</v>
      </c>
      <c r="Q164" t="s">
        <v>51</v>
      </c>
    </row>
    <row r="165" spans="1:17" x14ac:dyDescent="0.2">
      <c r="A165">
        <v>164</v>
      </c>
      <c r="B165">
        <v>798</v>
      </c>
      <c r="C165">
        <v>100</v>
      </c>
      <c r="D165">
        <v>0.51173085002101004</v>
      </c>
      <c r="E165">
        <v>110.884203185708</v>
      </c>
      <c r="F165">
        <v>1.41404763206883</v>
      </c>
      <c r="G165">
        <v>-1857.9981212871105</v>
      </c>
      <c r="H165">
        <v>-1507.0850004106787</v>
      </c>
      <c r="I165">
        <v>327.60802453374998</v>
      </c>
      <c r="J165">
        <v>163.48739157298701</v>
      </c>
      <c r="K165">
        <v>78.416172603378897</v>
      </c>
      <c r="L165">
        <v>0.5851848936193782</v>
      </c>
      <c r="M165">
        <v>-0.58406662829067757</v>
      </c>
      <c r="N165">
        <v>45.832910110748998</v>
      </c>
      <c r="O165">
        <v>45.833041327554497</v>
      </c>
      <c r="P165">
        <v>45.832916162514202</v>
      </c>
      <c r="Q165" t="s">
        <v>51</v>
      </c>
    </row>
    <row r="166" spans="1:17" x14ac:dyDescent="0.2">
      <c r="A166">
        <v>165</v>
      </c>
      <c r="B166">
        <v>796</v>
      </c>
      <c r="C166">
        <v>100</v>
      </c>
      <c r="D166">
        <v>0.51068652668007097</v>
      </c>
      <c r="E166">
        <v>110.884256827824</v>
      </c>
      <c r="F166">
        <v>1.4148404578885201</v>
      </c>
      <c r="G166">
        <v>-1857.3441889785813</v>
      </c>
      <c r="H166">
        <v>-1507.5311724462724</v>
      </c>
      <c r="I166">
        <v>327.19192635104997</v>
      </c>
      <c r="J166">
        <v>163.46124361635901</v>
      </c>
      <c r="K166">
        <v>78.372268908188403</v>
      </c>
      <c r="L166">
        <v>0.58165243522728338</v>
      </c>
      <c r="M166">
        <v>-0.58052879584681905</v>
      </c>
      <c r="N166">
        <v>45.530028608049797</v>
      </c>
      <c r="O166">
        <v>45.530160587891899</v>
      </c>
      <c r="P166">
        <v>45.530034852663398</v>
      </c>
      <c r="Q166" t="s">
        <v>51</v>
      </c>
    </row>
    <row r="167" spans="1:17" x14ac:dyDescent="0.2">
      <c r="A167">
        <v>166</v>
      </c>
      <c r="B167">
        <v>794</v>
      </c>
      <c r="C167">
        <v>100</v>
      </c>
      <c r="D167">
        <v>0.50963828890034402</v>
      </c>
      <c r="E167">
        <v>110.88431068558501</v>
      </c>
      <c r="F167">
        <v>1.41565600594955</v>
      </c>
      <c r="G167">
        <v>-1856.6910921164106</v>
      </c>
      <c r="H167">
        <v>-1507.9764107217959</v>
      </c>
      <c r="I167">
        <v>326.77592634360298</v>
      </c>
      <c r="J167">
        <v>163.43749201801401</v>
      </c>
      <c r="K167">
        <v>78.327157317578099</v>
      </c>
      <c r="L167">
        <v>0.5781333063370927</v>
      </c>
      <c r="M167">
        <v>-0.57700427608614169</v>
      </c>
      <c r="N167">
        <v>45.227801976869102</v>
      </c>
      <c r="O167">
        <v>45.227934720446299</v>
      </c>
      <c r="P167">
        <v>45.227808412515003</v>
      </c>
      <c r="Q167" t="s">
        <v>51</v>
      </c>
    </row>
    <row r="168" spans="1:17" x14ac:dyDescent="0.2">
      <c r="A168">
        <v>167</v>
      </c>
      <c r="B168">
        <v>792</v>
      </c>
      <c r="C168">
        <v>100</v>
      </c>
      <c r="D168">
        <v>0.50858611463174297</v>
      </c>
      <c r="E168">
        <v>110.884364774226</v>
      </c>
      <c r="F168">
        <v>1.4164954705216199</v>
      </c>
      <c r="G168">
        <v>-1856.0388306878533</v>
      </c>
      <c r="H168">
        <v>-1508.4206474601151</v>
      </c>
      <c r="I168">
        <v>326.360088670984</v>
      </c>
      <c r="J168">
        <v>163.416187534382</v>
      </c>
      <c r="K168">
        <v>78.280776099758796</v>
      </c>
      <c r="L168">
        <v>0.5746303766861558</v>
      </c>
      <c r="M168">
        <v>-0.57349594137600513</v>
      </c>
      <c r="N168">
        <v>44.926430520694502</v>
      </c>
      <c r="O168">
        <v>44.926564028109198</v>
      </c>
      <c r="P168">
        <v>44.926437145258497</v>
      </c>
      <c r="Q168" t="s">
        <v>51</v>
      </c>
    </row>
    <row r="169" spans="1:17" x14ac:dyDescent="0.2">
      <c r="A169">
        <v>168</v>
      </c>
      <c r="B169">
        <v>790</v>
      </c>
      <c r="C169">
        <v>100</v>
      </c>
      <c r="D169">
        <v>0.507529981658283</v>
      </c>
      <c r="E169">
        <v>110.884429852103</v>
      </c>
      <c r="F169">
        <v>1.41558146652521</v>
      </c>
      <c r="G169">
        <v>-1855.3876568088904</v>
      </c>
      <c r="H169">
        <v>-1509.0440079605942</v>
      </c>
      <c r="I169">
        <v>325.77525009893998</v>
      </c>
      <c r="J169">
        <v>163.355184033462</v>
      </c>
      <c r="K169">
        <v>78.331365925754795</v>
      </c>
      <c r="L169">
        <v>0.5635487625810538</v>
      </c>
      <c r="M169">
        <v>-0.5624032582559999</v>
      </c>
      <c r="N169">
        <v>44.086764635360701</v>
      </c>
      <c r="O169">
        <v>44.086899733908503</v>
      </c>
      <c r="P169">
        <v>44.086771490447497</v>
      </c>
      <c r="Q169" t="s">
        <v>51</v>
      </c>
    </row>
    <row r="170" spans="1:17" x14ac:dyDescent="0.2">
      <c r="A170">
        <v>169</v>
      </c>
      <c r="B170">
        <v>788</v>
      </c>
      <c r="C170">
        <v>100</v>
      </c>
      <c r="D170">
        <v>0.50646986759647905</v>
      </c>
      <c r="E170">
        <v>110.884506391369</v>
      </c>
      <c r="F170">
        <v>1.41251716044465</v>
      </c>
      <c r="G170">
        <v>-1854.7381400243421</v>
      </c>
      <c r="H170">
        <v>-1509.8892097490791</v>
      </c>
      <c r="I170">
        <v>324.980741973504</v>
      </c>
      <c r="J170">
        <v>163.24527495956099</v>
      </c>
      <c r="K170">
        <v>78.501351697889305</v>
      </c>
      <c r="L170">
        <v>0.54305433325754771</v>
      </c>
      <c r="M170">
        <v>-0.54189074173196927</v>
      </c>
      <c r="N170">
        <v>42.572578544364397</v>
      </c>
      <c r="O170">
        <v>42.572716268946998</v>
      </c>
      <c r="P170">
        <v>42.572585685601602</v>
      </c>
      <c r="Q170" t="s">
        <v>51</v>
      </c>
    </row>
    <row r="171" spans="1:17" x14ac:dyDescent="0.2">
      <c r="A171">
        <v>170</v>
      </c>
      <c r="B171">
        <v>786</v>
      </c>
      <c r="C171">
        <v>100</v>
      </c>
      <c r="D171">
        <v>0.50540574989378495</v>
      </c>
      <c r="E171">
        <v>110.884579976862</v>
      </c>
      <c r="F171">
        <v>1.40934972532555</v>
      </c>
      <c r="G171">
        <v>-1854.0901775533589</v>
      </c>
      <c r="H171">
        <v>-1510.749943717861</v>
      </c>
      <c r="I171">
        <v>324.170038533769</v>
      </c>
      <c r="J171">
        <v>163.133801783992</v>
      </c>
      <c r="K171">
        <v>78.677831331927393</v>
      </c>
      <c r="L171">
        <v>0.52179944184725879</v>
      </c>
      <c r="M171">
        <v>-0.52061721427065732</v>
      </c>
      <c r="N171">
        <v>40.994945763940201</v>
      </c>
      <c r="O171">
        <v>40.995086206217998</v>
      </c>
      <c r="P171">
        <v>40.994953197780802</v>
      </c>
      <c r="Q171" t="s">
        <v>51</v>
      </c>
    </row>
    <row r="172" spans="1:17" x14ac:dyDescent="0.2">
      <c r="A172">
        <v>171</v>
      </c>
      <c r="B172">
        <v>784</v>
      </c>
      <c r="C172">
        <v>100</v>
      </c>
      <c r="D172">
        <v>0.50433760582698905</v>
      </c>
      <c r="E172">
        <v>110.884648582157</v>
      </c>
      <c r="F172">
        <v>1.4058743564151099</v>
      </c>
      <c r="G172">
        <v>-1853.443786043732</v>
      </c>
      <c r="H172">
        <v>-1511.6475381675314</v>
      </c>
      <c r="I172">
        <v>323.32289128479101</v>
      </c>
      <c r="J172">
        <v>163.01282822482401</v>
      </c>
      <c r="K172">
        <v>78.872374388352796</v>
      </c>
      <c r="L172">
        <v>0.49881140499770904</v>
      </c>
      <c r="M172">
        <v>-0.49760933525052986</v>
      </c>
      <c r="N172">
        <v>39.282071200121699</v>
      </c>
      <c r="O172">
        <v>39.282214550865397</v>
      </c>
      <c r="P172">
        <v>39.282078938370901</v>
      </c>
      <c r="Q172" t="s">
        <v>51</v>
      </c>
    </row>
    <row r="173" spans="1:17" x14ac:dyDescent="0.2">
      <c r="A173">
        <v>172</v>
      </c>
      <c r="B173">
        <v>782</v>
      </c>
      <c r="C173">
        <v>100</v>
      </c>
      <c r="D173">
        <v>0.50326541250059598</v>
      </c>
      <c r="E173">
        <v>110.89552721369699</v>
      </c>
      <c r="F173">
        <v>1.3706185524257199</v>
      </c>
      <c r="G173">
        <v>-1852.978341733987</v>
      </c>
      <c r="H173">
        <v>-1516.3769390322689</v>
      </c>
      <c r="I173">
        <v>319.01296071501599</v>
      </c>
      <c r="J173">
        <v>161.510964410795</v>
      </c>
      <c r="K173">
        <v>80.909109990838999</v>
      </c>
      <c r="L173">
        <v>0.32853483317876647</v>
      </c>
      <c r="M173">
        <v>-0.32721192038418284</v>
      </c>
      <c r="N173">
        <v>26.513119229871101</v>
      </c>
      <c r="O173">
        <v>26.513281064985701</v>
      </c>
      <c r="P173">
        <v>26.513128155746099</v>
      </c>
      <c r="Q173" t="s">
        <v>51</v>
      </c>
    </row>
    <row r="174" spans="1:17" x14ac:dyDescent="0.2">
      <c r="A174">
        <v>173</v>
      </c>
      <c r="B174">
        <v>780</v>
      </c>
      <c r="C174">
        <v>100</v>
      </c>
      <c r="D174">
        <v>0.50218914684517901</v>
      </c>
      <c r="E174">
        <v>110.898290375001</v>
      </c>
      <c r="F174">
        <v>1.3431012720761999</v>
      </c>
      <c r="G174">
        <v>-1852.389691449433</v>
      </c>
      <c r="H174">
        <v>-1520.3958351645772</v>
      </c>
      <c r="I174">
        <v>315.244235359264</v>
      </c>
      <c r="J174">
        <v>160.18194955962599</v>
      </c>
      <c r="K174">
        <v>82.568822381927802</v>
      </c>
      <c r="L174">
        <v>0.18908893568834806</v>
      </c>
      <c r="M174">
        <v>-0.18766725373898663</v>
      </c>
      <c r="N174">
        <v>15.537711189568</v>
      </c>
      <c r="O174">
        <v>15.5378887573247</v>
      </c>
      <c r="P174">
        <v>15.537721172367201</v>
      </c>
      <c r="Q174" t="s">
        <v>51</v>
      </c>
    </row>
    <row r="175" spans="1:17" x14ac:dyDescent="0.2">
      <c r="A175">
        <v>174</v>
      </c>
      <c r="B175">
        <v>778</v>
      </c>
      <c r="C175">
        <v>100</v>
      </c>
      <c r="D175">
        <v>0.501108785615755</v>
      </c>
      <c r="E175">
        <v>110.898732572939</v>
      </c>
      <c r="F175">
        <v>1.3341475841523001</v>
      </c>
      <c r="G175">
        <v>-1851.7683000371978</v>
      </c>
      <c r="H175">
        <v>-1522.1914531181433</v>
      </c>
      <c r="I175">
        <v>313.54483255953198</v>
      </c>
      <c r="J175">
        <v>159.695452559003</v>
      </c>
      <c r="K175">
        <v>83.123287026302606</v>
      </c>
      <c r="L175">
        <v>0.13495616981058403</v>
      </c>
      <c r="M175">
        <v>-0.13349433310041361</v>
      </c>
      <c r="N175">
        <v>11.1400516774794</v>
      </c>
      <c r="O175">
        <v>11.140235704533399</v>
      </c>
      <c r="P175">
        <v>11.140062197398301</v>
      </c>
      <c r="Q175" t="s">
        <v>51</v>
      </c>
    </row>
    <row r="176" spans="1:17" x14ac:dyDescent="0.2">
      <c r="A176">
        <v>175</v>
      </c>
      <c r="B176">
        <v>776</v>
      </c>
      <c r="C176">
        <v>100</v>
      </c>
      <c r="D176">
        <v>0.50002430539008103</v>
      </c>
      <c r="E176">
        <v>110.89879155542999</v>
      </c>
      <c r="F176">
        <v>1.3310410771794099</v>
      </c>
      <c r="G176">
        <v>-1851.1432488832327</v>
      </c>
      <c r="H176">
        <v>-1523.2552542560115</v>
      </c>
      <c r="I176">
        <v>312.53290352448801</v>
      </c>
      <c r="J176">
        <v>159.49604159734099</v>
      </c>
      <c r="K176">
        <v>83.317332167113705</v>
      </c>
      <c r="L176">
        <v>0.10798973649245923</v>
      </c>
      <c r="M176">
        <v>-0.10650628885935824</v>
      </c>
      <c r="N176">
        <v>8.9179672719030503</v>
      </c>
      <c r="O176">
        <v>8.9181547134965005</v>
      </c>
      <c r="P176">
        <v>8.9179781523336192</v>
      </c>
      <c r="Q176" t="s">
        <v>51</v>
      </c>
    </row>
    <row r="177" spans="1:17" x14ac:dyDescent="0.2">
      <c r="A177">
        <v>176</v>
      </c>
      <c r="B177">
        <v>774</v>
      </c>
      <c r="C177">
        <v>100</v>
      </c>
      <c r="D177">
        <v>0.49893568256697302</v>
      </c>
      <c r="E177">
        <v>110.898743058514</v>
      </c>
      <c r="F177">
        <v>1.33024291986179</v>
      </c>
      <c r="G177">
        <v>-1850.5181561511477</v>
      </c>
      <c r="H177">
        <v>-1524.0255870538833</v>
      </c>
      <c r="I177">
        <v>311.79728686399301</v>
      </c>
      <c r="J177">
        <v>159.41464832300301</v>
      </c>
      <c r="K177">
        <v>83.367286833623197</v>
      </c>
      <c r="L177">
        <v>9.1767267700095925E-2</v>
      </c>
      <c r="M177">
        <v>-9.0269501790077672E-2</v>
      </c>
      <c r="N177">
        <v>7.5699606108621298</v>
      </c>
      <c r="O177">
        <v>7.5701502477195604</v>
      </c>
      <c r="P177">
        <v>7.56997177596093</v>
      </c>
      <c r="Q177" t="s">
        <v>51</v>
      </c>
    </row>
    <row r="178" spans="1:17" x14ac:dyDescent="0.2">
      <c r="A178">
        <v>177</v>
      </c>
      <c r="B178">
        <v>772</v>
      </c>
      <c r="C178">
        <v>100</v>
      </c>
      <c r="D178">
        <v>0.49784289336458698</v>
      </c>
      <c r="E178">
        <v>110.898657343545</v>
      </c>
      <c r="F178">
        <v>1.3305832176427601</v>
      </c>
      <c r="G178">
        <v>-1849.8937772530332</v>
      </c>
      <c r="H178">
        <v>-1524.6507308682731</v>
      </c>
      <c r="I178">
        <v>311.19843650743098</v>
      </c>
      <c r="J178">
        <v>159.39345792360101</v>
      </c>
      <c r="K178">
        <v>83.345901160553396</v>
      </c>
      <c r="L178">
        <v>8.0824855688035033E-2</v>
      </c>
      <c r="M178">
        <v>-7.9316333397491376E-2</v>
      </c>
      <c r="N178">
        <v>6.6552725726522404</v>
      </c>
      <c r="O178">
        <v>6.65546380073308</v>
      </c>
      <c r="P178">
        <v>6.65528398017483</v>
      </c>
      <c r="Q178" t="s">
        <v>51</v>
      </c>
    </row>
    <row r="179" spans="1:17" x14ac:dyDescent="0.2">
      <c r="A179">
        <v>178</v>
      </c>
      <c r="B179">
        <v>770</v>
      </c>
      <c r="C179">
        <v>100</v>
      </c>
      <c r="D179">
        <v>0.49674591381872402</v>
      </c>
      <c r="E179">
        <v>110.898557183794</v>
      </c>
      <c r="F179">
        <v>1.33157388060571</v>
      </c>
      <c r="G179">
        <v>-1849.2702768336696</v>
      </c>
      <c r="H179">
        <v>-1525.1933419392169</v>
      </c>
      <c r="I179">
        <v>310.67724036621502</v>
      </c>
      <c r="J179">
        <v>159.407905003525</v>
      </c>
      <c r="K179">
        <v>83.283818343859394</v>
      </c>
      <c r="L179">
        <v>7.2873567511229448E-2</v>
      </c>
      <c r="M179">
        <v>-7.1356291476333891E-2</v>
      </c>
      <c r="N179">
        <v>5.9874667087809499</v>
      </c>
      <c r="O179">
        <v>5.9876591832692698</v>
      </c>
      <c r="P179">
        <v>5.9874783303017196</v>
      </c>
      <c r="Q179" t="s">
        <v>51</v>
      </c>
    </row>
    <row r="180" spans="1:17" x14ac:dyDescent="0.2">
      <c r="A180">
        <v>179</v>
      </c>
      <c r="B180">
        <v>768</v>
      </c>
      <c r="C180">
        <v>100</v>
      </c>
      <c r="D180">
        <v>0.49564471978101199</v>
      </c>
      <c r="E180">
        <v>110.89845117685699</v>
      </c>
      <c r="F180">
        <v>1.3329759813187101</v>
      </c>
      <c r="G180">
        <v>-1848.6476721559432</v>
      </c>
      <c r="H180">
        <v>-1525.6843546845364</v>
      </c>
      <c r="I180">
        <v>310.20445464698798</v>
      </c>
      <c r="J180">
        <v>159.44584319933901</v>
      </c>
      <c r="K180">
        <v>83.196136112779499</v>
      </c>
      <c r="L180">
        <v>6.6789418001554746E-2</v>
      </c>
      <c r="M180">
        <v>-6.5264626582969346E-2</v>
      </c>
      <c r="N180">
        <v>5.4744157389013104</v>
      </c>
      <c r="O180">
        <v>5.4746092425560704</v>
      </c>
      <c r="P180">
        <v>5.47442755248934</v>
      </c>
      <c r="Q180" t="s">
        <v>51</v>
      </c>
    </row>
    <row r="181" spans="1:17" x14ac:dyDescent="0.2">
      <c r="A181">
        <v>180</v>
      </c>
      <c r="B181">
        <v>766</v>
      </c>
      <c r="C181">
        <v>100</v>
      </c>
      <c r="D181">
        <v>0.49453928691719501</v>
      </c>
      <c r="E181">
        <v>110.898342870213</v>
      </c>
      <c r="F181">
        <v>1.33465862389718</v>
      </c>
      <c r="G181">
        <v>-1848.0259418513726</v>
      </c>
      <c r="H181">
        <v>-1526.140827791337</v>
      </c>
      <c r="I181">
        <v>309.76392445416599</v>
      </c>
      <c r="J181">
        <v>159.500593562902</v>
      </c>
      <c r="K181">
        <v>83.091167197790099</v>
      </c>
      <c r="L181">
        <v>6.1954940372820719E-2</v>
      </c>
      <c r="M181">
        <v>-6.0423452736554362E-2</v>
      </c>
      <c r="N181">
        <v>5.0652795457688802</v>
      </c>
      <c r="O181">
        <v>5.0654739314027903</v>
      </c>
      <c r="P181">
        <v>5.0652915327779802</v>
      </c>
      <c r="Q181" t="s">
        <v>51</v>
      </c>
    </row>
    <row r="182" spans="1:17" x14ac:dyDescent="0.2">
      <c r="A182">
        <v>181</v>
      </c>
      <c r="B182">
        <v>764</v>
      </c>
      <c r="C182">
        <v>100</v>
      </c>
      <c r="D182">
        <v>0.49342959070530001</v>
      </c>
      <c r="E182">
        <v>110.89823377984899</v>
      </c>
      <c r="F182">
        <v>1.3365439184185099</v>
      </c>
      <c r="G182">
        <v>-1847.4050565544301</v>
      </c>
      <c r="H182">
        <v>-1526.5729689243835</v>
      </c>
      <c r="I182">
        <v>309.34596732904402</v>
      </c>
      <c r="J182">
        <v>159.568192670586</v>
      </c>
      <c r="K182">
        <v>82.973879310357006</v>
      </c>
      <c r="L182">
        <v>5.8001725073703277E-2</v>
      </c>
      <c r="M182">
        <v>-5.6464110639069524E-2</v>
      </c>
      <c r="N182">
        <v>4.7296187846067204</v>
      </c>
      <c r="O182">
        <v>4.7298139467033096</v>
      </c>
      <c r="P182">
        <v>4.7296309280811997</v>
      </c>
      <c r="Q18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4FB44-5B95-4B8B-942E-BFD26426F0B4}">
  <sheetPr codeName="Sheet4"/>
  <dimension ref="A1:AI182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760</v>
      </c>
      <c r="C2">
        <v>300</v>
      </c>
      <c r="D2">
        <v>0.27825630353772701</v>
      </c>
      <c r="E2">
        <v>107.013944983546</v>
      </c>
      <c r="F2">
        <v>2.19953979202494</v>
      </c>
      <c r="G2">
        <v>-1749.5622388074037</v>
      </c>
      <c r="H2">
        <v>-1457.3177540063862</v>
      </c>
      <c r="I2">
        <v>282.867429512672</v>
      </c>
      <c r="J2">
        <v>145.27599386968299</v>
      </c>
      <c r="K2">
        <v>48.652879739459799</v>
      </c>
      <c r="L2">
        <v>1.6212078738732128E-4</v>
      </c>
      <c r="M2">
        <v>1.7703293559335897E-5</v>
      </c>
      <c r="N2" s="1">
        <v>3.9806646822459397E-6</v>
      </c>
      <c r="O2" s="1">
        <v>1.08273570866068E-7</v>
      </c>
      <c r="P2" s="1">
        <v>-5.4135079420404E-7</v>
      </c>
      <c r="Q2">
        <v>71.738314115810596</v>
      </c>
      <c r="R2">
        <v>8.9707934806777398E-2</v>
      </c>
      <c r="S2">
        <v>12.1105711989153</v>
      </c>
      <c r="T2">
        <v>0.225782664419721</v>
      </c>
      <c r="V2">
        <v>0.57243812538121097</v>
      </c>
      <c r="W2">
        <v>2.5230356664406001E-2</v>
      </c>
      <c r="X2">
        <v>0.112134918508472</v>
      </c>
      <c r="AA2">
        <v>0.73822154684743702</v>
      </c>
      <c r="AB2">
        <v>3.31732467254227</v>
      </c>
      <c r="AC2">
        <v>4.3826063983727304</v>
      </c>
      <c r="AD2">
        <v>3.7378306169489901E-2</v>
      </c>
      <c r="AE2">
        <v>6.6502897615614103</v>
      </c>
    </row>
    <row r="3" spans="1:35" x14ac:dyDescent="0.2">
      <c r="A3">
        <v>2</v>
      </c>
      <c r="B3">
        <v>758</v>
      </c>
      <c r="C3">
        <v>300</v>
      </c>
      <c r="D3">
        <v>0.27672065169955901</v>
      </c>
      <c r="E3">
        <v>106.82954866752701</v>
      </c>
      <c r="F3">
        <v>2.2003776327237801</v>
      </c>
      <c r="G3">
        <v>-1745.9305644961048</v>
      </c>
      <c r="H3">
        <v>-1455.0247153962371</v>
      </c>
      <c r="I3">
        <v>282.11787722433002</v>
      </c>
      <c r="J3">
        <v>145.01546562259099</v>
      </c>
      <c r="K3">
        <v>48.550551995607101</v>
      </c>
      <c r="L3">
        <v>1.6207190201628587E-4</v>
      </c>
      <c r="M3">
        <v>1.7686166263887454E-5</v>
      </c>
      <c r="N3" s="1">
        <v>3.9837101201814903E-6</v>
      </c>
      <c r="O3" s="1">
        <v>1.07919065364836E-7</v>
      </c>
      <c r="P3" s="1">
        <v>-5.4046932416666999E-7</v>
      </c>
      <c r="Q3">
        <v>71.700123865887093</v>
      </c>
      <c r="R3">
        <v>8.9862777852567299E-2</v>
      </c>
      <c r="S3">
        <v>12.1314750100972</v>
      </c>
      <c r="T3">
        <v>0.226943937204379</v>
      </c>
      <c r="V3">
        <v>0.57273194650896597</v>
      </c>
      <c r="W3">
        <v>2.5273906271034301E-2</v>
      </c>
      <c r="X3">
        <v>0.112328472315711</v>
      </c>
      <c r="AA3">
        <v>0.73949577607841399</v>
      </c>
      <c r="AB3">
        <v>3.3230506393397001</v>
      </c>
      <c r="AC3">
        <v>4.3901711263388998</v>
      </c>
      <c r="AD3">
        <v>3.7442824105235098E-2</v>
      </c>
      <c r="AE3">
        <v>6.6510997180006397</v>
      </c>
    </row>
    <row r="4" spans="1:35" x14ac:dyDescent="0.2">
      <c r="A4">
        <v>3</v>
      </c>
      <c r="B4">
        <v>756</v>
      </c>
      <c r="C4">
        <v>300</v>
      </c>
      <c r="D4">
        <v>0.27517903123937498</v>
      </c>
      <c r="E4">
        <v>106.36426371126601</v>
      </c>
      <c r="F4">
        <v>2.20134363462377</v>
      </c>
      <c r="G4">
        <v>-1737.6455472366979</v>
      </c>
      <c r="H4">
        <v>-1448.7905994699845</v>
      </c>
      <c r="I4">
        <v>280.67332047487002</v>
      </c>
      <c r="J4">
        <v>144.40442603613999</v>
      </c>
      <c r="K4">
        <v>48.317882786821102</v>
      </c>
      <c r="L4">
        <v>1.6215866008525721E-4</v>
      </c>
      <c r="M4">
        <v>1.7670971915089247E-5</v>
      </c>
      <c r="N4" s="1">
        <v>3.9784052101106097E-6</v>
      </c>
      <c r="O4" s="1">
        <v>1.0733738734696801E-7</v>
      </c>
      <c r="P4" s="1">
        <v>-5.3886186499030199E-7</v>
      </c>
      <c r="Q4">
        <v>71.600874617140306</v>
      </c>
      <c r="R4">
        <v>9.0255877914596799E-2</v>
      </c>
      <c r="S4">
        <v>12.184543518471701</v>
      </c>
      <c r="T4">
        <v>0.22880973943680899</v>
      </c>
      <c r="V4">
        <v>0.57445175473461496</v>
      </c>
      <c r="W4">
        <v>2.5384465663479901E-2</v>
      </c>
      <c r="X4">
        <v>0.112819847393249</v>
      </c>
      <c r="AA4">
        <v>0.74273066200552895</v>
      </c>
      <c r="AB4">
        <v>3.3375871520501499</v>
      </c>
      <c r="AC4">
        <v>4.4093757022859199</v>
      </c>
      <c r="AD4">
        <v>3.7606615797746497E-2</v>
      </c>
      <c r="AE4">
        <v>6.6555600471057996</v>
      </c>
    </row>
    <row r="5" spans="1:35" x14ac:dyDescent="0.2">
      <c r="A5">
        <v>4</v>
      </c>
      <c r="B5">
        <v>754</v>
      </c>
      <c r="C5">
        <v>300</v>
      </c>
      <c r="D5">
        <v>0.27363140729202201</v>
      </c>
      <c r="E5">
        <v>105.903697856607</v>
      </c>
      <c r="F5">
        <v>2.20230929452803</v>
      </c>
      <c r="G5">
        <v>-1729.4442242139869</v>
      </c>
      <c r="H5">
        <v>-1442.6201423206019</v>
      </c>
      <c r="I5">
        <v>279.24264410590803</v>
      </c>
      <c r="J5">
        <v>143.79961234287299</v>
      </c>
      <c r="K5">
        <v>48.087567954120402</v>
      </c>
      <c r="L5">
        <v>1.6224568218136217E-4</v>
      </c>
      <c r="M5">
        <v>1.7655772998533834E-5</v>
      </c>
      <c r="N5" s="1">
        <v>3.97321650313568E-6</v>
      </c>
      <c r="O5" s="1">
        <v>1.06762010378368E-7</v>
      </c>
      <c r="P5" s="1">
        <v>-5.3727569701861001E-7</v>
      </c>
      <c r="Q5">
        <v>71.501711222812901</v>
      </c>
      <c r="R5">
        <v>9.0648392778487796E-2</v>
      </c>
      <c r="S5">
        <v>12.2375330250979</v>
      </c>
      <c r="T5">
        <v>0.23068858158314101</v>
      </c>
      <c r="V5">
        <v>0.57615476997649095</v>
      </c>
      <c r="W5">
        <v>2.5494860468948902E-2</v>
      </c>
      <c r="X5">
        <v>0.11331049097311501</v>
      </c>
      <c r="AA5">
        <v>0.745960732239627</v>
      </c>
      <c r="AB5">
        <v>3.3521020246211002</v>
      </c>
      <c r="AC5">
        <v>4.4285516888655101</v>
      </c>
      <c r="AD5">
        <v>3.7770163657699599E-2</v>
      </c>
      <c r="AE5">
        <v>6.6600740469249198</v>
      </c>
    </row>
    <row r="6" spans="1:35" x14ac:dyDescent="0.2">
      <c r="A6">
        <v>5</v>
      </c>
      <c r="B6">
        <v>752</v>
      </c>
      <c r="C6">
        <v>300</v>
      </c>
      <c r="D6">
        <v>0.27207774472028401</v>
      </c>
      <c r="E6">
        <v>105.44777232886101</v>
      </c>
      <c r="F6">
        <v>2.20327461422022</v>
      </c>
      <c r="G6">
        <v>-1721.3252105652177</v>
      </c>
      <c r="H6">
        <v>-1436.5122774137885</v>
      </c>
      <c r="I6">
        <v>277.82561883766101</v>
      </c>
      <c r="J6">
        <v>143.200921875544</v>
      </c>
      <c r="K6">
        <v>47.859568502395199</v>
      </c>
      <c r="L6">
        <v>1.623329741806584E-4</v>
      </c>
      <c r="M6">
        <v>1.764056956028499E-5</v>
      </c>
      <c r="N6" s="1">
        <v>3.9681425470722702E-6</v>
      </c>
      <c r="O6" s="1">
        <v>1.0619283514802799E-7</v>
      </c>
      <c r="P6" s="1">
        <v>-5.35710515056646E-7</v>
      </c>
      <c r="Q6">
        <v>71.4026313921308</v>
      </c>
      <c r="R6">
        <v>9.1040330089292396E-2</v>
      </c>
      <c r="S6">
        <v>12.290444562057001</v>
      </c>
      <c r="T6">
        <v>0.232580622851248</v>
      </c>
      <c r="V6">
        <v>0.57784091507562396</v>
      </c>
      <c r="W6">
        <v>2.56050928376125E-2</v>
      </c>
      <c r="X6">
        <v>0.11380041261162201</v>
      </c>
      <c r="AA6">
        <v>0.74918604969312097</v>
      </c>
      <c r="AB6">
        <v>3.3665955397602101</v>
      </c>
      <c r="AC6">
        <v>4.4476994595704102</v>
      </c>
      <c r="AD6">
        <v>3.79334708705341E-2</v>
      </c>
      <c r="AE6">
        <v>6.6646421524525099</v>
      </c>
    </row>
    <row r="7" spans="1:35" x14ac:dyDescent="0.2">
      <c r="A7">
        <v>6</v>
      </c>
      <c r="B7">
        <v>750</v>
      </c>
      <c r="C7">
        <v>300</v>
      </c>
      <c r="D7">
        <v>0.270518008112205</v>
      </c>
      <c r="E7">
        <v>104.99641006576</v>
      </c>
      <c r="F7">
        <v>2.2042395952302898</v>
      </c>
      <c r="G7">
        <v>-1713.2871516028301</v>
      </c>
      <c r="H7">
        <v>-1430.4659613759648</v>
      </c>
      <c r="I7">
        <v>276.42202045337001</v>
      </c>
      <c r="J7">
        <v>142.60825422520901</v>
      </c>
      <c r="K7">
        <v>47.633846290103797</v>
      </c>
      <c r="L7">
        <v>1.6242054214203171E-4</v>
      </c>
      <c r="M7">
        <v>1.7625361656785514E-5</v>
      </c>
      <c r="N7" s="1">
        <v>3.9631819325049398E-6</v>
      </c>
      <c r="O7" s="1">
        <v>1.05629764665334E-7</v>
      </c>
      <c r="P7" s="1">
        <v>-5.3416602181803995E-7</v>
      </c>
      <c r="Q7">
        <v>71.303632827008997</v>
      </c>
      <c r="R7">
        <v>9.1431697464585002E-2</v>
      </c>
      <c r="S7">
        <v>12.3432791577219</v>
      </c>
      <c r="T7">
        <v>0.234486024153684</v>
      </c>
      <c r="V7">
        <v>0.57951011110129302</v>
      </c>
      <c r="W7">
        <v>2.5715164911913401E-2</v>
      </c>
      <c r="X7">
        <v>0.114289621830739</v>
      </c>
      <c r="AA7">
        <v>0.75240667705229602</v>
      </c>
      <c r="AB7">
        <v>3.3810679791590399</v>
      </c>
      <c r="AC7">
        <v>4.4668193865508004</v>
      </c>
      <c r="AD7">
        <v>3.80965406102384E-2</v>
      </c>
      <c r="AE7">
        <v>6.6692648124343101</v>
      </c>
    </row>
    <row r="8" spans="1:35" x14ac:dyDescent="0.2">
      <c r="A8">
        <v>7</v>
      </c>
      <c r="B8">
        <v>748</v>
      </c>
      <c r="C8">
        <v>300</v>
      </c>
      <c r="D8">
        <v>0.26895216177838999</v>
      </c>
      <c r="E8">
        <v>104.54953567259901</v>
      </c>
      <c r="F8">
        <v>2.20520423882376</v>
      </c>
      <c r="G8">
        <v>-1705.3287220247271</v>
      </c>
      <c r="H8">
        <v>-1424.4801733877671</v>
      </c>
      <c r="I8">
        <v>275.03162966945098</v>
      </c>
      <c r="J8">
        <v>142.02151118278999</v>
      </c>
      <c r="K8">
        <v>47.410364007084098</v>
      </c>
      <c r="L8">
        <v>1.6250839231406886E-4</v>
      </c>
      <c r="M8">
        <v>1.7610149355299107E-5</v>
      </c>
      <c r="N8" s="1">
        <v>3.95833329211351E-6</v>
      </c>
      <c r="O8" s="1">
        <v>1.05072704205094E-7</v>
      </c>
      <c r="P8" s="1">
        <v>-5.3264192776623695E-7</v>
      </c>
      <c r="Q8">
        <v>71.204713221765203</v>
      </c>
      <c r="R8">
        <v>9.1822502493582397E-2</v>
      </c>
      <c r="S8">
        <v>12.3960378366373</v>
      </c>
      <c r="T8">
        <v>0.236404948120221</v>
      </c>
      <c r="V8">
        <v>0.58116227733251602</v>
      </c>
      <c r="W8">
        <v>2.5825078826318602E-2</v>
      </c>
      <c r="X8">
        <v>0.114778128116988</v>
      </c>
      <c r="AA8">
        <v>0.75562267677008299</v>
      </c>
      <c r="AB8">
        <v>3.3955196234604799</v>
      </c>
      <c r="AC8">
        <v>4.4859118405715499</v>
      </c>
      <c r="AD8">
        <v>3.8259376038986097E-2</v>
      </c>
      <c r="AE8">
        <v>6.6739424898666702</v>
      </c>
    </row>
    <row r="9" spans="1:35" x14ac:dyDescent="0.2">
      <c r="A9">
        <v>8</v>
      </c>
      <c r="B9">
        <v>746</v>
      </c>
      <c r="C9">
        <v>300</v>
      </c>
      <c r="D9">
        <v>0.26738016974930101</v>
      </c>
      <c r="E9">
        <v>104.107075374725</v>
      </c>
      <c r="F9">
        <v>2.2061685459981399</v>
      </c>
      <c r="G9">
        <v>-1697.4486250812083</v>
      </c>
      <c r="H9">
        <v>-1418.5539145399118</v>
      </c>
      <c r="I9">
        <v>273.65423199852398</v>
      </c>
      <c r="J9">
        <v>141.440596677185</v>
      </c>
      <c r="K9">
        <v>47.189085151073201</v>
      </c>
      <c r="L9">
        <v>1.6259653114092631E-4</v>
      </c>
      <c r="M9">
        <v>1.7594932734152296E-5</v>
      </c>
      <c r="N9" s="1">
        <v>3.9535952997997098E-6</v>
      </c>
      <c r="O9" s="1">
        <v>1.0452156124835701E-7</v>
      </c>
      <c r="P9" s="1">
        <v>-5.3113795093371502E-7</v>
      </c>
      <c r="Q9">
        <v>71.105870262085304</v>
      </c>
      <c r="R9">
        <v>9.2212752739865997E-2</v>
      </c>
      <c r="S9">
        <v>12.448721619885999</v>
      </c>
      <c r="T9">
        <v>0.23833755912103699</v>
      </c>
      <c r="V9">
        <v>0.58279733126075495</v>
      </c>
      <c r="W9">
        <v>2.59348367080857E-2</v>
      </c>
      <c r="X9">
        <v>0.115265940924844</v>
      </c>
      <c r="AA9">
        <v>0.758834111088456</v>
      </c>
      <c r="AB9">
        <v>3.4099507523594901</v>
      </c>
      <c r="AC9">
        <v>4.5049771911451497</v>
      </c>
      <c r="AD9">
        <v>3.8421980308270202E-2</v>
      </c>
      <c r="AE9">
        <v>6.6786756623726298</v>
      </c>
    </row>
    <row r="10" spans="1:35" x14ac:dyDescent="0.2">
      <c r="A10">
        <v>9</v>
      </c>
      <c r="B10">
        <v>744</v>
      </c>
      <c r="C10">
        <v>300</v>
      </c>
      <c r="D10">
        <v>0.26580199577250502</v>
      </c>
      <c r="E10">
        <v>103.668956972212</v>
      </c>
      <c r="F10">
        <v>2.2071325174724001</v>
      </c>
      <c r="G10">
        <v>-1689.6455917809378</v>
      </c>
      <c r="H10">
        <v>-1412.6862072185895</v>
      </c>
      <c r="I10">
        <v>272.28961762016303</v>
      </c>
      <c r="J10">
        <v>140.865416716526</v>
      </c>
      <c r="K10">
        <v>46.969974005427297</v>
      </c>
      <c r="L10">
        <v>1.6268496527204729E-4</v>
      </c>
      <c r="M10">
        <v>1.7579711883271585E-5</v>
      </c>
      <c r="N10" s="1">
        <v>3.9489666700121501E-6</v>
      </c>
      <c r="O10" s="1">
        <v>1.0397624542928199E-7</v>
      </c>
      <c r="P10" s="1">
        <v>-5.2965381677203205E-7</v>
      </c>
      <c r="Q10">
        <v>71.007101623879606</v>
      </c>
      <c r="R10">
        <v>9.2602455743559006E-2</v>
      </c>
      <c r="S10">
        <v>12.501331525385201</v>
      </c>
      <c r="T10">
        <v>0.24028402328814399</v>
      </c>
      <c r="V10">
        <v>0.58441518858915198</v>
      </c>
      <c r="W10">
        <v>2.6044440677874099E-2</v>
      </c>
      <c r="X10">
        <v>0.115753069679462</v>
      </c>
      <c r="AA10">
        <v>0.76204104205634204</v>
      </c>
      <c r="AB10">
        <v>3.4243616446835401</v>
      </c>
      <c r="AC10">
        <v>4.5240158066380101</v>
      </c>
      <c r="AD10">
        <v>3.8584356559807902E-2</v>
      </c>
      <c r="AE10">
        <v>6.6834648228191798</v>
      </c>
    </row>
    <row r="11" spans="1:35" x14ac:dyDescent="0.2">
      <c r="A11">
        <v>10</v>
      </c>
      <c r="B11">
        <v>742</v>
      </c>
      <c r="C11">
        <v>300</v>
      </c>
      <c r="D11">
        <v>0.264217603309855</v>
      </c>
      <c r="E11">
        <v>103.235109798175</v>
      </c>
      <c r="F11">
        <v>2.2080961536807902</v>
      </c>
      <c r="G11">
        <v>-1681.9183801575716</v>
      </c>
      <c r="H11">
        <v>-1406.8760945415745</v>
      </c>
      <c r="I11">
        <v>270.93758125990797</v>
      </c>
      <c r="J11">
        <v>140.29587933379901</v>
      </c>
      <c r="K11">
        <v>46.752995618459501</v>
      </c>
      <c r="L11">
        <v>1.627737015674657E-4</v>
      </c>
      <c r="M11">
        <v>1.7564486904458914E-5</v>
      </c>
      <c r="N11" s="1">
        <v>3.9444461570518498E-6</v>
      </c>
      <c r="O11" s="1">
        <v>1.0343666848263701E-7</v>
      </c>
      <c r="P11" s="1">
        <v>-5.2818925799465499E-7</v>
      </c>
      <c r="Q11">
        <v>70.908404972832301</v>
      </c>
      <c r="R11">
        <v>9.2991619021553798E-2</v>
      </c>
      <c r="S11">
        <v>12.553868567915099</v>
      </c>
      <c r="T11">
        <v>0.24224450853139701</v>
      </c>
      <c r="V11">
        <v>0.58601576322042304</v>
      </c>
      <c r="W11">
        <v>2.6153892849809901E-2</v>
      </c>
      <c r="X11">
        <v>0.116239523776957</v>
      </c>
      <c r="AA11">
        <v>0.76524353153150404</v>
      </c>
      <c r="AB11">
        <v>3.43875257840104</v>
      </c>
      <c r="AC11">
        <v>4.5430280542816703</v>
      </c>
      <c r="AD11">
        <v>3.87465079256381E-2</v>
      </c>
      <c r="AE11">
        <v>6.6883104797124604</v>
      </c>
    </row>
    <row r="12" spans="1:35" x14ac:dyDescent="0.2">
      <c r="A12">
        <v>11</v>
      </c>
      <c r="B12">
        <v>740</v>
      </c>
      <c r="C12">
        <v>300</v>
      </c>
      <c r="D12">
        <v>0.26262695553471999</v>
      </c>
      <c r="E12">
        <v>102.805464677122</v>
      </c>
      <c r="F12">
        <v>2.2090594547622202</v>
      </c>
      <c r="G12">
        <v>-1674.2657745392737</v>
      </c>
      <c r="H12">
        <v>-1401.1226397938065</v>
      </c>
      <c r="I12">
        <v>269.59792207024299</v>
      </c>
      <c r="J12">
        <v>139.731894532843</v>
      </c>
      <c r="K12">
        <v>46.538115782939599</v>
      </c>
      <c r="L12">
        <v>1.6286274710700709E-4</v>
      </c>
      <c r="M12">
        <v>1.7549257911907496E-5</v>
      </c>
      <c r="N12" s="1">
        <v>3.9400325544803597E-6</v>
      </c>
      <c r="O12" s="1">
        <v>1.0290274419469199E-7</v>
      </c>
      <c r="P12" s="1">
        <v>-5.2674401443949095E-7</v>
      </c>
      <c r="Q12">
        <v>70.809777963454096</v>
      </c>
      <c r="R12">
        <v>9.3380250068911E-2</v>
      </c>
      <c r="S12">
        <v>12.6063337593092</v>
      </c>
      <c r="T12">
        <v>0.24421918455765701</v>
      </c>
      <c r="V12">
        <v>0.587598967251455</v>
      </c>
      <c r="W12">
        <v>2.6263195331878798E-2</v>
      </c>
      <c r="X12">
        <v>0.116725312586156</v>
      </c>
      <c r="AA12">
        <v>0.76844164119204295</v>
      </c>
      <c r="AB12">
        <v>3.45312383067307</v>
      </c>
      <c r="AC12">
        <v>4.5620143002410201</v>
      </c>
      <c r="AD12">
        <v>3.89084375287021E-2</v>
      </c>
      <c r="AE12">
        <v>6.6932131578057303</v>
      </c>
    </row>
    <row r="13" spans="1:35" x14ac:dyDescent="0.2">
      <c r="A13">
        <v>12</v>
      </c>
      <c r="B13">
        <v>738</v>
      </c>
      <c r="C13">
        <v>300</v>
      </c>
      <c r="D13">
        <v>0.26103001532908299</v>
      </c>
      <c r="E13">
        <v>102.379953883638</v>
      </c>
      <c r="F13">
        <v>2.2100224205527299</v>
      </c>
      <c r="G13">
        <v>-1666.6865848247824</v>
      </c>
      <c r="H13">
        <v>-1395.4249258672551</v>
      </c>
      <c r="I13">
        <v>268.27044351236401</v>
      </c>
      <c r="J13">
        <v>139.17337423473401</v>
      </c>
      <c r="K13">
        <v>46.3253010157392</v>
      </c>
      <c r="L13">
        <v>1.6295210919847519E-4</v>
      </c>
      <c r="M13">
        <v>1.7534025032606967E-5</v>
      </c>
      <c r="N13" s="1">
        <v>3.9357246944725701E-6</v>
      </c>
      <c r="O13" s="1">
        <v>1.02374388353583E-7</v>
      </c>
      <c r="P13" s="1">
        <v>-5.2531783292541501E-7</v>
      </c>
      <c r="Q13">
        <v>70.711218237992</v>
      </c>
      <c r="R13">
        <v>9.3768356361161598E-2</v>
      </c>
      <c r="S13">
        <v>12.6587281087634</v>
      </c>
      <c r="T13">
        <v>0.24620822289296401</v>
      </c>
      <c r="V13">
        <v>0.58916471097353096</v>
      </c>
      <c r="W13">
        <v>2.6372350226574099E-2</v>
      </c>
      <c r="X13">
        <v>0.11721044545147</v>
      </c>
      <c r="AA13">
        <v>0.77163543255535305</v>
      </c>
      <c r="AB13">
        <v>3.4674756779385798</v>
      </c>
      <c r="AC13">
        <v>4.5809749097269696</v>
      </c>
      <c r="AD13">
        <v>3.90701484838058E-2</v>
      </c>
      <c r="AE13">
        <v>6.69817339863401</v>
      </c>
    </row>
    <row r="14" spans="1:35" x14ac:dyDescent="0.2">
      <c r="A14">
        <v>13</v>
      </c>
      <c r="B14">
        <v>736</v>
      </c>
      <c r="C14">
        <v>300</v>
      </c>
      <c r="D14">
        <v>0.25942674528068399</v>
      </c>
      <c r="E14">
        <v>101.490284333581</v>
      </c>
      <c r="F14">
        <v>2.2109562480379599</v>
      </c>
      <c r="G14">
        <v>-1651.6002479993219</v>
      </c>
      <c r="H14">
        <v>-1383.4017438658157</v>
      </c>
      <c r="I14">
        <v>265.76673847644599</v>
      </c>
      <c r="J14">
        <v>137.99615753793401</v>
      </c>
      <c r="K14">
        <v>45.903343597886902</v>
      </c>
      <c r="L14">
        <v>1.6312495448487442E-4</v>
      </c>
      <c r="M14">
        <v>1.7525252596714445E-5</v>
      </c>
      <c r="N14" s="1">
        <v>3.9161684033123304E-6</v>
      </c>
      <c r="O14" s="1">
        <v>1.0144842285533E-7</v>
      </c>
      <c r="P14" s="1">
        <v>-5.21822311646142E-7</v>
      </c>
      <c r="Q14">
        <v>70.603103347429695</v>
      </c>
      <c r="R14">
        <v>9.4590335055587602E-2</v>
      </c>
      <c r="S14">
        <v>12.7146114253311</v>
      </c>
      <c r="T14">
        <v>0.24932183783961301</v>
      </c>
      <c r="V14">
        <v>0.59346973675456804</v>
      </c>
      <c r="W14">
        <v>2.6603531734381101E-2</v>
      </c>
      <c r="X14">
        <v>0.118237918819506</v>
      </c>
      <c r="AA14">
        <v>0.77767546563539103</v>
      </c>
      <c r="AB14">
        <v>3.4866650139989899</v>
      </c>
      <c r="AC14">
        <v>4.58848922519139</v>
      </c>
      <c r="AD14">
        <v>3.9412639606481503E-2</v>
      </c>
      <c r="AE14">
        <v>6.7078195226031401</v>
      </c>
    </row>
    <row r="15" spans="1:35" x14ac:dyDescent="0.2">
      <c r="A15">
        <v>14</v>
      </c>
      <c r="B15">
        <v>734</v>
      </c>
      <c r="C15">
        <v>300</v>
      </c>
      <c r="D15">
        <v>0.25781710768008598</v>
      </c>
      <c r="E15">
        <v>38.767065896167097</v>
      </c>
      <c r="F15">
        <v>2.21520829950805</v>
      </c>
      <c r="G15">
        <v>-630.99692070907793</v>
      </c>
      <c r="H15">
        <v>-528.95376171098883</v>
      </c>
      <c r="I15">
        <v>101.318730078031</v>
      </c>
      <c r="J15">
        <v>52.796378717471597</v>
      </c>
      <c r="K15">
        <v>17.500415606413299</v>
      </c>
      <c r="L15">
        <v>1.6316019284475075E-4</v>
      </c>
      <c r="M15">
        <v>1.7544860948533298E-5</v>
      </c>
      <c r="N15" s="1">
        <v>1.4972563014005799E-6</v>
      </c>
      <c r="O15" s="1">
        <v>3.86269456727313E-8</v>
      </c>
      <c r="P15" s="1">
        <v>-1.97800547722024E-7</v>
      </c>
      <c r="Q15">
        <v>70.072474815506595</v>
      </c>
      <c r="R15">
        <v>0.13924887817332199</v>
      </c>
      <c r="S15">
        <v>13.3117860803978</v>
      </c>
      <c r="T15">
        <v>0.24314653180399101</v>
      </c>
      <c r="V15">
        <v>0.58552877215350896</v>
      </c>
      <c r="W15">
        <v>6.9646746215736202E-2</v>
      </c>
      <c r="X15">
        <v>0.131578261866068</v>
      </c>
      <c r="AA15">
        <v>0.74591128838434395</v>
      </c>
      <c r="AB15">
        <v>3.3443743058069999</v>
      </c>
      <c r="AC15">
        <v>4.5546190645403</v>
      </c>
      <c r="AD15">
        <v>0.103180364763931</v>
      </c>
      <c r="AE15">
        <v>6.69850489038721</v>
      </c>
    </row>
    <row r="16" spans="1:35" x14ac:dyDescent="0.2">
      <c r="A16">
        <v>15</v>
      </c>
      <c r="B16">
        <v>732</v>
      </c>
      <c r="C16">
        <v>300</v>
      </c>
      <c r="D16">
        <v>0.256201064517732</v>
      </c>
      <c r="E16">
        <v>22.596419861206702</v>
      </c>
      <c r="F16">
        <v>2.2203819848704902</v>
      </c>
      <c r="G16">
        <v>-367.81544709558187</v>
      </c>
      <c r="H16">
        <v>-308.66118432128337</v>
      </c>
      <c r="I16">
        <v>58.851179201411099</v>
      </c>
      <c r="J16">
        <v>30.8125005343257</v>
      </c>
      <c r="K16">
        <v>10.176816428514</v>
      </c>
      <c r="L16">
        <v>1.6253663328863075E-4</v>
      </c>
      <c r="M16">
        <v>1.7528076056901471E-5</v>
      </c>
      <c r="N16" s="1">
        <v>8.6931815004700002E-7</v>
      </c>
      <c r="O16" s="1">
        <v>2.2341324287630802E-8</v>
      </c>
      <c r="P16" s="1">
        <v>-1.13724691702413E-7</v>
      </c>
      <c r="Q16">
        <v>69.5273324174577</v>
      </c>
      <c r="R16">
        <v>0.132742262126953</v>
      </c>
      <c r="S16">
        <v>14.007540626044699</v>
      </c>
      <c r="T16">
        <v>0.23580975491880701</v>
      </c>
      <c r="V16">
        <v>0.57620074118231701</v>
      </c>
      <c r="W16">
        <v>0.11843533826873399</v>
      </c>
      <c r="X16">
        <v>0.12833516257928301</v>
      </c>
      <c r="AA16">
        <v>0.75894978322499795</v>
      </c>
      <c r="AB16">
        <v>3.0866993729386798</v>
      </c>
      <c r="AC16">
        <v>4.5938173960182596</v>
      </c>
      <c r="AD16">
        <v>0.177019192622625</v>
      </c>
      <c r="AE16">
        <v>6.6571179526167201</v>
      </c>
    </row>
    <row r="17" spans="1:31" x14ac:dyDescent="0.2">
      <c r="A17">
        <v>16</v>
      </c>
      <c r="B17">
        <v>730</v>
      </c>
      <c r="C17">
        <v>300</v>
      </c>
      <c r="D17">
        <v>0.25457857748093798</v>
      </c>
      <c r="E17">
        <v>17.141823196936301</v>
      </c>
      <c r="F17">
        <v>2.22452164157909</v>
      </c>
      <c r="G17">
        <v>-279.03364950529624</v>
      </c>
      <c r="H17">
        <v>-234.37654387700627</v>
      </c>
      <c r="I17">
        <v>44.516877464277499</v>
      </c>
      <c r="J17">
        <v>23.3982943623766</v>
      </c>
      <c r="K17">
        <v>7.7058469005354597</v>
      </c>
      <c r="L17">
        <v>1.6208010477326455E-4</v>
      </c>
      <c r="M17">
        <v>1.7513409992286726E-5</v>
      </c>
      <c r="N17" s="1">
        <v>6.5804083107323805E-7</v>
      </c>
      <c r="O17" s="1">
        <v>1.6845768749705099E-8</v>
      </c>
      <c r="P17" s="1">
        <v>-8.5388442487032694E-8</v>
      </c>
      <c r="Q17">
        <v>69.097356234537997</v>
      </c>
      <c r="R17">
        <v>0.13263806167238901</v>
      </c>
      <c r="S17">
        <v>14.5451468125648</v>
      </c>
      <c r="T17">
        <v>0.22807462716919399</v>
      </c>
      <c r="V17">
        <v>0.56278568072014501</v>
      </c>
      <c r="W17">
        <v>0.15528567985715599</v>
      </c>
      <c r="X17">
        <v>0.12669106990564999</v>
      </c>
      <c r="AA17">
        <v>0.77930219441486104</v>
      </c>
      <c r="AB17">
        <v>2.8907197979030399</v>
      </c>
      <c r="AC17">
        <v>4.6211829593007696</v>
      </c>
      <c r="AD17">
        <v>0.233347407334555</v>
      </c>
      <c r="AE17">
        <v>6.6274694746192804</v>
      </c>
    </row>
    <row r="18" spans="1:31" x14ac:dyDescent="0.2">
      <c r="A18">
        <v>17</v>
      </c>
      <c r="B18">
        <v>728</v>
      </c>
      <c r="C18">
        <v>300</v>
      </c>
      <c r="D18">
        <v>0.25294960795086002</v>
      </c>
      <c r="E18">
        <v>14.2292629967069</v>
      </c>
      <c r="F18">
        <v>2.2280391008719498</v>
      </c>
      <c r="G18">
        <v>-231.62391563254815</v>
      </c>
      <c r="H18">
        <v>-194.71893376083793</v>
      </c>
      <c r="I18">
        <v>36.862589893332903</v>
      </c>
      <c r="J18">
        <v>19.440783454765</v>
      </c>
      <c r="K18">
        <v>6.3864512032747802</v>
      </c>
      <c r="L18">
        <v>1.6177268946638158E-4</v>
      </c>
      <c r="M18">
        <v>1.7504937044576766E-5</v>
      </c>
      <c r="N18" s="1">
        <v>5.4585295585774903E-7</v>
      </c>
      <c r="O18" s="1">
        <v>1.39184537179374E-8</v>
      </c>
      <c r="P18" s="1">
        <v>-7.0321095507522196E-8</v>
      </c>
      <c r="Q18">
        <v>68.721379291613303</v>
      </c>
      <c r="R18">
        <v>0.13215516239549899</v>
      </c>
      <c r="S18">
        <v>15.0042084520432</v>
      </c>
      <c r="T18">
        <v>0.22157113555711</v>
      </c>
      <c r="V18">
        <v>0.55081497531396695</v>
      </c>
      <c r="W18">
        <v>0.186229678197945</v>
      </c>
      <c r="X18">
        <v>0.12502597988591599</v>
      </c>
      <c r="AA18">
        <v>0.80046186757480797</v>
      </c>
      <c r="AB18">
        <v>2.7316108683032501</v>
      </c>
      <c r="AC18">
        <v>4.6377030215491404</v>
      </c>
      <c r="AD18">
        <v>0.28111083482802202</v>
      </c>
      <c r="AE18">
        <v>6.6077287327377201</v>
      </c>
    </row>
    <row r="19" spans="1:31" x14ac:dyDescent="0.2">
      <c r="A19">
        <v>18</v>
      </c>
      <c r="B19">
        <v>726</v>
      </c>
      <c r="C19">
        <v>300</v>
      </c>
      <c r="D19">
        <v>0.251314116999449</v>
      </c>
      <c r="E19">
        <v>12.3650258707303</v>
      </c>
      <c r="F19">
        <v>2.23114671168543</v>
      </c>
      <c r="G19">
        <v>-201.27677166893923</v>
      </c>
      <c r="H19">
        <v>-169.34020270200293</v>
      </c>
      <c r="I19">
        <v>31.963738144358899</v>
      </c>
      <c r="J19">
        <v>16.908698241772601</v>
      </c>
      <c r="K19">
        <v>5.5420048381263296</v>
      </c>
      <c r="L19">
        <v>1.6156807423617291E-4</v>
      </c>
      <c r="M19">
        <v>1.7501040796979263E-5</v>
      </c>
      <c r="N19" s="1">
        <v>4.7448850243203501E-7</v>
      </c>
      <c r="O19" s="1">
        <v>1.2050277800242501E-8</v>
      </c>
      <c r="P19" s="1">
        <v>-6.0723511326345801E-8</v>
      </c>
      <c r="Q19">
        <v>68.379436757699196</v>
      </c>
      <c r="R19">
        <v>0.131406956211642</v>
      </c>
      <c r="S19">
        <v>15.4132632050695</v>
      </c>
      <c r="T19">
        <v>0.21588378123198701</v>
      </c>
      <c r="V19">
        <v>0.53985520589463798</v>
      </c>
      <c r="W19">
        <v>0.21345446532555701</v>
      </c>
      <c r="X19">
        <v>0.123347945006805</v>
      </c>
      <c r="AA19">
        <v>0.82158205921711203</v>
      </c>
      <c r="AB19">
        <v>2.5969080470693902</v>
      </c>
      <c r="AC19">
        <v>4.6466097395935897</v>
      </c>
      <c r="AD19">
        <v>0.323493055478283</v>
      </c>
      <c r="AE19">
        <v>6.5947587822021099</v>
      </c>
    </row>
    <row r="20" spans="1:31" x14ac:dyDescent="0.2">
      <c r="A20">
        <v>19</v>
      </c>
      <c r="B20">
        <v>724</v>
      </c>
      <c r="C20">
        <v>300</v>
      </c>
      <c r="D20">
        <v>0.249672065386352</v>
      </c>
      <c r="E20">
        <v>11.0457282694671</v>
      </c>
      <c r="F20">
        <v>2.2339608550507899</v>
      </c>
      <c r="G20">
        <v>-179.79943444043971</v>
      </c>
      <c r="H20">
        <v>-151.38326322392203</v>
      </c>
      <c r="I20">
        <v>28.497388774525</v>
      </c>
      <c r="J20">
        <v>15.117494066736301</v>
      </c>
      <c r="K20">
        <v>4.9444591853495101</v>
      </c>
      <c r="L20">
        <v>1.614389242942771E-4</v>
      </c>
      <c r="M20">
        <v>1.7500618423784738E-5</v>
      </c>
      <c r="N20" s="1">
        <v>4.24311929738148E-7</v>
      </c>
      <c r="O20" s="1">
        <v>1.07324029168938E-8</v>
      </c>
      <c r="P20" s="1">
        <v>-5.3966439363810298E-8</v>
      </c>
      <c r="Q20">
        <v>68.061323886271794</v>
      </c>
      <c r="R20">
        <v>0.1304655306135</v>
      </c>
      <c r="S20">
        <v>15.787027035267901</v>
      </c>
      <c r="T20">
        <v>0.21078539941001401</v>
      </c>
      <c r="V20">
        <v>0.52965170724974597</v>
      </c>
      <c r="W20">
        <v>0.23808297558782099</v>
      </c>
      <c r="X20">
        <v>0.121661588891738</v>
      </c>
      <c r="AA20">
        <v>0.84252022497199996</v>
      </c>
      <c r="AB20">
        <v>2.47971197499486</v>
      </c>
      <c r="AC20">
        <v>4.6498960405721999</v>
      </c>
      <c r="AD20">
        <v>0.36213094351109798</v>
      </c>
      <c r="AE20">
        <v>6.5867426926572099</v>
      </c>
    </row>
    <row r="21" spans="1:31" x14ac:dyDescent="0.2">
      <c r="A21">
        <v>20</v>
      </c>
      <c r="B21">
        <v>760</v>
      </c>
      <c r="C21">
        <v>280</v>
      </c>
      <c r="D21">
        <v>0.29955040410395301</v>
      </c>
      <c r="E21">
        <v>106.680644504245</v>
      </c>
      <c r="F21">
        <v>2.20017087390928</v>
      </c>
      <c r="G21">
        <v>-1743.3101521757183</v>
      </c>
      <c r="H21">
        <v>-1453.9025615040605</v>
      </c>
      <c r="I21">
        <v>280.12156092692999</v>
      </c>
      <c r="J21">
        <v>144.529673375963</v>
      </c>
      <c r="K21">
        <v>48.487436030227002</v>
      </c>
      <c r="L21">
        <v>1.5884255496175883E-4</v>
      </c>
      <c r="M21">
        <v>1.7704304816051843E-5</v>
      </c>
      <c r="N21" s="1">
        <v>3.8179024167674303E-6</v>
      </c>
      <c r="O21" s="1">
        <v>1.0527448132739E-7</v>
      </c>
      <c r="P21" s="1">
        <v>-5.29211069689258E-7</v>
      </c>
      <c r="Q21">
        <v>71.962444880963204</v>
      </c>
      <c r="R21">
        <v>8.9988207744826507E-2</v>
      </c>
      <c r="S21">
        <v>12.148408045552101</v>
      </c>
      <c r="T21">
        <v>0.228691480519326</v>
      </c>
      <c r="V21">
        <v>0.57224393373474303</v>
      </c>
      <c r="W21">
        <v>2.5309183428232199E-2</v>
      </c>
      <c r="X21">
        <v>0.112485259681034</v>
      </c>
      <c r="AA21">
        <v>0.74052795956679796</v>
      </c>
      <c r="AB21">
        <v>3.3276889322305401</v>
      </c>
      <c r="AC21">
        <v>4.39629889920033</v>
      </c>
      <c r="AD21">
        <v>3.7495086560343401E-2</v>
      </c>
      <c r="AE21">
        <v>6.3584181308184604</v>
      </c>
    </row>
    <row r="22" spans="1:31" x14ac:dyDescent="0.2">
      <c r="A22">
        <v>21</v>
      </c>
      <c r="B22">
        <v>758</v>
      </c>
      <c r="C22">
        <v>280</v>
      </c>
      <c r="D22">
        <v>0.29805605392037998</v>
      </c>
      <c r="E22">
        <v>106.519521777493</v>
      </c>
      <c r="F22">
        <v>2.2009995733582799</v>
      </c>
      <c r="G22">
        <v>-1740.0679935824485</v>
      </c>
      <c r="H22">
        <v>-1451.9330786160001</v>
      </c>
      <c r="I22">
        <v>279.43065021233298</v>
      </c>
      <c r="J22">
        <v>144.29828941804101</v>
      </c>
      <c r="K22">
        <v>48.395975658898401</v>
      </c>
      <c r="L22">
        <v>1.5877918116049072E-4</v>
      </c>
      <c r="M22">
        <v>1.7686710318807872E-5</v>
      </c>
      <c r="N22" s="1">
        <v>3.8211261614718999E-6</v>
      </c>
      <c r="O22" s="1">
        <v>1.04943852170996E-7</v>
      </c>
      <c r="P22" s="1">
        <v>-5.2837050926342296E-7</v>
      </c>
      <c r="Q22">
        <v>71.929558229428594</v>
      </c>
      <c r="R22">
        <v>9.0124325004512298E-2</v>
      </c>
      <c r="S22">
        <v>12.1667838756106</v>
      </c>
      <c r="T22">
        <v>0.229812230792907</v>
      </c>
      <c r="V22">
        <v>0.57241231743837695</v>
      </c>
      <c r="W22">
        <v>2.5347466407518501E-2</v>
      </c>
      <c r="X22">
        <v>0.11265540625564401</v>
      </c>
      <c r="AA22">
        <v>0.74164809118295705</v>
      </c>
      <c r="AB22">
        <v>3.3327224350626401</v>
      </c>
      <c r="AC22">
        <v>4.4029487944911399</v>
      </c>
      <c r="AD22">
        <v>3.7551802085211E-2</v>
      </c>
      <c r="AE22">
        <v>6.3584350262397704</v>
      </c>
    </row>
    <row r="23" spans="1:31" x14ac:dyDescent="0.2">
      <c r="A23">
        <v>22</v>
      </c>
      <c r="B23">
        <v>756</v>
      </c>
      <c r="C23">
        <v>280</v>
      </c>
      <c r="D23">
        <v>0.29655589564203599</v>
      </c>
      <c r="E23">
        <v>106.06449976282001</v>
      </c>
      <c r="F23">
        <v>2.2019732053900598</v>
      </c>
      <c r="G23">
        <v>-1731.9563884748093</v>
      </c>
      <c r="H23">
        <v>-1445.8367489740876</v>
      </c>
      <c r="I23">
        <v>278.015488024798</v>
      </c>
      <c r="J23">
        <v>143.70057198197799</v>
      </c>
      <c r="K23">
        <v>48.167933880027199</v>
      </c>
      <c r="L23">
        <v>1.5885472630669349E-4</v>
      </c>
      <c r="M23">
        <v>1.7670899918723184E-5</v>
      </c>
      <c r="N23" s="1">
        <v>3.81582784405937E-6</v>
      </c>
      <c r="O23" s="1">
        <v>1.04378152061548E-7</v>
      </c>
      <c r="P23" s="1">
        <v>-5.2677426681412001E-7</v>
      </c>
      <c r="Q23">
        <v>71.832851418409803</v>
      </c>
      <c r="R23">
        <v>9.0510962871341902E-2</v>
      </c>
      <c r="S23">
        <v>12.218979987633199</v>
      </c>
      <c r="T23">
        <v>0.231680964097221</v>
      </c>
      <c r="V23">
        <v>0.57407361719057903</v>
      </c>
      <c r="W23">
        <v>2.54562083075641E-2</v>
      </c>
      <c r="X23">
        <v>0.113138703589183</v>
      </c>
      <c r="AA23">
        <v>0.74482979862873899</v>
      </c>
      <c r="AB23">
        <v>3.3470199811797601</v>
      </c>
      <c r="AC23">
        <v>4.4218376652768203</v>
      </c>
      <c r="AD23">
        <v>3.7712901196388898E-2</v>
      </c>
      <c r="AE23">
        <v>6.3619077916192204</v>
      </c>
    </row>
    <row r="24" spans="1:31" x14ac:dyDescent="0.2">
      <c r="A24">
        <v>23</v>
      </c>
      <c r="B24">
        <v>754</v>
      </c>
      <c r="C24">
        <v>280</v>
      </c>
      <c r="D24">
        <v>0.29504989534147702</v>
      </c>
      <c r="E24">
        <v>105.614025031076</v>
      </c>
      <c r="F24">
        <v>2.2029468166635402</v>
      </c>
      <c r="G24">
        <v>-1723.9254397733023</v>
      </c>
      <c r="H24">
        <v>-1439.8017918759574</v>
      </c>
      <c r="I24">
        <v>276.61358895715699</v>
      </c>
      <c r="J24">
        <v>143.108829474982</v>
      </c>
      <c r="K24">
        <v>47.942158309129397</v>
      </c>
      <c r="L24">
        <v>1.5893031411436285E-4</v>
      </c>
      <c r="M24">
        <v>1.765507229116043E-5</v>
      </c>
      <c r="N24" s="1">
        <v>3.8106309611906599E-6</v>
      </c>
      <c r="O24" s="1">
        <v>1.03818309673284E-7</v>
      </c>
      <c r="P24" s="1">
        <v>-5.2519744213459597E-7</v>
      </c>
      <c r="Q24">
        <v>71.736246252908202</v>
      </c>
      <c r="R24">
        <v>9.0897018622056694E-2</v>
      </c>
      <c r="S24">
        <v>12.271097513979999</v>
      </c>
      <c r="T24">
        <v>0.233562742927863</v>
      </c>
      <c r="V24">
        <v>0.57571814555568501</v>
      </c>
      <c r="W24">
        <v>2.5564786487452501E-2</v>
      </c>
      <c r="X24">
        <v>0.113621273277577</v>
      </c>
      <c r="AA24">
        <v>0.74800671574399302</v>
      </c>
      <c r="AB24">
        <v>3.3612960011280602</v>
      </c>
      <c r="AC24">
        <v>4.4406980972648302</v>
      </c>
      <c r="AD24">
        <v>3.7873757759186E-2</v>
      </c>
      <c r="AE24">
        <v>6.3654176943449299</v>
      </c>
    </row>
    <row r="25" spans="1:31" x14ac:dyDescent="0.2">
      <c r="A25">
        <v>24</v>
      </c>
      <c r="B25">
        <v>752</v>
      </c>
      <c r="C25">
        <v>280</v>
      </c>
      <c r="D25">
        <v>0.29353801882651298</v>
      </c>
      <c r="E25">
        <v>105.168023277201</v>
      </c>
      <c r="F25">
        <v>2.2039204146553901</v>
      </c>
      <c r="G25">
        <v>-1715.9738394493309</v>
      </c>
      <c r="H25">
        <v>-1433.8272012783482</v>
      </c>
      <c r="I25">
        <v>275.22473605909602</v>
      </c>
      <c r="J25">
        <v>142.52296494078399</v>
      </c>
      <c r="K25">
        <v>47.718612059612603</v>
      </c>
      <c r="L25">
        <v>1.5900594553821558E-4</v>
      </c>
      <c r="M25">
        <v>1.763922720988586E-5</v>
      </c>
      <c r="N25" s="1">
        <v>3.8055340527460502E-6</v>
      </c>
      <c r="O25" s="1">
        <v>1.03264230682907E-7</v>
      </c>
      <c r="P25" s="1">
        <v>-5.2363973396080798E-7</v>
      </c>
      <c r="Q25">
        <v>71.639740947104002</v>
      </c>
      <c r="R25">
        <v>9.1282499193661604E-2</v>
      </c>
      <c r="S25">
        <v>12.3231373911477</v>
      </c>
      <c r="T25">
        <v>0.23545772451463101</v>
      </c>
      <c r="V25">
        <v>0.577345821032621</v>
      </c>
      <c r="W25">
        <v>2.5673202898216101E-2</v>
      </c>
      <c r="X25">
        <v>0.114103123992086</v>
      </c>
      <c r="AA25">
        <v>0.75117889961448703</v>
      </c>
      <c r="AB25">
        <v>3.3755507514321699</v>
      </c>
      <c r="AC25">
        <v>4.4595304293567004</v>
      </c>
      <c r="AD25">
        <v>3.80343746640198E-2</v>
      </c>
      <c r="AE25">
        <v>6.3689648350496597</v>
      </c>
    </row>
    <row r="26" spans="1:31" x14ac:dyDescent="0.2">
      <c r="A26">
        <v>25</v>
      </c>
      <c r="B26">
        <v>750</v>
      </c>
      <c r="C26">
        <v>280</v>
      </c>
      <c r="D26">
        <v>0.292020231637589</v>
      </c>
      <c r="E26">
        <v>104.726421797727</v>
      </c>
      <c r="F26">
        <v>2.2048940067471601</v>
      </c>
      <c r="G26">
        <v>-1708.1003076804811</v>
      </c>
      <c r="H26">
        <v>-1427.9119928177186</v>
      </c>
      <c r="I26">
        <v>273.84871706275902</v>
      </c>
      <c r="J26">
        <v>141.942883523711</v>
      </c>
      <c r="K26">
        <v>47.4972590415939</v>
      </c>
      <c r="L26">
        <v>1.5908162157754271E-4</v>
      </c>
      <c r="M26">
        <v>1.7623364451604635E-5</v>
      </c>
      <c r="N26" s="1">
        <v>3.8005356933171902E-6</v>
      </c>
      <c r="O26" s="1">
        <v>1.02715822840257E-7</v>
      </c>
      <c r="P26" s="1">
        <v>-5.22100847862069E-7</v>
      </c>
      <c r="Q26">
        <v>71.543333720563894</v>
      </c>
      <c r="R26">
        <v>9.1667411482289698E-2</v>
      </c>
      <c r="S26">
        <v>12.375100550112901</v>
      </c>
      <c r="T26">
        <v>0.23736606771863</v>
      </c>
      <c r="V26">
        <v>0.57895656029943099</v>
      </c>
      <c r="W26">
        <v>2.5781459479392602E-2</v>
      </c>
      <c r="X26">
        <v>0.114584264352872</v>
      </c>
      <c r="AA26">
        <v>0.75434640698965305</v>
      </c>
      <c r="AB26">
        <v>3.3897844871053802</v>
      </c>
      <c r="AC26">
        <v>4.4783349984573402</v>
      </c>
      <c r="AD26">
        <v>3.8194754784280797E-2</v>
      </c>
      <c r="AE26">
        <v>6.3725493186537996</v>
      </c>
    </row>
    <row r="27" spans="1:31" x14ac:dyDescent="0.2">
      <c r="A27">
        <v>26</v>
      </c>
      <c r="B27">
        <v>748</v>
      </c>
      <c r="C27">
        <v>280</v>
      </c>
      <c r="D27">
        <v>0.29049649904519698</v>
      </c>
      <c r="E27">
        <v>104.289149448475</v>
      </c>
      <c r="F27">
        <v>2.2058676002212101</v>
      </c>
      <c r="G27">
        <v>-1700.3035921058568</v>
      </c>
      <c r="H27">
        <v>-1422.0552032377689</v>
      </c>
      <c r="I27">
        <v>272.485324259989</v>
      </c>
      <c r="J27">
        <v>141.36849241347301</v>
      </c>
      <c r="K27">
        <v>47.278063940926003</v>
      </c>
      <c r="L27">
        <v>1.5915734327879368E-4</v>
      </c>
      <c r="M27">
        <v>1.7607483796138082E-5</v>
      </c>
      <c r="N27" s="1">
        <v>3.79563449144169E-6</v>
      </c>
      <c r="O27" s="1">
        <v>1.02172995915771E-7</v>
      </c>
      <c r="P27" s="1">
        <v>-5.2058049607820795E-7</v>
      </c>
      <c r="Q27">
        <v>71.447022798075494</v>
      </c>
      <c r="R27">
        <v>9.2051762343148602E-2</v>
      </c>
      <c r="S27">
        <v>12.426987916329599</v>
      </c>
      <c r="T27">
        <v>0.23928793304575399</v>
      </c>
      <c r="V27">
        <v>0.58055027819998395</v>
      </c>
      <c r="W27">
        <v>2.5889558159008799E-2</v>
      </c>
      <c r="X27">
        <v>0.11506470292894801</v>
      </c>
      <c r="AA27">
        <v>0.75750929428213398</v>
      </c>
      <c r="AB27">
        <v>3.4039974616475401</v>
      </c>
      <c r="AC27">
        <v>4.4971121394721596</v>
      </c>
      <c r="AD27">
        <v>3.8354900976304201E-2</v>
      </c>
      <c r="AE27">
        <v>6.3761712545397797</v>
      </c>
    </row>
    <row r="28" spans="1:31" x14ac:dyDescent="0.2">
      <c r="A28">
        <v>27</v>
      </c>
      <c r="B28">
        <v>746</v>
      </c>
      <c r="C28">
        <v>280</v>
      </c>
      <c r="D28">
        <v>0.288966786047197</v>
      </c>
      <c r="E28">
        <v>103.856136601575</v>
      </c>
      <c r="F28">
        <v>2.2068412022618298</v>
      </c>
      <c r="G28">
        <v>-1692.5824670708273</v>
      </c>
      <c r="H28">
        <v>-1416.2558898069803</v>
      </c>
      <c r="I28">
        <v>271.13435437751701</v>
      </c>
      <c r="J28">
        <v>140.799700789003</v>
      </c>
      <c r="K28">
        <v>47.060992197867101</v>
      </c>
      <c r="L28">
        <v>1.592331117366624E-4</v>
      </c>
      <c r="M28">
        <v>1.7591585026425163E-5</v>
      </c>
      <c r="N28" s="1">
        <v>3.7908290887204399E-6</v>
      </c>
      <c r="O28" s="1">
        <v>1.01635661645851E-7</v>
      </c>
      <c r="P28" s="1">
        <v>-5.19078397343049E-7</v>
      </c>
      <c r="Q28">
        <v>71.350806409174197</v>
      </c>
      <c r="R28">
        <v>9.2435558592255093E-2</v>
      </c>
      <c r="S28">
        <v>12.4788004099597</v>
      </c>
      <c r="T28">
        <v>0.24122348266600099</v>
      </c>
      <c r="V28">
        <v>0.58212688774212296</v>
      </c>
      <c r="W28">
        <v>2.5997500854069801E-2</v>
      </c>
      <c r="X28">
        <v>0.115544448240333</v>
      </c>
      <c r="AA28">
        <v>0.76066761758206802</v>
      </c>
      <c r="AB28">
        <v>3.4181899271092702</v>
      </c>
      <c r="AC28">
        <v>4.5158621853919803</v>
      </c>
      <c r="AD28">
        <v>3.85148160800972E-2</v>
      </c>
      <c r="AE28">
        <v>6.3798307566077597</v>
      </c>
    </row>
    <row r="29" spans="1:31" x14ac:dyDescent="0.2">
      <c r="A29">
        <v>28</v>
      </c>
      <c r="B29">
        <v>744</v>
      </c>
      <c r="C29">
        <v>280</v>
      </c>
      <c r="D29">
        <v>0.28743105736617303</v>
      </c>
      <c r="E29">
        <v>103.427315106424</v>
      </c>
      <c r="F29">
        <v>2.2078148199511598</v>
      </c>
      <c r="G29">
        <v>-1684.9357329390336</v>
      </c>
      <c r="H29">
        <v>-1410.5131297905116</v>
      </c>
      <c r="I29">
        <v>269.79560846337398</v>
      </c>
      <c r="J29">
        <v>140.23641976745799</v>
      </c>
      <c r="K29">
        <v>46.846009987700299</v>
      </c>
      <c r="L29">
        <v>1.5930892809627351E-4</v>
      </c>
      <c r="M29">
        <v>1.757566792868459E-5</v>
      </c>
      <c r="N29" s="1">
        <v>3.7861181591196201E-6</v>
      </c>
      <c r="O29" s="1">
        <v>1.0110373368404599E-7</v>
      </c>
      <c r="P29" s="1">
        <v>-5.1759427673323504E-7</v>
      </c>
      <c r="Q29">
        <v>71.254682788111197</v>
      </c>
      <c r="R29">
        <v>9.2818807005886295E-2</v>
      </c>
      <c r="S29">
        <v>12.530538945800201</v>
      </c>
      <c r="T29">
        <v>0.24317288042561</v>
      </c>
      <c r="V29">
        <v>0.58368630008182798</v>
      </c>
      <c r="W29">
        <v>2.6105289470403401E-2</v>
      </c>
      <c r="X29">
        <v>0.116023508757373</v>
      </c>
      <c r="AA29">
        <v>0.76382143265257296</v>
      </c>
      <c r="AB29">
        <v>3.4323621340716599</v>
      </c>
      <c r="AC29">
        <v>4.5345854672662202</v>
      </c>
      <c r="AD29">
        <v>3.86745029191096E-2</v>
      </c>
      <c r="AE29">
        <v>6.3835279434378203</v>
      </c>
    </row>
    <row r="30" spans="1:31" x14ac:dyDescent="0.2">
      <c r="A30">
        <v>29</v>
      </c>
      <c r="B30">
        <v>742</v>
      </c>
      <c r="C30">
        <v>280</v>
      </c>
      <c r="D30">
        <v>0.28588927744668102</v>
      </c>
      <c r="E30">
        <v>103.002618248052</v>
      </c>
      <c r="F30">
        <v>2.20878846026898</v>
      </c>
      <c r="G30">
        <v>-1677.3622153625809</v>
      </c>
      <c r="H30">
        <v>-1404.8260198852299</v>
      </c>
      <c r="I30">
        <v>268.46889176707901</v>
      </c>
      <c r="J30">
        <v>139.67856234999499</v>
      </c>
      <c r="K30">
        <v>46.633084200154101</v>
      </c>
      <c r="L30">
        <v>1.5938479355615874E-4</v>
      </c>
      <c r="M30">
        <v>1.7559732292514593E-5</v>
      </c>
      <c r="N30" s="1">
        <v>3.7815004081474798E-6</v>
      </c>
      <c r="O30" s="1">
        <v>1.00577127549797E-7</v>
      </c>
      <c r="P30" s="1">
        <v>-5.1612786550600095E-7</v>
      </c>
      <c r="Q30">
        <v>71.158650173010699</v>
      </c>
      <c r="R30">
        <v>9.3201514323464796E-2</v>
      </c>
      <c r="S30">
        <v>12.5822044336738</v>
      </c>
      <c r="T30">
        <v>0.24513629186956801</v>
      </c>
      <c r="V30">
        <v>0.58522842452774504</v>
      </c>
      <c r="W30">
        <v>2.6212925903472201E-2</v>
      </c>
      <c r="X30">
        <v>0.116501892904347</v>
      </c>
      <c r="AA30">
        <v>0.76697079495347698</v>
      </c>
      <c r="AB30">
        <v>3.4465143317529399</v>
      </c>
      <c r="AC30">
        <v>4.5532823143437202</v>
      </c>
      <c r="AD30">
        <v>3.8833964301433203E-2</v>
      </c>
      <c r="AE30">
        <v>6.3872629384352901</v>
      </c>
    </row>
    <row r="31" spans="1:31" x14ac:dyDescent="0.2">
      <c r="A31">
        <v>30</v>
      </c>
      <c r="B31">
        <v>740</v>
      </c>
      <c r="C31">
        <v>280</v>
      </c>
      <c r="D31">
        <v>0.28434141045255101</v>
      </c>
      <c r="E31">
        <v>102.581980712144</v>
      </c>
      <c r="F31">
        <v>2.2097621300873902</v>
      </c>
      <c r="G31">
        <v>-1669.8607646640689</v>
      </c>
      <c r="H31">
        <v>-1399.1936757474532</v>
      </c>
      <c r="I31">
        <v>267.154013637285</v>
      </c>
      <c r="J31">
        <v>139.126043376019</v>
      </c>
      <c r="K31">
        <v>46.422182422000198</v>
      </c>
      <c r="L31">
        <v>1.5946070937000403E-4</v>
      </c>
      <c r="M31">
        <v>1.7543777911067991E-5</v>
      </c>
      <c r="N31" s="1">
        <v>3.77697457226519E-6</v>
      </c>
      <c r="O31" s="1">
        <v>1.0005576058426501E-7</v>
      </c>
      <c r="P31" s="1">
        <v>-5.14678900963896E-7</v>
      </c>
      <c r="Q31">
        <v>71.062706806175498</v>
      </c>
      <c r="R31">
        <v>9.3583687245607103E-2</v>
      </c>
      <c r="S31">
        <v>12.633797778163499</v>
      </c>
      <c r="T31">
        <v>0.247113884249541</v>
      </c>
      <c r="V31">
        <v>0.58675316851739401</v>
      </c>
      <c r="W31">
        <v>2.6320412037824599E-2</v>
      </c>
      <c r="X31">
        <v>0.11697960905702701</v>
      </c>
      <c r="AA31">
        <v>0.77011575962527001</v>
      </c>
      <c r="AB31">
        <v>3.4606467679363102</v>
      </c>
      <c r="AC31">
        <v>4.5719530539775004</v>
      </c>
      <c r="AD31">
        <v>3.8993203018991597E-2</v>
      </c>
      <c r="AE31">
        <v>6.3910358699953997</v>
      </c>
    </row>
    <row r="32" spans="1:31" x14ac:dyDescent="0.2">
      <c r="A32">
        <v>31</v>
      </c>
      <c r="B32">
        <v>738</v>
      </c>
      <c r="C32">
        <v>280</v>
      </c>
      <c r="D32">
        <v>0.28278742026405701</v>
      </c>
      <c r="E32">
        <v>102.165338545677</v>
      </c>
      <c r="F32">
        <v>2.2107358361718998</v>
      </c>
      <c r="G32">
        <v>-1662.430255146553</v>
      </c>
      <c r="H32">
        <v>-1393.6152314586138</v>
      </c>
      <c r="I32">
        <v>265.85078740833598</v>
      </c>
      <c r="J32">
        <v>138.578779471877</v>
      </c>
      <c r="K32">
        <v>46.2132729175758</v>
      </c>
      <c r="L32">
        <v>1.5953667684897888E-4</v>
      </c>
      <c r="M32">
        <v>1.752780458109481E-5</v>
      </c>
      <c r="N32" s="1">
        <v>3.7725394180831599E-6</v>
      </c>
      <c r="O32" s="1">
        <v>9.9539551901344093E-8</v>
      </c>
      <c r="P32" s="1">
        <v>-5.1324712629780405E-7</v>
      </c>
      <c r="Q32">
        <v>70.966850933245297</v>
      </c>
      <c r="R32">
        <v>9.3965332437166899E-2</v>
      </c>
      <c r="S32">
        <v>12.6853198790244</v>
      </c>
      <c r="T32">
        <v>0.249105826546896</v>
      </c>
      <c r="V32">
        <v>0.58826043762273394</v>
      </c>
      <c r="W32">
        <v>2.6427749747950698E-2</v>
      </c>
      <c r="X32">
        <v>0.117456665546477</v>
      </c>
      <c r="AA32">
        <v>0.773256381514145</v>
      </c>
      <c r="AB32">
        <v>3.4747596890825201</v>
      </c>
      <c r="AC32">
        <v>4.5905980117734604</v>
      </c>
      <c r="AD32">
        <v>3.9152221848807602E-2</v>
      </c>
      <c r="AE32">
        <v>6.3948468716100599</v>
      </c>
    </row>
    <row r="33" spans="1:31" x14ac:dyDescent="0.2">
      <c r="A33">
        <v>32</v>
      </c>
      <c r="B33">
        <v>736</v>
      </c>
      <c r="C33">
        <v>280</v>
      </c>
      <c r="D33">
        <v>0.281227270475152</v>
      </c>
      <c r="E33">
        <v>28.202795709275101</v>
      </c>
      <c r="F33">
        <v>2.2184111634358601</v>
      </c>
      <c r="G33">
        <v>-458.93216861684942</v>
      </c>
      <c r="H33">
        <v>-385.23398255513411</v>
      </c>
      <c r="I33">
        <v>73.029961910236494</v>
      </c>
      <c r="J33">
        <v>38.313643696293298</v>
      </c>
      <c r="K33">
        <v>12.7130606688774</v>
      </c>
      <c r="L33">
        <v>1.5839651932788586E-4</v>
      </c>
      <c r="M33">
        <v>1.7481775905645443E-5</v>
      </c>
      <c r="N33" s="1">
        <v>1.0308778246798E-6</v>
      </c>
      <c r="O33" s="1">
        <v>2.710678445888E-8</v>
      </c>
      <c r="P33" s="1">
        <v>-1.3843295461659199E-7</v>
      </c>
      <c r="Q33">
        <v>70.235080709521696</v>
      </c>
      <c r="R33">
        <v>0.14133485490389799</v>
      </c>
      <c r="S33">
        <v>13.604902556851901</v>
      </c>
      <c r="T33">
        <v>0.236415491810263</v>
      </c>
      <c r="V33">
        <v>0.57097465439626904</v>
      </c>
      <c r="W33">
        <v>9.5380153916519703E-2</v>
      </c>
      <c r="X33">
        <v>0.13687747181922599</v>
      </c>
      <c r="AA33">
        <v>0.74791230260548602</v>
      </c>
      <c r="AB33">
        <v>3.1111465343109801</v>
      </c>
      <c r="AC33">
        <v>4.6624825575134903</v>
      </c>
      <c r="AD33">
        <v>0.14182991080846899</v>
      </c>
      <c r="AE33">
        <v>6.31566280154167</v>
      </c>
    </row>
    <row r="34" spans="1:31" x14ac:dyDescent="0.2">
      <c r="A34">
        <v>33</v>
      </c>
      <c r="B34">
        <v>734</v>
      </c>
      <c r="C34">
        <v>280</v>
      </c>
      <c r="D34">
        <v>0.27966092439060802</v>
      </c>
      <c r="E34">
        <v>19.606305616490999</v>
      </c>
      <c r="F34">
        <v>2.2229621098833601</v>
      </c>
      <c r="G34">
        <v>-319.05504923530759</v>
      </c>
      <c r="H34">
        <v>-268.08410401904536</v>
      </c>
      <c r="I34">
        <v>50.6090902211808</v>
      </c>
      <c r="J34">
        <v>26.6639885024214</v>
      </c>
      <c r="K34">
        <v>8.8199009462737799</v>
      </c>
      <c r="L34">
        <v>1.578284515363883E-4</v>
      </c>
      <c r="M34">
        <v>1.7461881795467778E-5</v>
      </c>
      <c r="N34" s="1">
        <v>7.14259310616122E-7</v>
      </c>
      <c r="O34" s="1">
        <v>1.8710390114708301E-8</v>
      </c>
      <c r="P34" s="1">
        <v>-9.5064826353755305E-8</v>
      </c>
      <c r="Q34">
        <v>69.765019367875098</v>
      </c>
      <c r="R34">
        <v>0.141524166737477</v>
      </c>
      <c r="S34">
        <v>14.1980012842962</v>
      </c>
      <c r="T34">
        <v>0.22785561647636801</v>
      </c>
      <c r="V34">
        <v>0.55672466998340697</v>
      </c>
      <c r="W34">
        <v>0.136357524878886</v>
      </c>
      <c r="X34">
        <v>0.13524978474615801</v>
      </c>
      <c r="AA34">
        <v>0.767587034089112</v>
      </c>
      <c r="AB34">
        <v>2.88779954569699</v>
      </c>
      <c r="AC34">
        <v>4.6997112471397102</v>
      </c>
      <c r="AD34">
        <v>0.20401599762019201</v>
      </c>
      <c r="AE34">
        <v>6.2801537604602604</v>
      </c>
    </row>
    <row r="35" spans="1:31" x14ac:dyDescent="0.2">
      <c r="A35">
        <v>34</v>
      </c>
      <c r="B35">
        <v>732</v>
      </c>
      <c r="C35">
        <v>280</v>
      </c>
      <c r="D35">
        <v>0.27808834502313201</v>
      </c>
      <c r="E35">
        <v>15.7072354318584</v>
      </c>
      <c r="F35">
        <v>2.2266919783078398</v>
      </c>
      <c r="G35">
        <v>-255.60672720499966</v>
      </c>
      <c r="H35">
        <v>-214.95987421046581</v>
      </c>
      <c r="I35">
        <v>40.438594234227601</v>
      </c>
      <c r="J35">
        <v>21.3818552782209</v>
      </c>
      <c r="K35">
        <v>7.0540674619015</v>
      </c>
      <c r="L35">
        <v>1.5745194352939559E-4</v>
      </c>
      <c r="M35">
        <v>1.7449943181619481E-5</v>
      </c>
      <c r="N35" s="1">
        <v>5.7140632448364598E-7</v>
      </c>
      <c r="O35" s="1">
        <v>1.49103171058037E-8</v>
      </c>
      <c r="P35" s="1">
        <v>-7.5469721676914196E-8</v>
      </c>
      <c r="Q35">
        <v>69.368994353954804</v>
      </c>
      <c r="R35">
        <v>0.14118417459462401</v>
      </c>
      <c r="S35">
        <v>14.685555455271899</v>
      </c>
      <c r="T35">
        <v>0.22092046241424201</v>
      </c>
      <c r="V35">
        <v>0.54434176369234299</v>
      </c>
      <c r="W35">
        <v>0.169365653463703</v>
      </c>
      <c r="X35">
        <v>0.13358611701723999</v>
      </c>
      <c r="AA35">
        <v>0.788198281900235</v>
      </c>
      <c r="AB35">
        <v>2.7142409092720898</v>
      </c>
      <c r="AC35">
        <v>4.7219851878004304</v>
      </c>
      <c r="AD35">
        <v>0.25465970872764299</v>
      </c>
      <c r="AE35">
        <v>6.2569679318906202</v>
      </c>
    </row>
    <row r="36" spans="1:31" x14ac:dyDescent="0.2">
      <c r="A36">
        <v>35</v>
      </c>
      <c r="B36">
        <v>730</v>
      </c>
      <c r="C36">
        <v>280</v>
      </c>
      <c r="D36">
        <v>0.27650949509046802</v>
      </c>
      <c r="E36">
        <v>13.3923980509075</v>
      </c>
      <c r="F36">
        <v>2.2299287249032802</v>
      </c>
      <c r="G36">
        <v>-217.93586419047193</v>
      </c>
      <c r="H36">
        <v>-183.42698951234277</v>
      </c>
      <c r="I36">
        <v>34.400513061983901</v>
      </c>
      <c r="J36">
        <v>18.2470559076169</v>
      </c>
      <c r="K36">
        <v>6.0057516194776204</v>
      </c>
      <c r="L36">
        <v>1.5719549430295052E-4</v>
      </c>
      <c r="M36">
        <v>1.744337137249597E-5</v>
      </c>
      <c r="N36" s="1">
        <v>4.8709554496065405E-7</v>
      </c>
      <c r="O36" s="1">
        <v>1.26603202721397E-8</v>
      </c>
      <c r="P36" s="1">
        <v>-6.3888426252808199E-8</v>
      </c>
      <c r="Q36">
        <v>69.015685722285994</v>
      </c>
      <c r="R36">
        <v>0.14050340424250601</v>
      </c>
      <c r="S36">
        <v>15.11177432475</v>
      </c>
      <c r="T36">
        <v>0.21496920108306</v>
      </c>
      <c r="V36">
        <v>0.53315552291213497</v>
      </c>
      <c r="W36">
        <v>0.19778968732587701</v>
      </c>
      <c r="X36">
        <v>0.13190210482067499</v>
      </c>
      <c r="AA36">
        <v>0.80865267681265796</v>
      </c>
      <c r="AB36">
        <v>2.57076730076614</v>
      </c>
      <c r="AC36">
        <v>4.7346772388917602</v>
      </c>
      <c r="AD36">
        <v>0.29867690497160398</v>
      </c>
      <c r="AE36">
        <v>6.2414459111374603</v>
      </c>
    </row>
    <row r="37" spans="1:31" x14ac:dyDescent="0.2">
      <c r="A37">
        <v>36</v>
      </c>
      <c r="B37">
        <v>728</v>
      </c>
      <c r="C37">
        <v>280</v>
      </c>
      <c r="D37">
        <v>0.27492433701243602</v>
      </c>
      <c r="E37">
        <v>11.823974676102001</v>
      </c>
      <c r="F37">
        <v>2.23283042284914</v>
      </c>
      <c r="G37">
        <v>-192.41050930143689</v>
      </c>
      <c r="H37">
        <v>-162.06602069335693</v>
      </c>
      <c r="I37">
        <v>30.3096325306696</v>
      </c>
      <c r="J37">
        <v>16.123862039920301</v>
      </c>
      <c r="K37">
        <v>5.29550948209239</v>
      </c>
      <c r="L37">
        <v>1.5702220625345568E-4</v>
      </c>
      <c r="M37">
        <v>1.7440635533015248E-5</v>
      </c>
      <c r="N37" s="1">
        <v>4.3032264206229002E-7</v>
      </c>
      <c r="O37" s="1">
        <v>1.11402571692696E-8</v>
      </c>
      <c r="P37" s="1">
        <v>-5.6078911411546002E-8</v>
      </c>
      <c r="Q37">
        <v>68.690939817345907</v>
      </c>
      <c r="R37">
        <v>0.13958680540697799</v>
      </c>
      <c r="S37">
        <v>15.496771202267899</v>
      </c>
      <c r="T37">
        <v>0.20969304734178101</v>
      </c>
      <c r="V37">
        <v>0.52281976184607504</v>
      </c>
      <c r="W37">
        <v>0.22316158117793</v>
      </c>
      <c r="X37">
        <v>0.130205337506654</v>
      </c>
      <c r="AA37">
        <v>0.828844972462217</v>
      </c>
      <c r="AB37">
        <v>2.44778714195325</v>
      </c>
      <c r="AC37">
        <v>4.7406740946371597</v>
      </c>
      <c r="AD37">
        <v>0.33829571777392597</v>
      </c>
      <c r="AE37">
        <v>6.2312205202800897</v>
      </c>
    </row>
    <row r="38" spans="1:31" x14ac:dyDescent="0.2">
      <c r="A38">
        <v>37</v>
      </c>
      <c r="B38">
        <v>726</v>
      </c>
      <c r="C38">
        <v>280</v>
      </c>
      <c r="D38">
        <v>0.273332832907971</v>
      </c>
      <c r="E38">
        <v>10.673841540181501</v>
      </c>
      <c r="F38">
        <v>2.23548651873238</v>
      </c>
      <c r="G38">
        <v>-173.69167163380365</v>
      </c>
      <c r="H38">
        <v>-146.4048488540069</v>
      </c>
      <c r="I38">
        <v>27.310036310660799</v>
      </c>
      <c r="J38">
        <v>14.5674962155519</v>
      </c>
      <c r="K38">
        <v>4.7747286555921704</v>
      </c>
      <c r="L38">
        <v>1.5691074800079223E-4</v>
      </c>
      <c r="M38">
        <v>1.744080902054277E-5</v>
      </c>
      <c r="N38" s="1">
        <v>3.8895346171947699E-7</v>
      </c>
      <c r="O38" s="1">
        <v>1.00289536892676E-8</v>
      </c>
      <c r="P38" s="1">
        <v>-5.0380440078504899E-8</v>
      </c>
      <c r="Q38">
        <v>68.386929881455998</v>
      </c>
      <c r="R38">
        <v>0.13849784476250199</v>
      </c>
      <c r="S38">
        <v>15.851676452281801</v>
      </c>
      <c r="T38">
        <v>0.20491685127683801</v>
      </c>
      <c r="V38">
        <v>0.51313199177255298</v>
      </c>
      <c r="W38">
        <v>0.24632753867101101</v>
      </c>
      <c r="X38">
        <v>0.12850011059938499</v>
      </c>
      <c r="AA38">
        <v>0.84880941237987795</v>
      </c>
      <c r="AB38">
        <v>2.3398463111613199</v>
      </c>
      <c r="AC38">
        <v>4.7416845102029201</v>
      </c>
      <c r="AD38">
        <v>0.37474792790715</v>
      </c>
      <c r="AE38">
        <v>6.2249311675285304</v>
      </c>
    </row>
    <row r="39" spans="1:31" x14ac:dyDescent="0.2">
      <c r="A39">
        <v>38</v>
      </c>
      <c r="B39">
        <v>760</v>
      </c>
      <c r="C39">
        <v>260</v>
      </c>
      <c r="D39">
        <v>0.320844504670183</v>
      </c>
      <c r="E39">
        <v>106.356199086115</v>
      </c>
      <c r="F39">
        <v>2.2008309331129001</v>
      </c>
      <c r="G39">
        <v>-1737.2350011086448</v>
      </c>
      <c r="H39">
        <v>-1450.6062932595157</v>
      </c>
      <c r="I39">
        <v>277.431842277626</v>
      </c>
      <c r="J39">
        <v>143.79822587780299</v>
      </c>
      <c r="K39">
        <v>48.325474476898101</v>
      </c>
      <c r="L39">
        <v>1.5551779293935286E-4</v>
      </c>
      <c r="M39">
        <v>1.7685214136030801E-5</v>
      </c>
      <c r="N39" s="1">
        <v>3.6578140176572E-6</v>
      </c>
      <c r="O39" s="1">
        <v>1.0223117264439999E-7</v>
      </c>
      <c r="P39" s="1">
        <v>-5.1620127830277204E-7</v>
      </c>
      <c r="Q39">
        <v>72.181970265661306</v>
      </c>
      <c r="R39">
        <v>9.0262721707711796E-2</v>
      </c>
      <c r="S39">
        <v>12.185467430541699</v>
      </c>
      <c r="T39">
        <v>0.23161548745024499</v>
      </c>
      <c r="V39">
        <v>0.57198628207156199</v>
      </c>
      <c r="W39">
        <v>2.5386390480293699E-2</v>
      </c>
      <c r="X39">
        <v>0.112828402134641</v>
      </c>
      <c r="AA39">
        <v>0.74278698071970795</v>
      </c>
      <c r="AB39">
        <v>3.3378402298164001</v>
      </c>
      <c r="AC39">
        <v>4.4097100500954403</v>
      </c>
      <c r="AD39">
        <v>3.7609467378212198E-2</v>
      </c>
      <c r="AE39">
        <v>6.0725362919427504</v>
      </c>
    </row>
    <row r="40" spans="1:31" x14ac:dyDescent="0.2">
      <c r="A40">
        <v>39</v>
      </c>
      <c r="B40">
        <v>758</v>
      </c>
      <c r="C40">
        <v>260</v>
      </c>
      <c r="D40">
        <v>0.31939145614120401</v>
      </c>
      <c r="E40">
        <v>106.20010725554801</v>
      </c>
      <c r="F40">
        <v>2.20165392908046</v>
      </c>
      <c r="G40">
        <v>-1734.0806996201491</v>
      </c>
      <c r="H40">
        <v>-1448.7044274733951</v>
      </c>
      <c r="I40">
        <v>276.75534320588997</v>
      </c>
      <c r="J40">
        <v>143.57341134647899</v>
      </c>
      <c r="K40">
        <v>48.236512493088902</v>
      </c>
      <c r="L40">
        <v>1.5545132297862952E-4</v>
      </c>
      <c r="M40">
        <v>1.7667491182985282E-5</v>
      </c>
      <c r="N40" s="1">
        <v>3.6607781679093401E-6</v>
      </c>
      <c r="O40" s="1">
        <v>1.0191178302773699E-7</v>
      </c>
      <c r="P40" s="1">
        <v>-5.1536990504169198E-7</v>
      </c>
      <c r="Q40">
        <v>72.150291912596302</v>
      </c>
      <c r="R40">
        <v>9.0395388932137902E-2</v>
      </c>
      <c r="S40">
        <v>12.2033775058398</v>
      </c>
      <c r="T40">
        <v>0.232739838898713</v>
      </c>
      <c r="V40">
        <v>0.572121596968587</v>
      </c>
      <c r="W40">
        <v>2.54237031371633E-2</v>
      </c>
      <c r="X40">
        <v>0.112994236165175</v>
      </c>
      <c r="AA40">
        <v>0.74387872142070999</v>
      </c>
      <c r="AB40">
        <v>3.3427461532196401</v>
      </c>
      <c r="AC40">
        <v>4.4161913967887001</v>
      </c>
      <c r="AD40">
        <v>3.7664745388388599E-2</v>
      </c>
      <c r="AE40">
        <v>6.0721748006445999</v>
      </c>
    </row>
    <row r="41" spans="1:31" x14ac:dyDescent="0.2">
      <c r="A41">
        <v>40</v>
      </c>
      <c r="B41">
        <v>756</v>
      </c>
      <c r="C41">
        <v>260</v>
      </c>
      <c r="D41">
        <v>0.317932760044698</v>
      </c>
      <c r="E41">
        <v>105.755881699649</v>
      </c>
      <c r="F41">
        <v>2.2026293687221199</v>
      </c>
      <c r="G41">
        <v>-1726.1523478342874</v>
      </c>
      <c r="H41">
        <v>-1442.7533265966181</v>
      </c>
      <c r="I41">
        <v>275.37192949295002</v>
      </c>
      <c r="J41">
        <v>142.989903082963</v>
      </c>
      <c r="K41">
        <v>48.013471172866602</v>
      </c>
      <c r="L41">
        <v>1.5551852664134948E-4</v>
      </c>
      <c r="M41">
        <v>1.7651284453432354E-5</v>
      </c>
      <c r="N41" s="1">
        <v>3.65560786638341E-6</v>
      </c>
      <c r="O41" s="1">
        <v>1.0136509358945701E-7</v>
      </c>
      <c r="P41" s="1">
        <v>-5.1380569711931896E-7</v>
      </c>
      <c r="Q41">
        <v>72.056020544774896</v>
      </c>
      <c r="R41">
        <v>9.0775093032314097E-2</v>
      </c>
      <c r="S41">
        <v>12.254637559363999</v>
      </c>
      <c r="T41">
        <v>0.234609843569235</v>
      </c>
      <c r="V41">
        <v>0.57372180454066002</v>
      </c>
      <c r="W41">
        <v>2.5530494915337699E-2</v>
      </c>
      <c r="X41">
        <v>0.113468866290397</v>
      </c>
      <c r="AA41">
        <v>0.74700336974507497</v>
      </c>
      <c r="AB41">
        <v>3.35678729442406</v>
      </c>
      <c r="AC41">
        <v>4.43474152418269</v>
      </c>
      <c r="AD41">
        <v>3.7822955430128001E-2</v>
      </c>
      <c r="AE41">
        <v>6.0748806497310497</v>
      </c>
    </row>
    <row r="42" spans="1:31" x14ac:dyDescent="0.2">
      <c r="A42">
        <v>41</v>
      </c>
      <c r="B42">
        <v>754</v>
      </c>
      <c r="C42">
        <v>260</v>
      </c>
      <c r="D42">
        <v>0.31646838339093702</v>
      </c>
      <c r="E42">
        <v>105.316018019152</v>
      </c>
      <c r="F42">
        <v>2.2036050412111701</v>
      </c>
      <c r="G42">
        <v>-1718.3013928935129</v>
      </c>
      <c r="H42">
        <v>-1436.8611189618493</v>
      </c>
      <c r="I42">
        <v>274.00114290187702</v>
      </c>
      <c r="J42">
        <v>142.412104889001</v>
      </c>
      <c r="K42">
        <v>47.792601691121298</v>
      </c>
      <c r="L42">
        <v>1.5558560548437783E-4</v>
      </c>
      <c r="M42">
        <v>1.7635050473334252E-5</v>
      </c>
      <c r="N42" s="1">
        <v>3.6505258891542399E-6</v>
      </c>
      <c r="O42" s="1">
        <v>1.00823827511281E-7</v>
      </c>
      <c r="P42" s="1">
        <v>-5.1225911862723699E-7</v>
      </c>
      <c r="Q42">
        <v>71.961860954577105</v>
      </c>
      <c r="R42">
        <v>9.1154224975105599E-2</v>
      </c>
      <c r="S42">
        <v>12.305820371641699</v>
      </c>
      <c r="T42">
        <v>0.23649290026823899</v>
      </c>
      <c r="V42">
        <v>0.57530532097631704</v>
      </c>
      <c r="W42">
        <v>2.56371257742475E-2</v>
      </c>
      <c r="X42">
        <v>0.113942781218889</v>
      </c>
      <c r="AA42">
        <v>0.75012330969095797</v>
      </c>
      <c r="AB42">
        <v>3.3708072777251799</v>
      </c>
      <c r="AC42">
        <v>4.4532636993044097</v>
      </c>
      <c r="AD42">
        <v>3.7980927072956402E-2</v>
      </c>
      <c r="AE42">
        <v>6.0776111067747403</v>
      </c>
    </row>
    <row r="43" spans="1:31" x14ac:dyDescent="0.2">
      <c r="A43">
        <v>42</v>
      </c>
      <c r="B43">
        <v>752</v>
      </c>
      <c r="C43">
        <v>260</v>
      </c>
      <c r="D43">
        <v>0.31499829293274201</v>
      </c>
      <c r="E43">
        <v>104.880446486946</v>
      </c>
      <c r="F43">
        <v>2.2045809579093398</v>
      </c>
      <c r="G43">
        <v>-1710.526605879611</v>
      </c>
      <c r="H43">
        <v>-1431.0268604677522</v>
      </c>
      <c r="I43">
        <v>272.64277950725102</v>
      </c>
      <c r="J43">
        <v>141.83992574636</v>
      </c>
      <c r="K43">
        <v>47.573869360827103</v>
      </c>
      <c r="L43">
        <v>1.5565255697219728E-4</v>
      </c>
      <c r="M43">
        <v>1.761878881829595E-5</v>
      </c>
      <c r="N43" s="1">
        <v>3.6455308164392701E-6</v>
      </c>
      <c r="O43" s="1">
        <v>1.0028789635306901E-7</v>
      </c>
      <c r="P43" s="1">
        <v>-5.1072987910063398E-7</v>
      </c>
      <c r="Q43">
        <v>71.867811725806007</v>
      </c>
      <c r="R43">
        <v>9.1532791111782502E-2</v>
      </c>
      <c r="S43">
        <v>12.356926800094</v>
      </c>
      <c r="T43">
        <v>0.23838916448177799</v>
      </c>
      <c r="V43">
        <v>0.576872061279596</v>
      </c>
      <c r="W43">
        <v>2.57435975001876E-2</v>
      </c>
      <c r="X43">
        <v>0.114415988889737</v>
      </c>
      <c r="AA43">
        <v>0.753238593524024</v>
      </c>
      <c r="AB43">
        <v>3.3848063379876798</v>
      </c>
      <c r="AC43">
        <v>4.4717582324398997</v>
      </c>
      <c r="AD43">
        <v>3.8138662963237001E-2</v>
      </c>
      <c r="AE43">
        <v>6.0803660439219902</v>
      </c>
    </row>
    <row r="44" spans="1:31" x14ac:dyDescent="0.2">
      <c r="A44">
        <v>43</v>
      </c>
      <c r="B44">
        <v>750</v>
      </c>
      <c r="C44">
        <v>260</v>
      </c>
      <c r="D44">
        <v>0.313522455162978</v>
      </c>
      <c r="E44">
        <v>104.449098861447</v>
      </c>
      <c r="F44">
        <v>2.2055571301776098</v>
      </c>
      <c r="G44">
        <v>-1702.8267840323128</v>
      </c>
      <c r="H44">
        <v>-1425.2496271351358</v>
      </c>
      <c r="I44">
        <v>271.296639688391</v>
      </c>
      <c r="J44">
        <v>141.273276576607</v>
      </c>
      <c r="K44">
        <v>47.3572402330092</v>
      </c>
      <c r="L44">
        <v>1.5571937852686257E-4</v>
      </c>
      <c r="M44">
        <v>1.7602499062166174E-5</v>
      </c>
      <c r="N44" s="1">
        <v>3.6406212568287099E-6</v>
      </c>
      <c r="O44" s="1">
        <v>9.9757213523076703E-8</v>
      </c>
      <c r="P44" s="1">
        <v>-5.0921769399653495E-7</v>
      </c>
      <c r="Q44">
        <v>71.773871455536906</v>
      </c>
      <c r="R44">
        <v>9.19107977440249E-2</v>
      </c>
      <c r="S44">
        <v>12.407957695447299</v>
      </c>
      <c r="T44">
        <v>0.24029879326686901</v>
      </c>
      <c r="V44">
        <v>0.57842193861219204</v>
      </c>
      <c r="W44">
        <v>2.5849911865505601E-2</v>
      </c>
      <c r="X44">
        <v>0.114888497180042</v>
      </c>
      <c r="AA44">
        <v>0.75634927310184896</v>
      </c>
      <c r="AB44">
        <v>3.3987847082424598</v>
      </c>
      <c r="AC44">
        <v>4.4902254314525196</v>
      </c>
      <c r="AD44">
        <v>3.82961657266703E-2</v>
      </c>
      <c r="AE44">
        <v>6.0831453318235296</v>
      </c>
    </row>
    <row r="45" spans="1:31" x14ac:dyDescent="0.2">
      <c r="A45">
        <v>44</v>
      </c>
      <c r="B45">
        <v>748</v>
      </c>
      <c r="C45">
        <v>260</v>
      </c>
      <c r="D45">
        <v>0.31204083631200402</v>
      </c>
      <c r="E45">
        <v>104.02190834665601</v>
      </c>
      <c r="F45">
        <v>2.2065335693780201</v>
      </c>
      <c r="G45">
        <v>-1695.2007500464722</v>
      </c>
      <c r="H45">
        <v>-1419.5285145656414</v>
      </c>
      <c r="I45">
        <v>269.96252801334799</v>
      </c>
      <c r="J45">
        <v>140.71207018890399</v>
      </c>
      <c r="K45">
        <v>47.142681076897297</v>
      </c>
      <c r="L45">
        <v>1.5578606752741095E-4</v>
      </c>
      <c r="M45">
        <v>1.7586180776982001E-5</v>
      </c>
      <c r="N45" s="1">
        <v>3.6357958464570699E-6</v>
      </c>
      <c r="O45" s="1">
        <v>9.9231694227819106E-8</v>
      </c>
      <c r="P45" s="1">
        <v>-5.0772228452896601E-7</v>
      </c>
      <c r="Q45">
        <v>71.680038753911205</v>
      </c>
      <c r="R45">
        <v>9.2288251125021495E-2</v>
      </c>
      <c r="S45">
        <v>12.4589139018822</v>
      </c>
      <c r="T45">
        <v>0.24222194526767299</v>
      </c>
      <c r="V45">
        <v>0.57995486428835497</v>
      </c>
      <c r="W45">
        <v>2.5956070628910699E-2</v>
      </c>
      <c r="X45">
        <v>0.11536031390628899</v>
      </c>
      <c r="AA45">
        <v>0.75945539988296495</v>
      </c>
      <c r="AB45">
        <v>3.4127426197272199</v>
      </c>
      <c r="AC45">
        <v>4.50866560183659</v>
      </c>
      <c r="AD45">
        <v>3.84534379687516E-2</v>
      </c>
      <c r="AE45">
        <v>6.0859488395746801</v>
      </c>
    </row>
    <row r="46" spans="1:31" x14ac:dyDescent="0.2">
      <c r="A46">
        <v>45</v>
      </c>
      <c r="B46">
        <v>746</v>
      </c>
      <c r="C46">
        <v>260</v>
      </c>
      <c r="D46">
        <v>0.31055340234509199</v>
      </c>
      <c r="E46">
        <v>103.598809555353</v>
      </c>
      <c r="F46">
        <v>2.2075102868730601</v>
      </c>
      <c r="G46">
        <v>-1687.6473514228871</v>
      </c>
      <c r="H46">
        <v>-1413.8626374439241</v>
      </c>
      <c r="I46">
        <v>268.640253131495</v>
      </c>
      <c r="J46">
        <v>140.15622123187799</v>
      </c>
      <c r="K46">
        <v>46.930159361613399</v>
      </c>
      <c r="L46">
        <v>1.558526213092442E-4</v>
      </c>
      <c r="M46">
        <v>1.7569833532971192E-5</v>
      </c>
      <c r="N46" s="1">
        <v>3.6310532482830099E-6</v>
      </c>
      <c r="O46" s="1">
        <v>9.8711255425747798E-8</v>
      </c>
      <c r="P46" s="1">
        <v>-5.0624337751894303E-7</v>
      </c>
      <c r="Q46">
        <v>71.5863122443061</v>
      </c>
      <c r="R46">
        <v>9.2665157458887801E-2</v>
      </c>
      <c r="S46">
        <v>12.509796256954701</v>
      </c>
      <c r="T46">
        <v>0.24415878072654601</v>
      </c>
      <c r="V46">
        <v>0.58147074775992202</v>
      </c>
      <c r="W46">
        <v>2.6062075535310501E-2</v>
      </c>
      <c r="X46">
        <v>0.11583144682362299</v>
      </c>
      <c r="AA46">
        <v>0.76255702492207</v>
      </c>
      <c r="AB46">
        <v>3.4266803018649701</v>
      </c>
      <c r="AC46">
        <v>4.5270790466889697</v>
      </c>
      <c r="AD46">
        <v>3.86104822745282E-2</v>
      </c>
      <c r="AE46">
        <v>6.0887764346842097</v>
      </c>
    </row>
    <row r="47" spans="1:31" x14ac:dyDescent="0.2">
      <c r="A47">
        <v>46</v>
      </c>
      <c r="B47">
        <v>744</v>
      </c>
      <c r="C47">
        <v>260</v>
      </c>
      <c r="D47">
        <v>0.30906011895984098</v>
      </c>
      <c r="E47">
        <v>103.17973847084799</v>
      </c>
      <c r="F47">
        <v>2.2084872940263698</v>
      </c>
      <c r="G47">
        <v>-1680.1654597963093</v>
      </c>
      <c r="H47">
        <v>-1408.2511290187661</v>
      </c>
      <c r="I47">
        <v>267.32962766311999</v>
      </c>
      <c r="J47">
        <v>139.60564614374599</v>
      </c>
      <c r="K47">
        <v>46.719643237221298</v>
      </c>
      <c r="L47">
        <v>1.5591903716482427E-4</v>
      </c>
      <c r="M47">
        <v>1.7553456898572209E-5</v>
      </c>
      <c r="N47" s="1">
        <v>3.6263921513190698E-6</v>
      </c>
      <c r="O47" s="1">
        <v>9.8195815780375999E-8</v>
      </c>
      <c r="P47" s="1">
        <v>-5.0478070524280497E-7</v>
      </c>
      <c r="Q47">
        <v>71.492690562913097</v>
      </c>
      <c r="R47">
        <v>9.3041522902410995E-2</v>
      </c>
      <c r="S47">
        <v>12.5606055918312</v>
      </c>
      <c r="T47">
        <v>0.246109461502104</v>
      </c>
      <c r="V47">
        <v>0.58296949661528297</v>
      </c>
      <c r="W47">
        <v>2.6167928316300999E-2</v>
      </c>
      <c r="X47">
        <v>0.116301903628029</v>
      </c>
      <c r="AA47">
        <v>0.76565419888439101</v>
      </c>
      <c r="AB47">
        <v>3.4405979823285602</v>
      </c>
      <c r="AC47">
        <v>4.5454660667943498</v>
      </c>
      <c r="AD47">
        <v>3.8767301209328003E-2</v>
      </c>
      <c r="AE47">
        <v>6.0916279830748099</v>
      </c>
    </row>
    <row r="48" spans="1:31" x14ac:dyDescent="0.2">
      <c r="A48">
        <v>47</v>
      </c>
      <c r="B48">
        <v>742</v>
      </c>
      <c r="C48">
        <v>260</v>
      </c>
      <c r="D48">
        <v>0.30756095158350699</v>
      </c>
      <c r="E48">
        <v>100.799897879688</v>
      </c>
      <c r="F48">
        <v>2.2101894992951601</v>
      </c>
      <c r="G48">
        <v>-1640.1175294109375</v>
      </c>
      <c r="H48">
        <v>-1375.4579901959933</v>
      </c>
      <c r="I48">
        <v>260.70978595768503</v>
      </c>
      <c r="J48">
        <v>136.33149121517999</v>
      </c>
      <c r="K48">
        <v>45.606902897617601</v>
      </c>
      <c r="L48">
        <v>1.5554660606199552E-4</v>
      </c>
      <c r="M48">
        <v>1.7498212819154343E-5</v>
      </c>
      <c r="N48" s="1">
        <v>3.5369427731895101E-6</v>
      </c>
      <c r="O48" s="1">
        <v>9.5429604608202394E-8</v>
      </c>
      <c r="P48" s="1">
        <v>-4.9176281942121404E-7</v>
      </c>
      <c r="Q48">
        <v>71.4189159897834</v>
      </c>
      <c r="R48">
        <v>9.5238191723751101E-2</v>
      </c>
      <c r="S48">
        <v>12.590552949207501</v>
      </c>
      <c r="T48">
        <v>0.25289371160002999</v>
      </c>
      <c r="V48">
        <v>0.59585698619026695</v>
      </c>
      <c r="W48">
        <v>2.6785741422302001E-2</v>
      </c>
      <c r="X48">
        <v>0.11904773965471201</v>
      </c>
      <c r="AA48">
        <v>0.74559186088107798</v>
      </c>
      <c r="AB48">
        <v>3.4153259112463399</v>
      </c>
      <c r="AC48">
        <v>4.6324080850526004</v>
      </c>
      <c r="AD48">
        <v>3.9682579884881899E-2</v>
      </c>
      <c r="AE48">
        <v>6.0677002533530304</v>
      </c>
    </row>
    <row r="49" spans="1:31" x14ac:dyDescent="0.2">
      <c r="A49">
        <v>48</v>
      </c>
      <c r="B49">
        <v>740</v>
      </c>
      <c r="C49">
        <v>260</v>
      </c>
      <c r="D49">
        <v>0.30605586537038199</v>
      </c>
      <c r="E49">
        <v>38.616884230355701</v>
      </c>
      <c r="F49">
        <v>2.2158555289557902</v>
      </c>
      <c r="G49">
        <v>-628.22965235067375</v>
      </c>
      <c r="H49">
        <v>-527.42695997493706</v>
      </c>
      <c r="I49">
        <v>99.4943417813124</v>
      </c>
      <c r="J49">
        <v>52.2754313194039</v>
      </c>
      <c r="K49">
        <v>17.4275279799282</v>
      </c>
      <c r="L49">
        <v>1.5459268621458518E-4</v>
      </c>
      <c r="M49">
        <v>1.7438764211858439E-5</v>
      </c>
      <c r="N49" s="1">
        <v>1.3439766233645401E-6</v>
      </c>
      <c r="O49" s="1">
        <v>3.6138753687601303E-8</v>
      </c>
      <c r="P49" s="1">
        <v>-1.8519307815147001E-7</v>
      </c>
      <c r="Q49">
        <v>70.931740715244999</v>
      </c>
      <c r="R49">
        <v>0.14115392257391601</v>
      </c>
      <c r="S49">
        <v>13.177034720094699</v>
      </c>
      <c r="T49">
        <v>0.24085375044856</v>
      </c>
      <c r="V49">
        <v>0.57436816597945095</v>
      </c>
      <c r="W49">
        <v>6.9917603499374703E-2</v>
      </c>
      <c r="X49">
        <v>0.14362069660637999</v>
      </c>
      <c r="AA49">
        <v>0.73663660524320895</v>
      </c>
      <c r="AB49">
        <v>3.16382042575112</v>
      </c>
      <c r="AC49">
        <v>4.7127822201744696</v>
      </c>
      <c r="AD49">
        <v>0.10358163481378101</v>
      </c>
      <c r="AE49">
        <v>6.0044895395699402</v>
      </c>
    </row>
    <row r="50" spans="1:31" x14ac:dyDescent="0.2">
      <c r="A50">
        <v>49</v>
      </c>
      <c r="B50">
        <v>738</v>
      </c>
      <c r="C50">
        <v>260</v>
      </c>
      <c r="D50">
        <v>0.30454482519902998</v>
      </c>
      <c r="E50">
        <v>23.078067997014699</v>
      </c>
      <c r="F50">
        <v>2.221028399228</v>
      </c>
      <c r="G50">
        <v>-375.4652343240528</v>
      </c>
      <c r="H50">
        <v>-315.5611989952003</v>
      </c>
      <c r="I50">
        <v>59.243470631313201</v>
      </c>
      <c r="J50">
        <v>31.276166484200601</v>
      </c>
      <c r="K50">
        <v>10.390712700943499</v>
      </c>
      <c r="L50">
        <v>1.5382952280279679E-4</v>
      </c>
      <c r="M50">
        <v>1.740727477975615E-5</v>
      </c>
      <c r="N50" s="1">
        <v>7.9880563820678096E-7</v>
      </c>
      <c r="O50" s="1">
        <v>2.1401967750051501E-8</v>
      </c>
      <c r="P50" s="1">
        <v>-1.0898054651958801E-7</v>
      </c>
      <c r="Q50">
        <v>70.411993097662005</v>
      </c>
      <c r="R50">
        <v>0.150440269474125</v>
      </c>
      <c r="S50">
        <v>13.840976767872601</v>
      </c>
      <c r="T50">
        <v>0.228315539783812</v>
      </c>
      <c r="V50">
        <v>0.55202652988408196</v>
      </c>
      <c r="W50">
        <v>0.11640843749688499</v>
      </c>
      <c r="X50">
        <v>0.14396597469964201</v>
      </c>
      <c r="AA50">
        <v>0.756330671290391</v>
      </c>
      <c r="AB50">
        <v>2.9003782033434198</v>
      </c>
      <c r="AC50">
        <v>4.7676959303871103</v>
      </c>
      <c r="AD50">
        <v>0.17332473413766</v>
      </c>
      <c r="AE50">
        <v>5.95814384396816</v>
      </c>
    </row>
    <row r="51" spans="1:31" x14ac:dyDescent="0.2">
      <c r="A51">
        <v>50</v>
      </c>
      <c r="B51">
        <v>736</v>
      </c>
      <c r="C51">
        <v>260</v>
      </c>
      <c r="D51">
        <v>0.30302779566962401</v>
      </c>
      <c r="E51">
        <v>17.561515070164901</v>
      </c>
      <c r="F51">
        <v>2.2250294860982001</v>
      </c>
      <c r="G51">
        <v>-285.71739069388047</v>
      </c>
      <c r="H51">
        <v>-240.35100274215617</v>
      </c>
      <c r="I51">
        <v>44.955049251077</v>
      </c>
      <c r="J51">
        <v>23.823756708126101</v>
      </c>
      <c r="K51">
        <v>7.8927111662509599</v>
      </c>
      <c r="L51">
        <v>1.5337357479377277E-4</v>
      </c>
      <c r="M51">
        <v>1.7391375147568819E-5</v>
      </c>
      <c r="N51" s="1">
        <v>6.06482278550677E-7</v>
      </c>
      <c r="O51" s="1">
        <v>1.6187751945819199E-8</v>
      </c>
      <c r="P51" s="1">
        <v>-8.2062233275025399E-8</v>
      </c>
      <c r="Q51">
        <v>69.989093345674803</v>
      </c>
      <c r="R51">
        <v>0.150313456933066</v>
      </c>
      <c r="S51">
        <v>14.365354786082699</v>
      </c>
      <c r="T51">
        <v>0.22081016202585901</v>
      </c>
      <c r="V51">
        <v>0.53906367516123399</v>
      </c>
      <c r="W51">
        <v>0.15213632403528499</v>
      </c>
      <c r="X51">
        <v>0.142313579581063</v>
      </c>
      <c r="AA51">
        <v>0.77680750947249</v>
      </c>
      <c r="AB51">
        <v>2.7075781851994001</v>
      </c>
      <c r="AC51">
        <v>4.7976559527258997</v>
      </c>
      <c r="AD51">
        <v>0.227770780824506</v>
      </c>
      <c r="AE51">
        <v>5.9311022422836404</v>
      </c>
    </row>
    <row r="52" spans="1:31" x14ac:dyDescent="0.2">
      <c r="A52">
        <v>51</v>
      </c>
      <c r="B52">
        <v>734</v>
      </c>
      <c r="C52">
        <v>260</v>
      </c>
      <c r="D52">
        <v>0.30150474110112602</v>
      </c>
      <c r="E52">
        <v>14.6078030816608</v>
      </c>
      <c r="F52">
        <v>2.2284132691898</v>
      </c>
      <c r="G52">
        <v>-237.66111358760094</v>
      </c>
      <c r="H52">
        <v>-200.09003655553377</v>
      </c>
      <c r="I52">
        <v>37.304350922967899</v>
      </c>
      <c r="J52">
        <v>19.834932772688799</v>
      </c>
      <c r="K52">
        <v>6.5552486532140399</v>
      </c>
      <c r="L52">
        <v>1.530653752787391E-4</v>
      </c>
      <c r="M52">
        <v>1.7382187726940513E-5</v>
      </c>
      <c r="N52" s="1">
        <v>5.0409748192969896E-7</v>
      </c>
      <c r="O52" s="1">
        <v>1.34030832613355E-8</v>
      </c>
      <c r="P52" s="1">
        <v>-6.7711140861612404E-8</v>
      </c>
      <c r="Q52">
        <v>69.621168889319094</v>
      </c>
      <c r="R52">
        <v>0.149728051473141</v>
      </c>
      <c r="S52">
        <v>14.812247862693299</v>
      </c>
      <c r="T52">
        <v>0.214537519807218</v>
      </c>
      <c r="V52">
        <v>0.52758321456497403</v>
      </c>
      <c r="W52">
        <v>0.18205216267836499</v>
      </c>
      <c r="X52">
        <v>0.140629919340405</v>
      </c>
      <c r="AA52">
        <v>0.79676464978253003</v>
      </c>
      <c r="AB52">
        <v>2.5533198851638299</v>
      </c>
      <c r="AC52">
        <v>4.8149613748532998</v>
      </c>
      <c r="AD52">
        <v>0.27382625420339701</v>
      </c>
      <c r="AE52">
        <v>5.9131802161202502</v>
      </c>
    </row>
    <row r="53" spans="1:31" x14ac:dyDescent="0.2">
      <c r="A53">
        <v>52</v>
      </c>
      <c r="B53">
        <v>732</v>
      </c>
      <c r="C53">
        <v>260</v>
      </c>
      <c r="D53">
        <v>0.29997562552852802</v>
      </c>
      <c r="E53">
        <v>12.7127707797294</v>
      </c>
      <c r="F53">
        <v>2.2314057277577102</v>
      </c>
      <c r="G53">
        <v>-206.82761515952117</v>
      </c>
      <c r="H53">
        <v>-174.26495498303336</v>
      </c>
      <c r="I53">
        <v>32.395821694759803</v>
      </c>
      <c r="J53">
        <v>17.2767065684667</v>
      </c>
      <c r="K53">
        <v>5.6972027191595602</v>
      </c>
      <c r="L53">
        <v>1.5285185132144849E-4</v>
      </c>
      <c r="M53">
        <v>1.7377404364124385E-5</v>
      </c>
      <c r="N53" s="1">
        <v>4.3880046884195402E-7</v>
      </c>
      <c r="O53" s="1">
        <v>1.1621364967138501E-8</v>
      </c>
      <c r="P53" s="1">
        <v>-5.8545212496011503E-8</v>
      </c>
      <c r="Q53">
        <v>69.287839154165496</v>
      </c>
      <c r="R53">
        <v>0.14884766026851101</v>
      </c>
      <c r="S53">
        <v>15.210253060906</v>
      </c>
      <c r="T53">
        <v>0.20905550387976199</v>
      </c>
      <c r="V53">
        <v>0.51708390813099603</v>
      </c>
      <c r="W53">
        <v>0.208329676054574</v>
      </c>
      <c r="X53">
        <v>0.13892773135084099</v>
      </c>
      <c r="AA53">
        <v>0.81629216019527495</v>
      </c>
      <c r="AB53">
        <v>2.4235543821802499</v>
      </c>
      <c r="AC53">
        <v>4.8240746552339999</v>
      </c>
      <c r="AD53">
        <v>0.31464423211106601</v>
      </c>
      <c r="AE53">
        <v>5.90109787552315</v>
      </c>
    </row>
    <row r="54" spans="1:31" x14ac:dyDescent="0.2">
      <c r="A54">
        <v>53</v>
      </c>
      <c r="B54">
        <v>730</v>
      </c>
      <c r="C54">
        <v>260</v>
      </c>
      <c r="D54">
        <v>0.29844041269999899</v>
      </c>
      <c r="E54">
        <v>11.3694197072408</v>
      </c>
      <c r="F54">
        <v>2.2341228639011899</v>
      </c>
      <c r="G54">
        <v>-184.9691593608718</v>
      </c>
      <c r="H54">
        <v>-155.96175663876426</v>
      </c>
      <c r="I54">
        <v>28.916316325681599</v>
      </c>
      <c r="J54">
        <v>15.4638704046325</v>
      </c>
      <c r="K54">
        <v>5.0889858794013598</v>
      </c>
      <c r="L54">
        <v>1.5270546398002844E-4</v>
      </c>
      <c r="M54">
        <v>1.7375792370305812E-5</v>
      </c>
      <c r="N54" s="1">
        <v>3.9279304679412801E-7</v>
      </c>
      <c r="O54" s="1">
        <v>1.03618723216165E-8</v>
      </c>
      <c r="P54" s="1">
        <v>-5.2077670404225502E-8</v>
      </c>
      <c r="Q54">
        <v>68.978768360850296</v>
      </c>
      <c r="R54">
        <v>0.14776062766541001</v>
      </c>
      <c r="S54">
        <v>15.5738611671689</v>
      </c>
      <c r="T54">
        <v>0.20413631434402099</v>
      </c>
      <c r="V54">
        <v>0.50730178285053396</v>
      </c>
      <c r="W54">
        <v>0.23206825626334701</v>
      </c>
      <c r="X54">
        <v>0.13721347969292999</v>
      </c>
      <c r="AA54">
        <v>0.83550989793931596</v>
      </c>
      <c r="AB54">
        <v>2.3110449038943002</v>
      </c>
      <c r="AC54">
        <v>4.8273556032635998</v>
      </c>
      <c r="AD54">
        <v>0.351820946274364</v>
      </c>
      <c r="AE54">
        <v>5.8931586597928503</v>
      </c>
    </row>
    <row r="55" spans="1:31" x14ac:dyDescent="0.2">
      <c r="A55">
        <v>54</v>
      </c>
      <c r="B55">
        <v>728</v>
      </c>
      <c r="C55">
        <v>260</v>
      </c>
      <c r="D55">
        <v>0.29689906607401501</v>
      </c>
      <c r="E55">
        <v>10.354721233135001</v>
      </c>
      <c r="F55">
        <v>2.2366334119997</v>
      </c>
      <c r="G55">
        <v>-168.45750202679571</v>
      </c>
      <c r="H55">
        <v>-142.1391116961683</v>
      </c>
      <c r="I55">
        <v>26.288158947837399</v>
      </c>
      <c r="J55">
        <v>14.0950218478841</v>
      </c>
      <c r="K55">
        <v>4.6296014257773201</v>
      </c>
      <c r="L55">
        <v>1.526098622407945E-4</v>
      </c>
      <c r="M55">
        <v>1.7376608618369241E-5</v>
      </c>
      <c r="N55" s="1">
        <v>3.5825394681101201E-7</v>
      </c>
      <c r="O55" s="1">
        <v>9.4132193637373401E-9</v>
      </c>
      <c r="P55" s="1">
        <v>-4.7215387289658901E-8</v>
      </c>
      <c r="Q55">
        <v>68.687853321160006</v>
      </c>
      <c r="R55">
        <v>0.14652117379880999</v>
      </c>
      <c r="S55">
        <v>15.911610467805801</v>
      </c>
      <c r="T55">
        <v>0.199644462521888</v>
      </c>
      <c r="V55">
        <v>0.49807757445894202</v>
      </c>
      <c r="W55">
        <v>0.25391555076697597</v>
      </c>
      <c r="X55">
        <v>0.13549095007074199</v>
      </c>
      <c r="AA55">
        <v>0.85451073943714495</v>
      </c>
      <c r="AB55">
        <v>2.2114936088367698</v>
      </c>
      <c r="AC55">
        <v>4.8262280408096201</v>
      </c>
      <c r="AD55">
        <v>0.38629721746546603</v>
      </c>
      <c r="AE55">
        <v>5.8883568928677104</v>
      </c>
    </row>
    <row r="56" spans="1:31" x14ac:dyDescent="0.2">
      <c r="A56">
        <v>55</v>
      </c>
      <c r="B56">
        <v>760</v>
      </c>
      <c r="C56">
        <v>240</v>
      </c>
      <c r="D56">
        <v>0.34213860523641398</v>
      </c>
      <c r="E56">
        <v>106.03767296407</v>
      </c>
      <c r="F56">
        <v>2.20160483269684</v>
      </c>
      <c r="G56">
        <v>-1731.2731592245502</v>
      </c>
      <c r="H56">
        <v>-1447.3916641373251</v>
      </c>
      <c r="I56">
        <v>274.772777512679</v>
      </c>
      <c r="J56">
        <v>143.074517865595</v>
      </c>
      <c r="K56">
        <v>48.163808231734301</v>
      </c>
      <c r="L56">
        <v>1.5210031980920032E-4</v>
      </c>
      <c r="M56">
        <v>1.7642667577516448E-5</v>
      </c>
      <c r="N56" s="1">
        <v>3.4988195179610201E-6</v>
      </c>
      <c r="O56" s="1">
        <v>9.9106174671242505E-8</v>
      </c>
      <c r="P56" s="1">
        <v>-5.0210806267099499E-7</v>
      </c>
      <c r="Q56">
        <v>72.398797384048095</v>
      </c>
      <c r="R56">
        <v>9.0533861519696293E-2</v>
      </c>
      <c r="S56">
        <v>12.2220713051593</v>
      </c>
      <c r="T56">
        <v>0.23456325858832799</v>
      </c>
      <c r="V56">
        <v>0.57167807476681998</v>
      </c>
      <c r="W56">
        <v>2.54626485524144E-2</v>
      </c>
      <c r="X56">
        <v>0.113167326899621</v>
      </c>
      <c r="AA56">
        <v>0.74501823542249801</v>
      </c>
      <c r="AB56">
        <v>3.3478667541137499</v>
      </c>
      <c r="AC56">
        <v>4.4229563596601196</v>
      </c>
      <c r="AD56">
        <v>3.7722442299872802E-2</v>
      </c>
      <c r="AE56">
        <v>5.7901623489693499</v>
      </c>
    </row>
    <row r="57" spans="1:31" x14ac:dyDescent="0.2">
      <c r="A57">
        <v>56</v>
      </c>
      <c r="B57">
        <v>758</v>
      </c>
      <c r="C57">
        <v>240</v>
      </c>
      <c r="D57">
        <v>0.34072685836202499</v>
      </c>
      <c r="E57">
        <v>105.858744791088</v>
      </c>
      <c r="F57">
        <v>2.2024329143065202</v>
      </c>
      <c r="G57">
        <v>-1727.7454268506146</v>
      </c>
      <c r="H57">
        <v>-1445.1655162670638</v>
      </c>
      <c r="I57">
        <v>274.04345690108198</v>
      </c>
      <c r="J57">
        <v>142.82180289563999</v>
      </c>
      <c r="K57">
        <v>48.064458219568401</v>
      </c>
      <c r="L57">
        <v>1.5204595788742345E-4</v>
      </c>
      <c r="M57">
        <v>1.762516521197897E-5</v>
      </c>
      <c r="N57" s="1">
        <v>3.5008539294401199E-6</v>
      </c>
      <c r="O57" s="1">
        <v>9.8778448897213505E-8</v>
      </c>
      <c r="P57" s="1">
        <v>-5.0123128708644803E-7</v>
      </c>
      <c r="Q57">
        <v>72.362162153296396</v>
      </c>
      <c r="R57">
        <v>9.0686886746537604E-2</v>
      </c>
      <c r="S57">
        <v>12.2427297107835</v>
      </c>
      <c r="T57">
        <v>0.235762456420511</v>
      </c>
      <c r="V57">
        <v>0.57192205395951001</v>
      </c>
      <c r="W57">
        <v>2.5505686897463301E-2</v>
      </c>
      <c r="X57">
        <v>0.113358608433174</v>
      </c>
      <c r="AA57">
        <v>0.74627750551837702</v>
      </c>
      <c r="AB57">
        <v>3.3535254994813002</v>
      </c>
      <c r="AC57">
        <v>4.4304322795963804</v>
      </c>
      <c r="AD57">
        <v>3.77862028110557E-2</v>
      </c>
      <c r="AE57">
        <v>5.7898509560557097</v>
      </c>
    </row>
    <row r="58" spans="1:31" x14ac:dyDescent="0.2">
      <c r="A58">
        <v>57</v>
      </c>
      <c r="B58">
        <v>756</v>
      </c>
      <c r="C58">
        <v>240</v>
      </c>
      <c r="D58">
        <v>0.33930962444735902</v>
      </c>
      <c r="E58">
        <v>105.426052975904</v>
      </c>
      <c r="F58">
        <v>2.2034044285383101</v>
      </c>
      <c r="G58">
        <v>-1720.0135741237921</v>
      </c>
      <c r="H58">
        <v>-1439.3699346632955</v>
      </c>
      <c r="I58">
        <v>272.69459210075797</v>
      </c>
      <c r="J58">
        <v>142.253632768768</v>
      </c>
      <c r="K58">
        <v>47.8468916602123</v>
      </c>
      <c r="L58">
        <v>1.5210747756359673E-4</v>
      </c>
      <c r="M58">
        <v>1.7608788720680525E-5</v>
      </c>
      <c r="N58" s="1">
        <v>3.4959258523860001E-6</v>
      </c>
      <c r="O58" s="1">
        <v>9.8253919797884004E-8</v>
      </c>
      <c r="P58" s="1">
        <v>-4.9972019215423997E-7</v>
      </c>
      <c r="Q58">
        <v>72.270268052038304</v>
      </c>
      <c r="R58">
        <v>9.10590857669131E-2</v>
      </c>
      <c r="S58">
        <v>12.2929765785345</v>
      </c>
      <c r="T58">
        <v>0.23763188947153699</v>
      </c>
      <c r="V58">
        <v>0.57345788821200505</v>
      </c>
      <c r="W58">
        <v>2.56103678719438E-2</v>
      </c>
      <c r="X58">
        <v>0.11382385720864401</v>
      </c>
      <c r="AA58">
        <v>0.74934039329021496</v>
      </c>
      <c r="AB58">
        <v>3.3672891090889299</v>
      </c>
      <c r="AC58">
        <v>4.4486157525709498</v>
      </c>
      <c r="AD58">
        <v>3.7941285736211597E-2</v>
      </c>
      <c r="AE58">
        <v>5.7919857402097596</v>
      </c>
    </row>
    <row r="59" spans="1:31" x14ac:dyDescent="0.2">
      <c r="A59">
        <v>58</v>
      </c>
      <c r="B59">
        <v>754</v>
      </c>
      <c r="C59">
        <v>240</v>
      </c>
      <c r="D59">
        <v>0.33788687144039198</v>
      </c>
      <c r="E59">
        <v>104.997521952357</v>
      </c>
      <c r="F59">
        <v>2.20437637575594</v>
      </c>
      <c r="G59">
        <v>-1712.3555974164651</v>
      </c>
      <c r="H59">
        <v>-1433.6305456824982</v>
      </c>
      <c r="I59">
        <v>271.35769043855998</v>
      </c>
      <c r="J59">
        <v>141.69089054207799</v>
      </c>
      <c r="K59">
        <v>47.631395031781103</v>
      </c>
      <c r="L59">
        <v>1.5216874963518243E-4</v>
      </c>
      <c r="M59">
        <v>1.7592377192047958E-5</v>
      </c>
      <c r="N59" s="1">
        <v>3.4910742594743501E-6</v>
      </c>
      <c r="O59" s="1">
        <v>9.7734380645989593E-8</v>
      </c>
      <c r="P59" s="1">
        <v>-4.9822498046682096E-7</v>
      </c>
      <c r="Q59">
        <v>72.178491060822694</v>
      </c>
      <c r="R59">
        <v>9.1430729235267905E-2</v>
      </c>
      <c r="S59">
        <v>12.343148446763299</v>
      </c>
      <c r="T59">
        <v>0.239514380930754</v>
      </c>
      <c r="V59">
        <v>0.57497716915475106</v>
      </c>
      <c r="W59">
        <v>2.5714892597418298E-2</v>
      </c>
      <c r="X59">
        <v>0.11428841154409</v>
      </c>
      <c r="AA59">
        <v>0.75239870933188002</v>
      </c>
      <c r="AB59">
        <v>3.3810321748457701</v>
      </c>
      <c r="AC59">
        <v>4.4667720845144503</v>
      </c>
      <c r="AD59">
        <v>3.8096137181357903E-2</v>
      </c>
      <c r="AE59">
        <v>5.7941358030782002</v>
      </c>
    </row>
    <row r="60" spans="1:31" x14ac:dyDescent="0.2">
      <c r="A60">
        <v>59</v>
      </c>
      <c r="B60">
        <v>752</v>
      </c>
      <c r="C60">
        <v>240</v>
      </c>
      <c r="D60">
        <v>0.33645856703896998</v>
      </c>
      <c r="E60">
        <v>104.573086718916</v>
      </c>
      <c r="F60">
        <v>2.2053487700060002</v>
      </c>
      <c r="G60">
        <v>-1704.7703497779601</v>
      </c>
      <c r="H60">
        <v>-1427.9464691763601</v>
      </c>
      <c r="I60">
        <v>270.03256167546101</v>
      </c>
      <c r="J60">
        <v>141.133491382557</v>
      </c>
      <c r="K60">
        <v>47.417935947896297</v>
      </c>
      <c r="L60">
        <v>1.5222976909160722E-4</v>
      </c>
      <c r="M60">
        <v>1.7575930055429668E-5</v>
      </c>
      <c r="N60" s="1">
        <v>3.4862978044062201E-6</v>
      </c>
      <c r="O60" s="1">
        <v>9.7219749544377099E-8</v>
      </c>
      <c r="P60" s="1">
        <v>-4.96745377482094E-7</v>
      </c>
      <c r="Q60">
        <v>72.086830033529296</v>
      </c>
      <c r="R60">
        <v>9.1801823023585902E-2</v>
      </c>
      <c r="S60">
        <v>12.393246108186499</v>
      </c>
      <c r="T60">
        <v>0.241410084754316</v>
      </c>
      <c r="V60">
        <v>0.57647980902467399</v>
      </c>
      <c r="W60">
        <v>2.58192627253826E-2</v>
      </c>
      <c r="X60">
        <v>0.114752278779489</v>
      </c>
      <c r="AA60">
        <v>0.75545250196491198</v>
      </c>
      <c r="AB60">
        <v>3.3947549138929398</v>
      </c>
      <c r="AC60">
        <v>4.4849015622978801</v>
      </c>
      <c r="AD60">
        <v>3.8250759593156498E-2</v>
      </c>
      <c r="AE60">
        <v>5.7963008622277101</v>
      </c>
    </row>
    <row r="61" spans="1:31" x14ac:dyDescent="0.2">
      <c r="A61">
        <v>60</v>
      </c>
      <c r="B61">
        <v>750</v>
      </c>
      <c r="C61">
        <v>240</v>
      </c>
      <c r="D61">
        <v>0.335024678688366</v>
      </c>
      <c r="E61">
        <v>104.152683638017</v>
      </c>
      <c r="F61">
        <v>2.2063216253892302</v>
      </c>
      <c r="G61">
        <v>-1697.2567082791907</v>
      </c>
      <c r="H61">
        <v>-1422.3168434815605</v>
      </c>
      <c r="I61">
        <v>268.71901949629103</v>
      </c>
      <c r="J61">
        <v>140.581352231621</v>
      </c>
      <c r="K61">
        <v>47.206482699295002</v>
      </c>
      <c r="L61">
        <v>1.5229053082646446E-4</v>
      </c>
      <c r="M61">
        <v>1.7559446735515367E-5</v>
      </c>
      <c r="N61" s="1">
        <v>3.4815951640135899E-6</v>
      </c>
      <c r="O61" s="1">
        <v>9.6709946232707505E-8</v>
      </c>
      <c r="P61" s="1">
        <v>-4.9528111376610905E-7</v>
      </c>
      <c r="Q61">
        <v>71.995283841844</v>
      </c>
      <c r="R61">
        <v>9.2172372949744896E-2</v>
      </c>
      <c r="S61">
        <v>12.443270348218499</v>
      </c>
      <c r="T61">
        <v>0.243319156422519</v>
      </c>
      <c r="V61">
        <v>0.57796571821918397</v>
      </c>
      <c r="W61">
        <v>2.59234798921146E-2</v>
      </c>
      <c r="X61">
        <v>0.115215466187189</v>
      </c>
      <c r="AA61">
        <v>0.758501819065592</v>
      </c>
      <c r="AB61">
        <v>3.4084575413706801</v>
      </c>
      <c r="AC61">
        <v>4.5030044701487197</v>
      </c>
      <c r="AD61">
        <v>3.8405155395721903E-2</v>
      </c>
      <c r="AE61">
        <v>5.79848063028592</v>
      </c>
    </row>
    <row r="62" spans="1:31" x14ac:dyDescent="0.2">
      <c r="A62">
        <v>61</v>
      </c>
      <c r="B62">
        <v>748</v>
      </c>
      <c r="C62">
        <v>240</v>
      </c>
      <c r="D62">
        <v>0.33358517357881101</v>
      </c>
      <c r="E62">
        <v>103.736250400141</v>
      </c>
      <c r="F62">
        <v>2.20729495606607</v>
      </c>
      <c r="G62">
        <v>-1689.8135733796776</v>
      </c>
      <c r="H62">
        <v>-1416.7408249331415</v>
      </c>
      <c r="I62">
        <v>267.41688140482302</v>
      </c>
      <c r="J62">
        <v>140.03439175806901</v>
      </c>
      <c r="K62">
        <v>46.997004235910701</v>
      </c>
      <c r="L62">
        <v>1.5235102963404666E-4</v>
      </c>
      <c r="M62">
        <v>1.7542926652090536E-5</v>
      </c>
      <c r="N62" s="1">
        <v>3.4769650374500299E-6</v>
      </c>
      <c r="O62" s="1">
        <v>9.6204892041456306E-8</v>
      </c>
      <c r="P62" s="1">
        <v>-4.9383192483454304E-7</v>
      </c>
      <c r="Q62">
        <v>71.903851375273504</v>
      </c>
      <c r="R62">
        <v>9.2542384778417294E-2</v>
      </c>
      <c r="S62">
        <v>12.493221945090101</v>
      </c>
      <c r="T62">
        <v>0.245241752954724</v>
      </c>
      <c r="V62">
        <v>0.57943480529088998</v>
      </c>
      <c r="W62">
        <v>2.6027545718928499E-2</v>
      </c>
      <c r="X62">
        <v>0.115677980973032</v>
      </c>
      <c r="AA62">
        <v>0.76154670807237002</v>
      </c>
      <c r="AB62">
        <v>3.42214027045177</v>
      </c>
      <c r="AC62">
        <v>4.5210810896952403</v>
      </c>
      <c r="AD62">
        <v>3.8559326991000502E-2</v>
      </c>
      <c r="AE62">
        <v>5.8006748147099199</v>
      </c>
    </row>
    <row r="63" spans="1:31" x14ac:dyDescent="0.2">
      <c r="A63">
        <v>62</v>
      </c>
      <c r="B63">
        <v>746</v>
      </c>
      <c r="C63">
        <v>240</v>
      </c>
      <c r="D63">
        <v>0.33214001864298798</v>
      </c>
      <c r="E63">
        <v>100.935197717102</v>
      </c>
      <c r="F63">
        <v>2.2091071491070902</v>
      </c>
      <c r="G63">
        <v>-1642.7642042680966</v>
      </c>
      <c r="H63">
        <v>-1378.0867469136463</v>
      </c>
      <c r="I63">
        <v>259.70412339150198</v>
      </c>
      <c r="J63">
        <v>136.186197167578</v>
      </c>
      <c r="K63">
        <v>45.690494351031901</v>
      </c>
      <c r="L63">
        <v>1.5191480975817781E-4</v>
      </c>
      <c r="M63">
        <v>1.7480812127029958E-5</v>
      </c>
      <c r="N63" s="1">
        <v>3.3746276662606799E-6</v>
      </c>
      <c r="O63" s="1">
        <v>9.3048962386628503E-8</v>
      </c>
      <c r="P63" s="1">
        <v>-4.7881612625009296E-7</v>
      </c>
      <c r="Q63">
        <v>71.833126918423801</v>
      </c>
      <c r="R63">
        <v>9.5110528508665707E-2</v>
      </c>
      <c r="S63">
        <v>12.518455325002799</v>
      </c>
      <c r="T63">
        <v>0.25300595878524301</v>
      </c>
      <c r="V63">
        <v>0.59465223005697398</v>
      </c>
      <c r="W63">
        <v>2.67498361430599E-2</v>
      </c>
      <c r="X63">
        <v>0.11888816063584901</v>
      </c>
      <c r="AA63">
        <v>0.73705206560683201</v>
      </c>
      <c r="AB63">
        <v>3.38804884256905</v>
      </c>
      <c r="AC63">
        <v>4.6223467725977399</v>
      </c>
      <c r="AD63">
        <v>3.9629386878600403E-2</v>
      </c>
      <c r="AE63">
        <v>5.7729339747912203</v>
      </c>
    </row>
    <row r="64" spans="1:31" x14ac:dyDescent="0.2">
      <c r="A64">
        <v>63</v>
      </c>
      <c r="B64">
        <v>744</v>
      </c>
      <c r="C64">
        <v>240</v>
      </c>
      <c r="D64">
        <v>0.33068918055350899</v>
      </c>
      <c r="E64">
        <v>60.697249879372997</v>
      </c>
      <c r="F64">
        <v>2.2129648180436501</v>
      </c>
      <c r="G64">
        <v>-987.17841975009628</v>
      </c>
      <c r="H64">
        <v>-828.81874033387703</v>
      </c>
      <c r="I64">
        <v>155.68960272940899</v>
      </c>
      <c r="J64">
        <v>81.893602474941204</v>
      </c>
      <c r="K64">
        <v>27.428022978255701</v>
      </c>
      <c r="L64">
        <v>1.5107225944327685E-4</v>
      </c>
      <c r="M64">
        <v>1.7400391370851589E-5</v>
      </c>
      <c r="N64" s="1">
        <v>2.0151366165666301E-6</v>
      </c>
      <c r="O64" s="1">
        <v>5.5382592075158599E-8</v>
      </c>
      <c r="P64" s="1">
        <v>-2.8471738089591199E-7</v>
      </c>
      <c r="Q64">
        <v>71.595960255509397</v>
      </c>
      <c r="R64">
        <v>0.119066519799416</v>
      </c>
      <c r="S64">
        <v>12.758241820086599</v>
      </c>
      <c r="T64">
        <v>0.25329995935350702</v>
      </c>
      <c r="V64">
        <v>0.59653518445255305</v>
      </c>
      <c r="W64">
        <v>4.4483069749704E-2</v>
      </c>
      <c r="X64">
        <v>0.14558899969887301</v>
      </c>
      <c r="AA64">
        <v>0.72242067518678899</v>
      </c>
      <c r="AB64">
        <v>3.2394237959582899</v>
      </c>
      <c r="AC64">
        <v>4.7396094051476299</v>
      </c>
      <c r="AD64">
        <v>6.5900844073581002E-2</v>
      </c>
      <c r="AE64">
        <v>5.7194694709835598</v>
      </c>
    </row>
    <row r="65" spans="1:31" x14ac:dyDescent="0.2">
      <c r="A65">
        <v>64</v>
      </c>
      <c r="B65">
        <v>742</v>
      </c>
      <c r="C65">
        <v>240</v>
      </c>
      <c r="D65">
        <v>0.32923262572033701</v>
      </c>
      <c r="E65">
        <v>27.973232307012999</v>
      </c>
      <c r="F65">
        <v>2.2189813276828501</v>
      </c>
      <c r="G65">
        <v>-455.02770501095762</v>
      </c>
      <c r="H65">
        <v>-382.50460408146898</v>
      </c>
      <c r="I65">
        <v>71.440773215277005</v>
      </c>
      <c r="J65">
        <v>37.7844992017287</v>
      </c>
      <c r="K65">
        <v>12.606339655964399</v>
      </c>
      <c r="L65">
        <v>1.4997384100312095E-4</v>
      </c>
      <c r="M65">
        <v>1.7343876728275983E-5</v>
      </c>
      <c r="N65" s="1">
        <v>9.2016977590416695E-7</v>
      </c>
      <c r="O65" s="1">
        <v>2.52055491503229E-8</v>
      </c>
      <c r="P65" s="1">
        <v>-1.2856591826583799E-7</v>
      </c>
      <c r="Q65">
        <v>71.032341585670196</v>
      </c>
      <c r="R65">
        <v>0.15881805082675399</v>
      </c>
      <c r="S65">
        <v>13.490213279243299</v>
      </c>
      <c r="T65">
        <v>0.229406054645759</v>
      </c>
      <c r="V65">
        <v>0.54877627983399002</v>
      </c>
      <c r="W65">
        <v>9.6520844297359604E-2</v>
      </c>
      <c r="X65">
        <v>0.15267664095086</v>
      </c>
      <c r="AA65">
        <v>0.74552352001493805</v>
      </c>
      <c r="AB65">
        <v>2.9225274337399498</v>
      </c>
      <c r="AC65">
        <v>4.8262162737904601</v>
      </c>
      <c r="AD65">
        <v>0.14299384340334501</v>
      </c>
      <c r="AE65">
        <v>5.6539861935829103</v>
      </c>
    </row>
    <row r="66" spans="1:31" x14ac:dyDescent="0.2">
      <c r="A66">
        <v>65</v>
      </c>
      <c r="B66">
        <v>740</v>
      </c>
      <c r="C66">
        <v>240</v>
      </c>
      <c r="D66">
        <v>0.32777032028821201</v>
      </c>
      <c r="E66">
        <v>19.801100398999498</v>
      </c>
      <c r="F66">
        <v>2.2233201517251402</v>
      </c>
      <c r="G66">
        <v>-322.09993149741371</v>
      </c>
      <c r="H66">
        <v>-271.02198888742254</v>
      </c>
      <c r="I66">
        <v>50.414985550008602</v>
      </c>
      <c r="J66">
        <v>26.774135545546301</v>
      </c>
      <c r="K66">
        <v>8.9060949605639106</v>
      </c>
      <c r="L66">
        <v>1.4942149661026125E-4</v>
      </c>
      <c r="M66">
        <v>1.7322817968964705E-5</v>
      </c>
      <c r="N66" s="1">
        <v>6.4918052448855499E-7</v>
      </c>
      <c r="O66" s="1">
        <v>1.7717273657114998E-8</v>
      </c>
      <c r="P66" s="1">
        <v>-8.9897163841981504E-8</v>
      </c>
      <c r="Q66">
        <v>70.576652258007002</v>
      </c>
      <c r="R66">
        <v>0.15967899303970801</v>
      </c>
      <c r="S66">
        <v>14.058503095564699</v>
      </c>
      <c r="T66">
        <v>0.22098698343876699</v>
      </c>
      <c r="V66">
        <v>0.534555052310836</v>
      </c>
      <c r="W66">
        <v>0.13554710003093401</v>
      </c>
      <c r="X66">
        <v>0.151189829022223</v>
      </c>
      <c r="AA66">
        <v>0.76678452443275902</v>
      </c>
      <c r="AB66">
        <v>2.7050713723057802</v>
      </c>
      <c r="AC66">
        <v>4.8666830601452098</v>
      </c>
      <c r="AD66">
        <v>0.20200897522817801</v>
      </c>
      <c r="AE66">
        <v>5.6223387564738703</v>
      </c>
    </row>
    <row r="67" spans="1:31" x14ac:dyDescent="0.2">
      <c r="A67">
        <v>66</v>
      </c>
      <c r="B67">
        <v>738</v>
      </c>
      <c r="C67">
        <v>240</v>
      </c>
      <c r="D67">
        <v>0.326302230134007</v>
      </c>
      <c r="E67">
        <v>15.977874074282401</v>
      </c>
      <c r="F67">
        <v>2.2268610737547299</v>
      </c>
      <c r="G67">
        <v>-259.90793285324611</v>
      </c>
      <c r="H67">
        <v>-218.87723125909395</v>
      </c>
      <c r="I67">
        <v>40.5782540613679</v>
      </c>
      <c r="J67">
        <v>21.624886145461399</v>
      </c>
      <c r="K67">
        <v>7.1750655048013297</v>
      </c>
      <c r="L67">
        <v>1.4906221229704273E-4</v>
      </c>
      <c r="M67">
        <v>1.7311050084088275E-5</v>
      </c>
      <c r="N67" s="1">
        <v>5.23147845948217E-7</v>
      </c>
      <c r="O67" s="1">
        <v>1.4223656265572E-8</v>
      </c>
      <c r="P67" s="1">
        <v>-7.1886941005747196E-8</v>
      </c>
      <c r="Q67">
        <v>70.191921334011894</v>
      </c>
      <c r="R67">
        <v>0.159217536316416</v>
      </c>
      <c r="S67">
        <v>14.528154090334301</v>
      </c>
      <c r="T67">
        <v>0.214350937083754</v>
      </c>
      <c r="V67">
        <v>0.52272461699403105</v>
      </c>
      <c r="W67">
        <v>0.16714008469483499</v>
      </c>
      <c r="X67">
        <v>0.14951152573061099</v>
      </c>
      <c r="AA67">
        <v>0.78652114470804402</v>
      </c>
      <c r="AB67">
        <v>2.53845067046651</v>
      </c>
      <c r="AC67">
        <v>4.8894443594060801</v>
      </c>
      <c r="AD67">
        <v>0.25034619633347599</v>
      </c>
      <c r="AE67">
        <v>5.6022175039198903</v>
      </c>
    </row>
    <row r="68" spans="1:31" x14ac:dyDescent="0.2">
      <c r="A68">
        <v>67</v>
      </c>
      <c r="B68">
        <v>736</v>
      </c>
      <c r="C68">
        <v>240</v>
      </c>
      <c r="D68">
        <v>0.32482832086409602</v>
      </c>
      <c r="E68">
        <v>13.6779177707585</v>
      </c>
      <c r="F68">
        <v>2.2299398947625999</v>
      </c>
      <c r="G68">
        <v>-222.49279991166307</v>
      </c>
      <c r="H68">
        <v>-187.51515222351949</v>
      </c>
      <c r="I68">
        <v>34.660504075849502</v>
      </c>
      <c r="J68">
        <v>18.528289569149699</v>
      </c>
      <c r="K68">
        <v>6.1337607362796698</v>
      </c>
      <c r="L68">
        <v>1.4881300428392478E-4</v>
      </c>
      <c r="M68">
        <v>1.7304499153353537E-5</v>
      </c>
      <c r="N68" s="1">
        <v>4.47772384753584E-7</v>
      </c>
      <c r="O68" s="1">
        <v>1.21275348338665E-8</v>
      </c>
      <c r="P68" s="1">
        <v>-6.1099543304533803E-8</v>
      </c>
      <c r="Q68">
        <v>69.849069845266001</v>
      </c>
      <c r="R68">
        <v>0.15838044170667501</v>
      </c>
      <c r="S68">
        <v>14.9396637426397</v>
      </c>
      <c r="T68">
        <v>0.20865123450632</v>
      </c>
      <c r="V68">
        <v>0.51204674012604701</v>
      </c>
      <c r="W68">
        <v>0.194390409568902</v>
      </c>
      <c r="X68">
        <v>0.14780748061724699</v>
      </c>
      <c r="AA68">
        <v>0.80548449382225296</v>
      </c>
      <c r="AB68">
        <v>2.4014124442786402</v>
      </c>
      <c r="AC68">
        <v>4.9019903704609904</v>
      </c>
      <c r="AD68">
        <v>0.29244217336522299</v>
      </c>
      <c r="AE68">
        <v>5.5886606236418999</v>
      </c>
    </row>
    <row r="69" spans="1:31" x14ac:dyDescent="0.2">
      <c r="A69">
        <v>68</v>
      </c>
      <c r="B69">
        <v>734</v>
      </c>
      <c r="C69">
        <v>240</v>
      </c>
      <c r="D69">
        <v>0.32334855781164801</v>
      </c>
      <c r="E69">
        <v>12.1077475535593</v>
      </c>
      <c r="F69">
        <v>2.23270875934102</v>
      </c>
      <c r="G69">
        <v>-196.94824155336389</v>
      </c>
      <c r="H69">
        <v>-166.10896879917627</v>
      </c>
      <c r="I69">
        <v>30.620337342191</v>
      </c>
      <c r="J69">
        <v>16.414968019797001</v>
      </c>
      <c r="K69">
        <v>5.4228960686896404</v>
      </c>
      <c r="L69">
        <v>1.4863759857800015E-4</v>
      </c>
      <c r="M69">
        <v>1.7301468346705465E-5</v>
      </c>
      <c r="N69" s="1">
        <v>3.9661674664131598E-7</v>
      </c>
      <c r="O69" s="1">
        <v>1.0700317953444199E-8</v>
      </c>
      <c r="P69" s="1">
        <v>-5.37673793347349E-8</v>
      </c>
      <c r="Q69">
        <v>69.534443642889698</v>
      </c>
      <c r="R69">
        <v>0.157293983743375</v>
      </c>
      <c r="S69">
        <v>15.311924362214</v>
      </c>
      <c r="T69">
        <v>0.203587801847843</v>
      </c>
      <c r="V69">
        <v>0.50216956175851701</v>
      </c>
      <c r="W69">
        <v>0.21872815519685901</v>
      </c>
      <c r="X69">
        <v>0.14608725098622699</v>
      </c>
      <c r="AA69">
        <v>0.82399680355929406</v>
      </c>
      <c r="AB69">
        <v>2.2842337897278799</v>
      </c>
      <c r="AC69">
        <v>4.9076554030434503</v>
      </c>
      <c r="AD69">
        <v>0.33036698050540397</v>
      </c>
      <c r="AE69">
        <v>5.5795122645272803</v>
      </c>
    </row>
    <row r="70" spans="1:31" x14ac:dyDescent="0.2">
      <c r="A70">
        <v>69</v>
      </c>
      <c r="B70">
        <v>732</v>
      </c>
      <c r="C70">
        <v>240</v>
      </c>
      <c r="D70">
        <v>0.32186290603392398</v>
      </c>
      <c r="E70">
        <v>10.9507441399565</v>
      </c>
      <c r="F70">
        <v>2.2352519299651199</v>
      </c>
      <c r="G70">
        <v>-178.12428666441991</v>
      </c>
      <c r="H70">
        <v>-150.33873693465361</v>
      </c>
      <c r="I70">
        <v>27.643187315093598</v>
      </c>
      <c r="J70">
        <v>14.8582472718926</v>
      </c>
      <c r="K70">
        <v>4.8991095782780096</v>
      </c>
      <c r="L70">
        <v>1.4851604822199062E-4</v>
      </c>
      <c r="M70">
        <v>1.7301024053626098E-5</v>
      </c>
      <c r="N70" s="1">
        <v>3.5914474769060501E-7</v>
      </c>
      <c r="O70" s="1">
        <v>9.6514491486231495E-9</v>
      </c>
      <c r="P70" s="1">
        <v>-4.8388499962003998E-8</v>
      </c>
      <c r="Q70">
        <v>69.240431469183093</v>
      </c>
      <c r="R70">
        <v>0.156029528910333</v>
      </c>
      <c r="S70">
        <v>15.655436919698699</v>
      </c>
      <c r="T70">
        <v>0.19899370883203901</v>
      </c>
      <c r="V70">
        <v>0.49289617913955602</v>
      </c>
      <c r="W70">
        <v>0.24094822647742301</v>
      </c>
      <c r="X70">
        <v>0.14435606395942599</v>
      </c>
      <c r="AA70">
        <v>0.84222765170099401</v>
      </c>
      <c r="AB70">
        <v>2.1815263596357801</v>
      </c>
      <c r="AC70">
        <v>4.9082950393665801</v>
      </c>
      <c r="AD70">
        <v>0.36527198050367099</v>
      </c>
      <c r="AE70">
        <v>5.5735868725923003</v>
      </c>
    </row>
    <row r="71" spans="1:31" x14ac:dyDescent="0.2">
      <c r="A71">
        <v>70</v>
      </c>
      <c r="B71">
        <v>760</v>
      </c>
      <c r="C71">
        <v>220</v>
      </c>
      <c r="D71">
        <v>0.36343270580264397</v>
      </c>
      <c r="E71">
        <v>105.721985751414</v>
      </c>
      <c r="F71">
        <v>2.20259081096627</v>
      </c>
      <c r="G71">
        <v>-1725.3573885854482</v>
      </c>
      <c r="H71">
        <v>-1444.2197768185979</v>
      </c>
      <c r="I71">
        <v>272.11693535967697</v>
      </c>
      <c r="J71">
        <v>142.35091612326599</v>
      </c>
      <c r="K71">
        <v>47.998922552952003</v>
      </c>
      <c r="L71">
        <v>1.4853642321136027E-4</v>
      </c>
      <c r="M71">
        <v>1.7572438282764608E-5</v>
      </c>
      <c r="N71" s="1">
        <v>3.3392148007737498E-6</v>
      </c>
      <c r="O71" s="1">
        <v>9.58566889532179E-8</v>
      </c>
      <c r="P71" s="1">
        <v>-4.8667403202535801E-7</v>
      </c>
      <c r="Q71">
        <v>72.614981126569404</v>
      </c>
      <c r="R71">
        <v>9.0804196797557801E-2</v>
      </c>
      <c r="S71">
        <v>12.258566567670799</v>
      </c>
      <c r="T71">
        <v>0.23754454891072299</v>
      </c>
      <c r="V71">
        <v>0.57133275066293598</v>
      </c>
      <c r="W71">
        <v>2.5538680349312899E-2</v>
      </c>
      <c r="X71">
        <v>0.113505245996948</v>
      </c>
      <c r="AA71">
        <v>0.74724286947989904</v>
      </c>
      <c r="AB71">
        <v>3.3578635274096702</v>
      </c>
      <c r="AC71">
        <v>4.4361633643806302</v>
      </c>
      <c r="AD71">
        <v>3.7835081998981501E-2</v>
      </c>
      <c r="AE71">
        <v>5.5086220397729901</v>
      </c>
    </row>
    <row r="72" spans="1:31" x14ac:dyDescent="0.2">
      <c r="A72">
        <v>71</v>
      </c>
      <c r="B72">
        <v>758</v>
      </c>
      <c r="C72">
        <v>220</v>
      </c>
      <c r="D72">
        <v>0.36206226058284502</v>
      </c>
      <c r="E72">
        <v>105.480162944664</v>
      </c>
      <c r="F72">
        <v>2.2034447503982699</v>
      </c>
      <c r="G72">
        <v>-1720.7928347359332</v>
      </c>
      <c r="H72">
        <v>-1441.1048896930338</v>
      </c>
      <c r="I72">
        <v>271.23885471841999</v>
      </c>
      <c r="J72">
        <v>142.02083798778</v>
      </c>
      <c r="K72">
        <v>47.870573076814701</v>
      </c>
      <c r="L72">
        <v>1.4851421316857598E-4</v>
      </c>
      <c r="M72">
        <v>1.755549663993864E-5</v>
      </c>
      <c r="N72" s="1">
        <v>3.33938968590652E-6</v>
      </c>
      <c r="O72" s="1">
        <v>9.5492974452608103E-8</v>
      </c>
      <c r="P72" s="1">
        <v>-4.85672233855134E-7</v>
      </c>
      <c r="Q72">
        <v>72.564563877455001</v>
      </c>
      <c r="R72">
        <v>9.1012373625515494E-2</v>
      </c>
      <c r="S72">
        <v>12.286670439446</v>
      </c>
      <c r="T72">
        <v>0.23892556259973999</v>
      </c>
      <c r="V72">
        <v>0.571889961496865</v>
      </c>
      <c r="W72">
        <v>2.5597230082175699E-2</v>
      </c>
      <c r="X72">
        <v>0.11376546703189799</v>
      </c>
      <c r="AA72">
        <v>0.74895599129329704</v>
      </c>
      <c r="AB72">
        <v>3.3655617330268299</v>
      </c>
      <c r="AC72">
        <v>4.4463336698297402</v>
      </c>
      <c r="AD72">
        <v>3.7921822343962401E-2</v>
      </c>
      <c r="AE72">
        <v>5.5088018717689202</v>
      </c>
    </row>
    <row r="73" spans="1:31" x14ac:dyDescent="0.2">
      <c r="A73">
        <v>72</v>
      </c>
      <c r="B73">
        <v>756</v>
      </c>
      <c r="C73">
        <v>220</v>
      </c>
      <c r="D73">
        <v>0.36068648885002402</v>
      </c>
      <c r="E73">
        <v>105.059979186162</v>
      </c>
      <c r="F73">
        <v>2.20440652125935</v>
      </c>
      <c r="G73">
        <v>-1713.2747262433359</v>
      </c>
      <c r="H73">
        <v>-1435.4784304568173</v>
      </c>
      <c r="I73">
        <v>269.92789757228599</v>
      </c>
      <c r="J73">
        <v>141.469424158408</v>
      </c>
      <c r="K73">
        <v>47.6590765691179</v>
      </c>
      <c r="L73">
        <v>1.4857256071731055E-4</v>
      </c>
      <c r="M73">
        <v>1.7539188792878469E-5</v>
      </c>
      <c r="N73" s="1">
        <v>3.3348136293515001E-6</v>
      </c>
      <c r="O73" s="1">
        <v>9.4993954118455297E-8</v>
      </c>
      <c r="P73" s="1">
        <v>-4.8423599159575201E-7</v>
      </c>
      <c r="Q73">
        <v>72.475037531109905</v>
      </c>
      <c r="R73">
        <v>9.1376374470712896E-2</v>
      </c>
      <c r="S73">
        <v>12.335810553548001</v>
      </c>
      <c r="T73">
        <v>0.24079235224645401</v>
      </c>
      <c r="V73">
        <v>0.57335729425742998</v>
      </c>
      <c r="W73">
        <v>2.5699605319887301E-2</v>
      </c>
      <c r="X73">
        <v>0.114220468088396</v>
      </c>
      <c r="AA73">
        <v>0.75195141491523199</v>
      </c>
      <c r="AB73">
        <v>3.37902218094818</v>
      </c>
      <c r="AC73">
        <v>4.4641166277877904</v>
      </c>
      <c r="AD73">
        <v>3.8073489362793998E-2</v>
      </c>
      <c r="AE73">
        <v>5.5105421079451098</v>
      </c>
    </row>
    <row r="74" spans="1:31" x14ac:dyDescent="0.2">
      <c r="A74">
        <v>73</v>
      </c>
      <c r="B74">
        <v>754</v>
      </c>
      <c r="C74">
        <v>220</v>
      </c>
      <c r="D74">
        <v>0.35930535948985198</v>
      </c>
      <c r="E74">
        <v>104.64373736223899</v>
      </c>
      <c r="F74">
        <v>2.20536888072641</v>
      </c>
      <c r="G74">
        <v>-1705.8266727144803</v>
      </c>
      <c r="H74">
        <v>-1429.905213386309</v>
      </c>
      <c r="I74">
        <v>268.62820360042002</v>
      </c>
      <c r="J74">
        <v>140.923135592552</v>
      </c>
      <c r="K74">
        <v>47.4495392932957</v>
      </c>
      <c r="L74">
        <v>1.4863057654678494E-4</v>
      </c>
      <c r="M74">
        <v>1.7522840131376732E-5</v>
      </c>
      <c r="N74" s="1">
        <v>3.3303032420539401E-6</v>
      </c>
      <c r="O74" s="1">
        <v>9.4499485911267205E-8</v>
      </c>
      <c r="P74" s="1">
        <v>-4.8281390233676303E-7</v>
      </c>
      <c r="Q74">
        <v>72.385629473305798</v>
      </c>
      <c r="R74">
        <v>9.1739842650767095E-2</v>
      </c>
      <c r="S74">
        <v>12.3848787578557</v>
      </c>
      <c r="T74">
        <v>0.242672204584653</v>
      </c>
      <c r="V74">
        <v>0.57480826773031801</v>
      </c>
      <c r="W74">
        <v>2.5801830745527402E-2</v>
      </c>
      <c r="X74">
        <v>0.114674803313464</v>
      </c>
      <c r="AA74">
        <v>0.75494245514692604</v>
      </c>
      <c r="AB74">
        <v>3.3924629313564201</v>
      </c>
      <c r="AC74">
        <v>4.4818735628341502</v>
      </c>
      <c r="AD74">
        <v>3.8224934437816001E-2</v>
      </c>
      <c r="AE74">
        <v>5.5122909360383803</v>
      </c>
    </row>
    <row r="75" spans="1:31" x14ac:dyDescent="0.2">
      <c r="A75">
        <v>74</v>
      </c>
      <c r="B75">
        <v>752</v>
      </c>
      <c r="C75">
        <v>220</v>
      </c>
      <c r="D75">
        <v>0.35791884114519901</v>
      </c>
      <c r="E75">
        <v>104.23137736787</v>
      </c>
      <c r="F75">
        <v>2.20633184475476</v>
      </c>
      <c r="G75">
        <v>-1698.4476123680261</v>
      </c>
      <c r="H75">
        <v>-1424.3844246292033</v>
      </c>
      <c r="I75">
        <v>267.339596877357</v>
      </c>
      <c r="J75">
        <v>140.38189389793499</v>
      </c>
      <c r="K75">
        <v>47.2419312696166</v>
      </c>
      <c r="L75">
        <v>1.4868825390150592E-4</v>
      </c>
      <c r="M75">
        <v>1.7506449974560984E-5</v>
      </c>
      <c r="N75" s="1">
        <v>3.3258572735487602E-6</v>
      </c>
      <c r="O75" s="1">
        <v>9.4009494955255498E-8</v>
      </c>
      <c r="P75" s="1">
        <v>-4.8140571125570202E-7</v>
      </c>
      <c r="Q75">
        <v>72.296338751955304</v>
      </c>
      <c r="R75">
        <v>9.21027836571532E-2</v>
      </c>
      <c r="S75">
        <v>12.433875793718199</v>
      </c>
      <c r="T75">
        <v>0.24456527223555399</v>
      </c>
      <c r="V75">
        <v>0.57624279206363405</v>
      </c>
      <c r="W75">
        <v>2.59039079035733E-2</v>
      </c>
      <c r="X75">
        <v>0.11512847957144801</v>
      </c>
      <c r="AA75">
        <v>0.75792915717864195</v>
      </c>
      <c r="AB75">
        <v>3.40588418732173</v>
      </c>
      <c r="AC75">
        <v>4.4996047432502699</v>
      </c>
      <c r="AD75">
        <v>3.8376159857142801E-2</v>
      </c>
      <c r="AE75">
        <v>5.5140479712872104</v>
      </c>
    </row>
    <row r="76" spans="1:31" x14ac:dyDescent="0.2">
      <c r="A76">
        <v>75</v>
      </c>
      <c r="B76">
        <v>750</v>
      </c>
      <c r="C76">
        <v>220</v>
      </c>
      <c r="D76">
        <v>0.356526902213751</v>
      </c>
      <c r="E76">
        <v>100.66036276220299</v>
      </c>
      <c r="F76">
        <v>2.2083579280524401</v>
      </c>
      <c r="G76">
        <v>-1638.6076866377446</v>
      </c>
      <c r="H76">
        <v>-1375.0239891496699</v>
      </c>
      <c r="I76">
        <v>257.61979913802901</v>
      </c>
      <c r="J76">
        <v>135.48259395470399</v>
      </c>
      <c r="K76">
        <v>45.581543409938199</v>
      </c>
      <c r="L76">
        <v>1.4813386308256082E-4</v>
      </c>
      <c r="M76">
        <v>1.7431832618645061E-5</v>
      </c>
      <c r="N76" s="1">
        <v>3.1990022749673999E-6</v>
      </c>
      <c r="O76" s="1">
        <v>9.0125940087504899E-8</v>
      </c>
      <c r="P76" s="1">
        <v>-4.6269957904352298E-7</v>
      </c>
      <c r="Q76">
        <v>72.229986411741805</v>
      </c>
      <c r="R76">
        <v>9.5370210642682002E-2</v>
      </c>
      <c r="S76">
        <v>12.451112959697801</v>
      </c>
      <c r="T76">
        <v>0.25418243344442698</v>
      </c>
      <c r="V76">
        <v>0.59583879365472703</v>
      </c>
      <c r="W76">
        <v>2.68228717432531E-2</v>
      </c>
      <c r="X76">
        <v>0.119212763303362</v>
      </c>
      <c r="AA76">
        <v>0.72556350339401698</v>
      </c>
      <c r="AB76">
        <v>3.3555766166390302</v>
      </c>
      <c r="AC76">
        <v>4.6272645230389999</v>
      </c>
      <c r="AD76">
        <v>3.9737587767778297E-2</v>
      </c>
      <c r="AE76">
        <v>5.4793313249320104</v>
      </c>
    </row>
    <row r="77" spans="1:31" x14ac:dyDescent="0.2">
      <c r="A77">
        <v>76</v>
      </c>
      <c r="B77">
        <v>748</v>
      </c>
      <c r="C77">
        <v>220</v>
      </c>
      <c r="D77">
        <v>0.355129510845618</v>
      </c>
      <c r="E77">
        <v>96.945633725408598</v>
      </c>
      <c r="F77">
        <v>2.21054802572983</v>
      </c>
      <c r="G77">
        <v>-1576.4788762492974</v>
      </c>
      <c r="H77">
        <v>-1323.7001413088542</v>
      </c>
      <c r="I77">
        <v>247.54319633789601</v>
      </c>
      <c r="J77">
        <v>130.39271066045399</v>
      </c>
      <c r="K77">
        <v>43.855927397642098</v>
      </c>
      <c r="L77">
        <v>1.4753266210540094E-4</v>
      </c>
      <c r="M77">
        <v>1.7353088274139288E-5</v>
      </c>
      <c r="N77" s="1">
        <v>3.06683244495289E-6</v>
      </c>
      <c r="O77" s="1">
        <v>8.6121690797913793E-8</v>
      </c>
      <c r="P77" s="1">
        <v>-4.4324023469161499E-7</v>
      </c>
      <c r="Q77">
        <v>72.160219078281202</v>
      </c>
      <c r="R77">
        <v>9.9024573166353103E-2</v>
      </c>
      <c r="S77">
        <v>12.469553091473101</v>
      </c>
      <c r="T77">
        <v>0.26487171092789702</v>
      </c>
      <c r="V77">
        <v>0.61781547338984999</v>
      </c>
      <c r="W77">
        <v>2.7850661203035199E-2</v>
      </c>
      <c r="X77">
        <v>0.12378071645795501</v>
      </c>
      <c r="AA77">
        <v>0.69733842993795403</v>
      </c>
      <c r="AB77">
        <v>3.2967875499544501</v>
      </c>
      <c r="AC77">
        <v>4.7597099009565298</v>
      </c>
      <c r="AD77">
        <v>4.1260238819305399E-2</v>
      </c>
      <c r="AE77">
        <v>5.4417885754322803</v>
      </c>
    </row>
    <row r="78" spans="1:31" x14ac:dyDescent="0.2">
      <c r="A78">
        <v>77</v>
      </c>
      <c r="B78">
        <v>746</v>
      </c>
      <c r="C78">
        <v>220</v>
      </c>
      <c r="D78">
        <v>0.35372663494088302</v>
      </c>
      <c r="E78">
        <v>33.642806282235597</v>
      </c>
      <c r="F78">
        <v>2.2172012010034301</v>
      </c>
      <c r="G78">
        <v>-547.1683286504981</v>
      </c>
      <c r="H78">
        <v>-460.04224282993783</v>
      </c>
      <c r="I78">
        <v>85.488972006633205</v>
      </c>
      <c r="J78">
        <v>45.302765473083298</v>
      </c>
      <c r="K78">
        <v>15.1735468423028</v>
      </c>
      <c r="L78">
        <v>1.4617744970018233E-4</v>
      </c>
      <c r="M78">
        <v>1.7270928316058629E-5</v>
      </c>
      <c r="N78" s="1">
        <v>1.05128978554641E-6</v>
      </c>
      <c r="O78" s="1">
        <v>2.9431793099422499E-8</v>
      </c>
      <c r="P78" s="1">
        <v>-1.5019003832127301E-7</v>
      </c>
      <c r="Q78">
        <v>71.588329620611603</v>
      </c>
      <c r="R78">
        <v>0.15062210853595001</v>
      </c>
      <c r="S78">
        <v>13.2009934399266</v>
      </c>
      <c r="T78">
        <v>0.235112323783737</v>
      </c>
      <c r="V78">
        <v>0.55735615605246003</v>
      </c>
      <c r="W78">
        <v>8.0254898397848398E-2</v>
      </c>
      <c r="X78">
        <v>0.15794710739744999</v>
      </c>
      <c r="AA78">
        <v>0.73589669732075902</v>
      </c>
      <c r="AB78">
        <v>2.9361952961051498</v>
      </c>
      <c r="AC78">
        <v>4.8752365809967104</v>
      </c>
      <c r="AD78">
        <v>0.11889614577447701</v>
      </c>
      <c r="AE78">
        <v>5.3631596250971203</v>
      </c>
    </row>
    <row r="79" spans="1:31" x14ac:dyDescent="0.2">
      <c r="A79">
        <v>78</v>
      </c>
      <c r="B79">
        <v>744</v>
      </c>
      <c r="C79">
        <v>220</v>
      </c>
      <c r="D79">
        <v>0.352318242147177</v>
      </c>
      <c r="E79">
        <v>22.306370114283698</v>
      </c>
      <c r="F79">
        <v>2.2218906641766201</v>
      </c>
      <c r="G79">
        <v>-362.81060669379735</v>
      </c>
      <c r="H79">
        <v>-305.35054663777328</v>
      </c>
      <c r="I79">
        <v>56.491235369438002</v>
      </c>
      <c r="J79">
        <v>30.0676665421073</v>
      </c>
      <c r="K79">
        <v>10.0393644358508</v>
      </c>
      <c r="L79">
        <v>1.4546627759675344E-4</v>
      </c>
      <c r="M79">
        <v>1.7235749219458917E-5</v>
      </c>
      <c r="N79" s="1">
        <v>6.9333890958845602E-7</v>
      </c>
      <c r="O79" s="1">
        <v>1.9343063512531901E-8</v>
      </c>
      <c r="P79" s="1">
        <v>-9.81228657982457E-8</v>
      </c>
      <c r="Q79">
        <v>71.121723285482304</v>
      </c>
      <c r="R79">
        <v>0.17332855446619</v>
      </c>
      <c r="S79">
        <v>13.7841536922167</v>
      </c>
      <c r="T79">
        <v>0.22013818915207201</v>
      </c>
      <c r="V79">
        <v>0.52790787168743303</v>
      </c>
      <c r="W79">
        <v>0.121041656987044</v>
      </c>
      <c r="X79">
        <v>0.16099274059259999</v>
      </c>
      <c r="AA79">
        <v>0.75852369002411102</v>
      </c>
      <c r="AB79">
        <v>2.69746098685567</v>
      </c>
      <c r="AC79">
        <v>4.9328548616034098</v>
      </c>
      <c r="AD79">
        <v>0.17932097331393501</v>
      </c>
      <c r="AE79">
        <v>5.3225534976184701</v>
      </c>
    </row>
    <row r="80" spans="1:31" x14ac:dyDescent="0.2">
      <c r="A80">
        <v>79</v>
      </c>
      <c r="B80">
        <v>742</v>
      </c>
      <c r="C80">
        <v>220</v>
      </c>
      <c r="D80">
        <v>0.35090429985716198</v>
      </c>
      <c r="E80">
        <v>17.3720037414488</v>
      </c>
      <c r="F80">
        <v>2.2255630458334501</v>
      </c>
      <c r="G80">
        <v>-282.55157654121967</v>
      </c>
      <c r="H80">
        <v>-238.00722204474403</v>
      </c>
      <c r="I80">
        <v>43.879578876496701</v>
      </c>
      <c r="J80">
        <v>23.439410172677199</v>
      </c>
      <c r="K80">
        <v>7.8056668733655901</v>
      </c>
      <c r="L80">
        <v>1.450733928107924E-4</v>
      </c>
      <c r="M80">
        <v>1.7223186810600166E-5</v>
      </c>
      <c r="N80" s="1">
        <v>5.3906475827795705E-7</v>
      </c>
      <c r="O80" s="1">
        <v>1.4983154921070901E-8</v>
      </c>
      <c r="P80" s="1">
        <v>-7.5670079294033006E-8</v>
      </c>
      <c r="Q80">
        <v>70.717444183859698</v>
      </c>
      <c r="R80">
        <v>0.169156268831782</v>
      </c>
      <c r="S80">
        <v>14.2792810098509</v>
      </c>
      <c r="T80">
        <v>0.21411899099644299</v>
      </c>
      <c r="V80">
        <v>0.51814317191333803</v>
      </c>
      <c r="W80">
        <v>0.15437823714274199</v>
      </c>
      <c r="X80">
        <v>0.15853110288314901</v>
      </c>
      <c r="AA80">
        <v>0.77862586337083195</v>
      </c>
      <c r="AB80">
        <v>2.5178411781069401</v>
      </c>
      <c r="AC80">
        <v>4.9605933784545</v>
      </c>
      <c r="AD80">
        <v>0.23025553410684901</v>
      </c>
      <c r="AE80">
        <v>5.3016310804826903</v>
      </c>
    </row>
    <row r="81" spans="1:31" x14ac:dyDescent="0.2">
      <c r="A81">
        <v>80</v>
      </c>
      <c r="B81">
        <v>740</v>
      </c>
      <c r="C81">
        <v>220</v>
      </c>
      <c r="D81">
        <v>0.34948477520604299</v>
      </c>
      <c r="E81">
        <v>14.6295058160614</v>
      </c>
      <c r="F81">
        <v>2.2287053130815102</v>
      </c>
      <c r="G81">
        <v>-237.94306791829035</v>
      </c>
      <c r="H81">
        <v>-200.58965044763437</v>
      </c>
      <c r="I81">
        <v>36.868595440611898</v>
      </c>
      <c r="J81">
        <v>19.756611724207001</v>
      </c>
      <c r="K81">
        <v>6.5641274915049204</v>
      </c>
      <c r="L81">
        <v>1.4479644819518503E-4</v>
      </c>
      <c r="M81">
        <v>1.7215295891897651E-5</v>
      </c>
      <c r="N81" s="1">
        <v>4.53749638592612E-7</v>
      </c>
      <c r="O81" s="1">
        <v>1.2564174165976401E-8</v>
      </c>
      <c r="P81" s="1">
        <v>-6.3232044471806703E-8</v>
      </c>
      <c r="Q81">
        <v>70.366158838655593</v>
      </c>
      <c r="R81">
        <v>0.16835527138357101</v>
      </c>
      <c r="S81">
        <v>14.7021420635502</v>
      </c>
      <c r="T81">
        <v>0.20822625375355899</v>
      </c>
      <c r="V81">
        <v>0.50731091359217895</v>
      </c>
      <c r="W81">
        <v>0.18247028991494901</v>
      </c>
      <c r="X81">
        <v>0.15682597359497</v>
      </c>
      <c r="AA81">
        <v>0.79713066303305602</v>
      </c>
      <c r="AB81">
        <v>2.37425392593999</v>
      </c>
      <c r="AC81">
        <v>4.9765457689314996</v>
      </c>
      <c r="AD81">
        <v>0.273420035528602</v>
      </c>
      <c r="AE81">
        <v>5.2871600021217704</v>
      </c>
    </row>
    <row r="82" spans="1:31" x14ac:dyDescent="0.2">
      <c r="A82">
        <v>81</v>
      </c>
      <c r="B82">
        <v>738</v>
      </c>
      <c r="C82">
        <v>220</v>
      </c>
      <c r="D82">
        <v>0.34805963506898102</v>
      </c>
      <c r="E82">
        <v>12.824065778120501</v>
      </c>
      <c r="F82">
        <v>2.23150384501833</v>
      </c>
      <c r="G82">
        <v>-208.57486589973504</v>
      </c>
      <c r="H82">
        <v>-175.96242666148814</v>
      </c>
      <c r="I82">
        <v>32.2528202919911</v>
      </c>
      <c r="J82">
        <v>17.332939340659198</v>
      </c>
      <c r="K82">
        <v>5.7468266553738401</v>
      </c>
      <c r="L82">
        <v>1.445999588385421E-4</v>
      </c>
      <c r="M82">
        <v>1.7211308066065643E-5</v>
      </c>
      <c r="N82" s="1">
        <v>3.9791021728696199E-7</v>
      </c>
      <c r="O82" s="1">
        <v>1.0975825721984499E-8</v>
      </c>
      <c r="P82" s="1">
        <v>-5.5078688686101498E-8</v>
      </c>
      <c r="Q82">
        <v>70.046973828372899</v>
      </c>
      <c r="R82">
        <v>0.167256423204243</v>
      </c>
      <c r="S82">
        <v>15.0811221921181</v>
      </c>
      <c r="T82">
        <v>0.203043251729181</v>
      </c>
      <c r="V82">
        <v>0.49736627664129901</v>
      </c>
      <c r="W82">
        <v>0.207293488874324</v>
      </c>
      <c r="X82">
        <v>0.15510053594665199</v>
      </c>
      <c r="AA82">
        <v>0.81496360243882904</v>
      </c>
      <c r="AB82">
        <v>2.2531794099339701</v>
      </c>
      <c r="AC82">
        <v>4.98445163399174</v>
      </c>
      <c r="AD82">
        <v>0.31191355917851898</v>
      </c>
      <c r="AE82">
        <v>5.2773357975701503</v>
      </c>
    </row>
    <row r="83" spans="1:31" x14ac:dyDescent="0.2">
      <c r="A83">
        <v>82</v>
      </c>
      <c r="B83">
        <v>736</v>
      </c>
      <c r="C83">
        <v>220</v>
      </c>
      <c r="D83">
        <v>0.34662884605856398</v>
      </c>
      <c r="E83">
        <v>11.524074209938901</v>
      </c>
      <c r="F83">
        <v>2.2340593092157199</v>
      </c>
      <c r="G83">
        <v>-187.42735211557607</v>
      </c>
      <c r="H83">
        <v>-158.2336347938606</v>
      </c>
      <c r="I83">
        <v>28.929016817832299</v>
      </c>
      <c r="J83">
        <v>15.5883425529431</v>
      </c>
      <c r="K83">
        <v>5.1583564332428304</v>
      </c>
      <c r="L83">
        <v>1.4446009877832613E-4</v>
      </c>
      <c r="M83">
        <v>1.7210064237283583E-5</v>
      </c>
      <c r="N83" s="1">
        <v>3.5793542528133799E-7</v>
      </c>
      <c r="O83" s="1">
        <v>9.83505307903795E-9</v>
      </c>
      <c r="P83" s="1">
        <v>-4.92327912534129E-8</v>
      </c>
      <c r="Q83">
        <v>69.7507021429074</v>
      </c>
      <c r="R83">
        <v>0.16595240713756401</v>
      </c>
      <c r="S83">
        <v>15.428723628796799</v>
      </c>
      <c r="T83">
        <v>0.19836910289245499</v>
      </c>
      <c r="V83">
        <v>0.48806977933287798</v>
      </c>
      <c r="W83">
        <v>0.229792339298485</v>
      </c>
      <c r="X83">
        <v>0.15336161848427499</v>
      </c>
      <c r="AA83">
        <v>0.83242487656645003</v>
      </c>
      <c r="AB83">
        <v>2.1480260484564599</v>
      </c>
      <c r="AC83">
        <v>4.9866877943719201</v>
      </c>
      <c r="AD83">
        <v>0.34709946561630101</v>
      </c>
      <c r="AE83">
        <v>5.2707907961388702</v>
      </c>
    </row>
    <row r="84" spans="1:31" x14ac:dyDescent="0.2">
      <c r="A84">
        <v>83</v>
      </c>
      <c r="B84">
        <v>734</v>
      </c>
      <c r="C84">
        <v>220</v>
      </c>
      <c r="D84">
        <v>0.345192374522167</v>
      </c>
      <c r="E84">
        <v>10.531834324318501</v>
      </c>
      <c r="F84">
        <v>2.23643176375217</v>
      </c>
      <c r="G84">
        <v>-171.28521370521972</v>
      </c>
      <c r="H84">
        <v>-144.70464271122427</v>
      </c>
      <c r="I84">
        <v>26.3918691297179</v>
      </c>
      <c r="J84">
        <v>14.257154588485699</v>
      </c>
      <c r="K84">
        <v>4.7092133527242996</v>
      </c>
      <c r="L84">
        <v>1.4436284680858773E-4</v>
      </c>
      <c r="M84">
        <v>1.7210888981382332E-5</v>
      </c>
      <c r="N84" s="1">
        <v>3.2759939687759101E-7</v>
      </c>
      <c r="O84" s="1">
        <v>8.9665263577227705E-9</v>
      </c>
      <c r="P84" s="1">
        <v>-4.4789688152087597E-8</v>
      </c>
      <c r="Q84">
        <v>69.471789051860199</v>
      </c>
      <c r="R84">
        <v>0.164498917234082</v>
      </c>
      <c r="S84">
        <v>15.7524818272177</v>
      </c>
      <c r="T84">
        <v>0.19408344989579801</v>
      </c>
      <c r="V84">
        <v>0.479278008259029</v>
      </c>
      <c r="W84">
        <v>0.25053686516947798</v>
      </c>
      <c r="X84">
        <v>0.15161324479202501</v>
      </c>
      <c r="AA84">
        <v>0.84966850097379099</v>
      </c>
      <c r="AB84">
        <v>2.05486472713695</v>
      </c>
      <c r="AC84">
        <v>4.9846651050561404</v>
      </c>
      <c r="AD84">
        <v>0.37980088527938899</v>
      </c>
      <c r="AE84">
        <v>5.2667194171252198</v>
      </c>
    </row>
    <row r="85" spans="1:31" x14ac:dyDescent="0.2">
      <c r="A85">
        <v>84</v>
      </c>
      <c r="B85">
        <v>760</v>
      </c>
      <c r="C85">
        <v>200</v>
      </c>
      <c r="D85">
        <v>0.38472680636887402</v>
      </c>
      <c r="E85">
        <v>105.405745987977</v>
      </c>
      <c r="F85">
        <v>2.2039070796208899</v>
      </c>
      <c r="G85">
        <v>-1719.4131169510417</v>
      </c>
      <c r="H85">
        <v>-1441.0480530836423</v>
      </c>
      <c r="I85">
        <v>269.43334836896702</v>
      </c>
      <c r="J85">
        <v>141.618855052047</v>
      </c>
      <c r="K85">
        <v>47.826765004134899</v>
      </c>
      <c r="L85">
        <v>1.4476117446679329E-4</v>
      </c>
      <c r="M85">
        <v>1.7469086674996798E-5</v>
      </c>
      <c r="N85" s="1">
        <v>3.17707302585824E-6</v>
      </c>
      <c r="O85" s="1">
        <v>9.2431788140536995E-8</v>
      </c>
      <c r="P85" s="1">
        <v>-4.6957915691190599E-7</v>
      </c>
      <c r="Q85">
        <v>72.832841587952899</v>
      </c>
      <c r="R85">
        <v>9.1076628793035394E-2</v>
      </c>
      <c r="S85">
        <v>12.295344887060301</v>
      </c>
      <c r="T85">
        <v>0.240570932212539</v>
      </c>
      <c r="V85">
        <v>0.57096497927071399</v>
      </c>
      <c r="W85">
        <v>2.5615301848040999E-2</v>
      </c>
      <c r="X85">
        <v>0.113845785991295</v>
      </c>
      <c r="AA85">
        <v>0.74948475777601697</v>
      </c>
      <c r="AB85">
        <v>3.3679378355757699</v>
      </c>
      <c r="AC85">
        <v>4.4494728024930303</v>
      </c>
      <c r="AD85">
        <v>3.7948595330430497E-2</v>
      </c>
      <c r="AE85">
        <v>5.22489590569581</v>
      </c>
    </row>
    <row r="86" spans="1:31" x14ac:dyDescent="0.2">
      <c r="A86">
        <v>85</v>
      </c>
      <c r="B86">
        <v>758</v>
      </c>
      <c r="C86">
        <v>200</v>
      </c>
      <c r="D86">
        <v>0.383397662803666</v>
      </c>
      <c r="E86">
        <v>105.045304058884</v>
      </c>
      <c r="F86">
        <v>2.2048214082858499</v>
      </c>
      <c r="G86">
        <v>-1712.8887807525493</v>
      </c>
      <c r="H86">
        <v>-1436.257832781567</v>
      </c>
      <c r="I86">
        <v>268.27420644036403</v>
      </c>
      <c r="J86">
        <v>141.142776881863</v>
      </c>
      <c r="K86">
        <v>47.643452510084202</v>
      </c>
      <c r="L86">
        <v>1.4479737348639803E-4</v>
      </c>
      <c r="M86">
        <v>1.7453003895490915E-5</v>
      </c>
      <c r="N86" s="1">
        <v>3.1741668861797001E-6</v>
      </c>
      <c r="O86" s="1">
        <v>9.1995015239085703E-8</v>
      </c>
      <c r="P86" s="1">
        <v>-4.6834633669034401E-7</v>
      </c>
      <c r="Q86">
        <v>72.756340232421195</v>
      </c>
      <c r="R86">
        <v>9.1389140009711406E-2</v>
      </c>
      <c r="S86">
        <v>12.3375339013129</v>
      </c>
      <c r="T86">
        <v>0.24228846871978399</v>
      </c>
      <c r="V86">
        <v>0.57212144090292905</v>
      </c>
      <c r="W86">
        <v>2.5703195627730598E-2</v>
      </c>
      <c r="X86">
        <v>0.114236425012144</v>
      </c>
      <c r="AA86">
        <v>0.75205646466323905</v>
      </c>
      <c r="AB86">
        <v>3.3794942399423902</v>
      </c>
      <c r="AC86">
        <v>4.4647402775575999</v>
      </c>
      <c r="AD86">
        <v>3.8078808337376598E-2</v>
      </c>
      <c r="AE86">
        <v>5.2260174054929198</v>
      </c>
    </row>
    <row r="87" spans="1:31" x14ac:dyDescent="0.2">
      <c r="A87">
        <v>86</v>
      </c>
      <c r="B87">
        <v>756</v>
      </c>
      <c r="C87">
        <v>200</v>
      </c>
      <c r="D87">
        <v>0.38206335325268598</v>
      </c>
      <c r="E87">
        <v>103.30100636599801</v>
      </c>
      <c r="F87">
        <v>2.2061783013632099</v>
      </c>
      <c r="G87">
        <v>-1683.3710052261026</v>
      </c>
      <c r="H87">
        <v>-1412.2358279352302</v>
      </c>
      <c r="I87">
        <v>263.45545089721799</v>
      </c>
      <c r="J87">
        <v>138.76926257237</v>
      </c>
      <c r="K87">
        <v>46.823507557013002</v>
      </c>
      <c r="L87">
        <v>1.4461926866216532E-4</v>
      </c>
      <c r="M87">
        <v>1.7413703395497475E-5</v>
      </c>
      <c r="N87" s="1">
        <v>3.12118997615437E-6</v>
      </c>
      <c r="O87" s="1">
        <v>9.0135522402026302E-8</v>
      </c>
      <c r="P87" s="1">
        <v>-4.5998797040925998E-7</v>
      </c>
      <c r="Q87">
        <v>72.677689020924007</v>
      </c>
      <c r="R87">
        <v>9.2932298897331303E-2</v>
      </c>
      <c r="S87">
        <v>12.3720978510087</v>
      </c>
      <c r="T87">
        <v>0.2473015669824</v>
      </c>
      <c r="V87">
        <v>0.58095249443391805</v>
      </c>
      <c r="W87">
        <v>2.61372090648734E-2</v>
      </c>
      <c r="X87">
        <v>0.11616537362167099</v>
      </c>
      <c r="AA87">
        <v>0.73967356842339105</v>
      </c>
      <c r="AB87">
        <v>3.3664783516192101</v>
      </c>
      <c r="AC87">
        <v>4.52823882369972</v>
      </c>
      <c r="AD87">
        <v>3.8721791207216798E-2</v>
      </c>
      <c r="AE87">
        <v>5.2136116501174499</v>
      </c>
    </row>
    <row r="88" spans="1:31" x14ac:dyDescent="0.2">
      <c r="A88">
        <v>87</v>
      </c>
      <c r="B88">
        <v>754</v>
      </c>
      <c r="C88">
        <v>200</v>
      </c>
      <c r="D88">
        <v>0.38072384753930699</v>
      </c>
      <c r="E88">
        <v>99.753189428970103</v>
      </c>
      <c r="F88">
        <v>2.20816796041554</v>
      </c>
      <c r="G88">
        <v>-1623.937991620119</v>
      </c>
      <c r="H88">
        <v>-1363.179543724118</v>
      </c>
      <c r="I88">
        <v>253.86598636615901</v>
      </c>
      <c r="J88">
        <v>133.91828104891599</v>
      </c>
      <c r="K88">
        <v>45.174638531662197</v>
      </c>
      <c r="L88">
        <v>1.4410561187398865E-4</v>
      </c>
      <c r="M88">
        <v>1.7341449608792886E-5</v>
      </c>
      <c r="N88" s="1">
        <v>3.00223747225341E-6</v>
      </c>
      <c r="O88" s="1">
        <v>8.6418694745367503E-8</v>
      </c>
      <c r="P88" s="1">
        <v>-4.4215413505645098E-7</v>
      </c>
      <c r="Q88">
        <v>72.608089146897001</v>
      </c>
      <c r="R88">
        <v>9.6237524383477505E-2</v>
      </c>
      <c r="S88">
        <v>12.389954798110301</v>
      </c>
      <c r="T88">
        <v>0.25702486386819601</v>
      </c>
      <c r="V88">
        <v>0.60077979351076105</v>
      </c>
      <c r="W88">
        <v>2.7066803732851599E-2</v>
      </c>
      <c r="X88">
        <v>0.12029690547935699</v>
      </c>
      <c r="AA88">
        <v>0.70993784450789499</v>
      </c>
      <c r="AB88">
        <v>3.3140751676296998</v>
      </c>
      <c r="AC88">
        <v>4.65501765800835</v>
      </c>
      <c r="AD88">
        <v>4.0098968493108803E-2</v>
      </c>
      <c r="AE88">
        <v>5.1814205253789201</v>
      </c>
    </row>
    <row r="89" spans="1:31" x14ac:dyDescent="0.2">
      <c r="A89">
        <v>88</v>
      </c>
      <c r="B89">
        <v>752</v>
      </c>
      <c r="C89">
        <v>200</v>
      </c>
      <c r="D89">
        <v>0.37937911525142798</v>
      </c>
      <c r="E89">
        <v>96.059414482695402</v>
      </c>
      <c r="F89">
        <v>2.21031457512969</v>
      </c>
      <c r="G89">
        <v>-1562.1805931397867</v>
      </c>
      <c r="H89">
        <v>-1312.1283482356998</v>
      </c>
      <c r="I89">
        <v>243.917714387247</v>
      </c>
      <c r="J89">
        <v>128.874499137237</v>
      </c>
      <c r="K89">
        <v>43.459612293901202</v>
      </c>
      <c r="L89">
        <v>1.435508257176052E-4</v>
      </c>
      <c r="M89">
        <v>1.7265446834602605E-5</v>
      </c>
      <c r="N89" s="1">
        <v>2.8782872188932801E-6</v>
      </c>
      <c r="O89" s="1">
        <v>8.2585332737092499E-8</v>
      </c>
      <c r="P89" s="1">
        <v>-4.2359730808375201E-7</v>
      </c>
      <c r="Q89">
        <v>72.534631129646101</v>
      </c>
      <c r="R89">
        <v>9.9938148193997198E-2</v>
      </c>
      <c r="S89">
        <v>12.4090909113874</v>
      </c>
      <c r="T89">
        <v>0.26784318637743998</v>
      </c>
      <c r="V89">
        <v>0.62304032448660995</v>
      </c>
      <c r="W89">
        <v>2.8107604179559698E-2</v>
      </c>
      <c r="X89">
        <v>0.124922685242511</v>
      </c>
      <c r="AA89">
        <v>0.68426078412880598</v>
      </c>
      <c r="AB89">
        <v>3.2535270755937802</v>
      </c>
      <c r="AC89">
        <v>4.7862290446704003</v>
      </c>
      <c r="AD89">
        <v>4.1640895080822499E-2</v>
      </c>
      <c r="AE89">
        <v>5.14676821101245</v>
      </c>
    </row>
    <row r="90" spans="1:31" x14ac:dyDescent="0.2">
      <c r="A90">
        <v>89</v>
      </c>
      <c r="B90">
        <v>750</v>
      </c>
      <c r="C90">
        <v>200</v>
      </c>
      <c r="D90">
        <v>0.37802912573913899</v>
      </c>
      <c r="E90">
        <v>38.316445561192502</v>
      </c>
      <c r="F90">
        <v>2.2162783812371001</v>
      </c>
      <c r="G90">
        <v>-623.12141900252482</v>
      </c>
      <c r="H90">
        <v>-524.0357090139496</v>
      </c>
      <c r="I90">
        <v>96.843776561183901</v>
      </c>
      <c r="J90">
        <v>51.448108100315999</v>
      </c>
      <c r="K90">
        <v>17.2886429275209</v>
      </c>
      <c r="L90">
        <v>1.4219759546164315E-4</v>
      </c>
      <c r="M90">
        <v>1.7169833581431909E-5</v>
      </c>
      <c r="N90" s="1">
        <v>1.13380848318309E-6</v>
      </c>
      <c r="O90" s="1">
        <v>3.2437284041606701E-8</v>
      </c>
      <c r="P90" s="1">
        <v>-1.6523458299559599E-7</v>
      </c>
      <c r="Q90">
        <v>72.061079179412303</v>
      </c>
      <c r="R90">
        <v>0.14471698452378301</v>
      </c>
      <c r="S90">
        <v>13.0063737314891</v>
      </c>
      <c r="T90">
        <v>0.23928640463154499</v>
      </c>
      <c r="V90">
        <v>0.56346342430247298</v>
      </c>
      <c r="W90">
        <v>7.0465826369187801E-2</v>
      </c>
      <c r="X90">
        <v>0.163812677021972</v>
      </c>
      <c r="AA90">
        <v>0.728101505407726</v>
      </c>
      <c r="AB90">
        <v>2.91920377120839</v>
      </c>
      <c r="AC90">
        <v>4.9279465568045699</v>
      </c>
      <c r="AD90">
        <v>0.104393816843164</v>
      </c>
      <c r="AE90">
        <v>5.0711561219856902</v>
      </c>
    </row>
    <row r="91" spans="1:31" x14ac:dyDescent="0.2">
      <c r="A91">
        <v>90</v>
      </c>
      <c r="B91">
        <v>748</v>
      </c>
      <c r="C91">
        <v>200</v>
      </c>
      <c r="D91">
        <v>0.37667384811242399</v>
      </c>
      <c r="E91">
        <v>24.073323648813801</v>
      </c>
      <c r="F91">
        <v>2.22111831833872</v>
      </c>
      <c r="G91">
        <v>-391.51223876500626</v>
      </c>
      <c r="H91">
        <v>-329.59843779059975</v>
      </c>
      <c r="I91">
        <v>60.6314458937536</v>
      </c>
      <c r="J91">
        <v>32.3564260641486</v>
      </c>
      <c r="K91">
        <v>10.838379680205099</v>
      </c>
      <c r="L91">
        <v>1.4142741892022163E-4</v>
      </c>
      <c r="M91">
        <v>1.7129487482507243E-5</v>
      </c>
      <c r="N91" s="1">
        <v>7.0796925705034595E-7</v>
      </c>
      <c r="O91" s="1">
        <v>2.0186130093174099E-8</v>
      </c>
      <c r="P91" s="1">
        <v>-1.0216856242507499E-7</v>
      </c>
      <c r="Q91">
        <v>71.581587317994405</v>
      </c>
      <c r="R91">
        <v>0.17171393429497001</v>
      </c>
      <c r="S91">
        <v>13.603389193335</v>
      </c>
      <c r="T91">
        <v>0.22267659178210999</v>
      </c>
      <c r="V91">
        <v>0.53071487841649201</v>
      </c>
      <c r="W91">
        <v>0.112157342267622</v>
      </c>
      <c r="X91">
        <v>0.16768011496851501</v>
      </c>
      <c r="AA91">
        <v>0.75417805183771003</v>
      </c>
      <c r="AB91">
        <v>2.6645594869267502</v>
      </c>
      <c r="AC91">
        <v>4.9966064385160003</v>
      </c>
      <c r="AD91">
        <v>0.16615902558149701</v>
      </c>
      <c r="AE91">
        <v>5.0285776240788396</v>
      </c>
    </row>
    <row r="92" spans="1:31" x14ac:dyDescent="0.2">
      <c r="A92">
        <v>91</v>
      </c>
      <c r="B92">
        <v>746</v>
      </c>
      <c r="C92">
        <v>200</v>
      </c>
      <c r="D92">
        <v>0.37531325123877901</v>
      </c>
      <c r="E92">
        <v>18.560393659937301</v>
      </c>
      <c r="F92">
        <v>2.2248937795104098</v>
      </c>
      <c r="G92">
        <v>-301.85778020580102</v>
      </c>
      <c r="H92">
        <v>-254.34594752214406</v>
      </c>
      <c r="I92">
        <v>46.619077352359199</v>
      </c>
      <c r="J92">
        <v>24.969661505642598</v>
      </c>
      <c r="K92">
        <v>8.3421482098896504</v>
      </c>
      <c r="L92">
        <v>1.4095960550858537E-4</v>
      </c>
      <c r="M92">
        <v>1.7108044980443611E-5</v>
      </c>
      <c r="N92" s="1">
        <v>5.4431296173519096E-7</v>
      </c>
      <c r="O92" s="1">
        <v>1.5464251064525801E-8</v>
      </c>
      <c r="P92" s="1">
        <v>-7.7902681576481995E-8</v>
      </c>
      <c r="Q92">
        <v>71.184620311480799</v>
      </c>
      <c r="R92">
        <v>0.18696309676963199</v>
      </c>
      <c r="S92">
        <v>14.0859397130896</v>
      </c>
      <c r="T92">
        <v>0.21183211486615999</v>
      </c>
      <c r="V92">
        <v>0.50925530177865097</v>
      </c>
      <c r="W92">
        <v>0.14547105247164799</v>
      </c>
      <c r="X92">
        <v>0.169085813862382</v>
      </c>
      <c r="AA92">
        <v>0.77367699818397195</v>
      </c>
      <c r="AB92">
        <v>2.48084533389284</v>
      </c>
      <c r="AC92">
        <v>5.0336322074933602</v>
      </c>
      <c r="AD92">
        <v>0.215512670328141</v>
      </c>
      <c r="AE92">
        <v>5.0031653857827401</v>
      </c>
    </row>
    <row r="93" spans="1:31" x14ac:dyDescent="0.2">
      <c r="A93">
        <v>92</v>
      </c>
      <c r="B93">
        <v>744</v>
      </c>
      <c r="C93">
        <v>200</v>
      </c>
      <c r="D93">
        <v>0.373947303740848</v>
      </c>
      <c r="E93">
        <v>15.388641556884201</v>
      </c>
      <c r="F93">
        <v>2.22801762801575</v>
      </c>
      <c r="G93">
        <v>-250.26926649494618</v>
      </c>
      <c r="H93">
        <v>-211.04308399117016</v>
      </c>
      <c r="I93">
        <v>38.5647962481207</v>
      </c>
      <c r="J93">
        <v>20.721697929145201</v>
      </c>
      <c r="K93">
        <v>6.90687603337732</v>
      </c>
      <c r="L93">
        <v>1.4068876905104288E-4</v>
      </c>
      <c r="M93">
        <v>1.7102361824871839E-5</v>
      </c>
      <c r="N93" s="1">
        <v>4.5114791168145898E-7</v>
      </c>
      <c r="O93" s="1">
        <v>1.2769277496947699E-8</v>
      </c>
      <c r="P93" s="1">
        <v>-6.4083821354558799E-8</v>
      </c>
      <c r="Q93">
        <v>70.824272827883405</v>
      </c>
      <c r="R93">
        <v>0.179001398897847</v>
      </c>
      <c r="S93">
        <v>14.521303333767101</v>
      </c>
      <c r="T93">
        <v>0.20746842818161801</v>
      </c>
      <c r="V93">
        <v>0.50243858186642198</v>
      </c>
      <c r="W93">
        <v>0.17412992853067899</v>
      </c>
      <c r="X93">
        <v>0.16596819148422701</v>
      </c>
      <c r="AA93">
        <v>0.79211509516565004</v>
      </c>
      <c r="AB93">
        <v>2.3327218975211101</v>
      </c>
      <c r="AC93">
        <v>5.0504155243575299</v>
      </c>
      <c r="AD93">
        <v>0.25993197549032099</v>
      </c>
      <c r="AE93">
        <v>4.9902328168539496</v>
      </c>
    </row>
    <row r="94" spans="1:31" x14ac:dyDescent="0.2">
      <c r="A94">
        <v>93</v>
      </c>
      <c r="B94">
        <v>742</v>
      </c>
      <c r="C94">
        <v>200</v>
      </c>
      <c r="D94">
        <v>0.37257597399398801</v>
      </c>
      <c r="E94">
        <v>13.400562357030999</v>
      </c>
      <c r="F94">
        <v>2.230802391119</v>
      </c>
      <c r="G94">
        <v>-217.93292540484848</v>
      </c>
      <c r="H94">
        <v>-183.91126910601602</v>
      </c>
      <c r="I94">
        <v>33.513920404701203</v>
      </c>
      <c r="J94">
        <v>18.059767306506799</v>
      </c>
      <c r="K94">
        <v>6.0070593479636498</v>
      </c>
      <c r="L94">
        <v>1.4048321276142781E-4</v>
      </c>
      <c r="M94">
        <v>1.709808499940023E-5</v>
      </c>
      <c r="N94" s="1">
        <v>3.92978610150144E-7</v>
      </c>
      <c r="O94" s="1">
        <v>1.10808105341166E-8</v>
      </c>
      <c r="P94" s="1">
        <v>-5.5437923007935099E-8</v>
      </c>
      <c r="Q94">
        <v>70.503880015516302</v>
      </c>
      <c r="R94">
        <v>0.177854645147523</v>
      </c>
      <c r="S94">
        <v>14.902088296311801</v>
      </c>
      <c r="T94">
        <v>0.202233438536744</v>
      </c>
      <c r="V94">
        <v>0.49250251241812998</v>
      </c>
      <c r="W94">
        <v>0.19910195244394999</v>
      </c>
      <c r="X94">
        <v>0.16423478040143799</v>
      </c>
      <c r="AA94">
        <v>0.809243225034049</v>
      </c>
      <c r="AB94">
        <v>2.2100039601919601</v>
      </c>
      <c r="AC94">
        <v>5.0599073027780799</v>
      </c>
      <c r="AD94">
        <v>0.29849493576615699</v>
      </c>
      <c r="AE94">
        <v>4.9804549354537997</v>
      </c>
    </row>
    <row r="95" spans="1:31" x14ac:dyDescent="0.2">
      <c r="A95">
        <v>94</v>
      </c>
      <c r="B95">
        <v>740</v>
      </c>
      <c r="C95">
        <v>200</v>
      </c>
      <c r="D95">
        <v>0.37119923012387401</v>
      </c>
      <c r="E95">
        <v>11.9908498285101</v>
      </c>
      <c r="F95">
        <v>2.2333352130722299</v>
      </c>
      <c r="G95">
        <v>-195.0025334362193</v>
      </c>
      <c r="H95">
        <v>-164.67688562608444</v>
      </c>
      <c r="I95">
        <v>29.932041464871801</v>
      </c>
      <c r="J95">
        <v>16.172805147306999</v>
      </c>
      <c r="K95">
        <v>5.36903271767037</v>
      </c>
      <c r="L95">
        <v>1.403351516988317E-4</v>
      </c>
      <c r="M95">
        <v>1.7096630113306558E-5</v>
      </c>
      <c r="N95" s="1">
        <v>3.5196573856410101E-7</v>
      </c>
      <c r="O95" s="1">
        <v>9.8864985674638599E-9</v>
      </c>
      <c r="P95" s="1">
        <v>-4.9332373217476501E-8</v>
      </c>
      <c r="Q95">
        <v>70.207899597979903</v>
      </c>
      <c r="R95">
        <v>0.176480042670833</v>
      </c>
      <c r="S95">
        <v>15.249984943565901</v>
      </c>
      <c r="T95">
        <v>0.197531192261552</v>
      </c>
      <c r="V95">
        <v>0.48324223614961198</v>
      </c>
      <c r="W95">
        <v>0.22162739971613499</v>
      </c>
      <c r="X95">
        <v>0.16248623096593601</v>
      </c>
      <c r="AA95">
        <v>0.82590013288755304</v>
      </c>
      <c r="AB95">
        <v>2.1041465088348099</v>
      </c>
      <c r="AC95">
        <v>5.0632175548099703</v>
      </c>
      <c r="AD95">
        <v>0.333587698720199</v>
      </c>
      <c r="AE95">
        <v>4.9738964614374499</v>
      </c>
    </row>
    <row r="96" spans="1:31" x14ac:dyDescent="0.2">
      <c r="A96">
        <v>95</v>
      </c>
      <c r="B96">
        <v>738</v>
      </c>
      <c r="C96">
        <v>200</v>
      </c>
      <c r="D96">
        <v>0.36981704000395799</v>
      </c>
      <c r="E96">
        <v>10.926112385277801</v>
      </c>
      <c r="F96">
        <v>2.2356809525558199</v>
      </c>
      <c r="G96">
        <v>-177.68249050626213</v>
      </c>
      <c r="H96">
        <v>-150.15254947950075</v>
      </c>
      <c r="I96">
        <v>27.2263670343286</v>
      </c>
      <c r="J96">
        <v>14.748018698050601</v>
      </c>
      <c r="K96">
        <v>4.8871518866711199</v>
      </c>
      <c r="L96">
        <v>1.4022954226921997E-4</v>
      </c>
      <c r="M96">
        <v>1.7097249169582664E-5</v>
      </c>
      <c r="N96" s="1">
        <v>3.2116341525693601E-7</v>
      </c>
      <c r="O96" s="1">
        <v>8.9866171949296195E-9</v>
      </c>
      <c r="P96" s="1">
        <v>-4.4739615044504198E-8</v>
      </c>
      <c r="Q96">
        <v>69.930241123230601</v>
      </c>
      <c r="R96">
        <v>0.17494279835774801</v>
      </c>
      <c r="S96">
        <v>15.573138922775399</v>
      </c>
      <c r="T96">
        <v>0.19323033458572</v>
      </c>
      <c r="V96">
        <v>0.47449986549251999</v>
      </c>
      <c r="W96">
        <v>0.242321682091138</v>
      </c>
      <c r="X96">
        <v>0.160727167184159</v>
      </c>
      <c r="AA96">
        <v>0.84230207447738903</v>
      </c>
      <c r="AB96">
        <v>2.01080668415542</v>
      </c>
      <c r="AC96">
        <v>5.0619718600048396</v>
      </c>
      <c r="AD96">
        <v>0.36609544721336701</v>
      </c>
      <c r="AE96">
        <v>4.9697220404315301</v>
      </c>
    </row>
    <row r="97" spans="1:31" x14ac:dyDescent="0.2">
      <c r="A97">
        <v>96</v>
      </c>
      <c r="B97">
        <v>764</v>
      </c>
      <c r="C97">
        <v>180</v>
      </c>
      <c r="D97">
        <v>0.40858169020874802</v>
      </c>
      <c r="E97">
        <v>105.087593402091</v>
      </c>
      <c r="F97">
        <v>2.20437964976102</v>
      </c>
      <c r="G97">
        <v>-1714.4784061289329</v>
      </c>
      <c r="H97">
        <v>-1437.2955097517106</v>
      </c>
      <c r="I97">
        <v>267.25439558137401</v>
      </c>
      <c r="J97">
        <v>140.92780902538399</v>
      </c>
      <c r="K97">
        <v>47.672184513898998</v>
      </c>
      <c r="L97">
        <v>1.409127628761785E-4</v>
      </c>
      <c r="M97">
        <v>1.7357465423168545E-5</v>
      </c>
      <c r="N97" s="1">
        <v>2.9979314142359198E-6</v>
      </c>
      <c r="O97" s="1">
        <v>8.9075540278138298E-8</v>
      </c>
      <c r="P97" s="1">
        <v>-4.5106594890157E-7</v>
      </c>
      <c r="Q97">
        <v>73.053342944374904</v>
      </c>
      <c r="R97">
        <v>9.1352363197318404E-2</v>
      </c>
      <c r="S97">
        <v>12.3325690316384</v>
      </c>
      <c r="T97">
        <v>0.24213372573880801</v>
      </c>
      <c r="V97">
        <v>0.57194271415088904</v>
      </c>
      <c r="W97">
        <v>2.5692852149245601E-2</v>
      </c>
      <c r="X97">
        <v>0.114190453996649</v>
      </c>
      <c r="AA97">
        <v>0.75175382214459596</v>
      </c>
      <c r="AB97">
        <v>3.3781342640674801</v>
      </c>
      <c r="AC97">
        <v>4.4629435770356096</v>
      </c>
      <c r="AD97">
        <v>3.80634846655485E-2</v>
      </c>
      <c r="AE97">
        <v>4.9378807668404399</v>
      </c>
    </row>
    <row r="98" spans="1:31" x14ac:dyDescent="0.2">
      <c r="A98">
        <v>97</v>
      </c>
      <c r="B98">
        <v>762</v>
      </c>
      <c r="C98">
        <v>180</v>
      </c>
      <c r="D98">
        <v>0.40730377240013699</v>
      </c>
      <c r="E98">
        <v>104.74645095352599</v>
      </c>
      <c r="F98">
        <v>2.2050676003279102</v>
      </c>
      <c r="G98">
        <v>-1708.2582419821861</v>
      </c>
      <c r="H98">
        <v>-1432.8739900187559</v>
      </c>
      <c r="I98">
        <v>266.03318549333898</v>
      </c>
      <c r="J98">
        <v>140.40742985358801</v>
      </c>
      <c r="K98">
        <v>47.502603066658402</v>
      </c>
      <c r="L98">
        <v>1.4064061389951291E-4</v>
      </c>
      <c r="M98">
        <v>1.7332515142840026E-5</v>
      </c>
      <c r="N98" s="1">
        <v>2.99059284721685E-6</v>
      </c>
      <c r="O98" s="1">
        <v>8.8533871390533301E-8</v>
      </c>
      <c r="P98" s="1">
        <v>-4.4854669495458999E-7</v>
      </c>
      <c r="Q98">
        <v>73.096827935580706</v>
      </c>
      <c r="R98">
        <v>9.1649883242911803E-2</v>
      </c>
      <c r="S98">
        <v>12.3059316847903</v>
      </c>
      <c r="T98">
        <v>0.24360803763057601</v>
      </c>
      <c r="V98">
        <v>0.57318842080379595</v>
      </c>
      <c r="W98">
        <v>2.57765296620685E-2</v>
      </c>
      <c r="X98">
        <v>0.114562354053643</v>
      </c>
      <c r="AA98">
        <v>0.74445883951752101</v>
      </c>
      <c r="AB98">
        <v>3.36216003353745</v>
      </c>
      <c r="AC98">
        <v>4.47312788083432</v>
      </c>
      <c r="AD98">
        <v>3.8187451351211099E-2</v>
      </c>
      <c r="AE98">
        <v>4.93052094899544</v>
      </c>
    </row>
    <row r="99" spans="1:31" x14ac:dyDescent="0.2">
      <c r="A99">
        <v>98</v>
      </c>
      <c r="B99">
        <v>760</v>
      </c>
      <c r="C99">
        <v>180</v>
      </c>
      <c r="D99">
        <v>0.40602090693510101</v>
      </c>
      <c r="E99">
        <v>101.45714345946099</v>
      </c>
      <c r="F99">
        <v>2.2068480972020801</v>
      </c>
      <c r="G99">
        <v>-1653.0794571442445</v>
      </c>
      <c r="H99">
        <v>-1387.3874010039649</v>
      </c>
      <c r="I99">
        <v>257.16697104997297</v>
      </c>
      <c r="J99">
        <v>135.91648195945601</v>
      </c>
      <c r="K99">
        <v>45.973777528273096</v>
      </c>
      <c r="L99">
        <v>1.4019405131194838E-4</v>
      </c>
      <c r="M99">
        <v>1.7267429828577698E-5</v>
      </c>
      <c r="N99" s="1">
        <v>2.8872492028485602E-6</v>
      </c>
      <c r="O99" s="1">
        <v>8.5196553551824904E-8</v>
      </c>
      <c r="P99" s="1">
        <v>-4.3270346459924597E-7</v>
      </c>
      <c r="Q99">
        <v>73.0369765196413</v>
      </c>
      <c r="R99">
        <v>9.4621232893629198E-2</v>
      </c>
      <c r="S99">
        <v>12.318589117920499</v>
      </c>
      <c r="T99">
        <v>0.25239107811033901</v>
      </c>
      <c r="V99">
        <v>0.59097513812129698</v>
      </c>
      <c r="W99">
        <v>2.6612221751332599E-2</v>
      </c>
      <c r="X99">
        <v>0.118276541117042</v>
      </c>
      <c r="AA99">
        <v>0.71559466271025896</v>
      </c>
      <c r="AB99">
        <v>3.31369989943384</v>
      </c>
      <c r="AC99">
        <v>4.5895971381885499</v>
      </c>
      <c r="AD99">
        <v>3.9425513705675902E-2</v>
      </c>
      <c r="AE99">
        <v>4.9032409364060703</v>
      </c>
    </row>
    <row r="100" spans="1:31" x14ac:dyDescent="0.2">
      <c r="A100">
        <v>99</v>
      </c>
      <c r="B100">
        <v>758</v>
      </c>
      <c r="C100">
        <v>180</v>
      </c>
      <c r="D100">
        <v>0.40473306502448703</v>
      </c>
      <c r="E100">
        <v>97.914619995134302</v>
      </c>
      <c r="F100">
        <v>2.2088242409653698</v>
      </c>
      <c r="G100">
        <v>-1593.7764297902595</v>
      </c>
      <c r="H100">
        <v>-1338.3951369268668</v>
      </c>
      <c r="I100">
        <v>247.66648195062999</v>
      </c>
      <c r="J100">
        <v>131.090851447261</v>
      </c>
      <c r="K100">
        <v>44.3288416430726</v>
      </c>
      <c r="L100">
        <v>1.3971714614561975E-4</v>
      </c>
      <c r="M100">
        <v>1.7197373281169292E-5</v>
      </c>
      <c r="N100" s="1">
        <v>2.77572275476536E-6</v>
      </c>
      <c r="O100" s="1">
        <v>8.1643811914339604E-8</v>
      </c>
      <c r="P100" s="1">
        <v>-4.1573133726832099E-7</v>
      </c>
      <c r="Q100">
        <v>72.9633702379612</v>
      </c>
      <c r="R100">
        <v>9.8044602537161601E-2</v>
      </c>
      <c r="S100">
        <v>12.3372638355272</v>
      </c>
      <c r="T100">
        <v>0.26243731613592702</v>
      </c>
      <c r="V100">
        <v>0.61153330589847099</v>
      </c>
      <c r="W100">
        <v>2.75750444635753E-2</v>
      </c>
      <c r="X100">
        <v>0.122555753171463</v>
      </c>
      <c r="AA100">
        <v>0.68937902282673202</v>
      </c>
      <c r="AB100">
        <v>3.2576248461353501</v>
      </c>
      <c r="AC100">
        <v>4.7161088219305896</v>
      </c>
      <c r="AD100">
        <v>4.0851917723810999E-2</v>
      </c>
      <c r="AE100">
        <v>4.8732552956884199</v>
      </c>
    </row>
    <row r="101" spans="1:31" x14ac:dyDescent="0.2">
      <c r="A101">
        <v>100</v>
      </c>
      <c r="B101">
        <v>756</v>
      </c>
      <c r="C101">
        <v>180</v>
      </c>
      <c r="D101">
        <v>0.40344021765534699</v>
      </c>
      <c r="E101">
        <v>94.197182543267601</v>
      </c>
      <c r="F101">
        <v>2.21095917840726</v>
      </c>
      <c r="G101">
        <v>-1531.6780825046596</v>
      </c>
      <c r="H101">
        <v>-1287.0099704604236</v>
      </c>
      <c r="I101">
        <v>237.73804794659301</v>
      </c>
      <c r="J101">
        <v>126.03464557333101</v>
      </c>
      <c r="K101">
        <v>42.604668355354001</v>
      </c>
      <c r="L101">
        <v>1.3920423546734761E-4</v>
      </c>
      <c r="M101">
        <v>1.7123907699276767E-5</v>
      </c>
      <c r="N101" s="1">
        <v>2.6587699829915499E-6</v>
      </c>
      <c r="O101" s="1">
        <v>7.7957164438462701E-8</v>
      </c>
      <c r="P101" s="1">
        <v>-3.9795524898818899E-7</v>
      </c>
      <c r="Q101">
        <v>72.885043595892199</v>
      </c>
      <c r="R101">
        <v>0.101913876198904</v>
      </c>
      <c r="S101">
        <v>12.357413771517701</v>
      </c>
      <c r="T101">
        <v>0.27371191028911801</v>
      </c>
      <c r="V101">
        <v>0.63484139713033605</v>
      </c>
      <c r="W101">
        <v>2.86632776809401E-2</v>
      </c>
      <c r="X101">
        <v>0.12739234524864401</v>
      </c>
      <c r="AA101">
        <v>0.66732688759884395</v>
      </c>
      <c r="AB101">
        <v>3.1934948304448501</v>
      </c>
      <c r="AC101">
        <v>4.8466261612489001</v>
      </c>
      <c r="AD101">
        <v>4.2464115082869097E-2</v>
      </c>
      <c r="AE101">
        <v>4.8411078316665899</v>
      </c>
    </row>
    <row r="102" spans="1:31" x14ac:dyDescent="0.2">
      <c r="A102">
        <v>101</v>
      </c>
      <c r="B102">
        <v>754</v>
      </c>
      <c r="C102">
        <v>180</v>
      </c>
      <c r="D102">
        <v>0.402142335588766</v>
      </c>
      <c r="E102">
        <v>37.840384414322301</v>
      </c>
      <c r="F102">
        <v>2.2169140295943901</v>
      </c>
      <c r="G102">
        <v>-615.3573720538767</v>
      </c>
      <c r="H102">
        <v>-517.72621971452099</v>
      </c>
      <c r="I102">
        <v>95.050530437964895</v>
      </c>
      <c r="J102">
        <v>50.6756246886928</v>
      </c>
      <c r="K102">
        <v>17.068945348884601</v>
      </c>
      <c r="L102">
        <v>1.3781200004593579E-4</v>
      </c>
      <c r="M102">
        <v>1.7024355530497097E-5</v>
      </c>
      <c r="N102" s="1">
        <v>1.0540413157178399E-6</v>
      </c>
      <c r="O102" s="1">
        <v>3.0818973546325598E-8</v>
      </c>
      <c r="P102" s="1">
        <v>-1.5615438544596701E-7</v>
      </c>
      <c r="Q102">
        <v>72.405599345743497</v>
      </c>
      <c r="R102">
        <v>0.14693772733369401</v>
      </c>
      <c r="S102">
        <v>12.966987210484399</v>
      </c>
      <c r="T102">
        <v>0.23929105991774999</v>
      </c>
      <c r="V102">
        <v>0.56200496886364804</v>
      </c>
      <c r="W102">
        <v>7.1352340674889603E-2</v>
      </c>
      <c r="X102">
        <v>0.171403818001684</v>
      </c>
      <c r="AA102">
        <v>0.72752191166299296</v>
      </c>
      <c r="AB102">
        <v>2.8363815684474001</v>
      </c>
      <c r="AC102">
        <v>5.0001161135829797</v>
      </c>
      <c r="AD102">
        <v>0.10570717137013801</v>
      </c>
      <c r="AE102">
        <v>4.7666967639168396</v>
      </c>
    </row>
    <row r="103" spans="1:31" x14ac:dyDescent="0.2">
      <c r="A103">
        <v>102</v>
      </c>
      <c r="B103">
        <v>752</v>
      </c>
      <c r="C103">
        <v>180</v>
      </c>
      <c r="D103">
        <v>0.40083938935765601</v>
      </c>
      <c r="E103">
        <v>24.275835192132099</v>
      </c>
      <c r="F103">
        <v>2.2215510226989199</v>
      </c>
      <c r="G103">
        <v>-394.78533452212861</v>
      </c>
      <c r="H103">
        <v>-332.48493570339798</v>
      </c>
      <c r="I103">
        <v>60.771983435332103</v>
      </c>
      <c r="J103">
        <v>32.542281191263498</v>
      </c>
      <c r="K103">
        <v>10.927426353971301</v>
      </c>
      <c r="L103">
        <v>1.3708838660688941E-4</v>
      </c>
      <c r="M103">
        <v>1.6985512583967971E-5</v>
      </c>
      <c r="N103" s="1">
        <v>6.7224417838038805E-7</v>
      </c>
      <c r="O103" s="1">
        <v>1.9590246350840899E-8</v>
      </c>
      <c r="P103" s="1">
        <v>-9.8629279367626205E-8</v>
      </c>
      <c r="Q103">
        <v>71.939467800050295</v>
      </c>
      <c r="R103">
        <v>0.174114804984072</v>
      </c>
      <c r="S103">
        <v>13.540688721434201</v>
      </c>
      <c r="T103">
        <v>0.223049706335643</v>
      </c>
      <c r="V103">
        <v>0.52992340804124405</v>
      </c>
      <c r="W103">
        <v>0.11122171404732401</v>
      </c>
      <c r="X103">
        <v>0.17518395897598499</v>
      </c>
      <c r="AA103">
        <v>0.75500105738929801</v>
      </c>
      <c r="AB103">
        <v>2.5884913952867401</v>
      </c>
      <c r="AC103">
        <v>5.0700127241318098</v>
      </c>
      <c r="AD103">
        <v>0.16477290969959499</v>
      </c>
      <c r="AE103">
        <v>4.7280717996236001</v>
      </c>
    </row>
    <row r="104" spans="1:31" x14ac:dyDescent="0.2">
      <c r="A104">
        <v>103</v>
      </c>
      <c r="B104">
        <v>750</v>
      </c>
      <c r="C104">
        <v>180</v>
      </c>
      <c r="D104">
        <v>0.39953134926452799</v>
      </c>
      <c r="E104">
        <v>18.8143978412499</v>
      </c>
      <c r="F104">
        <v>2.2251898182521201</v>
      </c>
      <c r="G104">
        <v>-305.97148997734445</v>
      </c>
      <c r="H104">
        <v>-257.9087627964978</v>
      </c>
      <c r="I104">
        <v>46.975250140103299</v>
      </c>
      <c r="J104">
        <v>25.244108613879099</v>
      </c>
      <c r="K104">
        <v>8.4551878167538206</v>
      </c>
      <c r="L104">
        <v>1.3664727371688051E-4</v>
      </c>
      <c r="M104">
        <v>1.6965228902509551E-5</v>
      </c>
      <c r="N104" s="1">
        <v>5.1964198641510196E-7</v>
      </c>
      <c r="O104" s="1">
        <v>1.5089522005922899E-8</v>
      </c>
      <c r="P104" s="1">
        <v>-7.56102721312113E-8</v>
      </c>
      <c r="Q104">
        <v>71.550564753876202</v>
      </c>
      <c r="R104">
        <v>0.18988715425651401</v>
      </c>
      <c r="S104">
        <v>14.009837982029699</v>
      </c>
      <c r="T104">
        <v>0.212268874782296</v>
      </c>
      <c r="V104">
        <v>0.508549418711149</v>
      </c>
      <c r="W104">
        <v>0.143507117409816</v>
      </c>
      <c r="X104">
        <v>0.17663321889271999</v>
      </c>
      <c r="AA104">
        <v>0.77427178867634205</v>
      </c>
      <c r="AB104">
        <v>2.4092990209509102</v>
      </c>
      <c r="AC104">
        <v>5.1075399869035598</v>
      </c>
      <c r="AD104">
        <v>0.21260313690323401</v>
      </c>
      <c r="AE104">
        <v>4.7050375466074703</v>
      </c>
    </row>
    <row r="105" spans="1:31" x14ac:dyDescent="0.2">
      <c r="A105">
        <v>104</v>
      </c>
      <c r="B105">
        <v>748</v>
      </c>
      <c r="C105">
        <v>180</v>
      </c>
      <c r="D105">
        <v>0.39821818537923098</v>
      </c>
      <c r="E105">
        <v>15.6891682240185</v>
      </c>
      <c r="F105">
        <v>2.2282475922443701</v>
      </c>
      <c r="G105">
        <v>-255.14380864806063</v>
      </c>
      <c r="H105">
        <v>-215.23279002919958</v>
      </c>
      <c r="I105">
        <v>39.084383899388897</v>
      </c>
      <c r="J105">
        <v>21.069384511270499</v>
      </c>
      <c r="K105">
        <v>7.0410345235539298</v>
      </c>
      <c r="L105">
        <v>1.3636645270855084E-4</v>
      </c>
      <c r="M105">
        <v>1.6956962638389101E-5</v>
      </c>
      <c r="N105" s="1">
        <v>4.3306553037475499E-7</v>
      </c>
      <c r="O105" s="1">
        <v>1.25291634097297E-8</v>
      </c>
      <c r="P105" s="1">
        <v>-6.2539854651683396E-8</v>
      </c>
      <c r="Q105">
        <v>71.202177711922801</v>
      </c>
      <c r="R105">
        <v>0.19062266326225399</v>
      </c>
      <c r="S105">
        <v>14.427368489250799</v>
      </c>
      <c r="T105">
        <v>0.20600625480659601</v>
      </c>
      <c r="V105">
        <v>0.49694171407432902</v>
      </c>
      <c r="W105">
        <v>0.17136520257539201</v>
      </c>
      <c r="X105">
        <v>0.17522114594709301</v>
      </c>
      <c r="AA105">
        <v>0.79158338259701699</v>
      </c>
      <c r="AB105">
        <v>2.2652923012670798</v>
      </c>
      <c r="AC105">
        <v>5.1268454032172697</v>
      </c>
      <c r="AD105">
        <v>0.25495296773420301</v>
      </c>
      <c r="AE105">
        <v>4.69162276334505</v>
      </c>
    </row>
    <row r="106" spans="1:31" x14ac:dyDescent="0.2">
      <c r="A106">
        <v>105</v>
      </c>
      <c r="B106">
        <v>746</v>
      </c>
      <c r="C106">
        <v>180</v>
      </c>
      <c r="D106">
        <v>0.396899867536674</v>
      </c>
      <c r="E106">
        <v>13.6664749165766</v>
      </c>
      <c r="F106">
        <v>2.2309478399168698</v>
      </c>
      <c r="G106">
        <v>-222.24573159752018</v>
      </c>
      <c r="H106">
        <v>-187.61781519792314</v>
      </c>
      <c r="I106">
        <v>33.977252023349898</v>
      </c>
      <c r="J106">
        <v>18.368275215243901</v>
      </c>
      <c r="K106">
        <v>6.1258603504983302</v>
      </c>
      <c r="L106">
        <v>1.3616916755102576E-4</v>
      </c>
      <c r="M106">
        <v>1.6953354914897508E-5</v>
      </c>
      <c r="N106" s="1">
        <v>3.7737556269204403E-7</v>
      </c>
      <c r="O106" s="1">
        <v>1.08770961645419E-8</v>
      </c>
      <c r="P106" s="1">
        <v>-5.4119850062714799E-8</v>
      </c>
      <c r="Q106">
        <v>70.886974542775704</v>
      </c>
      <c r="R106">
        <v>0.189357243598541</v>
      </c>
      <c r="S106">
        <v>14.8012819802852</v>
      </c>
      <c r="T106">
        <v>0.200843268416427</v>
      </c>
      <c r="V106">
        <v>0.48715606433932801</v>
      </c>
      <c r="W106">
        <v>0.19586759218237601</v>
      </c>
      <c r="X106">
        <v>0.17347238186709499</v>
      </c>
      <c r="AA106">
        <v>0.80786663547606097</v>
      </c>
      <c r="AB106">
        <v>2.1451681162895002</v>
      </c>
      <c r="AC106">
        <v>5.1364879201585802</v>
      </c>
      <c r="AD106">
        <v>0.29268703337264701</v>
      </c>
      <c r="AE106">
        <v>4.68283722123841</v>
      </c>
    </row>
    <row r="107" spans="1:31" x14ac:dyDescent="0.2">
      <c r="A107">
        <v>106</v>
      </c>
      <c r="B107">
        <v>744</v>
      </c>
      <c r="C107">
        <v>180</v>
      </c>
      <c r="D107">
        <v>0.39557636533451601</v>
      </c>
      <c r="E107">
        <v>12.2311875203669</v>
      </c>
      <c r="F107">
        <v>2.2334047228722902</v>
      </c>
      <c r="G107">
        <v>-198.90028712188752</v>
      </c>
      <c r="H107">
        <v>-168.0269592267839</v>
      </c>
      <c r="I107">
        <v>30.352777756578298</v>
      </c>
      <c r="J107">
        <v>16.4521364530268</v>
      </c>
      <c r="K107">
        <v>5.4764760704172399</v>
      </c>
      <c r="L107">
        <v>1.3602623407912211E-4</v>
      </c>
      <c r="M107">
        <v>1.6952451092425606E-5</v>
      </c>
      <c r="N107" s="1">
        <v>3.3807966635755E-7</v>
      </c>
      <c r="O107" s="1">
        <v>9.7076259230791198E-9</v>
      </c>
      <c r="P107" s="1">
        <v>-4.8168885570692299E-8</v>
      </c>
      <c r="Q107">
        <v>70.596010877225794</v>
      </c>
      <c r="R107">
        <v>0.18785664835579799</v>
      </c>
      <c r="S107">
        <v>15.1430366566507</v>
      </c>
      <c r="T107">
        <v>0.196203057868478</v>
      </c>
      <c r="V107">
        <v>0.478034876576164</v>
      </c>
      <c r="W107">
        <v>0.21796929325185599</v>
      </c>
      <c r="X107">
        <v>0.17170868459646199</v>
      </c>
      <c r="AA107">
        <v>0.82362439482723004</v>
      </c>
      <c r="AB107">
        <v>2.0416918630724301</v>
      </c>
      <c r="AC107">
        <v>5.1398366351551603</v>
      </c>
      <c r="AD107">
        <v>0.32703284070604299</v>
      </c>
      <c r="AE107">
        <v>4.6769941717137904</v>
      </c>
    </row>
    <row r="108" spans="1:31" x14ac:dyDescent="0.2">
      <c r="A108">
        <v>107</v>
      </c>
      <c r="B108">
        <v>742</v>
      </c>
      <c r="C108">
        <v>180</v>
      </c>
      <c r="D108">
        <v>0.39424764813081797</v>
      </c>
      <c r="E108">
        <v>11.146825629494</v>
      </c>
      <c r="F108">
        <v>2.2356812062502001</v>
      </c>
      <c r="G108">
        <v>-181.26174273642019</v>
      </c>
      <c r="H108">
        <v>-153.22933737932883</v>
      </c>
      <c r="I108">
        <v>27.614052462287699</v>
      </c>
      <c r="J108">
        <v>15.004885844300301</v>
      </c>
      <c r="K108">
        <v>4.9858743716820202</v>
      </c>
      <c r="L108">
        <v>1.3592319881580381E-4</v>
      </c>
      <c r="M108">
        <v>1.6953509540073578E-5</v>
      </c>
      <c r="N108" s="1">
        <v>3.0855552290693E-7</v>
      </c>
      <c r="O108" s="1">
        <v>8.8261357876059006E-9</v>
      </c>
      <c r="P108" s="1">
        <v>-4.36904890567096E-8</v>
      </c>
      <c r="Q108">
        <v>70.323274827483402</v>
      </c>
      <c r="R108">
        <v>0.18619000496834301</v>
      </c>
      <c r="S108">
        <v>15.460551918046001</v>
      </c>
      <c r="T108">
        <v>0.19195620024843499</v>
      </c>
      <c r="V108">
        <v>0.46942081187566598</v>
      </c>
      <c r="W108">
        <v>0.23826833687580001</v>
      </c>
      <c r="X108">
        <v>0.16993465204845701</v>
      </c>
      <c r="AA108">
        <v>0.83911551408098495</v>
      </c>
      <c r="AB108">
        <v>1.9505444274347199</v>
      </c>
      <c r="AC108">
        <v>5.1385790053145</v>
      </c>
      <c r="AD108">
        <v>0.358846557122945</v>
      </c>
      <c r="AE108">
        <v>4.6733177445005998</v>
      </c>
    </row>
    <row r="109" spans="1:31" x14ac:dyDescent="0.2">
      <c r="A109">
        <v>108</v>
      </c>
      <c r="B109">
        <v>740</v>
      </c>
      <c r="C109">
        <v>180</v>
      </c>
      <c r="D109">
        <v>0.39291368504170499</v>
      </c>
      <c r="E109">
        <v>10.2910599373596</v>
      </c>
      <c r="F109">
        <v>2.2378175376770799</v>
      </c>
      <c r="G109">
        <v>-167.34074789652863</v>
      </c>
      <c r="H109">
        <v>-141.55372884084215</v>
      </c>
      <c r="I109">
        <v>25.452321034088101</v>
      </c>
      <c r="J109">
        <v>13.863031206746401</v>
      </c>
      <c r="K109">
        <v>4.59870376565285</v>
      </c>
      <c r="L109">
        <v>1.3585100632161436E-4</v>
      </c>
      <c r="M109">
        <v>1.6956075804680477E-5</v>
      </c>
      <c r="N109" s="1">
        <v>2.8538273374012102E-7</v>
      </c>
      <c r="O109" s="1">
        <v>8.1320414071533301E-9</v>
      </c>
      <c r="P109" s="1">
        <v>-4.0169841229389301E-8</v>
      </c>
      <c r="Q109">
        <v>70.064846452674502</v>
      </c>
      <c r="R109">
        <v>0.184401111624203</v>
      </c>
      <c r="S109">
        <v>15.758979764181101</v>
      </c>
      <c r="T109">
        <v>0.188019679566401</v>
      </c>
      <c r="V109">
        <v>0.46121372772727498</v>
      </c>
      <c r="W109">
        <v>0.25715488752651899</v>
      </c>
      <c r="X109">
        <v>0.16815320373218701</v>
      </c>
      <c r="AA109">
        <v>0.85447278516684999</v>
      </c>
      <c r="AB109">
        <v>1.86897357670912</v>
      </c>
      <c r="AC109">
        <v>5.1337765528439601</v>
      </c>
      <c r="AD109">
        <v>0.388686882045296</v>
      </c>
      <c r="AE109">
        <v>4.67132137620258</v>
      </c>
    </row>
    <row r="110" spans="1:31" x14ac:dyDescent="0.2">
      <c r="A110">
        <v>109</v>
      </c>
      <c r="B110">
        <v>772</v>
      </c>
      <c r="C110">
        <v>160</v>
      </c>
      <c r="D110">
        <v>0.43469406305315</v>
      </c>
      <c r="E110">
        <v>104.7592538884</v>
      </c>
      <c r="F110">
        <v>2.2044117812213</v>
      </c>
      <c r="G110">
        <v>-1710.3427693835952</v>
      </c>
      <c r="H110">
        <v>-1432.8674606344839</v>
      </c>
      <c r="I110">
        <v>265.48850284563002</v>
      </c>
      <c r="J110">
        <v>140.25346251534299</v>
      </c>
      <c r="K110">
        <v>47.522543102342098</v>
      </c>
      <c r="L110">
        <v>1.367967810484848E-4</v>
      </c>
      <c r="M110">
        <v>1.7219298207366829E-5</v>
      </c>
      <c r="N110" s="1">
        <v>2.7995490058278399E-6</v>
      </c>
      <c r="O110" s="1">
        <v>8.5602377797106104E-8</v>
      </c>
      <c r="P110" s="1">
        <v>-4.3017584876167101E-7</v>
      </c>
      <c r="Q110">
        <v>73.282308865821193</v>
      </c>
      <c r="R110">
        <v>9.1638682442573297E-2</v>
      </c>
      <c r="S110">
        <v>12.371222129748</v>
      </c>
      <c r="T110">
        <v>0.24228297116589001</v>
      </c>
      <c r="V110">
        <v>0.57428388994677004</v>
      </c>
      <c r="W110">
        <v>2.5773379436973502E-2</v>
      </c>
      <c r="X110">
        <v>0.114548353053218</v>
      </c>
      <c r="AA110">
        <v>0.75410999093367304</v>
      </c>
      <c r="AB110">
        <v>3.38872211115764</v>
      </c>
      <c r="AC110">
        <v>4.47693146516316</v>
      </c>
      <c r="AD110">
        <v>3.81827843510711E-2</v>
      </c>
      <c r="AE110">
        <v>4.6399953767797397</v>
      </c>
    </row>
    <row r="111" spans="1:31" x14ac:dyDescent="0.2">
      <c r="A111">
        <v>110</v>
      </c>
      <c r="B111">
        <v>770</v>
      </c>
      <c r="C111">
        <v>160</v>
      </c>
      <c r="D111">
        <v>0.43347601016152998</v>
      </c>
      <c r="E111">
        <v>104.383538420832</v>
      </c>
      <c r="F111">
        <v>2.2050474490314</v>
      </c>
      <c r="G111">
        <v>-1703.5528912777363</v>
      </c>
      <c r="H111">
        <v>-1427.9663608163769</v>
      </c>
      <c r="I111">
        <v>264.18686714409102</v>
      </c>
      <c r="J111">
        <v>139.68625012811401</v>
      </c>
      <c r="K111">
        <v>47.3384545383297</v>
      </c>
      <c r="L111">
        <v>1.3653427682850492E-4</v>
      </c>
      <c r="M111">
        <v>1.7195637907723308E-5</v>
      </c>
      <c r="N111" s="1">
        <v>2.7918929934374101E-6</v>
      </c>
      <c r="O111" s="1">
        <v>8.5060209179107895E-8</v>
      </c>
      <c r="P111" s="1">
        <v>-4.2763834537989699E-7</v>
      </c>
      <c r="Q111">
        <v>73.329570467783697</v>
      </c>
      <c r="R111">
        <v>9.1968524397943605E-2</v>
      </c>
      <c r="S111">
        <v>12.3413751190393</v>
      </c>
      <c r="T111">
        <v>0.24381418508550701</v>
      </c>
      <c r="V111">
        <v>0.575757845373425</v>
      </c>
      <c r="W111">
        <v>2.58661474869212E-2</v>
      </c>
      <c r="X111">
        <v>0.11496065549743199</v>
      </c>
      <c r="AA111">
        <v>0.74598301105353504</v>
      </c>
      <c r="AB111">
        <v>3.37086039844118</v>
      </c>
      <c r="AC111">
        <v>4.4882278353173497</v>
      </c>
      <c r="AD111">
        <v>3.83202184991411E-2</v>
      </c>
      <c r="AE111">
        <v>4.6332955920244103</v>
      </c>
    </row>
    <row r="112" spans="1:31" x14ac:dyDescent="0.2">
      <c r="A112">
        <v>111</v>
      </c>
      <c r="B112">
        <v>768</v>
      </c>
      <c r="C112">
        <v>160</v>
      </c>
      <c r="D112">
        <v>0.43225327762570398</v>
      </c>
      <c r="E112">
        <v>103.651584472031</v>
      </c>
      <c r="F112">
        <v>2.2057048437946398</v>
      </c>
      <c r="G112">
        <v>-1690.8405192622115</v>
      </c>
      <c r="H112">
        <v>-1418.1507672974972</v>
      </c>
      <c r="I112">
        <v>261.91207027297997</v>
      </c>
      <c r="J112">
        <v>138.60704199349101</v>
      </c>
      <c r="K112">
        <v>46.992499818657301</v>
      </c>
      <c r="L112">
        <v>1.3610561653077438E-4</v>
      </c>
      <c r="M112">
        <v>1.7162961130779209E-5</v>
      </c>
      <c r="N112" s="1">
        <v>2.77108311945996E-6</v>
      </c>
      <c r="O112" s="1">
        <v>8.4131536320388597E-8</v>
      </c>
      <c r="P112" s="1">
        <v>-4.2291483466145701E-7</v>
      </c>
      <c r="Q112">
        <v>73.421372367120199</v>
      </c>
      <c r="R112">
        <v>9.2617976357037293E-2</v>
      </c>
      <c r="S112">
        <v>12.283262269857801</v>
      </c>
      <c r="T112">
        <v>0.24612445615424999</v>
      </c>
      <c r="V112">
        <v>0.579294091422632</v>
      </c>
      <c r="W112">
        <v>2.60488058504161E-2</v>
      </c>
      <c r="X112">
        <v>0.115772470446301</v>
      </c>
      <c r="AA112">
        <v>0.73081466837795594</v>
      </c>
      <c r="AB112">
        <v>3.3354745334335401</v>
      </c>
      <c r="AC112">
        <v>4.5100045378159104</v>
      </c>
      <c r="AD112">
        <v>3.8590823482096102E-2</v>
      </c>
      <c r="AE112">
        <v>4.6206229996817996</v>
      </c>
    </row>
    <row r="113" spans="1:31" x14ac:dyDescent="0.2">
      <c r="A113">
        <v>112</v>
      </c>
      <c r="B113">
        <v>766</v>
      </c>
      <c r="C113">
        <v>160</v>
      </c>
      <c r="D113">
        <v>0.43102583842564002</v>
      </c>
      <c r="E113">
        <v>101.751675496099</v>
      </c>
      <c r="F113">
        <v>2.2068564620323001</v>
      </c>
      <c r="G113">
        <v>-1658.7422302657531</v>
      </c>
      <c r="H113">
        <v>-1392.0355745318707</v>
      </c>
      <c r="I113">
        <v>256.65847638346997</v>
      </c>
      <c r="J113">
        <v>135.97788705301701</v>
      </c>
      <c r="K113">
        <v>46.107065523598202</v>
      </c>
      <c r="L113">
        <v>1.3568978909694226E-4</v>
      </c>
      <c r="M113">
        <v>1.7116885127060581E-5</v>
      </c>
      <c r="N113" s="1">
        <v>2.71576996859277E-6</v>
      </c>
      <c r="O113" s="1">
        <v>8.2175140447217102E-8</v>
      </c>
      <c r="P113" s="1">
        <v>-4.1352880856946998E-7</v>
      </c>
      <c r="Q113">
        <v>73.441607702669799</v>
      </c>
      <c r="R113">
        <v>9.4347340750846706E-2</v>
      </c>
      <c r="S113">
        <v>12.258215787729799</v>
      </c>
      <c r="T113">
        <v>0.25144106052300003</v>
      </c>
      <c r="V113">
        <v>0.58946194858955803</v>
      </c>
      <c r="W113">
        <v>2.65351895861747E-2</v>
      </c>
      <c r="X113">
        <v>0.11793417593856501</v>
      </c>
      <c r="AA113">
        <v>0.71062037510739695</v>
      </c>
      <c r="AB113">
        <v>3.29321314076167</v>
      </c>
      <c r="AC113">
        <v>4.5749125842071301</v>
      </c>
      <c r="AD113">
        <v>3.9311391979515498E-2</v>
      </c>
      <c r="AE113">
        <v>4.60239930215638</v>
      </c>
    </row>
    <row r="114" spans="1:31" x14ac:dyDescent="0.2">
      <c r="A114">
        <v>113</v>
      </c>
      <c r="B114">
        <v>764</v>
      </c>
      <c r="C114">
        <v>160</v>
      </c>
      <c r="D114">
        <v>0.42979366533288699</v>
      </c>
      <c r="E114">
        <v>98.292379736062799</v>
      </c>
      <c r="F114">
        <v>2.20872165957713</v>
      </c>
      <c r="G114">
        <v>-1600.8049582262786</v>
      </c>
      <c r="H114">
        <v>-1344.1765423168661</v>
      </c>
      <c r="I114">
        <v>247.43616247352099</v>
      </c>
      <c r="J114">
        <v>131.28019723048101</v>
      </c>
      <c r="K114">
        <v>44.501931381829699</v>
      </c>
      <c r="L114">
        <v>1.3527557829393839E-4</v>
      </c>
      <c r="M114">
        <v>1.7051717463629353E-5</v>
      </c>
      <c r="N114" s="1">
        <v>2.6143764885871299E-6</v>
      </c>
      <c r="O114" s="1">
        <v>7.8856057018770405E-8</v>
      </c>
      <c r="P114" s="1">
        <v>-3.9788104203953101E-7</v>
      </c>
      <c r="Q114">
        <v>73.366508559548905</v>
      </c>
      <c r="R114">
        <v>9.7667795059782597E-2</v>
      </c>
      <c r="S114">
        <v>12.276820943812799</v>
      </c>
      <c r="T114">
        <v>0.26118348344241199</v>
      </c>
      <c r="V114">
        <v>0.60940370371456198</v>
      </c>
      <c r="W114">
        <v>2.7469067360562701E-2</v>
      </c>
      <c r="X114">
        <v>0.122084743824736</v>
      </c>
      <c r="AA114">
        <v>0.68555615856866403</v>
      </c>
      <c r="AB114">
        <v>3.2382735116717498</v>
      </c>
      <c r="AC114">
        <v>4.6983015947766704</v>
      </c>
      <c r="AD114">
        <v>4.0694914608238E-2</v>
      </c>
      <c r="AE114">
        <v>4.5760355236108303</v>
      </c>
    </row>
    <row r="115" spans="1:31" x14ac:dyDescent="0.2">
      <c r="A115">
        <v>114</v>
      </c>
      <c r="B115">
        <v>762</v>
      </c>
      <c r="C115">
        <v>160</v>
      </c>
      <c r="D115">
        <v>0.428556730908567</v>
      </c>
      <c r="E115">
        <v>94.703252628768297</v>
      </c>
      <c r="F115">
        <v>2.2107226919178902</v>
      </c>
      <c r="G115">
        <v>-1540.8082641178835</v>
      </c>
      <c r="H115">
        <v>-1294.5436871195836</v>
      </c>
      <c r="I115">
        <v>237.90231077457301</v>
      </c>
      <c r="J115">
        <v>126.41270996225499</v>
      </c>
      <c r="K115">
        <v>42.838142013464903</v>
      </c>
      <c r="L115">
        <v>1.3483221199779848E-4</v>
      </c>
      <c r="M115">
        <v>1.6983710059150664E-5</v>
      </c>
      <c r="N115" s="1">
        <v>2.5091665402433299E-6</v>
      </c>
      <c r="O115" s="1">
        <v>7.5445355579456499E-8</v>
      </c>
      <c r="P115" s="1">
        <v>-3.8165843043659102E-7</v>
      </c>
      <c r="Q115">
        <v>73.287065273114493</v>
      </c>
      <c r="R115">
        <v>0.10136927437573499</v>
      </c>
      <c r="S115">
        <v>12.296813423755401</v>
      </c>
      <c r="T115">
        <v>0.27198071545304198</v>
      </c>
      <c r="V115">
        <v>0.63169060871070504</v>
      </c>
      <c r="W115">
        <v>2.8510108418174002E-2</v>
      </c>
      <c r="X115">
        <v>0.12671159296967999</v>
      </c>
      <c r="AA115">
        <v>0.66428445897190103</v>
      </c>
      <c r="AB115">
        <v>3.1762681190909601</v>
      </c>
      <c r="AC115">
        <v>4.8251139574352298</v>
      </c>
      <c r="AD115">
        <v>4.2237197656549298E-2</v>
      </c>
      <c r="AE115">
        <v>4.5479552700479999</v>
      </c>
    </row>
    <row r="116" spans="1:31" x14ac:dyDescent="0.2">
      <c r="A116">
        <v>115</v>
      </c>
      <c r="B116">
        <v>760</v>
      </c>
      <c r="C116">
        <v>160</v>
      </c>
      <c r="D116">
        <v>0.427315007501331</v>
      </c>
      <c r="E116">
        <v>66.300735341939301</v>
      </c>
      <c r="F116">
        <v>2.21393777684357</v>
      </c>
      <c r="G116">
        <v>-1078.1801388560132</v>
      </c>
      <c r="H116">
        <v>-906.63927835996014</v>
      </c>
      <c r="I116">
        <v>166.03674248274899</v>
      </c>
      <c r="J116">
        <v>88.501196304327706</v>
      </c>
      <c r="K116">
        <v>29.946973232673599</v>
      </c>
      <c r="L116">
        <v>1.3396900994162066E-4</v>
      </c>
      <c r="M116">
        <v>1.6891516365922905E-5</v>
      </c>
      <c r="N116" s="1">
        <v>1.7424031974872001E-6</v>
      </c>
      <c r="O116" s="1">
        <v>5.2237859645124101E-8</v>
      </c>
      <c r="P116" s="1">
        <v>-2.6411757645215498E-7</v>
      </c>
      <c r="Q116">
        <v>73.110905944235398</v>
      </c>
      <c r="R116">
        <v>0.114399267005099</v>
      </c>
      <c r="S116">
        <v>12.4748617706763</v>
      </c>
      <c r="T116">
        <v>0.25873231474939701</v>
      </c>
      <c r="V116">
        <v>0.60090728337746402</v>
      </c>
      <c r="W116">
        <v>4.0723530230466001E-2</v>
      </c>
      <c r="X116">
        <v>0.17607624586401499</v>
      </c>
      <c r="AA116">
        <v>0.68444734702167198</v>
      </c>
      <c r="AB116">
        <v>3.0027164745406201</v>
      </c>
      <c r="AC116">
        <v>4.9750476177861298</v>
      </c>
      <c r="AD116">
        <v>6.0331155896964403E-2</v>
      </c>
      <c r="AE116">
        <v>4.50085104861631</v>
      </c>
    </row>
    <row r="117" spans="1:31" x14ac:dyDescent="0.2">
      <c r="A117">
        <v>116</v>
      </c>
      <c r="B117">
        <v>758</v>
      </c>
      <c r="C117">
        <v>160</v>
      </c>
      <c r="D117">
        <v>0.426068467245311</v>
      </c>
      <c r="E117">
        <v>31.5987881013065</v>
      </c>
      <c r="F117">
        <v>2.21962588781625</v>
      </c>
      <c r="G117">
        <v>-513.86110518520138</v>
      </c>
      <c r="H117">
        <v>-432.61377857299698</v>
      </c>
      <c r="I117">
        <v>78.792926938082999</v>
      </c>
      <c r="J117">
        <v>42.218063898028198</v>
      </c>
      <c r="K117">
        <v>14.2360873851559</v>
      </c>
      <c r="L117">
        <v>1.3286414790512083E-4</v>
      </c>
      <c r="M117">
        <v>1.6820929676221387E-5</v>
      </c>
      <c r="N117" s="1">
        <v>8.2166252404931205E-7</v>
      </c>
      <c r="O117" s="1">
        <v>2.4561934468337401E-8</v>
      </c>
      <c r="P117" s="1">
        <v>-1.2318331806822301E-7</v>
      </c>
      <c r="Q117">
        <v>72.587811782250199</v>
      </c>
      <c r="R117">
        <v>0.160342335195614</v>
      </c>
      <c r="S117">
        <v>13.122770668712</v>
      </c>
      <c r="T117">
        <v>0.23398445287266501</v>
      </c>
      <c r="V117">
        <v>0.55096788557749998</v>
      </c>
      <c r="W117">
        <v>8.5446314945467103E-2</v>
      </c>
      <c r="X117">
        <v>0.18112836424256601</v>
      </c>
      <c r="AA117">
        <v>0.73954356030169399</v>
      </c>
      <c r="AB117">
        <v>2.6654728157252201</v>
      </c>
      <c r="AC117">
        <v>5.1026782884193302</v>
      </c>
      <c r="AD117">
        <v>0.12658713325245199</v>
      </c>
      <c r="AE117">
        <v>4.4432663985051501</v>
      </c>
    </row>
    <row r="118" spans="1:31" x14ac:dyDescent="0.2">
      <c r="A118">
        <v>117</v>
      </c>
      <c r="B118">
        <v>756</v>
      </c>
      <c r="C118">
        <v>160</v>
      </c>
      <c r="D118">
        <v>0.424817082058009</v>
      </c>
      <c r="E118">
        <v>22.352640127983602</v>
      </c>
      <c r="F118">
        <v>2.2236618283695502</v>
      </c>
      <c r="G118">
        <v>-363.50512814722225</v>
      </c>
      <c r="H118">
        <v>-306.31263297513084</v>
      </c>
      <c r="I118">
        <v>55.572555188350897</v>
      </c>
      <c r="J118">
        <v>29.892837176773401</v>
      </c>
      <c r="K118">
        <v>10.0521760291101</v>
      </c>
      <c r="L118">
        <v>1.3230428167506522E-4</v>
      </c>
      <c r="M118">
        <v>1.6792103014919401E-5</v>
      </c>
      <c r="N118" s="1">
        <v>5.7880106288559498E-7</v>
      </c>
      <c r="O118" s="1">
        <v>1.7243546832601501E-8</v>
      </c>
      <c r="P118" s="1">
        <v>-8.5986417605684505E-8</v>
      </c>
      <c r="Q118">
        <v>72.164112097762896</v>
      </c>
      <c r="R118">
        <v>0.182863544048429</v>
      </c>
      <c r="S118">
        <v>13.6350930415507</v>
      </c>
      <c r="T118">
        <v>0.22033668978339399</v>
      </c>
      <c r="V118">
        <v>0.52394660972689799</v>
      </c>
      <c r="W118">
        <v>0.120791100493714</v>
      </c>
      <c r="X118">
        <v>0.18382982618709201</v>
      </c>
      <c r="AA118">
        <v>0.76342124788919397</v>
      </c>
      <c r="AB118">
        <v>2.4525258330996298</v>
      </c>
      <c r="AC118">
        <v>5.1594729317182599</v>
      </c>
      <c r="AD118">
        <v>0.17894977850903501</v>
      </c>
      <c r="AE118">
        <v>4.4146572992306199</v>
      </c>
    </row>
    <row r="119" spans="1:31" x14ac:dyDescent="0.2">
      <c r="A119">
        <v>118</v>
      </c>
      <c r="B119">
        <v>754</v>
      </c>
      <c r="C119">
        <v>160</v>
      </c>
      <c r="D119">
        <v>0.42356082363822201</v>
      </c>
      <c r="E119">
        <v>17.950850752451</v>
      </c>
      <c r="F119">
        <v>2.2269600717160398</v>
      </c>
      <c r="G119">
        <v>-291.92165531311997</v>
      </c>
      <c r="H119">
        <v>-246.1921201943974</v>
      </c>
      <c r="I119">
        <v>44.520795520345203</v>
      </c>
      <c r="J119">
        <v>24.0272228295009</v>
      </c>
      <c r="K119">
        <v>8.0606971720954608</v>
      </c>
      <c r="L119">
        <v>1.3194297603101867E-4</v>
      </c>
      <c r="M119">
        <v>1.6776483266189077E-5</v>
      </c>
      <c r="N119" s="1">
        <v>4.6397939508249702E-7</v>
      </c>
      <c r="O119" s="1">
        <v>1.37737493383881E-8</v>
      </c>
      <c r="P119" s="1">
        <v>-6.8378223554602704E-8</v>
      </c>
      <c r="Q119">
        <v>71.800888494151096</v>
      </c>
      <c r="R119">
        <v>0.19720621133211</v>
      </c>
      <c r="S119">
        <v>14.0679953505205</v>
      </c>
      <c r="T119">
        <v>0.210541935384222</v>
      </c>
      <c r="V119">
        <v>0.50437526306686797</v>
      </c>
      <c r="W119">
        <v>0.15041069848069699</v>
      </c>
      <c r="X119">
        <v>0.184933598261879</v>
      </c>
      <c r="AA119">
        <v>0.78113252560497304</v>
      </c>
      <c r="AB119">
        <v>2.2916415416834601</v>
      </c>
      <c r="AC119">
        <v>5.1913158949538403</v>
      </c>
      <c r="AD119">
        <v>0.22283066441558499</v>
      </c>
      <c r="AE119">
        <v>4.39672782214467</v>
      </c>
    </row>
    <row r="120" spans="1:31" x14ac:dyDescent="0.2">
      <c r="A120">
        <v>119</v>
      </c>
      <c r="B120">
        <v>752</v>
      </c>
      <c r="C120">
        <v>160</v>
      </c>
      <c r="D120">
        <v>0.42229966346388498</v>
      </c>
      <c r="E120">
        <v>15.3100741270963</v>
      </c>
      <c r="F120">
        <v>2.2298275269990699</v>
      </c>
      <c r="G120">
        <v>-248.97338526277929</v>
      </c>
      <c r="H120">
        <v>-210.12986175780756</v>
      </c>
      <c r="I120">
        <v>37.890575530382499</v>
      </c>
      <c r="J120">
        <v>20.5093286035017</v>
      </c>
      <c r="K120">
        <v>6.8660351268067803</v>
      </c>
      <c r="L120">
        <v>1.3168873618763974E-4</v>
      </c>
      <c r="M120">
        <v>1.6767447042629423E-5</v>
      </c>
      <c r="N120" s="1">
        <v>3.9551769554181499E-7</v>
      </c>
      <c r="O120" s="1">
        <v>1.1698703851300599E-8</v>
      </c>
      <c r="P120" s="1">
        <v>-5.7863919015670598E-8</v>
      </c>
      <c r="Q120">
        <v>71.476566235999101</v>
      </c>
      <c r="R120">
        <v>0.20756289302045799</v>
      </c>
      <c r="S120">
        <v>14.4500716389704</v>
      </c>
      <c r="T120">
        <v>0.202696896321515</v>
      </c>
      <c r="V120">
        <v>0.48842635857578698</v>
      </c>
      <c r="W120">
        <v>0.17635446945487501</v>
      </c>
      <c r="X120">
        <v>0.18529084123124201</v>
      </c>
      <c r="AA120">
        <v>0.79670077771004499</v>
      </c>
      <c r="AB120">
        <v>2.1607075285025701</v>
      </c>
      <c r="AC120">
        <v>5.2097948489380199</v>
      </c>
      <c r="AD120">
        <v>0.26126588067357598</v>
      </c>
      <c r="AE120">
        <v>4.3845616306022999</v>
      </c>
    </row>
    <row r="121" spans="1:31" x14ac:dyDescent="0.2">
      <c r="A121">
        <v>120</v>
      </c>
      <c r="B121">
        <v>750</v>
      </c>
      <c r="C121">
        <v>160</v>
      </c>
      <c r="D121">
        <v>0.42103357278991599</v>
      </c>
      <c r="E121">
        <v>13.4487126761622</v>
      </c>
      <c r="F121">
        <v>2.2323334931051102</v>
      </c>
      <c r="G121">
        <v>-218.69872481825877</v>
      </c>
      <c r="H121">
        <v>-184.70891396222316</v>
      </c>
      <c r="I121">
        <v>33.2207504823687</v>
      </c>
      <c r="J121">
        <v>18.030550228353601</v>
      </c>
      <c r="K121">
        <v>6.0245087562859601</v>
      </c>
      <c r="L121">
        <v>1.3152747062332849E-4</v>
      </c>
      <c r="M121">
        <v>1.6767021957547089E-5</v>
      </c>
      <c r="N121" s="1">
        <v>3.4773122250590598E-7</v>
      </c>
      <c r="O121" s="1">
        <v>1.0246792077618401E-8</v>
      </c>
      <c r="P121" s="1">
        <v>-5.0521796253851402E-8</v>
      </c>
      <c r="Q121">
        <v>71.1735268450729</v>
      </c>
      <c r="R121">
        <v>0.20209334671379001</v>
      </c>
      <c r="S121">
        <v>14.8094850976322</v>
      </c>
      <c r="T121">
        <v>0.198540539553691</v>
      </c>
      <c r="V121">
        <v>0.48090085099715002</v>
      </c>
      <c r="W121">
        <v>0.19955494864158399</v>
      </c>
      <c r="X121">
        <v>0.182791369735361</v>
      </c>
      <c r="AA121">
        <v>0.81206893945792002</v>
      </c>
      <c r="AB121">
        <v>2.0486795353728402</v>
      </c>
      <c r="AC121">
        <v>5.2164423582878197</v>
      </c>
      <c r="AD121">
        <v>0.29742623671953899</v>
      </c>
      <c r="AE121">
        <v>4.3784899318149799</v>
      </c>
    </row>
    <row r="122" spans="1:31" x14ac:dyDescent="0.2">
      <c r="A122">
        <v>121</v>
      </c>
      <c r="B122">
        <v>748</v>
      </c>
      <c r="C122">
        <v>160</v>
      </c>
      <c r="D122">
        <v>0.41976252264603803</v>
      </c>
      <c r="E122">
        <v>12.1163645388242</v>
      </c>
      <c r="F122">
        <v>2.2346461425881299</v>
      </c>
      <c r="G122">
        <v>-197.0273917721982</v>
      </c>
      <c r="H122">
        <v>-166.5188406572386</v>
      </c>
      <c r="I122">
        <v>29.8766597610141</v>
      </c>
      <c r="J122">
        <v>16.256709981150699</v>
      </c>
      <c r="K122">
        <v>5.4220506360757597</v>
      </c>
      <c r="L122">
        <v>1.3140512058286262E-4</v>
      </c>
      <c r="M122">
        <v>1.6767556797220388E-5</v>
      </c>
      <c r="N122" s="1">
        <v>3.1367285022480502E-7</v>
      </c>
      <c r="O122" s="1">
        <v>9.2084273601469007E-9</v>
      </c>
      <c r="P122" s="1">
        <v>-4.52782003441532E-8</v>
      </c>
      <c r="Q122">
        <v>70.894322438880195</v>
      </c>
      <c r="R122">
        <v>0.20038409877327201</v>
      </c>
      <c r="S122">
        <v>15.136352374385799</v>
      </c>
      <c r="T122">
        <v>0.19408637289279801</v>
      </c>
      <c r="V122">
        <v>0.47206079491745201</v>
      </c>
      <c r="W122">
        <v>0.22060787443664101</v>
      </c>
      <c r="X122">
        <v>0.18100339164149201</v>
      </c>
      <c r="AA122">
        <v>0.82676857486919997</v>
      </c>
      <c r="AB122">
        <v>1.95188278531472</v>
      </c>
      <c r="AC122">
        <v>5.2182660957841396</v>
      </c>
      <c r="AD122">
        <v>0.33013202823141202</v>
      </c>
      <c r="AE122">
        <v>4.3741331698727004</v>
      </c>
    </row>
    <row r="123" spans="1:31" x14ac:dyDescent="0.2">
      <c r="A123">
        <v>122</v>
      </c>
      <c r="B123">
        <v>746</v>
      </c>
      <c r="C123">
        <v>160</v>
      </c>
      <c r="D123">
        <v>0.41848648383456999</v>
      </c>
      <c r="E123">
        <v>11.0938367784251</v>
      </c>
      <c r="F123">
        <v>2.2367993441717098</v>
      </c>
      <c r="G123">
        <v>-180.39448092909274</v>
      </c>
      <c r="H123">
        <v>-152.56179897720148</v>
      </c>
      <c r="I123">
        <v>27.3097011744015</v>
      </c>
      <c r="J123">
        <v>14.895699811936099</v>
      </c>
      <c r="K123">
        <v>4.9596924316575901</v>
      </c>
      <c r="L123">
        <v>1.3131699789910699E-4</v>
      </c>
      <c r="M123">
        <v>1.6769779400868262E-5</v>
      </c>
      <c r="N123" s="1">
        <v>2.8767621219584399E-7</v>
      </c>
      <c r="O123" s="1">
        <v>8.4132971234156594E-9</v>
      </c>
      <c r="P123" s="1">
        <v>-4.1269111944665898E-8</v>
      </c>
      <c r="Q123">
        <v>70.631793128415396</v>
      </c>
      <c r="R123">
        <v>0.19852172263880899</v>
      </c>
      <c r="S123">
        <v>15.441353310929999</v>
      </c>
      <c r="T123">
        <v>0.18998858623589501</v>
      </c>
      <c r="V123">
        <v>0.46368293037867497</v>
      </c>
      <c r="W123">
        <v>0.240027114495585</v>
      </c>
      <c r="X123">
        <v>0.17920694821866201</v>
      </c>
      <c r="AA123">
        <v>0.84124692880762197</v>
      </c>
      <c r="AB123">
        <v>1.86622083887761</v>
      </c>
      <c r="AC123">
        <v>5.2158244777428697</v>
      </c>
      <c r="AD123">
        <v>0.36056055987518498</v>
      </c>
      <c r="AE123">
        <v>4.3715734533835597</v>
      </c>
    </row>
    <row r="124" spans="1:31" x14ac:dyDescent="0.2">
      <c r="A124">
        <v>123</v>
      </c>
      <c r="B124">
        <v>744</v>
      </c>
      <c r="C124">
        <v>160</v>
      </c>
      <c r="D124">
        <v>0.41720542692818402</v>
      </c>
      <c r="E124">
        <v>10.277749216275099</v>
      </c>
      <c r="F124">
        <v>2.23882731128433</v>
      </c>
      <c r="G124">
        <v>-167.11879229544161</v>
      </c>
      <c r="H124">
        <v>-141.42500353052685</v>
      </c>
      <c r="I124">
        <v>25.260569989593201</v>
      </c>
      <c r="J124">
        <v>13.8097306097621</v>
      </c>
      <c r="K124">
        <v>4.5906842231521603</v>
      </c>
      <c r="L124">
        <v>1.3125558024426978E-4</v>
      </c>
      <c r="M124">
        <v>1.6773305614087761E-5</v>
      </c>
      <c r="N124" s="1">
        <v>2.6703933194804702E-7</v>
      </c>
      <c r="O124" s="1">
        <v>7.7800648723463397E-9</v>
      </c>
      <c r="P124" s="1">
        <v>-3.80813150993898E-8</v>
      </c>
      <c r="Q124">
        <v>70.382516433982005</v>
      </c>
      <c r="R124">
        <v>0.196546643149065</v>
      </c>
      <c r="S124">
        <v>15.7289165758175</v>
      </c>
      <c r="T124">
        <v>0.18617519624373699</v>
      </c>
      <c r="V124">
        <v>0.45567981254979101</v>
      </c>
      <c r="W124">
        <v>0.25814868159868898</v>
      </c>
      <c r="X124">
        <v>0.177404489110116</v>
      </c>
      <c r="AA124">
        <v>0.85562781775744901</v>
      </c>
      <c r="AB124">
        <v>1.7892989034631901</v>
      </c>
      <c r="AC124">
        <v>5.2100750798452804</v>
      </c>
      <c r="AD124">
        <v>0.38919027073150902</v>
      </c>
      <c r="AE124">
        <v>4.3704200957515003</v>
      </c>
    </row>
    <row r="125" spans="1:31" x14ac:dyDescent="0.2">
      <c r="A125">
        <v>124</v>
      </c>
      <c r="B125">
        <v>782</v>
      </c>
      <c r="C125">
        <v>140</v>
      </c>
      <c r="D125">
        <v>0.46156518030611998</v>
      </c>
      <c r="E125">
        <v>104.41071626922</v>
      </c>
      <c r="F125">
        <v>2.2051139414360601</v>
      </c>
      <c r="G125">
        <v>-1706.2283647215845</v>
      </c>
      <c r="H125">
        <v>-1427.9285834027314</v>
      </c>
      <c r="I125">
        <v>263.75376137881</v>
      </c>
      <c r="J125">
        <v>139.54032747803899</v>
      </c>
      <c r="K125">
        <v>47.349352025421197</v>
      </c>
      <c r="L125">
        <v>1.320840209799234E-4</v>
      </c>
      <c r="M125">
        <v>1.7016708092462883E-5</v>
      </c>
      <c r="N125" s="1">
        <v>2.5848030660716498E-6</v>
      </c>
      <c r="O125" s="1">
        <v>8.1667258646854295E-8</v>
      </c>
      <c r="P125" s="1">
        <v>-4.0549886219064999E-7</v>
      </c>
      <c r="Q125">
        <v>73.526935493937103</v>
      </c>
      <c r="R125">
        <v>9.1944585220990901E-2</v>
      </c>
      <c r="S125">
        <v>12.412519004834399</v>
      </c>
      <c r="T125">
        <v>0.241858971921671</v>
      </c>
      <c r="V125">
        <v>0.57731019357395696</v>
      </c>
      <c r="W125">
        <v>2.58594145934034E-2</v>
      </c>
      <c r="X125">
        <v>0.11493073152624</v>
      </c>
      <c r="AA125">
        <v>0.75662731588106702</v>
      </c>
      <c r="AB125">
        <v>3.4000341409845398</v>
      </c>
      <c r="AC125">
        <v>4.4918760904837702</v>
      </c>
      <c r="AD125">
        <v>3.8310243842078401E-2</v>
      </c>
      <c r="AE125">
        <v>4.3217938132007303</v>
      </c>
    </row>
    <row r="126" spans="1:31" x14ac:dyDescent="0.2">
      <c r="A126">
        <v>125</v>
      </c>
      <c r="B126">
        <v>780</v>
      </c>
      <c r="C126">
        <v>140</v>
      </c>
      <c r="D126">
        <v>0.46040972321132001</v>
      </c>
      <c r="E126">
        <v>104.28192048491999</v>
      </c>
      <c r="F126">
        <v>2.2056902258895601</v>
      </c>
      <c r="G126">
        <v>-1703.5562114537968</v>
      </c>
      <c r="H126">
        <v>-1426.4311345775873</v>
      </c>
      <c r="I126">
        <v>263.13922696311897</v>
      </c>
      <c r="J126">
        <v>139.330827053912</v>
      </c>
      <c r="K126">
        <v>47.278588471263198</v>
      </c>
      <c r="L126">
        <v>1.3195654349470112E-4</v>
      </c>
      <c r="M126">
        <v>1.700132600911026E-5</v>
      </c>
      <c r="N126" s="1">
        <v>2.5865275568630501E-6</v>
      </c>
      <c r="O126" s="1">
        <v>8.1421770648899803E-8</v>
      </c>
      <c r="P126" s="1">
        <v>-4.0460924976502501E-7</v>
      </c>
      <c r="Q126">
        <v>73.5428613953938</v>
      </c>
      <c r="R126">
        <v>9.2058143495624106E-2</v>
      </c>
      <c r="S126">
        <v>12.4020926113991</v>
      </c>
      <c r="T126">
        <v>0.242845496426595</v>
      </c>
      <c r="V126">
        <v>0.57740431387740299</v>
      </c>
      <c r="W126">
        <v>2.5891352858143798E-2</v>
      </c>
      <c r="X126">
        <v>0.115072679369533</v>
      </c>
      <c r="AA126">
        <v>0.75378565967868305</v>
      </c>
      <c r="AB126">
        <v>3.3938322496309401</v>
      </c>
      <c r="AC126">
        <v>4.4957791462577497</v>
      </c>
      <c r="AD126">
        <v>3.8357559789841497E-2</v>
      </c>
      <c r="AE126">
        <v>4.3200193918224201</v>
      </c>
    </row>
    <row r="127" spans="1:31" x14ac:dyDescent="0.2">
      <c r="A127">
        <v>126</v>
      </c>
      <c r="B127">
        <v>778</v>
      </c>
      <c r="C127">
        <v>140</v>
      </c>
      <c r="D127">
        <v>0.45924986919088701</v>
      </c>
      <c r="E127">
        <v>103.57922237870901</v>
      </c>
      <c r="F127">
        <v>2.2062675232237301</v>
      </c>
      <c r="G127">
        <v>-1691.3303788022049</v>
      </c>
      <c r="H127">
        <v>-1417.0170476902526</v>
      </c>
      <c r="I127">
        <v>260.96497275550797</v>
      </c>
      <c r="J127">
        <v>138.29804703064599</v>
      </c>
      <c r="K127">
        <v>46.947716579430001</v>
      </c>
      <c r="L127">
        <v>1.3157911215016946E-4</v>
      </c>
      <c r="M127">
        <v>1.6972540382017124E-5</v>
      </c>
      <c r="N127" s="1">
        <v>2.5689192408002602E-6</v>
      </c>
      <c r="O127" s="1">
        <v>8.0585858242564301E-8</v>
      </c>
      <c r="P127" s="1">
        <v>-4.0041712575202098E-7</v>
      </c>
      <c r="Q127">
        <v>73.630267370742601</v>
      </c>
      <c r="R127">
        <v>9.2682680749429605E-2</v>
      </c>
      <c r="S127">
        <v>12.345480335662799</v>
      </c>
      <c r="T127">
        <v>0.24506070499844401</v>
      </c>
      <c r="V127">
        <v>0.58081068981862904</v>
      </c>
      <c r="W127">
        <v>2.6067003960776498E-2</v>
      </c>
      <c r="X127">
        <v>0.115853350936791</v>
      </c>
      <c r="AA127">
        <v>0.73880192872628703</v>
      </c>
      <c r="AB127">
        <v>3.35966167744014</v>
      </c>
      <c r="AC127">
        <v>4.5169306058836698</v>
      </c>
      <c r="AD127">
        <v>3.8617783645593103E-2</v>
      </c>
      <c r="AE127">
        <v>4.3097658674347903</v>
      </c>
    </row>
    <row r="128" spans="1:31" x14ac:dyDescent="0.2">
      <c r="A128">
        <v>127</v>
      </c>
      <c r="B128">
        <v>776</v>
      </c>
      <c r="C128">
        <v>140</v>
      </c>
      <c r="D128">
        <v>0.45808559309917701</v>
      </c>
      <c r="E128">
        <v>102.87504216655999</v>
      </c>
      <c r="F128">
        <v>2.2068531164321201</v>
      </c>
      <c r="G128">
        <v>-1679.0911415387457</v>
      </c>
      <c r="H128">
        <v>-1407.5816031097218</v>
      </c>
      <c r="I128">
        <v>258.79000946387299</v>
      </c>
      <c r="J128">
        <v>137.26423995870999</v>
      </c>
      <c r="K128">
        <v>46.616170963331101</v>
      </c>
      <c r="L128">
        <v>1.3119742857691156E-4</v>
      </c>
      <c r="M128">
        <v>1.6943611001690158E-5</v>
      </c>
      <c r="N128" s="1">
        <v>2.55115879853994E-6</v>
      </c>
      <c r="O128" s="1">
        <v>7.9750565772058297E-8</v>
      </c>
      <c r="P128" s="1">
        <v>-3.9621489416486998E-7</v>
      </c>
      <c r="Q128">
        <v>73.717894558461197</v>
      </c>
      <c r="R128">
        <v>9.3317094193333894E-2</v>
      </c>
      <c r="S128">
        <v>12.2888760070253</v>
      </c>
      <c r="T128">
        <v>0.24731108183401801</v>
      </c>
      <c r="V128">
        <v>0.58427080886243998</v>
      </c>
      <c r="W128">
        <v>2.6245432741874401E-2</v>
      </c>
      <c r="X128">
        <v>0.116646367741673</v>
      </c>
      <c r="AA128">
        <v>0.72459729482788704</v>
      </c>
      <c r="AB128">
        <v>3.3247520899817502</v>
      </c>
      <c r="AC128">
        <v>4.5378461856445202</v>
      </c>
      <c r="AD128">
        <v>3.8882122580552202E-2</v>
      </c>
      <c r="AE128">
        <v>4.2993609561053603</v>
      </c>
    </row>
    <row r="129" spans="1:31" x14ac:dyDescent="0.2">
      <c r="A129">
        <v>128</v>
      </c>
      <c r="B129">
        <v>774</v>
      </c>
      <c r="C129">
        <v>140</v>
      </c>
      <c r="D129">
        <v>0.45691686959843703</v>
      </c>
      <c r="E129">
        <v>102.169995712858</v>
      </c>
      <c r="F129">
        <v>2.2074463535412598</v>
      </c>
      <c r="G129">
        <v>-1666.8489099804985</v>
      </c>
      <c r="H129">
        <v>-1398.1333267301291</v>
      </c>
      <c r="I129">
        <v>256.61613259835599</v>
      </c>
      <c r="J129">
        <v>136.23027776544001</v>
      </c>
      <c r="K129">
        <v>46.284248561217801</v>
      </c>
      <c r="L129">
        <v>1.3081180243464205E-4</v>
      </c>
      <c r="M129">
        <v>1.6914567346126751E-5</v>
      </c>
      <c r="N129" s="1">
        <v>2.53327200398807E-6</v>
      </c>
      <c r="O129" s="1">
        <v>7.8916684243269804E-8</v>
      </c>
      <c r="P129" s="1">
        <v>-3.9200692102270702E-7</v>
      </c>
      <c r="Q129">
        <v>73.805731152081094</v>
      </c>
      <c r="R129">
        <v>9.3961049259317503E-2</v>
      </c>
      <c r="S129">
        <v>12.2322881467078</v>
      </c>
      <c r="T129">
        <v>0.24959608648644399</v>
      </c>
      <c r="V129">
        <v>0.58778226468956196</v>
      </c>
      <c r="W129">
        <v>2.6426545104181999E-2</v>
      </c>
      <c r="X129">
        <v>0.117451311574154</v>
      </c>
      <c r="AA129">
        <v>0.71115362361217505</v>
      </c>
      <c r="AB129">
        <v>3.2891605062279599</v>
      </c>
      <c r="AC129">
        <v>4.5584795118654</v>
      </c>
      <c r="AD129">
        <v>3.9150437191377702E-2</v>
      </c>
      <c r="AE129">
        <v>4.28881936520047</v>
      </c>
    </row>
    <row r="130" spans="1:31" x14ac:dyDescent="0.2">
      <c r="A130">
        <v>129</v>
      </c>
      <c r="B130">
        <v>772</v>
      </c>
      <c r="C130">
        <v>140</v>
      </c>
      <c r="D130">
        <v>0.45574367315696301</v>
      </c>
      <c r="E130">
        <v>100.129417415238</v>
      </c>
      <c r="F130">
        <v>2.2086121660096798</v>
      </c>
      <c r="G130">
        <v>-1632.4373948947978</v>
      </c>
      <c r="H130">
        <v>-1370.0460734905016</v>
      </c>
      <c r="I130">
        <v>251.056136826575</v>
      </c>
      <c r="J130">
        <v>133.428516108428</v>
      </c>
      <c r="K130">
        <v>45.335898695216898</v>
      </c>
      <c r="L130">
        <v>1.3044487758675358E-4</v>
      </c>
      <c r="M130">
        <v>1.6870252809557877E-5</v>
      </c>
      <c r="N130" s="1">
        <v>2.4787273646065199E-6</v>
      </c>
      <c r="O130" s="1">
        <v>7.6961838318920404E-8</v>
      </c>
      <c r="P130" s="1">
        <v>-3.8279148716670497E-7</v>
      </c>
      <c r="Q130">
        <v>73.811497552401903</v>
      </c>
      <c r="R130">
        <v>9.5875919862678904E-2</v>
      </c>
      <c r="S130">
        <v>12.2132814827758</v>
      </c>
      <c r="T130">
        <v>0.25540835926926198</v>
      </c>
      <c r="V130">
        <v>0.59910796972947999</v>
      </c>
      <c r="W130">
        <v>2.69651024613769E-2</v>
      </c>
      <c r="X130">
        <v>0.11984489982836</v>
      </c>
      <c r="AA130">
        <v>0.692432250834773</v>
      </c>
      <c r="AB130">
        <v>3.2447252913443001</v>
      </c>
      <c r="AC130">
        <v>4.6287133444935096</v>
      </c>
      <c r="AD130">
        <v>3.99482999427761E-2</v>
      </c>
      <c r="AE130">
        <v>4.2721995270555997</v>
      </c>
    </row>
    <row r="131" spans="1:31" x14ac:dyDescent="0.2">
      <c r="A131">
        <v>130</v>
      </c>
      <c r="B131">
        <v>770</v>
      </c>
      <c r="C131">
        <v>140</v>
      </c>
      <c r="D131">
        <v>0.45456597804726301</v>
      </c>
      <c r="E131">
        <v>96.711249101212204</v>
      </c>
      <c r="F131">
        <v>2.2104219814002599</v>
      </c>
      <c r="G131">
        <v>-1575.2101957004552</v>
      </c>
      <c r="H131">
        <v>-1322.7533201283243</v>
      </c>
      <c r="I131">
        <v>242.01397265218799</v>
      </c>
      <c r="J131">
        <v>128.804594583229</v>
      </c>
      <c r="K131">
        <v>43.7523920387125</v>
      </c>
      <c r="L131">
        <v>1.3008185570087693E-4</v>
      </c>
      <c r="M131">
        <v>1.6809169630168762E-5</v>
      </c>
      <c r="N131" s="1">
        <v>2.3863717785258199E-6</v>
      </c>
      <c r="O131" s="1">
        <v>7.38620848681059E-8</v>
      </c>
      <c r="P131" s="1">
        <v>-3.68375228587526E-7</v>
      </c>
      <c r="Q131">
        <v>73.733167501548095</v>
      </c>
      <c r="R131">
        <v>9.9264564248916706E-2</v>
      </c>
      <c r="S131">
        <v>12.2323545511791</v>
      </c>
      <c r="T131">
        <v>0.26530801337244397</v>
      </c>
      <c r="V131">
        <v>0.61949780654699904</v>
      </c>
      <c r="W131">
        <v>2.79181586950055E-2</v>
      </c>
      <c r="X131">
        <v>0.124080705311164</v>
      </c>
      <c r="AA131">
        <v>0.67045859162305599</v>
      </c>
      <c r="AB131">
        <v>3.1874972555986099</v>
      </c>
      <c r="AC131">
        <v>4.75042271605869</v>
      </c>
      <c r="AD131">
        <v>4.1360235103703999E-2</v>
      </c>
      <c r="AE131">
        <v>4.2486699007140398</v>
      </c>
    </row>
    <row r="132" spans="1:31" x14ac:dyDescent="0.2">
      <c r="A132">
        <v>131</v>
      </c>
      <c r="B132">
        <v>768</v>
      </c>
      <c r="C132">
        <v>140</v>
      </c>
      <c r="D132">
        <v>0.45338375834414102</v>
      </c>
      <c r="E132">
        <v>93.149310697539207</v>
      </c>
      <c r="F132">
        <v>2.21236423927059</v>
      </c>
      <c r="G132">
        <v>-1515.6961054995809</v>
      </c>
      <c r="H132">
        <v>-1273.495079599146</v>
      </c>
      <c r="I132">
        <v>232.62836853521</v>
      </c>
      <c r="J132">
        <v>123.99302994448399</v>
      </c>
      <c r="K132">
        <v>42.103966898438998</v>
      </c>
      <c r="L132">
        <v>1.2969479579994661E-4</v>
      </c>
      <c r="M132">
        <v>1.6745645340746078E-5</v>
      </c>
      <c r="N132" s="1">
        <v>2.29019673424686E-6</v>
      </c>
      <c r="O132" s="1">
        <v>7.0665692107853393E-8</v>
      </c>
      <c r="P132" s="1">
        <v>-3.5337013438586401E-7</v>
      </c>
      <c r="Q132">
        <v>73.649983894668097</v>
      </c>
      <c r="R132">
        <v>0.103060343958658</v>
      </c>
      <c r="S132">
        <v>12.2529291154914</v>
      </c>
      <c r="T132">
        <v>0.27632792742551998</v>
      </c>
      <c r="V132">
        <v>0.64239964527711602</v>
      </c>
      <c r="W132">
        <v>2.8985721738369701E-2</v>
      </c>
      <c r="X132">
        <v>0.128825429948348</v>
      </c>
      <c r="AA132">
        <v>0.65224424842068196</v>
      </c>
      <c r="AB132">
        <v>3.1235528970731798</v>
      </c>
      <c r="AC132">
        <v>4.8750329570619702</v>
      </c>
      <c r="AD132">
        <v>4.2941809982759198E-2</v>
      </c>
      <c r="AE132">
        <v>4.2237160089537804</v>
      </c>
    </row>
    <row r="133" spans="1:31" x14ac:dyDescent="0.2">
      <c r="A133">
        <v>132</v>
      </c>
      <c r="B133">
        <v>766</v>
      </c>
      <c r="C133">
        <v>140</v>
      </c>
      <c r="D133">
        <v>0.45219698792282498</v>
      </c>
      <c r="E133">
        <v>70.542160181929802</v>
      </c>
      <c r="F133">
        <v>2.2151001012454801</v>
      </c>
      <c r="G133">
        <v>-1147.244277114288</v>
      </c>
      <c r="H133">
        <v>-964.70567630776327</v>
      </c>
      <c r="I133">
        <v>175.66145484917899</v>
      </c>
      <c r="J133">
        <v>93.887789855682698</v>
      </c>
      <c r="K133">
        <v>31.846037180110301</v>
      </c>
      <c r="L133">
        <v>1.2893151387922947E-4</v>
      </c>
      <c r="M133">
        <v>1.6658668497018448E-5</v>
      </c>
      <c r="N133" s="1">
        <v>1.72149682135334E-6</v>
      </c>
      <c r="O133" s="1">
        <v>5.2966072936932203E-8</v>
      </c>
      <c r="P133" s="1">
        <v>-2.6490934870424598E-7</v>
      </c>
      <c r="Q133">
        <v>73.503531259456295</v>
      </c>
      <c r="R133">
        <v>0.113566565044999</v>
      </c>
      <c r="S133">
        <v>12.3961930631648</v>
      </c>
      <c r="T133">
        <v>0.26354785796264402</v>
      </c>
      <c r="V133">
        <v>0.61187450178112102</v>
      </c>
      <c r="W133">
        <v>3.8274983258749999E-2</v>
      </c>
      <c r="X133">
        <v>0.166373685376</v>
      </c>
      <c r="AA133">
        <v>0.67106147866158095</v>
      </c>
      <c r="AB133">
        <v>2.9651132830493099</v>
      </c>
      <c r="AC133">
        <v>5.0309223293077201</v>
      </c>
      <c r="AD133">
        <v>5.6703678901816199E-2</v>
      </c>
      <c r="AE133">
        <v>4.18283731403484</v>
      </c>
    </row>
    <row r="134" spans="1:31" x14ac:dyDescent="0.2">
      <c r="A134">
        <v>133</v>
      </c>
      <c r="B134">
        <v>764</v>
      </c>
      <c r="C134">
        <v>140</v>
      </c>
      <c r="D134">
        <v>0.45100564045702202</v>
      </c>
      <c r="E134">
        <v>34.729007461050003</v>
      </c>
      <c r="F134">
        <v>2.2205146436035599</v>
      </c>
      <c r="G134">
        <v>-564.78324339711355</v>
      </c>
      <c r="H134">
        <v>-475.45710256518498</v>
      </c>
      <c r="I134">
        <v>86.126539875551799</v>
      </c>
      <c r="J134">
        <v>46.264357984650402</v>
      </c>
      <c r="K134">
        <v>15.6400713506172</v>
      </c>
      <c r="L134">
        <v>1.2789396227135493E-4</v>
      </c>
      <c r="M134">
        <v>1.6585304928856187E-5</v>
      </c>
      <c r="N134" s="1">
        <v>8.3871252454969402E-7</v>
      </c>
      <c r="O134" s="1">
        <v>2.5731778473110902E-8</v>
      </c>
      <c r="P134" s="1">
        <v>-1.2773301750455E-7</v>
      </c>
      <c r="Q134">
        <v>73.022245004785304</v>
      </c>
      <c r="R134">
        <v>0.15695997661997099</v>
      </c>
      <c r="S134">
        <v>12.9700731432042</v>
      </c>
      <c r="T134">
        <v>0.23954278764026299</v>
      </c>
      <c r="V134">
        <v>0.56291206740681798</v>
      </c>
      <c r="W134">
        <v>7.7744807507882499E-2</v>
      </c>
      <c r="X134">
        <v>0.18903492843679801</v>
      </c>
      <c r="AA134">
        <v>0.73542527898939702</v>
      </c>
      <c r="AB134">
        <v>2.6378002349523499</v>
      </c>
      <c r="AC134">
        <v>5.16309958592052</v>
      </c>
      <c r="AD134">
        <v>0.115177492604154</v>
      </c>
      <c r="AE134">
        <v>4.1299846919322203</v>
      </c>
    </row>
    <row r="135" spans="1:31" x14ac:dyDescent="0.2">
      <c r="A135">
        <v>134</v>
      </c>
      <c r="B135">
        <v>762</v>
      </c>
      <c r="C135">
        <v>140</v>
      </c>
      <c r="D135">
        <v>0.44980968941699401</v>
      </c>
      <c r="E135">
        <v>23.957015431853399</v>
      </c>
      <c r="F135">
        <v>2.22453581284207</v>
      </c>
      <c r="G135">
        <v>-389.60486171779883</v>
      </c>
      <c r="H135">
        <v>-328.28709901728956</v>
      </c>
      <c r="I135">
        <v>59.235630295618201</v>
      </c>
      <c r="J135">
        <v>31.9441018147925</v>
      </c>
      <c r="K135">
        <v>10.7694447055207</v>
      </c>
      <c r="L135">
        <v>1.273262951311581E-4</v>
      </c>
      <c r="M135">
        <v>1.6554583241915475E-5</v>
      </c>
      <c r="N135" s="1">
        <v>5.7593308711607604E-7</v>
      </c>
      <c r="O135" s="1">
        <v>1.7611448640667599E-8</v>
      </c>
      <c r="P135" s="1">
        <v>-8.6896200803125205E-8</v>
      </c>
      <c r="Q135">
        <v>72.598316807774296</v>
      </c>
      <c r="R135">
        <v>0.18241452667000299</v>
      </c>
      <c r="S135">
        <v>13.4784737734886</v>
      </c>
      <c r="T135">
        <v>0.22490075515368099</v>
      </c>
      <c r="V135">
        <v>0.53373091317700305</v>
      </c>
      <c r="W135">
        <v>0.112701851684295</v>
      </c>
      <c r="X135">
        <v>0.192177370302967</v>
      </c>
      <c r="AA135">
        <v>0.76244071417034698</v>
      </c>
      <c r="AB135">
        <v>2.4174698718081098</v>
      </c>
      <c r="AC135">
        <v>5.2285233152433497</v>
      </c>
      <c r="AD135">
        <v>0.16696570619878201</v>
      </c>
      <c r="AE135">
        <v>4.1018843943284597</v>
      </c>
    </row>
    <row r="136" spans="1:31" x14ac:dyDescent="0.2">
      <c r="A136">
        <v>135</v>
      </c>
      <c r="B136">
        <v>760</v>
      </c>
      <c r="C136">
        <v>140</v>
      </c>
      <c r="D136">
        <v>0.44860910806756099</v>
      </c>
      <c r="E136">
        <v>18.995927958744801</v>
      </c>
      <c r="F136">
        <v>2.2277930830788302</v>
      </c>
      <c r="G136">
        <v>-308.92348278041112</v>
      </c>
      <c r="H136">
        <v>-260.51470925607475</v>
      </c>
      <c r="I136">
        <v>46.855513259774803</v>
      </c>
      <c r="J136">
        <v>25.3511129469635</v>
      </c>
      <c r="K136">
        <v>8.5267918744465501</v>
      </c>
      <c r="L136">
        <v>1.2696711223052584E-4</v>
      </c>
      <c r="M136">
        <v>1.6538809121572636E-5</v>
      </c>
      <c r="N136" s="1">
        <v>4.5578373753471001E-7</v>
      </c>
      <c r="O136" s="1">
        <v>1.3888748358769901E-8</v>
      </c>
      <c r="P136" s="1">
        <v>-6.8203343077562601E-8</v>
      </c>
      <c r="Q136">
        <v>72.235108427947793</v>
      </c>
      <c r="R136">
        <v>0.19850611080771899</v>
      </c>
      <c r="S136">
        <v>13.909184356805699</v>
      </c>
      <c r="T136">
        <v>0.214552632467196</v>
      </c>
      <c r="V136">
        <v>0.512998461107532</v>
      </c>
      <c r="W136">
        <v>0.14213572539666</v>
      </c>
      <c r="X136">
        <v>0.19352773483872099</v>
      </c>
      <c r="AA136">
        <v>0.78048384322729802</v>
      </c>
      <c r="AB136">
        <v>2.25352614624722</v>
      </c>
      <c r="AC136">
        <v>5.2646968125558598</v>
      </c>
      <c r="AD136">
        <v>0.21057144503182401</v>
      </c>
      <c r="AE136">
        <v>4.0847083035663996</v>
      </c>
    </row>
    <row r="137" spans="1:31" x14ac:dyDescent="0.2">
      <c r="A137">
        <v>136</v>
      </c>
      <c r="B137">
        <v>758</v>
      </c>
      <c r="C137">
        <v>140</v>
      </c>
      <c r="D137">
        <v>0.44740386946613198</v>
      </c>
      <c r="E137">
        <v>16.081982201787199</v>
      </c>
      <c r="F137">
        <v>2.23060804190558</v>
      </c>
      <c r="G137">
        <v>-261.531686785994</v>
      </c>
      <c r="H137">
        <v>-220.71429289181211</v>
      </c>
      <c r="I137">
        <v>39.584341651730398</v>
      </c>
      <c r="J137">
        <v>21.479797612323399</v>
      </c>
      <c r="K137">
        <v>7.2096853860746197</v>
      </c>
      <c r="L137">
        <v>1.2671711019505798E-4</v>
      </c>
      <c r="M137">
        <v>1.6530126662806775E-5</v>
      </c>
      <c r="N137" s="1">
        <v>3.8565373189843397E-7</v>
      </c>
      <c r="O137" s="1">
        <v>1.17095384991575E-8</v>
      </c>
      <c r="P137" s="1">
        <v>-5.7276830693118302E-8</v>
      </c>
      <c r="Q137">
        <v>71.911948136432201</v>
      </c>
      <c r="R137">
        <v>0.21001604298714899</v>
      </c>
      <c r="S137">
        <v>14.2886992009525</v>
      </c>
      <c r="T137">
        <v>0.206353339708129</v>
      </c>
      <c r="V137">
        <v>0.49631881315580301</v>
      </c>
      <c r="W137">
        <v>0.167889751780644</v>
      </c>
      <c r="X137">
        <v>0.1940372425978</v>
      </c>
      <c r="AA137">
        <v>0.79557086185444703</v>
      </c>
      <c r="AB137">
        <v>2.1213941888637802</v>
      </c>
      <c r="AC137">
        <v>5.2857923489842902</v>
      </c>
      <c r="AD137">
        <v>0.248725558193199</v>
      </c>
      <c r="AE137">
        <v>4.0732545144900403</v>
      </c>
    </row>
    <row r="138" spans="1:31" x14ac:dyDescent="0.2">
      <c r="A138">
        <v>137</v>
      </c>
      <c r="B138">
        <v>756</v>
      </c>
      <c r="C138">
        <v>140</v>
      </c>
      <c r="D138">
        <v>0.44619394646067401</v>
      </c>
      <c r="E138">
        <v>14.131947934605</v>
      </c>
      <c r="F138">
        <v>2.2331311647002901</v>
      </c>
      <c r="G138">
        <v>-229.81451075486567</v>
      </c>
      <c r="H138">
        <v>-194.08444379537977</v>
      </c>
      <c r="I138">
        <v>34.718036204135302</v>
      </c>
      <c r="J138">
        <v>18.889795161364901</v>
      </c>
      <c r="K138">
        <v>6.3283107405388899</v>
      </c>
      <c r="L138">
        <v>1.2653543459122888E-4</v>
      </c>
      <c r="M138">
        <v>1.6525620842128275E-5</v>
      </c>
      <c r="N138" s="1">
        <v>3.3899742807417901E-7</v>
      </c>
      <c r="O138" s="1">
        <v>1.02553434756208E-8</v>
      </c>
      <c r="P138" s="1">
        <v>-4.9996104325063101E-8</v>
      </c>
      <c r="Q138">
        <v>71.616886435336994</v>
      </c>
      <c r="R138">
        <v>0.21886893117151199</v>
      </c>
      <c r="S138">
        <v>14.6322600801413</v>
      </c>
      <c r="T138">
        <v>0.19944654418632601</v>
      </c>
      <c r="V138">
        <v>0.48201137198407601</v>
      </c>
      <c r="W138">
        <v>0.191056463871286</v>
      </c>
      <c r="X138">
        <v>0.19407457728067801</v>
      </c>
      <c r="AA138">
        <v>0.80941777906414003</v>
      </c>
      <c r="AB138">
        <v>2.01003001655147</v>
      </c>
      <c r="AC138">
        <v>5.2975224331622304</v>
      </c>
      <c r="AD138">
        <v>0.283046613142242</v>
      </c>
      <c r="AE138">
        <v>4.0653787541075896</v>
      </c>
    </row>
    <row r="139" spans="1:31" x14ac:dyDescent="0.2">
      <c r="A139">
        <v>138</v>
      </c>
      <c r="B139">
        <v>754</v>
      </c>
      <c r="C139">
        <v>140</v>
      </c>
      <c r="D139">
        <v>0.44497931168767801</v>
      </c>
      <c r="E139">
        <v>12.6750237321321</v>
      </c>
      <c r="F139">
        <v>2.23539007087312</v>
      </c>
      <c r="G139">
        <v>-206.11645119270369</v>
      </c>
      <c r="H139">
        <v>-174.18833396905814</v>
      </c>
      <c r="I139">
        <v>31.084181690741801</v>
      </c>
      <c r="J139">
        <v>16.955265348908799</v>
      </c>
      <c r="K139">
        <v>5.6701619539632997</v>
      </c>
      <c r="L139">
        <v>1.2641441589113413E-4</v>
      </c>
      <c r="M139">
        <v>1.6526903470784938E-5</v>
      </c>
      <c r="N139" s="1">
        <v>3.0444061692607102E-7</v>
      </c>
      <c r="O139" s="1">
        <v>9.1755944974235296E-9</v>
      </c>
      <c r="P139" s="1">
        <v>-4.4599950055286899E-8</v>
      </c>
      <c r="Q139">
        <v>71.339287235214499</v>
      </c>
      <c r="R139">
        <v>0.21642510764834699</v>
      </c>
      <c r="S139">
        <v>14.957984605613399</v>
      </c>
      <c r="T139">
        <v>0.19504467782219001</v>
      </c>
      <c r="V139">
        <v>0.47338541833813202</v>
      </c>
      <c r="W139">
        <v>0.21207436383347</v>
      </c>
      <c r="X139">
        <v>0.19215441053438401</v>
      </c>
      <c r="AA139">
        <v>0.82320830372925302</v>
      </c>
      <c r="AB139">
        <v>1.91285024158248</v>
      </c>
      <c r="AC139">
        <v>5.3005114965923497</v>
      </c>
      <c r="AD139">
        <v>0.315581263161749</v>
      </c>
      <c r="AE139">
        <v>4.06149287592965</v>
      </c>
    </row>
    <row r="140" spans="1:31" x14ac:dyDescent="0.2">
      <c r="A140">
        <v>139</v>
      </c>
      <c r="B140">
        <v>752</v>
      </c>
      <c r="C140">
        <v>140</v>
      </c>
      <c r="D140">
        <v>0.443759937570114</v>
      </c>
      <c r="E140">
        <v>11.570501763612</v>
      </c>
      <c r="F140">
        <v>2.2374899957168202</v>
      </c>
      <c r="G140">
        <v>-188.14951426904943</v>
      </c>
      <c r="H140">
        <v>-159.1084703697255</v>
      </c>
      <c r="I140">
        <v>28.3285801095682</v>
      </c>
      <c r="J140">
        <v>15.489016095204899</v>
      </c>
      <c r="K140">
        <v>5.1711970939584697</v>
      </c>
      <c r="L140">
        <v>1.2632641351022965E-4</v>
      </c>
      <c r="M140">
        <v>1.6529685145803658E-5</v>
      </c>
      <c r="N140" s="1">
        <v>2.78378863152742E-7</v>
      </c>
      <c r="O140" s="1">
        <v>8.3586309130613593E-9</v>
      </c>
      <c r="P140" s="1">
        <v>-4.0523096207935897E-8</v>
      </c>
      <c r="Q140">
        <v>71.079331650869193</v>
      </c>
      <c r="R140">
        <v>0.214407927206899</v>
      </c>
      <c r="S140">
        <v>15.2606656041136</v>
      </c>
      <c r="T140">
        <v>0.19090778184107601</v>
      </c>
      <c r="V140">
        <v>0.46497616121704299</v>
      </c>
      <c r="W140">
        <v>0.23140698274103599</v>
      </c>
      <c r="X140">
        <v>0.19033079269030401</v>
      </c>
      <c r="AA140">
        <v>0.83669301091387205</v>
      </c>
      <c r="AB140">
        <v>1.82730904657542</v>
      </c>
      <c r="AC140">
        <v>5.2990369948262401</v>
      </c>
      <c r="AD140">
        <v>0.34570670155125</v>
      </c>
      <c r="AE140">
        <v>4.05922734545394</v>
      </c>
    </row>
    <row r="141" spans="1:31" x14ac:dyDescent="0.2">
      <c r="A141">
        <v>140</v>
      </c>
      <c r="B141">
        <v>750</v>
      </c>
      <c r="C141">
        <v>140</v>
      </c>
      <c r="D141">
        <v>0.44253579631530099</v>
      </c>
      <c r="E141">
        <v>10.695523457351999</v>
      </c>
      <c r="F141">
        <v>2.23946373743625</v>
      </c>
      <c r="G141">
        <v>-173.91564148035243</v>
      </c>
      <c r="H141">
        <v>-147.16523723978767</v>
      </c>
      <c r="I141">
        <v>26.145144153413199</v>
      </c>
      <c r="J141">
        <v>14.3277536782085</v>
      </c>
      <c r="K141">
        <v>4.7759306295338098</v>
      </c>
      <c r="L141">
        <v>1.2626448744818214E-4</v>
      </c>
      <c r="M141">
        <v>1.6533742788257923E-5</v>
      </c>
      <c r="N141" s="1">
        <v>2.5784321216366698E-7</v>
      </c>
      <c r="O141" s="1">
        <v>7.71282098689422E-9</v>
      </c>
      <c r="P141" s="1">
        <v>-3.7305210387116301E-8</v>
      </c>
      <c r="Q141">
        <v>70.833131186149302</v>
      </c>
      <c r="R141">
        <v>0.212268656270623</v>
      </c>
      <c r="S141">
        <v>15.5455260719246</v>
      </c>
      <c r="T141">
        <v>0.18706372075291</v>
      </c>
      <c r="V141">
        <v>0.45695212661886497</v>
      </c>
      <c r="W141">
        <v>0.24940116332888099</v>
      </c>
      <c r="X141">
        <v>0.18850211183152299</v>
      </c>
      <c r="AA141">
        <v>0.85006443699439205</v>
      </c>
      <c r="AB141">
        <v>1.75077406384552</v>
      </c>
      <c r="AC141">
        <v>5.2940429596394196</v>
      </c>
      <c r="AD141">
        <v>0.373988240588781</v>
      </c>
      <c r="AE141">
        <v>4.0582852620550796</v>
      </c>
    </row>
    <row r="142" spans="1:31" x14ac:dyDescent="0.2">
      <c r="A142">
        <v>141</v>
      </c>
      <c r="B142">
        <v>792</v>
      </c>
      <c r="C142">
        <v>120</v>
      </c>
      <c r="D142">
        <v>0.48793174670234402</v>
      </c>
      <c r="E142">
        <v>104.033843258461</v>
      </c>
      <c r="F142">
        <v>2.2075402303557801</v>
      </c>
      <c r="G142">
        <v>-1701.4064219163811</v>
      </c>
      <c r="H142">
        <v>-1422.6638655191612</v>
      </c>
      <c r="I142">
        <v>261.69324170043598</v>
      </c>
      <c r="J142">
        <v>138.73987666271699</v>
      </c>
      <c r="K142">
        <v>47.126589961032799</v>
      </c>
      <c r="L142">
        <v>1.2647164858076138E-4</v>
      </c>
      <c r="M142">
        <v>1.6712976532833501E-5</v>
      </c>
      <c r="N142" s="1">
        <v>2.3560806028920201E-6</v>
      </c>
      <c r="O142" s="1">
        <v>7.6973919578109604E-8</v>
      </c>
      <c r="P142" s="1">
        <v>-3.75769848196209E-7</v>
      </c>
      <c r="Q142">
        <v>73.793294177636099</v>
      </c>
      <c r="R142">
        <v>9.2277663684401504E-2</v>
      </c>
      <c r="S142">
        <v>12.4574845973946</v>
      </c>
      <c r="T142">
        <v>0.24164283600710601</v>
      </c>
      <c r="V142">
        <v>0.58038441593145595</v>
      </c>
      <c r="W142">
        <v>2.59530929112377E-2</v>
      </c>
      <c r="X142">
        <v>0.115347079605503</v>
      </c>
      <c r="AA142">
        <v>0.75936827406955199</v>
      </c>
      <c r="AB142">
        <v>3.41235110499608</v>
      </c>
      <c r="AC142">
        <v>4.5081483612483302</v>
      </c>
      <c r="AD142">
        <v>3.8449026535166603E-2</v>
      </c>
      <c r="AE142">
        <v>3.9752993699803501</v>
      </c>
    </row>
    <row r="143" spans="1:31" x14ac:dyDescent="0.2">
      <c r="A143">
        <v>142</v>
      </c>
      <c r="B143">
        <v>790</v>
      </c>
      <c r="C143">
        <v>120</v>
      </c>
      <c r="D143">
        <v>0.486836758688802</v>
      </c>
      <c r="E143">
        <v>103.565547883411</v>
      </c>
      <c r="F143">
        <v>2.2080465193525698</v>
      </c>
      <c r="G143">
        <v>-1693.0849271951563</v>
      </c>
      <c r="H143">
        <v>-1416.4819737456394</v>
      </c>
      <c r="I143">
        <v>260.17302680667501</v>
      </c>
      <c r="J143">
        <v>138.04713783901499</v>
      </c>
      <c r="K143">
        <v>46.903698348610099</v>
      </c>
      <c r="L143">
        <v>1.2622833832640691E-4</v>
      </c>
      <c r="M143">
        <v>1.6692675422276955E-5</v>
      </c>
      <c r="N143" s="1">
        <v>2.3477702823467399E-6</v>
      </c>
      <c r="O143" s="1">
        <v>7.6430474774854705E-8</v>
      </c>
      <c r="P143" s="1">
        <v>-3.7321466000978599E-7</v>
      </c>
      <c r="Q143">
        <v>73.850882518682795</v>
      </c>
      <c r="R143">
        <v>9.2694918302437507E-2</v>
      </c>
      <c r="S143">
        <v>12.419185004233601</v>
      </c>
      <c r="T143">
        <v>0.24332445318255599</v>
      </c>
      <c r="V143">
        <v>0.58247879216499698</v>
      </c>
      <c r="W143">
        <v>2.6070445772560201E-2</v>
      </c>
      <c r="X143">
        <v>0.115868647878049</v>
      </c>
      <c r="AA143">
        <v>0.74915271690273599</v>
      </c>
      <c r="AB143">
        <v>3.38939831973887</v>
      </c>
      <c r="AC143">
        <v>4.5223708386721002</v>
      </c>
      <c r="AD143">
        <v>3.8622882626014099E-2</v>
      </c>
      <c r="AE143">
        <v>3.9699504618431898</v>
      </c>
    </row>
    <row r="144" spans="1:31" x14ac:dyDescent="0.2">
      <c r="A144">
        <v>143</v>
      </c>
      <c r="B144">
        <v>788</v>
      </c>
      <c r="C144">
        <v>120</v>
      </c>
      <c r="D144">
        <v>0.48573764312303003</v>
      </c>
      <c r="E144">
        <v>102.88918130006201</v>
      </c>
      <c r="F144">
        <v>2.2085479891358002</v>
      </c>
      <c r="G144">
        <v>-1681.305632600689</v>
      </c>
      <c r="H144">
        <v>-1407.429581929767</v>
      </c>
      <c r="I144">
        <v>258.09362547323298</v>
      </c>
      <c r="J144">
        <v>137.05764876031299</v>
      </c>
      <c r="K144">
        <v>46.586799021887103</v>
      </c>
      <c r="L144">
        <v>1.2589810018984282E-4</v>
      </c>
      <c r="M144">
        <v>1.666789261715352E-5</v>
      </c>
      <c r="N144" s="1">
        <v>2.3330751705245401E-6</v>
      </c>
      <c r="O144" s="1">
        <v>7.5688363699872106E-8</v>
      </c>
      <c r="P144" s="1">
        <v>-3.6955284709491902E-7</v>
      </c>
      <c r="Q144">
        <v>73.934281083756503</v>
      </c>
      <c r="R144">
        <v>9.3304270465550093E-2</v>
      </c>
      <c r="S144">
        <v>12.364042052765001</v>
      </c>
      <c r="T144">
        <v>0.24547081494985001</v>
      </c>
      <c r="V144">
        <v>0.58581582945574195</v>
      </c>
      <c r="W144">
        <v>2.6241826068435399E-2</v>
      </c>
      <c r="X144">
        <v>0.116630338081941</v>
      </c>
      <c r="AA144">
        <v>0.73504908834945804</v>
      </c>
      <c r="AB144">
        <v>3.3557413908126401</v>
      </c>
      <c r="AC144">
        <v>4.54270946902734</v>
      </c>
      <c r="AD144">
        <v>3.88767793606433E-2</v>
      </c>
      <c r="AE144">
        <v>3.9618370569068699</v>
      </c>
    </row>
    <row r="145" spans="1:31" x14ac:dyDescent="0.2">
      <c r="A145">
        <v>144</v>
      </c>
      <c r="B145">
        <v>786</v>
      </c>
      <c r="C145">
        <v>120</v>
      </c>
      <c r="D145">
        <v>0.48463437662276798</v>
      </c>
      <c r="E145">
        <v>102.21230075078201</v>
      </c>
      <c r="F145">
        <v>2.2090565172964101</v>
      </c>
      <c r="G145">
        <v>-1669.5284146282852</v>
      </c>
      <c r="H145">
        <v>-1398.3690928598119</v>
      </c>
      <c r="I145">
        <v>256.01597674406202</v>
      </c>
      <c r="J145">
        <v>136.068407691928</v>
      </c>
      <c r="K145">
        <v>46.269663066781099</v>
      </c>
      <c r="L145">
        <v>1.2556450533121911E-4</v>
      </c>
      <c r="M145">
        <v>1.6643013748875631E-5</v>
      </c>
      <c r="N145" s="1">
        <v>2.31827440855766E-6</v>
      </c>
      <c r="O145" s="1">
        <v>7.4947532332168298E-8</v>
      </c>
      <c r="P145" s="1">
        <v>-3.6588614066416502E-7</v>
      </c>
      <c r="Q145">
        <v>74.017809014498695</v>
      </c>
      <c r="R145">
        <v>9.3922159363256694E-2</v>
      </c>
      <c r="S145">
        <v>12.308943272580899</v>
      </c>
      <c r="T145">
        <v>0.24764842687132599</v>
      </c>
      <c r="V145">
        <v>0.58919855469816795</v>
      </c>
      <c r="W145">
        <v>2.6415607320915201E-2</v>
      </c>
      <c r="X145">
        <v>0.11740269920407601</v>
      </c>
      <c r="AA145">
        <v>0.72166409721558</v>
      </c>
      <c r="AB145">
        <v>3.3214488204930399</v>
      </c>
      <c r="AC145">
        <v>4.5627979574569002</v>
      </c>
      <c r="AD145">
        <v>3.9134233068020101E-2</v>
      </c>
      <c r="AE145">
        <v>3.9536151572289802</v>
      </c>
    </row>
    <row r="146" spans="1:31" x14ac:dyDescent="0.2">
      <c r="A146">
        <v>145</v>
      </c>
      <c r="B146">
        <v>784</v>
      </c>
      <c r="C146">
        <v>120</v>
      </c>
      <c r="D146">
        <v>0.48352693562881199</v>
      </c>
      <c r="E146">
        <v>101.535444342145</v>
      </c>
      <c r="F146">
        <v>2.2095715516266501</v>
      </c>
      <c r="G146">
        <v>-1657.7623393686376</v>
      </c>
      <c r="H146">
        <v>-1389.3079528057651</v>
      </c>
      <c r="I146">
        <v>253.941622818779</v>
      </c>
      <c r="J146">
        <v>135.08016906098001</v>
      </c>
      <c r="K146">
        <v>45.9525487044748</v>
      </c>
      <c r="L146">
        <v>1.2522780428661211E-4</v>
      </c>
      <c r="M146">
        <v>1.6618062734403415E-5</v>
      </c>
      <c r="N146" s="1">
        <v>2.30338811438449E-6</v>
      </c>
      <c r="O146" s="1">
        <v>7.4208611733633597E-8</v>
      </c>
      <c r="P146" s="1">
        <v>-3.6221800144439401E-7</v>
      </c>
      <c r="Q146">
        <v>74.1014569851218</v>
      </c>
      <c r="R146">
        <v>9.4548264029365101E-2</v>
      </c>
      <c r="S146">
        <v>12.2538962145006</v>
      </c>
      <c r="T146">
        <v>0.24985676720723399</v>
      </c>
      <c r="V146">
        <v>0.59262466233921696</v>
      </c>
      <c r="W146">
        <v>2.6591699258257901E-2</v>
      </c>
      <c r="X146">
        <v>0.118185330036714</v>
      </c>
      <c r="AA146">
        <v>0.70897936476525503</v>
      </c>
      <c r="AB146">
        <v>3.28657292276496</v>
      </c>
      <c r="AC146">
        <v>4.5825965159364799</v>
      </c>
      <c r="AD146">
        <v>3.9395110012230797E-2</v>
      </c>
      <c r="AE146">
        <v>3.9452961640277602</v>
      </c>
    </row>
    <row r="147" spans="1:31" x14ac:dyDescent="0.2">
      <c r="A147">
        <v>146</v>
      </c>
      <c r="B147">
        <v>782</v>
      </c>
      <c r="C147">
        <v>120</v>
      </c>
      <c r="D147">
        <v>0.48241529640335601</v>
      </c>
      <c r="E147">
        <v>100.859132843601</v>
      </c>
      <c r="F147">
        <v>2.2100925301425001</v>
      </c>
      <c r="G147">
        <v>-1646.01616872256</v>
      </c>
      <c r="H147">
        <v>-1380.2533722270175</v>
      </c>
      <c r="I147">
        <v>251.872052784478</v>
      </c>
      <c r="J147">
        <v>134.09366153576701</v>
      </c>
      <c r="K147">
        <v>45.635705957115803</v>
      </c>
      <c r="L147">
        <v>1.2488825091115099E-4</v>
      </c>
      <c r="M147">
        <v>1.6593063702227648E-5</v>
      </c>
      <c r="N147" s="1">
        <v>2.2884360185558598E-6</v>
      </c>
      <c r="O147" s="1">
        <v>7.3472211601059101E-8</v>
      </c>
      <c r="P147" s="1">
        <v>-3.5855179028479601E-7</v>
      </c>
      <c r="Q147">
        <v>74.185216090817306</v>
      </c>
      <c r="R147">
        <v>9.5182257960580399E-2</v>
      </c>
      <c r="S147">
        <v>12.1989081037395</v>
      </c>
      <c r="T147">
        <v>0.25209530094500798</v>
      </c>
      <c r="V147">
        <v>0.59609181089605701</v>
      </c>
      <c r="W147">
        <v>2.6770010051412E-2</v>
      </c>
      <c r="X147">
        <v>0.118977822450734</v>
      </c>
      <c r="AA147">
        <v>0.69697568333802795</v>
      </c>
      <c r="AB147">
        <v>3.2511669679081501</v>
      </c>
      <c r="AC147">
        <v>4.6020650269255601</v>
      </c>
      <c r="AD147">
        <v>3.96592741502362E-2</v>
      </c>
      <c r="AE147">
        <v>3.93689165081731</v>
      </c>
    </row>
    <row r="148" spans="1:31" x14ac:dyDescent="0.2">
      <c r="A148">
        <v>147</v>
      </c>
      <c r="B148">
        <v>780</v>
      </c>
      <c r="C148">
        <v>120</v>
      </c>
      <c r="D148">
        <v>0.48129943502824801</v>
      </c>
      <c r="E148">
        <v>99.169777932653204</v>
      </c>
      <c r="F148">
        <v>2.21105061515056</v>
      </c>
      <c r="G148">
        <v>-1617.4522429603892</v>
      </c>
      <c r="H148">
        <v>-1357.0604247571275</v>
      </c>
      <c r="I148">
        <v>247.25045644330001</v>
      </c>
      <c r="J148">
        <v>131.770199293025</v>
      </c>
      <c r="K148">
        <v>44.851880483025397</v>
      </c>
      <c r="L148">
        <v>1.2456690094230578E-4</v>
      </c>
      <c r="M148">
        <v>1.6556694928905733E-5</v>
      </c>
      <c r="N148" s="1">
        <v>2.24798218917294E-6</v>
      </c>
      <c r="O148" s="1">
        <v>7.1933452785558298E-8</v>
      </c>
      <c r="P148" s="1">
        <v>-3.5138491483921001E-7</v>
      </c>
      <c r="Q148">
        <v>74.206559863835395</v>
      </c>
      <c r="R148">
        <v>9.6803685559522401E-2</v>
      </c>
      <c r="S148">
        <v>12.1722737400169</v>
      </c>
      <c r="T148">
        <v>0.25706319719227899</v>
      </c>
      <c r="V148">
        <v>0.60564023593127303</v>
      </c>
      <c r="W148">
        <v>2.7226036563613699E-2</v>
      </c>
      <c r="X148">
        <v>0.121004606949418</v>
      </c>
      <c r="AA148">
        <v>0.68147402331049101</v>
      </c>
      <c r="AB148">
        <v>3.20830744234447</v>
      </c>
      <c r="AC148">
        <v>4.6591632310973896</v>
      </c>
      <c r="AD148">
        <v>4.0334868983124897E-2</v>
      </c>
      <c r="AE148">
        <v>3.9241490682159998</v>
      </c>
    </row>
    <row r="149" spans="1:31" x14ac:dyDescent="0.2">
      <c r="A149">
        <v>148</v>
      </c>
      <c r="B149">
        <v>778</v>
      </c>
      <c r="C149">
        <v>120</v>
      </c>
      <c r="D149">
        <v>0.48017932740332298</v>
      </c>
      <c r="E149">
        <v>95.822247968143003</v>
      </c>
      <c r="F149">
        <v>2.2127654575300899</v>
      </c>
      <c r="G149">
        <v>-1561.4014779488195</v>
      </c>
      <c r="H149">
        <v>-1310.7448143956026</v>
      </c>
      <c r="I149">
        <v>238.459462068417</v>
      </c>
      <c r="J149">
        <v>127.25901368202599</v>
      </c>
      <c r="K149">
        <v>43.304294922924399</v>
      </c>
      <c r="L149">
        <v>1.2426506784466755E-4</v>
      </c>
      <c r="M149">
        <v>1.6501009509071123E-5</v>
      </c>
      <c r="N149" s="1">
        <v>2.1658519259413698E-6</v>
      </c>
      <c r="O149" s="1">
        <v>6.9090199400122495E-8</v>
      </c>
      <c r="P149" s="1">
        <v>-3.38456120365963E-7</v>
      </c>
      <c r="Q149">
        <v>74.126149906320805</v>
      </c>
      <c r="R149">
        <v>0.100185501838694</v>
      </c>
      <c r="S149">
        <v>12.191383164432301</v>
      </c>
      <c r="T149">
        <v>0.26688809143476599</v>
      </c>
      <c r="V149">
        <v>0.626038307819205</v>
      </c>
      <c r="W149">
        <v>2.8177172392130499E-2</v>
      </c>
      <c r="X149">
        <v>0.125231877298387</v>
      </c>
      <c r="AA149">
        <v>0.66179249363813197</v>
      </c>
      <c r="AB149">
        <v>3.1504368738788702</v>
      </c>
      <c r="AC149">
        <v>4.7780723358516397</v>
      </c>
      <c r="AD149">
        <v>4.17439590994447E-2</v>
      </c>
      <c r="AE149">
        <v>3.9039003159955401</v>
      </c>
    </row>
    <row r="150" spans="1:31" x14ac:dyDescent="0.2">
      <c r="A150">
        <v>149</v>
      </c>
      <c r="B150">
        <v>776</v>
      </c>
      <c r="C150">
        <v>120</v>
      </c>
      <c r="D150">
        <v>0.47905494924462999</v>
      </c>
      <c r="E150">
        <v>92.339531921877494</v>
      </c>
      <c r="F150">
        <v>2.21460211601114</v>
      </c>
      <c r="G150">
        <v>-1503.2030367055743</v>
      </c>
      <c r="H150">
        <v>-1262.5816794214875</v>
      </c>
      <c r="I150">
        <v>229.348860776902</v>
      </c>
      <c r="J150">
        <v>122.57216539918601</v>
      </c>
      <c r="K150">
        <v>41.695766139786599</v>
      </c>
      <c r="L150">
        <v>1.2394437953847727E-4</v>
      </c>
      <c r="M150">
        <v>1.6443324993878568E-5</v>
      </c>
      <c r="N150" s="1">
        <v>2.0804622870221401E-6</v>
      </c>
      <c r="O150" s="1">
        <v>6.6162410780625801E-8</v>
      </c>
      <c r="P150" s="1">
        <v>-3.2501357975694801E-7</v>
      </c>
      <c r="Q150">
        <v>74.040811958747895</v>
      </c>
      <c r="R150">
        <v>0.103964139737272</v>
      </c>
      <c r="S150">
        <v>12.2120062169544</v>
      </c>
      <c r="T150">
        <v>0.27779977276694501</v>
      </c>
      <c r="V150">
        <v>0.64888933030076901</v>
      </c>
      <c r="W150">
        <v>2.9239914301104199E-2</v>
      </c>
      <c r="X150">
        <v>0.12995517467162099</v>
      </c>
      <c r="AA150">
        <v>0.64568212587971996</v>
      </c>
      <c r="AB150">
        <v>3.0864644477167298</v>
      </c>
      <c r="AC150">
        <v>4.8993359268979102</v>
      </c>
      <c r="AD150">
        <v>4.3318391557178197E-2</v>
      </c>
      <c r="AE150">
        <v>3.88253260046833</v>
      </c>
    </row>
    <row r="151" spans="1:31" x14ac:dyDescent="0.2">
      <c r="A151">
        <v>150</v>
      </c>
      <c r="B151">
        <v>774</v>
      </c>
      <c r="C151">
        <v>120</v>
      </c>
      <c r="D151">
        <v>0.47792627608270499</v>
      </c>
      <c r="E151">
        <v>88.5646353491817</v>
      </c>
      <c r="F151">
        <v>2.2166111262104802</v>
      </c>
      <c r="G151">
        <v>-1440.2952148099378</v>
      </c>
      <c r="H151">
        <v>-1210.4138257136844</v>
      </c>
      <c r="I151">
        <v>219.530524849594</v>
      </c>
      <c r="J151">
        <v>117.502215624073</v>
      </c>
      <c r="K151">
        <v>39.954971939796899</v>
      </c>
      <c r="L151">
        <v>1.2360356825849648E-4</v>
      </c>
      <c r="M151">
        <v>1.6383443182693518E-5</v>
      </c>
      <c r="N151" s="1">
        <v>1.9882969449855902E-6</v>
      </c>
      <c r="O151" s="1">
        <v>6.3039381977728098E-8</v>
      </c>
      <c r="P151" s="1">
        <v>-3.1050021454456697E-7</v>
      </c>
      <c r="Q151">
        <v>73.947791738235793</v>
      </c>
      <c r="R151">
        <v>0.108395410449676</v>
      </c>
      <c r="S151">
        <v>12.2348212631723</v>
      </c>
      <c r="T151">
        <v>0.290468358620384</v>
      </c>
      <c r="V151">
        <v>0.67580202528471001</v>
      </c>
      <c r="W151">
        <v>3.04862091889673E-2</v>
      </c>
      <c r="X151">
        <v>0.135494263062128</v>
      </c>
      <c r="AA151">
        <v>0.63421938216094598</v>
      </c>
      <c r="AB151">
        <v>3.0148154236157501</v>
      </c>
      <c r="AC151">
        <v>5.0226707571555202</v>
      </c>
      <c r="AD151">
        <v>4.5164754354012099E-2</v>
      </c>
      <c r="AE151">
        <v>3.8598704146996199</v>
      </c>
    </row>
    <row r="152" spans="1:31" x14ac:dyDescent="0.2">
      <c r="A152">
        <v>151</v>
      </c>
      <c r="B152">
        <v>772</v>
      </c>
      <c r="C152">
        <v>120</v>
      </c>
      <c r="D152">
        <v>0.47679328326077502</v>
      </c>
      <c r="E152">
        <v>45.550450766562498</v>
      </c>
      <c r="F152">
        <v>2.2211198668816001</v>
      </c>
      <c r="G152">
        <v>-740.84449464641159</v>
      </c>
      <c r="H152">
        <v>-623.30674683209179</v>
      </c>
      <c r="I152">
        <v>112.460171089623</v>
      </c>
      <c r="J152">
        <v>60.480273527093203</v>
      </c>
      <c r="K152">
        <v>20.507875979928201</v>
      </c>
      <c r="L152">
        <v>1.2251571045695039E-4</v>
      </c>
      <c r="M152">
        <v>1.629058016176902E-5</v>
      </c>
      <c r="N152" s="1">
        <v>1.01098677811438E-6</v>
      </c>
      <c r="O152" s="1">
        <v>3.1969504400454402E-8</v>
      </c>
      <c r="P152" s="1">
        <v>-1.5657809918737301E-7</v>
      </c>
      <c r="Q152">
        <v>73.592152532554707</v>
      </c>
      <c r="R152">
        <v>0.14137957230841999</v>
      </c>
      <c r="S152">
        <v>12.6648049999891</v>
      </c>
      <c r="T152">
        <v>0.25336136902510797</v>
      </c>
      <c r="V152">
        <v>0.59383055653829597</v>
      </c>
      <c r="W152">
        <v>5.9274934815382499E-2</v>
      </c>
      <c r="X152">
        <v>0.19616823805594699</v>
      </c>
      <c r="AA152">
        <v>0.71550769828142502</v>
      </c>
      <c r="AB152">
        <v>2.6983995739301001</v>
      </c>
      <c r="AC152">
        <v>5.1900175635652701</v>
      </c>
      <c r="AD152">
        <v>8.7814718244945397E-2</v>
      </c>
      <c r="AE152">
        <v>3.80728824269119</v>
      </c>
    </row>
    <row r="153" spans="1:31" x14ac:dyDescent="0.2">
      <c r="A153">
        <v>152</v>
      </c>
      <c r="B153">
        <v>770</v>
      </c>
      <c r="C153">
        <v>120</v>
      </c>
      <c r="D153">
        <v>0.47565594593299199</v>
      </c>
      <c r="E153">
        <v>28.465469148746799</v>
      </c>
      <c r="F153">
        <v>2.2254193181786199</v>
      </c>
      <c r="G153">
        <v>-462.95946961958219</v>
      </c>
      <c r="H153">
        <v>-389.8865743589887</v>
      </c>
      <c r="I153">
        <v>70.050227925603807</v>
      </c>
      <c r="J153">
        <v>37.828957753203802</v>
      </c>
      <c r="K153">
        <v>12.791058708003</v>
      </c>
      <c r="L153">
        <v>1.2184330547156676E-4</v>
      </c>
      <c r="M153">
        <v>1.6248852300827683E-5</v>
      </c>
      <c r="N153" s="1">
        <v>6.2780120973783705E-7</v>
      </c>
      <c r="O153" s="1">
        <v>1.97912264836779E-8</v>
      </c>
      <c r="P153" s="1">
        <v>-9.6274044812512099E-8</v>
      </c>
      <c r="Q153">
        <v>73.153352203394107</v>
      </c>
      <c r="R153">
        <v>0.17481285377877701</v>
      </c>
      <c r="S153">
        <v>13.186028956546799</v>
      </c>
      <c r="T153">
        <v>0.23534719611363999</v>
      </c>
      <c r="V153">
        <v>0.557360649051726</v>
      </c>
      <c r="W153">
        <v>9.4851765340322303E-2</v>
      </c>
      <c r="X153">
        <v>0.20065898346154901</v>
      </c>
      <c r="AA153">
        <v>0.75569510311338794</v>
      </c>
      <c r="AB153">
        <v>2.44357063425322</v>
      </c>
      <c r="AC153">
        <v>5.2831204135856797</v>
      </c>
      <c r="AD153">
        <v>0.140521133837371</v>
      </c>
      <c r="AE153">
        <v>3.7746801075233898</v>
      </c>
    </row>
    <row r="154" spans="1:31" x14ac:dyDescent="0.2">
      <c r="A154">
        <v>153</v>
      </c>
      <c r="B154">
        <v>768</v>
      </c>
      <c r="C154">
        <v>120</v>
      </c>
      <c r="D154">
        <v>0.474514239062578</v>
      </c>
      <c r="E154">
        <v>21.557089262441</v>
      </c>
      <c r="F154">
        <v>2.2288026898619799</v>
      </c>
      <c r="G154">
        <v>-350.60030346346372</v>
      </c>
      <c r="H154">
        <v>-295.50775828770531</v>
      </c>
      <c r="I154">
        <v>52.915089252997603</v>
      </c>
      <c r="J154">
        <v>28.673261161265401</v>
      </c>
      <c r="K154">
        <v>9.6720491950662097</v>
      </c>
      <c r="L154">
        <v>1.2144243733902274E-4</v>
      </c>
      <c r="M154">
        <v>1.6229474563259071E-5</v>
      </c>
      <c r="N154" s="1">
        <v>4.7415212517698401E-7</v>
      </c>
      <c r="O154" s="1">
        <v>1.4896994268069699E-8</v>
      </c>
      <c r="P154" s="1">
        <v>-7.2074719633765498E-8</v>
      </c>
      <c r="Q154">
        <v>72.776556965996505</v>
      </c>
      <c r="R154">
        <v>0.19528497858247501</v>
      </c>
      <c r="S154">
        <v>13.6309721223582</v>
      </c>
      <c r="T154">
        <v>0.22327881149131701</v>
      </c>
      <c r="V154">
        <v>0.53307280567551796</v>
      </c>
      <c r="W154">
        <v>0.125248820336023</v>
      </c>
      <c r="X154">
        <v>0.202695268759055</v>
      </c>
      <c r="AA154">
        <v>0.776869205973025</v>
      </c>
      <c r="AB154">
        <v>2.2623257124077498</v>
      </c>
      <c r="AC154">
        <v>5.3321936212696297</v>
      </c>
      <c r="AD154">
        <v>0.18555380790501599</v>
      </c>
      <c r="AE154">
        <v>3.7559478792454501</v>
      </c>
    </row>
    <row r="155" spans="1:31" x14ac:dyDescent="0.2">
      <c r="A155">
        <v>154</v>
      </c>
      <c r="B155">
        <v>766</v>
      </c>
      <c r="C155">
        <v>120</v>
      </c>
      <c r="D155">
        <v>0.47336813742000999</v>
      </c>
      <c r="E155">
        <v>17.800960099747002</v>
      </c>
      <c r="F155">
        <v>2.2316673471420199</v>
      </c>
      <c r="G155">
        <v>-289.50802663364573</v>
      </c>
      <c r="H155">
        <v>-244.20048508804749</v>
      </c>
      <c r="I155">
        <v>43.600578882354</v>
      </c>
      <c r="J155">
        <v>23.6967214260535</v>
      </c>
      <c r="K155">
        <v>7.9765293526133103</v>
      </c>
      <c r="L155">
        <v>1.2117259461711962E-4</v>
      </c>
      <c r="M155">
        <v>1.6219490876868879E-5</v>
      </c>
      <c r="N155" s="1">
        <v>3.9116502811975902E-7</v>
      </c>
      <c r="O155" s="1">
        <v>1.22464711431668E-8</v>
      </c>
      <c r="P155" s="1">
        <v>-5.8987689618471703E-8</v>
      </c>
      <c r="Q155">
        <v>72.444805189834298</v>
      </c>
      <c r="R155">
        <v>0.209443428154274</v>
      </c>
      <c r="S155">
        <v>14.0199152168297</v>
      </c>
      <c r="T155">
        <v>0.214056584424374</v>
      </c>
      <c r="V155">
        <v>0.51432177661881695</v>
      </c>
      <c r="W155">
        <v>0.151677212064388</v>
      </c>
      <c r="X155">
        <v>0.20359050488772101</v>
      </c>
      <c r="AA155">
        <v>0.79245239602721895</v>
      </c>
      <c r="AB155">
        <v>2.1203937554815502</v>
      </c>
      <c r="AC155">
        <v>5.3607181592402302</v>
      </c>
      <c r="AD155">
        <v>0.22470698083587501</v>
      </c>
      <c r="AE155">
        <v>3.7439187956014202</v>
      </c>
    </row>
    <row r="156" spans="1:31" x14ac:dyDescent="0.2">
      <c r="A156">
        <v>155</v>
      </c>
      <c r="B156">
        <v>764</v>
      </c>
      <c r="C156">
        <v>120</v>
      </c>
      <c r="D156">
        <v>0.47221761558116099</v>
      </c>
      <c r="E156">
        <v>15.4042948457364</v>
      </c>
      <c r="F156">
        <v>2.23420118629019</v>
      </c>
      <c r="G156">
        <v>-250.52480386837775</v>
      </c>
      <c r="H156">
        <v>-211.4686188580225</v>
      </c>
      <c r="I156">
        <v>37.657219312881701</v>
      </c>
      <c r="J156">
        <v>20.5221940085179</v>
      </c>
      <c r="K156">
        <v>6.8947662100720297</v>
      </c>
      <c r="L156">
        <v>1.2097998953732039E-4</v>
      </c>
      <c r="M156">
        <v>1.6214578487501622E-5</v>
      </c>
      <c r="N156" s="1">
        <v>3.3853167981343301E-7</v>
      </c>
      <c r="O156" s="1">
        <v>1.05605307351701E-8</v>
      </c>
      <c r="P156" s="1">
        <v>-5.0674882137295403E-8</v>
      </c>
      <c r="Q156">
        <v>72.144705945100299</v>
      </c>
      <c r="R156">
        <v>0.22007148403287299</v>
      </c>
      <c r="S156">
        <v>14.369294661682099</v>
      </c>
      <c r="T156">
        <v>0.206461950795711</v>
      </c>
      <c r="V156">
        <v>0.49863302454943698</v>
      </c>
      <c r="W156">
        <v>0.175275793344496</v>
      </c>
      <c r="X156">
        <v>0.20386889179157699</v>
      </c>
      <c r="AA156">
        <v>0.80589063965261898</v>
      </c>
      <c r="AB156">
        <v>2.0029645403279601</v>
      </c>
      <c r="AC156">
        <v>5.3773327910287199</v>
      </c>
      <c r="AD156">
        <v>0.25966784199153597</v>
      </c>
      <c r="AE156">
        <v>3.7358324357025698</v>
      </c>
    </row>
    <row r="157" spans="1:31" x14ac:dyDescent="0.2">
      <c r="A157">
        <v>156</v>
      </c>
      <c r="B157">
        <v>762</v>
      </c>
      <c r="C157">
        <v>120</v>
      </c>
      <c r="D157">
        <v>0.47106264792542502</v>
      </c>
      <c r="E157">
        <v>13.720714896895</v>
      </c>
      <c r="F157">
        <v>2.2365043267381801</v>
      </c>
      <c r="G157">
        <v>-223.13846102162671</v>
      </c>
      <c r="H157">
        <v>-188.47989810439432</v>
      </c>
      <c r="I157">
        <v>33.481681801895697</v>
      </c>
      <c r="J157">
        <v>18.292746713863</v>
      </c>
      <c r="K157">
        <v>6.1348930707886904</v>
      </c>
      <c r="L157">
        <v>1.2083884571381092E-4</v>
      </c>
      <c r="M157">
        <v>1.621285176437886E-5</v>
      </c>
      <c r="N157" s="1">
        <v>3.0177010741704302E-7</v>
      </c>
      <c r="O157" s="1">
        <v>9.3794158159429594E-9</v>
      </c>
      <c r="P157" s="1">
        <v>-4.4859327867147399E-8</v>
      </c>
      <c r="Q157">
        <v>71.867872601482404</v>
      </c>
      <c r="R157">
        <v>0.22848295071140301</v>
      </c>
      <c r="S157">
        <v>14.6894781164682</v>
      </c>
      <c r="T157">
        <v>0.19992262743924299</v>
      </c>
      <c r="V157">
        <v>0.48488677428429999</v>
      </c>
      <c r="W157">
        <v>0.196782749316505</v>
      </c>
      <c r="X157">
        <v>0.20377068898763601</v>
      </c>
      <c r="AA157">
        <v>0.81837826037785599</v>
      </c>
      <c r="AB157">
        <v>1.9024299493978101</v>
      </c>
      <c r="AC157">
        <v>5.3860975491229599</v>
      </c>
      <c r="AD157">
        <v>0.29152999898704701</v>
      </c>
      <c r="AE157">
        <v>3.73036773342454</v>
      </c>
    </row>
    <row r="158" spans="1:31" x14ac:dyDescent="0.2">
      <c r="A158">
        <v>157</v>
      </c>
      <c r="B158">
        <v>760</v>
      </c>
      <c r="C158">
        <v>120</v>
      </c>
      <c r="D158">
        <v>0.46990320863379098</v>
      </c>
      <c r="E158">
        <v>12.460673321027301</v>
      </c>
      <c r="F158">
        <v>2.2386363523169401</v>
      </c>
      <c r="G158">
        <v>-202.64014041902715</v>
      </c>
      <c r="H158">
        <v>-171.27784974247902</v>
      </c>
      <c r="I158">
        <v>30.355989620624399</v>
      </c>
      <c r="J158">
        <v>16.624558576515302</v>
      </c>
      <c r="K158">
        <v>5.5661891258626204</v>
      </c>
      <c r="L158">
        <v>1.207347861488502E-4</v>
      </c>
      <c r="M158">
        <v>1.6213328324150147E-5</v>
      </c>
      <c r="N158" s="1">
        <v>2.74409901776947E-7</v>
      </c>
      <c r="O158" s="1">
        <v>8.4976109902929506E-9</v>
      </c>
      <c r="P158" s="1">
        <v>-4.0523626381222702E-8</v>
      </c>
      <c r="Q158">
        <v>71.608889067577294</v>
      </c>
      <c r="R158">
        <v>0.23538384868347401</v>
      </c>
      <c r="S158">
        <v>14.9871840025822</v>
      </c>
      <c r="T158">
        <v>0.194127797936306</v>
      </c>
      <c r="V158">
        <v>0.47249188552322202</v>
      </c>
      <c r="W158">
        <v>0.216681709763029</v>
      </c>
      <c r="X158">
        <v>0.20342214427355701</v>
      </c>
      <c r="AA158">
        <v>0.83041769353858996</v>
      </c>
      <c r="AB158">
        <v>1.81434782937022</v>
      </c>
      <c r="AC158">
        <v>5.3892542071178102</v>
      </c>
      <c r="AD158">
        <v>0.321009940389201</v>
      </c>
      <c r="AE158">
        <v>3.7267898732449698</v>
      </c>
    </row>
    <row r="159" spans="1:31" x14ac:dyDescent="0.2">
      <c r="A159">
        <v>158</v>
      </c>
      <c r="B159">
        <v>758</v>
      </c>
      <c r="C159">
        <v>120</v>
      </c>
      <c r="D159">
        <v>0.46873927168695301</v>
      </c>
      <c r="E159">
        <v>11.4745310156047</v>
      </c>
      <c r="F159">
        <v>2.2406357489286002</v>
      </c>
      <c r="G159">
        <v>-186.59630363722098</v>
      </c>
      <c r="H159">
        <v>-157.8177633645233</v>
      </c>
      <c r="I159">
        <v>27.909169638459701</v>
      </c>
      <c r="J159">
        <v>15.319288208389599</v>
      </c>
      <c r="K159">
        <v>5.12110503507387</v>
      </c>
      <c r="L159">
        <v>1.2065892896847321E-4</v>
      </c>
      <c r="M159">
        <v>1.6215431819573151E-5</v>
      </c>
      <c r="N159" s="1">
        <v>2.5311429605002999E-7</v>
      </c>
      <c r="O159" s="1">
        <v>7.8090765851848299E-9</v>
      </c>
      <c r="P159" s="1">
        <v>-3.7143028452317301E-8</v>
      </c>
      <c r="Q159">
        <v>71.364076526655396</v>
      </c>
      <c r="R159">
        <v>0.241192777874184</v>
      </c>
      <c r="S159">
        <v>15.2669843220296</v>
      </c>
      <c r="T159">
        <v>0.18889019663703899</v>
      </c>
      <c r="V159">
        <v>0.46110021745190299</v>
      </c>
      <c r="W159">
        <v>0.23530373453404799</v>
      </c>
      <c r="X159">
        <v>0.20289669692888301</v>
      </c>
      <c r="AA159">
        <v>0.84224857190247304</v>
      </c>
      <c r="AB159">
        <v>1.73588185768383</v>
      </c>
      <c r="AC159">
        <v>5.3881807722292097</v>
      </c>
      <c r="AD159">
        <v>0.34859812523503098</v>
      </c>
      <c r="AE159">
        <v>3.7246462008382699</v>
      </c>
    </row>
    <row r="160" spans="1:31" x14ac:dyDescent="0.2">
      <c r="A160">
        <v>159</v>
      </c>
      <c r="B160">
        <v>756</v>
      </c>
      <c r="C160">
        <v>120</v>
      </c>
      <c r="D160">
        <v>0.46757081086333502</v>
      </c>
      <c r="E160">
        <v>10.628314966908899</v>
      </c>
      <c r="F160">
        <v>2.24242215359636</v>
      </c>
      <c r="G160">
        <v>-172.82998032258374</v>
      </c>
      <c r="H160">
        <v>-146.26529634362862</v>
      </c>
      <c r="I160">
        <v>25.812256696259102</v>
      </c>
      <c r="J160">
        <v>14.1994236075749</v>
      </c>
      <c r="K160">
        <v>4.7396583867419499</v>
      </c>
      <c r="L160">
        <v>1.2062044882048114E-4</v>
      </c>
      <c r="M160">
        <v>1.6223325617911439E-5</v>
      </c>
      <c r="N160" s="1">
        <v>2.35048528242941E-7</v>
      </c>
      <c r="O160" s="1">
        <v>7.2242132889535299E-9</v>
      </c>
      <c r="P160" s="1">
        <v>-3.4277634091619802E-8</v>
      </c>
      <c r="Q160">
        <v>71.127409767083805</v>
      </c>
      <c r="R160">
        <v>0.23028886042524899</v>
      </c>
      <c r="S160">
        <v>15.545814503699599</v>
      </c>
      <c r="T160">
        <v>0.186479664584418</v>
      </c>
      <c r="V160">
        <v>0.45654860041474998</v>
      </c>
      <c r="W160">
        <v>0.25203812789858698</v>
      </c>
      <c r="X160">
        <v>0.199621538219724</v>
      </c>
      <c r="AA160">
        <v>0.85497556210989201</v>
      </c>
      <c r="AB160">
        <v>1.66457276199854</v>
      </c>
      <c r="AC160">
        <v>5.3800484618119402</v>
      </c>
      <c r="AD160">
        <v>0.37635316721838502</v>
      </c>
      <c r="AE160">
        <v>3.7258489845349998</v>
      </c>
    </row>
    <row r="161" spans="1:31" x14ac:dyDescent="0.2">
      <c r="A161">
        <v>160</v>
      </c>
      <c r="B161">
        <v>806</v>
      </c>
      <c r="C161">
        <v>100</v>
      </c>
      <c r="D161">
        <v>0.51586943427697896</v>
      </c>
      <c r="E161">
        <v>103.618126756061</v>
      </c>
      <c r="F161">
        <v>2.21122393798007</v>
      </c>
      <c r="G161">
        <v>-1696.6610788280495</v>
      </c>
      <c r="H161">
        <v>-1416.3971253623874</v>
      </c>
      <c r="I161">
        <v>259.70806047876698</v>
      </c>
      <c r="J161">
        <v>137.869083416601</v>
      </c>
      <c r="K161">
        <v>46.860078247305502</v>
      </c>
      <c r="L161">
        <v>1.1978783659091598E-4</v>
      </c>
      <c r="M161">
        <v>1.6298110365264666E-5</v>
      </c>
      <c r="N161" s="1">
        <v>2.0979064893125302E-6</v>
      </c>
      <c r="O161" s="1">
        <v>7.1496358817302404E-8</v>
      </c>
      <c r="P161" s="1">
        <v>-3.3984077948042298E-7</v>
      </c>
      <c r="Q161">
        <v>74.089353285404997</v>
      </c>
      <c r="R161">
        <v>9.2647882185714597E-2</v>
      </c>
      <c r="S161">
        <v>12.5074640950718</v>
      </c>
      <c r="T161">
        <v>0.24033794320111501</v>
      </c>
      <c r="V161">
        <v>0.58475942030629402</v>
      </c>
      <c r="W161">
        <v>2.60572168647321E-2</v>
      </c>
      <c r="X161">
        <v>0.115809852732144</v>
      </c>
      <c r="AA161">
        <v>0.76241486381994095</v>
      </c>
      <c r="AB161">
        <v>3.4260414766592202</v>
      </c>
      <c r="AC161">
        <v>4.5262350776145599</v>
      </c>
      <c r="AD161">
        <v>3.8603284244047097E-2</v>
      </c>
      <c r="AE161">
        <v>3.5902756018952799</v>
      </c>
    </row>
    <row r="162" spans="1:31" x14ac:dyDescent="0.2">
      <c r="A162">
        <v>161</v>
      </c>
      <c r="B162">
        <v>804</v>
      </c>
      <c r="C162">
        <v>100</v>
      </c>
      <c r="D162">
        <v>0.514840551455232</v>
      </c>
      <c r="E162">
        <v>103.381505007519</v>
      </c>
      <c r="F162">
        <v>2.2116822927638502</v>
      </c>
      <c r="G162">
        <v>-1692.2038847963993</v>
      </c>
      <c r="H162">
        <v>-1413.4091734964888</v>
      </c>
      <c r="I162">
        <v>258.82626495837201</v>
      </c>
      <c r="J162">
        <v>137.51065214483401</v>
      </c>
      <c r="K162">
        <v>46.743379619107699</v>
      </c>
      <c r="L162">
        <v>1.1966285174710113E-4</v>
      </c>
      <c r="M162">
        <v>1.6285374063172141E-5</v>
      </c>
      <c r="N162" s="1">
        <v>2.0971704180493402E-6</v>
      </c>
      <c r="O162" s="1">
        <v>7.1213045529750494E-8</v>
      </c>
      <c r="P162" s="1">
        <v>-3.3870715199802301E-7</v>
      </c>
      <c r="Q162">
        <v>74.117773193285203</v>
      </c>
      <c r="R162">
        <v>9.2859936594091502E-2</v>
      </c>
      <c r="S162">
        <v>12.487742539345501</v>
      </c>
      <c r="T162">
        <v>0.241495996180454</v>
      </c>
      <c r="V162">
        <v>0.58555077855598103</v>
      </c>
      <c r="W162">
        <v>2.6116857167087799E-2</v>
      </c>
      <c r="X162">
        <v>0.11607492074261699</v>
      </c>
      <c r="AA162">
        <v>0.75720869493644105</v>
      </c>
      <c r="AB162">
        <v>3.4142494678964002</v>
      </c>
      <c r="AC162">
        <v>4.53344302020645</v>
      </c>
      <c r="AD162">
        <v>3.86916402475364E-2</v>
      </c>
      <c r="AE162">
        <v>3.5887929548420501</v>
      </c>
    </row>
    <row r="163" spans="1:31" x14ac:dyDescent="0.2">
      <c r="A163">
        <v>162</v>
      </c>
      <c r="B163">
        <v>802</v>
      </c>
      <c r="C163">
        <v>100</v>
      </c>
      <c r="D163">
        <v>0.51380784076640695</v>
      </c>
      <c r="E163">
        <v>102.72956139851701</v>
      </c>
      <c r="F163">
        <v>2.21209990417581</v>
      </c>
      <c r="G163">
        <v>-1680.8290659655499</v>
      </c>
      <c r="H163">
        <v>-1404.6947662595289</v>
      </c>
      <c r="I163">
        <v>256.83327880390698</v>
      </c>
      <c r="J163">
        <v>136.56105200972101</v>
      </c>
      <c r="K163">
        <v>46.439838094379503</v>
      </c>
      <c r="L163">
        <v>1.1938083469469772E-4</v>
      </c>
      <c r="M163">
        <v>1.6264832544791278E-5</v>
      </c>
      <c r="N163" s="1">
        <v>2.0852866565928202E-6</v>
      </c>
      <c r="O163" s="1">
        <v>7.0563822111324202E-8</v>
      </c>
      <c r="P163" s="1">
        <v>-3.3558321208990301E-7</v>
      </c>
      <c r="Q163">
        <v>74.197415494017093</v>
      </c>
      <c r="R163">
        <v>9.3449245468486902E-2</v>
      </c>
      <c r="S163">
        <v>12.4339297572239</v>
      </c>
      <c r="T163">
        <v>0.243544352155982</v>
      </c>
      <c r="V163">
        <v>0.58880271160365005</v>
      </c>
      <c r="W163">
        <v>2.6282600288011299E-2</v>
      </c>
      <c r="X163">
        <v>0.11681155683561301</v>
      </c>
      <c r="AA163">
        <v>0.74340635164775104</v>
      </c>
      <c r="AB163">
        <v>3.3815406642329999</v>
      </c>
      <c r="AC163">
        <v>4.5531805796481803</v>
      </c>
      <c r="AD163">
        <v>3.8937185611866799E-2</v>
      </c>
      <c r="AE163">
        <v>3.5826995012663301</v>
      </c>
    </row>
    <row r="164" spans="1:31" x14ac:dyDescent="0.2">
      <c r="A164">
        <v>163</v>
      </c>
      <c r="B164">
        <v>800</v>
      </c>
      <c r="C164">
        <v>100</v>
      </c>
      <c r="D164">
        <v>0.51277128080883805</v>
      </c>
      <c r="E164">
        <v>102.07764306463</v>
      </c>
      <c r="F164">
        <v>2.21252381768769</v>
      </c>
      <c r="G164">
        <v>-1669.4646733889035</v>
      </c>
      <c r="H164">
        <v>-1395.9795974880269</v>
      </c>
      <c r="I164">
        <v>254.84328928935901</v>
      </c>
      <c r="J164">
        <v>135.61237854845999</v>
      </c>
      <c r="K164">
        <v>46.136291166036798</v>
      </c>
      <c r="L164">
        <v>1.1909613743499996E-4</v>
      </c>
      <c r="M164">
        <v>1.6244224974405647E-5</v>
      </c>
      <c r="N164" s="1">
        <v>2.07332491839485E-6</v>
      </c>
      <c r="O164" s="1">
        <v>6.9916021402002206E-8</v>
      </c>
      <c r="P164" s="1">
        <v>-3.3245663820756E-7</v>
      </c>
      <c r="Q164">
        <v>74.277106768971393</v>
      </c>
      <c r="R164">
        <v>9.4046058586225403E-2</v>
      </c>
      <c r="S164">
        <v>12.380191672443299</v>
      </c>
      <c r="T164">
        <v>0.24562048396292599</v>
      </c>
      <c r="V164">
        <v>0.59209453208960905</v>
      </c>
      <c r="W164">
        <v>2.64504539773751E-2</v>
      </c>
      <c r="X164">
        <v>0.117557573232787</v>
      </c>
      <c r="AA164">
        <v>0.73028042804224103</v>
      </c>
      <c r="AB164">
        <v>3.3482571393302401</v>
      </c>
      <c r="AC164">
        <v>4.5726805596845201</v>
      </c>
      <c r="AD164">
        <v>3.9185857744257001E-2</v>
      </c>
      <c r="AE164">
        <v>3.5765284719350898</v>
      </c>
    </row>
    <row r="165" spans="1:31" x14ac:dyDescent="0.2">
      <c r="A165">
        <v>164</v>
      </c>
      <c r="B165">
        <v>798</v>
      </c>
      <c r="C165">
        <v>100</v>
      </c>
      <c r="D165">
        <v>0.51173085002101004</v>
      </c>
      <c r="E165">
        <v>101.42622779008001</v>
      </c>
      <c r="F165">
        <v>2.2129535736029502</v>
      </c>
      <c r="G165">
        <v>-1658.1187382320466</v>
      </c>
      <c r="H165">
        <v>-1387.2702725696195</v>
      </c>
      <c r="I165">
        <v>252.857644272443</v>
      </c>
      <c r="J165">
        <v>134.66529560543</v>
      </c>
      <c r="K165">
        <v>45.8329668547659</v>
      </c>
      <c r="L165">
        <v>1.1880895793621233E-4</v>
      </c>
      <c r="M165">
        <v>1.6223570283507521E-5</v>
      </c>
      <c r="N165" s="1">
        <v>2.0613007276768402E-6</v>
      </c>
      <c r="O165" s="1">
        <v>6.9270147749769704E-8</v>
      </c>
      <c r="P165" s="1">
        <v>-3.29330155666396E-7</v>
      </c>
      <c r="Q165">
        <v>74.356839670660705</v>
      </c>
      <c r="R165">
        <v>9.4650074336482495E-2</v>
      </c>
      <c r="S165">
        <v>12.3265350157002</v>
      </c>
      <c r="T165">
        <v>0.24772390186129301</v>
      </c>
      <c r="V165">
        <v>0.59542407301037503</v>
      </c>
      <c r="W165">
        <v>2.6620333407134801E-2</v>
      </c>
      <c r="X165">
        <v>0.11831259292061</v>
      </c>
      <c r="AA165">
        <v>0.71781302234869404</v>
      </c>
      <c r="AB165">
        <v>3.3144461307298401</v>
      </c>
      <c r="AC165">
        <v>4.5919092160387898</v>
      </c>
      <c r="AD165">
        <v>3.9437530973529998E-2</v>
      </c>
      <c r="AE165">
        <v>3.5702884380122302</v>
      </c>
    </row>
    <row r="166" spans="1:31" x14ac:dyDescent="0.2">
      <c r="A166">
        <v>165</v>
      </c>
      <c r="B166">
        <v>796</v>
      </c>
      <c r="C166">
        <v>100</v>
      </c>
      <c r="D166">
        <v>0.51068652668007097</v>
      </c>
      <c r="E166">
        <v>100.77577801722499</v>
      </c>
      <c r="F166">
        <v>2.2133887059452801</v>
      </c>
      <c r="G166">
        <v>-1646.7990216400829</v>
      </c>
      <c r="H166">
        <v>-1378.573187831237</v>
      </c>
      <c r="I166">
        <v>250.877644679274</v>
      </c>
      <c r="J166">
        <v>133.720444340011</v>
      </c>
      <c r="K166">
        <v>45.5300859476406</v>
      </c>
      <c r="L166">
        <v>1.1851949609857339E-4</v>
      </c>
      <c r="M166">
        <v>1.6202887479451532E-5</v>
      </c>
      <c r="N166" s="1">
        <v>2.0492292965125898E-6</v>
      </c>
      <c r="O166" s="1">
        <v>6.8626687996652502E-8</v>
      </c>
      <c r="P166" s="1">
        <v>-3.2620641000439198E-7</v>
      </c>
      <c r="Q166">
        <v>74.4366071377286</v>
      </c>
      <c r="R166">
        <v>9.5260986209991502E-2</v>
      </c>
      <c r="S166">
        <v>12.272966273460201</v>
      </c>
      <c r="T166">
        <v>0.24985410489486301</v>
      </c>
      <c r="V166">
        <v>0.59878913510382603</v>
      </c>
      <c r="W166">
        <v>2.6792152371558998E-2</v>
      </c>
      <c r="X166">
        <v>0.119076232762497</v>
      </c>
      <c r="AA166">
        <v>0.70598555576880695</v>
      </c>
      <c r="AB166">
        <v>3.2801555237852398</v>
      </c>
      <c r="AC166">
        <v>4.6108327600761898</v>
      </c>
      <c r="AD166">
        <v>3.9692077587491402E-2</v>
      </c>
      <c r="AE166">
        <v>3.5639880602507001</v>
      </c>
    </row>
    <row r="167" spans="1:31" x14ac:dyDescent="0.2">
      <c r="A167">
        <v>166</v>
      </c>
      <c r="B167">
        <v>794</v>
      </c>
      <c r="C167">
        <v>100</v>
      </c>
      <c r="D167">
        <v>0.50963828890034402</v>
      </c>
      <c r="E167">
        <v>100.126736370819</v>
      </c>
      <c r="F167">
        <v>2.21382874537339</v>
      </c>
      <c r="G167">
        <v>-1635.5129411073692</v>
      </c>
      <c r="H167">
        <v>-1369.8944691088798</v>
      </c>
      <c r="I167">
        <v>248.904532632235</v>
      </c>
      <c r="J167">
        <v>132.778437117127</v>
      </c>
      <c r="K167">
        <v>45.227859914670603</v>
      </c>
      <c r="L167">
        <v>1.182279520294973E-4</v>
      </c>
      <c r="M167">
        <v>1.6182195541543388E-5</v>
      </c>
      <c r="N167" s="1">
        <v>2.03712539499723E-6</v>
      </c>
      <c r="O167" s="1">
        <v>6.7986107512993304E-8</v>
      </c>
      <c r="P167" s="1">
        <v>-3.2308794424508101E-7</v>
      </c>
      <c r="Q167">
        <v>74.516402636259897</v>
      </c>
      <c r="R167">
        <v>9.5878487085073405E-2</v>
      </c>
      <c r="S167">
        <v>12.219491541322901</v>
      </c>
      <c r="T167">
        <v>0.25201059055077701</v>
      </c>
      <c r="V167">
        <v>0.60218751521371305</v>
      </c>
      <c r="W167">
        <v>2.6965824492675601E-2</v>
      </c>
      <c r="X167">
        <v>0.119848108856351</v>
      </c>
      <c r="AA167">
        <v>0.69477895285906299</v>
      </c>
      <c r="AB167">
        <v>3.245433475125</v>
      </c>
      <c r="AC167">
        <v>4.6294174675729201</v>
      </c>
      <c r="AD167">
        <v>3.9949369618774801E-2</v>
      </c>
      <c r="AE167">
        <v>3.5576360310427901</v>
      </c>
    </row>
    <row r="168" spans="1:31" x14ac:dyDescent="0.2">
      <c r="A168">
        <v>167</v>
      </c>
      <c r="B168">
        <v>792</v>
      </c>
      <c r="C168">
        <v>100</v>
      </c>
      <c r="D168">
        <v>0.50858611463174297</v>
      </c>
      <c r="E168">
        <v>99.479521675848304</v>
      </c>
      <c r="F168">
        <v>2.2142732218674901</v>
      </c>
      <c r="G168">
        <v>-1624.267505321538</v>
      </c>
      <c r="H168">
        <v>-1361.2399171132436</v>
      </c>
      <c r="I168">
        <v>246.939481019851</v>
      </c>
      <c r="J168">
        <v>131.83985210510301</v>
      </c>
      <c r="K168">
        <v>44.926489058991599</v>
      </c>
      <c r="L168">
        <v>1.1793452443337903E-4</v>
      </c>
      <c r="M168">
        <v>1.6161513330016061E-5</v>
      </c>
      <c r="N168" s="1">
        <v>2.02500323564657E-6</v>
      </c>
      <c r="O168" s="1">
        <v>6.7348846776013205E-8</v>
      </c>
      <c r="P168" s="1">
        <v>-3.1997717891268702E-7</v>
      </c>
      <c r="Q168">
        <v>74.596220395083904</v>
      </c>
      <c r="R168">
        <v>9.6502273415442597E-2</v>
      </c>
      <c r="S168">
        <v>12.1661163836567</v>
      </c>
      <c r="T168">
        <v>0.25419286424020499</v>
      </c>
      <c r="V168">
        <v>0.60561703396588096</v>
      </c>
      <c r="W168">
        <v>2.71412643980917E-2</v>
      </c>
      <c r="X168">
        <v>0.120627841769314</v>
      </c>
      <c r="AA168">
        <v>0.684173820293423</v>
      </c>
      <c r="AB168">
        <v>3.2103280592082801</v>
      </c>
      <c r="AC168">
        <v>4.6476297614722197</v>
      </c>
      <c r="AD168">
        <v>4.0209280589760803E-2</v>
      </c>
      <c r="AE168">
        <v>3.5512410219066299</v>
      </c>
    </row>
    <row r="169" spans="1:31" x14ac:dyDescent="0.2">
      <c r="A169">
        <v>168</v>
      </c>
      <c r="B169">
        <v>790</v>
      </c>
      <c r="C169">
        <v>100</v>
      </c>
      <c r="D169">
        <v>0.507529981658283</v>
      </c>
      <c r="E169">
        <v>97.662109215565494</v>
      </c>
      <c r="F169">
        <v>2.2152221466728599</v>
      </c>
      <c r="G169">
        <v>-1593.5878644672619</v>
      </c>
      <c r="H169">
        <v>-1336.2576039270375</v>
      </c>
      <c r="I169">
        <v>242.04511173420801</v>
      </c>
      <c r="J169">
        <v>129.36147368907001</v>
      </c>
      <c r="K169">
        <v>44.086824141880498</v>
      </c>
      <c r="L169">
        <v>1.176692562906012E-4</v>
      </c>
      <c r="M169">
        <v>1.6128124100244721E-5</v>
      </c>
      <c r="N169" s="1">
        <v>1.9864418740326301E-6</v>
      </c>
      <c r="O169" s="1">
        <v>6.5849535864074699E-8</v>
      </c>
      <c r="P169" s="1">
        <v>-3.1323936789152197E-7</v>
      </c>
      <c r="Q169">
        <v>74.603665777263402</v>
      </c>
      <c r="R169">
        <v>9.8298102274348306E-2</v>
      </c>
      <c r="S169">
        <v>12.1452499153856</v>
      </c>
      <c r="T169">
        <v>0.25958828660952799</v>
      </c>
      <c r="V169">
        <v>0.616288610515629</v>
      </c>
      <c r="W169">
        <v>2.76463412646583E-2</v>
      </c>
      <c r="X169">
        <v>0.122872627842952</v>
      </c>
      <c r="AA169">
        <v>0.66991424008817801</v>
      </c>
      <c r="AB169">
        <v>3.1658448328184501</v>
      </c>
      <c r="AC169">
        <v>4.7094190548968102</v>
      </c>
      <c r="AD169">
        <v>4.0957542614301803E-2</v>
      </c>
      <c r="AE169">
        <v>3.5402546684260598</v>
      </c>
    </row>
    <row r="170" spans="1:31" x14ac:dyDescent="0.2">
      <c r="A170">
        <v>169</v>
      </c>
      <c r="B170">
        <v>788</v>
      </c>
      <c r="C170">
        <v>100</v>
      </c>
      <c r="D170">
        <v>0.50646986759647905</v>
      </c>
      <c r="E170">
        <v>94.376932665520101</v>
      </c>
      <c r="F170">
        <v>2.2168447577914199</v>
      </c>
      <c r="G170">
        <v>-1538.5802003202464</v>
      </c>
      <c r="H170">
        <v>-1290.81606854855</v>
      </c>
      <c r="I170">
        <v>233.48643619817699</v>
      </c>
      <c r="J170">
        <v>124.952883307257</v>
      </c>
      <c r="K170">
        <v>42.572639484031797</v>
      </c>
      <c r="L170">
        <v>1.1742938335374312E-4</v>
      </c>
      <c r="M170">
        <v>1.60782792534486E-5</v>
      </c>
      <c r="N170" s="1">
        <v>1.9147740286868701E-6</v>
      </c>
      <c r="O170" s="1">
        <v>6.3278870070069105E-8</v>
      </c>
      <c r="P170" s="1">
        <v>-3.01918728541782E-7</v>
      </c>
      <c r="Q170">
        <v>74.520927180561102</v>
      </c>
      <c r="R170">
        <v>0.101719771228669</v>
      </c>
      <c r="S170">
        <v>12.1644127430766</v>
      </c>
      <c r="T170">
        <v>0.26943378782791499</v>
      </c>
      <c r="V170">
        <v>0.63701269960696705</v>
      </c>
      <c r="W170">
        <v>2.8608685658060899E-2</v>
      </c>
      <c r="X170">
        <v>0.12714971403585701</v>
      </c>
      <c r="AA170">
        <v>0.65292758091279901</v>
      </c>
      <c r="AB170">
        <v>3.1067270421499198</v>
      </c>
      <c r="AC170">
        <v>4.8255133430049302</v>
      </c>
      <c r="AD170">
        <v>4.2383238011933999E-2</v>
      </c>
      <c r="AE170">
        <v>3.5231842139252101</v>
      </c>
    </row>
    <row r="171" spans="1:31" x14ac:dyDescent="0.2">
      <c r="A171">
        <v>170</v>
      </c>
      <c r="B171">
        <v>786</v>
      </c>
      <c r="C171">
        <v>100</v>
      </c>
      <c r="D171">
        <v>0.50540574989378495</v>
      </c>
      <c r="E171">
        <v>90.950852482735201</v>
      </c>
      <c r="F171">
        <v>2.21858359113812</v>
      </c>
      <c r="G171">
        <v>-1481.3299679118466</v>
      </c>
      <c r="H171">
        <v>-1243.4487362720483</v>
      </c>
      <c r="I171">
        <v>224.596357116364</v>
      </c>
      <c r="J171">
        <v>120.361680640069</v>
      </c>
      <c r="K171">
        <v>40.995008187218097</v>
      </c>
      <c r="L171">
        <v>1.1717531623839422E-4</v>
      </c>
      <c r="M171">
        <v>1.6026841787927824E-5</v>
      </c>
      <c r="N171" s="1">
        <v>1.84010032252375E-6</v>
      </c>
      <c r="O171" s="1">
        <v>6.0626132373063901E-8</v>
      </c>
      <c r="P171" s="1">
        <v>-2.9011308941195101E-7</v>
      </c>
      <c r="Q171">
        <v>74.432982863704396</v>
      </c>
      <c r="R171">
        <v>0.105551512030331</v>
      </c>
      <c r="S171">
        <v>12.1851506697</v>
      </c>
      <c r="T171">
        <v>0.28039078661431499</v>
      </c>
      <c r="V171">
        <v>0.66028206379406096</v>
      </c>
      <c r="W171">
        <v>2.9686362758527599E-2</v>
      </c>
      <c r="X171">
        <v>0.131939390037941</v>
      </c>
      <c r="AA171">
        <v>0.63940914857801501</v>
      </c>
      <c r="AB171">
        <v>3.04198751629951</v>
      </c>
      <c r="AC171">
        <v>4.9433846251574796</v>
      </c>
      <c r="AD171">
        <v>4.3979796679290202E-2</v>
      </c>
      <c r="AE171">
        <v>3.5052552646459501</v>
      </c>
    </row>
    <row r="172" spans="1:31" x14ac:dyDescent="0.2">
      <c r="A172">
        <v>171</v>
      </c>
      <c r="B172">
        <v>784</v>
      </c>
      <c r="C172">
        <v>100</v>
      </c>
      <c r="D172">
        <v>0.50433760582698905</v>
      </c>
      <c r="E172">
        <v>87.225583006742696</v>
      </c>
      <c r="F172">
        <v>2.2204898628259602</v>
      </c>
      <c r="G172">
        <v>-1419.2533564902665</v>
      </c>
      <c r="H172">
        <v>-1191.9810181222681</v>
      </c>
      <c r="I172">
        <v>214.985894497467</v>
      </c>
      <c r="J172">
        <v>115.379396408559</v>
      </c>
      <c r="K172">
        <v>39.282135202244497</v>
      </c>
      <c r="L172">
        <v>1.1690653373950586E-4</v>
      </c>
      <c r="M172">
        <v>1.5973691537998639E-5</v>
      </c>
      <c r="N172" s="1">
        <v>1.75924004271071E-6</v>
      </c>
      <c r="O172" s="1">
        <v>5.7787552676686797E-8</v>
      </c>
      <c r="P172" s="1">
        <v>-2.7731205091835901E-7</v>
      </c>
      <c r="Q172">
        <v>74.336947692616405</v>
      </c>
      <c r="R172">
        <v>0.110059453535074</v>
      </c>
      <c r="S172">
        <v>12.2081866566181</v>
      </c>
      <c r="T172">
        <v>0.29315088592737898</v>
      </c>
      <c r="V172">
        <v>0.68777529685144001</v>
      </c>
      <c r="W172">
        <v>3.0954221306736002E-2</v>
      </c>
      <c r="X172">
        <v>0.13757431691887201</v>
      </c>
      <c r="AA172">
        <v>0.63047982635881405</v>
      </c>
      <c r="AB172">
        <v>2.9701157594119101</v>
      </c>
      <c r="AC172">
        <v>5.0625582836149903</v>
      </c>
      <c r="AD172">
        <v>4.58581056395981E-2</v>
      </c>
      <c r="AE172">
        <v>3.48633950120059</v>
      </c>
    </row>
    <row r="173" spans="1:31" x14ac:dyDescent="0.2">
      <c r="A173">
        <v>172</v>
      </c>
      <c r="B173">
        <v>782</v>
      </c>
      <c r="C173">
        <v>100</v>
      </c>
      <c r="D173">
        <v>0.50326541250059598</v>
      </c>
      <c r="E173">
        <v>58.955764510901901</v>
      </c>
      <c r="F173">
        <v>2.2236388929832902</v>
      </c>
      <c r="G173">
        <v>-959.08103165000989</v>
      </c>
      <c r="H173">
        <v>-806.22387328525588</v>
      </c>
      <c r="I173">
        <v>144.86770446358699</v>
      </c>
      <c r="J173">
        <v>78.015088017466596</v>
      </c>
      <c r="K173">
        <v>26.5131918212697</v>
      </c>
      <c r="L173">
        <v>1.1617866376504751E-4</v>
      </c>
      <c r="M173">
        <v>1.5895481224286198E-5</v>
      </c>
      <c r="N173" s="1">
        <v>1.1794938650143801E-6</v>
      </c>
      <c r="O173" s="1">
        <v>3.8638641880327001E-8</v>
      </c>
      <c r="P173" s="1">
        <v>-1.8505088676447499E-7</v>
      </c>
      <c r="Q173">
        <v>74.117805712568099</v>
      </c>
      <c r="R173">
        <v>0.12739127924256699</v>
      </c>
      <c r="S173">
        <v>12.436841964631601</v>
      </c>
      <c r="T173">
        <v>0.269811476614915</v>
      </c>
      <c r="V173">
        <v>0.63414884984328201</v>
      </c>
      <c r="W173">
        <v>4.5797048387021901E-2</v>
      </c>
      <c r="X173">
        <v>0.196754953317785</v>
      </c>
      <c r="AA173">
        <v>0.68794431542674295</v>
      </c>
      <c r="AB173">
        <v>2.75090336567331</v>
      </c>
      <c r="AC173">
        <v>5.2143993507756399</v>
      </c>
      <c r="AD173">
        <v>6.7847479091855706E-2</v>
      </c>
      <c r="AE173">
        <v>3.4503542044269802</v>
      </c>
    </row>
    <row r="174" spans="1:31" x14ac:dyDescent="0.2">
      <c r="A174">
        <v>173</v>
      </c>
      <c r="B174">
        <v>780</v>
      </c>
      <c r="C174">
        <v>100</v>
      </c>
      <c r="D174">
        <v>0.50218914684517901</v>
      </c>
      <c r="E174">
        <v>34.617725612334702</v>
      </c>
      <c r="F174">
        <v>2.22796954667924</v>
      </c>
      <c r="G174">
        <v>-563.10744782209042</v>
      </c>
      <c r="H174">
        <v>-473.82518178301524</v>
      </c>
      <c r="I174">
        <v>84.776400359944205</v>
      </c>
      <c r="J174">
        <v>45.845317404837701</v>
      </c>
      <c r="K174">
        <v>15.5377911982378</v>
      </c>
      <c r="L174">
        <v>1.1545641862396455E-4</v>
      </c>
      <c r="M174">
        <v>1.5842353671058679E-5</v>
      </c>
      <c r="N174" s="1">
        <v>6.87222842726551E-7</v>
      </c>
      <c r="O174" s="1">
        <v>2.2448241644872101E-8</v>
      </c>
      <c r="P174" s="1">
        <v>-1.0678006348466899E-7</v>
      </c>
      <c r="Q174">
        <v>73.701173723087805</v>
      </c>
      <c r="R174">
        <v>0.165202808815678</v>
      </c>
      <c r="S174">
        <v>12.916059801972001</v>
      </c>
      <c r="T174">
        <v>0.24930388346920099</v>
      </c>
      <c r="V174">
        <v>0.59148832266485896</v>
      </c>
      <c r="W174">
        <v>7.7994725310238905E-2</v>
      </c>
      <c r="X174">
        <v>0.210260284067213</v>
      </c>
      <c r="AA174">
        <v>0.74798301513890997</v>
      </c>
      <c r="AB174">
        <v>2.4739886614591602</v>
      </c>
      <c r="AC174">
        <v>5.3351264335652004</v>
      </c>
      <c r="AD174">
        <v>0.115547741200255</v>
      </c>
      <c r="AE174">
        <v>3.4158705992492999</v>
      </c>
    </row>
    <row r="175" spans="1:31" x14ac:dyDescent="0.2">
      <c r="A175">
        <v>174</v>
      </c>
      <c r="B175">
        <v>778</v>
      </c>
      <c r="C175">
        <v>100</v>
      </c>
      <c r="D175">
        <v>0.501108785615755</v>
      </c>
      <c r="E175">
        <v>24.858690727369702</v>
      </c>
      <c r="F175">
        <v>2.23145328287089</v>
      </c>
      <c r="G175">
        <v>-404.35446579173919</v>
      </c>
      <c r="H175">
        <v>-340.53335885795366</v>
      </c>
      <c r="I175">
        <v>60.715508665543098</v>
      </c>
      <c r="J175">
        <v>32.949298547465901</v>
      </c>
      <c r="K175">
        <v>11.1401349596652</v>
      </c>
      <c r="L175">
        <v>1.1501548468519424E-4</v>
      </c>
      <c r="M175">
        <v>1.5818175879556958E-5</v>
      </c>
      <c r="N175" s="1">
        <v>4.9168787871797102E-7</v>
      </c>
      <c r="O175" s="1">
        <v>1.6009168135188101E-8</v>
      </c>
      <c r="P175" s="1">
        <v>-7.5687355814974906E-8</v>
      </c>
      <c r="Q175">
        <v>73.316243407662498</v>
      </c>
      <c r="R175">
        <v>0.191037987444932</v>
      </c>
      <c r="S175">
        <v>13.366350727165401</v>
      </c>
      <c r="T175">
        <v>0.23507244312761499</v>
      </c>
      <c r="V175">
        <v>0.56244132782119405</v>
      </c>
      <c r="W175">
        <v>0.108613926196302</v>
      </c>
      <c r="X175">
        <v>0.21307033026643299</v>
      </c>
      <c r="AA175">
        <v>0.77575165222440301</v>
      </c>
      <c r="AB175">
        <v>2.27303357714761</v>
      </c>
      <c r="AC175">
        <v>5.4018170387548299</v>
      </c>
      <c r="AD175">
        <v>0.16090952029067901</v>
      </c>
      <c r="AE175">
        <v>3.3956580618980099</v>
      </c>
    </row>
    <row r="176" spans="1:31" x14ac:dyDescent="0.2">
      <c r="A176">
        <v>175</v>
      </c>
      <c r="B176">
        <v>776</v>
      </c>
      <c r="C176">
        <v>100</v>
      </c>
      <c r="D176">
        <v>0.50002430539008103</v>
      </c>
      <c r="E176">
        <v>19.9261229061139</v>
      </c>
      <c r="F176">
        <v>2.2343581162731798</v>
      </c>
      <c r="G176">
        <v>-324.11637710546211</v>
      </c>
      <c r="H176">
        <v>-273.16964749222927</v>
      </c>
      <c r="I176">
        <v>48.560005350267097</v>
      </c>
      <c r="J176">
        <v>26.4331308855914</v>
      </c>
      <c r="K176">
        <v>8.9180524648170003</v>
      </c>
      <c r="L176">
        <v>1.147275653450562E-4</v>
      </c>
      <c r="M176">
        <v>1.5806532939354764E-5</v>
      </c>
      <c r="N176" s="1">
        <v>3.9356355739511299E-7</v>
      </c>
      <c r="O176" s="1">
        <v>1.27703601157389E-8</v>
      </c>
      <c r="P176" s="1">
        <v>-6.0068126745445506E-8</v>
      </c>
      <c r="Q176">
        <v>72.977203201336195</v>
      </c>
      <c r="R176">
        <v>0.20862237930434199</v>
      </c>
      <c r="S176">
        <v>13.7620624283318</v>
      </c>
      <c r="T176">
        <v>0.22452017147341199</v>
      </c>
      <c r="V176">
        <v>0.54084395561424703</v>
      </c>
      <c r="W176">
        <v>0.13550051922899201</v>
      </c>
      <c r="X176">
        <v>0.214425603463516</v>
      </c>
      <c r="AA176">
        <v>0.79299028722533804</v>
      </c>
      <c r="AB176">
        <v>2.1197519184328</v>
      </c>
      <c r="AC176">
        <v>5.4402182943391901</v>
      </c>
      <c r="AD176">
        <v>0.20074150996867501</v>
      </c>
      <c r="AE176">
        <v>3.38311973128146</v>
      </c>
    </row>
    <row r="177" spans="1:31" x14ac:dyDescent="0.2">
      <c r="A177">
        <v>176</v>
      </c>
      <c r="B177">
        <v>774</v>
      </c>
      <c r="C177">
        <v>100</v>
      </c>
      <c r="D177">
        <v>0.49893568256697302</v>
      </c>
      <c r="E177">
        <v>16.933398577770099</v>
      </c>
      <c r="F177">
        <v>2.2368947249201101</v>
      </c>
      <c r="G177">
        <v>-275.43212283138331</v>
      </c>
      <c r="H177">
        <v>-232.30450337884045</v>
      </c>
      <c r="I177">
        <v>41.185713080783799</v>
      </c>
      <c r="J177">
        <v>22.480605955544799</v>
      </c>
      <c r="K177">
        <v>7.5700471681227297</v>
      </c>
      <c r="L177">
        <v>1.1452600819101835E-4</v>
      </c>
      <c r="M177">
        <v>1.5801158877304891E-5</v>
      </c>
      <c r="N177" s="1">
        <v>3.3439860018145598E-7</v>
      </c>
      <c r="O177" s="1">
        <v>1.08122283713283E-8</v>
      </c>
      <c r="P177" s="1">
        <v>-5.0637259717580298E-8</v>
      </c>
      <c r="Q177">
        <v>72.672566922554395</v>
      </c>
      <c r="R177">
        <v>0.221564458186508</v>
      </c>
      <c r="S177">
        <v>14.116097389978499</v>
      </c>
      <c r="T177">
        <v>0.21602831948645501</v>
      </c>
      <c r="V177">
        <v>0.52325168657936905</v>
      </c>
      <c r="W177">
        <v>0.15944820454078601</v>
      </c>
      <c r="X177">
        <v>0.214990375085162</v>
      </c>
      <c r="AA177">
        <v>0.80641235297650804</v>
      </c>
      <c r="AB177">
        <v>1.9953880457314599</v>
      </c>
      <c r="AC177">
        <v>5.4631362466904898</v>
      </c>
      <c r="AD177">
        <v>0.236219562282351</v>
      </c>
      <c r="AE177">
        <v>3.3748964359078899</v>
      </c>
    </row>
    <row r="178" spans="1:31" x14ac:dyDescent="0.2">
      <c r="A178">
        <v>177</v>
      </c>
      <c r="B178">
        <v>772</v>
      </c>
      <c r="C178">
        <v>100</v>
      </c>
      <c r="D178">
        <v>0.49784289336458698</v>
      </c>
      <c r="E178">
        <v>14.902542649773499</v>
      </c>
      <c r="F178">
        <v>2.23917897011829</v>
      </c>
      <c r="G178">
        <v>-242.39326622045209</v>
      </c>
      <c r="H178">
        <v>-204.57848597712677</v>
      </c>
      <c r="I178">
        <v>36.181199103789197</v>
      </c>
      <c r="J178">
        <v>19.799065314899099</v>
      </c>
      <c r="K178">
        <v>6.6553602229419999</v>
      </c>
      <c r="L178">
        <v>1.1437985401594573E-4</v>
      </c>
      <c r="M178">
        <v>1.5799483150813447E-5</v>
      </c>
      <c r="N178" s="1">
        <v>2.9448254256266899E-7</v>
      </c>
      <c r="O178" s="1">
        <v>9.4873288289627396E-9</v>
      </c>
      <c r="P178" s="1">
        <v>-4.4264607352071703E-8</v>
      </c>
      <c r="Q178">
        <v>72.393431807262999</v>
      </c>
      <c r="R178">
        <v>0.23164370791497199</v>
      </c>
      <c r="S178">
        <v>14.4389491196281</v>
      </c>
      <c r="T178">
        <v>0.20883273169556199</v>
      </c>
      <c r="V178">
        <v>0.50811178911043098</v>
      </c>
      <c r="W178">
        <v>0.18117713624124099</v>
      </c>
      <c r="X178">
        <v>0.21508128118669301</v>
      </c>
      <c r="AA178">
        <v>0.81822519554149198</v>
      </c>
      <c r="AB178">
        <v>1.8903927499159501</v>
      </c>
      <c r="AC178">
        <v>5.4763143925018296</v>
      </c>
      <c r="AD178">
        <v>0.26841057220890802</v>
      </c>
      <c r="AE178">
        <v>3.3694295167916599</v>
      </c>
    </row>
    <row r="179" spans="1:31" x14ac:dyDescent="0.2">
      <c r="A179">
        <v>178</v>
      </c>
      <c r="B179">
        <v>770</v>
      </c>
      <c r="C179">
        <v>100</v>
      </c>
      <c r="D179">
        <v>0.49674591381872402</v>
      </c>
      <c r="E179">
        <v>13.4197827424045</v>
      </c>
      <c r="F179">
        <v>2.2412791327662398</v>
      </c>
      <c r="G179">
        <v>-218.26943860162683</v>
      </c>
      <c r="H179">
        <v>-184.33918672342179</v>
      </c>
      <c r="I179">
        <v>32.526723748458899</v>
      </c>
      <c r="J179">
        <v>17.841668434598301</v>
      </c>
      <c r="K179">
        <v>5.9875552965335102</v>
      </c>
      <c r="L179">
        <v>1.1427250141436995E-4</v>
      </c>
      <c r="M179">
        <v>1.5800247184064281E-5</v>
      </c>
      <c r="N179" s="1">
        <v>2.6550241412295902E-7</v>
      </c>
      <c r="O179" s="1">
        <v>8.5224987130565996E-9</v>
      </c>
      <c r="P179" s="1">
        <v>-3.9630067681861102E-8</v>
      </c>
      <c r="Q179">
        <v>72.133785902162799</v>
      </c>
      <c r="R179">
        <v>0.23980901411309799</v>
      </c>
      <c r="S179">
        <v>14.7378155659557</v>
      </c>
      <c r="T179">
        <v>0.20252833309034099</v>
      </c>
      <c r="V179">
        <v>0.494627883151187</v>
      </c>
      <c r="W179">
        <v>0.20119550754478699</v>
      </c>
      <c r="X179">
        <v>0.214863224156394</v>
      </c>
      <c r="AA179">
        <v>0.82930623104585399</v>
      </c>
      <c r="AB179">
        <v>1.7993435244928799</v>
      </c>
      <c r="AC179">
        <v>5.4827708803661199</v>
      </c>
      <c r="AD179">
        <v>0.298067418584472</v>
      </c>
      <c r="AE179">
        <v>3.3658865153362298</v>
      </c>
    </row>
    <row r="180" spans="1:31" x14ac:dyDescent="0.2">
      <c r="A180">
        <v>179</v>
      </c>
      <c r="B180">
        <v>768</v>
      </c>
      <c r="C180">
        <v>100</v>
      </c>
      <c r="D180">
        <v>0.49564471978101199</v>
      </c>
      <c r="E180">
        <v>12.280621253494701</v>
      </c>
      <c r="F180">
        <v>2.2432385909792099</v>
      </c>
      <c r="G180">
        <v>-199.73439619731769</v>
      </c>
      <c r="H180">
        <v>-168.79301717426682</v>
      </c>
      <c r="I180">
        <v>29.718464220382099</v>
      </c>
      <c r="J180">
        <v>16.3381793604816</v>
      </c>
      <c r="K180">
        <v>5.4745051653796697</v>
      </c>
      <c r="L180">
        <v>1.1419403046042106E-4</v>
      </c>
      <c r="M180">
        <v>1.5802749475743991E-5</v>
      </c>
      <c r="N180" s="1">
        <v>2.4335985678152801E-7</v>
      </c>
      <c r="O180" s="1">
        <v>7.7830062194403504E-9</v>
      </c>
      <c r="P180" s="1">
        <v>-3.6082764741037399E-8</v>
      </c>
      <c r="Q180">
        <v>71.889512487980994</v>
      </c>
      <c r="R180">
        <v>0.24661361112185801</v>
      </c>
      <c r="S180">
        <v>15.017664853068601</v>
      </c>
      <c r="T180">
        <v>0.196877285342205</v>
      </c>
      <c r="V180">
        <v>0.48234424890328498</v>
      </c>
      <c r="W180">
        <v>0.21985858404601499</v>
      </c>
      <c r="X180">
        <v>0.21443053519969901</v>
      </c>
      <c r="AA180">
        <v>0.84005398255629804</v>
      </c>
      <c r="AB180">
        <v>1.7188685776803601</v>
      </c>
      <c r="AC180">
        <v>5.4842872093774098</v>
      </c>
      <c r="AD180">
        <v>0.32571642080843299</v>
      </c>
      <c r="AE180">
        <v>3.3637722039147202</v>
      </c>
    </row>
    <row r="181" spans="1:31" x14ac:dyDescent="0.2">
      <c r="A181">
        <v>180</v>
      </c>
      <c r="B181">
        <v>766</v>
      </c>
      <c r="C181">
        <v>100</v>
      </c>
      <c r="D181">
        <v>0.49453928691719501</v>
      </c>
      <c r="E181">
        <v>11.372193946263099</v>
      </c>
      <c r="F181">
        <v>2.2450866417530801</v>
      </c>
      <c r="G181">
        <v>-184.95237722820011</v>
      </c>
      <c r="H181">
        <v>-156.39818174227722</v>
      </c>
      <c r="I181">
        <v>27.478415518378299</v>
      </c>
      <c r="J181">
        <v>15.1394651960705</v>
      </c>
      <c r="K181">
        <v>5.0653697433178602</v>
      </c>
      <c r="L181">
        <v>1.1413802718336486E-4</v>
      </c>
      <c r="M181">
        <v>1.580656067850577E-5</v>
      </c>
      <c r="N181" s="1">
        <v>2.25797671342226E-7</v>
      </c>
      <c r="O181" s="1">
        <v>7.1946098865795602E-9</v>
      </c>
      <c r="P181" s="1">
        <v>-3.3264167088466202E-8</v>
      </c>
      <c r="Q181">
        <v>71.657693717074594</v>
      </c>
      <c r="R181">
        <v>0.25240463906023702</v>
      </c>
      <c r="S181">
        <v>15.282035034459501</v>
      </c>
      <c r="T181">
        <v>0.191728500048715</v>
      </c>
      <c r="V181">
        <v>0.47097736470220097</v>
      </c>
      <c r="W181">
        <v>0.23742120586026999</v>
      </c>
      <c r="X181">
        <v>0.21384142556261099</v>
      </c>
      <c r="AA181">
        <v>0.85066661405979005</v>
      </c>
      <c r="AB181">
        <v>1.64672194060223</v>
      </c>
      <c r="AC181">
        <v>5.4820067277454996</v>
      </c>
      <c r="AD181">
        <v>0.35173511979243899</v>
      </c>
      <c r="AE181">
        <v>3.36276771103178</v>
      </c>
    </row>
    <row r="182" spans="1:31" x14ac:dyDescent="0.2">
      <c r="A182">
        <v>181</v>
      </c>
      <c r="B182">
        <v>764</v>
      </c>
      <c r="C182">
        <v>100</v>
      </c>
      <c r="D182">
        <v>0.49342959070530001</v>
      </c>
      <c r="E182">
        <v>10.6269201128085</v>
      </c>
      <c r="F182">
        <v>2.2468440513261001</v>
      </c>
      <c r="G182">
        <v>-172.82417304657542</v>
      </c>
      <c r="H182">
        <v>-146.23150263941244</v>
      </c>
      <c r="I182">
        <v>25.640139234597601</v>
      </c>
      <c r="J182">
        <v>14.1562353284547</v>
      </c>
      <c r="K182">
        <v>4.7297097039451801</v>
      </c>
      <c r="L182">
        <v>1.1410009310771739E-4</v>
      </c>
      <c r="M182">
        <v>1.5811399108607811E-5</v>
      </c>
      <c r="N182" s="1">
        <v>2.11466803214504E-7</v>
      </c>
      <c r="O182" s="1">
        <v>6.71291439738796E-9</v>
      </c>
      <c r="P182" s="1">
        <v>-3.0959947585509202E-8</v>
      </c>
      <c r="Q182">
        <v>71.436189655940694</v>
      </c>
      <c r="R182">
        <v>0.25741298915983102</v>
      </c>
      <c r="S182">
        <v>15.533528809890701</v>
      </c>
      <c r="T182">
        <v>0.18698000916049101</v>
      </c>
      <c r="V182">
        <v>0.46033916366701999</v>
      </c>
      <c r="W182">
        <v>0.25407173210461598</v>
      </c>
      <c r="X182">
        <v>0.213134020725119</v>
      </c>
      <c r="AA182">
        <v>0.86124880373000601</v>
      </c>
      <c r="AB182">
        <v>1.5813269261880101</v>
      </c>
      <c r="AC182">
        <v>5.4767101412098498</v>
      </c>
      <c r="AD182">
        <v>0.37640256608031702</v>
      </c>
      <c r="AE182">
        <v>3.36265518214323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1873F-06FE-40CF-ACFD-B3AFE7641FF4}">
  <sheetPr codeName="Sheet5"/>
  <dimension ref="A1:P182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760</v>
      </c>
      <c r="C2">
        <v>300</v>
      </c>
      <c r="D2">
        <v>0.27825630353772701</v>
      </c>
      <c r="E2">
        <v>3.8692925733162502</v>
      </c>
      <c r="F2">
        <v>0.57755233730724798</v>
      </c>
      <c r="G2">
        <v>-83.774936899819068</v>
      </c>
      <c r="H2">
        <v>-49.244392244761336</v>
      </c>
      <c r="I2">
        <v>33.424729131171603</v>
      </c>
      <c r="J2">
        <v>14.7881423401564</v>
      </c>
      <c r="K2">
        <v>6.6994665649804901</v>
      </c>
      <c r="L2">
        <v>1.1159856656337461E-3</v>
      </c>
      <c r="M2">
        <v>1.6872488244912802E-4</v>
      </c>
      <c r="N2" s="1">
        <v>4.8352050419734703E-6</v>
      </c>
      <c r="O2" s="1">
        <v>8.1607293310886605E-7</v>
      </c>
      <c r="P2" s="1">
        <v>-3.2817022494353401E-6</v>
      </c>
    </row>
    <row r="3" spans="1:16" x14ac:dyDescent="0.2">
      <c r="A3">
        <v>2</v>
      </c>
      <c r="B3">
        <v>758</v>
      </c>
      <c r="C3">
        <v>300</v>
      </c>
      <c r="D3">
        <v>0.27672065169955901</v>
      </c>
      <c r="E3">
        <v>4.0537714698781198</v>
      </c>
      <c r="F3">
        <v>0.59858723537782299</v>
      </c>
      <c r="G3">
        <v>-86.775677131926145</v>
      </c>
      <c r="H3">
        <v>-51.888503797761842</v>
      </c>
      <c r="I3">
        <v>33.835420747119798</v>
      </c>
      <c r="J3">
        <v>15.0434554511565</v>
      </c>
      <c r="K3">
        <v>6.7722317321374499</v>
      </c>
      <c r="L3">
        <v>1.1058051317867396E-3</v>
      </c>
      <c r="M3">
        <v>1.6644467890524126E-4</v>
      </c>
      <c r="N3" s="1">
        <v>4.9138661746535096E-6</v>
      </c>
      <c r="O3" s="1">
        <v>8.1284603371041795E-7</v>
      </c>
      <c r="P3" s="1">
        <v>-3.2872864610869202E-6</v>
      </c>
    </row>
    <row r="4" spans="1:16" x14ac:dyDescent="0.2">
      <c r="A4">
        <v>3</v>
      </c>
      <c r="B4">
        <v>756</v>
      </c>
      <c r="C4">
        <v>300</v>
      </c>
      <c r="D4">
        <v>0.27517903123937498</v>
      </c>
      <c r="E4">
        <v>4.5191494627372597</v>
      </c>
      <c r="F4">
        <v>0.64790499706949001</v>
      </c>
      <c r="G4">
        <v>-94.430670157308597</v>
      </c>
      <c r="H4">
        <v>-58.519290143410309</v>
      </c>
      <c r="I4">
        <v>34.8963861222677</v>
      </c>
      <c r="J4">
        <v>15.6636975749214</v>
      </c>
      <c r="K4">
        <v>6.9750186881990803</v>
      </c>
      <c r="L4">
        <v>1.0794771997337711E-3</v>
      </c>
      <c r="M4">
        <v>1.6177894973802857E-4</v>
      </c>
      <c r="N4" s="1">
        <v>5.0120028077533801E-6</v>
      </c>
      <c r="O4" s="1">
        <v>8.1266565931713E-7</v>
      </c>
      <c r="P4" s="1">
        <v>-3.3052423447498101E-6</v>
      </c>
    </row>
    <row r="5" spans="1:16" x14ac:dyDescent="0.2">
      <c r="A5">
        <v>4</v>
      </c>
      <c r="B5">
        <v>754</v>
      </c>
      <c r="C5">
        <v>300</v>
      </c>
      <c r="D5">
        <v>0.27363140729202201</v>
      </c>
      <c r="E5">
        <v>4.97980908869775</v>
      </c>
      <c r="F5">
        <v>0.69401792559193298</v>
      </c>
      <c r="G5">
        <v>-102.00274772857492</v>
      </c>
      <c r="H5">
        <v>-65.085697234249309</v>
      </c>
      <c r="I5">
        <v>35.943436756201301</v>
      </c>
      <c r="J5">
        <v>16.277447140190901</v>
      </c>
      <c r="K5">
        <v>7.1753320844709103</v>
      </c>
      <c r="L5">
        <v>1.054875191297726E-3</v>
      </c>
      <c r="M5">
        <v>1.574064628149553E-4</v>
      </c>
      <c r="N5" s="1">
        <v>5.1106786806924704E-6</v>
      </c>
      <c r="O5" s="1">
        <v>8.1234147738660102E-7</v>
      </c>
      <c r="P5" s="1">
        <v>-3.3227318058658702E-6</v>
      </c>
    </row>
    <row r="6" spans="1:16" x14ac:dyDescent="0.2">
      <c r="A6">
        <v>5</v>
      </c>
      <c r="B6">
        <v>752</v>
      </c>
      <c r="C6">
        <v>300</v>
      </c>
      <c r="D6">
        <v>0.27207774472028401</v>
      </c>
      <c r="E6">
        <v>5.43582912946672</v>
      </c>
      <c r="F6">
        <v>0.73724013127786303</v>
      </c>
      <c r="G6">
        <v>-109.49329489924203</v>
      </c>
      <c r="H6">
        <v>-71.588803704334765</v>
      </c>
      <c r="I6">
        <v>36.976790113500698</v>
      </c>
      <c r="J6">
        <v>16.884805921183599</v>
      </c>
      <c r="K6">
        <v>7.3732138266059497</v>
      </c>
      <c r="L6">
        <v>1.0318290592513603E-3</v>
      </c>
      <c r="M6">
        <v>1.5329852600156661E-4</v>
      </c>
      <c r="N6" s="1">
        <v>5.2098760444014604E-6</v>
      </c>
      <c r="O6" s="1">
        <v>8.1187631782419003E-7</v>
      </c>
      <c r="P6" s="1">
        <v>-3.3397570397854798E-6</v>
      </c>
    </row>
    <row r="7" spans="1:16" x14ac:dyDescent="0.2">
      <c r="A7">
        <v>6</v>
      </c>
      <c r="B7">
        <v>750</v>
      </c>
      <c r="C7">
        <v>300</v>
      </c>
      <c r="D7">
        <v>0.270518008112205</v>
      </c>
      <c r="E7">
        <v>5.8872866544627902</v>
      </c>
      <c r="F7">
        <v>0.77784597567610103</v>
      </c>
      <c r="G7">
        <v>-116.90366657321705</v>
      </c>
      <c r="H7">
        <v>-78.02966475588731</v>
      </c>
      <c r="I7">
        <v>37.996658793254703</v>
      </c>
      <c r="J7">
        <v>17.485873355230002</v>
      </c>
      <c r="K7">
        <v>7.5687049088935403</v>
      </c>
      <c r="L7">
        <v>1.0101902723440002E-3</v>
      </c>
      <c r="M7">
        <v>1.4943007978857707E-4</v>
      </c>
      <c r="N7" s="1">
        <v>5.3095769368872799E-6</v>
      </c>
      <c r="O7" s="1">
        <v>8.1127297079529899E-7</v>
      </c>
      <c r="P7" s="1">
        <v>-3.35632020460451E-6</v>
      </c>
    </row>
    <row r="8" spans="1:16" x14ac:dyDescent="0.2">
      <c r="A8">
        <v>7</v>
      </c>
      <c r="B8">
        <v>748</v>
      </c>
      <c r="C8">
        <v>300</v>
      </c>
      <c r="D8">
        <v>0.26895216177838999</v>
      </c>
      <c r="E8">
        <v>6.3342570655847599</v>
      </c>
      <c r="F8">
        <v>0.81607616596961696</v>
      </c>
      <c r="G8">
        <v>-124.23518829261688</v>
      </c>
      <c r="H8">
        <v>-84.409312771424737</v>
      </c>
      <c r="I8">
        <v>39.003250653463702</v>
      </c>
      <c r="J8">
        <v>18.080746602120598</v>
      </c>
      <c r="K8">
        <v>7.7618454376237498</v>
      </c>
      <c r="L8">
        <v>9.8982851658788152E-4</v>
      </c>
      <c r="M8">
        <v>1.4577914033172558E-4</v>
      </c>
      <c r="N8" s="1">
        <v>5.4097631864128696E-6</v>
      </c>
      <c r="O8" s="1">
        <v>8.10534187811481E-7</v>
      </c>
      <c r="P8" s="1">
        <v>-3.3724234243336399E-6</v>
      </c>
    </row>
    <row r="9" spans="1:16" x14ac:dyDescent="0.2">
      <c r="A9">
        <v>8</v>
      </c>
      <c r="B9">
        <v>746</v>
      </c>
      <c r="C9">
        <v>300</v>
      </c>
      <c r="D9">
        <v>0.26738016974930101</v>
      </c>
      <c r="E9">
        <v>6.7768141447112802</v>
      </c>
      <c r="F9">
        <v>0.85214276176983605</v>
      </c>
      <c r="G9">
        <v>-131.48915707030434</v>
      </c>
      <c r="H9">
        <v>-90.72875796512993</v>
      </c>
      <c r="I9">
        <v>39.996768942284703</v>
      </c>
      <c r="J9">
        <v>18.669520607457699</v>
      </c>
      <c r="K9">
        <v>7.9526746558714496</v>
      </c>
      <c r="L9">
        <v>9.7062898523254406E-4</v>
      </c>
      <c r="M9">
        <v>1.4232634188983523E-4</v>
      </c>
      <c r="N9" s="1">
        <v>5.5104164153777104E-6</v>
      </c>
      <c r="O9" s="1">
        <v>8.09662682852217E-7</v>
      </c>
      <c r="P9" s="1">
        <v>-3.38806879231746E-6</v>
      </c>
    </row>
    <row r="10" spans="1:16" x14ac:dyDescent="0.2">
      <c r="A10">
        <v>9</v>
      </c>
      <c r="B10">
        <v>744</v>
      </c>
      <c r="C10">
        <v>300</v>
      </c>
      <c r="D10">
        <v>0.26580199577250502</v>
      </c>
      <c r="E10">
        <v>7.2150300991050003</v>
      </c>
      <c r="F10">
        <v>0.88623331391287496</v>
      </c>
      <c r="G10">
        <v>-138.66684218482524</v>
      </c>
      <c r="H10">
        <v>-96.988989005626365</v>
      </c>
      <c r="I10">
        <v>40.977412421971103</v>
      </c>
      <c r="J10">
        <v>19.2522881625301</v>
      </c>
      <c r="K10">
        <v>8.1412309668764102</v>
      </c>
      <c r="L10">
        <v>9.5249013856208201E-4</v>
      </c>
      <c r="M10">
        <v>1.3905455858719541E-4</v>
      </c>
      <c r="N10" s="1">
        <v>5.6115180439812799E-6</v>
      </c>
      <c r="O10" s="1">
        <v>8.0866113337995105E-7</v>
      </c>
      <c r="P10" s="1">
        <v>-3.4032583743113901E-6</v>
      </c>
    </row>
    <row r="11" spans="1:16" x14ac:dyDescent="0.2">
      <c r="A11">
        <v>10</v>
      </c>
      <c r="B11">
        <v>742</v>
      </c>
      <c r="C11">
        <v>300</v>
      </c>
      <c r="D11">
        <v>0.264217603309855</v>
      </c>
      <c r="E11">
        <v>7.6489756030113902</v>
      </c>
      <c r="F11">
        <v>0.91851430571097803</v>
      </c>
      <c r="G11">
        <v>-145.76948591205354</v>
      </c>
      <c r="H11">
        <v>-103.19097358510535</v>
      </c>
      <c r="I11">
        <v>41.945375484776399</v>
      </c>
      <c r="J11">
        <v>19.8291399597767</v>
      </c>
      <c r="K11">
        <v>8.3275519558627593</v>
      </c>
      <c r="L11">
        <v>9.3532184125965268E-4</v>
      </c>
      <c r="M11">
        <v>1.3594858992134988E-4</v>
      </c>
      <c r="N11" s="1">
        <v>5.7130492941394899E-6</v>
      </c>
      <c r="O11" s="1">
        <v>8.0753218132779196E-7</v>
      </c>
      <c r="P11" s="1">
        <v>-3.4179942115379502E-6</v>
      </c>
    </row>
    <row r="12" spans="1:16" x14ac:dyDescent="0.2">
      <c r="A12">
        <v>11</v>
      </c>
      <c r="B12">
        <v>740</v>
      </c>
      <c r="C12">
        <v>300</v>
      </c>
      <c r="D12">
        <v>0.26262695553471999</v>
      </c>
      <c r="E12">
        <v>8.0787198393764399</v>
      </c>
      <c r="F12">
        <v>0.94913403036203703</v>
      </c>
      <c r="G12">
        <v>-152.79830425636629</v>
      </c>
      <c r="H12">
        <v>-109.3356589911343</v>
      </c>
      <c r="I12">
        <v>42.900848267121603</v>
      </c>
      <c r="J12">
        <v>20.400164647804701</v>
      </c>
      <c r="K12">
        <v>8.5116744115632397</v>
      </c>
      <c r="L12">
        <v>9.1904380495804947E-4</v>
      </c>
      <c r="M12">
        <v>1.329948978004017E-4</v>
      </c>
      <c r="N12" s="1">
        <v>5.8149911933894098E-6</v>
      </c>
      <c r="O12" s="1">
        <v>8.0627843401885202E-7</v>
      </c>
      <c r="P12" s="1">
        <v>-3.43227832354644E-6</v>
      </c>
    </row>
    <row r="13" spans="1:16" x14ac:dyDescent="0.2">
      <c r="A13">
        <v>12</v>
      </c>
      <c r="B13">
        <v>738</v>
      </c>
      <c r="C13">
        <v>300</v>
      </c>
      <c r="D13">
        <v>0.26103001532908299</v>
      </c>
      <c r="E13">
        <v>8.5043305410898</v>
      </c>
      <c r="F13">
        <v>0.978225009366261</v>
      </c>
      <c r="G13">
        <v>-159.75448767316479</v>
      </c>
      <c r="H13">
        <v>-115.42397267224082</v>
      </c>
      <c r="I13">
        <v>43.844016762713203</v>
      </c>
      <c r="J13">
        <v>20.9654488860273</v>
      </c>
      <c r="K13">
        <v>8.6936343475815399</v>
      </c>
      <c r="L13">
        <v>9.0358427922805358E-4</v>
      </c>
      <c r="M13">
        <v>1.3018138552705618E-4</v>
      </c>
      <c r="N13" s="1">
        <v>5.9173245791227702E-6</v>
      </c>
      <c r="O13" s="1">
        <v>8.04902465073162E-7</v>
      </c>
      <c r="P13" s="1">
        <v>-3.4461127111050299E-6</v>
      </c>
    </row>
    <row r="14" spans="1:16" x14ac:dyDescent="0.2">
      <c r="A14">
        <v>13</v>
      </c>
      <c r="B14">
        <v>736</v>
      </c>
      <c r="C14">
        <v>300</v>
      </c>
      <c r="D14">
        <v>0.25942674528068399</v>
      </c>
      <c r="E14">
        <v>9.3940972321322498</v>
      </c>
      <c r="F14">
        <v>1.03313689562718</v>
      </c>
      <c r="G14">
        <v>-174.21854609170964</v>
      </c>
      <c r="H14">
        <v>-127.9115428373858</v>
      </c>
      <c r="I14">
        <v>45.889505328866598</v>
      </c>
      <c r="J14">
        <v>22.147935839936</v>
      </c>
      <c r="K14">
        <v>9.0927903861466692</v>
      </c>
      <c r="L14">
        <v>8.7338101082194166E-4</v>
      </c>
      <c r="M14">
        <v>1.2525092161252052E-4</v>
      </c>
      <c r="N14" s="1">
        <v>6.0554750443429598E-6</v>
      </c>
      <c r="O14" s="1">
        <v>8.0857291414520196E-7</v>
      </c>
      <c r="P14" s="1">
        <v>-3.48172797438493E-6</v>
      </c>
    </row>
    <row r="15" spans="1:16" x14ac:dyDescent="0.2">
      <c r="A15">
        <v>14</v>
      </c>
      <c r="B15">
        <v>734</v>
      </c>
      <c r="C15">
        <v>300</v>
      </c>
      <c r="D15">
        <v>0.25781710768008598</v>
      </c>
      <c r="E15">
        <v>72.123926243791502</v>
      </c>
      <c r="F15">
        <v>1.8493570522035101</v>
      </c>
      <c r="G15">
        <v>-1194.3160602537348</v>
      </c>
      <c r="H15">
        <v>-993.31074300669604</v>
      </c>
      <c r="I15">
        <v>199.58309891446399</v>
      </c>
      <c r="J15">
        <v>107.879248258827</v>
      </c>
      <c r="K15">
        <v>38.9994599246562</v>
      </c>
      <c r="L15">
        <v>4.2000787061930746E-4</v>
      </c>
      <c r="M15">
        <v>5.914459824081389E-5</v>
      </c>
      <c r="N15" s="1">
        <v>1.15629511349586E-5</v>
      </c>
      <c r="O15" s="1">
        <v>1.61150431090173E-6</v>
      </c>
      <c r="P15" s="1">
        <v>-6.9760715132136398E-6</v>
      </c>
    </row>
    <row r="16" spans="1:16" x14ac:dyDescent="0.2">
      <c r="A16">
        <v>15</v>
      </c>
      <c r="B16">
        <v>732</v>
      </c>
      <c r="C16">
        <v>300</v>
      </c>
      <c r="D16">
        <v>0.256201064517732</v>
      </c>
      <c r="E16">
        <v>88.295013220935601</v>
      </c>
      <c r="F16">
        <v>1.89141239310281</v>
      </c>
      <c r="G16">
        <v>-1456.9065963118137</v>
      </c>
      <c r="H16">
        <v>-1216.6618001554557</v>
      </c>
      <c r="I16">
        <v>239.01927294582001</v>
      </c>
      <c r="J16">
        <v>130.09070276812301</v>
      </c>
      <c r="K16">
        <v>46.682052810328599</v>
      </c>
      <c r="L16">
        <v>3.9731519962658439E-4</v>
      </c>
      <c r="M16">
        <v>5.5601287545192245E-5</v>
      </c>
      <c r="N16" s="1">
        <v>1.3060584256478999E-5</v>
      </c>
      <c r="O16" s="1">
        <v>1.80770530009359E-6</v>
      </c>
      <c r="P16" s="1">
        <v>-7.8699263032826304E-6</v>
      </c>
    </row>
    <row r="17" spans="1:16" x14ac:dyDescent="0.2">
      <c r="A17">
        <v>16</v>
      </c>
      <c r="B17">
        <v>730</v>
      </c>
      <c r="C17">
        <v>300</v>
      </c>
      <c r="D17">
        <v>0.25457857748093798</v>
      </c>
      <c r="E17">
        <v>93.749733817225803</v>
      </c>
      <c r="F17">
        <v>1.90373153777719</v>
      </c>
      <c r="G17">
        <v>-1545.0960134887403</v>
      </c>
      <c r="H17">
        <v>-1292.1928914841369</v>
      </c>
      <c r="I17">
        <v>252.114597774098</v>
      </c>
      <c r="J17">
        <v>137.64627432352901</v>
      </c>
      <c r="K17">
        <v>49.245249110433001</v>
      </c>
      <c r="L17">
        <v>3.9107560250351849E-4</v>
      </c>
      <c r="M17">
        <v>5.4448608360058955E-5</v>
      </c>
      <c r="N17" s="1">
        <v>1.36258239340687E-5</v>
      </c>
      <c r="O17" s="1">
        <v>1.86370322703541E-6</v>
      </c>
      <c r="P17" s="1">
        <v>-8.1602015465824492E-6</v>
      </c>
    </row>
    <row r="18" spans="1:16" x14ac:dyDescent="0.2">
      <c r="A18">
        <v>17</v>
      </c>
      <c r="B18">
        <v>728</v>
      </c>
      <c r="C18">
        <v>300</v>
      </c>
      <c r="D18">
        <v>0.25294960795086002</v>
      </c>
      <c r="E18">
        <v>96.662271911505698</v>
      </c>
      <c r="F18">
        <v>1.9105821373096401</v>
      </c>
      <c r="G18">
        <v>-1591.9129798008682</v>
      </c>
      <c r="H18">
        <v>-1332.6669890670571</v>
      </c>
      <c r="I18">
        <v>258.953942522923</v>
      </c>
      <c r="J18">
        <v>141.72784192399601</v>
      </c>
      <c r="K18">
        <v>50.593099361652598</v>
      </c>
      <c r="L18">
        <v>3.8785878442891124E-4</v>
      </c>
      <c r="M18">
        <v>5.3736300745765675E-5</v>
      </c>
      <c r="N18" s="1">
        <v>1.3965653353093699E-5</v>
      </c>
      <c r="O18" s="1">
        <v>1.88628664428447E-6</v>
      </c>
      <c r="P18" s="1">
        <v>-8.3064967802849908E-6</v>
      </c>
    </row>
    <row r="19" spans="1:16" x14ac:dyDescent="0.2">
      <c r="A19">
        <v>18</v>
      </c>
      <c r="B19">
        <v>726</v>
      </c>
      <c r="C19">
        <v>300</v>
      </c>
      <c r="D19">
        <v>0.251314116999449</v>
      </c>
      <c r="E19">
        <v>98.526426350519003</v>
      </c>
      <c r="F19">
        <v>1.9153757462902301</v>
      </c>
      <c r="G19">
        <v>-1621.6678083085008</v>
      </c>
      <c r="H19">
        <v>-1358.6851027957102</v>
      </c>
      <c r="I19">
        <v>263.21225616459702</v>
      </c>
      <c r="J19">
        <v>144.38064155218001</v>
      </c>
      <c r="K19">
        <v>51.439737890253703</v>
      </c>
      <c r="L19">
        <v>3.8577668910583034E-4</v>
      </c>
      <c r="M19">
        <v>5.318993499645619E-5</v>
      </c>
      <c r="N19" s="1">
        <v>1.42095296277835E-5</v>
      </c>
      <c r="O19" s="1">
        <v>1.89508142210551E-6</v>
      </c>
      <c r="P19" s="1">
        <v>-8.3931925340530003E-6</v>
      </c>
    </row>
    <row r="20" spans="1:16" x14ac:dyDescent="0.2">
      <c r="A20">
        <v>19</v>
      </c>
      <c r="B20">
        <v>724</v>
      </c>
      <c r="C20">
        <v>300</v>
      </c>
      <c r="D20">
        <v>0.249672065386352</v>
      </c>
      <c r="E20">
        <v>99.845608947359693</v>
      </c>
      <c r="F20">
        <v>1.9191532123528401</v>
      </c>
      <c r="G20">
        <v>-1642.5534888474808</v>
      </c>
      <c r="H20">
        <v>-1377.1895066141903</v>
      </c>
      <c r="I20">
        <v>266.12831847101398</v>
      </c>
      <c r="J20">
        <v>146.29418237576701</v>
      </c>
      <c r="K20">
        <v>52.025866566927597</v>
      </c>
      <c r="L20">
        <v>3.8425343034174247E-4</v>
      </c>
      <c r="M20">
        <v>5.2725742835342711E-5</v>
      </c>
      <c r="N20" s="1">
        <v>1.44011259034033E-5</v>
      </c>
      <c r="O20" s="1">
        <v>1.8967110909039601E-6</v>
      </c>
      <c r="P20" s="1">
        <v>-8.4487407059468404E-6</v>
      </c>
    </row>
    <row r="21" spans="1:16" x14ac:dyDescent="0.2">
      <c r="A21">
        <v>20</v>
      </c>
      <c r="B21">
        <v>760</v>
      </c>
      <c r="C21">
        <v>280</v>
      </c>
      <c r="D21">
        <v>0.29955040410395301</v>
      </c>
      <c r="E21">
        <v>4.2028285577680302</v>
      </c>
      <c r="F21">
        <v>0.55727281173612397</v>
      </c>
      <c r="G21">
        <v>-91.144521255851359</v>
      </c>
      <c r="H21">
        <v>-53.461800980722465</v>
      </c>
      <c r="I21">
        <v>36.475947724641003</v>
      </c>
      <c r="J21">
        <v>16.175854208502901</v>
      </c>
      <c r="K21">
        <v>7.5417793031649403</v>
      </c>
      <c r="L21">
        <v>1.1801103374306891E-3</v>
      </c>
      <c r="M21">
        <v>1.8942560748166481E-4</v>
      </c>
      <c r="N21" s="1">
        <v>5.6768920220664098E-6</v>
      </c>
      <c r="O21" s="1">
        <v>1.1352285761007E-6</v>
      </c>
      <c r="P21" s="1">
        <v>-4.2550470311854502E-6</v>
      </c>
    </row>
    <row r="22" spans="1:16" x14ac:dyDescent="0.2">
      <c r="A22">
        <v>21</v>
      </c>
      <c r="B22">
        <v>758</v>
      </c>
      <c r="C22">
        <v>280</v>
      </c>
      <c r="D22">
        <v>0.29805605392037998</v>
      </c>
      <c r="E22">
        <v>4.3640339749303703</v>
      </c>
      <c r="F22">
        <v>0.57409068982835598</v>
      </c>
      <c r="G22">
        <v>-93.755136217589651</v>
      </c>
      <c r="H22">
        <v>-55.779558315913697</v>
      </c>
      <c r="I22">
        <v>36.830712186100001</v>
      </c>
      <c r="J22">
        <v>16.403686547427402</v>
      </c>
      <c r="K22">
        <v>7.6016456149726999</v>
      </c>
      <c r="L22">
        <v>1.1721568728401219E-3</v>
      </c>
      <c r="M22">
        <v>1.8727908082507793E-4</v>
      </c>
      <c r="N22" s="1">
        <v>5.7768318889565797E-6</v>
      </c>
      <c r="O22" s="1">
        <v>1.1301756598949499E-6</v>
      </c>
      <c r="P22" s="1">
        <v>-4.2612476483226899E-6</v>
      </c>
    </row>
    <row r="23" spans="1:16" x14ac:dyDescent="0.2">
      <c r="A23">
        <v>22</v>
      </c>
      <c r="B23">
        <v>756</v>
      </c>
      <c r="C23">
        <v>280</v>
      </c>
      <c r="D23">
        <v>0.29655589564203599</v>
      </c>
      <c r="E23">
        <v>4.8191498032328202</v>
      </c>
      <c r="F23">
        <v>0.61800582212760902</v>
      </c>
      <c r="G23">
        <v>-101.236113077704</v>
      </c>
      <c r="H23">
        <v>-62.271304381446491</v>
      </c>
      <c r="I23">
        <v>37.863512718509597</v>
      </c>
      <c r="J23">
        <v>17.012524898526799</v>
      </c>
      <c r="K23">
        <v>7.7979035644711798</v>
      </c>
      <c r="L23">
        <v>1.1480022884623705E-3</v>
      </c>
      <c r="M23">
        <v>1.8258761340002099E-4</v>
      </c>
      <c r="N23" s="1">
        <v>5.8982900354405997E-6</v>
      </c>
      <c r="O23" s="1">
        <v>1.1290810924531399E-6</v>
      </c>
      <c r="P23" s="1">
        <v>-4.2824188853898101E-6</v>
      </c>
    </row>
    <row r="24" spans="1:16" x14ac:dyDescent="0.2">
      <c r="A24">
        <v>23</v>
      </c>
      <c r="B24">
        <v>754</v>
      </c>
      <c r="C24">
        <v>280</v>
      </c>
      <c r="D24">
        <v>0.29504989534147702</v>
      </c>
      <c r="E24">
        <v>5.2697190891665899</v>
      </c>
      <c r="F24">
        <v>0.65939306458088698</v>
      </c>
      <c r="G24">
        <v>-108.63720998946349</v>
      </c>
      <c r="H24">
        <v>-68.700992105136692</v>
      </c>
      <c r="I24">
        <v>38.882984550744403</v>
      </c>
      <c r="J24">
        <v>17.615158475677799</v>
      </c>
      <c r="K24">
        <v>7.9917720889528097</v>
      </c>
      <c r="L24">
        <v>1.1252523196891972E-3</v>
      </c>
      <c r="M24">
        <v>1.7815543462164972E-4</v>
      </c>
      <c r="N24" s="1">
        <v>6.0205450955054898E-6</v>
      </c>
      <c r="O24" s="1">
        <v>1.1278089693686599E-6</v>
      </c>
      <c r="P24" s="1">
        <v>-4.3030477029448701E-6</v>
      </c>
    </row>
    <row r="25" spans="1:16" x14ac:dyDescent="0.2">
      <c r="A25">
        <v>24</v>
      </c>
      <c r="B25">
        <v>752</v>
      </c>
      <c r="C25">
        <v>280</v>
      </c>
      <c r="D25">
        <v>0.29353801882651298</v>
      </c>
      <c r="E25">
        <v>5.7158161449270102</v>
      </c>
      <c r="F25">
        <v>0.69847398658208404</v>
      </c>
      <c r="G25">
        <v>-115.959735236149</v>
      </c>
      <c r="H25">
        <v>-75.069638913817386</v>
      </c>
      <c r="I25">
        <v>39.889333396024497</v>
      </c>
      <c r="J25">
        <v>18.211682846156499</v>
      </c>
      <c r="K25">
        <v>8.1832913676525205</v>
      </c>
      <c r="L25">
        <v>1.1037828731237734E-3</v>
      </c>
      <c r="M25">
        <v>1.7395985845090452E-4</v>
      </c>
      <c r="N25" s="1">
        <v>6.1435737861228201E-6</v>
      </c>
      <c r="O25" s="1">
        <v>1.1263626462914199E-6</v>
      </c>
      <c r="P25" s="1">
        <v>-4.3231353070088697E-6</v>
      </c>
    </row>
    <row r="26" spans="1:16" x14ac:dyDescent="0.2">
      <c r="A26">
        <v>25</v>
      </c>
      <c r="B26">
        <v>750</v>
      </c>
      <c r="C26">
        <v>280</v>
      </c>
      <c r="D26">
        <v>0.292020231637589</v>
      </c>
      <c r="E26">
        <v>6.1575136810872397</v>
      </c>
      <c r="F26">
        <v>0.73544498615387299</v>
      </c>
      <c r="G26">
        <v>-123.20496891660139</v>
      </c>
      <c r="H26">
        <v>-81.378240298464604</v>
      </c>
      <c r="I26">
        <v>40.882760468779999</v>
      </c>
      <c r="J26">
        <v>18.802191412656398</v>
      </c>
      <c r="K26">
        <v>8.3725007267898199</v>
      </c>
      <c r="L26">
        <v>1.0834839500221134E-3</v>
      </c>
      <c r="M26">
        <v>1.6998077818990666E-4</v>
      </c>
      <c r="N26" s="1">
        <v>6.2673524759739498E-6</v>
      </c>
      <c r="O26" s="1">
        <v>1.1247454406449299E-6</v>
      </c>
      <c r="P26" s="1">
        <v>-4.3426828853617301E-6</v>
      </c>
    </row>
    <row r="27" spans="1:16" x14ac:dyDescent="0.2">
      <c r="A27">
        <v>26</v>
      </c>
      <c r="B27">
        <v>748</v>
      </c>
      <c r="C27">
        <v>280</v>
      </c>
      <c r="D27">
        <v>0.29049649904519698</v>
      </c>
      <c r="E27">
        <v>6.5948828490834401</v>
      </c>
      <c r="F27">
        <v>0.770480765099128</v>
      </c>
      <c r="G27">
        <v>-130.37416369250607</v>
      </c>
      <c r="H27">
        <v>-87.627770395838866</v>
      </c>
      <c r="I27">
        <v>41.863462602809001</v>
      </c>
      <c r="J27">
        <v>19.386775470104698</v>
      </c>
      <c r="K27">
        <v>8.5594386619566798</v>
      </c>
      <c r="L27">
        <v>1.0642577006384729E-3</v>
      </c>
      <c r="M27">
        <v>1.6620031038719083E-4</v>
      </c>
      <c r="N27" s="1">
        <v>6.3918571921756597E-6</v>
      </c>
      <c r="O27" s="1">
        <v>1.12296063286035E-6</v>
      </c>
      <c r="P27" s="1">
        <v>-4.3616916119741898E-6</v>
      </c>
    </row>
    <row r="28" spans="1:16" x14ac:dyDescent="0.2">
      <c r="A28">
        <v>27</v>
      </c>
      <c r="B28">
        <v>746</v>
      </c>
      <c r="C28">
        <v>280</v>
      </c>
      <c r="D28">
        <v>0.288966786047197</v>
      </c>
      <c r="E28">
        <v>7.0279932840524904</v>
      </c>
      <c r="F28">
        <v>0.80373724399601199</v>
      </c>
      <c r="G28">
        <v>-137.46854554099983</v>
      </c>
      <c r="H28">
        <v>-93.819182575581053</v>
      </c>
      <c r="I28">
        <v>42.831632370696298</v>
      </c>
      <c r="J28">
        <v>19.965524263357199</v>
      </c>
      <c r="K28">
        <v>8.7441428608070808</v>
      </c>
      <c r="L28">
        <v>1.0460167921877315E-3</v>
      </c>
      <c r="M28">
        <v>1.6260249614165125E-4</v>
      </c>
      <c r="N28" s="1">
        <v>6.5170636277498699E-6</v>
      </c>
      <c r="O28" s="1">
        <v>1.1210114676162799E-6</v>
      </c>
      <c r="P28" s="1">
        <v>-4.3801626515920101E-6</v>
      </c>
    </row>
    <row r="29" spans="1:16" x14ac:dyDescent="0.2">
      <c r="A29">
        <v>28</v>
      </c>
      <c r="B29">
        <v>744</v>
      </c>
      <c r="C29">
        <v>280</v>
      </c>
      <c r="D29">
        <v>0.28743105736617303</v>
      </c>
      <c r="E29">
        <v>7.4569131439261902</v>
      </c>
      <c r="F29">
        <v>0.83535401937454801</v>
      </c>
      <c r="G29">
        <v>-144.48931444310816</v>
      </c>
      <c r="H29">
        <v>-99.953409975041083</v>
      </c>
      <c r="I29">
        <v>43.7874581929401</v>
      </c>
      <c r="J29">
        <v>20.538525039579302</v>
      </c>
      <c r="K29">
        <v>8.9266502237092098</v>
      </c>
      <c r="L29">
        <v>1.0286830331377975E-3</v>
      </c>
      <c r="M29">
        <v>1.5917304931613435E-4</v>
      </c>
      <c r="N29" s="1">
        <v>6.6429471490585497E-6</v>
      </c>
      <c r="O29" s="1">
        <v>1.11890115494492E-6</v>
      </c>
      <c r="P29" s="1">
        <v>-4.3980971639284797E-6</v>
      </c>
    </row>
    <row r="30" spans="1:16" x14ac:dyDescent="0.2">
      <c r="A30">
        <v>29</v>
      </c>
      <c r="B30">
        <v>742</v>
      </c>
      <c r="C30">
        <v>280</v>
      </c>
      <c r="D30">
        <v>0.28588927744668102</v>
      </c>
      <c r="E30">
        <v>7.8817091511026298</v>
      </c>
      <c r="F30">
        <v>0.86545644520480802</v>
      </c>
      <c r="G30">
        <v>-151.43764511388548</v>
      </c>
      <c r="H30">
        <v>-106.03136607128309</v>
      </c>
      <c r="I30">
        <v>44.731124452827203</v>
      </c>
      <c r="J30">
        <v>21.105863104119798</v>
      </c>
      <c r="K30">
        <v>9.1069968855999903</v>
      </c>
      <c r="L30">
        <v>1.0121862078322297E-3</v>
      </c>
      <c r="M30">
        <v>1.5589914324944012E-4</v>
      </c>
      <c r="N30" s="1">
        <v>6.7694828039734599E-6</v>
      </c>
      <c r="O30" s="1">
        <v>1.11663287135007E-6</v>
      </c>
      <c r="P30" s="1">
        <v>-4.4154963080195403E-6</v>
      </c>
    </row>
    <row r="31" spans="1:16" x14ac:dyDescent="0.2">
      <c r="A31">
        <v>30</v>
      </c>
      <c r="B31">
        <v>740</v>
      </c>
      <c r="C31">
        <v>280</v>
      </c>
      <c r="D31">
        <v>0.28434141045255101</v>
      </c>
      <c r="E31">
        <v>8.3024466273673507</v>
      </c>
      <c r="F31">
        <v>0.89415740348502504</v>
      </c>
      <c r="G31">
        <v>-158.31468761912632</v>
      </c>
      <c r="H31">
        <v>-112.05394515791947</v>
      </c>
      <c r="I31">
        <v>45.662811594647899</v>
      </c>
      <c r="J31">
        <v>21.6676218673703</v>
      </c>
      <c r="K31">
        <v>9.2852182345167904</v>
      </c>
      <c r="L31">
        <v>9.964630851947542E-4</v>
      </c>
      <c r="M31">
        <v>1.5276922932143315E-4</v>
      </c>
      <c r="N31" s="1">
        <v>6.8966453298448702E-6</v>
      </c>
      <c r="O31" s="1">
        <v>1.1142097607731301E-6</v>
      </c>
      <c r="P31" s="1">
        <v>-4.4323612460983697E-6</v>
      </c>
    </row>
    <row r="32" spans="1:16" x14ac:dyDescent="0.2">
      <c r="A32">
        <v>31</v>
      </c>
      <c r="B32">
        <v>738</v>
      </c>
      <c r="C32">
        <v>280</v>
      </c>
      <c r="D32">
        <v>0.28278742026405701</v>
      </c>
      <c r="E32">
        <v>8.7191895332698692</v>
      </c>
      <c r="F32">
        <v>0.92155881742350598</v>
      </c>
      <c r="G32">
        <v>-165.12156806525553</v>
      </c>
      <c r="H32">
        <v>-118.02202288569059</v>
      </c>
      <c r="I32">
        <v>46.582696232405297</v>
      </c>
      <c r="J32">
        <v>22.223882897719701</v>
      </c>
      <c r="K32">
        <v>9.4613489322873292</v>
      </c>
      <c r="L32">
        <v>9.8145657153534717E-4</v>
      </c>
      <c r="M32">
        <v>1.4977288189765733E-4</v>
      </c>
      <c r="N32" s="1">
        <v>7.0244091624338901E-6</v>
      </c>
      <c r="O32" s="1">
        <v>1.1116349356125E-6</v>
      </c>
      <c r="P32" s="1">
        <v>-4.4486931477850904E-6</v>
      </c>
    </row>
    <row r="33" spans="1:16" x14ac:dyDescent="0.2">
      <c r="A33">
        <v>32</v>
      </c>
      <c r="B33">
        <v>736</v>
      </c>
      <c r="C33">
        <v>280</v>
      </c>
      <c r="D33">
        <v>0.281227270475152</v>
      </c>
      <c r="E33">
        <v>82.689442145506504</v>
      </c>
      <c r="F33">
        <v>1.8474366850277699</v>
      </c>
      <c r="G33">
        <v>-1368.1415236955456</v>
      </c>
      <c r="H33">
        <v>-1139.2213467423244</v>
      </c>
      <c r="I33">
        <v>226.84976913830499</v>
      </c>
      <c r="J33">
        <v>122.838625958149</v>
      </c>
      <c r="K33">
        <v>44.759012752993698</v>
      </c>
      <c r="L33">
        <v>4.4039268219191251E-4</v>
      </c>
      <c r="M33">
        <v>6.5953535984640402E-5</v>
      </c>
      <c r="N33" s="1">
        <v>1.39030515539668E-5</v>
      </c>
      <c r="O33" s="1">
        <v>2.2810483802083502E-6</v>
      </c>
      <c r="P33" s="1">
        <v>-9.1801294355592693E-6</v>
      </c>
    </row>
    <row r="34" spans="1:16" x14ac:dyDescent="0.2">
      <c r="A34">
        <v>33</v>
      </c>
      <c r="B34">
        <v>734</v>
      </c>
      <c r="C34">
        <v>280</v>
      </c>
      <c r="D34">
        <v>0.27966092439060802</v>
      </c>
      <c r="E34">
        <v>91.286140792249498</v>
      </c>
      <c r="F34">
        <v>1.8699640177977299</v>
      </c>
      <c r="G34">
        <v>-1507.4242500108055</v>
      </c>
      <c r="H34">
        <v>-1258.1416267675188</v>
      </c>
      <c r="I34">
        <v>247.51844858788499</v>
      </c>
      <c r="J34">
        <v>134.601294123586</v>
      </c>
      <c r="K34">
        <v>48.817057399723403</v>
      </c>
      <c r="L34">
        <v>4.2793523142998569E-4</v>
      </c>
      <c r="M34">
        <v>6.3732673009802814E-5</v>
      </c>
      <c r="N34" s="1">
        <v>1.48270419148411E-5</v>
      </c>
      <c r="O34" s="1">
        <v>2.3991593776408899E-6</v>
      </c>
      <c r="P34" s="1">
        <v>-9.7132474257936699E-6</v>
      </c>
    </row>
    <row r="35" spans="1:16" x14ac:dyDescent="0.2">
      <c r="A35">
        <v>34</v>
      </c>
      <c r="B35">
        <v>732</v>
      </c>
      <c r="C35">
        <v>280</v>
      </c>
      <c r="D35">
        <v>0.27808834502313201</v>
      </c>
      <c r="E35">
        <v>95.185209966606493</v>
      </c>
      <c r="F35">
        <v>1.8799756385561099</v>
      </c>
      <c r="G35">
        <v>-1570.2773373466046</v>
      </c>
      <c r="H35">
        <v>-1312.2458887394021</v>
      </c>
      <c r="I35">
        <v>256.71509035624001</v>
      </c>
      <c r="J35">
        <v>139.98525527803201</v>
      </c>
      <c r="K35">
        <v>50.631086921802897</v>
      </c>
      <c r="L35">
        <v>4.2277428289229282E-4</v>
      </c>
      <c r="M35">
        <v>6.2641221512520659E-5</v>
      </c>
      <c r="N35" s="1">
        <v>1.53213988369101E-5</v>
      </c>
      <c r="O35" s="1">
        <v>2.44165839169144E-6</v>
      </c>
      <c r="P35" s="1">
        <v>-9.9446225341404502E-6</v>
      </c>
    </row>
    <row r="36" spans="1:16" x14ac:dyDescent="0.2">
      <c r="A36">
        <v>35</v>
      </c>
      <c r="B36">
        <v>730</v>
      </c>
      <c r="C36">
        <v>280</v>
      </c>
      <c r="D36">
        <v>0.27650949509046802</v>
      </c>
      <c r="E36">
        <v>97.499975796993894</v>
      </c>
      <c r="F36">
        <v>1.88630682362889</v>
      </c>
      <c r="G36">
        <v>-1607.3534698967089</v>
      </c>
      <c r="H36">
        <v>-1344.4925092310136</v>
      </c>
      <c r="I36">
        <v>262.04133898741702</v>
      </c>
      <c r="J36">
        <v>143.22185325285301</v>
      </c>
      <c r="K36">
        <v>51.6882908844184</v>
      </c>
      <c r="L36">
        <v>4.19754784675548E-4</v>
      </c>
      <c r="M36">
        <v>6.1882260922755829E-5</v>
      </c>
      <c r="N36" s="1">
        <v>1.5667791958512601E-5</v>
      </c>
      <c r="O36" s="1">
        <v>2.4586271127273698E-6</v>
      </c>
      <c r="P36" s="1">
        <v>-1.00739028680135E-5</v>
      </c>
    </row>
    <row r="37" spans="1:16" x14ac:dyDescent="0.2">
      <c r="A37">
        <v>36</v>
      </c>
      <c r="B37">
        <v>728</v>
      </c>
      <c r="C37">
        <v>280</v>
      </c>
      <c r="D37">
        <v>0.27492433701243602</v>
      </c>
      <c r="E37">
        <v>99.068293704279796</v>
      </c>
      <c r="F37">
        <v>1.8910148608636901</v>
      </c>
      <c r="G37">
        <v>-1632.2848321264739</v>
      </c>
      <c r="H37">
        <v>-1366.4419071537422</v>
      </c>
      <c r="I37">
        <v>265.54341529654698</v>
      </c>
      <c r="J37">
        <v>145.45009530984299</v>
      </c>
      <c r="K37">
        <v>52.388955663220898</v>
      </c>
      <c r="L37">
        <v>4.1767659363939683E-4</v>
      </c>
      <c r="M37">
        <v>6.1270139957943538E-5</v>
      </c>
      <c r="N37" s="1">
        <v>1.5941816035144601E-5</v>
      </c>
      <c r="O37" s="1">
        <v>2.46356137053019E-6</v>
      </c>
      <c r="P37" s="1">
        <v>-1.01548367271895E-5</v>
      </c>
    </row>
    <row r="38" spans="1:16" x14ac:dyDescent="0.2">
      <c r="A38">
        <v>37</v>
      </c>
      <c r="B38">
        <v>726</v>
      </c>
      <c r="C38">
        <v>280</v>
      </c>
      <c r="D38">
        <v>0.273332832907971</v>
      </c>
      <c r="E38">
        <v>100.218301404782</v>
      </c>
      <c r="F38">
        <v>1.89484925673791</v>
      </c>
      <c r="G38">
        <v>-1650.4104570330021</v>
      </c>
      <c r="H38">
        <v>-1382.6214050933554</v>
      </c>
      <c r="I38">
        <v>268.02277794892598</v>
      </c>
      <c r="J38">
        <v>147.11623275835299</v>
      </c>
      <c r="K38">
        <v>52.889854455923398</v>
      </c>
      <c r="L38">
        <v>4.1610263374222358E-4</v>
      </c>
      <c r="M38">
        <v>6.0737199866475202E-5</v>
      </c>
      <c r="N38" s="1">
        <v>1.6173000534762399E-5</v>
      </c>
      <c r="O38" s="1">
        <v>2.4617515448079401E-6</v>
      </c>
      <c r="P38" s="1">
        <v>-1.0208470241494499E-5</v>
      </c>
    </row>
    <row r="39" spans="1:16" x14ac:dyDescent="0.2">
      <c r="A39">
        <v>38</v>
      </c>
      <c r="B39">
        <v>760</v>
      </c>
      <c r="C39">
        <v>260</v>
      </c>
      <c r="D39">
        <v>0.320844504670183</v>
      </c>
      <c r="E39">
        <v>4.52751121176472</v>
      </c>
      <c r="F39">
        <v>0.53523282891560098</v>
      </c>
      <c r="G39">
        <v>-98.351482759001669</v>
      </c>
      <c r="H39">
        <v>-57.549446713660515</v>
      </c>
      <c r="I39">
        <v>39.495355916640897</v>
      </c>
      <c r="J39">
        <v>17.556047902708499</v>
      </c>
      <c r="K39">
        <v>8.4589564899028993</v>
      </c>
      <c r="L39">
        <v>1.2526337723695736E-3</v>
      </c>
      <c r="M39">
        <v>2.150466120372842E-4</v>
      </c>
      <c r="N39" s="1">
        <v>6.5010434459630401E-6</v>
      </c>
      <c r="O39" s="1">
        <v>1.6002933648822901E-6</v>
      </c>
      <c r="P39" s="1">
        <v>-5.5397824455160799E-6</v>
      </c>
    </row>
    <row r="40" spans="1:16" x14ac:dyDescent="0.2">
      <c r="A40">
        <v>39</v>
      </c>
      <c r="B40">
        <v>758</v>
      </c>
      <c r="C40">
        <v>260</v>
      </c>
      <c r="D40">
        <v>0.31939145614120401</v>
      </c>
      <c r="E40">
        <v>4.68368645265714</v>
      </c>
      <c r="F40">
        <v>0.55013619842291905</v>
      </c>
      <c r="G40">
        <v>-100.87359449300487</v>
      </c>
      <c r="H40">
        <v>-59.799783340587759</v>
      </c>
      <c r="I40">
        <v>39.835530927954302</v>
      </c>
      <c r="J40">
        <v>17.780281168495101</v>
      </c>
      <c r="K40">
        <v>8.5136852766349609</v>
      </c>
      <c r="L40">
        <v>1.2457484484170592E-3</v>
      </c>
      <c r="M40">
        <v>2.1283419318031741E-4</v>
      </c>
      <c r="N40" s="1">
        <v>6.6312693682118203E-6</v>
      </c>
      <c r="O40" s="1">
        <v>1.59290138745552E-6</v>
      </c>
      <c r="P40" s="1">
        <v>-5.5485626353575697E-6</v>
      </c>
    </row>
    <row r="41" spans="1:16" x14ac:dyDescent="0.2">
      <c r="A41">
        <v>40</v>
      </c>
      <c r="B41">
        <v>756</v>
      </c>
      <c r="C41">
        <v>260</v>
      </c>
      <c r="D41">
        <v>0.317932760044698</v>
      </c>
      <c r="E41">
        <v>5.1280065619399204</v>
      </c>
      <c r="F41">
        <v>0.58925478280280397</v>
      </c>
      <c r="G41">
        <v>-108.17067046860868</v>
      </c>
      <c r="H41">
        <v>-66.144983601659661</v>
      </c>
      <c r="I41">
        <v>40.837873225067497</v>
      </c>
      <c r="J41">
        <v>18.377183544392501</v>
      </c>
      <c r="K41">
        <v>8.7025285353619601</v>
      </c>
      <c r="L41">
        <v>1.2236469188672083E-3</v>
      </c>
      <c r="M41">
        <v>2.0806416627588666E-4</v>
      </c>
      <c r="N41" s="1">
        <v>6.7835842183979402E-6</v>
      </c>
      <c r="O41" s="1">
        <v>1.59041243452781E-6</v>
      </c>
      <c r="P41" s="1">
        <v>-5.5744730120451499E-6</v>
      </c>
    </row>
    <row r="42" spans="1:16" x14ac:dyDescent="0.2">
      <c r="A42">
        <v>41</v>
      </c>
      <c r="B42">
        <v>754</v>
      </c>
      <c r="C42">
        <v>260</v>
      </c>
      <c r="D42">
        <v>0.31646838339093702</v>
      </c>
      <c r="E42">
        <v>5.5679655419239804</v>
      </c>
      <c r="F42">
        <v>0.62638343309094002</v>
      </c>
      <c r="G42">
        <v>-115.39112360992904</v>
      </c>
      <c r="H42">
        <v>-72.430643613955311</v>
      </c>
      <c r="I42">
        <v>41.827487713100297</v>
      </c>
      <c r="J42">
        <v>18.9681815845119</v>
      </c>
      <c r="K42">
        <v>8.88906897560876</v>
      </c>
      <c r="L42">
        <v>1.2026831890034955E-3</v>
      </c>
      <c r="M42">
        <v>2.0352498253668879E-4</v>
      </c>
      <c r="N42" s="1">
        <v>6.9371067295376696E-6</v>
      </c>
      <c r="O42" s="1">
        <v>1.5876976294149699E-6</v>
      </c>
      <c r="P42" s="1">
        <v>-5.5997447411885397E-6</v>
      </c>
    </row>
    <row r="43" spans="1:16" x14ac:dyDescent="0.2">
      <c r="A43">
        <v>42</v>
      </c>
      <c r="B43">
        <v>752</v>
      </c>
      <c r="C43">
        <v>260</v>
      </c>
      <c r="D43">
        <v>0.31499829293274201</v>
      </c>
      <c r="E43">
        <v>6.0036331268165597</v>
      </c>
      <c r="F43">
        <v>0.66167804078617398</v>
      </c>
      <c r="G43">
        <v>-122.53618315897366</v>
      </c>
      <c r="H43">
        <v>-78.657718139030962</v>
      </c>
      <c r="I43">
        <v>42.804567647752997</v>
      </c>
      <c r="J43">
        <v>19.553364152807202</v>
      </c>
      <c r="K43">
        <v>9.0733449755765392</v>
      </c>
      <c r="L43">
        <v>1.1827670103333721E-3</v>
      </c>
      <c r="M43">
        <v>1.9919858608245108E-4</v>
      </c>
      <c r="N43" s="1">
        <v>7.0918061268578098E-6</v>
      </c>
      <c r="O43" s="1">
        <v>1.5847609230812699E-6</v>
      </c>
      <c r="P43" s="1">
        <v>-5.6243770181009699E-6</v>
      </c>
    </row>
    <row r="44" spans="1:16" x14ac:dyDescent="0.2">
      <c r="A44">
        <v>43</v>
      </c>
      <c r="B44">
        <v>750</v>
      </c>
      <c r="C44">
        <v>260</v>
      </c>
      <c r="D44">
        <v>0.313522455162978</v>
      </c>
      <c r="E44">
        <v>6.4350775653654804</v>
      </c>
      <c r="F44">
        <v>0.69527861072392305</v>
      </c>
      <c r="G44">
        <v>-129.6070522220661</v>
      </c>
      <c r="H44">
        <v>-84.827141579743454</v>
      </c>
      <c r="I44">
        <v>43.769302149467002</v>
      </c>
      <c r="J44">
        <v>20.132818116794802</v>
      </c>
      <c r="K44">
        <v>9.2553941198698499</v>
      </c>
      <c r="L44">
        <v>1.1638173272017621E-3</v>
      </c>
      <c r="M44">
        <v>1.950687636492414E-4</v>
      </c>
      <c r="N44" s="1">
        <v>7.24765099616216E-6</v>
      </c>
      <c r="O44" s="1">
        <v>1.58160623458691E-6</v>
      </c>
      <c r="P44" s="1">
        <v>-5.6483690368759201E-6</v>
      </c>
    </row>
    <row r="45" spans="1:16" x14ac:dyDescent="0.2">
      <c r="A45">
        <v>44</v>
      </c>
      <c r="B45">
        <v>748</v>
      </c>
      <c r="C45">
        <v>260</v>
      </c>
      <c r="D45">
        <v>0.31204083631200402</v>
      </c>
      <c r="E45">
        <v>6.8623656608147403</v>
      </c>
      <c r="F45">
        <v>0.72731123375418305</v>
      </c>
      <c r="G45">
        <v>-136.60490847249687</v>
      </c>
      <c r="H45">
        <v>-90.939828527860584</v>
      </c>
      <c r="I45">
        <v>44.721876314759001</v>
      </c>
      <c r="J45">
        <v>20.706628401602501</v>
      </c>
      <c r="K45">
        <v>9.4352532208159001</v>
      </c>
      <c r="L45">
        <v>1.1457611356324429E-3</v>
      </c>
      <c r="M45">
        <v>1.9112091580624239E-4</v>
      </c>
      <c r="N45" s="1">
        <v>7.4046092941889699E-6</v>
      </c>
      <c r="O45" s="1">
        <v>1.57823745262815E-6</v>
      </c>
      <c r="P45" s="1">
        <v>-5.6717199971939797E-6</v>
      </c>
    </row>
    <row r="46" spans="1:16" x14ac:dyDescent="0.2">
      <c r="A46">
        <v>45</v>
      </c>
      <c r="B46">
        <v>746</v>
      </c>
      <c r="C46">
        <v>260</v>
      </c>
      <c r="D46">
        <v>0.31055340234509199</v>
      </c>
      <c r="E46">
        <v>7.2855628077063601</v>
      </c>
      <c r="F46">
        <v>0.75788977247448197</v>
      </c>
      <c r="G46">
        <v>-143.53090479937811</v>
      </c>
      <c r="H46">
        <v>-96.996674267564075</v>
      </c>
      <c r="I46">
        <v>45.662471319360002</v>
      </c>
      <c r="J46">
        <v>21.2748780397826</v>
      </c>
      <c r="K46">
        <v>9.6129583381489105</v>
      </c>
      <c r="L46">
        <v>1.1285325081743329E-3</v>
      </c>
      <c r="M46">
        <v>1.8734186144856756E-4</v>
      </c>
      <c r="N46" s="1">
        <v>7.5626483595579203E-6</v>
      </c>
      <c r="O46" s="1">
        <v>1.57465843694751E-6</v>
      </c>
      <c r="P46" s="1">
        <v>-5.69442911085839E-6</v>
      </c>
    </row>
    <row r="47" spans="1:16" x14ac:dyDescent="0.2">
      <c r="A47">
        <v>46</v>
      </c>
      <c r="B47">
        <v>744</v>
      </c>
      <c r="C47">
        <v>260</v>
      </c>
      <c r="D47">
        <v>0.30906011895984098</v>
      </c>
      <c r="E47">
        <v>7.70473303009822</v>
      </c>
      <c r="F47">
        <v>0.78711730784311595</v>
      </c>
      <c r="G47">
        <v>-150.38616997870656</v>
      </c>
      <c r="H47">
        <v>-102.99855529970243</v>
      </c>
      <c r="I47">
        <v>46.5912645240046</v>
      </c>
      <c r="J47">
        <v>21.837648222921999</v>
      </c>
      <c r="K47">
        <v>9.7885447992637502</v>
      </c>
      <c r="L47">
        <v>1.1120717570671003E-3</v>
      </c>
      <c r="M47">
        <v>1.837196700230757E-4</v>
      </c>
      <c r="N47" s="1">
        <v>7.7217349246968906E-6</v>
      </c>
      <c r="O47" s="1">
        <v>1.5708730197055301E-6</v>
      </c>
      <c r="P47" s="1">
        <v>-5.7164956083755799E-6</v>
      </c>
    </row>
    <row r="48" spans="1:16" x14ac:dyDescent="0.2">
      <c r="A48">
        <v>47</v>
      </c>
      <c r="B48">
        <v>742</v>
      </c>
      <c r="C48">
        <v>260</v>
      </c>
      <c r="D48">
        <v>0.30756095158350699</v>
      </c>
      <c r="E48">
        <v>10.084671957286799</v>
      </c>
      <c r="F48">
        <v>0.92202257328040504</v>
      </c>
      <c r="G48">
        <v>-189.80842996435157</v>
      </c>
      <c r="H48">
        <v>-136.52719514557774</v>
      </c>
      <c r="I48">
        <v>52.488816050963301</v>
      </c>
      <c r="J48">
        <v>25.1579224441099</v>
      </c>
      <c r="K48">
        <v>10.9375542958858</v>
      </c>
      <c r="L48">
        <v>1.0309413186776186E-3</v>
      </c>
      <c r="M48">
        <v>1.6936834687130342E-4</v>
      </c>
      <c r="N48" s="1">
        <v>8.0990696222319907E-6</v>
      </c>
      <c r="O48" s="1">
        <v>1.61557694341216E-6</v>
      </c>
      <c r="P48" s="1">
        <v>-5.9161220248088896E-6</v>
      </c>
    </row>
    <row r="49" spans="1:16" x14ac:dyDescent="0.2">
      <c r="A49">
        <v>48</v>
      </c>
      <c r="B49">
        <v>740</v>
      </c>
      <c r="C49">
        <v>260</v>
      </c>
      <c r="D49">
        <v>0.30605586537038199</v>
      </c>
      <c r="E49">
        <v>72.275758883440503</v>
      </c>
      <c r="F49">
        <v>1.77802179378363</v>
      </c>
      <c r="G49">
        <v>-1201.2109876569994</v>
      </c>
      <c r="H49">
        <v>-995.33999725350225</v>
      </c>
      <c r="I49">
        <v>203.203820120605</v>
      </c>
      <c r="J49">
        <v>109.21728972211901</v>
      </c>
      <c r="K49">
        <v>40.649534857296302</v>
      </c>
      <c r="L49">
        <v>5.03818166076981E-4</v>
      </c>
      <c r="M49">
        <v>8.143347421949606E-5</v>
      </c>
      <c r="N49" s="1">
        <v>1.40860560571344E-5</v>
      </c>
      <c r="O49" s="1">
        <v>2.8545188090166398E-6</v>
      </c>
      <c r="P49" s="1">
        <v>-1.05165587474283E-5</v>
      </c>
    </row>
    <row r="50" spans="1:16" x14ac:dyDescent="0.2">
      <c r="A50">
        <v>49</v>
      </c>
      <c r="B50">
        <v>738</v>
      </c>
      <c r="C50">
        <v>260</v>
      </c>
      <c r="D50">
        <v>0.30454482519902998</v>
      </c>
      <c r="E50">
        <v>87.815229100872003</v>
      </c>
      <c r="F50">
        <v>1.8285617027927099</v>
      </c>
      <c r="G50">
        <v>-1453.3840456626449</v>
      </c>
      <c r="H50">
        <v>-1210.1290963887025</v>
      </c>
      <c r="I50">
        <v>240.57800453095899</v>
      </c>
      <c r="J50">
        <v>130.27158091857399</v>
      </c>
      <c r="K50">
        <v>48.024208844992202</v>
      </c>
      <c r="L50">
        <v>4.7353221134715146E-4</v>
      </c>
      <c r="M50">
        <v>7.6048765563160148E-5</v>
      </c>
      <c r="N50" s="1">
        <v>1.5742079621631899E-5</v>
      </c>
      <c r="O50" s="1">
        <v>3.1419992580477199E-6</v>
      </c>
      <c r="P50" s="1">
        <v>-1.1648330901570001E-5</v>
      </c>
    </row>
    <row r="51" spans="1:16" x14ac:dyDescent="0.2">
      <c r="A51">
        <v>50</v>
      </c>
      <c r="B51">
        <v>736</v>
      </c>
      <c r="C51">
        <v>260</v>
      </c>
      <c r="D51">
        <v>0.30302779566962401</v>
      </c>
      <c r="E51">
        <v>93.331800372552195</v>
      </c>
      <c r="F51">
        <v>1.8442458521323</v>
      </c>
      <c r="G51">
        <v>-1542.5338871914594</v>
      </c>
      <c r="H51">
        <v>-1286.5855050241569</v>
      </c>
      <c r="I51">
        <v>253.63332803420599</v>
      </c>
      <c r="J51">
        <v>137.79665682752801</v>
      </c>
      <c r="K51">
        <v>50.607027400735298</v>
      </c>
      <c r="L51">
        <v>4.647039162951724E-4</v>
      </c>
      <c r="M51">
        <v>7.422582866446146E-5</v>
      </c>
      <c r="N51" s="1">
        <v>1.64635517830025E-5</v>
      </c>
      <c r="O51" s="1">
        <v>3.2268302125234698E-6</v>
      </c>
      <c r="P51" s="1">
        <v>-1.2038211223734999E-5</v>
      </c>
    </row>
    <row r="52" spans="1:16" x14ac:dyDescent="0.2">
      <c r="A52">
        <v>51</v>
      </c>
      <c r="B52">
        <v>734</v>
      </c>
      <c r="C52">
        <v>260</v>
      </c>
      <c r="D52">
        <v>0.30150474110112602</v>
      </c>
      <c r="E52">
        <v>96.285447831818999</v>
      </c>
      <c r="F52">
        <v>1.85288821599275</v>
      </c>
      <c r="G52">
        <v>-1589.9927913537613</v>
      </c>
      <c r="H52">
        <v>-1327.6646766250592</v>
      </c>
      <c r="I52">
        <v>260.47153581736001</v>
      </c>
      <c r="J52">
        <v>141.86710253312901</v>
      </c>
      <c r="K52">
        <v>51.965060277654501</v>
      </c>
      <c r="L52">
        <v>4.6020279637515343E-4</v>
      </c>
      <c r="M52">
        <v>7.3122707987636096E-5</v>
      </c>
      <c r="N52" s="1">
        <v>1.69439491574001E-5</v>
      </c>
      <c r="O52" s="1">
        <v>3.2598968017740302E-6</v>
      </c>
      <c r="P52" s="1">
        <v>-1.22383411364005E-5</v>
      </c>
    </row>
    <row r="53" spans="1:16" x14ac:dyDescent="0.2">
      <c r="A53">
        <v>52</v>
      </c>
      <c r="B53">
        <v>732</v>
      </c>
      <c r="C53">
        <v>260</v>
      </c>
      <c r="D53">
        <v>0.29997562552852802</v>
      </c>
      <c r="E53">
        <v>98.180380978999906</v>
      </c>
      <c r="F53">
        <v>1.85887095028475</v>
      </c>
      <c r="G53">
        <v>-1620.2297860124718</v>
      </c>
      <c r="H53">
        <v>-1354.1313432812617</v>
      </c>
      <c r="I53">
        <v>264.74088474920899</v>
      </c>
      <c r="J53">
        <v>144.51383079267299</v>
      </c>
      <c r="K53">
        <v>52.817211955440001</v>
      </c>
      <c r="L53">
        <v>4.5733080894937731E-4</v>
      </c>
      <c r="M53">
        <v>7.2291625171770719E-5</v>
      </c>
      <c r="N53" s="1">
        <v>1.73223411515514E-5</v>
      </c>
      <c r="O53" s="1">
        <v>3.2715556076520101E-6</v>
      </c>
      <c r="P53" s="1">
        <v>-1.23597383089512E-5</v>
      </c>
    </row>
    <row r="54" spans="1:16" x14ac:dyDescent="0.2">
      <c r="A54">
        <v>53</v>
      </c>
      <c r="B54">
        <v>730</v>
      </c>
      <c r="C54">
        <v>260</v>
      </c>
      <c r="D54">
        <v>0.29844041269999899</v>
      </c>
      <c r="E54">
        <v>99.523613956775193</v>
      </c>
      <c r="F54">
        <v>1.8635357501596901</v>
      </c>
      <c r="G54">
        <v>-1641.4926112116266</v>
      </c>
      <c r="H54">
        <v>-1372.9842167631523</v>
      </c>
      <c r="I54">
        <v>267.67113383247698</v>
      </c>
      <c r="J54">
        <v>146.42151355331899</v>
      </c>
      <c r="K54">
        <v>53.405798063303401</v>
      </c>
      <c r="L54">
        <v>4.5526211868509897E-4</v>
      </c>
      <c r="M54">
        <v>7.159543920835669E-5</v>
      </c>
      <c r="N54" s="1">
        <v>1.7645336414758499E-5</v>
      </c>
      <c r="O54" s="1">
        <v>3.2720456598595799E-6</v>
      </c>
      <c r="P54" s="1">
        <v>-1.24398044733775E-5</v>
      </c>
    </row>
    <row r="55" spans="1:16" x14ac:dyDescent="0.2">
      <c r="A55">
        <v>54</v>
      </c>
      <c r="B55">
        <v>728</v>
      </c>
      <c r="C55">
        <v>260</v>
      </c>
      <c r="D55">
        <v>0.29689906607401501</v>
      </c>
      <c r="E55">
        <v>100.538182027891</v>
      </c>
      <c r="F55">
        <v>1.8674409131460299</v>
      </c>
      <c r="G55">
        <v>-1657.4094800273667</v>
      </c>
      <c r="H55">
        <v>-1387.3018841813089</v>
      </c>
      <c r="I55">
        <v>269.803260057069</v>
      </c>
      <c r="J55">
        <v>147.891482447523</v>
      </c>
      <c r="K55">
        <v>53.837409965768003</v>
      </c>
      <c r="L55">
        <v>4.5365323329698068E-4</v>
      </c>
      <c r="M55">
        <v>7.0977072040370395E-5</v>
      </c>
      <c r="N55" s="1">
        <v>1.79332914987288E-5</v>
      </c>
      <c r="O55" s="1">
        <v>3.2658742111808399E-6</v>
      </c>
      <c r="P55" s="1">
        <v>-1.2494981378973501E-5</v>
      </c>
    </row>
    <row r="56" spans="1:16" x14ac:dyDescent="0.2">
      <c r="A56">
        <v>55</v>
      </c>
      <c r="B56">
        <v>760</v>
      </c>
      <c r="C56">
        <v>240</v>
      </c>
      <c r="D56">
        <v>0.34213860523641398</v>
      </c>
      <c r="E56">
        <v>4.8462765843111004</v>
      </c>
      <c r="F56">
        <v>0.51111706220977304</v>
      </c>
      <c r="G56">
        <v>-105.46127844356636</v>
      </c>
      <c r="H56">
        <v>-61.5390540634465</v>
      </c>
      <c r="I56">
        <v>42.515605398225702</v>
      </c>
      <c r="J56">
        <v>18.938503613761</v>
      </c>
      <c r="K56">
        <v>9.48173509089799</v>
      </c>
      <c r="L56">
        <v>1.3346634856921684E-3</v>
      </c>
      <c r="M56">
        <v>2.472544059161152E-4</v>
      </c>
      <c r="N56" s="1">
        <v>7.1598492948756702E-6</v>
      </c>
      <c r="O56" s="1">
        <v>2.2965857098922699E-6</v>
      </c>
      <c r="P56" s="1">
        <v>-7.2579855456983501E-6</v>
      </c>
    </row>
    <row r="57" spans="1:16" x14ac:dyDescent="0.2">
      <c r="A57">
        <v>56</v>
      </c>
      <c r="B57">
        <v>758</v>
      </c>
      <c r="C57">
        <v>240</v>
      </c>
      <c r="D57">
        <v>0.34072685836202499</v>
      </c>
      <c r="E57">
        <v>5.0252898935140298</v>
      </c>
      <c r="F57">
        <v>0.52656697499584904</v>
      </c>
      <c r="G57">
        <v>-108.35613153415784</v>
      </c>
      <c r="H57">
        <v>-64.118246316147832</v>
      </c>
      <c r="I57">
        <v>42.904198877433998</v>
      </c>
      <c r="J57">
        <v>19.1955378522544</v>
      </c>
      <c r="K57">
        <v>9.5434961403601992</v>
      </c>
      <c r="L57">
        <v>1.3274308620369385E-3</v>
      </c>
      <c r="M57">
        <v>2.4468039328758826E-4</v>
      </c>
      <c r="N57" s="1">
        <v>7.3329026767932596E-6</v>
      </c>
      <c r="O57" s="1">
        <v>2.28647123190317E-6</v>
      </c>
      <c r="P57" s="1">
        <v>-7.2735565839258899E-6</v>
      </c>
    </row>
    <row r="58" spans="1:16" x14ac:dyDescent="0.2">
      <c r="A58">
        <v>57</v>
      </c>
      <c r="B58">
        <v>756</v>
      </c>
      <c r="C58">
        <v>240</v>
      </c>
      <c r="D58">
        <v>0.33930962444735902</v>
      </c>
      <c r="E58">
        <v>5.4580769628537</v>
      </c>
      <c r="F58">
        <v>0.561311971135254</v>
      </c>
      <c r="G58">
        <v>-115.45600562755457</v>
      </c>
      <c r="H58">
        <v>-70.30650658636678</v>
      </c>
      <c r="I58">
        <v>43.873382445819601</v>
      </c>
      <c r="J58">
        <v>19.779966337454201</v>
      </c>
      <c r="K58">
        <v>9.7237850670006694</v>
      </c>
      <c r="L58">
        <v>1.307403529805085E-3</v>
      </c>
      <c r="M58">
        <v>2.3978866485149241E-4</v>
      </c>
      <c r="N58" s="1">
        <v>7.5261460123800902E-6</v>
      </c>
      <c r="O58" s="1">
        <v>2.28191005378435E-6</v>
      </c>
      <c r="P58" s="1">
        <v>-7.3068823441815003E-6</v>
      </c>
    </row>
    <row r="59" spans="1:16" x14ac:dyDescent="0.2">
      <c r="A59">
        <v>58</v>
      </c>
      <c r="B59">
        <v>754</v>
      </c>
      <c r="C59">
        <v>240</v>
      </c>
      <c r="D59">
        <v>0.33788687144039198</v>
      </c>
      <c r="E59">
        <v>5.8867039918376101</v>
      </c>
      <c r="F59">
        <v>0.59450480318089904</v>
      </c>
      <c r="G59">
        <v>-122.48277506373896</v>
      </c>
      <c r="H59">
        <v>-76.437970482655658</v>
      </c>
      <c r="I59">
        <v>44.830462927432499</v>
      </c>
      <c r="J59">
        <v>20.358811149858902</v>
      </c>
      <c r="K59">
        <v>9.9018611125440597</v>
      </c>
      <c r="L59">
        <v>1.2882841208041219E-3</v>
      </c>
      <c r="M59">
        <v>2.3510234140829345E-4</v>
      </c>
      <c r="N59" s="1">
        <v>7.7212887339210592E-6</v>
      </c>
      <c r="O59" s="1">
        <v>2.2770519772832999E-6</v>
      </c>
      <c r="P59" s="1">
        <v>-7.3394557112979004E-6</v>
      </c>
    </row>
    <row r="60" spans="1:16" x14ac:dyDescent="0.2">
      <c r="A60">
        <v>59</v>
      </c>
      <c r="B60">
        <v>752</v>
      </c>
      <c r="C60">
        <v>240</v>
      </c>
      <c r="D60">
        <v>0.33645856703896998</v>
      </c>
      <c r="E60">
        <v>6.3112359890776197</v>
      </c>
      <c r="F60">
        <v>0.62625379993874397</v>
      </c>
      <c r="G60">
        <v>-129.43758719505297</v>
      </c>
      <c r="H60">
        <v>-82.513528082188685</v>
      </c>
      <c r="I60">
        <v>45.775620450967097</v>
      </c>
      <c r="J60">
        <v>20.932153904179302</v>
      </c>
      <c r="K60">
        <v>10.077760789148</v>
      </c>
      <c r="L60">
        <v>1.2700079672126202E-3</v>
      </c>
      <c r="M60">
        <v>2.3060709477236693E-4</v>
      </c>
      <c r="N60" s="1">
        <v>7.9182913961844302E-6</v>
      </c>
      <c r="O60" s="1">
        <v>2.27190152764107E-6</v>
      </c>
      <c r="P60" s="1">
        <v>-7.3712720831926404E-6</v>
      </c>
    </row>
    <row r="61" spans="1:16" x14ac:dyDescent="0.2">
      <c r="A61">
        <v>60</v>
      </c>
      <c r="B61">
        <v>750</v>
      </c>
      <c r="C61">
        <v>240</v>
      </c>
      <c r="D61">
        <v>0.335024678688366</v>
      </c>
      <c r="E61">
        <v>6.7317365993634901</v>
      </c>
      <c r="F61">
        <v>0.65665742054866705</v>
      </c>
      <c r="G61">
        <v>-136.32156537458056</v>
      </c>
      <c r="H61">
        <v>-88.534050760181785</v>
      </c>
      <c r="I61">
        <v>46.709031376057297</v>
      </c>
      <c r="J61">
        <v>21.5000743810571</v>
      </c>
      <c r="K61">
        <v>10.2515198773491</v>
      </c>
      <c r="L61">
        <v>1.2525162858975942E-3</v>
      </c>
      <c r="M61">
        <v>2.2628990540829122E-4</v>
      </c>
      <c r="N61" s="1">
        <v>8.1171133306785298E-6</v>
      </c>
      <c r="O61" s="1">
        <v>2.2664632127071401E-6</v>
      </c>
      <c r="P61" s="1">
        <v>-7.4023268522885899E-6</v>
      </c>
    </row>
    <row r="62" spans="1:16" x14ac:dyDescent="0.2">
      <c r="A62">
        <v>61</v>
      </c>
      <c r="B62">
        <v>748</v>
      </c>
      <c r="C62">
        <v>240</v>
      </c>
      <c r="D62">
        <v>0.33358517357881101</v>
      </c>
      <c r="E62">
        <v>7.14826813947698</v>
      </c>
      <c r="F62">
        <v>0.68580535254845199</v>
      </c>
      <c r="G62">
        <v>-143.13580958718427</v>
      </c>
      <c r="H62">
        <v>-94.500391680569862</v>
      </c>
      <c r="I62">
        <v>47.6308683938203</v>
      </c>
      <c r="J62">
        <v>22.062650576275399</v>
      </c>
      <c r="K62">
        <v>10.423173445517699</v>
      </c>
      <c r="L62">
        <v>1.2357555241623169E-3</v>
      </c>
      <c r="M62">
        <v>2.2213891687537281E-4</v>
      </c>
      <c r="N62" s="1">
        <v>8.3177126557878997E-6</v>
      </c>
      <c r="O62" s="1">
        <v>2.2607415251594899E-6</v>
      </c>
      <c r="P62" s="1">
        <v>-7.4326154164312099E-6</v>
      </c>
    </row>
    <row r="63" spans="1:16" x14ac:dyDescent="0.2">
      <c r="A63">
        <v>62</v>
      </c>
      <c r="B63">
        <v>746</v>
      </c>
      <c r="C63">
        <v>240</v>
      </c>
      <c r="D63">
        <v>0.33214001864298798</v>
      </c>
      <c r="E63">
        <v>9.9494177520262603</v>
      </c>
      <c r="F63">
        <v>0.84451687950080201</v>
      </c>
      <c r="G63">
        <v>-189.55733165401145</v>
      </c>
      <c r="H63">
        <v>-133.96303366152998</v>
      </c>
      <c r="I63">
        <v>54.552568660845402</v>
      </c>
      <c r="J63">
        <v>25.952958160487501</v>
      </c>
      <c r="K63">
        <v>11.781194661150399</v>
      </c>
      <c r="L63">
        <v>1.1352683379347184E-3</v>
      </c>
      <c r="M63">
        <v>2.0288792127585095E-4</v>
      </c>
      <c r="N63" s="1">
        <v>8.77925428803137E-6</v>
      </c>
      <c r="O63" s="1">
        <v>2.33102942056714E-6</v>
      </c>
      <c r="P63" s="1">
        <v>-7.7144980859003792E-6</v>
      </c>
    </row>
    <row r="64" spans="1:16" x14ac:dyDescent="0.2">
      <c r="A64">
        <v>63</v>
      </c>
      <c r="B64">
        <v>744</v>
      </c>
      <c r="C64">
        <v>240</v>
      </c>
      <c r="D64">
        <v>0.33068918055350899</v>
      </c>
      <c r="E64">
        <v>50.194103389263702</v>
      </c>
      <c r="F64">
        <v>1.61506505056437</v>
      </c>
      <c r="G64">
        <v>-844.62690765155799</v>
      </c>
      <c r="H64">
        <v>-690.30525921429432</v>
      </c>
      <c r="I64">
        <v>151.72388406631401</v>
      </c>
      <c r="J64">
        <v>80.116265206365199</v>
      </c>
      <c r="K64">
        <v>31.0786883610191</v>
      </c>
      <c r="L64">
        <v>6.3502568559015192E-4</v>
      </c>
      <c r="M64">
        <v>1.1202071694794298E-4</v>
      </c>
      <c r="N64" s="1">
        <v>1.27263119656607E-5</v>
      </c>
      <c r="O64" s="1">
        <v>3.3714146636210301E-6</v>
      </c>
      <c r="P64" s="1">
        <v>-1.12304613933944E-5</v>
      </c>
    </row>
    <row r="65" spans="1:16" x14ac:dyDescent="0.2">
      <c r="A65">
        <v>64</v>
      </c>
      <c r="B65">
        <v>742</v>
      </c>
      <c r="C65">
        <v>240</v>
      </c>
      <c r="D65">
        <v>0.32923262572033701</v>
      </c>
      <c r="E65">
        <v>82.920884596574894</v>
      </c>
      <c r="F65">
        <v>1.77562188393333</v>
      </c>
      <c r="G65">
        <v>-1376.2150002311826</v>
      </c>
      <c r="H65">
        <v>-1142.3877377712611</v>
      </c>
      <c r="I65">
        <v>230.34294857974101</v>
      </c>
      <c r="J65">
        <v>124.112478367149</v>
      </c>
      <c r="K65">
        <v>46.699629773028803</v>
      </c>
      <c r="L65">
        <v>5.3161741813060519E-4</v>
      </c>
      <c r="M65">
        <v>9.2968067977382737E-5</v>
      </c>
      <c r="N65" s="1">
        <v>1.6034772562177699E-5</v>
      </c>
      <c r="O65" s="1">
        <v>4.1893954695061298E-6</v>
      </c>
      <c r="P65" s="1">
        <v>-1.4047322110627401E-5</v>
      </c>
    </row>
    <row r="66" spans="1:16" x14ac:dyDescent="0.2">
      <c r="A66">
        <v>65</v>
      </c>
      <c r="B66">
        <v>740</v>
      </c>
      <c r="C66">
        <v>240</v>
      </c>
      <c r="D66">
        <v>0.32777032028821201</v>
      </c>
      <c r="E66">
        <v>91.093056143739702</v>
      </c>
      <c r="F66">
        <v>1.80196352170369</v>
      </c>
      <c r="G66">
        <v>-1508.541706766583</v>
      </c>
      <c r="H66">
        <v>-1255.5496704766774</v>
      </c>
      <c r="I66">
        <v>249.71394766903501</v>
      </c>
      <c r="J66">
        <v>135.14866582918901</v>
      </c>
      <c r="K66">
        <v>50.552108878216401</v>
      </c>
      <c r="L66">
        <v>5.155182875986224E-4</v>
      </c>
      <c r="M66">
        <v>8.9626693566310556E-5</v>
      </c>
      <c r="N66" s="1">
        <v>1.7080808556728599E-5</v>
      </c>
      <c r="O66" s="1">
        <v>4.36644890169838E-6</v>
      </c>
      <c r="P66" s="1">
        <v>-1.4738387181355601E-5</v>
      </c>
    </row>
    <row r="67" spans="1:16" x14ac:dyDescent="0.2">
      <c r="A67">
        <v>66</v>
      </c>
      <c r="B67">
        <v>738</v>
      </c>
      <c r="C67">
        <v>240</v>
      </c>
      <c r="D67">
        <v>0.326302230134007</v>
      </c>
      <c r="E67">
        <v>94.916216128813005</v>
      </c>
      <c r="F67">
        <v>1.8140571952940301</v>
      </c>
      <c r="G67">
        <v>-1570.133377016361</v>
      </c>
      <c r="H67">
        <v>-1308.6531673170525</v>
      </c>
      <c r="I67">
        <v>258.60256573245999</v>
      </c>
      <c r="J67">
        <v>140.355441129947</v>
      </c>
      <c r="K67">
        <v>52.322614951194197</v>
      </c>
      <c r="L67">
        <v>5.0867915369279368E-4</v>
      </c>
      <c r="M67">
        <v>8.7953413150653869E-5</v>
      </c>
      <c r="N67" s="1">
        <v>1.77266813216049E-5</v>
      </c>
      <c r="O67" s="1">
        <v>4.4305976933613497E-6</v>
      </c>
      <c r="P67" s="1">
        <v>-1.50546092182361E-5</v>
      </c>
    </row>
    <row r="68" spans="1:16" x14ac:dyDescent="0.2">
      <c r="A68">
        <v>67</v>
      </c>
      <c r="B68">
        <v>736</v>
      </c>
      <c r="C68">
        <v>240</v>
      </c>
      <c r="D68">
        <v>0.32482832086409602</v>
      </c>
      <c r="E68">
        <v>97.216074169562106</v>
      </c>
      <c r="F68">
        <v>1.8217522037162299</v>
      </c>
      <c r="G68">
        <v>-1606.9492785775151</v>
      </c>
      <c r="H68">
        <v>-1340.7218244844437</v>
      </c>
      <c r="I68">
        <v>263.819356419104</v>
      </c>
      <c r="J68">
        <v>143.52389555317399</v>
      </c>
      <c r="K68">
        <v>53.364049167196796</v>
      </c>
      <c r="L68">
        <v>5.0469032698659592E-4</v>
      </c>
      <c r="M68">
        <v>8.679509116066235E-5</v>
      </c>
      <c r="N68" s="1">
        <v>1.8230890456703598E-5</v>
      </c>
      <c r="O68" s="1">
        <v>4.45515452324667E-6</v>
      </c>
      <c r="P68" s="1">
        <v>-1.52391217389905E-5</v>
      </c>
    </row>
    <row r="69" spans="1:16" x14ac:dyDescent="0.2">
      <c r="A69">
        <v>68</v>
      </c>
      <c r="B69">
        <v>734</v>
      </c>
      <c r="C69">
        <v>240</v>
      </c>
      <c r="D69">
        <v>0.32334855781164801</v>
      </c>
      <c r="E69">
        <v>98.786130057027194</v>
      </c>
      <c r="F69">
        <v>1.8274687552019599</v>
      </c>
      <c r="G69">
        <v>-1631.8956168639011</v>
      </c>
      <c r="H69">
        <v>-1362.7139178812388</v>
      </c>
      <c r="I69">
        <v>267.276571782345</v>
      </c>
      <c r="J69">
        <v>145.71855627787301</v>
      </c>
      <c r="K69">
        <v>54.056262125318497</v>
      </c>
      <c r="L69">
        <v>5.0197735710073551E-4</v>
      </c>
      <c r="M69">
        <v>8.586833374610909E-5</v>
      </c>
      <c r="N69" s="1">
        <v>1.8665543905837099E-5</v>
      </c>
      <c r="O69" s="1">
        <v>4.4607017000894401E-6</v>
      </c>
      <c r="P69" s="1">
        <v>-1.53601058926252E-5</v>
      </c>
    </row>
    <row r="70" spans="1:16" x14ac:dyDescent="0.2">
      <c r="A70">
        <v>69</v>
      </c>
      <c r="B70">
        <v>732</v>
      </c>
      <c r="C70">
        <v>240</v>
      </c>
      <c r="D70">
        <v>0.32186290603392398</v>
      </c>
      <c r="E70">
        <v>99.943009036428194</v>
      </c>
      <c r="F70">
        <v>1.83210850439679</v>
      </c>
      <c r="G70">
        <v>-1650.1222821272008</v>
      </c>
      <c r="H70">
        <v>-1379.001849374225</v>
      </c>
      <c r="I70">
        <v>269.73722365283498</v>
      </c>
      <c r="J70">
        <v>147.36429920706601</v>
      </c>
      <c r="K70">
        <v>54.5508133369717</v>
      </c>
      <c r="L70">
        <v>4.9995387936047433E-4</v>
      </c>
      <c r="M70">
        <v>8.5067540740603137E-5</v>
      </c>
      <c r="N70" s="1">
        <v>1.9059134279394598E-5</v>
      </c>
      <c r="O70" s="1">
        <v>4.4554552678896298E-6</v>
      </c>
      <c r="P70" s="1">
        <v>-1.5444738770140799E-5</v>
      </c>
    </row>
    <row r="71" spans="1:16" x14ac:dyDescent="0.2">
      <c r="A71">
        <v>70</v>
      </c>
      <c r="B71">
        <v>760</v>
      </c>
      <c r="C71">
        <v>220</v>
      </c>
      <c r="D71">
        <v>0.36343270580264397</v>
      </c>
      <c r="E71">
        <v>5.1622053920119004</v>
      </c>
      <c r="F71">
        <v>0.48454301462163601</v>
      </c>
      <c r="G71">
        <v>-112.54364473624302</v>
      </c>
      <c r="H71">
        <v>-65.462431861996365</v>
      </c>
      <c r="I71">
        <v>45.573408512962899</v>
      </c>
      <c r="J71">
        <v>20.329004028662801</v>
      </c>
      <c r="K71">
        <v>10.6537608349237</v>
      </c>
      <c r="L71">
        <v>1.4269782495503747E-3</v>
      </c>
      <c r="M71">
        <v>2.8840259609752344E-4</v>
      </c>
      <c r="N71" s="1">
        <v>7.3500485432724299E-6</v>
      </c>
      <c r="O71" s="1">
        <v>3.3700666089216999E-6</v>
      </c>
      <c r="P71" s="1">
        <v>-9.5795583521413396E-6</v>
      </c>
    </row>
    <row r="72" spans="1:16" x14ac:dyDescent="0.2">
      <c r="A72">
        <v>71</v>
      </c>
      <c r="B72">
        <v>758</v>
      </c>
      <c r="C72">
        <v>220</v>
      </c>
      <c r="D72">
        <v>0.36206226058284502</v>
      </c>
      <c r="E72">
        <v>5.4041165913962201</v>
      </c>
      <c r="F72">
        <v>0.50315834428097606</v>
      </c>
      <c r="G72">
        <v>-116.47457982601054</v>
      </c>
      <c r="H72">
        <v>-68.94097501151478</v>
      </c>
      <c r="I72">
        <v>46.100534800969903</v>
      </c>
      <c r="J72">
        <v>20.670968987803001</v>
      </c>
      <c r="K72">
        <v>10.740389487366601</v>
      </c>
      <c r="L72">
        <v>1.4176773795323027E-3</v>
      </c>
      <c r="M72">
        <v>2.8502554327068192E-4</v>
      </c>
      <c r="N72" s="1">
        <v>7.5813023458198704E-6</v>
      </c>
      <c r="O72" s="1">
        <v>3.3574531917744E-6</v>
      </c>
      <c r="P72" s="1">
        <v>-9.6102523747839294E-6</v>
      </c>
    </row>
    <row r="73" spans="1:16" x14ac:dyDescent="0.2">
      <c r="A73">
        <v>72</v>
      </c>
      <c r="B73">
        <v>756</v>
      </c>
      <c r="C73">
        <v>220</v>
      </c>
      <c r="D73">
        <v>0.36068648885002402</v>
      </c>
      <c r="E73">
        <v>5.8243962630791701</v>
      </c>
      <c r="F73">
        <v>0.53382721664408805</v>
      </c>
      <c r="G73">
        <v>-123.35993614584049</v>
      </c>
      <c r="H73">
        <v>-74.958539714727209</v>
      </c>
      <c r="I73">
        <v>47.033348177198199</v>
      </c>
      <c r="J73">
        <v>21.242401266749301</v>
      </c>
      <c r="K73">
        <v>10.9106394006928</v>
      </c>
      <c r="L73">
        <v>1.3998895012866444E-3</v>
      </c>
      <c r="M73">
        <v>2.799821229213946E-4</v>
      </c>
      <c r="N73" s="1">
        <v>7.8276609253288801E-6</v>
      </c>
      <c r="O73" s="1">
        <v>3.3499174427570699E-6</v>
      </c>
      <c r="P73" s="1">
        <v>-9.6556872292519397E-6</v>
      </c>
    </row>
    <row r="74" spans="1:16" x14ac:dyDescent="0.2">
      <c r="A74">
        <v>73</v>
      </c>
      <c r="B74">
        <v>754</v>
      </c>
      <c r="C74">
        <v>220</v>
      </c>
      <c r="D74">
        <v>0.35930535948985198</v>
      </c>
      <c r="E74">
        <v>6.2407347562912001</v>
      </c>
      <c r="F74">
        <v>0.56330575159808305</v>
      </c>
      <c r="G74">
        <v>-130.17600592028845</v>
      </c>
      <c r="H74">
        <v>-80.922306749143857</v>
      </c>
      <c r="I74">
        <v>47.954714594165999</v>
      </c>
      <c r="J74">
        <v>21.808601061690698</v>
      </c>
      <c r="K74">
        <v>11.0787698129948</v>
      </c>
      <c r="L74">
        <v>1.3828060622681577E-3</v>
      </c>
      <c r="M74">
        <v>2.7511967518833693E-4</v>
      </c>
      <c r="N74" s="1">
        <v>8.0771174369750995E-6</v>
      </c>
      <c r="O74" s="1">
        <v>3.3419784749664701E-6</v>
      </c>
      <c r="P74" s="1">
        <v>-9.7002586924821496E-6</v>
      </c>
    </row>
    <row r="75" spans="1:16" x14ac:dyDescent="0.2">
      <c r="A75">
        <v>74</v>
      </c>
      <c r="B75">
        <v>752</v>
      </c>
      <c r="C75">
        <v>220</v>
      </c>
      <c r="D75">
        <v>0.35791884114519901</v>
      </c>
      <c r="E75">
        <v>6.6531921832062002</v>
      </c>
      <c r="F75">
        <v>0.59166753732127197</v>
      </c>
      <c r="G75">
        <v>-136.92385142066303</v>
      </c>
      <c r="H75">
        <v>-86.833099166370005</v>
      </c>
      <c r="I75">
        <v>48.8648004080327</v>
      </c>
      <c r="J75">
        <v>22.369642161137602</v>
      </c>
      <c r="K75">
        <v>11.2448153118692</v>
      </c>
      <c r="L75">
        <v>1.3663819565208541E-3</v>
      </c>
      <c r="M75">
        <v>2.7042698140883521E-4</v>
      </c>
      <c r="N75" s="1">
        <v>8.32962669482761E-6</v>
      </c>
      <c r="O75" s="1">
        <v>3.33364108976464E-6</v>
      </c>
      <c r="P75" s="1">
        <v>-9.7439554542357096E-6</v>
      </c>
    </row>
    <row r="76" spans="1:16" x14ac:dyDescent="0.2">
      <c r="A76">
        <v>75</v>
      </c>
      <c r="B76">
        <v>750</v>
      </c>
      <c r="C76">
        <v>220</v>
      </c>
      <c r="D76">
        <v>0.356526902213751</v>
      </c>
      <c r="E76">
        <v>10.2243016886984</v>
      </c>
      <c r="F76">
        <v>0.78719662095778697</v>
      </c>
      <c r="G76">
        <v>-196.13381427181397</v>
      </c>
      <c r="H76">
        <v>-137.1343097915107</v>
      </c>
      <c r="I76">
        <v>57.667629423872597</v>
      </c>
      <c r="J76">
        <v>27.305181849511801</v>
      </c>
      <c r="K76">
        <v>12.9882438726153</v>
      </c>
      <c r="L76">
        <v>1.2357832417177147E-3</v>
      </c>
      <c r="M76">
        <v>2.4307625453869091E-4</v>
      </c>
      <c r="N76" s="1">
        <v>8.8965681403544195E-6</v>
      </c>
      <c r="O76" s="1">
        <v>3.45840950622422E-6</v>
      </c>
      <c r="P76" s="1">
        <v>-1.0179583648311799E-5</v>
      </c>
    </row>
    <row r="77" spans="1:16" x14ac:dyDescent="0.2">
      <c r="A77">
        <v>76</v>
      </c>
      <c r="B77">
        <v>748</v>
      </c>
      <c r="C77">
        <v>220</v>
      </c>
      <c r="D77">
        <v>0.355129510845618</v>
      </c>
      <c r="E77">
        <v>13.9391229594407</v>
      </c>
      <c r="F77">
        <v>0.94184630847901596</v>
      </c>
      <c r="G77">
        <v>-257.63446960449426</v>
      </c>
      <c r="H77">
        <v>-189.41836659759497</v>
      </c>
      <c r="I77">
        <v>66.806415197668898</v>
      </c>
      <c r="J77">
        <v>32.441873669557502</v>
      </c>
      <c r="K77">
        <v>14.799785096520599</v>
      </c>
      <c r="L77">
        <v>1.1324489954291988E-3</v>
      </c>
      <c r="M77">
        <v>2.213792580848526E-4</v>
      </c>
      <c r="N77" s="1">
        <v>9.4921008783676404E-6</v>
      </c>
      <c r="O77" s="1">
        <v>3.5862275004891398E-6</v>
      </c>
      <c r="P77" s="1">
        <v>-1.0630022352644E-5</v>
      </c>
    </row>
    <row r="78" spans="1:16" x14ac:dyDescent="0.2">
      <c r="A78">
        <v>77</v>
      </c>
      <c r="B78">
        <v>746</v>
      </c>
      <c r="C78">
        <v>220</v>
      </c>
      <c r="D78">
        <v>0.35372663494088302</v>
      </c>
      <c r="E78">
        <v>77.251741372085604</v>
      </c>
      <c r="F78">
        <v>1.7093608460672201</v>
      </c>
      <c r="G78">
        <v>-1286.4890995414742</v>
      </c>
      <c r="H78">
        <v>-1063.8942665321886</v>
      </c>
      <c r="I78">
        <v>218.41739424918299</v>
      </c>
      <c r="J78">
        <v>116.998622575577</v>
      </c>
      <c r="K78">
        <v>45.1933490519693</v>
      </c>
      <c r="L78">
        <v>6.0496569189782967E-4</v>
      </c>
      <c r="M78">
        <v>1.1656872530024562E-4</v>
      </c>
      <c r="N78" s="1">
        <v>1.5248902626587901E-5</v>
      </c>
      <c r="O78" s="1">
        <v>5.7278134580145096E-6</v>
      </c>
      <c r="P78" s="1">
        <v>-1.7095884044547299E-5</v>
      </c>
    </row>
    <row r="79" spans="1:16" x14ac:dyDescent="0.2">
      <c r="A79">
        <v>78</v>
      </c>
      <c r="B79">
        <v>744</v>
      </c>
      <c r="C79">
        <v>220</v>
      </c>
      <c r="D79">
        <v>0.352318242147177</v>
      </c>
      <c r="E79">
        <v>88.588661478659802</v>
      </c>
      <c r="F79">
        <v>1.7516371637977799</v>
      </c>
      <c r="G79">
        <v>-1470.2493371854746</v>
      </c>
      <c r="H79">
        <v>-1220.7738171561612</v>
      </c>
      <c r="I79">
        <v>245.27466694427201</v>
      </c>
      <c r="J79">
        <v>132.19104840637101</v>
      </c>
      <c r="K79">
        <v>50.574778447031697</v>
      </c>
      <c r="L79">
        <v>5.7720277608928026E-4</v>
      </c>
      <c r="M79">
        <v>1.1051965736186944E-4</v>
      </c>
      <c r="N79" s="1">
        <v>1.6611858527794901E-5</v>
      </c>
      <c r="O79" s="1">
        <v>6.0714636376685897E-6</v>
      </c>
      <c r="P79" s="1">
        <v>-1.8249403083657101E-5</v>
      </c>
    </row>
    <row r="80" spans="1:16" x14ac:dyDescent="0.2">
      <c r="A80">
        <v>79</v>
      </c>
      <c r="B80">
        <v>742</v>
      </c>
      <c r="C80">
        <v>220</v>
      </c>
      <c r="D80">
        <v>0.35090429985716198</v>
      </c>
      <c r="E80">
        <v>93.522893356014706</v>
      </c>
      <c r="F80">
        <v>1.76870871312824</v>
      </c>
      <c r="G80">
        <v>-1549.9038691333728</v>
      </c>
      <c r="H80">
        <v>-1289.2528339470368</v>
      </c>
      <c r="I80">
        <v>256.76677832322599</v>
      </c>
      <c r="J80">
        <v>138.844790830374</v>
      </c>
      <c r="K80">
        <v>52.876368314262699</v>
      </c>
      <c r="L80">
        <v>5.6679299032121597E-4</v>
      </c>
      <c r="M80">
        <v>1.0790211480843983E-4</v>
      </c>
      <c r="N80" s="1">
        <v>1.7434871813206601E-5</v>
      </c>
      <c r="O80" s="1">
        <v>6.1938693062484199E-6</v>
      </c>
      <c r="P80" s="1">
        <v>-1.8748996804938298E-5</v>
      </c>
    </row>
    <row r="81" spans="1:16" x14ac:dyDescent="0.2">
      <c r="A81">
        <v>80</v>
      </c>
      <c r="B81">
        <v>740</v>
      </c>
      <c r="C81">
        <v>220</v>
      </c>
      <c r="D81">
        <v>0.34948477520604299</v>
      </c>
      <c r="E81">
        <v>96.265286089891504</v>
      </c>
      <c r="F81">
        <v>1.77853362449039</v>
      </c>
      <c r="G81">
        <v>-1593.9101758395923</v>
      </c>
      <c r="H81">
        <v>-1327.4465074053091</v>
      </c>
      <c r="I81">
        <v>263.01091909335798</v>
      </c>
      <c r="J81">
        <v>142.58212389177501</v>
      </c>
      <c r="K81">
        <v>54.126210921356403</v>
      </c>
      <c r="L81">
        <v>5.6135167819539446E-4</v>
      </c>
      <c r="M81">
        <v>1.0626816094374056E-4</v>
      </c>
      <c r="N81" s="1">
        <v>1.8073963704315701E-5</v>
      </c>
      <c r="O81" s="1">
        <v>6.2412773306171901E-6</v>
      </c>
      <c r="P81" s="1">
        <v>-1.90263842657394E-5</v>
      </c>
    </row>
    <row r="82" spans="1:16" x14ac:dyDescent="0.2">
      <c r="A82">
        <v>81</v>
      </c>
      <c r="B82">
        <v>738</v>
      </c>
      <c r="C82">
        <v>220</v>
      </c>
      <c r="D82">
        <v>0.34805963506898102</v>
      </c>
      <c r="E82">
        <v>98.070610956701003</v>
      </c>
      <c r="F82">
        <v>1.7854959212469099</v>
      </c>
      <c r="G82">
        <v>-1622.677381061716</v>
      </c>
      <c r="H82">
        <v>-1352.6963074016167</v>
      </c>
      <c r="I82">
        <v>267.00981382811301</v>
      </c>
      <c r="J82">
        <v>145.07501897595901</v>
      </c>
      <c r="K82">
        <v>54.926258743964198</v>
      </c>
      <c r="L82">
        <v>5.5786529226283898E-4</v>
      </c>
      <c r="M82">
        <v>1.0502270026416845E-4</v>
      </c>
      <c r="N82" s="1">
        <v>1.8634005855499999E-5</v>
      </c>
      <c r="O82" s="1">
        <v>6.2564396148301404E-6</v>
      </c>
      <c r="P82" s="1">
        <v>-1.9208003494630901E-5</v>
      </c>
    </row>
    <row r="83" spans="1:16" x14ac:dyDescent="0.2">
      <c r="A83">
        <v>82</v>
      </c>
      <c r="B83">
        <v>736</v>
      </c>
      <c r="C83">
        <v>220</v>
      </c>
      <c r="D83">
        <v>0.34662884605856398</v>
      </c>
      <c r="E83">
        <v>99.370480998045593</v>
      </c>
      <c r="F83">
        <v>1.7909835636848099</v>
      </c>
      <c r="G83">
        <v>-1643.2249414139701</v>
      </c>
      <c r="H83">
        <v>-1370.9649758426071</v>
      </c>
      <c r="I83">
        <v>269.79725992680699</v>
      </c>
      <c r="J83">
        <v>146.89888954277899</v>
      </c>
      <c r="K83">
        <v>55.483748155453902</v>
      </c>
      <c r="L83">
        <v>5.5537895091890398E-4</v>
      </c>
      <c r="M83">
        <v>1.0397701165356354E-4</v>
      </c>
      <c r="N83" s="1">
        <v>1.9150710201932401E-5</v>
      </c>
      <c r="O83" s="1">
        <v>6.2541301165941296E-6</v>
      </c>
      <c r="P83" s="1">
        <v>-1.9337447949762801E-5</v>
      </c>
    </row>
    <row r="84" spans="1:16" x14ac:dyDescent="0.2">
      <c r="A84">
        <v>83</v>
      </c>
      <c r="B84">
        <v>734</v>
      </c>
      <c r="C84">
        <v>220</v>
      </c>
      <c r="D84">
        <v>0.345192374522167</v>
      </c>
      <c r="E84">
        <v>100.362594445734</v>
      </c>
      <c r="F84">
        <v>1.7956010115735599</v>
      </c>
      <c r="G84">
        <v>-1658.7680676305592</v>
      </c>
      <c r="H84">
        <v>-1384.9835816375362</v>
      </c>
      <c r="I84">
        <v>271.846751179877</v>
      </c>
      <c r="J84">
        <v>148.31740292209599</v>
      </c>
      <c r="K84">
        <v>55.893594288957502</v>
      </c>
      <c r="L84">
        <v>5.5347693792169269E-4</v>
      </c>
      <c r="M84">
        <v>1.0304889901915511E-4</v>
      </c>
      <c r="N84" s="1">
        <v>1.96401615049051E-5</v>
      </c>
      <c r="O84" s="1">
        <v>6.2411175082179897E-6</v>
      </c>
      <c r="P84" s="1">
        <v>-1.9434651349350399E-5</v>
      </c>
    </row>
    <row r="85" spans="1:16" x14ac:dyDescent="0.2">
      <c r="A85">
        <v>84</v>
      </c>
      <c r="B85">
        <v>760</v>
      </c>
      <c r="C85">
        <v>200</v>
      </c>
      <c r="D85">
        <v>0.38472680636887402</v>
      </c>
      <c r="E85">
        <v>5.47868949350599</v>
      </c>
      <c r="F85">
        <v>0.45505687206717499</v>
      </c>
      <c r="G85">
        <v>-119.6766429044423</v>
      </c>
      <c r="H85">
        <v>-69.352928042595636</v>
      </c>
      <c r="I85">
        <v>48.7120457865798</v>
      </c>
      <c r="J85">
        <v>21.7253317155198</v>
      </c>
      <c r="K85">
        <v>12.0395709411399</v>
      </c>
      <c r="L85">
        <v>1.5294024524042341E-3</v>
      </c>
      <c r="M85">
        <v>3.4182390521239164E-4</v>
      </c>
      <c r="N85" s="1">
        <v>6.4929348432022702E-6</v>
      </c>
      <c r="O85" s="1">
        <v>5.0780362515893298E-6</v>
      </c>
      <c r="P85" s="1">
        <v>-1.27335724504664E-5</v>
      </c>
    </row>
    <row r="86" spans="1:16" x14ac:dyDescent="0.2">
      <c r="A86">
        <v>85</v>
      </c>
      <c r="B86">
        <v>758</v>
      </c>
      <c r="C86">
        <v>200</v>
      </c>
      <c r="D86">
        <v>0.383397662803666</v>
      </c>
      <c r="E86">
        <v>5.83922530704828</v>
      </c>
      <c r="F86">
        <v>0.47955469118926602</v>
      </c>
      <c r="G86">
        <v>-125.56656741213456</v>
      </c>
      <c r="H86">
        <v>-74.525461138257469</v>
      </c>
      <c r="I86">
        <v>49.502256334675202</v>
      </c>
      <c r="J86">
        <v>22.224329607678701</v>
      </c>
      <c r="K86">
        <v>12.176349047003001</v>
      </c>
      <c r="L86">
        <v>1.5160025202979259E-3</v>
      </c>
      <c r="M86">
        <v>3.369870704110455E-4</v>
      </c>
      <c r="N86" s="1">
        <v>6.7957144559902099E-6</v>
      </c>
      <c r="O86" s="1">
        <v>5.0649807486157098E-6</v>
      </c>
      <c r="P86" s="1">
        <v>-1.27949000533047E-5</v>
      </c>
    </row>
    <row r="87" spans="1:16" x14ac:dyDescent="0.2">
      <c r="A87">
        <v>86</v>
      </c>
      <c r="B87">
        <v>756</v>
      </c>
      <c r="C87">
        <v>200</v>
      </c>
      <c r="D87">
        <v>0.38206335325268598</v>
      </c>
      <c r="E87">
        <v>7.5836184148300001</v>
      </c>
      <c r="F87">
        <v>0.58303120220346105</v>
      </c>
      <c r="G87">
        <v>-154.45080517427888</v>
      </c>
      <c r="H87">
        <v>-99.16899951848238</v>
      </c>
      <c r="I87">
        <v>53.719098771714101</v>
      </c>
      <c r="J87">
        <v>24.6198886658112</v>
      </c>
      <c r="K87">
        <v>13.0072256616268</v>
      </c>
      <c r="L87">
        <v>1.4456729926134249E-3</v>
      </c>
      <c r="M87">
        <v>3.1949656137797617E-4</v>
      </c>
      <c r="N87" s="1">
        <v>7.2035174887500499E-6</v>
      </c>
      <c r="O87" s="1">
        <v>5.1306385978415999E-6</v>
      </c>
      <c r="P87" s="1">
        <v>-1.3056976869024801E-5</v>
      </c>
    </row>
    <row r="88" spans="1:16" x14ac:dyDescent="0.2">
      <c r="A88">
        <v>87</v>
      </c>
      <c r="B88">
        <v>754</v>
      </c>
      <c r="C88">
        <v>200</v>
      </c>
      <c r="D88">
        <v>0.38072384753930699</v>
      </c>
      <c r="E88">
        <v>11.1315280760004</v>
      </c>
      <c r="F88">
        <v>0.75505798999871399</v>
      </c>
      <c r="G88">
        <v>-213.25186872947759</v>
      </c>
      <c r="H88">
        <v>-149.15687249690794</v>
      </c>
      <c r="I88">
        <v>62.404055205959899</v>
      </c>
      <c r="J88">
        <v>29.495550372723301</v>
      </c>
      <c r="K88">
        <v>14.7426134461796</v>
      </c>
      <c r="L88">
        <v>1.3254631301899153E-3</v>
      </c>
      <c r="M88">
        <v>2.9110796040408485E-4</v>
      </c>
      <c r="N88" s="1">
        <v>7.7591417469430996E-6</v>
      </c>
      <c r="O88" s="1">
        <v>5.2980048321283599E-6</v>
      </c>
      <c r="P88" s="1">
        <v>-1.35832090022747E-5</v>
      </c>
    </row>
    <row r="89" spans="1:16" x14ac:dyDescent="0.2">
      <c r="A89">
        <v>88</v>
      </c>
      <c r="B89">
        <v>752</v>
      </c>
      <c r="C89">
        <v>200</v>
      </c>
      <c r="D89">
        <v>0.37937911525142798</v>
      </c>
      <c r="E89">
        <v>14.825393001776099</v>
      </c>
      <c r="F89">
        <v>0.89595126372995604</v>
      </c>
      <c r="G89">
        <v>-274.37909903460337</v>
      </c>
      <c r="H89">
        <v>-201.15893864318096</v>
      </c>
      <c r="I89">
        <v>71.427223369779696</v>
      </c>
      <c r="J89">
        <v>34.572879357072203</v>
      </c>
      <c r="K89">
        <v>16.547097595527799</v>
      </c>
      <c r="L89">
        <v>1.2269663424788451E-3</v>
      </c>
      <c r="M89">
        <v>2.677943754643287E-4</v>
      </c>
      <c r="N89" s="1">
        <v>8.3464593920662301E-6</v>
      </c>
      <c r="O89" s="1">
        <v>5.4696993303355701E-6</v>
      </c>
      <c r="P89" s="1">
        <v>-1.41280040402661E-5</v>
      </c>
    </row>
    <row r="90" spans="1:16" x14ac:dyDescent="0.2">
      <c r="A90">
        <v>89</v>
      </c>
      <c r="B90">
        <v>750</v>
      </c>
      <c r="C90">
        <v>200</v>
      </c>
      <c r="D90">
        <v>0.37802912573913899</v>
      </c>
      <c r="E90">
        <v>72.578543621586604</v>
      </c>
      <c r="F90">
        <v>1.6336707960001799</v>
      </c>
      <c r="G90">
        <v>-1212.9831462136972</v>
      </c>
      <c r="H90">
        <v>-999.07152503062264</v>
      </c>
      <c r="I90">
        <v>209.076671172837</v>
      </c>
      <c r="J90">
        <v>111.267024626196</v>
      </c>
      <c r="K90">
        <v>44.426664049626801</v>
      </c>
      <c r="L90">
        <v>6.9196749560409849E-4</v>
      </c>
      <c r="M90">
        <v>1.4903598642958593E-4</v>
      </c>
      <c r="N90" s="1">
        <v>1.26632308156903E-5</v>
      </c>
      <c r="O90" s="1">
        <v>8.1368415536203805E-6</v>
      </c>
      <c r="P90" s="1">
        <v>-2.11729838664677E-5</v>
      </c>
    </row>
    <row r="91" spans="1:16" x14ac:dyDescent="0.2">
      <c r="A91">
        <v>90</v>
      </c>
      <c r="B91">
        <v>748</v>
      </c>
      <c r="C91">
        <v>200</v>
      </c>
      <c r="D91">
        <v>0.37667384811242399</v>
      </c>
      <c r="E91">
        <v>86.822358880997598</v>
      </c>
      <c r="F91">
        <v>1.6947122678734501</v>
      </c>
      <c r="G91">
        <v>-1443.9947769428379</v>
      </c>
      <c r="H91">
        <v>-1196.1509192315491</v>
      </c>
      <c r="I91">
        <v>242.71600826876599</v>
      </c>
      <c r="J91">
        <v>130.22039688318</v>
      </c>
      <c r="K91">
        <v>51.231327303686399</v>
      </c>
      <c r="L91">
        <v>6.493458425414413E-4</v>
      </c>
      <c r="M91">
        <v>1.3891740084021284E-4</v>
      </c>
      <c r="N91" s="1">
        <v>1.41366195643915E-5</v>
      </c>
      <c r="O91" s="1">
        <v>8.74209107991419E-6</v>
      </c>
      <c r="P91" s="1">
        <v>-2.2918357888320301E-5</v>
      </c>
    </row>
    <row r="92" spans="1:16" x14ac:dyDescent="0.2">
      <c r="A92">
        <v>91</v>
      </c>
      <c r="B92">
        <v>746</v>
      </c>
      <c r="C92">
        <v>200</v>
      </c>
      <c r="D92">
        <v>0.37531325123877901</v>
      </c>
      <c r="E92">
        <v>92.335336084467301</v>
      </c>
      <c r="F92">
        <v>1.7157161394012901</v>
      </c>
      <c r="G92">
        <v>-1533.044602345921</v>
      </c>
      <c r="H92">
        <v>-1272.6235821627977</v>
      </c>
      <c r="I92">
        <v>255.533312719473</v>
      </c>
      <c r="J92">
        <v>137.604613114459</v>
      </c>
      <c r="K92">
        <v>53.817373377794397</v>
      </c>
      <c r="L92">
        <v>6.3583595106087747E-4</v>
      </c>
      <c r="M92">
        <v>1.3521397067125859E-4</v>
      </c>
      <c r="N92" s="1">
        <v>1.5037870722011699E-5</v>
      </c>
      <c r="O92" s="1">
        <v>8.9384401100277893E-6</v>
      </c>
      <c r="P92" s="1">
        <v>-2.3609284891106701E-5</v>
      </c>
    </row>
    <row r="93" spans="1:16" x14ac:dyDescent="0.2">
      <c r="A93">
        <v>92</v>
      </c>
      <c r="B93">
        <v>744</v>
      </c>
      <c r="C93">
        <v>200</v>
      </c>
      <c r="D93">
        <v>0.373947303740848</v>
      </c>
      <c r="E93">
        <v>95.506908844904302</v>
      </c>
      <c r="F93">
        <v>1.7279925471123001</v>
      </c>
      <c r="G93">
        <v>-1584.0267865454716</v>
      </c>
      <c r="H93">
        <v>-1316.7683852663909</v>
      </c>
      <c r="I93">
        <v>262.75794986374899</v>
      </c>
      <c r="J93">
        <v>141.88799051947001</v>
      </c>
      <c r="K93">
        <v>55.270440260005003</v>
      </c>
      <c r="L93">
        <v>6.2867711691207986E-4</v>
      </c>
      <c r="M93">
        <v>1.3291306028801673E-4</v>
      </c>
      <c r="N93" s="1">
        <v>1.5789433097298998E-5</v>
      </c>
      <c r="O93" s="1">
        <v>9.0242319343240908E-6</v>
      </c>
      <c r="P93" s="1">
        <v>-2.4015569712186101E-5</v>
      </c>
    </row>
    <row r="94" spans="1:16" x14ac:dyDescent="0.2">
      <c r="A94">
        <v>93</v>
      </c>
      <c r="B94">
        <v>742</v>
      </c>
      <c r="C94">
        <v>200</v>
      </c>
      <c r="D94">
        <v>0.37257597399398801</v>
      </c>
      <c r="E94">
        <v>97.494867531164701</v>
      </c>
      <c r="F94">
        <v>1.7362200427513499</v>
      </c>
      <c r="G94">
        <v>-1615.7591832244937</v>
      </c>
      <c r="H94">
        <v>-1344.5496808697385</v>
      </c>
      <c r="I94">
        <v>267.16781490749503</v>
      </c>
      <c r="J94">
        <v>144.60911497480299</v>
      </c>
      <c r="K94">
        <v>56.153520366385401</v>
      </c>
      <c r="L94">
        <v>6.2443819188228887E-4</v>
      </c>
      <c r="M94">
        <v>1.3125706252177735E-4</v>
      </c>
      <c r="N94" s="1">
        <v>1.6466761258223899E-5</v>
      </c>
      <c r="O94" s="1">
        <v>9.0551038831080608E-6</v>
      </c>
      <c r="P94" s="1">
        <v>-2.42798335393546E-5</v>
      </c>
    </row>
    <row r="95" spans="1:16" x14ac:dyDescent="0.2">
      <c r="A95">
        <v>94</v>
      </c>
      <c r="B95">
        <v>740</v>
      </c>
      <c r="C95">
        <v>200</v>
      </c>
      <c r="D95">
        <v>0.37119923012387401</v>
      </c>
      <c r="E95">
        <v>98.904458562492394</v>
      </c>
      <c r="F95">
        <v>1.7425738139195399</v>
      </c>
      <c r="G95">
        <v>-1638.0867978676049</v>
      </c>
      <c r="H95">
        <v>-1364.3399281311063</v>
      </c>
      <c r="I95">
        <v>270.19968939806802</v>
      </c>
      <c r="J95">
        <v>146.56850811544999</v>
      </c>
      <c r="K95">
        <v>56.757686688765197</v>
      </c>
      <c r="L95">
        <v>6.2154390264025378E-4</v>
      </c>
      <c r="M95">
        <v>1.2989946231590512E-4</v>
      </c>
      <c r="N95" s="1">
        <v>1.7109225143667E-5</v>
      </c>
      <c r="O95" s="1">
        <v>9.0587717846849893E-6</v>
      </c>
      <c r="P95" s="1">
        <v>-2.4473660875739198E-5</v>
      </c>
    </row>
    <row r="96" spans="1:16" x14ac:dyDescent="0.2">
      <c r="A96">
        <v>95</v>
      </c>
      <c r="B96">
        <v>738</v>
      </c>
      <c r="C96">
        <v>200</v>
      </c>
      <c r="D96">
        <v>0.36981704000395799</v>
      </c>
      <c r="E96">
        <v>99.969072888512301</v>
      </c>
      <c r="F96">
        <v>1.7478474744821999</v>
      </c>
      <c r="G96">
        <v>-1654.8050796350428</v>
      </c>
      <c r="H96">
        <v>-1379.3643825368115</v>
      </c>
      <c r="I96">
        <v>272.40930944246799</v>
      </c>
      <c r="J96">
        <v>148.07535115872301</v>
      </c>
      <c r="K96">
        <v>57.1955358508201</v>
      </c>
      <c r="L96">
        <v>6.1941719919456539E-4</v>
      </c>
      <c r="M96">
        <v>1.2871310913089613E-4</v>
      </c>
      <c r="N96" s="1">
        <v>1.7731622401184401E-5</v>
      </c>
      <c r="O96" s="1">
        <v>9.0460753658928693E-6</v>
      </c>
      <c r="P96" s="1">
        <v>-2.4624910112853099E-5</v>
      </c>
    </row>
    <row r="97" spans="1:16" x14ac:dyDescent="0.2">
      <c r="A97">
        <v>96</v>
      </c>
      <c r="B97">
        <v>764</v>
      </c>
      <c r="C97">
        <v>180</v>
      </c>
      <c r="D97">
        <v>0.40858169020874802</v>
      </c>
      <c r="E97">
        <v>5.79692993706258</v>
      </c>
      <c r="F97">
        <v>0.41939386807347301</v>
      </c>
      <c r="G97">
        <v>-127.10059165558442</v>
      </c>
      <c r="H97">
        <v>-73.120773640868663</v>
      </c>
      <c r="I97">
        <v>52.049496576192396</v>
      </c>
      <c r="J97">
        <v>23.019935461685499</v>
      </c>
      <c r="K97">
        <v>13.8221618825552</v>
      </c>
      <c r="L97">
        <v>1.6298838109191597E-3</v>
      </c>
      <c r="M97">
        <v>4.1443282257927374E-4</v>
      </c>
      <c r="N97" s="1">
        <v>2.88219213367142E-6</v>
      </c>
      <c r="O97" s="1">
        <v>7.9650387343994405E-6</v>
      </c>
      <c r="P97" s="1">
        <v>-1.6911429852817899E-5</v>
      </c>
    </row>
    <row r="98" spans="1:16" x14ac:dyDescent="0.2">
      <c r="A98">
        <v>97</v>
      </c>
      <c r="B98">
        <v>762</v>
      </c>
      <c r="C98">
        <v>180</v>
      </c>
      <c r="D98">
        <v>0.40730377240013699</v>
      </c>
      <c r="E98">
        <v>6.1381443482539702</v>
      </c>
      <c r="F98">
        <v>0.43975034035018601</v>
      </c>
      <c r="G98">
        <v>-132.68365264867273</v>
      </c>
      <c r="H98">
        <v>-77.934596262452189</v>
      </c>
      <c r="I98">
        <v>52.893192094877698</v>
      </c>
      <c r="J98">
        <v>23.542938608675101</v>
      </c>
      <c r="K98">
        <v>13.958248089963901</v>
      </c>
      <c r="L98">
        <v>1.6206609239138104E-3</v>
      </c>
      <c r="M98">
        <v>4.097096078668999E-4</v>
      </c>
      <c r="N98" s="1">
        <v>3.2331588043675999E-6</v>
      </c>
      <c r="O98" s="1">
        <v>7.9590684326188698E-6</v>
      </c>
      <c r="P98" s="1">
        <v>-1.7030183922691199E-5</v>
      </c>
    </row>
    <row r="99" spans="1:16" x14ac:dyDescent="0.2">
      <c r="A99">
        <v>98</v>
      </c>
      <c r="B99">
        <v>760</v>
      </c>
      <c r="C99">
        <v>180</v>
      </c>
      <c r="D99">
        <v>0.40602090693510101</v>
      </c>
      <c r="E99">
        <v>9.4275418125121995</v>
      </c>
      <c r="F99">
        <v>0.60538152787703603</v>
      </c>
      <c r="G99">
        <v>-187.22686660752703</v>
      </c>
      <c r="H99">
        <v>-124.30650874141267</v>
      </c>
      <c r="I99">
        <v>60.904803682946401</v>
      </c>
      <c r="J99">
        <v>28.038760389266301</v>
      </c>
      <c r="K99">
        <v>15.572893090367099</v>
      </c>
      <c r="L99">
        <v>1.5009183725728527E-3</v>
      </c>
      <c r="M99">
        <v>3.7706539172655077E-4</v>
      </c>
      <c r="N99" s="1">
        <v>3.67674541776677E-6</v>
      </c>
      <c r="O99" s="1">
        <v>8.1773251265800299E-6</v>
      </c>
      <c r="P99" s="1">
        <v>-1.76337523503858E-5</v>
      </c>
    </row>
    <row r="100" spans="1:16" x14ac:dyDescent="0.2">
      <c r="A100">
        <v>99</v>
      </c>
      <c r="B100">
        <v>758</v>
      </c>
      <c r="C100">
        <v>180</v>
      </c>
      <c r="D100">
        <v>0.40473306502448703</v>
      </c>
      <c r="E100">
        <v>12.970155018458</v>
      </c>
      <c r="F100">
        <v>0.74925256559124898</v>
      </c>
      <c r="G100">
        <v>-245.89609010519217</v>
      </c>
      <c r="H100">
        <v>-174.22179776064513</v>
      </c>
      <c r="I100">
        <v>69.512533197086597</v>
      </c>
      <c r="J100">
        <v>32.878060430527697</v>
      </c>
      <c r="K100">
        <v>17.310791599656401</v>
      </c>
      <c r="L100">
        <v>1.3966873060095677E-3</v>
      </c>
      <c r="M100">
        <v>3.4867361705965356E-4</v>
      </c>
      <c r="N100" s="1">
        <v>4.1541302651323698E-6</v>
      </c>
      <c r="O100" s="1">
        <v>8.4105084799387397E-6</v>
      </c>
      <c r="P100" s="1">
        <v>-1.8278701182945599E-5</v>
      </c>
    </row>
    <row r="101" spans="1:16" x14ac:dyDescent="0.2">
      <c r="A101">
        <v>100</v>
      </c>
      <c r="B101">
        <v>756</v>
      </c>
      <c r="C101">
        <v>180</v>
      </c>
      <c r="D101">
        <v>0.40344021765534699</v>
      </c>
      <c r="E101">
        <v>16.687679074411701</v>
      </c>
      <c r="F101">
        <v>0.87224236301971503</v>
      </c>
      <c r="G101">
        <v>-307.36238834128261</v>
      </c>
      <c r="H101">
        <v>-226.55286382231424</v>
      </c>
      <c r="I101">
        <v>78.524220746073098</v>
      </c>
      <c r="J101">
        <v>37.954870239167597</v>
      </c>
      <c r="K101">
        <v>19.131929131071701</v>
      </c>
      <c r="L101">
        <v>1.3074964255775871E-3</v>
      </c>
      <c r="M101">
        <v>3.2434539976649879E-4</v>
      </c>
      <c r="N101" s="1">
        <v>4.6647763733846601E-6</v>
      </c>
      <c r="O101" s="1">
        <v>8.6518214225271E-6</v>
      </c>
      <c r="P101" s="1">
        <v>-1.8951052846117099E-5</v>
      </c>
    </row>
    <row r="102" spans="1:16" x14ac:dyDescent="0.2">
      <c r="A102">
        <v>101</v>
      </c>
      <c r="B102">
        <v>754</v>
      </c>
      <c r="C102">
        <v>180</v>
      </c>
      <c r="D102">
        <v>0.402142335588766</v>
      </c>
      <c r="E102">
        <v>73.055358094838994</v>
      </c>
      <c r="F102">
        <v>1.5698129331161601</v>
      </c>
      <c r="G102">
        <v>-1223.238069922842</v>
      </c>
      <c r="H102">
        <v>-1005.3306209519226</v>
      </c>
      <c r="I102">
        <v>212.15275630938601</v>
      </c>
      <c r="J102">
        <v>112.30983537546</v>
      </c>
      <c r="K102">
        <v>46.537620218110902</v>
      </c>
      <c r="L102">
        <v>7.7564972450515422E-4</v>
      </c>
      <c r="M102">
        <v>1.9003194047601733E-4</v>
      </c>
      <c r="N102" s="1">
        <v>6.9916559981054304E-6</v>
      </c>
      <c r="O102" s="1">
        <v>1.22986614049982E-5</v>
      </c>
      <c r="P102" s="1">
        <v>-2.7150748755480201E-5</v>
      </c>
    </row>
    <row r="103" spans="1:16" x14ac:dyDescent="0.2">
      <c r="A103">
        <v>102</v>
      </c>
      <c r="B103">
        <v>752</v>
      </c>
      <c r="C103">
        <v>180</v>
      </c>
      <c r="D103">
        <v>0.40083938935765601</v>
      </c>
      <c r="E103">
        <v>86.620517076388694</v>
      </c>
      <c r="F103">
        <v>1.63275599060995</v>
      </c>
      <c r="G103">
        <v>-1443.2084453169507</v>
      </c>
      <c r="H103">
        <v>-1193.0765084317525</v>
      </c>
      <c r="I103">
        <v>244.00094321475399</v>
      </c>
      <c r="J103">
        <v>130.247233730955</v>
      </c>
      <c r="K103">
        <v>53.051722103331301</v>
      </c>
      <c r="L103">
        <v>7.2987552788343494E-4</v>
      </c>
      <c r="M103">
        <v>1.7760614913858895E-4</v>
      </c>
      <c r="N103" s="1">
        <v>8.0542633031796503E-6</v>
      </c>
      <c r="O103" s="1">
        <v>1.31075106678196E-5</v>
      </c>
      <c r="P103" s="1">
        <v>-2.9165632667175799E-5</v>
      </c>
    </row>
    <row r="104" spans="1:16" x14ac:dyDescent="0.2">
      <c r="A104">
        <v>103</v>
      </c>
      <c r="B104">
        <v>750</v>
      </c>
      <c r="C104">
        <v>180</v>
      </c>
      <c r="D104">
        <v>0.39953134926452799</v>
      </c>
      <c r="E104">
        <v>92.081986991679301</v>
      </c>
      <c r="F104">
        <v>1.6555349123840399</v>
      </c>
      <c r="G104">
        <v>-1531.4145398688659</v>
      </c>
      <c r="H104">
        <v>-1268.8538209385347</v>
      </c>
      <c r="I104">
        <v>256.62561621610502</v>
      </c>
      <c r="J104">
        <v>137.519903458996</v>
      </c>
      <c r="K104">
        <v>55.620685678610599</v>
      </c>
      <c r="L104">
        <v>7.1484557769528915E-4</v>
      </c>
      <c r="M104">
        <v>1.7288077833623402E-4</v>
      </c>
      <c r="N104" s="1">
        <v>8.8794214329574105E-6</v>
      </c>
      <c r="O104" s="1">
        <v>1.33851460055086E-5</v>
      </c>
      <c r="P104" s="1">
        <v>-3.00203695026225E-5</v>
      </c>
    </row>
    <row r="105" spans="1:16" x14ac:dyDescent="0.2">
      <c r="A105">
        <v>104</v>
      </c>
      <c r="B105">
        <v>748</v>
      </c>
      <c r="C105">
        <v>180</v>
      </c>
      <c r="D105">
        <v>0.39821818537923098</v>
      </c>
      <c r="E105">
        <v>95.207089838161806</v>
      </c>
      <c r="F105">
        <v>1.6687862548377299</v>
      </c>
      <c r="G105">
        <v>-1581.6338058037798</v>
      </c>
      <c r="H105">
        <v>-1312.3574173943689</v>
      </c>
      <c r="I105">
        <v>263.704895521884</v>
      </c>
      <c r="J105">
        <v>141.72066325554499</v>
      </c>
      <c r="K105">
        <v>57.0516982400598</v>
      </c>
      <c r="L105">
        <v>7.0710299712563307E-4</v>
      </c>
      <c r="M105">
        <v>1.6998297367964643E-4</v>
      </c>
      <c r="N105" s="1">
        <v>9.6442519460809205E-6</v>
      </c>
      <c r="O105" s="1">
        <v>1.3508983333997601E-5</v>
      </c>
      <c r="P105" s="1">
        <v>-3.0540087798146502E-5</v>
      </c>
    </row>
    <row r="106" spans="1:16" x14ac:dyDescent="0.2">
      <c r="A106">
        <v>105</v>
      </c>
      <c r="B106">
        <v>746</v>
      </c>
      <c r="C106">
        <v>180</v>
      </c>
      <c r="D106">
        <v>0.396899867536674</v>
      </c>
      <c r="E106">
        <v>97.2296556362773</v>
      </c>
      <c r="F106">
        <v>1.6779123818455299</v>
      </c>
      <c r="G106">
        <v>-1613.9248901031249</v>
      </c>
      <c r="H106">
        <v>-1340.6237484892304</v>
      </c>
      <c r="I106">
        <v>268.17157656844</v>
      </c>
      <c r="J106">
        <v>144.47501956547799</v>
      </c>
      <c r="K106">
        <v>57.946801447006798</v>
      </c>
      <c r="L106">
        <v>7.0250084568856095E-4</v>
      </c>
      <c r="M106">
        <v>1.6787302490261355E-4</v>
      </c>
      <c r="N106" s="1">
        <v>1.0385271251814001E-5</v>
      </c>
      <c r="O106" s="1">
        <v>1.3560554004912399E-5</v>
      </c>
      <c r="P106" s="1">
        <v>-3.0902401910463498E-5</v>
      </c>
    </row>
    <row r="107" spans="1:16" x14ac:dyDescent="0.2">
      <c r="A107">
        <v>106</v>
      </c>
      <c r="B107">
        <v>744</v>
      </c>
      <c r="C107">
        <v>180</v>
      </c>
      <c r="D107">
        <v>0.39557636533451601</v>
      </c>
      <c r="E107">
        <v>98.664820344857802</v>
      </c>
      <c r="F107">
        <v>1.6849486781063201</v>
      </c>
      <c r="G107">
        <v>-1636.6646022054413</v>
      </c>
      <c r="H107">
        <v>-1360.7720772783489</v>
      </c>
      <c r="I107">
        <v>271.24660516623601</v>
      </c>
      <c r="J107">
        <v>146.460722883687</v>
      </c>
      <c r="K107">
        <v>58.556573043960697</v>
      </c>
      <c r="L107">
        <v>6.9947904118855607E-4</v>
      </c>
      <c r="M107">
        <v>1.6616025820269208E-4</v>
      </c>
      <c r="N107" s="1">
        <v>1.11177605703444E-5</v>
      </c>
      <c r="O107" s="1">
        <v>1.35734203136309E-5</v>
      </c>
      <c r="P107" s="1">
        <v>-3.1180528998315099E-5</v>
      </c>
    </row>
    <row r="108" spans="1:16" x14ac:dyDescent="0.2">
      <c r="A108">
        <v>107</v>
      </c>
      <c r="B108">
        <v>742</v>
      </c>
      <c r="C108">
        <v>180</v>
      </c>
      <c r="D108">
        <v>0.39424764813081797</v>
      </c>
      <c r="E108">
        <v>99.749061410117307</v>
      </c>
      <c r="F108">
        <v>1.6907789404429401</v>
      </c>
      <c r="G108">
        <v>-1653.6984857533041</v>
      </c>
      <c r="H108">
        <v>-1376.0711799650028</v>
      </c>
      <c r="I108">
        <v>273.489922241155</v>
      </c>
      <c r="J108">
        <v>147.98882493649299</v>
      </c>
      <c r="K108">
        <v>58.995921361538301</v>
      </c>
      <c r="L108">
        <v>6.9736088721358022E-4</v>
      </c>
      <c r="M108">
        <v>1.6467524408821254E-4</v>
      </c>
      <c r="N108" s="1">
        <v>1.1848527382554999E-5</v>
      </c>
      <c r="O108" s="1">
        <v>1.35629201277336E-5</v>
      </c>
      <c r="P108" s="1">
        <v>-3.1407885494161298E-5</v>
      </c>
    </row>
    <row r="109" spans="1:16" x14ac:dyDescent="0.2">
      <c r="A109">
        <v>108</v>
      </c>
      <c r="B109">
        <v>740</v>
      </c>
      <c r="C109">
        <v>180</v>
      </c>
      <c r="D109">
        <v>0.39291368504170499</v>
      </c>
      <c r="E109">
        <v>100.604706493473</v>
      </c>
      <c r="F109">
        <v>1.6958436753811801</v>
      </c>
      <c r="G109">
        <v>-1667.0157774655222</v>
      </c>
      <c r="H109">
        <v>-1388.2118772724912</v>
      </c>
      <c r="I109">
        <v>275.19114837058498</v>
      </c>
      <c r="J109">
        <v>149.220304472707</v>
      </c>
      <c r="K109">
        <v>59.324280860298103</v>
      </c>
      <c r="L109">
        <v>6.9580907883780828E-4</v>
      </c>
      <c r="M109">
        <v>1.6333352553269342E-4</v>
      </c>
      <c r="N109" s="1">
        <v>1.25808812624245E-5</v>
      </c>
      <c r="O109" s="1">
        <v>1.3536982116451501E-5</v>
      </c>
      <c r="P109" s="1">
        <v>-3.1601693998293103E-5</v>
      </c>
    </row>
    <row r="110" spans="1:16" x14ac:dyDescent="0.2">
      <c r="A110">
        <v>109</v>
      </c>
      <c r="B110">
        <v>772</v>
      </c>
      <c r="C110">
        <v>160</v>
      </c>
      <c r="D110">
        <v>0.43469406305315</v>
      </c>
      <c r="E110">
        <v>6.1252054628292401</v>
      </c>
      <c r="F110">
        <v>0.37735824299307802</v>
      </c>
      <c r="G110">
        <v>-135.04848773647277</v>
      </c>
      <c r="H110">
        <v>-76.839300423369394</v>
      </c>
      <c r="I110">
        <v>55.697930949433001</v>
      </c>
      <c r="J110">
        <v>24.126489886244901</v>
      </c>
      <c r="K110">
        <v>16.231805125670899</v>
      </c>
      <c r="L110">
        <v>1.7123299107978333E-3</v>
      </c>
      <c r="M110">
        <v>5.1229886688659951E-4</v>
      </c>
      <c r="N110" s="1">
        <v>-5.1655171242519904E-6</v>
      </c>
      <c r="O110" s="1">
        <v>1.29984794111924E-5</v>
      </c>
      <c r="P110" s="1">
        <v>-2.22220139196376E-5</v>
      </c>
    </row>
    <row r="111" spans="1:16" x14ac:dyDescent="0.2">
      <c r="A111">
        <v>110</v>
      </c>
      <c r="B111">
        <v>770</v>
      </c>
      <c r="C111">
        <v>160</v>
      </c>
      <c r="D111">
        <v>0.43347601016152998</v>
      </c>
      <c r="E111">
        <v>6.5009898645200899</v>
      </c>
      <c r="F111">
        <v>0.39695775820040502</v>
      </c>
      <c r="G111">
        <v>-141.19745511254703</v>
      </c>
      <c r="H111">
        <v>-82.13984862589534</v>
      </c>
      <c r="I111">
        <v>56.618056543909198</v>
      </c>
      <c r="J111">
        <v>24.698767651850702</v>
      </c>
      <c r="K111">
        <v>16.377031888712999</v>
      </c>
      <c r="L111">
        <v>1.7047801031403586E-3</v>
      </c>
      <c r="M111">
        <v>5.0706576521488821E-4</v>
      </c>
      <c r="N111" s="1">
        <v>-4.8500719664243496E-6</v>
      </c>
      <c r="O111" s="1">
        <v>1.29988607621016E-5</v>
      </c>
      <c r="P111" s="1">
        <v>-2.2398520476728598E-5</v>
      </c>
    </row>
    <row r="112" spans="1:16" x14ac:dyDescent="0.2">
      <c r="A112">
        <v>111</v>
      </c>
      <c r="B112">
        <v>768</v>
      </c>
      <c r="C112">
        <v>160</v>
      </c>
      <c r="D112">
        <v>0.43225327762570398</v>
      </c>
      <c r="E112">
        <v>7.2330049311311901</v>
      </c>
      <c r="F112">
        <v>0.43283177476498302</v>
      </c>
      <c r="G112">
        <v>-153.26964765518923</v>
      </c>
      <c r="H112">
        <v>-92.420283979548344</v>
      </c>
      <c r="I112">
        <v>58.447783505793097</v>
      </c>
      <c r="J112">
        <v>25.7672593559566</v>
      </c>
      <c r="K112">
        <v>16.710891743237902</v>
      </c>
      <c r="L112">
        <v>1.6845523432823032E-3</v>
      </c>
      <c r="M112">
        <v>4.9805915843818415E-4</v>
      </c>
      <c r="N112" s="1">
        <v>-4.5423083698818696E-6</v>
      </c>
      <c r="O112" s="1">
        <v>1.30460339115246E-5</v>
      </c>
      <c r="P112" s="1">
        <v>-2.2658725024905901E-5</v>
      </c>
    </row>
    <row r="113" spans="1:16" x14ac:dyDescent="0.2">
      <c r="A113">
        <v>112</v>
      </c>
      <c r="B113">
        <v>766</v>
      </c>
      <c r="C113">
        <v>160</v>
      </c>
      <c r="D113">
        <v>0.43102583842564002</v>
      </c>
      <c r="E113">
        <v>9.1329874050737203</v>
      </c>
      <c r="F113">
        <v>0.51793576615623704</v>
      </c>
      <c r="G113">
        <v>-184.72892853819494</v>
      </c>
      <c r="H113">
        <v>-119.18904088200908</v>
      </c>
      <c r="I113">
        <v>63.074141968407702</v>
      </c>
      <c r="J113">
        <v>28.3869984427748</v>
      </c>
      <c r="K113">
        <v>17.6334364256256</v>
      </c>
      <c r="L113">
        <v>1.6251085245513684E-3</v>
      </c>
      <c r="M113">
        <v>4.7754492169209167E-4</v>
      </c>
      <c r="N113" s="1">
        <v>-4.2649990608939596E-6</v>
      </c>
      <c r="O113" s="1">
        <v>1.32162765014911E-5</v>
      </c>
      <c r="P113" s="1">
        <v>-2.3138144566120001E-5</v>
      </c>
    </row>
    <row r="114" spans="1:16" x14ac:dyDescent="0.2">
      <c r="A114">
        <v>113</v>
      </c>
      <c r="B114">
        <v>764</v>
      </c>
      <c r="C114">
        <v>160</v>
      </c>
      <c r="D114">
        <v>0.42979366533288699</v>
      </c>
      <c r="E114">
        <v>12.592371127991701</v>
      </c>
      <c r="F114">
        <v>0.65109537089409397</v>
      </c>
      <c r="G114">
        <v>-242.02902439337421</v>
      </c>
      <c r="H114">
        <v>-167.95137685776501</v>
      </c>
      <c r="I114">
        <v>71.427817042205305</v>
      </c>
      <c r="J114">
        <v>33.079106810113402</v>
      </c>
      <c r="K114">
        <v>19.3402866782784</v>
      </c>
      <c r="L114">
        <v>1.5267677127483521E-3</v>
      </c>
      <c r="M114">
        <v>4.4582076048629919E-4</v>
      </c>
      <c r="N114" s="1">
        <v>-4.0220565945411201E-6</v>
      </c>
      <c r="O114" s="1">
        <v>1.3548790259649501E-5</v>
      </c>
      <c r="P114" s="1">
        <v>-2.3911216862474601E-5</v>
      </c>
    </row>
    <row r="115" spans="1:16" x14ac:dyDescent="0.2">
      <c r="A115">
        <v>114</v>
      </c>
      <c r="B115">
        <v>762</v>
      </c>
      <c r="C115">
        <v>160</v>
      </c>
      <c r="D115">
        <v>0.428556730908567</v>
      </c>
      <c r="E115">
        <v>16.1815835084535</v>
      </c>
      <c r="F115">
        <v>0.76658989345269102</v>
      </c>
      <c r="G115">
        <v>-301.39025004709879</v>
      </c>
      <c r="H115">
        <v>-218.50334380204171</v>
      </c>
      <c r="I115">
        <v>80.076055026739098</v>
      </c>
      <c r="J115">
        <v>37.946846477149002</v>
      </c>
      <c r="K115">
        <v>21.108527058153999</v>
      </c>
      <c r="L115">
        <v>1.4414570194813392E-3</v>
      </c>
      <c r="M115">
        <v>4.1824614862488247E-4</v>
      </c>
      <c r="N115" s="1">
        <v>-3.7525607326319702E-6</v>
      </c>
      <c r="O115" s="1">
        <v>1.3889507974704599E-5</v>
      </c>
      <c r="P115" s="1">
        <v>-2.4710951298128601E-5</v>
      </c>
    </row>
    <row r="116" spans="1:16" x14ac:dyDescent="0.2">
      <c r="A116">
        <v>115</v>
      </c>
      <c r="B116">
        <v>760</v>
      </c>
      <c r="C116">
        <v>160</v>
      </c>
      <c r="D116">
        <v>0.427315007501331</v>
      </c>
      <c r="E116">
        <v>44.5934511136292</v>
      </c>
      <c r="F116">
        <v>1.27063164320949</v>
      </c>
      <c r="G116">
        <v>-763.53719638403868</v>
      </c>
      <c r="H116">
        <v>-611.36060885875406</v>
      </c>
      <c r="I116">
        <v>147.29823038525501</v>
      </c>
      <c r="J116">
        <v>75.247775669583604</v>
      </c>
      <c r="K116">
        <v>35.095498645847002</v>
      </c>
      <c r="L116">
        <v>1.0441827936483166E-3</v>
      </c>
      <c r="M116">
        <v>3.0014315605198416E-4</v>
      </c>
      <c r="N116" s="1">
        <v>-4.1014736235016698E-6</v>
      </c>
      <c r="O116" s="1">
        <v>1.6570950769706399E-5</v>
      </c>
      <c r="P116" s="1">
        <v>-2.9721078101941E-5</v>
      </c>
    </row>
    <row r="117" spans="1:16" x14ac:dyDescent="0.2">
      <c r="A117">
        <v>116</v>
      </c>
      <c r="B117">
        <v>758</v>
      </c>
      <c r="C117">
        <v>160</v>
      </c>
      <c r="D117">
        <v>0.426068467245311</v>
      </c>
      <c r="E117">
        <v>79.297975648957703</v>
      </c>
      <c r="F117">
        <v>1.5225707833739801</v>
      </c>
      <c r="G117">
        <v>-1327.2786509168111</v>
      </c>
      <c r="H117">
        <v>-1091.2200859946468</v>
      </c>
      <c r="I117">
        <v>228.932791870865</v>
      </c>
      <c r="J117">
        <v>120.69308432756699</v>
      </c>
      <c r="K117">
        <v>52.081634899912501</v>
      </c>
      <c r="L117">
        <v>8.4637216926821909E-4</v>
      </c>
      <c r="M117">
        <v>2.4112927319682481E-4</v>
      </c>
      <c r="N117" s="1">
        <v>-4.4066377812622397E-6</v>
      </c>
      <c r="O117" s="1">
        <v>1.97587851383295E-5</v>
      </c>
      <c r="P117" s="1">
        <v>-3.5728324207223501E-5</v>
      </c>
    </row>
    <row r="118" spans="1:16" x14ac:dyDescent="0.2">
      <c r="A118">
        <v>117</v>
      </c>
      <c r="B118">
        <v>756</v>
      </c>
      <c r="C118">
        <v>160</v>
      </c>
      <c r="D118">
        <v>0.424817082058009</v>
      </c>
      <c r="E118">
        <v>88.544389695458193</v>
      </c>
      <c r="F118">
        <v>1.56643388704955</v>
      </c>
      <c r="G118">
        <v>-1477.0254464461188</v>
      </c>
      <c r="H118">
        <v>-1219.3100634715147</v>
      </c>
      <c r="I118">
        <v>250.42132357027501</v>
      </c>
      <c r="J118">
        <v>132.85850886374399</v>
      </c>
      <c r="K118">
        <v>56.526094351951897</v>
      </c>
      <c r="L118">
        <v>8.1466640022836827E-4</v>
      </c>
      <c r="M118">
        <v>2.3058544018241943E-4</v>
      </c>
      <c r="N118" s="1">
        <v>-3.9802274827824602E-6</v>
      </c>
      <c r="O118" s="1">
        <v>2.0530328083731899E-5</v>
      </c>
      <c r="P118" s="1">
        <v>-3.7428983385944698E-5</v>
      </c>
    </row>
    <row r="119" spans="1:16" x14ac:dyDescent="0.2">
      <c r="A119">
        <v>118</v>
      </c>
      <c r="B119">
        <v>754</v>
      </c>
      <c r="C119">
        <v>160</v>
      </c>
      <c r="D119">
        <v>0.42356082363822201</v>
      </c>
      <c r="E119">
        <v>92.946153338629799</v>
      </c>
      <c r="F119">
        <v>1.5864545199178</v>
      </c>
      <c r="G119">
        <v>-1547.9975697882655</v>
      </c>
      <c r="H119">
        <v>-1280.4516818801148</v>
      </c>
      <c r="I119">
        <v>260.47969929590801</v>
      </c>
      <c r="J119">
        <v>138.70076296583801</v>
      </c>
      <c r="K119">
        <v>58.587341881975703</v>
      </c>
      <c r="L119">
        <v>8.0198122477444722E-4</v>
      </c>
      <c r="M119">
        <v>2.2559037601102956E-4</v>
      </c>
      <c r="N119" s="1">
        <v>-3.4018738154623902E-6</v>
      </c>
      <c r="O119" s="1">
        <v>2.0844540371077798E-5</v>
      </c>
      <c r="P119" s="1">
        <v>-3.8316359318639103E-5</v>
      </c>
    </row>
    <row r="120" spans="1:16" x14ac:dyDescent="0.2">
      <c r="A120">
        <v>119</v>
      </c>
      <c r="B120">
        <v>752</v>
      </c>
      <c r="C120">
        <v>160</v>
      </c>
      <c r="D120">
        <v>0.42229966346388498</v>
      </c>
      <c r="E120">
        <v>95.586834950337504</v>
      </c>
      <c r="F120">
        <v>1.59890267818583</v>
      </c>
      <c r="G120">
        <v>-1590.3350455344921</v>
      </c>
      <c r="H120">
        <v>-1317.2566784191929</v>
      </c>
      <c r="I120">
        <v>266.38469477525803</v>
      </c>
      <c r="J120">
        <v>142.247603083603</v>
      </c>
      <c r="K120">
        <v>59.782772431648702</v>
      </c>
      <c r="L120">
        <v>7.9532570076755991E-4</v>
      </c>
      <c r="M120">
        <v>2.2235406729099162E-4</v>
      </c>
      <c r="N120" s="1">
        <v>-2.7572192144015898E-6</v>
      </c>
      <c r="O120" s="1">
        <v>2.09924234712514E-5</v>
      </c>
      <c r="P120" s="1">
        <v>-3.8909323993242997E-5</v>
      </c>
    </row>
    <row r="121" spans="1:16" x14ac:dyDescent="0.2">
      <c r="A121">
        <v>120</v>
      </c>
      <c r="B121">
        <v>750</v>
      </c>
      <c r="C121">
        <v>160</v>
      </c>
      <c r="D121">
        <v>0.42103357278991599</v>
      </c>
      <c r="E121">
        <v>97.448053191474997</v>
      </c>
      <c r="F121">
        <v>1.6082230456112501</v>
      </c>
      <c r="G121">
        <v>-1619.9994571252766</v>
      </c>
      <c r="H121">
        <v>-1343.2994789744039</v>
      </c>
      <c r="I121">
        <v>270.44512344761199</v>
      </c>
      <c r="J121">
        <v>144.779357295003</v>
      </c>
      <c r="K121">
        <v>60.593618190838001</v>
      </c>
      <c r="L121">
        <v>7.9116217878939159E-4</v>
      </c>
      <c r="M121">
        <v>2.1984581229669755E-4</v>
      </c>
      <c r="N121" s="1">
        <v>-2.0722240566153701E-6</v>
      </c>
      <c r="O121" s="1">
        <v>2.1065302124718698E-5</v>
      </c>
      <c r="P121" s="1">
        <v>-3.9371062146715501E-5</v>
      </c>
    </row>
    <row r="122" spans="1:16" x14ac:dyDescent="0.2">
      <c r="A122">
        <v>121</v>
      </c>
      <c r="B122">
        <v>748</v>
      </c>
      <c r="C122">
        <v>160</v>
      </c>
      <c r="D122">
        <v>0.41976252264603803</v>
      </c>
      <c r="E122">
        <v>98.780279503420601</v>
      </c>
      <c r="F122">
        <v>1.6155013787071699</v>
      </c>
      <c r="G122">
        <v>-1641.062013926562</v>
      </c>
      <c r="H122">
        <v>-1362.0275264465104</v>
      </c>
      <c r="I122">
        <v>273.26100090148202</v>
      </c>
      <c r="J122">
        <v>146.624967994234</v>
      </c>
      <c r="K122">
        <v>61.145277129055003</v>
      </c>
      <c r="L122">
        <v>7.8860920678482029E-4</v>
      </c>
      <c r="M122">
        <v>2.1780604764460928E-4</v>
      </c>
      <c r="N122" s="1">
        <v>-1.3558754609631501E-6</v>
      </c>
      <c r="O122" s="1">
        <v>2.1088268975051699E-5</v>
      </c>
      <c r="P122" s="1">
        <v>-3.9745471330452898E-5</v>
      </c>
    </row>
    <row r="123" spans="1:16" x14ac:dyDescent="0.2">
      <c r="A123">
        <v>122</v>
      </c>
      <c r="B123">
        <v>746</v>
      </c>
      <c r="C123">
        <v>160</v>
      </c>
      <c r="D123">
        <v>0.41848648383456999</v>
      </c>
      <c r="E123">
        <v>99.802689712312798</v>
      </c>
      <c r="F123">
        <v>1.6216245111104499</v>
      </c>
      <c r="G123">
        <v>-1657.0872248510318</v>
      </c>
      <c r="H123">
        <v>-1376.4738406968177</v>
      </c>
      <c r="I123">
        <v>275.34650787675503</v>
      </c>
      <c r="J123">
        <v>148.070025543274</v>
      </c>
      <c r="K123">
        <v>61.544882325421803</v>
      </c>
      <c r="L123">
        <v>7.8696175679453619E-4</v>
      </c>
      <c r="M123">
        <v>2.1602967583836649E-4</v>
      </c>
      <c r="N123" s="1">
        <v>-6.1380396132299296E-7</v>
      </c>
      <c r="O123" s="1">
        <v>2.1081439248974901E-5</v>
      </c>
      <c r="P123" s="1">
        <v>-4.0068493471910602E-5</v>
      </c>
    </row>
    <row r="124" spans="1:16" x14ac:dyDescent="0.2">
      <c r="A124">
        <v>123</v>
      </c>
      <c r="B124">
        <v>744</v>
      </c>
      <c r="C124">
        <v>160</v>
      </c>
      <c r="D124">
        <v>0.41720542692818402</v>
      </c>
      <c r="E124">
        <v>100.61866161700399</v>
      </c>
      <c r="F124">
        <v>1.6269969141627401</v>
      </c>
      <c r="G124">
        <v>-1669.7561750002506</v>
      </c>
      <c r="H124">
        <v>-1388.0675395530668</v>
      </c>
      <c r="I124">
        <v>276.94505754246899</v>
      </c>
      <c r="J124">
        <v>149.249487020527</v>
      </c>
      <c r="K124">
        <v>61.843179136441798</v>
      </c>
      <c r="L124">
        <v>7.8589676209033454E-4</v>
      </c>
      <c r="M124">
        <v>2.1442249499012493E-4</v>
      </c>
      <c r="N124" s="1">
        <v>1.51075791514316E-7</v>
      </c>
      <c r="O124" s="1">
        <v>2.10544387394802E-5</v>
      </c>
      <c r="P124" s="1">
        <v>-4.0357200597568002E-5</v>
      </c>
    </row>
    <row r="125" spans="1:16" x14ac:dyDescent="0.2">
      <c r="A125">
        <v>124</v>
      </c>
      <c r="B125">
        <v>782</v>
      </c>
      <c r="C125">
        <v>140</v>
      </c>
      <c r="D125">
        <v>0.46156518030611998</v>
      </c>
      <c r="E125">
        <v>6.4736141239582299</v>
      </c>
      <c r="F125">
        <v>0.33063959163802797</v>
      </c>
      <c r="G125">
        <v>-143.68917704078333</v>
      </c>
      <c r="H125">
        <v>-80.654357080990195</v>
      </c>
      <c r="I125">
        <v>59.743661620926197</v>
      </c>
      <c r="J125">
        <v>24.985802823322899</v>
      </c>
      <c r="K125">
        <v>19.579065204766099</v>
      </c>
      <c r="L125">
        <v>1.7609878585723542E-3</v>
      </c>
      <c r="M125">
        <v>6.4098309329064379E-4</v>
      </c>
      <c r="N125" s="1">
        <v>-1.8211875247744499E-5</v>
      </c>
      <c r="O125" s="1">
        <v>2.2020975506162E-5</v>
      </c>
      <c r="P125" s="1">
        <v>-2.8857104094492E-5</v>
      </c>
    </row>
    <row r="126" spans="1:16" x14ac:dyDescent="0.2">
      <c r="A126">
        <v>125</v>
      </c>
      <c r="B126">
        <v>780</v>
      </c>
      <c r="C126">
        <v>140</v>
      </c>
      <c r="D126">
        <v>0.46040972321132001</v>
      </c>
      <c r="E126">
        <v>6.6024817700876302</v>
      </c>
      <c r="F126">
        <v>0.33721281068367698</v>
      </c>
      <c r="G126">
        <v>-145.71581437928725</v>
      </c>
      <c r="H126">
        <v>-82.505930515635086</v>
      </c>
      <c r="I126">
        <v>60.023351571441999</v>
      </c>
      <c r="J126">
        <v>25.218231271675499</v>
      </c>
      <c r="K126">
        <v>19.5795698173551</v>
      </c>
      <c r="L126">
        <v>1.7648843867920287E-3</v>
      </c>
      <c r="M126">
        <v>6.3874737505621227E-4</v>
      </c>
      <c r="N126" s="1">
        <v>-1.8019057333818701E-5</v>
      </c>
      <c r="O126" s="1">
        <v>2.1980635989405101E-5</v>
      </c>
      <c r="P126" s="1">
        <v>-2.9023672394398599E-5</v>
      </c>
    </row>
    <row r="127" spans="1:16" x14ac:dyDescent="0.2">
      <c r="A127">
        <v>126</v>
      </c>
      <c r="B127">
        <v>778</v>
      </c>
      <c r="C127">
        <v>140</v>
      </c>
      <c r="D127">
        <v>0.45924986919088701</v>
      </c>
      <c r="E127">
        <v>7.3052387899570297</v>
      </c>
      <c r="F127">
        <v>0.36727330161495902</v>
      </c>
      <c r="G127">
        <v>-157.2967088350949</v>
      </c>
      <c r="H127">
        <v>-92.379722982569589</v>
      </c>
      <c r="I127">
        <v>61.761611707193197</v>
      </c>
      <c r="J127">
        <v>26.237563024897501</v>
      </c>
      <c r="K127">
        <v>19.890470551043901</v>
      </c>
      <c r="L127">
        <v>1.7504860724136002E-3</v>
      </c>
      <c r="M127">
        <v>6.298183437421557E-4</v>
      </c>
      <c r="N127" s="1">
        <v>-1.7910981394924798E-5</v>
      </c>
      <c r="O127" s="1">
        <v>2.2053179805754301E-5</v>
      </c>
      <c r="P127" s="1">
        <v>-2.93430202341423E-5</v>
      </c>
    </row>
    <row r="128" spans="1:16" x14ac:dyDescent="0.2">
      <c r="A128">
        <v>127</v>
      </c>
      <c r="B128">
        <v>776</v>
      </c>
      <c r="C128">
        <v>140</v>
      </c>
      <c r="D128">
        <v>0.45808559309917701</v>
      </c>
      <c r="E128">
        <v>8.0094780542339805</v>
      </c>
      <c r="F128">
        <v>0.39648234366893498</v>
      </c>
      <c r="G128">
        <v>-168.89188243667124</v>
      </c>
      <c r="H128">
        <v>-102.27449577521544</v>
      </c>
      <c r="I128">
        <v>63.5001119456238</v>
      </c>
      <c r="J128">
        <v>27.260591587006001</v>
      </c>
      <c r="K128">
        <v>20.201348640437601</v>
      </c>
      <c r="L128">
        <v>1.7365551019821572E-3</v>
      </c>
      <c r="M128">
        <v>6.2112206565715137E-4</v>
      </c>
      <c r="N128" s="1">
        <v>-1.7789786934542302E-5</v>
      </c>
      <c r="O128" s="1">
        <v>2.21246769659937E-5</v>
      </c>
      <c r="P128" s="1">
        <v>-2.96659305449777E-5</v>
      </c>
    </row>
    <row r="129" spans="1:16" x14ac:dyDescent="0.2">
      <c r="A129">
        <v>128</v>
      </c>
      <c r="B129">
        <v>774</v>
      </c>
      <c r="C129">
        <v>140</v>
      </c>
      <c r="D129">
        <v>0.45691686959843703</v>
      </c>
      <c r="E129">
        <v>8.7145837127571699</v>
      </c>
      <c r="F129">
        <v>0.42485625288780399</v>
      </c>
      <c r="G129">
        <v>-180.49092593199555</v>
      </c>
      <c r="H129">
        <v>-112.18161223433566</v>
      </c>
      <c r="I129">
        <v>65.237160859548496</v>
      </c>
      <c r="J129">
        <v>28.286497510567202</v>
      </c>
      <c r="K129">
        <v>20.511840542590502</v>
      </c>
      <c r="L129">
        <v>1.723087156873997E-3</v>
      </c>
      <c r="M129">
        <v>6.1265408171581371E-4</v>
      </c>
      <c r="N129" s="1">
        <v>-1.7654861588855E-5</v>
      </c>
      <c r="O129" s="1">
        <v>2.2194951876713801E-5</v>
      </c>
      <c r="P129" s="1">
        <v>-2.9992231563037402E-5</v>
      </c>
    </row>
    <row r="130" spans="1:16" x14ac:dyDescent="0.2">
      <c r="A130">
        <v>129</v>
      </c>
      <c r="B130">
        <v>772</v>
      </c>
      <c r="C130">
        <v>140</v>
      </c>
      <c r="D130">
        <v>0.45574367315696301</v>
      </c>
      <c r="E130">
        <v>10.7552348068781</v>
      </c>
      <c r="F130">
        <v>0.50007248589695596</v>
      </c>
      <c r="G130">
        <v>-214.26045035725335</v>
      </c>
      <c r="H130">
        <v>-140.93977759719419</v>
      </c>
      <c r="I130">
        <v>70.156926433637196</v>
      </c>
      <c r="J130">
        <v>31.069051345682499</v>
      </c>
      <c r="K130">
        <v>21.507351654404701</v>
      </c>
      <c r="L130">
        <v>1.6715750323220201E-3</v>
      </c>
      <c r="M130">
        <v>5.9072702732108429E-4</v>
      </c>
      <c r="N130" s="1">
        <v>-1.7676271846995701E-5</v>
      </c>
      <c r="O130" s="1">
        <v>2.2475206632337299E-5</v>
      </c>
      <c r="P130" s="1">
        <v>-3.0609605215721097E-5</v>
      </c>
    </row>
    <row r="131" spans="1:16" x14ac:dyDescent="0.2">
      <c r="A131">
        <v>130</v>
      </c>
      <c r="B131">
        <v>770</v>
      </c>
      <c r="C131">
        <v>140</v>
      </c>
      <c r="D131">
        <v>0.45456597804726301</v>
      </c>
      <c r="E131">
        <v>14.1734876596222</v>
      </c>
      <c r="F131">
        <v>0.61074100607466597</v>
      </c>
      <c r="G131">
        <v>-270.84743738310175</v>
      </c>
      <c r="H131">
        <v>-189.11941377485792</v>
      </c>
      <c r="I131">
        <v>78.351108757563907</v>
      </c>
      <c r="J131">
        <v>35.664840665181501</v>
      </c>
      <c r="K131">
        <v>23.207034600014101</v>
      </c>
      <c r="L131">
        <v>1.5905971752175367E-3</v>
      </c>
      <c r="M131">
        <v>5.5860901208855309E-4</v>
      </c>
      <c r="N131" s="1">
        <v>-1.78507873154409E-5</v>
      </c>
      <c r="O131" s="1">
        <v>2.29686231723195E-5</v>
      </c>
      <c r="P131" s="1">
        <v>-3.1529311741723103E-5</v>
      </c>
    </row>
    <row r="132" spans="1:16" x14ac:dyDescent="0.2">
      <c r="A132">
        <v>131</v>
      </c>
      <c r="B132">
        <v>768</v>
      </c>
      <c r="C132">
        <v>140</v>
      </c>
      <c r="D132">
        <v>0.45338375834414102</v>
      </c>
      <c r="E132">
        <v>17.7355077039667</v>
      </c>
      <c r="F132">
        <v>0.71011595410580997</v>
      </c>
      <c r="G132">
        <v>-329.72297938524167</v>
      </c>
      <c r="H132">
        <v>-239.2817008490151</v>
      </c>
      <c r="I132">
        <v>86.870589188377295</v>
      </c>
      <c r="J132">
        <v>40.451959000730596</v>
      </c>
      <c r="K132">
        <v>24.9755094240906</v>
      </c>
      <c r="L132">
        <v>1.5178318331552157E-3</v>
      </c>
      <c r="M132">
        <v>5.2971525747290632E-4</v>
      </c>
      <c r="N132" s="1">
        <v>-1.80154076067619E-5</v>
      </c>
      <c r="O132" s="1">
        <v>2.34772290771882E-5</v>
      </c>
      <c r="P132" s="1">
        <v>-3.24846560844066E-5</v>
      </c>
    </row>
    <row r="133" spans="1:16" x14ac:dyDescent="0.2">
      <c r="A133">
        <v>132</v>
      </c>
      <c r="B133">
        <v>766</v>
      </c>
      <c r="C133">
        <v>140</v>
      </c>
      <c r="D133">
        <v>0.45219698792282498</v>
      </c>
      <c r="E133">
        <v>40.3505830266676</v>
      </c>
      <c r="F133">
        <v>1.11255116497382</v>
      </c>
      <c r="G133">
        <v>-697.66685797686148</v>
      </c>
      <c r="H133">
        <v>-552.03819756693611</v>
      </c>
      <c r="I133">
        <v>140.14652238838801</v>
      </c>
      <c r="J133">
        <v>69.907847938820296</v>
      </c>
      <c r="K133">
        <v>36.2685189652532</v>
      </c>
      <c r="L133">
        <v>1.1961431149546916E-3</v>
      </c>
      <c r="M133">
        <v>4.1396134327301669E-4</v>
      </c>
      <c r="N133" s="1">
        <v>-2.0234521708072501E-5</v>
      </c>
      <c r="O133" s="1">
        <v>2.66668046223816E-5</v>
      </c>
      <c r="P133" s="1">
        <v>-3.7194396629245801E-5</v>
      </c>
    </row>
    <row r="134" spans="1:16" x14ac:dyDescent="0.2">
      <c r="A134">
        <v>133</v>
      </c>
      <c r="B134">
        <v>764</v>
      </c>
      <c r="C134">
        <v>140</v>
      </c>
      <c r="D134">
        <v>0.45100564045702202</v>
      </c>
      <c r="E134">
        <v>76.168232657005305</v>
      </c>
      <c r="F134">
        <v>1.40879687776993</v>
      </c>
      <c r="G134">
        <v>-1279.5762469159886</v>
      </c>
      <c r="H134">
        <v>-1047.2320929141988</v>
      </c>
      <c r="I134">
        <v>224.02701642645599</v>
      </c>
      <c r="J134">
        <v>116.383907780692</v>
      </c>
      <c r="K134">
        <v>54.066156632584502</v>
      </c>
      <c r="L134">
        <v>9.5844226798471276E-4</v>
      </c>
      <c r="M134">
        <v>3.2877967818555287E-4</v>
      </c>
      <c r="N134" s="1">
        <v>-2.3694924533264301E-5</v>
      </c>
      <c r="O134" s="1">
        <v>3.1596736570244298E-5</v>
      </c>
      <c r="P134" s="1">
        <v>-4.4427301698808697E-5</v>
      </c>
    </row>
    <row r="135" spans="1:16" x14ac:dyDescent="0.2">
      <c r="A135">
        <v>134</v>
      </c>
      <c r="B135">
        <v>762</v>
      </c>
      <c r="C135">
        <v>140</v>
      </c>
      <c r="D135">
        <v>0.44980968941699401</v>
      </c>
      <c r="E135">
        <v>86.940617700458006</v>
      </c>
      <c r="F135">
        <v>1.4655383666886701</v>
      </c>
      <c r="G135">
        <v>-1454.142897861431</v>
      </c>
      <c r="H135">
        <v>-1196.4065308018569</v>
      </c>
      <c r="I135">
        <v>248.99008992467299</v>
      </c>
      <c r="J135">
        <v>130.41845787013401</v>
      </c>
      <c r="K135">
        <v>59.3233310547147</v>
      </c>
      <c r="L135">
        <v>9.1648932401028533E-4</v>
      </c>
      <c r="M135">
        <v>3.123129637652805E-4</v>
      </c>
      <c r="N135" s="1">
        <v>-2.43596546771003E-5</v>
      </c>
      <c r="O135" s="1">
        <v>3.29825141013779E-5</v>
      </c>
      <c r="P135" s="1">
        <v>-4.6754442981973701E-5</v>
      </c>
    </row>
    <row r="136" spans="1:16" x14ac:dyDescent="0.2">
      <c r="A136">
        <v>135</v>
      </c>
      <c r="B136">
        <v>760</v>
      </c>
      <c r="C136">
        <v>140</v>
      </c>
      <c r="D136">
        <v>0.44860910806756099</v>
      </c>
      <c r="E136">
        <v>91.901710807871197</v>
      </c>
      <c r="F136">
        <v>1.49002888437694</v>
      </c>
      <c r="G136">
        <v>-1534.2090509639609</v>
      </c>
      <c r="H136">
        <v>-1265.2757554710363</v>
      </c>
      <c r="I136">
        <v>260.309866273164</v>
      </c>
      <c r="J136">
        <v>136.937020847452</v>
      </c>
      <c r="K136">
        <v>61.677804887855899</v>
      </c>
      <c r="L136">
        <v>9.0088045812970622E-4</v>
      </c>
      <c r="M136">
        <v>3.0507994107110839E-4</v>
      </c>
      <c r="N136" s="1">
        <v>-2.4367782369198499E-5</v>
      </c>
      <c r="O136" s="1">
        <v>3.3552944634639099E-5</v>
      </c>
      <c r="P136" s="1">
        <v>-4.79544185830192E-5</v>
      </c>
    </row>
    <row r="137" spans="1:16" x14ac:dyDescent="0.2">
      <c r="A137">
        <v>136</v>
      </c>
      <c r="B137">
        <v>758</v>
      </c>
      <c r="C137">
        <v>140</v>
      </c>
      <c r="D137">
        <v>0.44740386946613198</v>
      </c>
      <c r="E137">
        <v>94.815573308108497</v>
      </c>
      <c r="F137">
        <v>1.50475870897064</v>
      </c>
      <c r="G137">
        <v>-1580.9859463002572</v>
      </c>
      <c r="H137">
        <v>-1305.8540859717791</v>
      </c>
      <c r="I137">
        <v>266.82613814078297</v>
      </c>
      <c r="J137">
        <v>140.81135267530999</v>
      </c>
      <c r="K137">
        <v>63.010483171065097</v>
      </c>
      <c r="L137">
        <v>8.9324133643717773E-4</v>
      </c>
      <c r="M137">
        <v>3.0063650436805303E-4</v>
      </c>
      <c r="N137" s="1">
        <v>-2.4131167877444601E-5</v>
      </c>
      <c r="O137" s="1">
        <v>3.38365968566389E-5</v>
      </c>
      <c r="P137" s="1">
        <v>-4.8760776828434303E-5</v>
      </c>
    </row>
    <row r="138" spans="1:16" x14ac:dyDescent="0.2">
      <c r="A138">
        <v>137</v>
      </c>
      <c r="B138">
        <v>756</v>
      </c>
      <c r="C138">
        <v>140</v>
      </c>
      <c r="D138">
        <v>0.44619394646067401</v>
      </c>
      <c r="E138">
        <v>96.765497207158802</v>
      </c>
      <c r="F138">
        <v>1.5152229113231299</v>
      </c>
      <c r="G138">
        <v>-1612.089131751331</v>
      </c>
      <c r="H138">
        <v>-1333.1120506637396</v>
      </c>
      <c r="I138">
        <v>271.08102725020598</v>
      </c>
      <c r="J138">
        <v>143.44273645223501</v>
      </c>
      <c r="K138">
        <v>63.8622188748854</v>
      </c>
      <c r="L138">
        <v>8.8908291372242012E-4</v>
      </c>
      <c r="M138">
        <v>2.974083077249925E-4</v>
      </c>
      <c r="N138" s="1">
        <v>-2.37675130092017E-5</v>
      </c>
      <c r="O138" s="1">
        <v>3.3984985161398103E-5</v>
      </c>
      <c r="P138" s="1">
        <v>-4.9383744189548098E-5</v>
      </c>
    </row>
    <row r="139" spans="1:16" x14ac:dyDescent="0.2">
      <c r="A139">
        <v>138</v>
      </c>
      <c r="B139">
        <v>754</v>
      </c>
      <c r="C139">
        <v>140</v>
      </c>
      <c r="D139">
        <v>0.44497931168767801</v>
      </c>
      <c r="E139">
        <v>98.222296358202797</v>
      </c>
      <c r="F139">
        <v>1.5236079094099599</v>
      </c>
      <c r="G139">
        <v>-1635.1741082260442</v>
      </c>
      <c r="H139">
        <v>-1353.5614042302204</v>
      </c>
      <c r="I139">
        <v>274.174849125631</v>
      </c>
      <c r="J139">
        <v>145.439289731461</v>
      </c>
      <c r="K139">
        <v>64.466911566664507</v>
      </c>
      <c r="L139">
        <v>8.8662516039678574E-4</v>
      </c>
      <c r="M139">
        <v>2.9477250413892278E-4</v>
      </c>
      <c r="N139" s="1">
        <v>-2.3326434547736099E-5</v>
      </c>
      <c r="O139" s="1">
        <v>3.4062849457468999E-5</v>
      </c>
      <c r="P139" s="1">
        <v>-4.9913490599673802E-5</v>
      </c>
    </row>
    <row r="140" spans="1:16" x14ac:dyDescent="0.2">
      <c r="A140">
        <v>139</v>
      </c>
      <c r="B140">
        <v>752</v>
      </c>
      <c r="C140">
        <v>140</v>
      </c>
      <c r="D140">
        <v>0.443759937570114</v>
      </c>
      <c r="E140">
        <v>99.326702532595405</v>
      </c>
      <c r="F140">
        <v>1.5305496726727901</v>
      </c>
      <c r="G140">
        <v>-1652.5291364512063</v>
      </c>
      <c r="H140">
        <v>-1369.1398445102216</v>
      </c>
      <c r="I140">
        <v>276.44277427328097</v>
      </c>
      <c r="J140">
        <v>146.9839904927</v>
      </c>
      <c r="K140">
        <v>64.896098640915795</v>
      </c>
      <c r="L140">
        <v>8.8534206830015883E-4</v>
      </c>
      <c r="M140">
        <v>2.9254253595054698E-4</v>
      </c>
      <c r="N140" s="1">
        <v>-2.2824314798393201E-5</v>
      </c>
      <c r="O140" s="1">
        <v>3.40910098157272E-5</v>
      </c>
      <c r="P140" s="1">
        <v>-5.0378350179177699E-5</v>
      </c>
    </row>
    <row r="141" spans="1:16" x14ac:dyDescent="0.2">
      <c r="A141">
        <v>140</v>
      </c>
      <c r="B141">
        <v>750</v>
      </c>
      <c r="C141">
        <v>140</v>
      </c>
      <c r="D141">
        <v>0.44253579631530099</v>
      </c>
      <c r="E141">
        <v>100.201569618628</v>
      </c>
      <c r="F141">
        <v>1.5365769196748</v>
      </c>
      <c r="G141">
        <v>-1666.152114930592</v>
      </c>
      <c r="H141">
        <v>-1381.546193829357</v>
      </c>
      <c r="I141">
        <v>278.17227150406097</v>
      </c>
      <c r="J141">
        <v>148.235618259772</v>
      </c>
      <c r="K141">
        <v>65.210903753412197</v>
      </c>
      <c r="L141">
        <v>8.8480183596628952E-4</v>
      </c>
      <c r="M141">
        <v>2.9056716235834491E-4</v>
      </c>
      <c r="N141" s="1">
        <v>-2.2273877725839501E-5</v>
      </c>
      <c r="O141" s="1">
        <v>3.4086379013413297E-5</v>
      </c>
      <c r="P141" s="1">
        <v>-5.0801804298900102E-5</v>
      </c>
    </row>
    <row r="142" spans="1:16" x14ac:dyDescent="0.2">
      <c r="A142">
        <v>141</v>
      </c>
      <c r="B142">
        <v>792</v>
      </c>
      <c r="C142">
        <v>120</v>
      </c>
      <c r="D142">
        <v>0.48793174670234402</v>
      </c>
      <c r="E142">
        <v>6.8503732843800202</v>
      </c>
      <c r="F142">
        <v>0.28122827198497002</v>
      </c>
      <c r="G142">
        <v>-153.13760998903999</v>
      </c>
      <c r="H142">
        <v>-84.696134257244836</v>
      </c>
      <c r="I142">
        <v>64.258926851663603</v>
      </c>
      <c r="J142">
        <v>25.5631500175915</v>
      </c>
      <c r="K142">
        <v>24.358764629276401</v>
      </c>
      <c r="L142">
        <v>1.7647498461571473E-3</v>
      </c>
      <c r="M142">
        <v>8.0830698742375686E-4</v>
      </c>
      <c r="N142" s="1">
        <v>-3.5442030306735397E-5</v>
      </c>
      <c r="O142" s="1">
        <v>3.90016359888221E-5</v>
      </c>
      <c r="P142" s="1">
        <v>-3.74745389125457E-5</v>
      </c>
    </row>
    <row r="143" spans="1:16" x14ac:dyDescent="0.2">
      <c r="A143">
        <v>142</v>
      </c>
      <c r="B143">
        <v>790</v>
      </c>
      <c r="C143">
        <v>120</v>
      </c>
      <c r="D143">
        <v>0.486836758688802</v>
      </c>
      <c r="E143">
        <v>7.3187297721098998</v>
      </c>
      <c r="F143">
        <v>0.29834737087847002</v>
      </c>
      <c r="G143">
        <v>-160.80855432625449</v>
      </c>
      <c r="H143">
        <v>-91.294232281538015</v>
      </c>
      <c r="I143">
        <v>65.388944243413704</v>
      </c>
      <c r="J143">
        <v>26.2521265942474</v>
      </c>
      <c r="K143">
        <v>24.530900844073901</v>
      </c>
      <c r="L143">
        <v>1.7616587737705289E-3</v>
      </c>
      <c r="M143">
        <v>8.0240481324879475E-4</v>
      </c>
      <c r="N143" s="1">
        <v>-3.5603498881876901E-5</v>
      </c>
      <c r="O143" s="1">
        <v>3.9051795152284798E-5</v>
      </c>
      <c r="P143" s="1">
        <v>-3.77787747673234E-5</v>
      </c>
    </row>
    <row r="144" spans="1:16" x14ac:dyDescent="0.2">
      <c r="A144">
        <v>143</v>
      </c>
      <c r="B144">
        <v>788</v>
      </c>
      <c r="C144">
        <v>120</v>
      </c>
      <c r="D144">
        <v>0.48573764312303003</v>
      </c>
      <c r="E144">
        <v>7.9951527226892001</v>
      </c>
      <c r="F144">
        <v>0.32215203137666798</v>
      </c>
      <c r="G144">
        <v>-171.93806241859642</v>
      </c>
      <c r="H144">
        <v>-100.80057348544838</v>
      </c>
      <c r="I144">
        <v>67.041834899853995</v>
      </c>
      <c r="J144">
        <v>27.222820879881102</v>
      </c>
      <c r="K144">
        <v>24.8179491171392</v>
      </c>
      <c r="L144">
        <v>1.7533863872965249E-3</v>
      </c>
      <c r="M144">
        <v>7.9413593377192487E-4</v>
      </c>
      <c r="N144" s="1">
        <v>-3.5816617075995401E-5</v>
      </c>
      <c r="O144" s="1">
        <v>3.9163592207745303E-5</v>
      </c>
      <c r="P144" s="1">
        <v>-3.8147847339918797E-5</v>
      </c>
    </row>
    <row r="145" spans="1:16" x14ac:dyDescent="0.2">
      <c r="A145">
        <v>144</v>
      </c>
      <c r="B145">
        <v>786</v>
      </c>
      <c r="C145">
        <v>120</v>
      </c>
      <c r="D145">
        <v>0.48463437662276798</v>
      </c>
      <c r="E145">
        <v>8.6720898029338898</v>
      </c>
      <c r="F145">
        <v>0.34544142984640802</v>
      </c>
      <c r="G145">
        <v>-183.06634966921939</v>
      </c>
      <c r="H145">
        <v>-110.31444193902702</v>
      </c>
      <c r="I145">
        <v>68.692708357145094</v>
      </c>
      <c r="J145">
        <v>28.195809511290101</v>
      </c>
      <c r="K145">
        <v>25.1043709690227</v>
      </c>
      <c r="L145">
        <v>1.745384708301213E-3</v>
      </c>
      <c r="M145">
        <v>7.8603318678882865E-4</v>
      </c>
      <c r="N145" s="1">
        <v>-3.6023127118900303E-5</v>
      </c>
      <c r="O145" s="1">
        <v>3.9274257874998702E-5</v>
      </c>
      <c r="P145" s="1">
        <v>-3.8521555719977101E-5</v>
      </c>
    </row>
    <row r="146" spans="1:16" x14ac:dyDescent="0.2">
      <c r="A146">
        <v>145</v>
      </c>
      <c r="B146">
        <v>784</v>
      </c>
      <c r="C146">
        <v>120</v>
      </c>
      <c r="D146">
        <v>0.48352693562881199</v>
      </c>
      <c r="E146">
        <v>9.3490029209620999</v>
      </c>
      <c r="F146">
        <v>0.36821826718126099</v>
      </c>
      <c r="G146">
        <v>-194.18435066811026</v>
      </c>
      <c r="H146">
        <v>-119.8282980018556</v>
      </c>
      <c r="I146">
        <v>70.340109861565296</v>
      </c>
      <c r="J146">
        <v>29.1703924644825</v>
      </c>
      <c r="K146">
        <v>25.389840087319399</v>
      </c>
      <c r="L146">
        <v>1.7376567768596441E-3</v>
      </c>
      <c r="M146">
        <v>7.7809595833409017E-4</v>
      </c>
      <c r="N146" s="1">
        <v>-3.62224169238654E-5</v>
      </c>
      <c r="O146" s="1">
        <v>3.9383576876978599E-5</v>
      </c>
      <c r="P146" s="1">
        <v>-3.8899795836374402E-5</v>
      </c>
    </row>
    <row r="147" spans="1:16" x14ac:dyDescent="0.2">
      <c r="A147">
        <v>146</v>
      </c>
      <c r="B147">
        <v>782</v>
      </c>
      <c r="C147">
        <v>120</v>
      </c>
      <c r="D147">
        <v>0.48241529640335601</v>
      </c>
      <c r="E147">
        <v>10.0253713224309</v>
      </c>
      <c r="F147">
        <v>0.39048668011593601</v>
      </c>
      <c r="G147">
        <v>-205.28330403001993</v>
      </c>
      <c r="H147">
        <v>-129.33484176430687</v>
      </c>
      <c r="I147">
        <v>71.9826345636844</v>
      </c>
      <c r="J147">
        <v>30.1458945138946</v>
      </c>
      <c r="K147">
        <v>25.6740417354426</v>
      </c>
      <c r="L147">
        <v>1.7302045371801399E-3</v>
      </c>
      <c r="M147">
        <v>7.7032310604314752E-4</v>
      </c>
      <c r="N147" s="1">
        <v>-3.6413861629352101E-5</v>
      </c>
      <c r="O147" s="1">
        <v>3.9491340678366497E-5</v>
      </c>
      <c r="P147" s="1">
        <v>-3.92824669315402E-5</v>
      </c>
    </row>
    <row r="148" spans="1:16" x14ac:dyDescent="0.2">
      <c r="A148">
        <v>147</v>
      </c>
      <c r="B148">
        <v>780</v>
      </c>
      <c r="C148">
        <v>120</v>
      </c>
      <c r="D148">
        <v>0.48129943502824801</v>
      </c>
      <c r="E148">
        <v>11.714793146421901</v>
      </c>
      <c r="F148">
        <v>0.44222987377664902</v>
      </c>
      <c r="G148">
        <v>-233.20108797508701</v>
      </c>
      <c r="H148">
        <v>-153.13757713151617</v>
      </c>
      <c r="I148">
        <v>76.026749018924406</v>
      </c>
      <c r="J148">
        <v>32.438566147078603</v>
      </c>
      <c r="K148">
        <v>26.490279922469799</v>
      </c>
      <c r="L148">
        <v>1.6990622335386219E-3</v>
      </c>
      <c r="M148">
        <v>7.5204131787427026E-4</v>
      </c>
      <c r="N148" s="1">
        <v>-3.6828166362384501E-5</v>
      </c>
      <c r="O148" s="1">
        <v>3.9844841876960201E-5</v>
      </c>
      <c r="P148" s="1">
        <v>-3.9917403911538098E-5</v>
      </c>
    </row>
    <row r="149" spans="1:16" x14ac:dyDescent="0.2">
      <c r="A149">
        <v>148</v>
      </c>
      <c r="B149">
        <v>778</v>
      </c>
      <c r="C149">
        <v>120</v>
      </c>
      <c r="D149">
        <v>0.48017932740332298</v>
      </c>
      <c r="E149">
        <v>15.0624041805912</v>
      </c>
      <c r="F149">
        <v>0.53459409532969304</v>
      </c>
      <c r="G149">
        <v>-288.60743152139497</v>
      </c>
      <c r="H149">
        <v>-200.31903857540547</v>
      </c>
      <c r="I149">
        <v>83.996136715614995</v>
      </c>
      <c r="J149">
        <v>36.886904962597697</v>
      </c>
      <c r="K149">
        <v>28.175403193149702</v>
      </c>
      <c r="L149">
        <v>1.6348002951276812E-3</v>
      </c>
      <c r="M149">
        <v>7.1925540923370261E-4</v>
      </c>
      <c r="N149" s="1">
        <v>-3.7610331579466799E-5</v>
      </c>
      <c r="O149" s="1">
        <v>4.0597187613100502E-5</v>
      </c>
      <c r="P149" s="1">
        <v>-4.0964559801214E-5</v>
      </c>
    </row>
    <row r="150" spans="1:16" x14ac:dyDescent="0.2">
      <c r="A150">
        <v>149</v>
      </c>
      <c r="B150">
        <v>776</v>
      </c>
      <c r="C150">
        <v>120</v>
      </c>
      <c r="D150">
        <v>0.47905494924462999</v>
      </c>
      <c r="E150">
        <v>18.545198458668199</v>
      </c>
      <c r="F150">
        <v>0.61970350991346601</v>
      </c>
      <c r="G150">
        <v>-346.16306177959376</v>
      </c>
      <c r="H150">
        <v>-249.36338251652728</v>
      </c>
      <c r="I150">
        <v>92.268898177160906</v>
      </c>
      <c r="J150">
        <v>41.512527557682198</v>
      </c>
      <c r="K150">
        <v>29.925921286548501</v>
      </c>
      <c r="L150">
        <v>1.5755383132674929E-3</v>
      </c>
      <c r="M150">
        <v>6.8899610935637724E-4</v>
      </c>
      <c r="N150" s="1">
        <v>-3.8409594502519598E-5</v>
      </c>
      <c r="O150" s="1">
        <v>4.1372712002636797E-5</v>
      </c>
      <c r="P150" s="1">
        <v>-4.2051154308702698E-5</v>
      </c>
    </row>
    <row r="151" spans="1:16" x14ac:dyDescent="0.2">
      <c r="A151">
        <v>150</v>
      </c>
      <c r="B151">
        <v>774</v>
      </c>
      <c r="C151">
        <v>120</v>
      </c>
      <c r="D151">
        <v>0.47792627608270499</v>
      </c>
      <c r="E151">
        <v>22.320168493233901</v>
      </c>
      <c r="F151">
        <v>0.70140376135940696</v>
      </c>
      <c r="G151">
        <v>-408.42970168838121</v>
      </c>
      <c r="H151">
        <v>-302.44932362226541</v>
      </c>
      <c r="I151">
        <v>101.212537537923</v>
      </c>
      <c r="J151">
        <v>46.517044939378501</v>
      </c>
      <c r="K151">
        <v>31.822139718747199</v>
      </c>
      <c r="L151">
        <v>1.5182201068115676E-3</v>
      </c>
      <c r="M151">
        <v>6.5988500045190775E-4</v>
      </c>
      <c r="N151" s="1">
        <v>-3.9256534390470397E-5</v>
      </c>
      <c r="O151" s="1">
        <v>4.2204708640466902E-5</v>
      </c>
      <c r="P151" s="1">
        <v>-4.3212181407630297E-5</v>
      </c>
    </row>
    <row r="152" spans="1:16" x14ac:dyDescent="0.2">
      <c r="A152">
        <v>151</v>
      </c>
      <c r="B152">
        <v>772</v>
      </c>
      <c r="C152">
        <v>120</v>
      </c>
      <c r="D152">
        <v>0.47679328326077502</v>
      </c>
      <c r="E152">
        <v>65.346613422961298</v>
      </c>
      <c r="F152">
        <v>1.2165605769721399</v>
      </c>
      <c r="G152">
        <v>-1107.4460453562231</v>
      </c>
      <c r="H152">
        <v>-896.62621864022958</v>
      </c>
      <c r="I152">
        <v>201.717572750416</v>
      </c>
      <c r="J152">
        <v>101.728912499846</v>
      </c>
      <c r="K152">
        <v>53.714228999266197</v>
      </c>
      <c r="L152">
        <v>1.1064520471347921E-3</v>
      </c>
      <c r="M152">
        <v>4.7641330490738024E-4</v>
      </c>
      <c r="N152" s="1">
        <v>-4.8027919793006198E-5</v>
      </c>
      <c r="O152" s="1">
        <v>5.1475679598724197E-5</v>
      </c>
      <c r="P152" s="1">
        <v>-5.30951808331982E-5</v>
      </c>
    </row>
    <row r="153" spans="1:16" x14ac:dyDescent="0.2">
      <c r="A153">
        <v>152</v>
      </c>
      <c r="B153">
        <v>770</v>
      </c>
      <c r="C153">
        <v>120</v>
      </c>
      <c r="D153">
        <v>0.47565594593299199</v>
      </c>
      <c r="E153">
        <v>82.4326309710939</v>
      </c>
      <c r="F153">
        <v>1.3234103091042699</v>
      </c>
      <c r="G153">
        <v>-1384.7228582710854</v>
      </c>
      <c r="H153">
        <v>-1132.9954304048804</v>
      </c>
      <c r="I153">
        <v>241.32013599532499</v>
      </c>
      <c r="J153">
        <v>123.69061385155</v>
      </c>
      <c r="K153">
        <v>62.288037507344796</v>
      </c>
      <c r="L153">
        <v>1.0252456695907953E-3</v>
      </c>
      <c r="M153">
        <v>4.3842511547600711E-4</v>
      </c>
      <c r="N153" s="1">
        <v>-5.14171564984116E-5</v>
      </c>
      <c r="O153" s="1">
        <v>5.5014879898941298E-5</v>
      </c>
      <c r="P153" s="1">
        <v>-5.7170822644344799E-5</v>
      </c>
    </row>
    <row r="154" spans="1:16" x14ac:dyDescent="0.2">
      <c r="A154">
        <v>153</v>
      </c>
      <c r="B154">
        <v>768</v>
      </c>
      <c r="C154">
        <v>120</v>
      </c>
      <c r="D154">
        <v>0.474514239062578</v>
      </c>
      <c r="E154">
        <v>89.341154463310403</v>
      </c>
      <c r="F154">
        <v>1.3605555312498701</v>
      </c>
      <c r="G154">
        <v>-1496.4630647695842</v>
      </c>
      <c r="H154">
        <v>-1228.7561556949165</v>
      </c>
      <c r="I154">
        <v>257.13176065986801</v>
      </c>
      <c r="J154">
        <v>132.62724271130301</v>
      </c>
      <c r="K154">
        <v>65.665202493599807</v>
      </c>
      <c r="L154">
        <v>1.0006035958190032E-3</v>
      </c>
      <c r="M154">
        <v>4.25239482738265E-4</v>
      </c>
      <c r="N154" s="1">
        <v>-5.2724505270163097E-5</v>
      </c>
      <c r="O154" s="1">
        <v>5.6348898800575297E-5</v>
      </c>
      <c r="P154" s="1">
        <v>-5.9000083796890099E-5</v>
      </c>
    </row>
    <row r="155" spans="1:16" x14ac:dyDescent="0.2">
      <c r="A155">
        <v>154</v>
      </c>
      <c r="B155">
        <v>766</v>
      </c>
      <c r="C155">
        <v>120</v>
      </c>
      <c r="D155">
        <v>0.47336813742000999</v>
      </c>
      <c r="E155">
        <v>93.097245391309599</v>
      </c>
      <c r="F155">
        <v>1.3805483474689</v>
      </c>
      <c r="G155">
        <v>-1556.9355326059308</v>
      </c>
      <c r="H155">
        <v>-1280.9611548867911</v>
      </c>
      <c r="I155">
        <v>265.58271973681599</v>
      </c>
      <c r="J155">
        <v>137.534917885315</v>
      </c>
      <c r="K155">
        <v>67.434976516391998</v>
      </c>
      <c r="L155">
        <v>9.8989528473008778E-4</v>
      </c>
      <c r="M155">
        <v>4.1815070998167621E-4</v>
      </c>
      <c r="N155" s="1">
        <v>-5.3379550525903102E-5</v>
      </c>
      <c r="O155" s="1">
        <v>5.7003485271484999E-5</v>
      </c>
      <c r="P155" s="1">
        <v>-6.0141323580642003E-5</v>
      </c>
    </row>
    <row r="156" spans="1:16" x14ac:dyDescent="0.2">
      <c r="A156">
        <v>155</v>
      </c>
      <c r="B156">
        <v>764</v>
      </c>
      <c r="C156">
        <v>120</v>
      </c>
      <c r="D156">
        <v>0.47221761558116099</v>
      </c>
      <c r="E156">
        <v>95.493820013237595</v>
      </c>
      <c r="F156">
        <v>1.39382740994517</v>
      </c>
      <c r="G156">
        <v>-1595.2995984337554</v>
      </c>
      <c r="H156">
        <v>-1314.3824321324437</v>
      </c>
      <c r="I156">
        <v>270.86065068512602</v>
      </c>
      <c r="J156">
        <v>140.70758753251499</v>
      </c>
      <c r="K156">
        <v>68.511940095218606</v>
      </c>
      <c r="L156">
        <v>9.8465166047253172E-4</v>
      </c>
      <c r="M156">
        <v>4.1344431601703498E-4</v>
      </c>
      <c r="N156" s="1">
        <v>-5.3744227208041402E-5</v>
      </c>
      <c r="O156" s="1">
        <v>5.7365585680071597E-5</v>
      </c>
      <c r="P156" s="1">
        <v>-6.0990060609779E-5</v>
      </c>
    </row>
    <row r="157" spans="1:16" x14ac:dyDescent="0.2">
      <c r="A157">
        <v>156</v>
      </c>
      <c r="B157">
        <v>762</v>
      </c>
      <c r="C157">
        <v>120</v>
      </c>
      <c r="D157">
        <v>0.47106264792542502</v>
      </c>
      <c r="E157">
        <v>97.177291463990997</v>
      </c>
      <c r="F157">
        <v>1.4037774567629699</v>
      </c>
      <c r="G157">
        <v>-1622.0677112902672</v>
      </c>
      <c r="H157">
        <v>-1337.9515653836102</v>
      </c>
      <c r="I157">
        <v>274.47436592310299</v>
      </c>
      <c r="J157">
        <v>142.97195150113399</v>
      </c>
      <c r="K157">
        <v>69.225567767754399</v>
      </c>
      <c r="L157">
        <v>9.8212699714135001E-4</v>
      </c>
      <c r="M157">
        <v>4.0991595425484822E-4</v>
      </c>
      <c r="N157" s="1">
        <v>-5.3948091286365503E-5</v>
      </c>
      <c r="O157" s="1">
        <v>5.7574224124749197E-5</v>
      </c>
      <c r="P157" s="1">
        <v>-6.1688439513135802E-5</v>
      </c>
    </row>
    <row r="158" spans="1:16" x14ac:dyDescent="0.2">
      <c r="A158">
        <v>157</v>
      </c>
      <c r="B158">
        <v>760</v>
      </c>
      <c r="C158">
        <v>120</v>
      </c>
      <c r="D158">
        <v>0.46990320863379098</v>
      </c>
      <c r="E158">
        <v>98.437218131873095</v>
      </c>
      <c r="F158">
        <v>1.41182527783996</v>
      </c>
      <c r="G158">
        <v>-1641.9487556953611</v>
      </c>
      <c r="H158">
        <v>-1355.669464978728</v>
      </c>
      <c r="I158">
        <v>277.09946459767201</v>
      </c>
      <c r="J158">
        <v>144.698257503029</v>
      </c>
      <c r="K158">
        <v>69.723371352635198</v>
      </c>
      <c r="L158">
        <v>9.8116411966375685E-4</v>
      </c>
      <c r="M158">
        <v>4.0705789225476281E-4</v>
      </c>
      <c r="N158" s="1">
        <v>-5.4048623626371099E-5</v>
      </c>
      <c r="O158" s="1">
        <v>5.7691520269422E-5</v>
      </c>
      <c r="P158" s="1">
        <v>-6.2300001964882694E-5</v>
      </c>
    </row>
    <row r="159" spans="1:16" x14ac:dyDescent="0.2">
      <c r="A159">
        <v>158</v>
      </c>
      <c r="B159">
        <v>758</v>
      </c>
      <c r="C159">
        <v>120</v>
      </c>
      <c r="D159">
        <v>0.46873927168695301</v>
      </c>
      <c r="E159">
        <v>99.423243392592795</v>
      </c>
      <c r="F159">
        <v>1.41867913672506</v>
      </c>
      <c r="G159">
        <v>-1657.3762413041279</v>
      </c>
      <c r="H159">
        <v>-1369.6037852025588</v>
      </c>
      <c r="I159">
        <v>279.08500063639798</v>
      </c>
      <c r="J159">
        <v>146.07785582626599</v>
      </c>
      <c r="K159">
        <v>70.081557428204405</v>
      </c>
      <c r="L159">
        <v>9.8118869730440587E-4</v>
      </c>
      <c r="M159">
        <v>4.046180112362026E-4</v>
      </c>
      <c r="N159" s="1">
        <v>-5.4075106813481698E-5</v>
      </c>
      <c r="O159" s="1">
        <v>5.7749508563159303E-5</v>
      </c>
      <c r="P159" s="1">
        <v>-6.2857546426336495E-5</v>
      </c>
    </row>
    <row r="160" spans="1:16" x14ac:dyDescent="0.2">
      <c r="A160">
        <v>159</v>
      </c>
      <c r="B160">
        <v>756</v>
      </c>
      <c r="C160">
        <v>120</v>
      </c>
      <c r="D160">
        <v>0.46757081086333502</v>
      </c>
      <c r="E160">
        <v>100.269362365462</v>
      </c>
      <c r="F160">
        <v>1.4249530630762599</v>
      </c>
      <c r="G160">
        <v>-1670.5274552015949</v>
      </c>
      <c r="H160">
        <v>-1381.6121280932168</v>
      </c>
      <c r="I160">
        <v>280.73787822642697</v>
      </c>
      <c r="J160">
        <v>147.281274085066</v>
      </c>
      <c r="K160">
        <v>70.366782572469504</v>
      </c>
      <c r="L160">
        <v>9.8170958648939816E-4</v>
      </c>
      <c r="M160">
        <v>4.0238396707701317E-4</v>
      </c>
      <c r="N160" s="1">
        <v>-5.4051933440228E-5</v>
      </c>
      <c r="O160" s="1">
        <v>5.7775018495216001E-5</v>
      </c>
      <c r="P160" s="1">
        <v>-6.3389202343347006E-5</v>
      </c>
    </row>
    <row r="161" spans="1:16" x14ac:dyDescent="0.2">
      <c r="A161">
        <v>160</v>
      </c>
      <c r="B161">
        <v>806</v>
      </c>
      <c r="C161">
        <v>100</v>
      </c>
      <c r="D161">
        <v>0.51586943427697896</v>
      </c>
      <c r="E161">
        <v>7.2658536759361798</v>
      </c>
      <c r="F161">
        <v>0.22867453013667</v>
      </c>
      <c r="G161">
        <v>-163.96091187653514</v>
      </c>
      <c r="H161">
        <v>-88.972179370493805</v>
      </c>
      <c r="I161">
        <v>69.492554764109897</v>
      </c>
      <c r="J161">
        <v>25.702875787987701</v>
      </c>
      <c r="K161">
        <v>31.773777655052498</v>
      </c>
      <c r="L161">
        <v>1.6928269517603844E-3</v>
      </c>
      <c r="M161">
        <v>1.0276883640724125E-3</v>
      </c>
      <c r="N161" s="1">
        <v>-5.4542992372285997E-5</v>
      </c>
      <c r="O161" s="1">
        <v>7.3988483976995494E-5</v>
      </c>
      <c r="P161" s="1">
        <v>-4.9260123694002102E-5</v>
      </c>
    </row>
    <row r="162" spans="1:16" x14ac:dyDescent="0.2">
      <c r="A162">
        <v>161</v>
      </c>
      <c r="B162">
        <v>804</v>
      </c>
      <c r="C162">
        <v>100</v>
      </c>
      <c r="D162">
        <v>0.514840551455232</v>
      </c>
      <c r="E162">
        <v>7.50253839536441</v>
      </c>
      <c r="F162">
        <v>0.23594419040041301</v>
      </c>
      <c r="G162">
        <v>-167.76104421822782</v>
      </c>
      <c r="H162">
        <v>-92.332456513990522</v>
      </c>
      <c r="I162">
        <v>70.029941429338194</v>
      </c>
      <c r="J162">
        <v>26.069037714823398</v>
      </c>
      <c r="K162">
        <v>31.797936548605399</v>
      </c>
      <c r="L162">
        <v>1.6974050959677324E-3</v>
      </c>
      <c r="M162">
        <v>1.0252215032859112E-3</v>
      </c>
      <c r="N162" s="1">
        <v>-5.49765303598697E-5</v>
      </c>
      <c r="O162" s="1">
        <v>7.3961405731417504E-5</v>
      </c>
      <c r="P162" s="1">
        <v>-4.9511455786135797E-5</v>
      </c>
    </row>
    <row r="163" spans="1:16" x14ac:dyDescent="0.2">
      <c r="A163">
        <v>162</v>
      </c>
      <c r="B163">
        <v>802</v>
      </c>
      <c r="C163">
        <v>100</v>
      </c>
      <c r="D163">
        <v>0.51380784076640695</v>
      </c>
      <c r="E163">
        <v>8.1545350894660302</v>
      </c>
      <c r="F163">
        <v>0.25434607187582697</v>
      </c>
      <c r="G163">
        <v>-178.47942566571967</v>
      </c>
      <c r="H163">
        <v>-101.49538403919379</v>
      </c>
      <c r="I163">
        <v>71.606959311980901</v>
      </c>
      <c r="J163">
        <v>26.9856161391236</v>
      </c>
      <c r="K163">
        <v>32.060786429000203</v>
      </c>
      <c r="L163">
        <v>1.6940321053211945E-3</v>
      </c>
      <c r="M163">
        <v>1.0178673509097231E-3</v>
      </c>
      <c r="N163" s="1">
        <v>-5.5562153619660003E-5</v>
      </c>
      <c r="O163" s="1">
        <v>7.41330911701105E-5</v>
      </c>
      <c r="P163" s="1">
        <v>-4.9900418006112498E-5</v>
      </c>
    </row>
    <row r="164" spans="1:16" x14ac:dyDescent="0.2">
      <c r="A164">
        <v>163</v>
      </c>
      <c r="B164">
        <v>800</v>
      </c>
      <c r="C164">
        <v>100</v>
      </c>
      <c r="D164">
        <v>0.51277128080883805</v>
      </c>
      <c r="E164">
        <v>8.8065066794446505</v>
      </c>
      <c r="F164">
        <v>0.27245626525883199</v>
      </c>
      <c r="G164">
        <v>-189.18821553434418</v>
      </c>
      <c r="H164">
        <v>-110.65836984998953</v>
      </c>
      <c r="I164">
        <v>73.180863190432305</v>
      </c>
      <c r="J164">
        <v>27.903505509822601</v>
      </c>
      <c r="K164">
        <v>32.322643309664699</v>
      </c>
      <c r="L164">
        <v>1.6908166787210795E-3</v>
      </c>
      <c r="M164">
        <v>1.0106269797467067E-3</v>
      </c>
      <c r="N164" s="1">
        <v>-5.61514253283505E-5</v>
      </c>
      <c r="O164" s="1">
        <v>7.4303645289889702E-5</v>
      </c>
      <c r="P164" s="1">
        <v>-5.0294042001134799E-5</v>
      </c>
    </row>
    <row r="165" spans="1:16" x14ac:dyDescent="0.2">
      <c r="A165">
        <v>164</v>
      </c>
      <c r="B165">
        <v>798</v>
      </c>
      <c r="C165">
        <v>100</v>
      </c>
      <c r="D165">
        <v>0.51173085002101004</v>
      </c>
      <c r="E165">
        <v>9.4579753956284502</v>
      </c>
      <c r="F165">
        <v>0.29027148122253299</v>
      </c>
      <c r="G165">
        <v>-199.87938305506393</v>
      </c>
      <c r="H165">
        <v>-119.81472784105947</v>
      </c>
      <c r="I165">
        <v>74.750380261306901</v>
      </c>
      <c r="J165">
        <v>28.822095967556301</v>
      </c>
      <c r="K165">
        <v>32.583205748612997</v>
      </c>
      <c r="L165">
        <v>1.6877641999202622E-3</v>
      </c>
      <c r="M165">
        <v>1.0035022061021881E-3</v>
      </c>
      <c r="N165" s="1">
        <v>-5.6744016947357801E-5</v>
      </c>
      <c r="O165" s="1">
        <v>7.4472788570104995E-5</v>
      </c>
      <c r="P165" s="1">
        <v>-5.0692251780644601E-5</v>
      </c>
    </row>
    <row r="166" spans="1:16" x14ac:dyDescent="0.2">
      <c r="A166">
        <v>165</v>
      </c>
      <c r="B166">
        <v>796</v>
      </c>
      <c r="C166">
        <v>100</v>
      </c>
      <c r="D166">
        <v>0.51068652668007097</v>
      </c>
      <c r="E166">
        <v>10.108478810598401</v>
      </c>
      <c r="F166">
        <v>0.30778949203045902</v>
      </c>
      <c r="G166">
        <v>-210.54516733849846</v>
      </c>
      <c r="H166">
        <v>-128.9579846150354</v>
      </c>
      <c r="I166">
        <v>76.314281671775902</v>
      </c>
      <c r="J166">
        <v>29.740799276348</v>
      </c>
      <c r="K166">
        <v>32.842182960547802</v>
      </c>
      <c r="L166">
        <v>1.6848793870125633E-3</v>
      </c>
      <c r="M166">
        <v>9.9649437512044177E-4</v>
      </c>
      <c r="N166" s="1">
        <v>-5.7339590800125599E-5</v>
      </c>
      <c r="O166" s="1">
        <v>7.4640251297889104E-5</v>
      </c>
      <c r="P166" s="1">
        <v>-5.1094977204842702E-5</v>
      </c>
    </row>
    <row r="167" spans="1:16" x14ac:dyDescent="0.2">
      <c r="A167">
        <v>166</v>
      </c>
      <c r="B167">
        <v>794</v>
      </c>
      <c r="C167">
        <v>100</v>
      </c>
      <c r="D167">
        <v>0.50963828890034402</v>
      </c>
      <c r="E167">
        <v>10.7575743147663</v>
      </c>
      <c r="F167">
        <v>0.32500914396513297</v>
      </c>
      <c r="G167">
        <v>-221.17815100904141</v>
      </c>
      <c r="H167">
        <v>-138.08194161291601</v>
      </c>
      <c r="I167">
        <v>77.871393711368597</v>
      </c>
      <c r="J167">
        <v>30.6590549008863</v>
      </c>
      <c r="K167">
        <v>33.099297402907503</v>
      </c>
      <c r="L167">
        <v>1.6821662601679778E-3</v>
      </c>
      <c r="M167">
        <v>9.8960435194097598E-4</v>
      </c>
      <c r="N167" s="1">
        <v>-5.7937801467295597E-5</v>
      </c>
      <c r="O167" s="1">
        <v>7.4805775679889595E-5</v>
      </c>
      <c r="P167" s="1">
        <v>-5.1502155579896997E-5</v>
      </c>
    </row>
    <row r="168" spans="1:16" x14ac:dyDescent="0.2">
      <c r="A168">
        <v>167</v>
      </c>
      <c r="B168">
        <v>792</v>
      </c>
      <c r="C168">
        <v>100</v>
      </c>
      <c r="D168">
        <v>0.50858611463174297</v>
      </c>
      <c r="E168">
        <v>11.404843098377899</v>
      </c>
      <c r="F168">
        <v>0.34193035169477098</v>
      </c>
      <c r="G168">
        <v>-231.77132536631518</v>
      </c>
      <c r="H168">
        <v>-147.18073034687151</v>
      </c>
      <c r="I168">
        <v>79.420607651133096</v>
      </c>
      <c r="J168">
        <v>31.576335429279599</v>
      </c>
      <c r="K168">
        <v>33.354287040767197</v>
      </c>
      <c r="L168">
        <v>1.6796281218349738E-3</v>
      </c>
      <c r="M168">
        <v>9.8283252093106684E-4</v>
      </c>
      <c r="N168" s="1">
        <v>-5.8538297022281202E-5</v>
      </c>
      <c r="O168" s="1">
        <v>7.4969117649789101E-5</v>
      </c>
      <c r="P168" s="1">
        <v>-5.1913733097887201E-5</v>
      </c>
    </row>
    <row r="169" spans="1:16" x14ac:dyDescent="0.2">
      <c r="A169">
        <v>168</v>
      </c>
      <c r="B169">
        <v>790</v>
      </c>
      <c r="C169">
        <v>100</v>
      </c>
      <c r="D169">
        <v>0.507529981658283</v>
      </c>
      <c r="E169">
        <v>13.2223206365379</v>
      </c>
      <c r="F169">
        <v>0.38611469004278698</v>
      </c>
      <c r="G169">
        <v>-261.79979234162852</v>
      </c>
      <c r="H169">
        <v>-172.78640403355669</v>
      </c>
      <c r="I169">
        <v>83.730138364731204</v>
      </c>
      <c r="J169">
        <v>33.993710344392099</v>
      </c>
      <c r="K169">
        <v>34.244541783874297</v>
      </c>
      <c r="L169">
        <v>1.6563281009954081E-3</v>
      </c>
      <c r="M169">
        <v>9.6391190751853473E-4</v>
      </c>
      <c r="N169" s="1">
        <v>-5.9506519751200902E-5</v>
      </c>
      <c r="O169" s="1">
        <v>7.5592028015957193E-5</v>
      </c>
      <c r="P169" s="1">
        <v>-5.2651432951808798E-5</v>
      </c>
    </row>
    <row r="170" spans="1:16" x14ac:dyDescent="0.2">
      <c r="A170">
        <v>169</v>
      </c>
      <c r="B170">
        <v>788</v>
      </c>
      <c r="C170">
        <v>100</v>
      </c>
      <c r="D170">
        <v>0.50646986759647905</v>
      </c>
      <c r="E170">
        <v>16.507573725849699</v>
      </c>
      <c r="F170">
        <v>0.45945353197164901</v>
      </c>
      <c r="G170">
        <v>-316.15793970409561</v>
      </c>
      <c r="H170">
        <v>-219.07314120052928</v>
      </c>
      <c r="I170">
        <v>91.494305775326495</v>
      </c>
      <c r="J170">
        <v>38.292391652304197</v>
      </c>
      <c r="K170">
        <v>35.928712213857501</v>
      </c>
      <c r="L170">
        <v>1.6104034494015223E-3</v>
      </c>
      <c r="M170">
        <v>9.3195061657256857E-4</v>
      </c>
      <c r="N170" s="1">
        <v>-6.0939667412402498E-5</v>
      </c>
      <c r="O170" s="1">
        <v>7.6784915231003007E-5</v>
      </c>
      <c r="P170" s="1">
        <v>-5.3798430131822103E-5</v>
      </c>
    </row>
    <row r="171" spans="1:16" x14ac:dyDescent="0.2">
      <c r="A171">
        <v>170</v>
      </c>
      <c r="B171">
        <v>786</v>
      </c>
      <c r="C171">
        <v>100</v>
      </c>
      <c r="D171">
        <v>0.50540574989378495</v>
      </c>
      <c r="E171">
        <v>19.933727494127201</v>
      </c>
      <c r="F171">
        <v>0.52898710421928496</v>
      </c>
      <c r="G171">
        <v>-372.76020964151252</v>
      </c>
      <c r="H171">
        <v>-267.30120744581262</v>
      </c>
      <c r="I171">
        <v>99.573681417404998</v>
      </c>
      <c r="J171">
        <v>42.772121143922803</v>
      </c>
      <c r="K171">
        <v>37.682823144709303</v>
      </c>
      <c r="L171">
        <v>1.5667692228807381E-3</v>
      </c>
      <c r="M171">
        <v>9.0159949542399892E-4</v>
      </c>
      <c r="N171" s="1">
        <v>-6.2423277913149194E-5</v>
      </c>
      <c r="O171" s="1">
        <v>7.8018999921198004E-5</v>
      </c>
      <c r="P171" s="1">
        <v>-5.4989437289372903E-5</v>
      </c>
    </row>
    <row r="172" spans="1:16" x14ac:dyDescent="0.2">
      <c r="A172">
        <v>171</v>
      </c>
      <c r="B172">
        <v>784</v>
      </c>
      <c r="C172">
        <v>100</v>
      </c>
      <c r="D172">
        <v>0.50433760582698905</v>
      </c>
      <c r="E172">
        <v>23.659065575414999</v>
      </c>
      <c r="F172">
        <v>0.597598450067375</v>
      </c>
      <c r="G172">
        <v>-434.19042955346532</v>
      </c>
      <c r="H172">
        <v>-319.66652004526327</v>
      </c>
      <c r="I172">
        <v>108.336996787323</v>
      </c>
      <c r="J172">
        <v>47.633431816264498</v>
      </c>
      <c r="K172">
        <v>39.590239186108299</v>
      </c>
      <c r="L172">
        <v>1.5232209543275155E-3</v>
      </c>
      <c r="M172">
        <v>8.7156364636008471E-4</v>
      </c>
      <c r="N172" s="1">
        <v>-6.4002122787928101E-5</v>
      </c>
      <c r="O172" s="1">
        <v>7.9348620933452604E-5</v>
      </c>
      <c r="P172" s="1">
        <v>-5.6263873521334903E-5</v>
      </c>
    </row>
    <row r="173" spans="1:16" x14ac:dyDescent="0.2">
      <c r="A173">
        <v>172</v>
      </c>
      <c r="B173">
        <v>782</v>
      </c>
      <c r="C173">
        <v>100</v>
      </c>
      <c r="D173">
        <v>0.50326541250059598</v>
      </c>
      <c r="E173">
        <v>51.939762702795697</v>
      </c>
      <c r="F173">
        <v>0.95484669531421396</v>
      </c>
      <c r="G173">
        <v>-893.89731008397723</v>
      </c>
      <c r="H173">
        <v>-710.1530657470131</v>
      </c>
      <c r="I173">
        <v>174.145256251429</v>
      </c>
      <c r="J173">
        <v>83.495876393328402</v>
      </c>
      <c r="K173">
        <v>54.395918169569299</v>
      </c>
      <c r="L173">
        <v>1.2550414536669939E-3</v>
      </c>
      <c r="M173">
        <v>7.1267414719098699E-4</v>
      </c>
      <c r="N173" s="1">
        <v>-7.2591398514637397E-5</v>
      </c>
      <c r="O173" s="1">
        <v>8.9243716060390398E-5</v>
      </c>
      <c r="P173" s="1">
        <v>-6.3665523590049594E-5</v>
      </c>
    </row>
    <row r="174" spans="1:16" x14ac:dyDescent="0.2">
      <c r="A174">
        <v>173</v>
      </c>
      <c r="B174">
        <v>780</v>
      </c>
      <c r="C174">
        <v>100</v>
      </c>
      <c r="D174">
        <v>0.50218914684517901</v>
      </c>
      <c r="E174">
        <v>76.2805647626667</v>
      </c>
      <c r="F174">
        <v>1.1379888301826799</v>
      </c>
      <c r="G174">
        <v>-1289.2822436273427</v>
      </c>
      <c r="H174">
        <v>-1046.5706533815619</v>
      </c>
      <c r="I174">
        <v>230.46783499931999</v>
      </c>
      <c r="J174">
        <v>114.336632154789</v>
      </c>
      <c r="K174">
        <v>67.031031183690004</v>
      </c>
      <c r="L174">
        <v>1.1197731211302893E-3</v>
      </c>
      <c r="M174">
        <v>6.3145466527708271E-4</v>
      </c>
      <c r="N174" s="1">
        <v>-8.0008669804027099E-5</v>
      </c>
      <c r="O174" s="1">
        <v>9.7559086855426706E-5</v>
      </c>
      <c r="P174" s="1">
        <v>-7.0025870626822299E-5</v>
      </c>
    </row>
    <row r="175" spans="1:16" x14ac:dyDescent="0.2">
      <c r="A175">
        <v>174</v>
      </c>
      <c r="B175">
        <v>778</v>
      </c>
      <c r="C175">
        <v>100</v>
      </c>
      <c r="D175">
        <v>0.501108785615755</v>
      </c>
      <c r="E175">
        <v>86.040041845570101</v>
      </c>
      <c r="F175">
        <v>1.19528027566672</v>
      </c>
      <c r="G175">
        <v>-1447.4138342454585</v>
      </c>
      <c r="H175">
        <v>-1181.6580942601897</v>
      </c>
      <c r="I175">
        <v>252.829323893989</v>
      </c>
      <c r="J175">
        <v>126.746154011537</v>
      </c>
      <c r="K175">
        <v>71.983152066637302</v>
      </c>
      <c r="L175">
        <v>1.0817181136818647E-3</v>
      </c>
      <c r="M175">
        <v>6.0635289955455205E-4</v>
      </c>
      <c r="N175" s="1">
        <v>-8.3282185732905503E-5</v>
      </c>
      <c r="O175">
        <v>1.00744868191473E-4</v>
      </c>
      <c r="P175" s="1">
        <v>-7.2762266876098402E-5</v>
      </c>
    </row>
    <row r="176" spans="1:16" x14ac:dyDescent="0.2">
      <c r="A176">
        <v>175</v>
      </c>
      <c r="B176">
        <v>776</v>
      </c>
      <c r="C176">
        <v>100</v>
      </c>
      <c r="D176">
        <v>0.50002430539008103</v>
      </c>
      <c r="E176">
        <v>90.972668649316205</v>
      </c>
      <c r="F176">
        <v>1.2227627607866201</v>
      </c>
      <c r="G176">
        <v>-1527.0268717777706</v>
      </c>
      <c r="H176">
        <v>-1250.0856067637822</v>
      </c>
      <c r="I176">
        <v>263.97289817422001</v>
      </c>
      <c r="J176">
        <v>133.062910711749</v>
      </c>
      <c r="K176">
        <v>74.399279702296596</v>
      </c>
      <c r="L176">
        <v>1.0667345367035386E-3</v>
      </c>
      <c r="M176">
        <v>5.9453019185509747E-4</v>
      </c>
      <c r="N176" s="1">
        <v>-8.5192913943097994E-5</v>
      </c>
      <c r="O176">
        <v>1.02248679507347E-4</v>
      </c>
      <c r="P176" s="1">
        <v>-7.4312483372952399E-5</v>
      </c>
    </row>
    <row r="177" spans="1:16" x14ac:dyDescent="0.2">
      <c r="A177">
        <v>176</v>
      </c>
      <c r="B177">
        <v>774</v>
      </c>
      <c r="C177">
        <v>100</v>
      </c>
      <c r="D177">
        <v>0.49893568256697302</v>
      </c>
      <c r="E177">
        <v>93.965344480744307</v>
      </c>
      <c r="F177">
        <v>1.2396934887790201</v>
      </c>
      <c r="G177">
        <v>-1575.0860333197643</v>
      </c>
      <c r="H177">
        <v>-1291.721083675043</v>
      </c>
      <c r="I177">
        <v>270.611573783209</v>
      </c>
      <c r="J177">
        <v>136.93404236745801</v>
      </c>
      <c r="K177">
        <v>75.797239665500399</v>
      </c>
      <c r="L177">
        <v>1.0599457252480839E-3</v>
      </c>
      <c r="M177">
        <v>5.874055606450724E-4</v>
      </c>
      <c r="N177" s="1">
        <v>-8.6557260600990296E-5</v>
      </c>
      <c r="O177">
        <v>1.03079596829506E-4</v>
      </c>
      <c r="P177" s="1">
        <v>-7.5392161799692702E-5</v>
      </c>
    </row>
    <row r="178" spans="1:16" x14ac:dyDescent="0.2">
      <c r="A178">
        <v>177</v>
      </c>
      <c r="B178">
        <v>772</v>
      </c>
      <c r="C178">
        <v>100</v>
      </c>
      <c r="D178">
        <v>0.49784289336458698</v>
      </c>
      <c r="E178">
        <v>95.996114693771801</v>
      </c>
      <c r="F178">
        <v>1.25173344091894</v>
      </c>
      <c r="G178">
        <v>-1607.5005110325812</v>
      </c>
      <c r="H178">
        <v>-1320.0722448911463</v>
      </c>
      <c r="I178">
        <v>275.01723740364099</v>
      </c>
      <c r="J178">
        <v>139.59439260870201</v>
      </c>
      <c r="K178">
        <v>76.690540937611402</v>
      </c>
      <c r="L178">
        <v>1.0569779474486043E-3</v>
      </c>
      <c r="M178">
        <v>5.8245695793854096E-4</v>
      </c>
      <c r="N178" s="1">
        <v>-8.7650289759766504E-5</v>
      </c>
      <c r="O178">
        <v>1.0357779108116299E-4</v>
      </c>
      <c r="P178" s="1">
        <v>-7.6242767172981195E-5</v>
      </c>
    </row>
    <row r="179" spans="1:16" x14ac:dyDescent="0.2">
      <c r="A179">
        <v>178</v>
      </c>
      <c r="B179">
        <v>770</v>
      </c>
      <c r="C179">
        <v>100</v>
      </c>
      <c r="D179">
        <v>0.49674591381872402</v>
      </c>
      <c r="E179">
        <v>97.478774441389902</v>
      </c>
      <c r="F179">
        <v>1.2611059137711</v>
      </c>
      <c r="G179">
        <v>-1631.000838232043</v>
      </c>
      <c r="H179">
        <v>-1340.8541552157951</v>
      </c>
      <c r="I179">
        <v>278.15051661775601</v>
      </c>
      <c r="J179">
        <v>141.566236568927</v>
      </c>
      <c r="K179">
        <v>77.296263047325894</v>
      </c>
      <c r="L179">
        <v>1.056113955867629E-3</v>
      </c>
      <c r="M179">
        <v>5.7869394668729401E-4</v>
      </c>
      <c r="N179" s="1">
        <v>-8.8587752563694803E-5</v>
      </c>
      <c r="O179">
        <v>1.0388673575777E-4</v>
      </c>
      <c r="P179" s="1">
        <v>-7.6966231788967599E-5</v>
      </c>
    </row>
    <row r="180" spans="1:16" x14ac:dyDescent="0.2">
      <c r="A180">
        <v>179</v>
      </c>
      <c r="B180">
        <v>768</v>
      </c>
      <c r="C180">
        <v>100</v>
      </c>
      <c r="D180">
        <v>0.49564471978101199</v>
      </c>
      <c r="E180">
        <v>98.617829923362905</v>
      </c>
      <c r="F180">
        <v>1.26885950180465</v>
      </c>
      <c r="G180">
        <v>-1648.9132759586255</v>
      </c>
      <c r="H180">
        <v>-1356.8913375102695</v>
      </c>
      <c r="I180">
        <v>280.48599042660601</v>
      </c>
      <c r="J180">
        <v>143.10766383885701</v>
      </c>
      <c r="K180">
        <v>77.721630947399802</v>
      </c>
      <c r="L180">
        <v>1.0565442923679328E-3</v>
      </c>
      <c r="M180">
        <v>5.7564938213281304E-4</v>
      </c>
      <c r="N180" s="1">
        <v>-8.9426478362135406E-5</v>
      </c>
      <c r="O180">
        <v>1.04077176403906E-4</v>
      </c>
      <c r="P180" s="1">
        <v>-7.7612890332216604E-5</v>
      </c>
    </row>
    <row r="181" spans="1:16" x14ac:dyDescent="0.2">
      <c r="A181">
        <v>180</v>
      </c>
      <c r="B181">
        <v>766</v>
      </c>
      <c r="C181">
        <v>100</v>
      </c>
      <c r="D181">
        <v>0.49453928691719501</v>
      </c>
      <c r="E181">
        <v>99.526148923950302</v>
      </c>
      <c r="F181">
        <v>1.27555439573717</v>
      </c>
      <c r="G181">
        <v>-1663.0735646231724</v>
      </c>
      <c r="H181">
        <v>-1369.7426460490597</v>
      </c>
      <c r="I181">
        <v>282.28550893578802</v>
      </c>
      <c r="J181">
        <v>144.361128366831</v>
      </c>
      <c r="K181">
        <v>78.025797454472297</v>
      </c>
      <c r="L181">
        <v>1.0578368773155919E-3</v>
      </c>
      <c r="M181">
        <v>5.7307365994112237E-4</v>
      </c>
      <c r="N181" s="1">
        <v>-9.0197548985687805E-5</v>
      </c>
      <c r="O181">
        <v>1.0418808492597399E-4</v>
      </c>
      <c r="P181" s="1">
        <v>-7.82105398862989E-5</v>
      </c>
    </row>
    <row r="182" spans="1:16" x14ac:dyDescent="0.2">
      <c r="A182">
        <v>181</v>
      </c>
      <c r="B182">
        <v>764</v>
      </c>
      <c r="C182">
        <v>100</v>
      </c>
      <c r="D182">
        <v>0.49342959070530001</v>
      </c>
      <c r="E182">
        <v>100.271313667041</v>
      </c>
      <c r="F182">
        <v>1.28151802455609</v>
      </c>
      <c r="G182">
        <v>-1674.5808835078549</v>
      </c>
      <c r="H182">
        <v>-1380.3414662849711</v>
      </c>
      <c r="I182">
        <v>283.70582809444602</v>
      </c>
      <c r="J182">
        <v>145.41195734213099</v>
      </c>
      <c r="K182">
        <v>78.244169606411802</v>
      </c>
      <c r="L182">
        <v>1.0597394352817003E-3</v>
      </c>
      <c r="M182">
        <v>5.708208373486148E-4</v>
      </c>
      <c r="N182" s="1">
        <v>-9.0919338457220097E-5</v>
      </c>
      <c r="O182">
        <v>1.042427581299E-4</v>
      </c>
      <c r="P182" s="1">
        <v>-7.8775863970876995E-5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A7057-CDF4-4AA0-B427-056ADD977AA2}">
  <sheetPr codeName="Sheet6"/>
  <dimension ref="A1:AN4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732</v>
      </c>
      <c r="C2">
        <v>300</v>
      </c>
      <c r="D2">
        <v>0.256201064517732</v>
      </c>
      <c r="E2">
        <v>4.2090898469616798E-2</v>
      </c>
      <c r="F2">
        <v>4.6589371378438598</v>
      </c>
      <c r="G2">
        <v>-0.3984757026935753</v>
      </c>
      <c r="H2">
        <v>-0.32448167245351511</v>
      </c>
      <c r="I2">
        <v>7.3614913435865403E-2</v>
      </c>
      <c r="J2">
        <v>3.8586483762882103E-2</v>
      </c>
      <c r="K2">
        <v>9.0344422395654701E-3</v>
      </c>
      <c r="L2">
        <v>3.1700804849412402E-5</v>
      </c>
      <c r="M2">
        <v>5.5203378751761667E-7</v>
      </c>
      <c r="N2" s="1">
        <v>4.5496718644694298E-11</v>
      </c>
      <c r="O2" s="1">
        <v>1.9726361069436001E-14</v>
      </c>
      <c r="P2" s="1">
        <v>6.8000197652735001E-14</v>
      </c>
      <c r="R2">
        <v>47.210407267712</v>
      </c>
      <c r="S2">
        <v>2.5622688704738001</v>
      </c>
      <c r="T2">
        <v>9.5581701963534602</v>
      </c>
      <c r="V2">
        <v>37.834645360652203</v>
      </c>
      <c r="W2">
        <v>0.56509532795225703</v>
      </c>
      <c r="X2">
        <v>2.2694129768561599</v>
      </c>
      <c r="AJ2">
        <v>8.3311247017555407E-2</v>
      </c>
      <c r="AK2">
        <v>8.8559186199534901E-2</v>
      </c>
      <c r="AL2">
        <v>0.77916101949915895</v>
      </c>
      <c r="AM2">
        <v>1.1786612657356201E-2</v>
      </c>
      <c r="AN2">
        <v>3.7181934626394603E-2</v>
      </c>
    </row>
    <row r="3" spans="1:40" x14ac:dyDescent="0.2">
      <c r="A3">
        <v>16</v>
      </c>
      <c r="B3">
        <v>730</v>
      </c>
      <c r="C3">
        <v>300</v>
      </c>
      <c r="D3">
        <v>0.25457857748093798</v>
      </c>
      <c r="E3">
        <v>5.4316187038877098E-2</v>
      </c>
      <c r="F3">
        <v>4.6592418478738198</v>
      </c>
      <c r="G3">
        <v>-0.51480461868197214</v>
      </c>
      <c r="H3">
        <v>-0.41952870034457984</v>
      </c>
      <c r="I3">
        <v>9.4976741601348003E-2</v>
      </c>
      <c r="J3">
        <v>4.9785451800380798E-2</v>
      </c>
      <c r="K3">
        <v>1.1657730766576E-2</v>
      </c>
      <c r="L3">
        <v>3.1659067439457552E-5</v>
      </c>
      <c r="M3">
        <v>5.5178265031837746E-7</v>
      </c>
      <c r="N3" s="1">
        <v>6.1880980571720505E-11</v>
      </c>
      <c r="O3" s="1">
        <v>2.5444386205413201E-14</v>
      </c>
      <c r="P3" s="1">
        <v>8.3011965565742299E-14</v>
      </c>
      <c r="R3">
        <v>47.163757643241198</v>
      </c>
      <c r="S3">
        <v>2.7019236712882</v>
      </c>
      <c r="T3">
        <v>9.4974784810646398</v>
      </c>
      <c r="V3">
        <v>37.6801545528402</v>
      </c>
      <c r="W3">
        <v>0.70182266005056004</v>
      </c>
      <c r="X3">
        <v>2.2548629915150098</v>
      </c>
      <c r="AJ3">
        <v>8.2727442374603499E-2</v>
      </c>
      <c r="AK3">
        <v>8.7944060475934505E-2</v>
      </c>
      <c r="AL3">
        <v>0.77551385829266295</v>
      </c>
      <c r="AM3">
        <v>1.4629652792740601E-2</v>
      </c>
      <c r="AN3">
        <v>3.9184986064057702E-2</v>
      </c>
    </row>
    <row r="4" spans="1:40" x14ac:dyDescent="0.2">
      <c r="A4">
        <v>17</v>
      </c>
      <c r="B4">
        <v>728</v>
      </c>
      <c r="C4">
        <v>300</v>
      </c>
      <c r="D4">
        <v>0.25294960795086002</v>
      </c>
      <c r="E4">
        <v>6.2182945290263698E-2</v>
      </c>
      <c r="F4">
        <v>4.6594674416442796</v>
      </c>
      <c r="G4">
        <v>-0.58988702055887365</v>
      </c>
      <c r="H4">
        <v>-0.48107207885897252</v>
      </c>
      <c r="I4">
        <v>0.10868994825940199</v>
      </c>
      <c r="J4">
        <v>5.6985827755235599E-2</v>
      </c>
      <c r="K4">
        <v>1.33455048391367E-2</v>
      </c>
      <c r="L4">
        <v>3.1622096423575311E-5</v>
      </c>
      <c r="M4">
        <v>5.515693052439101E-7</v>
      </c>
      <c r="N4" s="1">
        <v>7.3627695085100396E-11</v>
      </c>
      <c r="O4" s="1">
        <v>2.9118269432648298E-14</v>
      </c>
      <c r="P4" s="1">
        <v>9.0765780179906195E-14</v>
      </c>
      <c r="R4">
        <v>47.1231517991678</v>
      </c>
      <c r="S4">
        <v>2.8249755621588801</v>
      </c>
      <c r="T4">
        <v>9.4404174744457805</v>
      </c>
      <c r="V4">
        <v>37.567000717712403</v>
      </c>
      <c r="W4">
        <v>0.80550914554267805</v>
      </c>
      <c r="X4">
        <v>2.2389453009724001</v>
      </c>
      <c r="AJ4">
        <v>8.2102009667252299E-2</v>
      </c>
      <c r="AK4">
        <v>8.7371594323333898E-2</v>
      </c>
      <c r="AL4">
        <v>0.77279495065654902</v>
      </c>
      <c r="AM4">
        <v>1.6782550918225999E-2</v>
      </c>
      <c r="AN4">
        <v>4.0948894434637499E-2</v>
      </c>
    </row>
    <row r="5" spans="1:40" x14ac:dyDescent="0.2">
      <c r="A5">
        <v>18</v>
      </c>
      <c r="B5">
        <v>726</v>
      </c>
      <c r="C5">
        <v>300</v>
      </c>
      <c r="D5">
        <v>0.251314116999449</v>
      </c>
      <c r="E5">
        <v>6.8174655083289903E-2</v>
      </c>
      <c r="F5">
        <v>4.6596461086960703</v>
      </c>
      <c r="G5">
        <v>-0.64719576808897838</v>
      </c>
      <c r="H5">
        <v>-0.52819425791492258</v>
      </c>
      <c r="I5">
        <v>0.119102747509438</v>
      </c>
      <c r="J5">
        <v>6.2465873308099003E-2</v>
      </c>
      <c r="K5">
        <v>1.46308654118729E-2</v>
      </c>
      <c r="L5">
        <v>3.1588980710404551E-5</v>
      </c>
      <c r="M5">
        <v>5.5138206342654353E-7</v>
      </c>
      <c r="N5" s="1">
        <v>8.3179818763867396E-11</v>
      </c>
      <c r="O5" s="1">
        <v>3.1913139661596502E-14</v>
      </c>
      <c r="P5" s="1">
        <v>9.56330121255816E-14</v>
      </c>
      <c r="R5">
        <v>47.086766945433901</v>
      </c>
      <c r="S5">
        <v>2.9376347584015599</v>
      </c>
      <c r="T5">
        <v>9.3848680875216406</v>
      </c>
      <c r="V5">
        <v>37.479148396225099</v>
      </c>
      <c r="W5">
        <v>0.889333638007474</v>
      </c>
      <c r="X5">
        <v>2.2222481744103</v>
      </c>
      <c r="AJ5">
        <v>8.1453408958884893E-2</v>
      </c>
      <c r="AK5">
        <v>8.6818771419915605E-2</v>
      </c>
      <c r="AL5">
        <v>0.77064412084691902</v>
      </c>
      <c r="AM5">
        <v>1.85207521464897E-2</v>
      </c>
      <c r="AN5">
        <v>4.2562946627790303E-2</v>
      </c>
    </row>
    <row r="6" spans="1:40" x14ac:dyDescent="0.2">
      <c r="A6">
        <v>19</v>
      </c>
      <c r="B6">
        <v>724</v>
      </c>
      <c r="C6">
        <v>300</v>
      </c>
      <c r="D6">
        <v>0.249672065386352</v>
      </c>
      <c r="E6">
        <v>7.3145711492950197E-2</v>
      </c>
      <c r="F6">
        <v>4.6597936828014603</v>
      </c>
      <c r="G6">
        <v>-0.69481616514626032</v>
      </c>
      <c r="H6">
        <v>-0.56746739969460902</v>
      </c>
      <c r="I6">
        <v>0.12771274677997399</v>
      </c>
      <c r="J6">
        <v>6.7009404733986297E-2</v>
      </c>
      <c r="K6">
        <v>1.5697199591243501E-2</v>
      </c>
      <c r="L6">
        <v>3.1558877322509344E-5</v>
      </c>
      <c r="M6">
        <v>5.5121397770231504E-7</v>
      </c>
      <c r="N6" s="1">
        <v>9.1447607114405101E-11</v>
      </c>
      <c r="O6" s="1">
        <v>3.42297868811404E-14</v>
      </c>
      <c r="P6" s="1">
        <v>9.9021861613890196E-14</v>
      </c>
      <c r="R6">
        <v>47.053510824801499</v>
      </c>
      <c r="S6">
        <v>3.0430818855870001</v>
      </c>
      <c r="T6">
        <v>9.3300090001459903</v>
      </c>
      <c r="V6">
        <v>37.408637849630203</v>
      </c>
      <c r="W6">
        <v>0.95973016922365095</v>
      </c>
      <c r="X6">
        <v>2.2050302706115299</v>
      </c>
      <c r="AJ6">
        <v>8.0789557357726902E-2</v>
      </c>
      <c r="AK6">
        <v>8.6276296014164394E-2</v>
      </c>
      <c r="AL6">
        <v>0.76888257007254701</v>
      </c>
      <c r="AM6">
        <v>1.99786902491558E-2</v>
      </c>
      <c r="AN6">
        <v>4.4072886306404699E-2</v>
      </c>
    </row>
    <row r="7" spans="1:40" x14ac:dyDescent="0.2">
      <c r="A7">
        <v>32</v>
      </c>
      <c r="B7">
        <v>736</v>
      </c>
      <c r="C7">
        <v>280</v>
      </c>
      <c r="D7">
        <v>0.281227270475152</v>
      </c>
      <c r="E7">
        <v>2.0174946393158099E-2</v>
      </c>
      <c r="F7">
        <v>4.6558783764902696</v>
      </c>
      <c r="G7">
        <v>-0.19122916744842261</v>
      </c>
      <c r="H7">
        <v>-0.15554821420289239</v>
      </c>
      <c r="I7">
        <v>3.53574327359958E-2</v>
      </c>
      <c r="J7">
        <v>1.8512590536638899E-2</v>
      </c>
      <c r="K7">
        <v>4.3332202350969701E-3</v>
      </c>
      <c r="L7">
        <v>3.1705982221050319E-5</v>
      </c>
      <c r="M7">
        <v>5.524214985425165E-7</v>
      </c>
      <c r="N7" s="1">
        <v>2.0545069580153E-11</v>
      </c>
      <c r="O7" s="1">
        <v>9.4543503636425E-15</v>
      </c>
      <c r="P7" s="1">
        <v>3.53658680608025E-14</v>
      </c>
      <c r="R7">
        <v>47.245992236586901</v>
      </c>
      <c r="S7">
        <v>2.45061120811302</v>
      </c>
      <c r="T7">
        <v>9.6772875891874701</v>
      </c>
      <c r="V7">
        <v>37.763370400887297</v>
      </c>
      <c r="W7">
        <v>0.496308846504115</v>
      </c>
      <c r="X7">
        <v>2.3664297187211298</v>
      </c>
      <c r="AJ7">
        <v>8.6860415624035903E-2</v>
      </c>
      <c r="AK7">
        <v>8.9650083060191094E-2</v>
      </c>
      <c r="AL7">
        <v>0.77758252010668905</v>
      </c>
      <c r="AM7">
        <v>1.0350408785162499E-2</v>
      </c>
      <c r="AN7">
        <v>3.5556572423920699E-2</v>
      </c>
    </row>
    <row r="8" spans="1:40" x14ac:dyDescent="0.2">
      <c r="A8">
        <v>33</v>
      </c>
      <c r="B8">
        <v>734</v>
      </c>
      <c r="C8">
        <v>280</v>
      </c>
      <c r="D8">
        <v>0.27966092439060802</v>
      </c>
      <c r="E8">
        <v>3.9821486523462797E-2</v>
      </c>
      <c r="F8">
        <v>4.6562999492090702</v>
      </c>
      <c r="G8">
        <v>-0.37796805982782744</v>
      </c>
      <c r="H8">
        <v>-0.30768265733326067</v>
      </c>
      <c r="I8">
        <v>6.97864295234739E-2</v>
      </c>
      <c r="J8">
        <v>3.6533951927933399E-2</v>
      </c>
      <c r="K8">
        <v>8.5521738199505204E-3</v>
      </c>
      <c r="L8">
        <v>3.1660409141156893E-5</v>
      </c>
      <c r="M8">
        <v>5.5214369359324385E-7</v>
      </c>
      <c r="N8" s="1">
        <v>4.3285600435009702E-11</v>
      </c>
      <c r="O8" s="1">
        <v>1.86515865748966E-14</v>
      </c>
      <c r="P8" s="1">
        <v>6.5796604210665999E-14</v>
      </c>
      <c r="R8">
        <v>47.1953923661384</v>
      </c>
      <c r="S8">
        <v>2.6015907093131201</v>
      </c>
      <c r="T8">
        <v>9.6148381391926794</v>
      </c>
      <c r="V8">
        <v>37.567914526203602</v>
      </c>
      <c r="W8">
        <v>0.66629090051555295</v>
      </c>
      <c r="X8">
        <v>2.3539733586365399</v>
      </c>
      <c r="AJ8">
        <v>8.6344903402148399E-2</v>
      </c>
      <c r="AK8">
        <v>8.9011454650751304E-2</v>
      </c>
      <c r="AL8">
        <v>0.77303596597138602</v>
      </c>
      <c r="AM8">
        <v>1.3885970569778999E-2</v>
      </c>
      <c r="AN8">
        <v>3.7721705405934697E-2</v>
      </c>
    </row>
    <row r="9" spans="1:40" x14ac:dyDescent="0.2">
      <c r="A9">
        <v>34</v>
      </c>
      <c r="B9">
        <v>732</v>
      </c>
      <c r="C9">
        <v>280</v>
      </c>
      <c r="D9">
        <v>0.27808834502313201</v>
      </c>
      <c r="E9">
        <v>5.0411216318843703E-2</v>
      </c>
      <c r="F9">
        <v>4.6565968097934602</v>
      </c>
      <c r="G9">
        <v>-0.47895846260397434</v>
      </c>
      <c r="H9">
        <v>-0.39018499695735737</v>
      </c>
      <c r="I9">
        <v>8.8318624729261205E-2</v>
      </c>
      <c r="J9">
        <v>4.6240355561890101E-2</v>
      </c>
      <c r="K9">
        <v>1.0825763616214699E-2</v>
      </c>
      <c r="L9">
        <v>3.1620324049262527E-5</v>
      </c>
      <c r="M9">
        <v>5.5191408056189498E-7</v>
      </c>
      <c r="N9" s="1">
        <v>5.73479119601621E-11</v>
      </c>
      <c r="O9" s="1">
        <v>2.3601477358652901E-14</v>
      </c>
      <c r="P9" s="1">
        <v>7.9466517015669305E-14</v>
      </c>
      <c r="R9">
        <v>47.152307624223802</v>
      </c>
      <c r="S9">
        <v>2.7302223968941899</v>
      </c>
      <c r="T9">
        <v>9.5581198524242907</v>
      </c>
      <c r="V9">
        <v>37.431847001193098</v>
      </c>
      <c r="W9">
        <v>0.78819377661651302</v>
      </c>
      <c r="X9">
        <v>2.33930934864792</v>
      </c>
      <c r="AJ9">
        <v>8.5760469177229098E-2</v>
      </c>
      <c r="AK9">
        <v>8.8438368096324604E-2</v>
      </c>
      <c r="AL9">
        <v>0.76981824066162097</v>
      </c>
      <c r="AM9">
        <v>1.64176006329389E-2</v>
      </c>
      <c r="AN9">
        <v>3.9565321431885597E-2</v>
      </c>
    </row>
    <row r="10" spans="1:40" x14ac:dyDescent="0.2">
      <c r="A10">
        <v>35</v>
      </c>
      <c r="B10">
        <v>730</v>
      </c>
      <c r="C10">
        <v>280</v>
      </c>
      <c r="D10">
        <v>0.27650949509046802</v>
      </c>
      <c r="E10">
        <v>5.7830112390968198E-2</v>
      </c>
      <c r="F10">
        <v>4.6568266606136701</v>
      </c>
      <c r="G10">
        <v>-0.54988180852975876</v>
      </c>
      <c r="H10">
        <v>-0.44829117837629934</v>
      </c>
      <c r="I10">
        <v>0.10127162453617</v>
      </c>
      <c r="J10">
        <v>5.3035313322348801E-2</v>
      </c>
      <c r="K10">
        <v>1.2418351939118E-2</v>
      </c>
      <c r="L10">
        <v>3.1584886774582172E-5</v>
      </c>
      <c r="M10">
        <v>5.5171614094874111E-7</v>
      </c>
      <c r="N10" s="1">
        <v>6.8075738498724505E-11</v>
      </c>
      <c r="O10" s="1">
        <v>2.7064782979715799E-14</v>
      </c>
      <c r="P10" s="1">
        <v>8.7630107323851396E-14</v>
      </c>
      <c r="R10">
        <v>47.114251567075002</v>
      </c>
      <c r="S10">
        <v>2.84605578162946</v>
      </c>
      <c r="T10">
        <v>9.5034385938724597</v>
      </c>
      <c r="V10">
        <v>37.328729180548102</v>
      </c>
      <c r="W10">
        <v>0.883999267037334</v>
      </c>
      <c r="X10">
        <v>2.3235256098375801</v>
      </c>
      <c r="AJ10">
        <v>8.5141906122899305E-2</v>
      </c>
      <c r="AK10">
        <v>8.7891208157086204E-2</v>
      </c>
      <c r="AL10">
        <v>0.76733773999449395</v>
      </c>
      <c r="AM10">
        <v>1.8404541546456599E-2</v>
      </c>
      <c r="AN10">
        <v>4.1224604179063498E-2</v>
      </c>
    </row>
    <row r="11" spans="1:40" x14ac:dyDescent="0.2">
      <c r="A11">
        <v>36</v>
      </c>
      <c r="B11">
        <v>728</v>
      </c>
      <c r="C11">
        <v>280</v>
      </c>
      <c r="D11">
        <v>0.27492433701243602</v>
      </c>
      <c r="E11">
        <v>6.3692452115472198E-2</v>
      </c>
      <c r="F11">
        <v>4.6570145305236403</v>
      </c>
      <c r="G11">
        <v>-0.60602602736947175</v>
      </c>
      <c r="H11">
        <v>-0.49441985659163107</v>
      </c>
      <c r="I11">
        <v>0.111477971111063</v>
      </c>
      <c r="J11">
        <v>5.8400962942832299E-2</v>
      </c>
      <c r="K11">
        <v>1.36766702568803E-2</v>
      </c>
      <c r="L11">
        <v>3.1553037284946507E-5</v>
      </c>
      <c r="M11">
        <v>5.5154071822335712E-7</v>
      </c>
      <c r="N11" s="1">
        <v>7.7036609887041696E-11</v>
      </c>
      <c r="O11" s="1">
        <v>2.9798622715091403E-14</v>
      </c>
      <c r="P11" s="1">
        <v>9.3233267016160803E-14</v>
      </c>
      <c r="R11">
        <v>47.079823666289599</v>
      </c>
      <c r="S11">
        <v>2.9534106720961999</v>
      </c>
      <c r="T11">
        <v>9.4495842086311903</v>
      </c>
      <c r="V11">
        <v>37.247024291024601</v>
      </c>
      <c r="W11">
        <v>0.96311436339466105</v>
      </c>
      <c r="X11">
        <v>2.3070427985637001</v>
      </c>
      <c r="AJ11">
        <v>8.4502380646453504E-2</v>
      </c>
      <c r="AK11">
        <v>8.7356404144765296E-2</v>
      </c>
      <c r="AL11">
        <v>0.76533631965061499</v>
      </c>
      <c r="AM11">
        <v>2.0043259365945799E-2</v>
      </c>
      <c r="AN11">
        <v>4.27616361922201E-2</v>
      </c>
    </row>
    <row r="12" spans="1:40" x14ac:dyDescent="0.2">
      <c r="A12">
        <v>37</v>
      </c>
      <c r="B12">
        <v>726</v>
      </c>
      <c r="C12">
        <v>280</v>
      </c>
      <c r="D12">
        <v>0.273332832907971</v>
      </c>
      <c r="E12">
        <v>6.8644594261411895E-2</v>
      </c>
      <c r="F12">
        <v>4.6571735508768501</v>
      </c>
      <c r="G12">
        <v>-0.65351838601817069</v>
      </c>
      <c r="H12">
        <v>-0.53354752817995099</v>
      </c>
      <c r="I12">
        <v>0.120072919820066</v>
      </c>
      <c r="J12">
        <v>6.2930738046764106E-2</v>
      </c>
      <c r="K12">
        <v>1.47395396610219E-2</v>
      </c>
      <c r="L12">
        <v>3.1523973354191954E-5</v>
      </c>
      <c r="M12">
        <v>5.5138216824253384E-7</v>
      </c>
      <c r="N12" s="1">
        <v>8.49030245197772E-11</v>
      </c>
      <c r="O12" s="1">
        <v>3.2106114091774602E-14</v>
      </c>
      <c r="P12" s="1">
        <v>9.7395063402717802E-14</v>
      </c>
      <c r="R12">
        <v>47.0481473692668</v>
      </c>
      <c r="S12">
        <v>3.0546770727254899</v>
      </c>
      <c r="T12">
        <v>9.3960560952265197</v>
      </c>
      <c r="V12">
        <v>37.180543694227701</v>
      </c>
      <c r="W12">
        <v>1.0305091901660399</v>
      </c>
      <c r="X12">
        <v>2.29006657838731</v>
      </c>
      <c r="AJ12">
        <v>8.3848202164546998E-2</v>
      </c>
      <c r="AK12">
        <v>8.6828041205171902E-2</v>
      </c>
      <c r="AL12">
        <v>0.76367545287124905</v>
      </c>
      <c r="AM12">
        <v>2.14375282325476E-2</v>
      </c>
      <c r="AN12">
        <v>4.4210775526483899E-2</v>
      </c>
    </row>
    <row r="13" spans="1:40" x14ac:dyDescent="0.2">
      <c r="A13">
        <v>49</v>
      </c>
      <c r="B13">
        <v>738</v>
      </c>
      <c r="C13">
        <v>260</v>
      </c>
      <c r="D13">
        <v>0.30454482519902998</v>
      </c>
      <c r="E13">
        <v>2.1967364839065001E-2</v>
      </c>
      <c r="F13">
        <v>4.65323903179016</v>
      </c>
      <c r="G13">
        <v>-0.20879388590550868</v>
      </c>
      <c r="H13">
        <v>-0.16978361797946792</v>
      </c>
      <c r="I13">
        <v>3.8580099813124401E-2</v>
      </c>
      <c r="J13">
        <v>2.01732449650153E-2</v>
      </c>
      <c r="K13">
        <v>4.7208760798634298E-3</v>
      </c>
      <c r="L13">
        <v>3.1663103089240376E-5</v>
      </c>
      <c r="M13">
        <v>5.5250823059756396E-7</v>
      </c>
      <c r="N13" s="1">
        <v>2.2624444015266001E-11</v>
      </c>
      <c r="O13" s="1">
        <v>1.02877977628526E-14</v>
      </c>
      <c r="P13" s="1">
        <v>3.9149970450719599E-14</v>
      </c>
      <c r="R13">
        <v>47.227917203970598</v>
      </c>
      <c r="S13">
        <v>2.5002340282722599</v>
      </c>
      <c r="T13">
        <v>9.7310281274306796</v>
      </c>
      <c r="V13">
        <v>37.4727527200466</v>
      </c>
      <c r="W13">
        <v>0.61537485805437597</v>
      </c>
      <c r="X13">
        <v>2.45269306222538</v>
      </c>
      <c r="AJ13">
        <v>8.9947295303117403E-2</v>
      </c>
      <c r="AK13">
        <v>9.0068388061648103E-2</v>
      </c>
      <c r="AL13">
        <v>0.77091758415343303</v>
      </c>
      <c r="AM13">
        <v>1.28221793826851E-2</v>
      </c>
      <c r="AN13">
        <v>3.6244553099115402E-2</v>
      </c>
    </row>
    <row r="14" spans="1:40" x14ac:dyDescent="0.2">
      <c r="A14">
        <v>50</v>
      </c>
      <c r="B14">
        <v>736</v>
      </c>
      <c r="C14">
        <v>260</v>
      </c>
      <c r="D14">
        <v>0.30302779566962401</v>
      </c>
      <c r="E14">
        <v>3.71234321250161E-2</v>
      </c>
      <c r="F14">
        <v>4.6536282295634601</v>
      </c>
      <c r="G14">
        <v>-0.35325252435224042</v>
      </c>
      <c r="H14">
        <v>-0.2874695173375989</v>
      </c>
      <c r="I14">
        <v>6.5186550081396705E-2</v>
      </c>
      <c r="J14">
        <v>3.4084188893152498E-2</v>
      </c>
      <c r="K14">
        <v>7.97730937963184E-3</v>
      </c>
      <c r="L14">
        <v>3.1619466250122525E-5</v>
      </c>
      <c r="M14">
        <v>5.5225896805518304E-7</v>
      </c>
      <c r="N14" s="1">
        <v>4.0393711284104499E-11</v>
      </c>
      <c r="O14" s="1">
        <v>1.73774450243526E-14</v>
      </c>
      <c r="P14" s="1">
        <v>6.2987255277023906E-14</v>
      </c>
      <c r="R14">
        <v>47.181933458631498</v>
      </c>
      <c r="S14">
        <v>2.63605461972378</v>
      </c>
      <c r="T14">
        <v>9.6742207703630996</v>
      </c>
      <c r="V14">
        <v>37.306988630627799</v>
      </c>
      <c r="W14">
        <v>0.76112716730040597</v>
      </c>
      <c r="X14">
        <v>2.43967535335325</v>
      </c>
      <c r="AJ14">
        <v>8.9416923447714694E-2</v>
      </c>
      <c r="AK14">
        <v>8.9489572745027404E-2</v>
      </c>
      <c r="AL14">
        <v>0.767052920038098</v>
      </c>
      <c r="AM14">
        <v>1.5849738513490599E-2</v>
      </c>
      <c r="AN14">
        <v>3.8190845255669202E-2</v>
      </c>
    </row>
    <row r="15" spans="1:40" x14ac:dyDescent="0.2">
      <c r="A15">
        <v>51</v>
      </c>
      <c r="B15">
        <v>734</v>
      </c>
      <c r="C15">
        <v>260</v>
      </c>
      <c r="D15">
        <v>0.30150474110112602</v>
      </c>
      <c r="E15">
        <v>4.6610264279757098E-2</v>
      </c>
      <c r="F15">
        <v>4.6539192368872904</v>
      </c>
      <c r="G15">
        <v>-0.44391459791287702</v>
      </c>
      <c r="H15">
        <v>-0.36151464058336419</v>
      </c>
      <c r="I15">
        <v>8.1814980220933101E-2</v>
      </c>
      <c r="J15">
        <v>4.2785367547307197E-2</v>
      </c>
      <c r="K15">
        <v>1.00152714104535E-2</v>
      </c>
      <c r="L15">
        <v>3.1581377758713133E-5</v>
      </c>
      <c r="M15">
        <v>5.5204858435057679E-7</v>
      </c>
      <c r="N15" s="1">
        <v>5.2764917591962101E-11</v>
      </c>
      <c r="O15" s="1">
        <v>2.1809341458022801E-14</v>
      </c>
      <c r="P15" s="1">
        <v>7.5991224139810002E-14</v>
      </c>
      <c r="R15">
        <v>47.141978470489498</v>
      </c>
      <c r="S15">
        <v>2.7557121916410399</v>
      </c>
      <c r="T15">
        <v>9.6203777670039194</v>
      </c>
      <c r="V15">
        <v>37.185492237465603</v>
      </c>
      <c r="W15">
        <v>0.87143588714700004</v>
      </c>
      <c r="X15">
        <v>2.4250034462528101</v>
      </c>
      <c r="AJ15">
        <v>8.8835046477660495E-2</v>
      </c>
      <c r="AK15">
        <v>8.89473177134468E-2</v>
      </c>
      <c r="AL15">
        <v>0.76417523114033603</v>
      </c>
      <c r="AM15">
        <v>1.8137799983513201E-2</v>
      </c>
      <c r="AN15">
        <v>3.9904604685042498E-2</v>
      </c>
    </row>
    <row r="16" spans="1:40" x14ac:dyDescent="0.2">
      <c r="A16">
        <v>52</v>
      </c>
      <c r="B16">
        <v>732</v>
      </c>
      <c r="C16">
        <v>260</v>
      </c>
      <c r="D16">
        <v>0.29997562552852802</v>
      </c>
      <c r="E16">
        <v>5.3665347655489901E-2</v>
      </c>
      <c r="F16">
        <v>4.6541529700233601</v>
      </c>
      <c r="G16">
        <v>-0.51147312993724448</v>
      </c>
      <c r="H16">
        <v>-0.41683486860746127</v>
      </c>
      <c r="I16">
        <v>9.4153371466729502E-2</v>
      </c>
      <c r="J16">
        <v>4.9251737897010303E-2</v>
      </c>
      <c r="K16">
        <v>1.15306368314792E-2</v>
      </c>
      <c r="L16">
        <v>3.1547566483815621E-5</v>
      </c>
      <c r="M16">
        <v>5.5186484614063926E-7</v>
      </c>
      <c r="N16" s="1">
        <v>6.2632404387458597E-11</v>
      </c>
      <c r="O16" s="1">
        <v>2.51015543760436E-14</v>
      </c>
      <c r="P16" s="1">
        <v>8.4564465362430296E-14</v>
      </c>
      <c r="R16">
        <v>47.106246177615098</v>
      </c>
      <c r="S16">
        <v>2.86527796836444</v>
      </c>
      <c r="T16">
        <v>9.5675921581142607</v>
      </c>
      <c r="V16">
        <v>37.090872154050203</v>
      </c>
      <c r="W16">
        <v>0.96063072269024496</v>
      </c>
      <c r="X16">
        <v>2.40938081916567</v>
      </c>
      <c r="AJ16">
        <v>8.8224080045343406E-2</v>
      </c>
      <c r="AK16">
        <v>8.8420527260972395E-2</v>
      </c>
      <c r="AL16">
        <v>0.76189685997376499</v>
      </c>
      <c r="AM16">
        <v>1.99855155335379E-2</v>
      </c>
      <c r="AN16">
        <v>4.1473017186381203E-2</v>
      </c>
    </row>
    <row r="17" spans="1:40" x14ac:dyDescent="0.2">
      <c r="A17">
        <v>53</v>
      </c>
      <c r="B17">
        <v>730</v>
      </c>
      <c r="C17">
        <v>260</v>
      </c>
      <c r="D17">
        <v>0.29844041269999899</v>
      </c>
      <c r="E17">
        <v>5.94032373223468E-2</v>
      </c>
      <c r="F17">
        <v>4.6543489923412</v>
      </c>
      <c r="G17">
        <v>-0.56650397459115909</v>
      </c>
      <c r="H17">
        <v>-0.46201425111105704</v>
      </c>
      <c r="I17">
        <v>0.104161614394758</v>
      </c>
      <c r="J17">
        <v>5.4507510314107402E-2</v>
      </c>
      <c r="K17">
        <v>1.27629529758287E-2</v>
      </c>
      <c r="L17">
        <v>3.1517024446706449E-5</v>
      </c>
      <c r="M17">
        <v>5.5170059193159825E-7</v>
      </c>
      <c r="N17" s="1">
        <v>7.1056678717212204E-11</v>
      </c>
      <c r="O17" s="1">
        <v>2.7776678086766001E-14</v>
      </c>
      <c r="P17" s="1">
        <v>9.0824234555048105E-14</v>
      </c>
      <c r="R17">
        <v>47.073653874466601</v>
      </c>
      <c r="S17">
        <v>2.9678384205558301</v>
      </c>
      <c r="T17">
        <v>9.5151685564959507</v>
      </c>
      <c r="V17">
        <v>37.014606714246597</v>
      </c>
      <c r="W17">
        <v>1.03561012137194</v>
      </c>
      <c r="X17">
        <v>2.3931223128629102</v>
      </c>
      <c r="AJ17">
        <v>8.7593881744117696E-2</v>
      </c>
      <c r="AK17">
        <v>8.79010613470598E-2</v>
      </c>
      <c r="AL17">
        <v>0.76002777605827998</v>
      </c>
      <c r="AM17">
        <v>2.153685859243E-2</v>
      </c>
      <c r="AN17">
        <v>4.2940422258111503E-2</v>
      </c>
    </row>
    <row r="18" spans="1:40" x14ac:dyDescent="0.2">
      <c r="A18">
        <v>54</v>
      </c>
      <c r="B18">
        <v>728</v>
      </c>
      <c r="C18">
        <v>260</v>
      </c>
      <c r="D18">
        <v>0.29689906607401501</v>
      </c>
      <c r="E18">
        <v>6.4325037674469204E-2</v>
      </c>
      <c r="F18">
        <v>4.6545182335896502</v>
      </c>
      <c r="G18">
        <v>-0.61376581025202348</v>
      </c>
      <c r="H18">
        <v>-0.50091454920759415</v>
      </c>
      <c r="I18">
        <v>0.112721631168585</v>
      </c>
      <c r="J18">
        <v>5.90131445294459E-2</v>
      </c>
      <c r="K18">
        <v>1.38199131352119E-2</v>
      </c>
      <c r="L18">
        <v>3.1489029209848085E-5</v>
      </c>
      <c r="M18">
        <v>5.5155122833189762E-7</v>
      </c>
      <c r="N18" s="1">
        <v>7.8544132994306499E-11</v>
      </c>
      <c r="O18" s="1">
        <v>3.0069647081133699E-14</v>
      </c>
      <c r="P18" s="1">
        <v>9.5683258722299595E-14</v>
      </c>
      <c r="R18">
        <v>47.043493172779598</v>
      </c>
      <c r="S18">
        <v>3.0652183250517302</v>
      </c>
      <c r="T18">
        <v>9.4628083899839908</v>
      </c>
      <c r="V18">
        <v>36.951809634027498</v>
      </c>
      <c r="W18">
        <v>1.10027537654628</v>
      </c>
      <c r="X18">
        <v>2.3763951016107701</v>
      </c>
      <c r="AJ18">
        <v>8.6949597410436993E-2</v>
      </c>
      <c r="AK18">
        <v>8.7385168817424502E-2</v>
      </c>
      <c r="AL18">
        <v>0.758458961933002</v>
      </c>
      <c r="AM18">
        <v>2.2873230920666902E-2</v>
      </c>
      <c r="AN18">
        <v>4.4333040918468403E-2</v>
      </c>
    </row>
    <row r="19" spans="1:40" x14ac:dyDescent="0.2">
      <c r="A19">
        <v>65</v>
      </c>
      <c r="B19">
        <v>740</v>
      </c>
      <c r="C19">
        <v>240</v>
      </c>
      <c r="D19">
        <v>0.32777032028821201</v>
      </c>
      <c r="E19">
        <v>2.20050679873026E-2</v>
      </c>
      <c r="F19">
        <v>4.6505557235146799</v>
      </c>
      <c r="G19">
        <v>-0.20971973539655853</v>
      </c>
      <c r="H19">
        <v>-0.17048411812592779</v>
      </c>
      <c r="I19">
        <v>3.8726365563471102E-2</v>
      </c>
      <c r="J19">
        <v>2.0223381003597701E-2</v>
      </c>
      <c r="K19">
        <v>4.7317071970642199E-3</v>
      </c>
      <c r="L19">
        <v>3.1618313019089559E-5</v>
      </c>
      <c r="M19">
        <v>5.5259280874797686E-7</v>
      </c>
      <c r="N19" s="1">
        <v>2.2814539959372301E-11</v>
      </c>
      <c r="O19" s="1">
        <v>1.02986737073688E-14</v>
      </c>
      <c r="P19" s="1">
        <v>4.0031393058633699E-14</v>
      </c>
      <c r="R19">
        <v>47.209940623038797</v>
      </c>
      <c r="S19">
        <v>2.5468729574919</v>
      </c>
      <c r="T19">
        <v>9.7881514045254807</v>
      </c>
      <c r="V19">
        <v>37.187288316386997</v>
      </c>
      <c r="W19">
        <v>0.72793519666450301</v>
      </c>
      <c r="X19">
        <v>2.5398115018921699</v>
      </c>
      <c r="AJ19">
        <v>9.3061004685072196E-2</v>
      </c>
      <c r="AK19">
        <v>9.0518153482974206E-2</v>
      </c>
      <c r="AL19">
        <v>0.76437805582408602</v>
      </c>
      <c r="AM19">
        <v>1.5154309877597701E-2</v>
      </c>
      <c r="AN19">
        <v>3.6888476130268799E-2</v>
      </c>
    </row>
    <row r="20" spans="1:40" x14ac:dyDescent="0.2">
      <c r="A20">
        <v>66</v>
      </c>
      <c r="B20">
        <v>738</v>
      </c>
      <c r="C20">
        <v>240</v>
      </c>
      <c r="D20">
        <v>0.326302230134007</v>
      </c>
      <c r="E20">
        <v>3.4448521295907898E-2</v>
      </c>
      <c r="F20">
        <v>4.6509190311587396</v>
      </c>
      <c r="G20">
        <v>-0.32863151346222613</v>
      </c>
      <c r="H20">
        <v>-0.26734732661418525</v>
      </c>
      <c r="I20">
        <v>6.0608403152886202E-2</v>
      </c>
      <c r="J20">
        <v>3.16520122589663E-2</v>
      </c>
      <c r="K20">
        <v>7.4068202574847399E-3</v>
      </c>
      <c r="L20">
        <v>3.1577400223293626E-5</v>
      </c>
      <c r="M20">
        <v>5.52369157344106E-7</v>
      </c>
      <c r="N20" s="1">
        <v>3.74039790968401E-11</v>
      </c>
      <c r="O20" s="1">
        <v>1.6115221827331901E-14</v>
      </c>
      <c r="P20" s="1">
        <v>6.0172034018429101E-14</v>
      </c>
      <c r="R20">
        <v>47.1680245953076</v>
      </c>
      <c r="S20">
        <v>2.6706955301440298</v>
      </c>
      <c r="T20">
        <v>9.7351156173937099</v>
      </c>
      <c r="V20">
        <v>37.044610723172099</v>
      </c>
      <c r="W20">
        <v>0.85509545465403003</v>
      </c>
      <c r="X20">
        <v>2.5264580793284401</v>
      </c>
      <c r="AJ20">
        <v>9.2522850707337095E-2</v>
      </c>
      <c r="AK20">
        <v>8.9980163669431401E-2</v>
      </c>
      <c r="AL20">
        <v>0.76104334509022498</v>
      </c>
      <c r="AM20">
        <v>1.77921610207766E-2</v>
      </c>
      <c r="AN20">
        <v>3.8661479512229403E-2</v>
      </c>
    </row>
    <row r="21" spans="1:40" x14ac:dyDescent="0.2">
      <c r="A21">
        <v>67</v>
      </c>
      <c r="B21">
        <v>736</v>
      </c>
      <c r="C21">
        <v>240</v>
      </c>
      <c r="D21">
        <v>0.32482832086409602</v>
      </c>
      <c r="E21">
        <v>4.3062870221860103E-2</v>
      </c>
      <c r="F21">
        <v>4.65120434701634</v>
      </c>
      <c r="G21">
        <v>-0.41112852671606437</v>
      </c>
      <c r="H21">
        <v>-0.33470333294468912</v>
      </c>
      <c r="I21">
        <v>7.5732243741143707E-2</v>
      </c>
      <c r="J21">
        <v>3.9558492107647697E-2</v>
      </c>
      <c r="K21">
        <v>9.2584343772133103E-3</v>
      </c>
      <c r="L21">
        <v>3.1541525494375731E-5</v>
      </c>
      <c r="M21">
        <v>5.5217683327555381E-7</v>
      </c>
      <c r="N21" s="1">
        <v>4.83962583513907E-11</v>
      </c>
      <c r="O21" s="1">
        <v>2.01373317330694E-14</v>
      </c>
      <c r="P21" s="1">
        <v>7.2720267335407401E-14</v>
      </c>
      <c r="R21">
        <v>47.1309741069742</v>
      </c>
      <c r="S21">
        <v>2.7825234347835499</v>
      </c>
      <c r="T21">
        <v>9.6834786644751798</v>
      </c>
      <c r="V21">
        <v>36.935772227557699</v>
      </c>
      <c r="W21">
        <v>0.95543939080487394</v>
      </c>
      <c r="X21">
        <v>2.5118121754044198</v>
      </c>
      <c r="AJ21">
        <v>9.1944465406505402E-2</v>
      </c>
      <c r="AK21">
        <v>8.9461996734102697E-2</v>
      </c>
      <c r="AL21">
        <v>0.75846066520647604</v>
      </c>
      <c r="AM21">
        <v>1.9870956234703498E-2</v>
      </c>
      <c r="AN21">
        <v>4.0261916418212203E-2</v>
      </c>
    </row>
    <row r="22" spans="1:40" x14ac:dyDescent="0.2">
      <c r="A22">
        <v>68</v>
      </c>
      <c r="B22">
        <v>734</v>
      </c>
      <c r="C22">
        <v>240</v>
      </c>
      <c r="D22">
        <v>0.32334855781164801</v>
      </c>
      <c r="E22">
        <v>4.97754808183761E-2</v>
      </c>
      <c r="F22">
        <v>4.6514407120017403</v>
      </c>
      <c r="G22">
        <v>-0.47552203580972152</v>
      </c>
      <c r="H22">
        <v>-0.38740460800630594</v>
      </c>
      <c r="I22">
        <v>8.7491860997284898E-2</v>
      </c>
      <c r="J22">
        <v>4.5715592445810901E-2</v>
      </c>
      <c r="K22">
        <v>1.0701088952922501E-2</v>
      </c>
      <c r="L22">
        <v>3.1509455741415715E-5</v>
      </c>
      <c r="M22">
        <v>5.5200685564340808E-7</v>
      </c>
      <c r="N22" s="1">
        <v>5.7481872833364298E-11</v>
      </c>
      <c r="O22" s="1">
        <v>2.32684834564277E-14</v>
      </c>
      <c r="P22" s="1">
        <v>8.1624454104108905E-14</v>
      </c>
      <c r="R22">
        <v>47.097475439455003</v>
      </c>
      <c r="S22">
        <v>2.8863296894604802</v>
      </c>
      <c r="T22">
        <v>9.6322580568652398</v>
      </c>
      <c r="V22">
        <v>36.849029119480498</v>
      </c>
      <c r="W22">
        <v>1.0385578033460401</v>
      </c>
      <c r="X22">
        <v>2.49634989139272</v>
      </c>
      <c r="AJ22">
        <v>9.13409966813752E-2</v>
      </c>
      <c r="AK22">
        <v>8.8952294525026801E-2</v>
      </c>
      <c r="AL22">
        <v>0.75636911671898899</v>
      </c>
      <c r="AM22">
        <v>2.1590771268397101E-2</v>
      </c>
      <c r="AN22">
        <v>4.1746820806211199E-2</v>
      </c>
    </row>
    <row r="23" spans="1:40" x14ac:dyDescent="0.2">
      <c r="A23">
        <v>69</v>
      </c>
      <c r="B23">
        <v>732</v>
      </c>
      <c r="C23">
        <v>240</v>
      </c>
      <c r="D23">
        <v>0.32186290603392398</v>
      </c>
      <c r="E23">
        <v>5.5371790582401201E-2</v>
      </c>
      <c r="F23">
        <v>4.65164335317517</v>
      </c>
      <c r="G23">
        <v>-0.52927957750470789</v>
      </c>
      <c r="H23">
        <v>-0.43150719485630062</v>
      </c>
      <c r="I23">
        <v>9.7271434759396397E-2</v>
      </c>
      <c r="J23">
        <v>5.0845739774586098E-2</v>
      </c>
      <c r="K23">
        <v>1.19037050733059E-2</v>
      </c>
      <c r="L23">
        <v>3.148030761522646E-5</v>
      </c>
      <c r="M23">
        <v>5.518536616079255E-7</v>
      </c>
      <c r="N23" s="1">
        <v>6.5389916182594404E-11</v>
      </c>
      <c r="O23" s="1">
        <v>2.5876846175537599E-14</v>
      </c>
      <c r="P23" s="1">
        <v>8.8440073809387097E-14</v>
      </c>
      <c r="R23">
        <v>47.066691702452601</v>
      </c>
      <c r="S23">
        <v>2.98433875386602</v>
      </c>
      <c r="T23">
        <v>9.5810707721726498</v>
      </c>
      <c r="V23">
        <v>36.778041686560101</v>
      </c>
      <c r="W23">
        <v>1.1095473023672699</v>
      </c>
      <c r="X23">
        <v>2.4803097825811999</v>
      </c>
      <c r="AJ23">
        <v>9.07199203977231E-2</v>
      </c>
      <c r="AK23">
        <v>8.8446273349419402E-2</v>
      </c>
      <c r="AL23">
        <v>0.75462777078913201</v>
      </c>
      <c r="AM23">
        <v>2.3057899919127801E-2</v>
      </c>
      <c r="AN23">
        <v>4.3148135544597198E-2</v>
      </c>
    </row>
    <row r="24" spans="1:40" x14ac:dyDescent="0.2">
      <c r="A24">
        <v>79</v>
      </c>
      <c r="B24">
        <v>742</v>
      </c>
      <c r="C24">
        <v>220</v>
      </c>
      <c r="D24">
        <v>0.35090429985716198</v>
      </c>
      <c r="E24">
        <v>2.1565764278073E-2</v>
      </c>
      <c r="F24">
        <v>4.6478270046354098</v>
      </c>
      <c r="G24">
        <v>-0.20609622168376007</v>
      </c>
      <c r="H24">
        <v>-0.16748805870781555</v>
      </c>
      <c r="I24">
        <v>3.8031978501644498E-2</v>
      </c>
      <c r="J24">
        <v>1.9834884045902602E-2</v>
      </c>
      <c r="K24">
        <v>4.6399670763487702E-3</v>
      </c>
      <c r="L24">
        <v>3.1571266812330496E-5</v>
      </c>
      <c r="M24">
        <v>5.5266343995039411E-7</v>
      </c>
      <c r="N24" s="1">
        <v>2.2433806538333101E-11</v>
      </c>
      <c r="O24" s="1">
        <v>1.00858411958281E-14</v>
      </c>
      <c r="P24" s="1">
        <v>4.0163415951928501E-14</v>
      </c>
      <c r="R24">
        <v>47.189776702882</v>
      </c>
      <c r="S24">
        <v>2.5965490471561599</v>
      </c>
      <c r="T24">
        <v>9.8470906154159792</v>
      </c>
      <c r="V24">
        <v>36.897592024128997</v>
      </c>
      <c r="W24">
        <v>0.84117986838632197</v>
      </c>
      <c r="X24">
        <v>2.6278117420303699</v>
      </c>
      <c r="AJ24">
        <v>9.6199617077946498E-2</v>
      </c>
      <c r="AK24">
        <v>9.0982064057940001E-2</v>
      </c>
      <c r="AL24">
        <v>0.75774759642869705</v>
      </c>
      <c r="AM24">
        <v>1.7496257366300099E-2</v>
      </c>
      <c r="AN24">
        <v>3.7574465069115097E-2</v>
      </c>
    </row>
    <row r="25" spans="1:40" x14ac:dyDescent="0.2">
      <c r="A25">
        <v>80</v>
      </c>
      <c r="B25">
        <v>740</v>
      </c>
      <c r="C25">
        <v>220</v>
      </c>
      <c r="D25">
        <v>0.34948477520604299</v>
      </c>
      <c r="E25">
        <v>3.2066437290913997E-2</v>
      </c>
      <c r="F25">
        <v>4.6481673080269603</v>
      </c>
      <c r="G25">
        <v>-0.30670105075217019</v>
      </c>
      <c r="H25">
        <v>-0.24942829071781569</v>
      </c>
      <c r="I25">
        <v>5.6529398444805298E-2</v>
      </c>
      <c r="J25">
        <v>2.9485816971634701E-2</v>
      </c>
      <c r="K25">
        <v>6.8987269962374502E-3</v>
      </c>
      <c r="L25">
        <v>3.1533488637531693E-5</v>
      </c>
      <c r="M25">
        <v>5.5246377778453113E-7</v>
      </c>
      <c r="N25" s="1">
        <v>3.4668852735857402E-11</v>
      </c>
      <c r="O25" s="1">
        <v>1.4990622626536299E-14</v>
      </c>
      <c r="P25" s="1">
        <v>5.7756266733694702E-14</v>
      </c>
      <c r="R25">
        <v>47.151632754923497</v>
      </c>
      <c r="S25">
        <v>2.7101467347826298</v>
      </c>
      <c r="T25">
        <v>9.7967200275201893</v>
      </c>
      <c r="V25">
        <v>36.774587459847098</v>
      </c>
      <c r="W25">
        <v>0.95270429180312299</v>
      </c>
      <c r="X25">
        <v>2.6142087311234099</v>
      </c>
      <c r="AJ25">
        <v>9.5656286822071404E-2</v>
      </c>
      <c r="AK25">
        <v>9.0473774855548597E-2</v>
      </c>
      <c r="AL25">
        <v>0.75486365501901598</v>
      </c>
      <c r="AM25">
        <v>1.9806538066941E-2</v>
      </c>
      <c r="AN25">
        <v>3.9199745236422702E-2</v>
      </c>
    </row>
    <row r="26" spans="1:40" x14ac:dyDescent="0.2">
      <c r="A26">
        <v>81</v>
      </c>
      <c r="B26">
        <v>738</v>
      </c>
      <c r="C26">
        <v>220</v>
      </c>
      <c r="D26">
        <v>0.34805963506898102</v>
      </c>
      <c r="E26">
        <v>3.9906783807080001E-2</v>
      </c>
      <c r="F26">
        <v>4.6484457652356799</v>
      </c>
      <c r="G26">
        <v>-0.3819501450088858</v>
      </c>
      <c r="H26">
        <v>-0.31084878851305708</v>
      </c>
      <c r="I26">
        <v>7.0317318395716297E-2</v>
      </c>
      <c r="J26">
        <v>3.66871933528298E-2</v>
      </c>
      <c r="K26">
        <v>8.5849735207261697E-3</v>
      </c>
      <c r="L26">
        <v>3.1500034540995166E-5</v>
      </c>
      <c r="M26">
        <v>5.5228914028675039E-7</v>
      </c>
      <c r="N26" s="1">
        <v>4.44503459312329E-11</v>
      </c>
      <c r="O26" s="1">
        <v>1.8649202581630301E-14</v>
      </c>
      <c r="P26" s="1">
        <v>6.9857181101386601E-14</v>
      </c>
      <c r="R26">
        <v>47.1174070139609</v>
      </c>
      <c r="S26">
        <v>2.8147785861299099</v>
      </c>
      <c r="T26">
        <v>9.7468120473088202</v>
      </c>
      <c r="V26">
        <v>36.677619705558797</v>
      </c>
      <c r="W26">
        <v>1.0437990568201601</v>
      </c>
      <c r="X26">
        <v>2.5995835902212399</v>
      </c>
      <c r="AJ26">
        <v>9.5081133533476095E-2</v>
      </c>
      <c r="AK26">
        <v>8.9975011649507303E-2</v>
      </c>
      <c r="AL26">
        <v>0.75255657665984799</v>
      </c>
      <c r="AM26">
        <v>2.1691253884305099E-2</v>
      </c>
      <c r="AN26">
        <v>4.06960242728623E-2</v>
      </c>
    </row>
    <row r="27" spans="1:40" x14ac:dyDescent="0.2">
      <c r="A27">
        <v>82</v>
      </c>
      <c r="B27">
        <v>736</v>
      </c>
      <c r="C27">
        <v>220</v>
      </c>
      <c r="D27">
        <v>0.34662884605856398</v>
      </c>
      <c r="E27">
        <v>4.6262781597180898E-2</v>
      </c>
      <c r="F27">
        <v>4.64868279300625</v>
      </c>
      <c r="G27">
        <v>-0.44304017146729729</v>
      </c>
      <c r="H27">
        <v>-0.36082319832125631</v>
      </c>
      <c r="I27">
        <v>8.14715088401535E-2</v>
      </c>
      <c r="J27">
        <v>4.2521738957460399E-2</v>
      </c>
      <c r="K27">
        <v>9.9518043405287301E-3</v>
      </c>
      <c r="L27">
        <v>3.1469862736877313E-5</v>
      </c>
      <c r="M27">
        <v>5.5213302895629833E-7</v>
      </c>
      <c r="N27" s="1">
        <v>5.2787667123185401E-11</v>
      </c>
      <c r="O27" s="1">
        <v>2.1612659735256399E-14</v>
      </c>
      <c r="P27" s="1">
        <v>7.8963790233834097E-14</v>
      </c>
      <c r="R27">
        <v>47.086148715425502</v>
      </c>
      <c r="S27">
        <v>2.9130609498086999</v>
      </c>
      <c r="T27">
        <v>9.6968924685147293</v>
      </c>
      <c r="V27">
        <v>36.598735390912999</v>
      </c>
      <c r="W27">
        <v>1.1209016677641299</v>
      </c>
      <c r="X27">
        <v>2.58426080757385</v>
      </c>
      <c r="AJ27">
        <v>9.4484467304993505E-2</v>
      </c>
      <c r="AK27">
        <v>8.9479884254975897E-2</v>
      </c>
      <c r="AL27">
        <v>0.75065020142649996</v>
      </c>
      <c r="AM27">
        <v>2.32846002683555E-2</v>
      </c>
      <c r="AN27">
        <v>4.2100846745174399E-2</v>
      </c>
    </row>
    <row r="28" spans="1:40" x14ac:dyDescent="0.2">
      <c r="A28">
        <v>83</v>
      </c>
      <c r="B28">
        <v>734</v>
      </c>
      <c r="C28">
        <v>220</v>
      </c>
      <c r="D28">
        <v>0.345192374522167</v>
      </c>
      <c r="E28">
        <v>5.1684052979115103E-2</v>
      </c>
      <c r="F28">
        <v>4.6488900431726297</v>
      </c>
      <c r="G28">
        <v>-0.4952072665630412</v>
      </c>
      <c r="H28">
        <v>-0.40359407380514906</v>
      </c>
      <c r="I28">
        <v>9.0962808675859805E-2</v>
      </c>
      <c r="J28">
        <v>4.7495469720768201E-2</v>
      </c>
      <c r="K28">
        <v>1.1117503855574799E-2</v>
      </c>
      <c r="L28">
        <v>3.1442241497746498E-5</v>
      </c>
      <c r="M28">
        <v>5.5199119605794924E-7</v>
      </c>
      <c r="N28" s="1">
        <v>6.0177281046746594E-11</v>
      </c>
      <c r="O28" s="1">
        <v>2.4138543069982901E-14</v>
      </c>
      <c r="P28" s="1">
        <v>8.6211159755931597E-14</v>
      </c>
      <c r="R28">
        <v>47.057217673246498</v>
      </c>
      <c r="S28">
        <v>3.0065852228685301</v>
      </c>
      <c r="T28">
        <v>9.6467732991110093</v>
      </c>
      <c r="V28">
        <v>36.533264296408497</v>
      </c>
      <c r="W28">
        <v>1.1877405188130701</v>
      </c>
      <c r="X28">
        <v>2.5684189895522902</v>
      </c>
      <c r="AJ28">
        <v>9.3871886747891403E-2</v>
      </c>
      <c r="AK28">
        <v>8.8985757893347103E-2</v>
      </c>
      <c r="AL28">
        <v>0.74904102023147001</v>
      </c>
      <c r="AM28">
        <v>2.4664279923916999E-2</v>
      </c>
      <c r="AN28">
        <v>4.3437055203373397E-2</v>
      </c>
    </row>
    <row r="29" spans="1:40" x14ac:dyDescent="0.2">
      <c r="A29">
        <v>92</v>
      </c>
      <c r="B29">
        <v>744</v>
      </c>
      <c r="C29">
        <v>200</v>
      </c>
      <c r="D29">
        <v>0.373947303740848</v>
      </c>
      <c r="E29">
        <v>2.1213786445034601E-2</v>
      </c>
      <c r="F29">
        <v>4.6450466160735298</v>
      </c>
      <c r="G29">
        <v>-0.20330624468632971</v>
      </c>
      <c r="H29">
        <v>-0.16517296087895272</v>
      </c>
      <c r="I29">
        <v>3.7490324738118197E-2</v>
      </c>
      <c r="J29">
        <v>1.95265502362361E-2</v>
      </c>
      <c r="K29">
        <v>4.5669695480831602E-3</v>
      </c>
      <c r="L29">
        <v>3.1521355347743769E-5</v>
      </c>
      <c r="M29">
        <v>5.5270810159863659E-7</v>
      </c>
      <c r="N29" s="1">
        <v>2.2084729256227702E-11</v>
      </c>
      <c r="O29" s="1">
        <v>9.9131686819986307E-15</v>
      </c>
      <c r="P29" s="1">
        <v>4.0539767716021498E-14</v>
      </c>
      <c r="R29">
        <v>47.165050455944296</v>
      </c>
      <c r="S29">
        <v>2.6547530405964501</v>
      </c>
      <c r="T29">
        <v>9.9068557951745895</v>
      </c>
      <c r="V29">
        <v>36.596196599805701</v>
      </c>
      <c r="W29">
        <v>0.96055202437898701</v>
      </c>
      <c r="X29">
        <v>2.7165920840998998</v>
      </c>
      <c r="AJ29">
        <v>9.9356529367589597E-2</v>
      </c>
      <c r="AK29">
        <v>9.1448498593336397E-2</v>
      </c>
      <c r="AL29">
        <v>0.75085379877690295</v>
      </c>
      <c r="AM29">
        <v>1.9960438008565898E-2</v>
      </c>
      <c r="AN29">
        <v>3.8380735253604199E-2</v>
      </c>
    </row>
    <row r="30" spans="1:40" x14ac:dyDescent="0.2">
      <c r="A30">
        <v>93</v>
      </c>
      <c r="B30">
        <v>742</v>
      </c>
      <c r="C30">
        <v>200</v>
      </c>
      <c r="D30">
        <v>0.37257597399398801</v>
      </c>
      <c r="E30">
        <v>3.01704161404397E-2</v>
      </c>
      <c r="F30">
        <v>4.6453646657128598</v>
      </c>
      <c r="G30">
        <v>-0.28934634272457926</v>
      </c>
      <c r="H30">
        <v>-0.23524379298086645</v>
      </c>
      <c r="I30">
        <v>5.3295128546237198E-2</v>
      </c>
      <c r="J30">
        <v>2.7764350367092301E-2</v>
      </c>
      <c r="K30">
        <v>6.4947357875099997E-3</v>
      </c>
      <c r="L30">
        <v>3.1486991939231508E-5</v>
      </c>
      <c r="M30">
        <v>5.5253163253318731E-7</v>
      </c>
      <c r="N30" s="1">
        <v>3.2425940516368202E-11</v>
      </c>
      <c r="O30" s="1">
        <v>1.40933268321814E-14</v>
      </c>
      <c r="P30" s="1">
        <v>5.6102250210617703E-14</v>
      </c>
      <c r="R30">
        <v>47.130544140378099</v>
      </c>
      <c r="S30">
        <v>2.7591949306984098</v>
      </c>
      <c r="T30">
        <v>9.8583762218824198</v>
      </c>
      <c r="V30">
        <v>36.491069003178701</v>
      </c>
      <c r="W30">
        <v>1.0580520573026899</v>
      </c>
      <c r="X30">
        <v>2.7027636465595601</v>
      </c>
      <c r="AJ30">
        <v>9.8808693513320001E-2</v>
      </c>
      <c r="AK30">
        <v>9.0962257974236696E-2</v>
      </c>
      <c r="AL30">
        <v>0.74837819062766897</v>
      </c>
      <c r="AM30">
        <v>2.1977147235934601E-2</v>
      </c>
      <c r="AN30">
        <v>3.9873710648839301E-2</v>
      </c>
    </row>
    <row r="31" spans="1:40" x14ac:dyDescent="0.2">
      <c r="A31">
        <v>94</v>
      </c>
      <c r="B31">
        <v>740</v>
      </c>
      <c r="C31">
        <v>200</v>
      </c>
      <c r="D31">
        <v>0.37119923012387401</v>
      </c>
      <c r="E31">
        <v>3.7276622895812302E-2</v>
      </c>
      <c r="F31">
        <v>4.6456342686327803</v>
      </c>
      <c r="G31">
        <v>-0.35770924540376936</v>
      </c>
      <c r="H31">
        <v>-0.29103077880765305</v>
      </c>
      <c r="I31">
        <v>6.5813025313247106E-2</v>
      </c>
      <c r="J31">
        <v>3.4296438843625099E-2</v>
      </c>
      <c r="K31">
        <v>8.0240115214198493E-3</v>
      </c>
      <c r="L31">
        <v>3.1456171838649868E-5</v>
      </c>
      <c r="M31">
        <v>5.5237479946625972E-7</v>
      </c>
      <c r="N31" s="1">
        <v>4.1098342782619402E-11</v>
      </c>
      <c r="O31" s="1">
        <v>1.7407102804570899E-14</v>
      </c>
      <c r="P31" s="1">
        <v>6.76750777120031E-14</v>
      </c>
      <c r="R31">
        <v>47.099157119698901</v>
      </c>
      <c r="S31">
        <v>2.85698076307636</v>
      </c>
      <c r="T31">
        <v>9.8098015439343307</v>
      </c>
      <c r="V31">
        <v>36.405827587656198</v>
      </c>
      <c r="W31">
        <v>1.14010145817773</v>
      </c>
      <c r="X31">
        <v>2.6881315274563899</v>
      </c>
      <c r="AJ31">
        <v>9.8235837685659202E-2</v>
      </c>
      <c r="AK31">
        <v>9.04791300507366E-2</v>
      </c>
      <c r="AL31">
        <v>0.74634185021352994</v>
      </c>
      <c r="AM31">
        <v>2.36722824029207E-2</v>
      </c>
      <c r="AN31">
        <v>4.1270899647152699E-2</v>
      </c>
    </row>
    <row r="32" spans="1:40" x14ac:dyDescent="0.2">
      <c r="A32">
        <v>95</v>
      </c>
      <c r="B32">
        <v>738</v>
      </c>
      <c r="C32">
        <v>200</v>
      </c>
      <c r="D32">
        <v>0.36981704000395799</v>
      </c>
      <c r="E32">
        <v>4.3243736906205303E-2</v>
      </c>
      <c r="F32">
        <v>4.6458694487122996</v>
      </c>
      <c r="G32">
        <v>-0.41518281294604414</v>
      </c>
      <c r="H32">
        <v>-0.33802918653334862</v>
      </c>
      <c r="I32">
        <v>7.6302849639218101E-2</v>
      </c>
      <c r="J32">
        <v>3.9778428068190298E-2</v>
      </c>
      <c r="K32">
        <v>9.3079965727816908E-3</v>
      </c>
      <c r="L32">
        <v>3.1428086645611067E-5</v>
      </c>
      <c r="M32">
        <v>5.5223301948627781E-7</v>
      </c>
      <c r="N32" s="1">
        <v>4.8698479309898103E-11</v>
      </c>
      <c r="O32" s="1">
        <v>2.01877110741206E-14</v>
      </c>
      <c r="P32" s="1">
        <v>7.6825508849211794E-14</v>
      </c>
      <c r="R32">
        <v>47.070212492634397</v>
      </c>
      <c r="S32">
        <v>2.9498133577649202</v>
      </c>
      <c r="T32">
        <v>9.7609387022688896</v>
      </c>
      <c r="V32">
        <v>36.335171375039103</v>
      </c>
      <c r="W32">
        <v>1.2109515002137701</v>
      </c>
      <c r="X32">
        <v>2.6729125720787801</v>
      </c>
      <c r="AJ32">
        <v>9.7644835419908801E-2</v>
      </c>
      <c r="AK32">
        <v>8.9996343740726098E-2</v>
      </c>
      <c r="AL32">
        <v>0.74462769576453902</v>
      </c>
      <c r="AM32">
        <v>2.5134396812804199E-2</v>
      </c>
      <c r="AN32">
        <v>4.2596728262021197E-2</v>
      </c>
    </row>
    <row r="33" spans="1:40" x14ac:dyDescent="0.2">
      <c r="A33">
        <v>104</v>
      </c>
      <c r="B33">
        <v>748</v>
      </c>
      <c r="C33">
        <v>180</v>
      </c>
      <c r="D33">
        <v>0.39821818537923098</v>
      </c>
      <c r="E33">
        <v>1.15327157309301E-2</v>
      </c>
      <c r="F33">
        <v>4.6418541292820397</v>
      </c>
      <c r="G33">
        <v>-0.11077837944470079</v>
      </c>
      <c r="H33">
        <v>-8.9911370281309771E-2</v>
      </c>
      <c r="I33">
        <v>2.0434812871165799E-2</v>
      </c>
      <c r="J33">
        <v>1.06268733138435E-2</v>
      </c>
      <c r="K33">
        <v>2.4845062791134802E-3</v>
      </c>
      <c r="L33">
        <v>3.1502317055837115E-5</v>
      </c>
      <c r="M33">
        <v>5.5288690491542701E-7</v>
      </c>
      <c r="N33" s="1">
        <v>1.1603351351193701E-11</v>
      </c>
      <c r="O33" s="1">
        <v>5.3861223815021998E-15</v>
      </c>
      <c r="P33" s="1">
        <v>2.3247784695501899E-14</v>
      </c>
      <c r="R33">
        <v>47.1671140346294</v>
      </c>
      <c r="S33">
        <v>2.6247717843633001</v>
      </c>
      <c r="T33">
        <v>10.0135559649912</v>
      </c>
      <c r="V33">
        <v>36.384972139047598</v>
      </c>
      <c r="W33">
        <v>0.99044399578798004</v>
      </c>
      <c r="X33">
        <v>2.8191420811802801</v>
      </c>
      <c r="AJ33">
        <v>0.10304643748287599</v>
      </c>
      <c r="AK33">
        <v>9.2378967384661601E-2</v>
      </c>
      <c r="AL33">
        <v>0.74608019704346695</v>
      </c>
      <c r="AM33">
        <v>2.0569471574458199E-2</v>
      </c>
      <c r="AN33">
        <v>3.7924926514535301E-2</v>
      </c>
    </row>
    <row r="34" spans="1:40" x14ac:dyDescent="0.2">
      <c r="A34">
        <v>105</v>
      </c>
      <c r="B34">
        <v>746</v>
      </c>
      <c r="C34">
        <v>180</v>
      </c>
      <c r="D34">
        <v>0.396899867536674</v>
      </c>
      <c r="E34">
        <v>2.1252800333606499E-2</v>
      </c>
      <c r="F34">
        <v>4.6422018836975401</v>
      </c>
      <c r="G34">
        <v>-0.20428691900926163</v>
      </c>
      <c r="H34">
        <v>-0.16592475452964947</v>
      </c>
      <c r="I34">
        <v>3.7641332953551598E-2</v>
      </c>
      <c r="J34">
        <v>1.9578716973309599E-2</v>
      </c>
      <c r="K34">
        <v>4.5781723557180897E-3</v>
      </c>
      <c r="L34">
        <v>3.1467974878746525E-5</v>
      </c>
      <c r="M34">
        <v>5.5271371385851575E-7</v>
      </c>
      <c r="N34" s="1">
        <v>2.20894808841731E-11</v>
      </c>
      <c r="O34" s="1">
        <v>9.9219442171974301E-15</v>
      </c>
      <c r="P34" s="1">
        <v>4.1767878112256502E-14</v>
      </c>
      <c r="R34">
        <v>47.133108870516097</v>
      </c>
      <c r="S34">
        <v>2.7272706980448702</v>
      </c>
      <c r="T34">
        <v>9.9665921874189607</v>
      </c>
      <c r="V34">
        <v>36.276387746304799</v>
      </c>
      <c r="W34">
        <v>1.09070165364427</v>
      </c>
      <c r="X34">
        <v>2.8059388440708002</v>
      </c>
      <c r="AJ34">
        <v>0.10252069443686999</v>
      </c>
      <c r="AK34">
        <v>9.1907040691150105E-2</v>
      </c>
      <c r="AL34">
        <v>0.74354082972658397</v>
      </c>
      <c r="AM34">
        <v>2.2642089526203502E-2</v>
      </c>
      <c r="AN34">
        <v>3.9389345619191503E-2</v>
      </c>
    </row>
    <row r="35" spans="1:40" x14ac:dyDescent="0.2">
      <c r="A35">
        <v>106</v>
      </c>
      <c r="B35">
        <v>744</v>
      </c>
      <c r="C35">
        <v>180</v>
      </c>
      <c r="D35">
        <v>0.39557636533451601</v>
      </c>
      <c r="E35">
        <v>2.8912792936990801E-2</v>
      </c>
      <c r="F35">
        <v>4.6424974254979396</v>
      </c>
      <c r="G35">
        <v>-0.27807910335744074</v>
      </c>
      <c r="H35">
        <v>-0.22601992096310425</v>
      </c>
      <c r="I35">
        <v>5.1181421023778602E-2</v>
      </c>
      <c r="J35">
        <v>2.6629339648593198E-2</v>
      </c>
      <c r="K35">
        <v>6.2278533054629997E-3</v>
      </c>
      <c r="L35">
        <v>3.1437219284125543E-5</v>
      </c>
      <c r="M35">
        <v>5.5256001992111215E-7</v>
      </c>
      <c r="N35" s="1">
        <v>3.0842005575786001E-11</v>
      </c>
      <c r="O35" s="1">
        <v>1.34935733920459E-14</v>
      </c>
      <c r="P35" s="1">
        <v>5.5572939809481102E-14</v>
      </c>
      <c r="R35">
        <v>47.102191571551401</v>
      </c>
      <c r="S35">
        <v>2.8232771269616399</v>
      </c>
      <c r="T35">
        <v>9.9193859468098999</v>
      </c>
      <c r="V35">
        <v>36.188118829365401</v>
      </c>
      <c r="W35">
        <v>1.17514418713489</v>
      </c>
      <c r="X35">
        <v>2.79188233817669</v>
      </c>
      <c r="AJ35">
        <v>0.101968215198262</v>
      </c>
      <c r="AK35">
        <v>9.1436848899184894E-2</v>
      </c>
      <c r="AL35">
        <v>0.74144879302915301</v>
      </c>
      <c r="AM35">
        <v>2.4385746607105501E-2</v>
      </c>
      <c r="AN35">
        <v>4.0760396266294401E-2</v>
      </c>
    </row>
    <row r="36" spans="1:40" x14ac:dyDescent="0.2">
      <c r="A36">
        <v>107</v>
      </c>
      <c r="B36">
        <v>742</v>
      </c>
      <c r="C36">
        <v>180</v>
      </c>
      <c r="D36">
        <v>0.39424764813081797</v>
      </c>
      <c r="E36">
        <v>3.5304966947403399E-2</v>
      </c>
      <c r="F36">
        <v>4.6427557893796996</v>
      </c>
      <c r="G36">
        <v>-0.33972987917420988</v>
      </c>
      <c r="H36">
        <v>-0.27632323232745526</v>
      </c>
      <c r="I36">
        <v>6.24603722078063E-2</v>
      </c>
      <c r="J36">
        <v>3.2509827534174002E-2</v>
      </c>
      <c r="K36">
        <v>7.6043127291259803E-3</v>
      </c>
      <c r="L36">
        <v>3.1409231824349427E-5</v>
      </c>
      <c r="M36">
        <v>5.5242132574850719E-7</v>
      </c>
      <c r="N36" s="1">
        <v>3.8481581618606401E-11</v>
      </c>
      <c r="O36" s="1">
        <v>1.6471978035849599E-14</v>
      </c>
      <c r="P36" s="1">
        <v>6.6510803132052298E-14</v>
      </c>
      <c r="R36">
        <v>47.0737077249929</v>
      </c>
      <c r="S36">
        <v>2.9144301535306099</v>
      </c>
      <c r="T36">
        <v>9.8717778878682196</v>
      </c>
      <c r="V36">
        <v>36.114772462568702</v>
      </c>
      <c r="W36">
        <v>1.24810755043569</v>
      </c>
      <c r="X36">
        <v>2.7772042206038301</v>
      </c>
      <c r="AJ36">
        <v>0.10139639591623199</v>
      </c>
      <c r="AK36">
        <v>9.0965944576908403E-2</v>
      </c>
      <c r="AL36">
        <v>0.73968537734315698</v>
      </c>
      <c r="AM36">
        <v>2.58907067683092E-2</v>
      </c>
      <c r="AN36">
        <v>4.2061575395392098E-2</v>
      </c>
    </row>
    <row r="37" spans="1:40" x14ac:dyDescent="0.2">
      <c r="A37">
        <v>108</v>
      </c>
      <c r="B37">
        <v>740</v>
      </c>
      <c r="C37">
        <v>180</v>
      </c>
      <c r="D37">
        <v>0.39291368504170499</v>
      </c>
      <c r="E37">
        <v>4.0846689237219402E-2</v>
      </c>
      <c r="F37">
        <v>4.6429862780046198</v>
      </c>
      <c r="G37">
        <v>-0.39323142325877369</v>
      </c>
      <c r="H37">
        <v>-0.3200628255024533</v>
      </c>
      <c r="I37">
        <v>7.2218918971840698E-2</v>
      </c>
      <c r="J37">
        <v>3.7605294233836302E-2</v>
      </c>
      <c r="K37">
        <v>8.7975037597513E-3</v>
      </c>
      <c r="L37">
        <v>3.1383430426921231E-5</v>
      </c>
      <c r="M37">
        <v>5.5229451734089456E-7</v>
      </c>
      <c r="N37" s="1">
        <v>4.5349727540627E-11</v>
      </c>
      <c r="O37" s="1">
        <v>1.9052579485225201E-14</v>
      </c>
      <c r="P37" s="1">
        <v>7.5536378550276394E-14</v>
      </c>
      <c r="R37">
        <v>47.047188542828799</v>
      </c>
      <c r="S37">
        <v>3.0018098811213298</v>
      </c>
      <c r="T37">
        <v>9.8237220302198001</v>
      </c>
      <c r="V37">
        <v>36.052922922211202</v>
      </c>
      <c r="W37">
        <v>1.3123129506853499</v>
      </c>
      <c r="X37">
        <v>2.7620436729334199</v>
      </c>
      <c r="AJ37">
        <v>0.10080962917323801</v>
      </c>
      <c r="AK37">
        <v>9.0493273264607904E-2</v>
      </c>
      <c r="AL37">
        <v>0.73817512191747603</v>
      </c>
      <c r="AM37">
        <v>2.7213605470696699E-2</v>
      </c>
      <c r="AN37">
        <v>4.3308370173979899E-2</v>
      </c>
    </row>
    <row r="38" spans="1:40" x14ac:dyDescent="0.2">
      <c r="A38">
        <v>120</v>
      </c>
      <c r="B38">
        <v>750</v>
      </c>
      <c r="C38">
        <v>160</v>
      </c>
      <c r="D38">
        <v>0.42103357278991599</v>
      </c>
      <c r="E38">
        <v>1.4085586531086E-2</v>
      </c>
      <c r="F38">
        <v>4.6389619851168797</v>
      </c>
      <c r="G38">
        <v>-0.13575162031451762</v>
      </c>
      <c r="H38">
        <v>-0.11015473170766429</v>
      </c>
      <c r="I38">
        <v>2.5017728199045401E-2</v>
      </c>
      <c r="J38">
        <v>1.29907452229172E-2</v>
      </c>
      <c r="K38">
        <v>3.0363660181472801E-3</v>
      </c>
      <c r="L38">
        <v>3.1440274413351523E-5</v>
      </c>
      <c r="M38">
        <v>5.5281013362240875E-7</v>
      </c>
      <c r="N38" s="1">
        <v>1.4216382137288001E-11</v>
      </c>
      <c r="O38" s="1">
        <v>6.5704823602222203E-15</v>
      </c>
      <c r="P38" s="1">
        <v>2.9113022204670202E-14</v>
      </c>
      <c r="R38">
        <v>47.120392061015103</v>
      </c>
      <c r="S38">
        <v>2.7284128578748001</v>
      </c>
      <c r="T38">
        <v>10.0712043055295</v>
      </c>
      <c r="V38">
        <v>36.017650274203199</v>
      </c>
      <c r="W38">
        <v>1.1531527335434799</v>
      </c>
      <c r="X38">
        <v>2.9091877678337901</v>
      </c>
      <c r="AJ38">
        <v>0.106213784262099</v>
      </c>
      <c r="AK38">
        <v>9.2802418021594293E-2</v>
      </c>
      <c r="AL38">
        <v>0.73768670242463896</v>
      </c>
      <c r="AM38">
        <v>2.3920659886615001E-2</v>
      </c>
      <c r="AN38">
        <v>3.9376435405052201E-2</v>
      </c>
    </row>
    <row r="39" spans="1:40" x14ac:dyDescent="0.2">
      <c r="A39">
        <v>121</v>
      </c>
      <c r="B39">
        <v>748</v>
      </c>
      <c r="C39">
        <v>160</v>
      </c>
      <c r="D39">
        <v>0.41976252264603803</v>
      </c>
      <c r="E39">
        <v>2.1872511218339202E-2</v>
      </c>
      <c r="F39">
        <v>4.63927098005062</v>
      </c>
      <c r="G39">
        <v>-0.2109150339710662</v>
      </c>
      <c r="H39">
        <v>-0.17126625567885542</v>
      </c>
      <c r="I39">
        <v>3.8827575079283902E-2</v>
      </c>
      <c r="J39">
        <v>2.0167803185667001E-2</v>
      </c>
      <c r="K39">
        <v>4.7146440275623903E-3</v>
      </c>
      <c r="L39">
        <v>3.1410638807906955E-5</v>
      </c>
      <c r="M39">
        <v>5.5266500414758291E-7</v>
      </c>
      <c r="N39" s="1">
        <v>2.26347101109736E-11</v>
      </c>
      <c r="O39" s="1">
        <v>1.01995675847626E-14</v>
      </c>
      <c r="P39" s="1">
        <v>4.4316716731436803E-14</v>
      </c>
      <c r="R39">
        <v>47.090781868061903</v>
      </c>
      <c r="S39">
        <v>2.8209286996263701</v>
      </c>
      <c r="T39">
        <v>10.0252678441925</v>
      </c>
      <c r="V39">
        <v>35.931523127115803</v>
      </c>
      <c r="W39">
        <v>1.2360068269923501</v>
      </c>
      <c r="X39">
        <v>2.8954916340108499</v>
      </c>
      <c r="AJ39">
        <v>0.105675004610992</v>
      </c>
      <c r="AK39">
        <v>9.2345279854847903E-2</v>
      </c>
      <c r="AL39">
        <v>0.73565304453819702</v>
      </c>
      <c r="AM39">
        <v>2.5629965654959199E-2</v>
      </c>
      <c r="AN39">
        <v>4.0696705341002802E-2</v>
      </c>
    </row>
    <row r="40" spans="1:40" x14ac:dyDescent="0.2">
      <c r="A40">
        <v>122</v>
      </c>
      <c r="B40">
        <v>746</v>
      </c>
      <c r="C40">
        <v>160</v>
      </c>
      <c r="D40">
        <v>0.41848648383456999</v>
      </c>
      <c r="E40">
        <v>2.8421422526363E-2</v>
      </c>
      <c r="F40">
        <v>4.6395434831840801</v>
      </c>
      <c r="G40">
        <v>-0.27419672557523633</v>
      </c>
      <c r="H40">
        <v>-0.22280783316119382</v>
      </c>
      <c r="I40">
        <v>5.0423286477989E-2</v>
      </c>
      <c r="J40">
        <v>2.62006901588667E-2</v>
      </c>
      <c r="K40">
        <v>6.1259092902945702E-3</v>
      </c>
      <c r="L40">
        <v>3.1383580673145493E-5</v>
      </c>
      <c r="M40">
        <v>5.5253368097181445E-7</v>
      </c>
      <c r="N40" s="1">
        <v>3.0034564169754997E-11</v>
      </c>
      <c r="O40" s="1">
        <v>1.32496960383807E-14</v>
      </c>
      <c r="P40" s="1">
        <v>5.6552399713255302E-14</v>
      </c>
      <c r="R40">
        <v>47.063430227575097</v>
      </c>
      <c r="S40">
        <v>2.9090760271835401</v>
      </c>
      <c r="T40">
        <v>9.9788040051646192</v>
      </c>
      <c r="V40">
        <v>35.859382302075197</v>
      </c>
      <c r="W40">
        <v>1.3081107869925701</v>
      </c>
      <c r="X40">
        <v>2.8811966510088398</v>
      </c>
      <c r="AJ40">
        <v>0.10511753544983</v>
      </c>
      <c r="AK40">
        <v>9.1886036302687199E-2</v>
      </c>
      <c r="AL40">
        <v>0.73392641951068405</v>
      </c>
      <c r="AM40">
        <v>2.7115897860814499E-2</v>
      </c>
      <c r="AN40">
        <v>4.1954110875983198E-2</v>
      </c>
    </row>
    <row r="41" spans="1:40" x14ac:dyDescent="0.2">
      <c r="A41">
        <v>123</v>
      </c>
      <c r="B41">
        <v>744</v>
      </c>
      <c r="C41">
        <v>160</v>
      </c>
      <c r="D41">
        <v>0.41720542692818402</v>
      </c>
      <c r="E41">
        <v>3.4122466718436599E-2</v>
      </c>
      <c r="F41">
        <v>4.6397882034814897</v>
      </c>
      <c r="G41">
        <v>-0.32933677165831365</v>
      </c>
      <c r="H41">
        <v>-0.26780000197954656</v>
      </c>
      <c r="I41">
        <v>6.0499208257156802E-2</v>
      </c>
      <c r="J41">
        <v>3.1449883178426202E-2</v>
      </c>
      <c r="K41">
        <v>7.3543155898436498E-3</v>
      </c>
      <c r="L41">
        <v>3.135857297489345E-5</v>
      </c>
      <c r="M41">
        <v>5.5241341854500606E-7</v>
      </c>
      <c r="N41" s="1">
        <v>3.6715258694239298E-11</v>
      </c>
      <c r="O41" s="1">
        <v>1.59034425824572E-14</v>
      </c>
      <c r="P41" s="1">
        <v>6.6763008070659898E-14</v>
      </c>
      <c r="R41">
        <v>47.037923750913798</v>
      </c>
      <c r="S41">
        <v>2.9937796522148199</v>
      </c>
      <c r="T41">
        <v>9.9318046806093605</v>
      </c>
      <c r="V41">
        <v>35.798161466127901</v>
      </c>
      <c r="W41">
        <v>1.3718993530462</v>
      </c>
      <c r="X41">
        <v>2.8664310970878</v>
      </c>
      <c r="AJ41">
        <v>0.104545439522501</v>
      </c>
      <c r="AK41">
        <v>9.1424061848677504E-2</v>
      </c>
      <c r="AL41">
        <v>0.732439499340093</v>
      </c>
      <c r="AM41">
        <v>2.8429094756129099E-2</v>
      </c>
      <c r="AN41">
        <v>4.3161904532598799E-2</v>
      </c>
    </row>
    <row r="42" spans="1:40" x14ac:dyDescent="0.2">
      <c r="A42">
        <v>138</v>
      </c>
      <c r="B42">
        <v>754</v>
      </c>
      <c r="C42">
        <v>140</v>
      </c>
      <c r="D42">
        <v>0.44497931168767801</v>
      </c>
      <c r="E42">
        <v>9.51100458746699E-3</v>
      </c>
      <c r="F42">
        <v>4.6356381784708702</v>
      </c>
      <c r="G42">
        <v>-9.1949778123857559E-2</v>
      </c>
      <c r="H42">
        <v>-7.4544992113863492E-2</v>
      </c>
      <c r="I42">
        <v>1.6944736416291701E-2</v>
      </c>
      <c r="J42">
        <v>8.7824833975825405E-3</v>
      </c>
      <c r="K42">
        <v>2.0517141807224301E-3</v>
      </c>
      <c r="L42">
        <v>3.1401465186063132E-5</v>
      </c>
      <c r="M42">
        <v>5.5279241654339169E-7</v>
      </c>
      <c r="N42" s="1">
        <v>9.3665325678351004E-12</v>
      </c>
      <c r="O42" s="1">
        <v>4.4313828617841203E-15</v>
      </c>
      <c r="P42" s="1">
        <v>2.0593570348063201E-14</v>
      </c>
      <c r="R42">
        <v>47.086839324029803</v>
      </c>
      <c r="S42">
        <v>2.7735526783107001</v>
      </c>
      <c r="T42">
        <v>10.171892324072999</v>
      </c>
      <c r="V42">
        <v>35.698618594355899</v>
      </c>
      <c r="W42">
        <v>1.25669221611844</v>
      </c>
      <c r="X42">
        <v>3.0124048631120899</v>
      </c>
      <c r="AJ42">
        <v>0.109876590813245</v>
      </c>
      <c r="AK42">
        <v>9.3640202986169305E-2</v>
      </c>
      <c r="AL42">
        <v>0.73045033933385695</v>
      </c>
      <c r="AM42">
        <v>2.60434163910702E-2</v>
      </c>
      <c r="AN42">
        <v>3.9989450475657697E-2</v>
      </c>
    </row>
    <row r="43" spans="1:40" x14ac:dyDescent="0.2">
      <c r="A43">
        <v>139</v>
      </c>
      <c r="B43">
        <v>752</v>
      </c>
      <c r="C43">
        <v>140</v>
      </c>
      <c r="D43">
        <v>0.443759937570114</v>
      </c>
      <c r="E43">
        <v>1.6878936788372201E-2</v>
      </c>
      <c r="F43">
        <v>4.6359441174290401</v>
      </c>
      <c r="G43">
        <v>-0.16326008748084986</v>
      </c>
      <c r="H43">
        <v>-0.13244987920136841</v>
      </c>
      <c r="I43">
        <v>3.00543415885299E-2</v>
      </c>
      <c r="J43">
        <v>1.55825590759135E-2</v>
      </c>
      <c r="K43">
        <v>3.6408844370912699E-3</v>
      </c>
      <c r="L43">
        <v>3.137417280345039E-5</v>
      </c>
      <c r="M43">
        <v>5.5266187267583561E-7</v>
      </c>
      <c r="N43" s="1">
        <v>1.7000420254285101E-11</v>
      </c>
      <c r="O43" s="1">
        <v>7.8619578664349893E-15</v>
      </c>
      <c r="P43" s="1">
        <v>3.5926965701035602E-14</v>
      </c>
      <c r="R43">
        <v>47.059480498154997</v>
      </c>
      <c r="S43">
        <v>2.8608124543920201</v>
      </c>
      <c r="T43">
        <v>10.1269221331897</v>
      </c>
      <c r="V43">
        <v>35.620667756266698</v>
      </c>
      <c r="W43">
        <v>1.33332438905572</v>
      </c>
      <c r="X43">
        <v>2.9987927689406599</v>
      </c>
      <c r="AJ43">
        <v>0.109342834967183</v>
      </c>
      <c r="AK43">
        <v>9.3194461203238599E-2</v>
      </c>
      <c r="AL43">
        <v>0.72860706805755804</v>
      </c>
      <c r="AM43">
        <v>2.7622112629429499E-2</v>
      </c>
      <c r="AN43">
        <v>4.1233523142590399E-2</v>
      </c>
    </row>
    <row r="44" spans="1:40" x14ac:dyDescent="0.2">
      <c r="A44">
        <v>140</v>
      </c>
      <c r="B44">
        <v>750</v>
      </c>
      <c r="C44">
        <v>140</v>
      </c>
      <c r="D44">
        <v>0.44253579631530099</v>
      </c>
      <c r="E44">
        <v>2.3215651969939299E-2</v>
      </c>
      <c r="F44">
        <v>4.6362181661209299</v>
      </c>
      <c r="G44">
        <v>-0.22464720902342258</v>
      </c>
      <c r="H44">
        <v>-0.1823788691206937</v>
      </c>
      <c r="I44">
        <v>4.1311967847069198E-2</v>
      </c>
      <c r="J44">
        <v>2.1428049610884198E-2</v>
      </c>
      <c r="K44">
        <v>5.0074545972808599E-3</v>
      </c>
      <c r="L44">
        <v>3.1349032402374818E-5</v>
      </c>
      <c r="M44">
        <v>5.5254283491169455E-7</v>
      </c>
      <c r="N44" s="1">
        <v>2.3836936170795501E-11</v>
      </c>
      <c r="O44" s="1">
        <v>1.0810699450777701E-14</v>
      </c>
      <c r="P44" s="1">
        <v>4.8638404136862898E-14</v>
      </c>
      <c r="R44">
        <v>47.034043843298399</v>
      </c>
      <c r="S44">
        <v>2.9445279719979198</v>
      </c>
      <c r="T44">
        <v>10.0813283477057</v>
      </c>
      <c r="V44">
        <v>35.554480927745601</v>
      </c>
      <c r="W44">
        <v>1.40095170989465</v>
      </c>
      <c r="X44">
        <v>2.9846671993574598</v>
      </c>
      <c r="AJ44">
        <v>0.108793061305448</v>
      </c>
      <c r="AK44">
        <v>9.2745276611293795E-2</v>
      </c>
      <c r="AL44">
        <v>0.72702120094084199</v>
      </c>
      <c r="AM44">
        <v>2.90138688709052E-2</v>
      </c>
      <c r="AN44">
        <v>4.2426592271509703E-2</v>
      </c>
    </row>
    <row r="45" spans="1:40" x14ac:dyDescent="0.2">
      <c r="A45">
        <v>159</v>
      </c>
      <c r="B45">
        <v>756</v>
      </c>
      <c r="C45">
        <v>120</v>
      </c>
      <c r="D45">
        <v>0.46757081086333502</v>
      </c>
      <c r="E45">
        <v>1.4399647424809999E-2</v>
      </c>
      <c r="F45">
        <v>4.6324813048689499</v>
      </c>
      <c r="G45">
        <v>-0.13978539881855565</v>
      </c>
      <c r="H45">
        <v>-0.11331004370769096</v>
      </c>
      <c r="I45">
        <v>2.57254580098767E-2</v>
      </c>
      <c r="J45">
        <v>1.33121025526331E-2</v>
      </c>
      <c r="K45">
        <v>3.1084091822832201E-3</v>
      </c>
      <c r="L45">
        <v>3.1326378775648526E-5</v>
      </c>
      <c r="M45">
        <v>5.5251918450901167E-7</v>
      </c>
      <c r="N45" s="1">
        <v>1.4146545104217999E-11</v>
      </c>
      <c r="O45" s="1">
        <v>6.6964645086904798E-15</v>
      </c>
      <c r="P45" s="1">
        <v>3.21447044723053E-14</v>
      </c>
      <c r="R45">
        <v>47.001819742572103</v>
      </c>
      <c r="S45">
        <v>2.9560787769205601</v>
      </c>
      <c r="T45">
        <v>10.223141575772599</v>
      </c>
      <c r="V45">
        <v>35.241378361548399</v>
      </c>
      <c r="W45">
        <v>1.4763828859881101</v>
      </c>
      <c r="X45">
        <v>3.1011986571980699</v>
      </c>
      <c r="AJ45">
        <v>0.112941483128213</v>
      </c>
      <c r="AK45">
        <v>9.3967361125431706E-2</v>
      </c>
      <c r="AL45">
        <v>0.71998630204693803</v>
      </c>
      <c r="AM45">
        <v>3.0549217829620601E-2</v>
      </c>
      <c r="AN45">
        <v>4.2555635869796202E-2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8F4C5-E949-4FA1-9E19-E4CED298DCCE}">
  <sheetPr codeName="Sheet7"/>
  <dimension ref="A1:AN8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14</v>
      </c>
      <c r="B2">
        <v>734</v>
      </c>
      <c r="C2">
        <v>300</v>
      </c>
      <c r="D2">
        <v>0.25781710768008598</v>
      </c>
      <c r="E2">
        <v>0.45117212832264803</v>
      </c>
      <c r="F2">
        <v>4.9379774355655099</v>
      </c>
      <c r="G2">
        <v>-3.0167681884325126</v>
      </c>
      <c r="H2">
        <v>-2.2186197744093268</v>
      </c>
      <c r="I2">
        <v>0.79248216653247705</v>
      </c>
      <c r="J2">
        <v>0.39975064372417601</v>
      </c>
      <c r="K2">
        <v>9.1367798700963093E-2</v>
      </c>
      <c r="L2">
        <v>3.5091505350817867E-5</v>
      </c>
      <c r="M2">
        <v>4.0841964155701439E-7</v>
      </c>
      <c r="N2" s="1">
        <v>1.75562985555159E-9</v>
      </c>
      <c r="O2" s="1">
        <v>2.17052679364077E-13</v>
      </c>
      <c r="P2">
        <v>0</v>
      </c>
      <c r="R2">
        <v>9.2960214709436109</v>
      </c>
      <c r="S2">
        <v>1.88981806928604</v>
      </c>
      <c r="T2">
        <v>49.275982815056601</v>
      </c>
      <c r="V2">
        <v>38.667614651499001</v>
      </c>
      <c r="X2">
        <v>0.87056299321463104</v>
      </c>
      <c r="AJ2">
        <v>0</v>
      </c>
      <c r="AK2">
        <v>-6.9117890012816803E-3</v>
      </c>
      <c r="AL2">
        <v>0.69583509881306504</v>
      </c>
      <c r="AM2">
        <v>4.8708244982535003E-2</v>
      </c>
      <c r="AN2">
        <v>0.26236844520568098</v>
      </c>
    </row>
    <row r="3" spans="1:40" x14ac:dyDescent="0.2">
      <c r="A3">
        <v>15</v>
      </c>
      <c r="B3">
        <v>732</v>
      </c>
      <c r="C3">
        <v>300</v>
      </c>
      <c r="D3">
        <v>0.256201064517732</v>
      </c>
      <c r="E3">
        <v>0.52461480846715902</v>
      </c>
      <c r="F3">
        <v>4.9405862187485896</v>
      </c>
      <c r="G3">
        <v>-3.4998321152707028</v>
      </c>
      <c r="H3">
        <v>-2.5750265708254827</v>
      </c>
      <c r="I3">
        <v>0.92006719837359496</v>
      </c>
      <c r="J3">
        <v>0.46487578474964503</v>
      </c>
      <c r="K3">
        <v>0.106184728944987</v>
      </c>
      <c r="L3">
        <v>3.5573866229016576E-5</v>
      </c>
      <c r="M3">
        <v>4.1421776099305416E-7</v>
      </c>
      <c r="N3" s="1">
        <v>2.0717180791063501E-9</v>
      </c>
      <c r="O3" s="1">
        <v>2.5636537117878701E-13</v>
      </c>
      <c r="P3">
        <v>0</v>
      </c>
      <c r="R3">
        <v>8.7739889292621207</v>
      </c>
      <c r="S3">
        <v>2.07550053726743</v>
      </c>
      <c r="T3">
        <v>50.0531279915485</v>
      </c>
      <c r="V3">
        <v>38.249263585682897</v>
      </c>
      <c r="X3">
        <v>0.84811895623892997</v>
      </c>
      <c r="AJ3">
        <v>0</v>
      </c>
      <c r="AK3">
        <v>-1.54882583492484E-3</v>
      </c>
      <c r="AL3">
        <v>0.70656400533990105</v>
      </c>
      <c r="AM3">
        <v>4.7436026166118299E-2</v>
      </c>
      <c r="AN3">
        <v>0.247548794328904</v>
      </c>
    </row>
    <row r="4" spans="1:40" x14ac:dyDescent="0.2">
      <c r="A4">
        <v>16</v>
      </c>
      <c r="B4">
        <v>730</v>
      </c>
      <c r="C4">
        <v>300</v>
      </c>
      <c r="D4">
        <v>0.25457857748093798</v>
      </c>
      <c r="E4">
        <v>0.550757507026719</v>
      </c>
      <c r="F4">
        <v>4.9404238167680097</v>
      </c>
      <c r="G4">
        <v>-3.674804616329221</v>
      </c>
      <c r="H4">
        <v>-2.706703611064238</v>
      </c>
      <c r="I4">
        <v>0.96506106291679405</v>
      </c>
      <c r="J4">
        <v>0.48811106957985601</v>
      </c>
      <c r="K4">
        <v>0.111479809719446</v>
      </c>
      <c r="L4">
        <v>3.561371516422834E-5</v>
      </c>
      <c r="M4">
        <v>4.1506835279777796E-7</v>
      </c>
      <c r="N4" s="1">
        <v>2.1801414833090999E-9</v>
      </c>
      <c r="O4" s="1">
        <v>2.6984487292642201E-13</v>
      </c>
      <c r="P4">
        <v>0</v>
      </c>
      <c r="R4">
        <v>8.6293935002789794</v>
      </c>
      <c r="S4">
        <v>2.19826411125899</v>
      </c>
      <c r="T4">
        <v>50.184101391767797</v>
      </c>
      <c r="V4">
        <v>38.147116305917997</v>
      </c>
      <c r="X4">
        <v>0.84112469077611995</v>
      </c>
      <c r="AJ4">
        <v>0</v>
      </c>
      <c r="AK4">
        <v>1.55579479155895E-3</v>
      </c>
      <c r="AL4">
        <v>0.70807056148598801</v>
      </c>
      <c r="AM4">
        <v>4.7022099054905703E-2</v>
      </c>
      <c r="AN4">
        <v>0.24335154466754699</v>
      </c>
    </row>
    <row r="5" spans="1:40" x14ac:dyDescent="0.2">
      <c r="A5">
        <v>17</v>
      </c>
      <c r="B5">
        <v>728</v>
      </c>
      <c r="C5">
        <v>300</v>
      </c>
      <c r="D5">
        <v>0.25294960795086002</v>
      </c>
      <c r="E5">
        <v>0.56195576516526402</v>
      </c>
      <c r="F5">
        <v>4.9403645451031899</v>
      </c>
      <c r="G5">
        <v>-3.7496872526311282</v>
      </c>
      <c r="H5">
        <v>-2.7647766519042678</v>
      </c>
      <c r="I5">
        <v>0.98377925458408899</v>
      </c>
      <c r="J5">
        <v>0.49808927219162702</v>
      </c>
      <c r="K5">
        <v>0.113747833795436</v>
      </c>
      <c r="L5">
        <v>3.5645832861924441E-5</v>
      </c>
      <c r="M5">
        <v>4.1583172318754706E-7</v>
      </c>
      <c r="N5" s="1">
        <v>2.2292379959049099E-9</v>
      </c>
      <c r="O5" s="1">
        <v>2.7598470174393199E-13</v>
      </c>
      <c r="P5">
        <v>0</v>
      </c>
      <c r="R5">
        <v>8.4994874046625206</v>
      </c>
      <c r="S5">
        <v>2.3070054904784199</v>
      </c>
      <c r="T5">
        <v>50.303161939919697</v>
      </c>
      <c r="V5">
        <v>38.056301904174802</v>
      </c>
      <c r="X5">
        <v>0.83404326076449098</v>
      </c>
      <c r="AJ5">
        <v>0</v>
      </c>
      <c r="AK5">
        <v>4.3528472728446696E-3</v>
      </c>
      <c r="AL5">
        <v>0.70945283484788602</v>
      </c>
      <c r="AM5">
        <v>4.6606669014588598E-2</v>
      </c>
      <c r="AN5">
        <v>0.23958764886467901</v>
      </c>
    </row>
    <row r="6" spans="1:40" x14ac:dyDescent="0.2">
      <c r="A6">
        <v>18</v>
      </c>
      <c r="B6">
        <v>726</v>
      </c>
      <c r="C6">
        <v>300</v>
      </c>
      <c r="D6">
        <v>0.251314116999449</v>
      </c>
      <c r="E6">
        <v>0.56705281050969503</v>
      </c>
      <c r="F6">
        <v>4.9403652830003901</v>
      </c>
      <c r="G6">
        <v>-3.7836178295995011</v>
      </c>
      <c r="H6">
        <v>-2.7926909672127778</v>
      </c>
      <c r="I6">
        <v>0.99176986677348</v>
      </c>
      <c r="J6">
        <v>0.50265066088253696</v>
      </c>
      <c r="K6">
        <v>0.11477953107251</v>
      </c>
      <c r="L6">
        <v>3.5672806481759718E-5</v>
      </c>
      <c r="M6">
        <v>4.165375615984347E-7</v>
      </c>
      <c r="N6" s="1">
        <v>2.2539254505553799E-9</v>
      </c>
      <c r="O6" s="1">
        <v>2.7910389728861501E-13</v>
      </c>
      <c r="P6">
        <v>0</v>
      </c>
      <c r="R6">
        <v>8.3788187043463402</v>
      </c>
      <c r="S6">
        <v>2.4071935517179699</v>
      </c>
      <c r="T6">
        <v>50.414422898720197</v>
      </c>
      <c r="V6">
        <v>37.9726525661317</v>
      </c>
      <c r="X6">
        <v>0.82691227908359899</v>
      </c>
      <c r="AJ6">
        <v>0</v>
      </c>
      <c r="AK6">
        <v>6.9617358014287603E-3</v>
      </c>
      <c r="AL6">
        <v>0.71075138045184605</v>
      </c>
      <c r="AM6">
        <v>4.6190599229506697E-2</v>
      </c>
      <c r="AN6">
        <v>0.23609628451721801</v>
      </c>
    </row>
    <row r="7" spans="1:40" x14ac:dyDescent="0.2">
      <c r="A7">
        <v>19</v>
      </c>
      <c r="B7">
        <v>724</v>
      </c>
      <c r="C7">
        <v>300</v>
      </c>
      <c r="D7">
        <v>0.249672065386352</v>
      </c>
      <c r="E7">
        <v>0.56900595811080001</v>
      </c>
      <c r="F7">
        <v>4.9404042201377196</v>
      </c>
      <c r="G7">
        <v>-3.7964110184434601</v>
      </c>
      <c r="H7">
        <v>-2.8050090276493882</v>
      </c>
      <c r="I7">
        <v>0.99423556214618802</v>
      </c>
      <c r="J7">
        <v>0.50441862979385099</v>
      </c>
      <c r="K7">
        <v>0.11517396811205401</v>
      </c>
      <c r="L7">
        <v>3.5695941078386493E-5</v>
      </c>
      <c r="M7">
        <v>4.1720078692113806E-7</v>
      </c>
      <c r="N7" s="1">
        <v>2.2659188477844298E-9</v>
      </c>
      <c r="O7" s="1">
        <v>2.8065154755227498E-13</v>
      </c>
      <c r="P7">
        <v>0</v>
      </c>
      <c r="R7">
        <v>8.2646206372474804</v>
      </c>
      <c r="S7">
        <v>2.5016082624944098</v>
      </c>
      <c r="T7">
        <v>50.519964179394599</v>
      </c>
      <c r="V7">
        <v>37.894059936503702</v>
      </c>
      <c r="X7">
        <v>0.81974698435971904</v>
      </c>
      <c r="AJ7">
        <v>0</v>
      </c>
      <c r="AK7">
        <v>9.4433678293205803E-3</v>
      </c>
      <c r="AL7">
        <v>0.71198668552557398</v>
      </c>
      <c r="AM7">
        <v>4.5774110071617601E-2</v>
      </c>
      <c r="AN7">
        <v>0.23279583657348599</v>
      </c>
    </row>
    <row r="8" spans="1:40" x14ac:dyDescent="0.2">
      <c r="A8">
        <v>32</v>
      </c>
      <c r="B8">
        <v>736</v>
      </c>
      <c r="C8">
        <v>280</v>
      </c>
      <c r="D8">
        <v>0.281227270475152</v>
      </c>
      <c r="E8">
        <v>0.52103806728269897</v>
      </c>
      <c r="F8">
        <v>4.9381596140362598</v>
      </c>
      <c r="G8">
        <v>-3.4836934111453162</v>
      </c>
      <c r="H8">
        <v>-2.5594284400986465</v>
      </c>
      <c r="I8">
        <v>0.91588462671225201</v>
      </c>
      <c r="J8">
        <v>0.46184286149321202</v>
      </c>
      <c r="K8">
        <v>0.105512601456157</v>
      </c>
      <c r="L8">
        <v>3.5579486950580735E-5</v>
      </c>
      <c r="M8">
        <v>4.1419431697014147E-7</v>
      </c>
      <c r="N8" s="1">
        <v>2.0531034023507498E-9</v>
      </c>
      <c r="O8" s="1">
        <v>2.5377227087429199E-13</v>
      </c>
      <c r="P8">
        <v>0</v>
      </c>
      <c r="R8">
        <v>8.9283388036319309</v>
      </c>
      <c r="S8">
        <v>1.98282840909321</v>
      </c>
      <c r="T8">
        <v>49.886969020403903</v>
      </c>
      <c r="V8">
        <v>38.311513099161097</v>
      </c>
      <c r="X8">
        <v>0.89035066770972604</v>
      </c>
      <c r="AJ8">
        <v>0</v>
      </c>
      <c r="AK8">
        <v>-5.9600043080046301E-3</v>
      </c>
      <c r="AL8">
        <v>0.70424635729858398</v>
      </c>
      <c r="AM8">
        <v>4.9800055108748097E-2</v>
      </c>
      <c r="AN8">
        <v>0.25191359190067097</v>
      </c>
    </row>
    <row r="9" spans="1:40" x14ac:dyDescent="0.2">
      <c r="A9">
        <v>33</v>
      </c>
      <c r="B9">
        <v>734</v>
      </c>
      <c r="C9">
        <v>280</v>
      </c>
      <c r="D9">
        <v>0.27966092439060802</v>
      </c>
      <c r="E9">
        <v>0.56267281798518298</v>
      </c>
      <c r="F9">
        <v>4.9379465705635699</v>
      </c>
      <c r="G9">
        <v>-3.7628594148070902</v>
      </c>
      <c r="H9">
        <v>-2.7675748917085801</v>
      </c>
      <c r="I9">
        <v>0.98821875897185996</v>
      </c>
      <c r="J9">
        <v>0.49883023064119703</v>
      </c>
      <c r="K9">
        <v>0.113948745687008</v>
      </c>
      <c r="L9">
        <v>3.5628461915085925E-5</v>
      </c>
      <c r="M9">
        <v>4.1514792984938422E-7</v>
      </c>
      <c r="N9" s="1">
        <v>2.2230405785069199E-9</v>
      </c>
      <c r="O9" s="1">
        <v>2.7484310986090999E-13</v>
      </c>
      <c r="P9">
        <v>0</v>
      </c>
      <c r="R9">
        <v>8.7708360869086803</v>
      </c>
      <c r="S9">
        <v>2.1154968730612</v>
      </c>
      <c r="T9">
        <v>50.031246716522901</v>
      </c>
      <c r="V9">
        <v>38.198994821987</v>
      </c>
      <c r="X9">
        <v>0.88342550152014199</v>
      </c>
      <c r="AJ9">
        <v>0</v>
      </c>
      <c r="AK9">
        <v>-2.63798999853918E-3</v>
      </c>
      <c r="AL9">
        <v>0.70591173809159102</v>
      </c>
      <c r="AM9">
        <v>4.9386727983147902E-2</v>
      </c>
      <c r="AN9">
        <v>0.24733952392379899</v>
      </c>
    </row>
    <row r="10" spans="1:40" x14ac:dyDescent="0.2">
      <c r="A10">
        <v>34</v>
      </c>
      <c r="B10">
        <v>732</v>
      </c>
      <c r="C10">
        <v>280</v>
      </c>
      <c r="D10">
        <v>0.27808834502313201</v>
      </c>
      <c r="E10">
        <v>0.57836360682352606</v>
      </c>
      <c r="F10">
        <v>4.9378728853298197</v>
      </c>
      <c r="G10">
        <v>-3.8680298197924636</v>
      </c>
      <c r="H10">
        <v>-2.8479447419173174</v>
      </c>
      <c r="I10">
        <v>1.01485855631014</v>
      </c>
      <c r="J10">
        <v>0.51280151774706395</v>
      </c>
      <c r="K10">
        <v>0.11712808738795499</v>
      </c>
      <c r="L10">
        <v>3.5666483120226232E-5</v>
      </c>
      <c r="M10">
        <v>4.1597740150303544E-7</v>
      </c>
      <c r="N10" s="1">
        <v>2.2903158766991298E-9</v>
      </c>
      <c r="O10" s="1">
        <v>2.8322694908052998E-13</v>
      </c>
      <c r="P10">
        <v>0</v>
      </c>
      <c r="R10">
        <v>8.6337247181746903</v>
      </c>
      <c r="S10">
        <v>2.2289656796860702</v>
      </c>
      <c r="T10">
        <v>50.158671273284199</v>
      </c>
      <c r="V10">
        <v>38.102265999955002</v>
      </c>
      <c r="X10">
        <v>0.876372328899925</v>
      </c>
      <c r="AJ10">
        <v>0</v>
      </c>
      <c r="AK10">
        <v>2.6365242228614102E-4</v>
      </c>
      <c r="AL10">
        <v>0.70739923517419301</v>
      </c>
      <c r="AM10">
        <v>4.89709425165979E-2</v>
      </c>
      <c r="AN10">
        <v>0.243366169886921</v>
      </c>
    </row>
    <row r="11" spans="1:40" x14ac:dyDescent="0.2">
      <c r="A11">
        <v>35</v>
      </c>
      <c r="B11">
        <v>730</v>
      </c>
      <c r="C11">
        <v>280</v>
      </c>
      <c r="D11">
        <v>0.27650949509046802</v>
      </c>
      <c r="E11">
        <v>0.585407432837181</v>
      </c>
      <c r="F11">
        <v>4.9378737319992299</v>
      </c>
      <c r="G11">
        <v>-3.9150645582197408</v>
      </c>
      <c r="H11">
        <v>-2.8855675918355717</v>
      </c>
      <c r="I11">
        <v>1.0262642340469199</v>
      </c>
      <c r="J11">
        <v>0.51909479028551897</v>
      </c>
      <c r="K11">
        <v>0.11855455700365999</v>
      </c>
      <c r="L11">
        <v>3.5697920024977223E-5</v>
      </c>
      <c r="M11">
        <v>4.1673289281988354E-7</v>
      </c>
      <c r="N11" s="1">
        <v>2.3231016957995501E-9</v>
      </c>
      <c r="O11" s="1">
        <v>2.8734754375341099E-13</v>
      </c>
      <c r="P11">
        <v>0</v>
      </c>
      <c r="R11">
        <v>8.5082939542128102</v>
      </c>
      <c r="S11">
        <v>2.33172243553319</v>
      </c>
      <c r="T11">
        <v>50.276109496001602</v>
      </c>
      <c r="V11">
        <v>38.0146214801741</v>
      </c>
      <c r="X11">
        <v>0.86925263407823605</v>
      </c>
      <c r="AJ11">
        <v>0</v>
      </c>
      <c r="AK11">
        <v>2.93009766759862E-3</v>
      </c>
      <c r="AL11">
        <v>0.70877879976019298</v>
      </c>
      <c r="AM11">
        <v>4.8554145405519E-2</v>
      </c>
      <c r="AN11">
        <v>0.239736957166688</v>
      </c>
    </row>
    <row r="12" spans="1:40" x14ac:dyDescent="0.2">
      <c r="A12">
        <v>36</v>
      </c>
      <c r="B12">
        <v>728</v>
      </c>
      <c r="C12">
        <v>280</v>
      </c>
      <c r="D12">
        <v>0.27492433701243602</v>
      </c>
      <c r="E12">
        <v>0.58842163936004499</v>
      </c>
      <c r="F12">
        <v>4.9379202719461697</v>
      </c>
      <c r="G12">
        <v>-3.9349528138490175</v>
      </c>
      <c r="H12">
        <v>-2.9031956916452542</v>
      </c>
      <c r="I12">
        <v>1.03057196444465</v>
      </c>
      <c r="J12">
        <v>0.52180690063908797</v>
      </c>
      <c r="K12">
        <v>0.119163859874985</v>
      </c>
      <c r="L12">
        <v>3.5724719819087872E-5</v>
      </c>
      <c r="M12">
        <v>4.1743667862272219E-7</v>
      </c>
      <c r="N12" s="1">
        <v>2.33966364030085E-9</v>
      </c>
      <c r="O12" s="1">
        <v>2.8946197537598599E-13</v>
      </c>
      <c r="P12">
        <v>0</v>
      </c>
      <c r="R12">
        <v>8.3906463068049693</v>
      </c>
      <c r="S12">
        <v>2.42756751273454</v>
      </c>
      <c r="T12">
        <v>50.3866276786543</v>
      </c>
      <c r="V12">
        <v>37.933070042173703</v>
      </c>
      <c r="X12">
        <v>0.86208845963233005</v>
      </c>
      <c r="AJ12">
        <v>0</v>
      </c>
      <c r="AK12">
        <v>5.4445644137183597E-3</v>
      </c>
      <c r="AL12">
        <v>0.71008167557535495</v>
      </c>
      <c r="AM12">
        <v>4.8136674948555003E-2</v>
      </c>
      <c r="AN12">
        <v>0.236337085062371</v>
      </c>
    </row>
    <row r="13" spans="1:40" x14ac:dyDescent="0.2">
      <c r="A13">
        <v>37</v>
      </c>
      <c r="B13">
        <v>726</v>
      </c>
      <c r="C13">
        <v>280</v>
      </c>
      <c r="D13">
        <v>0.273332832907971</v>
      </c>
      <c r="E13">
        <v>0.58919620036317499</v>
      </c>
      <c r="F13">
        <v>4.9379966243470896</v>
      </c>
      <c r="G13">
        <v>-3.9397324388067867</v>
      </c>
      <c r="H13">
        <v>-2.9096708236302917</v>
      </c>
      <c r="I13">
        <v>1.0309379124020299</v>
      </c>
      <c r="J13">
        <v>0.52252702291736997</v>
      </c>
      <c r="K13">
        <v>0.119318874674419</v>
      </c>
      <c r="L13">
        <v>3.5747942233785429E-5</v>
      </c>
      <c r="M13">
        <v>4.1810085036503804E-7</v>
      </c>
      <c r="N13" s="1">
        <v>2.34710920239103E-9</v>
      </c>
      <c r="O13" s="1">
        <v>2.9044854544498699E-13</v>
      </c>
      <c r="P13">
        <v>0</v>
      </c>
      <c r="R13">
        <v>8.2786471573553992</v>
      </c>
      <c r="S13">
        <v>2.51859014107922</v>
      </c>
      <c r="T13">
        <v>50.491895532438598</v>
      </c>
      <c r="V13">
        <v>37.855976214799497</v>
      </c>
      <c r="X13">
        <v>0.85489095432715401</v>
      </c>
      <c r="AJ13">
        <v>0</v>
      </c>
      <c r="AK13">
        <v>7.85285032018148E-3</v>
      </c>
      <c r="AL13">
        <v>0.71132481993159902</v>
      </c>
      <c r="AM13">
        <v>4.77186614776944E-2</v>
      </c>
      <c r="AN13">
        <v>0.23310366827052401</v>
      </c>
    </row>
    <row r="14" spans="1:40" x14ac:dyDescent="0.2">
      <c r="A14">
        <v>48</v>
      </c>
      <c r="B14">
        <v>740</v>
      </c>
      <c r="C14">
        <v>260</v>
      </c>
      <c r="D14">
        <v>0.30605586537038199</v>
      </c>
      <c r="E14">
        <v>0.476605541433617</v>
      </c>
      <c r="F14">
        <v>4.9391096921261601</v>
      </c>
      <c r="G14">
        <v>-3.1838868855347382</v>
      </c>
      <c r="H14">
        <v>-2.3338664771510409</v>
      </c>
      <c r="I14">
        <v>0.83898771986744003</v>
      </c>
      <c r="J14">
        <v>0.42252540002771199</v>
      </c>
      <c r="K14">
        <v>9.6496245506232106E-2</v>
      </c>
      <c r="L14">
        <v>3.6069216575867845E-5</v>
      </c>
      <c r="M14">
        <v>4.1957578975525605E-7</v>
      </c>
      <c r="N14" s="1">
        <v>1.8989540926979999E-9</v>
      </c>
      <c r="O14" s="1">
        <v>2.34631695769897E-13</v>
      </c>
      <c r="P14">
        <v>0</v>
      </c>
      <c r="R14">
        <v>8.6924120057362995</v>
      </c>
      <c r="S14">
        <v>1.9243006794945401</v>
      </c>
      <c r="T14">
        <v>50.424313992486603</v>
      </c>
      <c r="V14">
        <v>38.044210675686301</v>
      </c>
      <c r="X14">
        <v>0.914762646596193</v>
      </c>
      <c r="AJ14">
        <v>0</v>
      </c>
      <c r="AK14">
        <v>-8.6226294050974102E-3</v>
      </c>
      <c r="AL14">
        <v>0.71209196562394095</v>
      </c>
      <c r="AM14">
        <v>5.1184180381003697E-2</v>
      </c>
      <c r="AN14">
        <v>0.245346483400152</v>
      </c>
    </row>
    <row r="15" spans="1:40" x14ac:dyDescent="0.2">
      <c r="A15">
        <v>49</v>
      </c>
      <c r="B15">
        <v>738</v>
      </c>
      <c r="C15">
        <v>260</v>
      </c>
      <c r="D15">
        <v>0.30454482519902998</v>
      </c>
      <c r="E15">
        <v>0.56983572187743103</v>
      </c>
      <c r="F15">
        <v>4.93540915358893</v>
      </c>
      <c r="G15">
        <v>-3.8195872462910527</v>
      </c>
      <c r="H15">
        <v>-2.8052981559587087</v>
      </c>
      <c r="I15">
        <v>1.0031044754312799</v>
      </c>
      <c r="J15">
        <v>0.50534324274081899</v>
      </c>
      <c r="K15">
        <v>0.11545865887594201</v>
      </c>
      <c r="L15">
        <v>3.5638721923783991E-5</v>
      </c>
      <c r="M15">
        <v>4.1518405529803578E-7</v>
      </c>
      <c r="N15" s="1">
        <v>2.24674921199504E-9</v>
      </c>
      <c r="O15" s="1">
        <v>2.77450471757891E-13</v>
      </c>
      <c r="P15">
        <v>0</v>
      </c>
      <c r="R15">
        <v>8.9169643857309193</v>
      </c>
      <c r="S15">
        <v>2.0317557261118799</v>
      </c>
      <c r="T15">
        <v>49.871014548552303</v>
      </c>
      <c r="V15">
        <v>38.253573231969199</v>
      </c>
      <c r="X15">
        <v>0.92669210763560494</v>
      </c>
      <c r="AJ15">
        <v>0</v>
      </c>
      <c r="AK15">
        <v>-6.9072173959156703E-3</v>
      </c>
      <c r="AL15">
        <v>0.70364424509338297</v>
      </c>
      <c r="AM15">
        <v>5.1804996016008902E-2</v>
      </c>
      <c r="AN15">
        <v>0.251457976286523</v>
      </c>
    </row>
    <row r="16" spans="1:40" x14ac:dyDescent="0.2">
      <c r="A16">
        <v>50</v>
      </c>
      <c r="B16">
        <v>736</v>
      </c>
      <c r="C16">
        <v>260</v>
      </c>
      <c r="D16">
        <v>0.30302779566962401</v>
      </c>
      <c r="E16">
        <v>0.59263260310398203</v>
      </c>
      <c r="F16">
        <v>4.9353134181460696</v>
      </c>
      <c r="G16">
        <v>-3.9727428526577624</v>
      </c>
      <c r="H16">
        <v>-2.9208963891148332</v>
      </c>
      <c r="I16">
        <v>1.04230933314465</v>
      </c>
      <c r="J16">
        <v>0.52562995627507902</v>
      </c>
      <c r="K16">
        <v>0.120080034010606</v>
      </c>
      <c r="L16">
        <v>3.5684044213812373E-5</v>
      </c>
      <c r="M16">
        <v>4.1609549192121427E-7</v>
      </c>
      <c r="N16" s="1">
        <v>2.3425256164502E-9</v>
      </c>
      <c r="O16" s="1">
        <v>2.8934779167072599E-13</v>
      </c>
      <c r="P16">
        <v>0</v>
      </c>
      <c r="R16">
        <v>8.7706569961873306</v>
      </c>
      <c r="S16">
        <v>2.15146496843838</v>
      </c>
      <c r="T16">
        <v>50.008869687554501</v>
      </c>
      <c r="V16">
        <v>38.149335406739397</v>
      </c>
      <c r="X16">
        <v>0.91967294108028097</v>
      </c>
      <c r="AJ16">
        <v>0</v>
      </c>
      <c r="AK16">
        <v>-3.8676901451530198E-3</v>
      </c>
      <c r="AL16">
        <v>0.70526167910904003</v>
      </c>
      <c r="AM16">
        <v>5.1388731858456202E-2</v>
      </c>
      <c r="AN16">
        <v>0.24721727917765501</v>
      </c>
    </row>
    <row r="17" spans="1:40" x14ac:dyDescent="0.2">
      <c r="A17">
        <v>51</v>
      </c>
      <c r="B17">
        <v>734</v>
      </c>
      <c r="C17">
        <v>260</v>
      </c>
      <c r="D17">
        <v>0.30150474110112602</v>
      </c>
      <c r="E17">
        <v>0.60229045515026203</v>
      </c>
      <c r="F17">
        <v>4.93531171822515</v>
      </c>
      <c r="G17">
        <v>-4.0374300160925189</v>
      </c>
      <c r="H17">
        <v>-2.9715398071406347</v>
      </c>
      <c r="I17">
        <v>1.0583231980855701</v>
      </c>
      <c r="J17">
        <v>0.53424897603006904</v>
      </c>
      <c r="K17">
        <v>0.122036963324144</v>
      </c>
      <c r="L17">
        <v>3.572063772983534E-5</v>
      </c>
      <c r="M17">
        <v>4.1690848082723592E-7</v>
      </c>
      <c r="N17" s="1">
        <v>2.3860689334215402E-9</v>
      </c>
      <c r="O17" s="1">
        <v>2.94795949453108E-13</v>
      </c>
      <c r="P17">
        <v>0</v>
      </c>
      <c r="R17">
        <v>8.63956029526212</v>
      </c>
      <c r="S17">
        <v>2.2574214535196999</v>
      </c>
      <c r="T17">
        <v>50.133489898394402</v>
      </c>
      <c r="V17">
        <v>38.056959968699999</v>
      </c>
      <c r="X17">
        <v>0.91256838412367003</v>
      </c>
      <c r="AJ17">
        <v>0</v>
      </c>
      <c r="AK17">
        <v>-1.12991119374202E-3</v>
      </c>
      <c r="AL17">
        <v>0.70673461727307996</v>
      </c>
      <c r="AM17">
        <v>5.0971227077436003E-2</v>
      </c>
      <c r="AN17">
        <v>0.24342406684322501</v>
      </c>
    </row>
    <row r="18" spans="1:40" x14ac:dyDescent="0.2">
      <c r="A18">
        <v>52</v>
      </c>
      <c r="B18">
        <v>732</v>
      </c>
      <c r="C18">
        <v>260</v>
      </c>
      <c r="D18">
        <v>0.29997562552852802</v>
      </c>
      <c r="E18">
        <v>0.60659355619672395</v>
      </c>
      <c r="F18">
        <v>4.9353648072534204</v>
      </c>
      <c r="G18">
        <v>-4.0659783778156759</v>
      </c>
      <c r="H18">
        <v>-2.9956094645743629</v>
      </c>
      <c r="I18">
        <v>1.06488475674408</v>
      </c>
      <c r="J18">
        <v>0.53810840379558</v>
      </c>
      <c r="K18">
        <v>0.12290754176980399</v>
      </c>
      <c r="L18">
        <v>3.5751511478275061E-5</v>
      </c>
      <c r="M18">
        <v>4.1765743605727437E-7</v>
      </c>
      <c r="N18" s="1">
        <v>2.4081194783800002E-9</v>
      </c>
      <c r="O18" s="1">
        <v>2.9758956439303499E-13</v>
      </c>
      <c r="P18">
        <v>0</v>
      </c>
      <c r="R18">
        <v>8.5179720270327604</v>
      </c>
      <c r="S18">
        <v>2.3550106118821201</v>
      </c>
      <c r="T18">
        <v>50.249565606285699</v>
      </c>
      <c r="V18">
        <v>37.972043261232301</v>
      </c>
      <c r="X18">
        <v>0.90540849356697395</v>
      </c>
      <c r="AJ18">
        <v>0</v>
      </c>
      <c r="AK18">
        <v>1.424140627477E-3</v>
      </c>
      <c r="AL18">
        <v>0.70811236023669399</v>
      </c>
      <c r="AM18">
        <v>5.0552853101600501E-2</v>
      </c>
      <c r="AN18">
        <v>0.23991064603422799</v>
      </c>
    </row>
    <row r="19" spans="1:40" x14ac:dyDescent="0.2">
      <c r="A19">
        <v>53</v>
      </c>
      <c r="B19">
        <v>730</v>
      </c>
      <c r="C19">
        <v>260</v>
      </c>
      <c r="D19">
        <v>0.29844041269999899</v>
      </c>
      <c r="E19">
        <v>0.608136429236658</v>
      </c>
      <c r="F19">
        <v>4.9354528312081802</v>
      </c>
      <c r="G19">
        <v>-4.0758657266331229</v>
      </c>
      <c r="H19">
        <v>-3.0059298505962828</v>
      </c>
      <c r="I19">
        <v>1.0665761611292801</v>
      </c>
      <c r="J19">
        <v>0.53951220808869504</v>
      </c>
      <c r="K19">
        <v>0.123217959939004</v>
      </c>
      <c r="L19">
        <v>3.5778166571420891E-5</v>
      </c>
      <c r="M19">
        <v>4.1835949277375184E-7</v>
      </c>
      <c r="N19" s="1">
        <v>2.4189666130500498E-9</v>
      </c>
      <c r="O19" s="1">
        <v>2.9899882227791402E-13</v>
      </c>
      <c r="P19">
        <v>0</v>
      </c>
      <c r="R19">
        <v>8.4030308372601699</v>
      </c>
      <c r="S19">
        <v>2.4469462346067901</v>
      </c>
      <c r="T19">
        <v>50.359436802988903</v>
      </c>
      <c r="V19">
        <v>37.892378160253799</v>
      </c>
      <c r="X19">
        <v>0.89820796489027799</v>
      </c>
      <c r="AJ19">
        <v>0</v>
      </c>
      <c r="AK19">
        <v>3.85396035818307E-3</v>
      </c>
      <c r="AL19">
        <v>0.70941942169028405</v>
      </c>
      <c r="AM19">
        <v>5.0133768924403702E-2</v>
      </c>
      <c r="AN19">
        <v>0.23659284902712799</v>
      </c>
    </row>
    <row r="20" spans="1:40" x14ac:dyDescent="0.2">
      <c r="A20">
        <v>54</v>
      </c>
      <c r="B20">
        <v>728</v>
      </c>
      <c r="C20">
        <v>260</v>
      </c>
      <c r="D20">
        <v>0.29689906607401501</v>
      </c>
      <c r="E20">
        <v>0.60804679550303498</v>
      </c>
      <c r="F20">
        <v>4.93556403787266</v>
      </c>
      <c r="G20">
        <v>-4.0747052828374049</v>
      </c>
      <c r="H20">
        <v>-3.0080895973483979</v>
      </c>
      <c r="I20">
        <v>1.06539048642961</v>
      </c>
      <c r="J20">
        <v>0.539462487877859</v>
      </c>
      <c r="K20">
        <v>0.123197022840193</v>
      </c>
      <c r="L20">
        <v>3.5801474523499241E-5</v>
      </c>
      <c r="M20">
        <v>4.1902457895451623E-7</v>
      </c>
      <c r="N20" s="1">
        <v>2.4231020095520599E-9</v>
      </c>
      <c r="O20" s="1">
        <v>2.9957822479563202E-13</v>
      </c>
      <c r="P20">
        <v>0</v>
      </c>
      <c r="R20">
        <v>8.2930632417965295</v>
      </c>
      <c r="S20">
        <v>2.5348242934334801</v>
      </c>
      <c r="T20">
        <v>50.464461756470698</v>
      </c>
      <c r="V20">
        <v>37.816675237587603</v>
      </c>
      <c r="X20">
        <v>0.89097547071158001</v>
      </c>
      <c r="AJ20">
        <v>0</v>
      </c>
      <c r="AK20">
        <v>6.1945293842781404E-3</v>
      </c>
      <c r="AL20">
        <v>0.71066996426751805</v>
      </c>
      <c r="AM20">
        <v>4.9714068535162699E-2</v>
      </c>
      <c r="AN20">
        <v>0.23342143781304001</v>
      </c>
    </row>
    <row r="21" spans="1:40" x14ac:dyDescent="0.2">
      <c r="A21">
        <v>63</v>
      </c>
      <c r="B21">
        <v>744</v>
      </c>
      <c r="C21">
        <v>240</v>
      </c>
      <c r="D21">
        <v>0.33068918055350899</v>
      </c>
      <c r="E21">
        <v>0.31809978401091099</v>
      </c>
      <c r="F21">
        <v>4.9481790423270704</v>
      </c>
      <c r="G21">
        <v>-2.1067866312656141</v>
      </c>
      <c r="H21">
        <v>-1.5376343377019863</v>
      </c>
      <c r="I21">
        <v>0.55955590971206604</v>
      </c>
      <c r="J21">
        <v>0.28191704657218603</v>
      </c>
      <c r="K21">
        <v>6.4286231619725798E-2</v>
      </c>
      <c r="L21">
        <v>3.780189190956118E-5</v>
      </c>
      <c r="M21">
        <v>4.3881678256128589E-7</v>
      </c>
      <c r="N21" s="1">
        <v>1.32408645607455E-9</v>
      </c>
      <c r="O21" s="1">
        <v>1.63846930442029E-13</v>
      </c>
      <c r="P21">
        <v>0</v>
      </c>
      <c r="R21">
        <v>7.4525349426527603</v>
      </c>
      <c r="S21">
        <v>1.96564811082324</v>
      </c>
      <c r="T21">
        <v>52.757880756643203</v>
      </c>
      <c r="V21">
        <v>36.929339091014498</v>
      </c>
      <c r="X21">
        <v>0.89459709886620797</v>
      </c>
      <c r="AJ21">
        <v>0</v>
      </c>
      <c r="AK21">
        <v>-6.5871992956465404E-3</v>
      </c>
      <c r="AL21">
        <v>0.74588708151391503</v>
      </c>
      <c r="AM21">
        <v>5.0112315760503699E-2</v>
      </c>
      <c r="AN21">
        <v>0.21058780202122701</v>
      </c>
    </row>
    <row r="22" spans="1:40" x14ac:dyDescent="0.2">
      <c r="A22">
        <v>64</v>
      </c>
      <c r="B22">
        <v>742</v>
      </c>
      <c r="C22">
        <v>240</v>
      </c>
      <c r="D22">
        <v>0.32923262572033701</v>
      </c>
      <c r="E22">
        <v>0.56987997998609696</v>
      </c>
      <c r="F22">
        <v>4.9330193005078904</v>
      </c>
      <c r="G22">
        <v>-3.8281817618709373</v>
      </c>
      <c r="H22">
        <v>-2.8075145258385725</v>
      </c>
      <c r="I22">
        <v>1.0054348973376901</v>
      </c>
      <c r="J22">
        <v>0.50554797511625804</v>
      </c>
      <c r="K22">
        <v>0.115523565846868</v>
      </c>
      <c r="L22">
        <v>3.5680405281807189E-5</v>
      </c>
      <c r="M22">
        <v>4.1557733327552418E-7</v>
      </c>
      <c r="N22" s="1">
        <v>2.24430466744025E-9</v>
      </c>
      <c r="O22" s="1">
        <v>2.7683284698070001E-13</v>
      </c>
      <c r="P22">
        <v>0</v>
      </c>
      <c r="R22">
        <v>9.0359002718648505</v>
      </c>
      <c r="S22">
        <v>1.9538944349313301</v>
      </c>
      <c r="T22">
        <v>49.756133601555497</v>
      </c>
      <c r="V22">
        <v>38.284519515861199</v>
      </c>
      <c r="X22">
        <v>0.96955217578706798</v>
      </c>
      <c r="AJ22">
        <v>0</v>
      </c>
      <c r="AK22">
        <v>-1.1023672035851801E-2</v>
      </c>
      <c r="AL22">
        <v>0.70201456932638595</v>
      </c>
      <c r="AM22">
        <v>5.4200329791352801E-2</v>
      </c>
      <c r="AN22">
        <v>0.25480877291811199</v>
      </c>
    </row>
    <row r="23" spans="1:40" x14ac:dyDescent="0.2">
      <c r="A23">
        <v>65</v>
      </c>
      <c r="B23">
        <v>740</v>
      </c>
      <c r="C23">
        <v>240</v>
      </c>
      <c r="D23">
        <v>0.32777032028821201</v>
      </c>
      <c r="E23">
        <v>0.60503669140915295</v>
      </c>
      <c r="F23">
        <v>4.9326466196175804</v>
      </c>
      <c r="G23">
        <v>-4.0657454665172228</v>
      </c>
      <c r="H23">
        <v>-2.9851216555314224</v>
      </c>
      <c r="I23">
        <v>1.0665980466720599</v>
      </c>
      <c r="J23">
        <v>0.53682129740411</v>
      </c>
      <c r="K23">
        <v>0.12265964664950101</v>
      </c>
      <c r="L23">
        <v>3.5698830876297156E-5</v>
      </c>
      <c r="M23">
        <v>4.1618993750197296E-7</v>
      </c>
      <c r="N23" s="1">
        <v>2.3870212859251098E-9</v>
      </c>
      <c r="O23" s="1">
        <v>2.9449246899474802E-13</v>
      </c>
      <c r="P23">
        <v>0</v>
      </c>
      <c r="R23">
        <v>8.9075822590610407</v>
      </c>
      <c r="S23">
        <v>2.07827709129237</v>
      </c>
      <c r="T23">
        <v>49.854559948208099</v>
      </c>
      <c r="V23">
        <v>38.195590250560898</v>
      </c>
      <c r="X23">
        <v>0.96399045087755597</v>
      </c>
      <c r="AJ23">
        <v>0</v>
      </c>
      <c r="AK23">
        <v>-7.9600526260771593E-3</v>
      </c>
      <c r="AL23">
        <v>0.70303856377804497</v>
      </c>
      <c r="AM23">
        <v>5.3861474248887702E-2</v>
      </c>
      <c r="AN23">
        <v>0.25106001459914301</v>
      </c>
    </row>
    <row r="24" spans="1:40" x14ac:dyDescent="0.2">
      <c r="A24">
        <v>66</v>
      </c>
      <c r="B24">
        <v>738</v>
      </c>
      <c r="C24">
        <v>240</v>
      </c>
      <c r="D24">
        <v>0.326302230134007</v>
      </c>
      <c r="E24">
        <v>0.61801801504334497</v>
      </c>
      <c r="F24">
        <v>4.9326424537718703</v>
      </c>
      <c r="G24">
        <v>-4.1529440007352392</v>
      </c>
      <c r="H24">
        <v>-3.0523125993439848</v>
      </c>
      <c r="I24">
        <v>1.08849468564629</v>
      </c>
      <c r="J24">
        <v>0.54839785876660097</v>
      </c>
      <c r="K24">
        <v>0.125291468180662</v>
      </c>
      <c r="L24">
        <v>3.5741247583335353E-5</v>
      </c>
      <c r="M24">
        <v>4.1706787896215192E-7</v>
      </c>
      <c r="N24" s="1">
        <v>2.4441330669574301E-9</v>
      </c>
      <c r="O24" s="1">
        <v>3.0161193993566302E-13</v>
      </c>
      <c r="P24">
        <v>0</v>
      </c>
      <c r="R24">
        <v>8.7700879282587092</v>
      </c>
      <c r="S24">
        <v>2.1878225256803199</v>
      </c>
      <c r="T24">
        <v>49.987314066951399</v>
      </c>
      <c r="V24">
        <v>38.097879455916903</v>
      </c>
      <c r="X24">
        <v>0.956896023192495</v>
      </c>
      <c r="AJ24">
        <v>0</v>
      </c>
      <c r="AK24">
        <v>-5.1420703233910001E-3</v>
      </c>
      <c r="AL24">
        <v>0.70461733915345803</v>
      </c>
      <c r="AM24">
        <v>5.3442838620579698E-2</v>
      </c>
      <c r="AN24">
        <v>0.24708189254935201</v>
      </c>
    </row>
    <row r="25" spans="1:40" x14ac:dyDescent="0.2">
      <c r="A25">
        <v>67</v>
      </c>
      <c r="B25">
        <v>736</v>
      </c>
      <c r="C25">
        <v>240</v>
      </c>
      <c r="D25">
        <v>0.32482832086409602</v>
      </c>
      <c r="E25">
        <v>0.62377718979949304</v>
      </c>
      <c r="F25">
        <v>4.9327029800378099</v>
      </c>
      <c r="G25">
        <v>-4.191315678426176</v>
      </c>
      <c r="H25">
        <v>-3.0836555949271838</v>
      </c>
      <c r="I25">
        <v>1.09761688896496</v>
      </c>
      <c r="J25">
        <v>0.55355400848566605</v>
      </c>
      <c r="K25">
        <v>0.12645748027478201</v>
      </c>
      <c r="L25">
        <v>3.5776537803266633E-5</v>
      </c>
      <c r="M25">
        <v>4.178657970720317E-7</v>
      </c>
      <c r="N25" s="1">
        <v>2.47234487873608E-9</v>
      </c>
      <c r="O25" s="1">
        <v>3.05166236459657E-13</v>
      </c>
      <c r="P25">
        <v>0</v>
      </c>
      <c r="R25">
        <v>8.6442425542551202</v>
      </c>
      <c r="S25">
        <v>2.2872695689787998</v>
      </c>
      <c r="T25">
        <v>50.109422631900699</v>
      </c>
      <c r="V25">
        <v>38.009327999120998</v>
      </c>
      <c r="X25">
        <v>0.949737245744258</v>
      </c>
      <c r="AJ25">
        <v>0</v>
      </c>
      <c r="AK25">
        <v>-2.5458040410640801E-3</v>
      </c>
      <c r="AL25">
        <v>0.70607643309314405</v>
      </c>
      <c r="AM25">
        <v>5.3023333912140001E-2</v>
      </c>
      <c r="AN25">
        <v>0.24344603703577899</v>
      </c>
    </row>
    <row r="26" spans="1:40" x14ac:dyDescent="0.2">
      <c r="A26">
        <v>68</v>
      </c>
      <c r="B26">
        <v>734</v>
      </c>
      <c r="C26">
        <v>240</v>
      </c>
      <c r="D26">
        <v>0.32334855781164801</v>
      </c>
      <c r="E26">
        <v>0.62612352705704799</v>
      </c>
      <c r="F26">
        <v>4.9328036445692298</v>
      </c>
      <c r="G26">
        <v>-4.2065663614493207</v>
      </c>
      <c r="H26">
        <v>-3.0979928460328825</v>
      </c>
      <c r="I26">
        <v>1.1007034854951401</v>
      </c>
      <c r="J26">
        <v>0.55567321752778798</v>
      </c>
      <c r="K26">
        <v>0.12693055961114</v>
      </c>
      <c r="L26">
        <v>3.5806824305954958E-5</v>
      </c>
      <c r="M26">
        <v>4.1860791042062629E-7</v>
      </c>
      <c r="N26" s="1">
        <v>2.4867414580985301E-9</v>
      </c>
      <c r="O26" s="1">
        <v>3.0701552452346902E-13</v>
      </c>
      <c r="P26">
        <v>0</v>
      </c>
      <c r="R26">
        <v>8.5262091763818493</v>
      </c>
      <c r="S26">
        <v>2.3801363042672001</v>
      </c>
      <c r="T26">
        <v>50.224164416364303</v>
      </c>
      <c r="V26">
        <v>37.926958727195803</v>
      </c>
      <c r="X26">
        <v>0.94253137579079305</v>
      </c>
      <c r="AJ26">
        <v>0</v>
      </c>
      <c r="AK26" s="1">
        <v>-9.4004971370336899E-5</v>
      </c>
      <c r="AL26">
        <v>0.70745119937957202</v>
      </c>
      <c r="AM26">
        <v>5.2603038030336897E-2</v>
      </c>
      <c r="AN26">
        <v>0.24003976756146</v>
      </c>
    </row>
    <row r="27" spans="1:40" x14ac:dyDescent="0.2">
      <c r="A27">
        <v>69</v>
      </c>
      <c r="B27">
        <v>732</v>
      </c>
      <c r="C27">
        <v>240</v>
      </c>
      <c r="D27">
        <v>0.32186290603392398</v>
      </c>
      <c r="E27">
        <v>0.626557012420485</v>
      </c>
      <c r="F27">
        <v>4.9329306563374899</v>
      </c>
      <c r="G27">
        <v>-4.208840404014512</v>
      </c>
      <c r="H27">
        <v>-3.102763400462913</v>
      </c>
      <c r="I27">
        <v>1.1004098926046799</v>
      </c>
      <c r="J27">
        <v>0.55608871833976103</v>
      </c>
      <c r="K27">
        <v>0.12701516726482301</v>
      </c>
      <c r="L27">
        <v>3.5833270343449423E-5</v>
      </c>
      <c r="M27">
        <v>4.1930747266640487E-7</v>
      </c>
      <c r="N27" s="1">
        <v>2.4932916950703302E-9</v>
      </c>
      <c r="O27" s="1">
        <v>3.0789589221754299E-13</v>
      </c>
      <c r="P27">
        <v>0</v>
      </c>
      <c r="R27">
        <v>8.4138693654339196</v>
      </c>
      <c r="S27">
        <v>2.468378040927</v>
      </c>
      <c r="T27">
        <v>50.3333349394347</v>
      </c>
      <c r="V27">
        <v>37.849128823129597</v>
      </c>
      <c r="X27">
        <v>0.93528883107466598</v>
      </c>
      <c r="AJ27">
        <v>0</v>
      </c>
      <c r="AK27">
        <v>2.2562105613355699E-3</v>
      </c>
      <c r="AL27">
        <v>0.708760901174179</v>
      </c>
      <c r="AM27">
        <v>5.21820380426277E-2</v>
      </c>
      <c r="AN27">
        <v>0.23680085022185701</v>
      </c>
    </row>
    <row r="28" spans="1:40" x14ac:dyDescent="0.2">
      <c r="A28">
        <v>77</v>
      </c>
      <c r="B28">
        <v>746</v>
      </c>
      <c r="C28">
        <v>220</v>
      </c>
      <c r="D28">
        <v>0.35372663494088302</v>
      </c>
      <c r="E28">
        <v>0.53675065413516898</v>
      </c>
      <c r="F28">
        <v>4.9365394343483704</v>
      </c>
      <c r="G28">
        <v>-3.5940966347040257</v>
      </c>
      <c r="H28">
        <v>-2.6282294885572974</v>
      </c>
      <c r="I28">
        <v>0.94771833993693599</v>
      </c>
      <c r="J28">
        <v>0.47621663645843998</v>
      </c>
      <c r="K28">
        <v>0.108730146142552</v>
      </c>
      <c r="L28">
        <v>3.659962815243883E-5</v>
      </c>
      <c r="M28">
        <v>4.257437043276668E-7</v>
      </c>
      <c r="N28" s="1">
        <v>2.1624582195499599E-9</v>
      </c>
      <c r="O28" s="1">
        <v>2.6683014459469001E-13</v>
      </c>
      <c r="P28">
        <v>0</v>
      </c>
      <c r="R28">
        <v>8.4334146947093203</v>
      </c>
      <c r="S28">
        <v>1.9583225133573301</v>
      </c>
      <c r="T28">
        <v>50.9183961684857</v>
      </c>
      <c r="V28">
        <v>37.711750045461997</v>
      </c>
      <c r="X28">
        <v>0.978116577985508</v>
      </c>
      <c r="AJ28">
        <v>0</v>
      </c>
      <c r="AK28">
        <v>-1.14102235786124E-2</v>
      </c>
      <c r="AL28">
        <v>0.71876777849279805</v>
      </c>
      <c r="AM28">
        <v>5.4706099073931799E-2</v>
      </c>
      <c r="AN28">
        <v>0.23793634601188199</v>
      </c>
    </row>
    <row r="29" spans="1:40" x14ac:dyDescent="0.2">
      <c r="A29">
        <v>78</v>
      </c>
      <c r="B29">
        <v>744</v>
      </c>
      <c r="C29">
        <v>220</v>
      </c>
      <c r="D29">
        <v>0.352318242147177</v>
      </c>
      <c r="E29">
        <v>0.62244781091082202</v>
      </c>
      <c r="F29">
        <v>4.9284731015693204</v>
      </c>
      <c r="G29">
        <v>-4.1985283478744932</v>
      </c>
      <c r="H29">
        <v>-3.0794476524900154</v>
      </c>
      <c r="I29">
        <v>1.1002120585798301</v>
      </c>
      <c r="J29">
        <v>0.55250412041292896</v>
      </c>
      <c r="K29">
        <v>0.126296278397587</v>
      </c>
      <c r="L29">
        <v>3.5520821413698018E-5</v>
      </c>
      <c r="M29">
        <v>4.1414680813937144E-7</v>
      </c>
      <c r="N29" s="1">
        <v>2.4380710082592999E-9</v>
      </c>
      <c r="O29" s="1">
        <v>3.0031698905501701E-13</v>
      </c>
      <c r="P29">
        <v>0</v>
      </c>
      <c r="R29">
        <v>9.19694489002765</v>
      </c>
      <c r="S29">
        <v>1.9986821252661799</v>
      </c>
      <c r="T29">
        <v>49.418477772573503</v>
      </c>
      <c r="V29">
        <v>38.368488212830798</v>
      </c>
      <c r="X29">
        <v>1.01740699930182</v>
      </c>
      <c r="AJ29">
        <v>0</v>
      </c>
      <c r="AK29">
        <v>-1.26994249650922E-2</v>
      </c>
      <c r="AL29">
        <v>0.69671611126475497</v>
      </c>
      <c r="AM29">
        <v>5.6831936494220602E-2</v>
      </c>
      <c r="AN29">
        <v>0.25915137720611597</v>
      </c>
    </row>
    <row r="30" spans="1:40" x14ac:dyDescent="0.2">
      <c r="A30">
        <v>79</v>
      </c>
      <c r="B30">
        <v>742</v>
      </c>
      <c r="C30">
        <v>220</v>
      </c>
      <c r="D30">
        <v>0.35090429985716198</v>
      </c>
      <c r="E30">
        <v>0.63325425425827797</v>
      </c>
      <c r="F30">
        <v>4.9298188855967897</v>
      </c>
      <c r="G30">
        <v>-4.2662582476688025</v>
      </c>
      <c r="H30">
        <v>-3.1313711470409284</v>
      </c>
      <c r="I30">
        <v>1.1179501557679801</v>
      </c>
      <c r="J30">
        <v>0.562137613588513</v>
      </c>
      <c r="K30">
        <v>0.12845385783003599</v>
      </c>
      <c r="L30">
        <v>3.5760790767845583E-5</v>
      </c>
      <c r="M30">
        <v>4.1722354462445838E-7</v>
      </c>
      <c r="N30" s="1">
        <v>2.5000275321745599E-9</v>
      </c>
      <c r="O30" s="1">
        <v>3.0813348453024602E-13</v>
      </c>
      <c r="P30">
        <v>0</v>
      </c>
      <c r="R30">
        <v>8.89601315781902</v>
      </c>
      <c r="S30">
        <v>2.1277210045792598</v>
      </c>
      <c r="T30">
        <v>49.8394436448474</v>
      </c>
      <c r="V30">
        <v>38.134508344212698</v>
      </c>
      <c r="X30">
        <v>1.0023138485415599</v>
      </c>
      <c r="AJ30">
        <v>0</v>
      </c>
      <c r="AK30">
        <v>-9.0043032589450997E-3</v>
      </c>
      <c r="AL30">
        <v>0.70243709622304795</v>
      </c>
      <c r="AM30">
        <v>5.5971794090675202E-2</v>
      </c>
      <c r="AN30">
        <v>0.25059541294521998</v>
      </c>
    </row>
    <row r="31" spans="1:40" x14ac:dyDescent="0.2">
      <c r="A31">
        <v>80</v>
      </c>
      <c r="B31">
        <v>740</v>
      </c>
      <c r="C31">
        <v>220</v>
      </c>
      <c r="D31">
        <v>0.34948477520604299</v>
      </c>
      <c r="E31">
        <v>0.64039867647286497</v>
      </c>
      <c r="F31">
        <v>4.92989138232761</v>
      </c>
      <c r="G31">
        <v>-4.3140095900987196</v>
      </c>
      <c r="H31">
        <v>-3.1696363923205793</v>
      </c>
      <c r="I31">
        <v>1.1295200096512199</v>
      </c>
      <c r="J31">
        <v>0.568528317470407</v>
      </c>
      <c r="K31">
        <v>0.12990117363813</v>
      </c>
      <c r="L31">
        <v>3.5800588255875946E-5</v>
      </c>
      <c r="M31">
        <v>4.180712660367476E-7</v>
      </c>
      <c r="N31" s="1">
        <v>2.5341154172295899E-9</v>
      </c>
      <c r="O31" s="1">
        <v>3.1241162112867701E-13</v>
      </c>
      <c r="P31">
        <v>0</v>
      </c>
      <c r="R31">
        <v>8.7660684474899604</v>
      </c>
      <c r="S31">
        <v>2.2286825784369602</v>
      </c>
      <c r="T31">
        <v>49.967677208502899</v>
      </c>
      <c r="V31">
        <v>38.042428605649803</v>
      </c>
      <c r="X31">
        <v>0.99514315992026103</v>
      </c>
      <c r="AJ31">
        <v>0</v>
      </c>
      <c r="AK31">
        <v>-6.3728463312712098E-3</v>
      </c>
      <c r="AL31">
        <v>0.70398008070879503</v>
      </c>
      <c r="AM31">
        <v>5.5550505514434002E-2</v>
      </c>
      <c r="AN31">
        <v>0.246842260108042</v>
      </c>
    </row>
    <row r="32" spans="1:40" x14ac:dyDescent="0.2">
      <c r="A32">
        <v>81</v>
      </c>
      <c r="B32">
        <v>738</v>
      </c>
      <c r="C32">
        <v>220</v>
      </c>
      <c r="D32">
        <v>0.34805963506898102</v>
      </c>
      <c r="E32">
        <v>0.643450657244793</v>
      </c>
      <c r="F32">
        <v>4.9300080487529998</v>
      </c>
      <c r="G32">
        <v>-4.3339764368873555</v>
      </c>
      <c r="H32">
        <v>-3.1874979726994805</v>
      </c>
      <c r="I32">
        <v>1.13383619066199</v>
      </c>
      <c r="J32">
        <v>0.57127629232787003</v>
      </c>
      <c r="K32">
        <v>0.130517161611439</v>
      </c>
      <c r="L32">
        <v>3.5834519063600088E-5</v>
      </c>
      <c r="M32">
        <v>4.1885342513611545E-7</v>
      </c>
      <c r="N32" s="1">
        <v>2.5516706941767998E-9</v>
      </c>
      <c r="O32" s="1">
        <v>3.1465183689918099E-13</v>
      </c>
      <c r="P32">
        <v>0</v>
      </c>
      <c r="R32">
        <v>8.6451230239142198</v>
      </c>
      <c r="S32">
        <v>2.32219015237296</v>
      </c>
      <c r="T32">
        <v>50.087277847178001</v>
      </c>
      <c r="V32">
        <v>37.957486878948004</v>
      </c>
      <c r="X32">
        <v>0.98792209758666805</v>
      </c>
      <c r="AJ32">
        <v>0</v>
      </c>
      <c r="AK32">
        <v>-3.9050975920649099E-3</v>
      </c>
      <c r="AL32">
        <v>0.70542338190572196</v>
      </c>
      <c r="AM32">
        <v>5.5128523990452802E-2</v>
      </c>
      <c r="AN32">
        <v>0.24335319169588901</v>
      </c>
    </row>
    <row r="33" spans="1:40" x14ac:dyDescent="0.2">
      <c r="A33">
        <v>82</v>
      </c>
      <c r="B33">
        <v>736</v>
      </c>
      <c r="C33">
        <v>220</v>
      </c>
      <c r="D33">
        <v>0.34662884605856398</v>
      </c>
      <c r="E33">
        <v>0.64432358892761599</v>
      </c>
      <c r="F33">
        <v>4.9301534080173601</v>
      </c>
      <c r="G33">
        <v>-4.3391246974732258</v>
      </c>
      <c r="H33">
        <v>-3.1944538241573293</v>
      </c>
      <c r="I33">
        <v>1.1342921005954401</v>
      </c>
      <c r="J33">
        <v>0.57208273102195195</v>
      </c>
      <c r="K33">
        <v>0.130690373220399</v>
      </c>
      <c r="L33">
        <v>3.5864083078817691E-5</v>
      </c>
      <c r="M33">
        <v>4.1958709750690212E-7</v>
      </c>
      <c r="N33" s="1">
        <v>2.5603003370584E-9</v>
      </c>
      <c r="O33" s="1">
        <v>3.15791199622247E-13</v>
      </c>
      <c r="P33">
        <v>0</v>
      </c>
      <c r="R33">
        <v>8.5305815882349005</v>
      </c>
      <c r="S33">
        <v>2.4105567721886398</v>
      </c>
      <c r="T33">
        <v>50.200541097671803</v>
      </c>
      <c r="V33">
        <v>37.8776590755513</v>
      </c>
      <c r="X33">
        <v>0.98066146635334395</v>
      </c>
      <c r="AJ33">
        <v>0</v>
      </c>
      <c r="AK33">
        <v>-1.5502278456105401E-3</v>
      </c>
      <c r="AL33">
        <v>0.70679228870784905</v>
      </c>
      <c r="AM33">
        <v>5.4705848525466103E-2</v>
      </c>
      <c r="AN33">
        <v>0.24005209061229399</v>
      </c>
    </row>
    <row r="34" spans="1:40" x14ac:dyDescent="0.2">
      <c r="A34">
        <v>83</v>
      </c>
      <c r="B34">
        <v>734</v>
      </c>
      <c r="C34">
        <v>220</v>
      </c>
      <c r="D34">
        <v>0.345192374522167</v>
      </c>
      <c r="E34">
        <v>0.64388094654374095</v>
      </c>
      <c r="F34">
        <v>4.9303179560423596</v>
      </c>
      <c r="G34">
        <v>-4.3353192898594486</v>
      </c>
      <c r="H34">
        <v>-3.1948021841226186</v>
      </c>
      <c r="I34">
        <v>1.1324203005876201</v>
      </c>
      <c r="J34">
        <v>0.57171593372455698</v>
      </c>
      <c r="K34">
        <v>0.13059623178148799</v>
      </c>
      <c r="L34">
        <v>3.58901718493817E-5</v>
      </c>
      <c r="M34">
        <v>4.2028242080392272E-7</v>
      </c>
      <c r="N34" s="1">
        <v>2.5634564992958698E-9</v>
      </c>
      <c r="O34" s="1">
        <v>3.16254989773148E-13</v>
      </c>
      <c r="P34">
        <v>0</v>
      </c>
      <c r="R34">
        <v>8.4208878576050505</v>
      </c>
      <c r="S34">
        <v>2.4951812304055498</v>
      </c>
      <c r="T34">
        <v>50.308830211557797</v>
      </c>
      <c r="V34">
        <v>37.801731929987803</v>
      </c>
      <c r="X34">
        <v>0.97336877044368098</v>
      </c>
      <c r="AJ34">
        <v>0</v>
      </c>
      <c r="AK34">
        <v>7.2244216386204796E-4</v>
      </c>
      <c r="AL34">
        <v>0.70810173187660697</v>
      </c>
      <c r="AM34">
        <v>5.4282531033758699E-2</v>
      </c>
      <c r="AN34">
        <v>0.23689329492577099</v>
      </c>
    </row>
    <row r="35" spans="1:40" x14ac:dyDescent="0.2">
      <c r="A35">
        <v>89</v>
      </c>
      <c r="B35">
        <v>750</v>
      </c>
      <c r="C35">
        <v>200</v>
      </c>
      <c r="D35">
        <v>0.37802912573913899</v>
      </c>
      <c r="E35">
        <v>0.51148935027879905</v>
      </c>
      <c r="F35">
        <v>4.9388163607717299</v>
      </c>
      <c r="G35">
        <v>-3.4174659926170086</v>
      </c>
      <c r="H35">
        <v>-2.4925085641032387</v>
      </c>
      <c r="I35">
        <v>0.90402915360775005</v>
      </c>
      <c r="J35">
        <v>0.45388256776215002</v>
      </c>
      <c r="K35">
        <v>0.103565168841158</v>
      </c>
      <c r="L35">
        <v>3.7397494556589672E-5</v>
      </c>
      <c r="M35">
        <v>4.3454697641146666E-7</v>
      </c>
      <c r="N35" s="1">
        <v>2.10020632126144E-9</v>
      </c>
      <c r="O35" s="1">
        <v>2.5917834256652902E-13</v>
      </c>
      <c r="P35">
        <v>0</v>
      </c>
      <c r="R35">
        <v>7.9188284081374203</v>
      </c>
      <c r="S35">
        <v>1.9739580513122501</v>
      </c>
      <c r="T35">
        <v>51.900855810233502</v>
      </c>
      <c r="V35">
        <v>37.214069848615097</v>
      </c>
      <c r="X35">
        <v>0.99228788170161197</v>
      </c>
      <c r="AJ35">
        <v>0</v>
      </c>
      <c r="AK35">
        <v>-1.1860751784690499E-2</v>
      </c>
      <c r="AL35">
        <v>0.732859141981554</v>
      </c>
      <c r="AM35">
        <v>5.5515585167819202E-2</v>
      </c>
      <c r="AN35">
        <v>0.223486024635317</v>
      </c>
    </row>
    <row r="36" spans="1:40" x14ac:dyDescent="0.2">
      <c r="A36">
        <v>90</v>
      </c>
      <c r="B36">
        <v>748</v>
      </c>
      <c r="C36">
        <v>200</v>
      </c>
      <c r="D36">
        <v>0.37667384811242399</v>
      </c>
      <c r="E36">
        <v>0.61801536673308899</v>
      </c>
      <c r="F36">
        <v>4.9295626854826899</v>
      </c>
      <c r="G36">
        <v>-4.1647207110766002</v>
      </c>
      <c r="H36">
        <v>-3.0477035282181721</v>
      </c>
      <c r="I36">
        <v>1.0938815872873</v>
      </c>
      <c r="J36">
        <v>0.54873514811561597</v>
      </c>
      <c r="K36">
        <v>0.12536920740517399</v>
      </c>
      <c r="L36">
        <v>3.6127743439114288E-5</v>
      </c>
      <c r="M36">
        <v>4.2084406757061411E-7</v>
      </c>
      <c r="N36" s="1">
        <v>2.4559447018256198E-9</v>
      </c>
      <c r="O36" s="1">
        <v>3.02464948915696E-13</v>
      </c>
      <c r="P36">
        <v>0</v>
      </c>
      <c r="R36">
        <v>8.8321708693438392</v>
      </c>
      <c r="S36">
        <v>2.00321706526957</v>
      </c>
      <c r="T36">
        <v>50.128901357124498</v>
      </c>
      <c r="V36">
        <v>37.996605202663801</v>
      </c>
      <c r="X36">
        <v>1.03910550559814</v>
      </c>
      <c r="AJ36">
        <v>0</v>
      </c>
      <c r="AK36">
        <v>-1.38136069876572E-2</v>
      </c>
      <c r="AL36">
        <v>0.70684687621833997</v>
      </c>
      <c r="AM36">
        <v>5.8053451599399002E-2</v>
      </c>
      <c r="AN36">
        <v>0.24891327916991701</v>
      </c>
    </row>
    <row r="37" spans="1:40" x14ac:dyDescent="0.2">
      <c r="A37">
        <v>91</v>
      </c>
      <c r="B37">
        <v>746</v>
      </c>
      <c r="C37">
        <v>200</v>
      </c>
      <c r="D37">
        <v>0.37531325123877901</v>
      </c>
      <c r="E37">
        <v>0.65903153839594697</v>
      </c>
      <c r="F37">
        <v>4.9244260878968404</v>
      </c>
      <c r="G37">
        <v>-4.4615141006737362</v>
      </c>
      <c r="H37">
        <v>-3.2722908259871724</v>
      </c>
      <c r="I37">
        <v>1.1668775692357001</v>
      </c>
      <c r="J37">
        <v>0.58531476780549097</v>
      </c>
      <c r="K37">
        <v>0.13382910549022201</v>
      </c>
      <c r="L37">
        <v>3.544777163672535E-5</v>
      </c>
      <c r="M37">
        <v>4.1369053638897461E-7</v>
      </c>
      <c r="N37" s="1">
        <v>2.5735316439216002E-9</v>
      </c>
      <c r="O37" s="1">
        <v>3.1659482098323E-13</v>
      </c>
      <c r="P37">
        <v>0</v>
      </c>
      <c r="R37">
        <v>9.2863301786510597</v>
      </c>
      <c r="S37">
        <v>2.0545637703518298</v>
      </c>
      <c r="T37">
        <v>49.205088154672801</v>
      </c>
      <c r="V37">
        <v>38.3906069309147</v>
      </c>
      <c r="X37">
        <v>1.0634109654095201</v>
      </c>
      <c r="AJ37">
        <v>0</v>
      </c>
      <c r="AK37">
        <v>-1.4024838840756001E-2</v>
      </c>
      <c r="AL37">
        <v>0.69319182269560198</v>
      </c>
      <c r="AM37">
        <v>5.9357526432959301E-2</v>
      </c>
      <c r="AN37">
        <v>0.26147548971219398</v>
      </c>
    </row>
    <row r="38" spans="1:40" x14ac:dyDescent="0.2">
      <c r="A38">
        <v>92</v>
      </c>
      <c r="B38">
        <v>744</v>
      </c>
      <c r="C38">
        <v>200</v>
      </c>
      <c r="D38">
        <v>0.373947303740848</v>
      </c>
      <c r="E38">
        <v>0.65710717795533502</v>
      </c>
      <c r="F38">
        <v>4.9268749370909299</v>
      </c>
      <c r="G38">
        <v>-4.438710182667081</v>
      </c>
      <c r="H38">
        <v>-3.257034362525657</v>
      </c>
      <c r="I38">
        <v>1.1617517771630701</v>
      </c>
      <c r="J38">
        <v>0.58361729884746705</v>
      </c>
      <c r="K38">
        <v>0.13337200281022801</v>
      </c>
      <c r="L38">
        <v>3.5825285688967495E-5</v>
      </c>
      <c r="M38">
        <v>4.1829318124380342E-7</v>
      </c>
      <c r="N38" s="1">
        <v>2.5961505723598899E-9</v>
      </c>
      <c r="O38" s="1">
        <v>3.1966041037385902E-13</v>
      </c>
      <c r="P38">
        <v>0</v>
      </c>
      <c r="R38">
        <v>8.8785704129540104</v>
      </c>
      <c r="S38">
        <v>2.18501115306564</v>
      </c>
      <c r="T38">
        <v>49.827035355867203</v>
      </c>
      <c r="V38">
        <v>38.067641310433999</v>
      </c>
      <c r="X38">
        <v>1.0417417676790499</v>
      </c>
      <c r="AJ38">
        <v>0</v>
      </c>
      <c r="AK38">
        <v>-9.9354872556188297E-3</v>
      </c>
      <c r="AL38">
        <v>0.70184223609817797</v>
      </c>
      <c r="AM38">
        <v>5.8138761083960398E-2</v>
      </c>
      <c r="AN38">
        <v>0.24995449007348</v>
      </c>
    </row>
    <row r="39" spans="1:40" x14ac:dyDescent="0.2">
      <c r="A39">
        <v>93</v>
      </c>
      <c r="B39">
        <v>742</v>
      </c>
      <c r="C39">
        <v>200</v>
      </c>
      <c r="D39">
        <v>0.37257597399398801</v>
      </c>
      <c r="E39">
        <v>0.66052076075794097</v>
      </c>
      <c r="F39">
        <v>4.9270143541895299</v>
      </c>
      <c r="G39">
        <v>-4.4610637058819451</v>
      </c>
      <c r="H39">
        <v>-3.2766947066730951</v>
      </c>
      <c r="I39">
        <v>1.16669359130064</v>
      </c>
      <c r="J39">
        <v>0.58668798506247899</v>
      </c>
      <c r="K39">
        <v>0.134061058741647</v>
      </c>
      <c r="L39">
        <v>3.5862496694577127E-5</v>
      </c>
      <c r="M39">
        <v>4.1911100495408715E-7</v>
      </c>
      <c r="N39" s="1">
        <v>2.6154772576212398E-9</v>
      </c>
      <c r="O39" s="1">
        <v>3.2211992786636E-13</v>
      </c>
      <c r="P39">
        <v>0</v>
      </c>
      <c r="R39">
        <v>8.7554885943198002</v>
      </c>
      <c r="S39">
        <v>2.2783626425617398</v>
      </c>
      <c r="T39">
        <v>49.950924119298897</v>
      </c>
      <c r="V39">
        <v>37.980738765519298</v>
      </c>
      <c r="X39">
        <v>1.0344858783001201</v>
      </c>
      <c r="AJ39">
        <v>0</v>
      </c>
      <c r="AK39">
        <v>-7.4685909694094102E-3</v>
      </c>
      <c r="AL39">
        <v>0.70334856928851697</v>
      </c>
      <c r="AM39">
        <v>5.7714228059125003E-2</v>
      </c>
      <c r="AN39">
        <v>0.24640579362176701</v>
      </c>
    </row>
    <row r="40" spans="1:40" x14ac:dyDescent="0.2">
      <c r="A40">
        <v>94</v>
      </c>
      <c r="B40">
        <v>740</v>
      </c>
      <c r="C40">
        <v>200</v>
      </c>
      <c r="D40">
        <v>0.37119923012387401</v>
      </c>
      <c r="E40">
        <v>0.66161849190711697</v>
      </c>
      <c r="F40">
        <v>4.9271828999711502</v>
      </c>
      <c r="G40">
        <v>-4.4676268025650305</v>
      </c>
      <c r="H40">
        <v>-3.2847511613565832</v>
      </c>
      <c r="I40">
        <v>1.16752271747366</v>
      </c>
      <c r="J40">
        <v>0.587694197708866</v>
      </c>
      <c r="K40">
        <v>0.13427926369670401</v>
      </c>
      <c r="L40">
        <v>3.58948888471948E-5</v>
      </c>
      <c r="M40">
        <v>4.198752852069605E-7</v>
      </c>
      <c r="N40" s="1">
        <v>2.6253144892155601E-9</v>
      </c>
      <c r="O40" s="1">
        <v>3.2341041813494499E-13</v>
      </c>
      <c r="P40">
        <v>0</v>
      </c>
      <c r="R40">
        <v>8.6393301578039505</v>
      </c>
      <c r="S40">
        <v>2.36626900060139</v>
      </c>
      <c r="T40">
        <v>50.067830976609301</v>
      </c>
      <c r="V40">
        <v>37.899378822915203</v>
      </c>
      <c r="X40">
        <v>1.02719104207011</v>
      </c>
      <c r="AJ40">
        <v>0</v>
      </c>
      <c r="AK40">
        <v>-5.1213594045876904E-3</v>
      </c>
      <c r="AL40">
        <v>0.70477219475605002</v>
      </c>
      <c r="AM40">
        <v>5.7289159567074803E-2</v>
      </c>
      <c r="AN40">
        <v>0.243060005081461</v>
      </c>
    </row>
    <row r="41" spans="1:40" x14ac:dyDescent="0.2">
      <c r="A41">
        <v>95</v>
      </c>
      <c r="B41">
        <v>738</v>
      </c>
      <c r="C41">
        <v>200</v>
      </c>
      <c r="D41">
        <v>0.36981704000395799</v>
      </c>
      <c r="E41">
        <v>0.66135008021057196</v>
      </c>
      <c r="F41">
        <v>4.9273709291380099</v>
      </c>
      <c r="G41">
        <v>-4.4648657697317491</v>
      </c>
      <c r="H41">
        <v>-3.2859374352318063</v>
      </c>
      <c r="I41">
        <v>1.16592823468322</v>
      </c>
      <c r="J41">
        <v>0.58748134441130595</v>
      </c>
      <c r="K41">
        <v>0.13421966596825</v>
      </c>
      <c r="L41">
        <v>3.5923504628907666E-5</v>
      </c>
      <c r="M41">
        <v>4.205978624960573E-7</v>
      </c>
      <c r="N41" s="1">
        <v>2.6294598546002402E-9</v>
      </c>
      <c r="O41" s="1">
        <v>3.2399919013035399E-13</v>
      </c>
      <c r="P41">
        <v>0</v>
      </c>
      <c r="R41">
        <v>8.5283620513700296</v>
      </c>
      <c r="S41">
        <v>2.45023352903651</v>
      </c>
      <c r="T41">
        <v>50.179337210145697</v>
      </c>
      <c r="V41">
        <v>37.822202959748303</v>
      </c>
      <c r="X41">
        <v>1.01986424969937</v>
      </c>
      <c r="AJ41">
        <v>0</v>
      </c>
      <c r="AK41">
        <v>-2.8607515630931302E-3</v>
      </c>
      <c r="AL41">
        <v>0.70613085387311003</v>
      </c>
      <c r="AM41">
        <v>5.68635382319264E-2</v>
      </c>
      <c r="AN41">
        <v>0.23986635945805501</v>
      </c>
    </row>
    <row r="42" spans="1:40" x14ac:dyDescent="0.2">
      <c r="A42">
        <v>101</v>
      </c>
      <c r="B42">
        <v>754</v>
      </c>
      <c r="C42">
        <v>180</v>
      </c>
      <c r="D42">
        <v>0.402142335588766</v>
      </c>
      <c r="E42">
        <v>0.52416561751903001</v>
      </c>
      <c r="F42">
        <v>4.9380014378410202</v>
      </c>
      <c r="G42">
        <v>-3.5045518784474852</v>
      </c>
      <c r="H42">
        <v>-2.5512838628313319</v>
      </c>
      <c r="I42">
        <v>0.92807089092747197</v>
      </c>
      <c r="J42">
        <v>0.46531544795174401</v>
      </c>
      <c r="K42">
        <v>0.10614934485482901</v>
      </c>
      <c r="L42">
        <v>3.7805152074201012E-5</v>
      </c>
      <c r="M42">
        <v>4.390020833280235E-7</v>
      </c>
      <c r="N42" s="1">
        <v>2.1707209913648602E-9</v>
      </c>
      <c r="O42" s="1">
        <v>2.67737049251113E-13</v>
      </c>
      <c r="P42">
        <v>0</v>
      </c>
      <c r="R42">
        <v>7.6992149009303796</v>
      </c>
      <c r="S42">
        <v>1.9934134689563101</v>
      </c>
      <c r="T42">
        <v>52.318146440678198</v>
      </c>
      <c r="V42">
        <v>36.966752563852801</v>
      </c>
      <c r="X42">
        <v>1.0224726255821901</v>
      </c>
      <c r="AJ42">
        <v>0</v>
      </c>
      <c r="AK42">
        <v>-1.3117600843440399E-2</v>
      </c>
      <c r="AL42">
        <v>0.73865939830189398</v>
      </c>
      <c r="AM42">
        <v>5.7197205653903002E-2</v>
      </c>
      <c r="AN42">
        <v>0.217260996887643</v>
      </c>
    </row>
    <row r="43" spans="1:40" x14ac:dyDescent="0.2">
      <c r="A43">
        <v>102</v>
      </c>
      <c r="B43">
        <v>752</v>
      </c>
      <c r="C43">
        <v>180</v>
      </c>
      <c r="D43">
        <v>0.40083938935765601</v>
      </c>
      <c r="E43">
        <v>0.62473197585589701</v>
      </c>
      <c r="F43">
        <v>4.9290872511084496</v>
      </c>
      <c r="G43">
        <v>-4.2118849233212323</v>
      </c>
      <c r="H43">
        <v>-3.0763510923631681</v>
      </c>
      <c r="I43">
        <v>1.10767578496616</v>
      </c>
      <c r="J43">
        <v>0.55492476653284795</v>
      </c>
      <c r="K43">
        <v>0.12674394751592299</v>
      </c>
      <c r="L43">
        <v>3.6565813741212319E-5</v>
      </c>
      <c r="M43">
        <v>4.25659466948598E-7</v>
      </c>
      <c r="N43" s="1">
        <v>2.50685204535971E-9</v>
      </c>
      <c r="O43" s="1">
        <v>3.0858108198931302E-13</v>
      </c>
      <c r="P43">
        <v>0</v>
      </c>
      <c r="R43">
        <v>8.5892562007333204</v>
      </c>
      <c r="S43">
        <v>2.0210928988935302</v>
      </c>
      <c r="T43">
        <v>50.592713016805703</v>
      </c>
      <c r="V43">
        <v>37.7282204953164</v>
      </c>
      <c r="X43">
        <v>1.06871738825094</v>
      </c>
      <c r="AJ43">
        <v>0</v>
      </c>
      <c r="AK43">
        <v>-1.5071867820725501E-2</v>
      </c>
      <c r="AL43">
        <v>0.71332352541285304</v>
      </c>
      <c r="AM43">
        <v>5.9702524780609598E-2</v>
      </c>
      <c r="AN43">
        <v>0.24204581762726199</v>
      </c>
    </row>
    <row r="44" spans="1:40" x14ac:dyDescent="0.2">
      <c r="A44">
        <v>103</v>
      </c>
      <c r="B44">
        <v>750</v>
      </c>
      <c r="C44">
        <v>180</v>
      </c>
      <c r="D44">
        <v>0.39953134926452799</v>
      </c>
      <c r="E44">
        <v>0.66512475647648495</v>
      </c>
      <c r="F44">
        <v>4.9239704182361201</v>
      </c>
      <c r="G44">
        <v>-4.5049070680330194</v>
      </c>
      <c r="H44">
        <v>-3.2978792232775485</v>
      </c>
      <c r="I44">
        <v>1.17971738724084</v>
      </c>
      <c r="J44">
        <v>0.59097784144103005</v>
      </c>
      <c r="K44">
        <v>0.13507895051789201</v>
      </c>
      <c r="L44">
        <v>3.5880225816600975E-5</v>
      </c>
      <c r="M44">
        <v>4.1845827517518403E-7</v>
      </c>
      <c r="N44" s="1">
        <v>2.62281152872885E-9</v>
      </c>
      <c r="O44" s="1">
        <v>3.2249048780832299E-13</v>
      </c>
      <c r="P44">
        <v>0</v>
      </c>
      <c r="R44">
        <v>9.0482127420721596</v>
      </c>
      <c r="S44">
        <v>2.0705609205291799</v>
      </c>
      <c r="T44">
        <v>49.662228390316002</v>
      </c>
      <c r="V44">
        <v>38.1252731757166</v>
      </c>
      <c r="X44">
        <v>1.0937247713659799</v>
      </c>
      <c r="AJ44">
        <v>0</v>
      </c>
      <c r="AK44">
        <v>-1.5362571172685399E-2</v>
      </c>
      <c r="AL44">
        <v>0.69957009080266497</v>
      </c>
      <c r="AM44">
        <v>6.1044188216758603E-2</v>
      </c>
      <c r="AN44">
        <v>0.254748292153261</v>
      </c>
    </row>
    <row r="45" spans="1:40" x14ac:dyDescent="0.2">
      <c r="A45">
        <v>104</v>
      </c>
      <c r="B45">
        <v>748</v>
      </c>
      <c r="C45">
        <v>180</v>
      </c>
      <c r="D45">
        <v>0.39821818537923098</v>
      </c>
      <c r="E45">
        <v>0.674642811175033</v>
      </c>
      <c r="F45">
        <v>4.9235850476879603</v>
      </c>
      <c r="G45">
        <v>-4.5708194488806964</v>
      </c>
      <c r="H45">
        <v>-3.3498839291588403</v>
      </c>
      <c r="I45">
        <v>1.19564757354145</v>
      </c>
      <c r="J45">
        <v>0.59949217353508</v>
      </c>
      <c r="K45">
        <v>0.137022678524022</v>
      </c>
      <c r="L45">
        <v>3.5853230991338725E-5</v>
      </c>
      <c r="M45">
        <v>4.1856236771501552E-7</v>
      </c>
      <c r="N45" s="1">
        <v>2.6616056625124602E-9</v>
      </c>
      <c r="O45" s="1">
        <v>3.2729908451244401E-13</v>
      </c>
      <c r="P45">
        <v>0</v>
      </c>
      <c r="R45">
        <v>8.9751316539027304</v>
      </c>
      <c r="S45">
        <v>2.1636748843539699</v>
      </c>
      <c r="T45">
        <v>49.691636556288898</v>
      </c>
      <c r="V45">
        <v>38.079853960136397</v>
      </c>
      <c r="X45">
        <v>1.0897029453178899</v>
      </c>
      <c r="AJ45">
        <v>0</v>
      </c>
      <c r="AK45">
        <v>-1.3078404256677501E-2</v>
      </c>
      <c r="AL45">
        <v>0.69969676407842896</v>
      </c>
      <c r="AM45">
        <v>6.0794729952393697E-2</v>
      </c>
      <c r="AN45">
        <v>0.252586910225853</v>
      </c>
    </row>
    <row r="46" spans="1:40" x14ac:dyDescent="0.2">
      <c r="A46">
        <v>105</v>
      </c>
      <c r="B46">
        <v>746</v>
      </c>
      <c r="C46">
        <v>180</v>
      </c>
      <c r="D46">
        <v>0.396899867536674</v>
      </c>
      <c r="E46">
        <v>0.67777023510311496</v>
      </c>
      <c r="F46">
        <v>4.9237574055753504</v>
      </c>
      <c r="G46">
        <v>-4.5911363008229564</v>
      </c>
      <c r="H46">
        <v>-3.3680886899133706</v>
      </c>
      <c r="I46">
        <v>1.20006634048921</v>
      </c>
      <c r="J46">
        <v>0.60230834834939895</v>
      </c>
      <c r="K46">
        <v>0.13765305218645599</v>
      </c>
      <c r="L46">
        <v>3.5892768317248495E-5</v>
      </c>
      <c r="M46">
        <v>4.1940469576853676E-7</v>
      </c>
      <c r="N46" s="1">
        <v>2.6800815938969698E-9</v>
      </c>
      <c r="O46" s="1">
        <v>3.29655018680966E-13</v>
      </c>
      <c r="P46">
        <v>0</v>
      </c>
      <c r="R46">
        <v>8.8515202300973606</v>
      </c>
      <c r="S46">
        <v>2.25543760386382</v>
      </c>
      <c r="T46">
        <v>49.8183805684764</v>
      </c>
      <c r="V46">
        <v>37.992279085814197</v>
      </c>
      <c r="X46">
        <v>1.0823825117481101</v>
      </c>
      <c r="AJ46">
        <v>0</v>
      </c>
      <c r="AK46">
        <v>-1.0642811366741301E-2</v>
      </c>
      <c r="AL46">
        <v>0.70125032939042697</v>
      </c>
      <c r="AM46">
        <v>6.0366428570010101E-2</v>
      </c>
      <c r="AN46">
        <v>0.24902605340630299</v>
      </c>
    </row>
    <row r="47" spans="1:40" x14ac:dyDescent="0.2">
      <c r="A47">
        <v>106</v>
      </c>
      <c r="B47">
        <v>744</v>
      </c>
      <c r="C47">
        <v>180</v>
      </c>
      <c r="D47">
        <v>0.39557636533451601</v>
      </c>
      <c r="E47">
        <v>0.67872430106825998</v>
      </c>
      <c r="F47">
        <v>4.9239563361813898</v>
      </c>
      <c r="G47">
        <v>-4.5965887232659863</v>
      </c>
      <c r="H47">
        <v>-3.3753823556807498</v>
      </c>
      <c r="I47">
        <v>1.20061580650369</v>
      </c>
      <c r="J47">
        <v>0.60318559376198599</v>
      </c>
      <c r="K47">
        <v>0.13784125096337099</v>
      </c>
      <c r="L47">
        <v>3.5927284871425694E-5</v>
      </c>
      <c r="M47">
        <v>4.2019130892322985E-7</v>
      </c>
      <c r="N47" s="1">
        <v>2.68961861738261E-9</v>
      </c>
      <c r="O47" s="1">
        <v>3.3091092452628701E-13</v>
      </c>
      <c r="P47">
        <v>0</v>
      </c>
      <c r="R47">
        <v>8.7349024191532099</v>
      </c>
      <c r="S47">
        <v>2.34186467873907</v>
      </c>
      <c r="T47">
        <v>49.937881285431601</v>
      </c>
      <c r="V47">
        <v>37.910323140679303</v>
      </c>
      <c r="X47">
        <v>1.0750284759967099</v>
      </c>
      <c r="AJ47">
        <v>0</v>
      </c>
      <c r="AK47">
        <v>-8.3247306779620205E-3</v>
      </c>
      <c r="AL47">
        <v>0.70271698626795198</v>
      </c>
      <c r="AM47">
        <v>5.9937903873133198E-2</v>
      </c>
      <c r="AN47">
        <v>0.24566984053687599</v>
      </c>
    </row>
    <row r="48" spans="1:40" x14ac:dyDescent="0.2">
      <c r="A48">
        <v>107</v>
      </c>
      <c r="B48">
        <v>742</v>
      </c>
      <c r="C48">
        <v>180</v>
      </c>
      <c r="D48">
        <v>0.39424764813081797</v>
      </c>
      <c r="E48">
        <v>0.67839687815201399</v>
      </c>
      <c r="F48">
        <v>4.9241731341289698</v>
      </c>
      <c r="G48">
        <v>-4.5932680237981112</v>
      </c>
      <c r="H48">
        <v>-3.3762188413455898</v>
      </c>
      <c r="I48">
        <v>1.19888605866376</v>
      </c>
      <c r="J48">
        <v>0.60291834664597199</v>
      </c>
      <c r="K48">
        <v>0.137768689214055</v>
      </c>
      <c r="L48">
        <v>3.5957876186352444E-5</v>
      </c>
      <c r="M48">
        <v>4.2093462420930437E-7</v>
      </c>
      <c r="N48" s="1">
        <v>2.69378780973286E-9</v>
      </c>
      <c r="O48" s="1">
        <v>3.3150572311270102E-13</v>
      </c>
      <c r="P48">
        <v>0</v>
      </c>
      <c r="R48">
        <v>8.6235403115546703</v>
      </c>
      <c r="S48">
        <v>2.4244086763068302</v>
      </c>
      <c r="T48">
        <v>50.051787992519003</v>
      </c>
      <c r="V48">
        <v>37.832617081597498</v>
      </c>
      <c r="X48">
        <v>1.0676459380218699</v>
      </c>
      <c r="AJ48">
        <v>0</v>
      </c>
      <c r="AK48">
        <v>-6.09213655833276E-3</v>
      </c>
      <c r="AL48">
        <v>0.70411565175950397</v>
      </c>
      <c r="AM48">
        <v>5.95090336255839E-2</v>
      </c>
      <c r="AN48">
        <v>0.242467451173244</v>
      </c>
    </row>
    <row r="49" spans="1:40" x14ac:dyDescent="0.2">
      <c r="A49">
        <v>108</v>
      </c>
      <c r="B49">
        <v>740</v>
      </c>
      <c r="C49">
        <v>180</v>
      </c>
      <c r="D49">
        <v>0.39291368504170499</v>
      </c>
      <c r="E49">
        <v>0.67724099658532599</v>
      </c>
      <c r="F49">
        <v>4.9244019373063903</v>
      </c>
      <c r="G49">
        <v>-4.5842763074613968</v>
      </c>
      <c r="H49">
        <v>-3.37286753436232</v>
      </c>
      <c r="I49">
        <v>1.1956855086601901</v>
      </c>
      <c r="J49">
        <v>0.60191051062885403</v>
      </c>
      <c r="K49">
        <v>0.137527562779688</v>
      </c>
      <c r="L49">
        <v>3.5985245056527407E-5</v>
      </c>
      <c r="M49">
        <v>4.2164259991455075E-7</v>
      </c>
      <c r="N49" s="1">
        <v>2.69441652858286E-9</v>
      </c>
      <c r="O49" s="1">
        <v>3.3166403713392399E-13</v>
      </c>
      <c r="P49">
        <v>0</v>
      </c>
      <c r="R49">
        <v>8.5163072769093695</v>
      </c>
      <c r="S49">
        <v>2.5040223248740898</v>
      </c>
      <c r="T49">
        <v>50.161157468591398</v>
      </c>
      <c r="V49">
        <v>37.758273572167099</v>
      </c>
      <c r="X49">
        <v>1.0602393574579101</v>
      </c>
      <c r="AJ49">
        <v>0</v>
      </c>
      <c r="AK49">
        <v>-3.92409076479063E-3</v>
      </c>
      <c r="AL49">
        <v>0.70545836814863905</v>
      </c>
      <c r="AM49">
        <v>5.90797985228525E-2</v>
      </c>
      <c r="AN49">
        <v>0.23938592409329801</v>
      </c>
    </row>
    <row r="50" spans="1:40" x14ac:dyDescent="0.2">
      <c r="A50">
        <v>115</v>
      </c>
      <c r="B50">
        <v>760</v>
      </c>
      <c r="C50">
        <v>160</v>
      </c>
      <c r="D50">
        <v>0.427315007501331</v>
      </c>
      <c r="E50">
        <v>0.32532401132966399</v>
      </c>
      <c r="F50">
        <v>4.9476133580914397</v>
      </c>
      <c r="G50">
        <v>-2.1534945809578216</v>
      </c>
      <c r="H50">
        <v>-1.5586576433442898</v>
      </c>
      <c r="I50">
        <v>0.57575079863865897</v>
      </c>
      <c r="J50">
        <v>0.288668524891805</v>
      </c>
      <c r="K50">
        <v>6.5753725641802999E-2</v>
      </c>
      <c r="L50">
        <v>3.9938939819985408E-5</v>
      </c>
      <c r="M50">
        <v>4.6225336236236876E-7</v>
      </c>
      <c r="N50" s="1">
        <v>1.41729489498837E-9</v>
      </c>
      <c r="O50" s="1">
        <v>1.7511086388803001E-13</v>
      </c>
      <c r="P50">
        <v>0</v>
      </c>
      <c r="R50">
        <v>6.1945764985098304</v>
      </c>
      <c r="S50">
        <v>2.06020211971695</v>
      </c>
      <c r="T50">
        <v>55.132714844717697</v>
      </c>
      <c r="V50">
        <v>35.610381235451598</v>
      </c>
      <c r="X50">
        <v>1.0021253016038101</v>
      </c>
      <c r="AJ50">
        <v>0</v>
      </c>
      <c r="AK50">
        <v>-1.05155800071569E-2</v>
      </c>
      <c r="AL50">
        <v>0.77936680851293405</v>
      </c>
      <c r="AM50">
        <v>5.6128805339075397E-2</v>
      </c>
      <c r="AN50">
        <v>0.17501996615514701</v>
      </c>
    </row>
    <row r="51" spans="1:40" x14ac:dyDescent="0.2">
      <c r="A51">
        <v>116</v>
      </c>
      <c r="B51">
        <v>758</v>
      </c>
      <c r="C51">
        <v>160</v>
      </c>
      <c r="D51">
        <v>0.426068467245311</v>
      </c>
      <c r="E51">
        <v>0.57799399205012603</v>
      </c>
      <c r="F51">
        <v>4.9335054978745898</v>
      </c>
      <c r="G51">
        <v>-3.8807194889943148</v>
      </c>
      <c r="H51">
        <v>-2.8226031515807586</v>
      </c>
      <c r="I51">
        <v>1.02615171159729</v>
      </c>
      <c r="J51">
        <v>0.51346307585739404</v>
      </c>
      <c r="K51">
        <v>0.117156855769012</v>
      </c>
      <c r="L51">
        <v>3.7738993889303232E-5</v>
      </c>
      <c r="M51">
        <v>4.3820079491845743E-7</v>
      </c>
      <c r="N51" s="1">
        <v>2.3846859132957301E-9</v>
      </c>
      <c r="O51" s="1">
        <v>2.9373157471287498E-13</v>
      </c>
      <c r="P51">
        <v>0</v>
      </c>
      <c r="R51">
        <v>7.8348429989007702</v>
      </c>
      <c r="S51">
        <v>2.0200842530266101</v>
      </c>
      <c r="T51">
        <v>52.052275049779901</v>
      </c>
      <c r="V51">
        <v>37.019823543783403</v>
      </c>
      <c r="X51">
        <v>1.0729741545092399</v>
      </c>
      <c r="AJ51">
        <v>0</v>
      </c>
      <c r="AK51">
        <v>-1.5342723387682E-2</v>
      </c>
      <c r="AL51">
        <v>0.73441855321961902</v>
      </c>
      <c r="AM51">
        <v>5.99824814403511E-2</v>
      </c>
      <c r="AN51">
        <v>0.220941688727711</v>
      </c>
    </row>
    <row r="52" spans="1:40" x14ac:dyDescent="0.2">
      <c r="A52">
        <v>117</v>
      </c>
      <c r="B52">
        <v>756</v>
      </c>
      <c r="C52">
        <v>160</v>
      </c>
      <c r="D52">
        <v>0.424817082058009</v>
      </c>
      <c r="E52">
        <v>0.64628985151671103</v>
      </c>
      <c r="F52">
        <v>4.9264721972035099</v>
      </c>
      <c r="G52">
        <v>-4.3677521022305008</v>
      </c>
      <c r="H52">
        <v>-3.1858260004397003</v>
      </c>
      <c r="I52">
        <v>1.14844881872496</v>
      </c>
      <c r="J52">
        <v>0.57440643384666801</v>
      </c>
      <c r="K52">
        <v>0.13118715089543601</v>
      </c>
      <c r="L52">
        <v>3.6764833123408439E-5</v>
      </c>
      <c r="M52">
        <v>4.2782457024211853E-7</v>
      </c>
      <c r="N52" s="1">
        <v>2.6018442220056201E-9</v>
      </c>
      <c r="O52" s="1">
        <v>3.1996713206300702E-13</v>
      </c>
      <c r="P52">
        <v>0</v>
      </c>
      <c r="R52">
        <v>8.5181663785358097</v>
      </c>
      <c r="S52">
        <v>2.0572544866995002</v>
      </c>
      <c r="T52">
        <v>50.709629659349403</v>
      </c>
      <c r="V52">
        <v>37.605060740172597</v>
      </c>
      <c r="X52">
        <v>1.1098887352425799</v>
      </c>
      <c r="AJ52">
        <v>0</v>
      </c>
      <c r="AK52">
        <v>-1.6565966501941001E-2</v>
      </c>
      <c r="AL52">
        <v>0.714654903521731</v>
      </c>
      <c r="AM52">
        <v>6.1975012969248303E-2</v>
      </c>
      <c r="AN52">
        <v>0.23993605001095999</v>
      </c>
    </row>
    <row r="53" spans="1:40" x14ac:dyDescent="0.2">
      <c r="A53">
        <v>118</v>
      </c>
      <c r="B53">
        <v>754</v>
      </c>
      <c r="C53">
        <v>160</v>
      </c>
      <c r="D53">
        <v>0.42356082363822201</v>
      </c>
      <c r="E53">
        <v>0.67875907955801695</v>
      </c>
      <c r="F53">
        <v>4.9220063053589103</v>
      </c>
      <c r="G53">
        <v>-4.605674416223267</v>
      </c>
      <c r="H53">
        <v>-3.366519057393746</v>
      </c>
      <c r="I53">
        <v>1.2064015565686801</v>
      </c>
      <c r="J53">
        <v>0.603422455453972</v>
      </c>
      <c r="K53">
        <v>0.13790292767788701</v>
      </c>
      <c r="L53">
        <v>3.616078068204791E-5</v>
      </c>
      <c r="M53">
        <v>4.2154131432898781E-7</v>
      </c>
      <c r="N53" s="1">
        <v>2.69151484995544E-9</v>
      </c>
      <c r="O53" s="1">
        <v>3.3066262609888599E-13</v>
      </c>
      <c r="P53">
        <v>0</v>
      </c>
      <c r="R53">
        <v>8.9147350080835306</v>
      </c>
      <c r="S53">
        <v>2.1068435071509599</v>
      </c>
      <c r="T53">
        <v>49.8978536701728</v>
      </c>
      <c r="V53">
        <v>37.948567130089501</v>
      </c>
      <c r="X53">
        <v>1.1320006845030299</v>
      </c>
      <c r="AJ53">
        <v>0</v>
      </c>
      <c r="AK53">
        <v>-1.6692350524093898E-2</v>
      </c>
      <c r="AL53">
        <v>0.70263514857004306</v>
      </c>
      <c r="AM53">
        <v>6.3157646651352303E-2</v>
      </c>
      <c r="AN53">
        <v>0.25089955530269697</v>
      </c>
    </row>
    <row r="54" spans="1:40" x14ac:dyDescent="0.2">
      <c r="A54">
        <v>119</v>
      </c>
      <c r="B54">
        <v>752</v>
      </c>
      <c r="C54">
        <v>160</v>
      </c>
      <c r="D54">
        <v>0.42229966346388498</v>
      </c>
      <c r="E54">
        <v>0.69810040320322397</v>
      </c>
      <c r="F54">
        <v>4.9187720726726196</v>
      </c>
      <c r="G54">
        <v>-4.7504217247371772</v>
      </c>
      <c r="H54">
        <v>-3.4785768547525904</v>
      </c>
      <c r="I54">
        <v>1.2406427059304299</v>
      </c>
      <c r="J54">
        <v>0.62072009167169995</v>
      </c>
      <c r="K54">
        <v>0.14192574750143</v>
      </c>
      <c r="L54">
        <v>3.5722410747086593E-5</v>
      </c>
      <c r="M54">
        <v>4.1708451496374111E-7</v>
      </c>
      <c r="N54" s="1">
        <v>2.7383326807327099E-9</v>
      </c>
      <c r="O54" s="1">
        <v>3.3617559134074702E-13</v>
      </c>
      <c r="P54">
        <v>0</v>
      </c>
      <c r="R54">
        <v>9.1846265576419395</v>
      </c>
      <c r="S54">
        <v>2.15848508592198</v>
      </c>
      <c r="T54">
        <v>49.324273272753899</v>
      </c>
      <c r="V54">
        <v>38.185706175679996</v>
      </c>
      <c r="X54">
        <v>1.14690890800205</v>
      </c>
      <c r="AJ54">
        <v>0</v>
      </c>
      <c r="AK54">
        <v>-1.63744226705154E-2</v>
      </c>
      <c r="AL54">
        <v>0.69410157572699704</v>
      </c>
      <c r="AM54">
        <v>6.3947343050194103E-2</v>
      </c>
      <c r="AN54">
        <v>0.25832550389332398</v>
      </c>
    </row>
    <row r="55" spans="1:40" x14ac:dyDescent="0.2">
      <c r="A55">
        <v>120</v>
      </c>
      <c r="B55">
        <v>750</v>
      </c>
      <c r="C55">
        <v>160</v>
      </c>
      <c r="D55">
        <v>0.42103357278991599</v>
      </c>
      <c r="E55">
        <v>0.69542320533494795</v>
      </c>
      <c r="F55">
        <v>4.9201562585932797</v>
      </c>
      <c r="G55">
        <v>-4.7262007557587964</v>
      </c>
      <c r="H55">
        <v>-3.4632427787226967</v>
      </c>
      <c r="I55">
        <v>1.2343820329727799</v>
      </c>
      <c r="J55">
        <v>0.61835323738454395</v>
      </c>
      <c r="K55">
        <v>0.14134169095145199</v>
      </c>
      <c r="L55">
        <v>3.5927949726794682E-5</v>
      </c>
      <c r="M55">
        <v>4.197657967053588E-7</v>
      </c>
      <c r="N55" s="1">
        <v>2.7466276233465401E-9</v>
      </c>
      <c r="O55" s="1">
        <v>3.3739541425070301E-13</v>
      </c>
      <c r="P55">
        <v>0</v>
      </c>
      <c r="R55">
        <v>8.9259939398172605</v>
      </c>
      <c r="S55">
        <v>2.2618253922639702</v>
      </c>
      <c r="T55">
        <v>49.693822418961197</v>
      </c>
      <c r="V55">
        <v>37.986523309825699</v>
      </c>
      <c r="X55">
        <v>1.1318349391317</v>
      </c>
      <c r="AJ55">
        <v>0</v>
      </c>
      <c r="AK55">
        <v>-1.3253638551762301E-2</v>
      </c>
      <c r="AL55">
        <v>0.69915951284115596</v>
      </c>
      <c r="AM55">
        <v>6.3094021188976904E-2</v>
      </c>
      <c r="AN55">
        <v>0.25100010452162802</v>
      </c>
    </row>
    <row r="56" spans="1:40" x14ac:dyDescent="0.2">
      <c r="A56">
        <v>121</v>
      </c>
      <c r="B56">
        <v>748</v>
      </c>
      <c r="C56">
        <v>160</v>
      </c>
      <c r="D56">
        <v>0.41976252264603803</v>
      </c>
      <c r="E56">
        <v>0.69579118372553095</v>
      </c>
      <c r="F56">
        <v>4.9203938468930399</v>
      </c>
      <c r="G56">
        <v>-4.7274827845881138</v>
      </c>
      <c r="H56">
        <v>-3.4675248415059485</v>
      </c>
      <c r="I56">
        <v>1.23386176671612</v>
      </c>
      <c r="J56">
        <v>0.61870588864917697</v>
      </c>
      <c r="K56">
        <v>0.14140965243359199</v>
      </c>
      <c r="L56">
        <v>3.5963404835370286E-5</v>
      </c>
      <c r="M56">
        <v>4.2056095061962827E-7</v>
      </c>
      <c r="N56" s="1">
        <v>2.7540301542733101E-9</v>
      </c>
      <c r="O56" s="1">
        <v>3.38391560976759E-13</v>
      </c>
      <c r="P56">
        <v>0</v>
      </c>
      <c r="R56">
        <v>8.8106450393230809</v>
      </c>
      <c r="S56">
        <v>2.34539629502394</v>
      </c>
      <c r="T56">
        <v>49.814182649362102</v>
      </c>
      <c r="V56">
        <v>37.905386577683203</v>
      </c>
      <c r="X56">
        <v>1.1243894386075299</v>
      </c>
      <c r="AJ56">
        <v>0</v>
      </c>
      <c r="AK56">
        <v>-1.0993863510174401E-2</v>
      </c>
      <c r="AL56">
        <v>0.70064881211447805</v>
      </c>
      <c r="AM56">
        <v>6.2660720246559706E-2</v>
      </c>
      <c r="AN56">
        <v>0.24768433114913599</v>
      </c>
    </row>
    <row r="57" spans="1:40" x14ac:dyDescent="0.2">
      <c r="A57">
        <v>122</v>
      </c>
      <c r="B57">
        <v>746</v>
      </c>
      <c r="C57">
        <v>160</v>
      </c>
      <c r="D57">
        <v>0.41848648383456999</v>
      </c>
      <c r="E57">
        <v>0.69512398554758004</v>
      </c>
      <c r="F57">
        <v>4.92064555688345</v>
      </c>
      <c r="G57">
        <v>-4.7216542791656684</v>
      </c>
      <c r="H57">
        <v>-3.4665751773020181</v>
      </c>
      <c r="I57">
        <v>1.2314959543380699</v>
      </c>
      <c r="J57">
        <v>0.61813285234527304</v>
      </c>
      <c r="K57">
        <v>0.14126682719001701</v>
      </c>
      <c r="L57">
        <v>3.5995043764086556E-5</v>
      </c>
      <c r="M57">
        <v>4.2131416554185743E-7</v>
      </c>
      <c r="N57" s="1">
        <v>2.7570413767958598E-9</v>
      </c>
      <c r="O57" s="1">
        <v>3.3884724960389302E-13</v>
      </c>
      <c r="P57">
        <v>0</v>
      </c>
      <c r="R57">
        <v>8.7002106295004609</v>
      </c>
      <c r="S57">
        <v>2.4254837587074198</v>
      </c>
      <c r="T57">
        <v>49.929141322436301</v>
      </c>
      <c r="V57">
        <v>37.828241931138102</v>
      </c>
      <c r="X57">
        <v>1.11692235821758</v>
      </c>
      <c r="AJ57">
        <v>0</v>
      </c>
      <c r="AK57">
        <v>-8.8110446540722899E-3</v>
      </c>
      <c r="AL57">
        <v>0.70207150797860496</v>
      </c>
      <c r="AM57">
        <v>6.2227374790687198E-2</v>
      </c>
      <c r="AN57">
        <v>0.24451216188477901</v>
      </c>
    </row>
    <row r="58" spans="1:40" x14ac:dyDescent="0.2">
      <c r="A58">
        <v>123</v>
      </c>
      <c r="B58">
        <v>744</v>
      </c>
      <c r="C58">
        <v>160</v>
      </c>
      <c r="D58">
        <v>0.41720542692818402</v>
      </c>
      <c r="E58">
        <v>0.69377259186900497</v>
      </c>
      <c r="F58">
        <v>4.9209066923280398</v>
      </c>
      <c r="G58">
        <v>-4.7111288349529881</v>
      </c>
      <c r="H58">
        <v>-3.4621572894155306</v>
      </c>
      <c r="I58">
        <v>1.2279128403258599</v>
      </c>
      <c r="J58">
        <v>0.616947387530278</v>
      </c>
      <c r="K58">
        <v>0.140984707747178</v>
      </c>
      <c r="L58">
        <v>3.6023519146035545E-5</v>
      </c>
      <c r="M58">
        <v>4.2203281088817424E-7</v>
      </c>
      <c r="N58" s="1">
        <v>2.7570840417715801E-9</v>
      </c>
      <c r="O58" s="1">
        <v>3.3893716261580599E-13</v>
      </c>
      <c r="P58">
        <v>0</v>
      </c>
      <c r="R58">
        <v>8.5936887946364902</v>
      </c>
      <c r="S58">
        <v>2.5029055800248901</v>
      </c>
      <c r="T58">
        <v>50.0396723574449</v>
      </c>
      <c r="V58">
        <v>37.7542965708016</v>
      </c>
      <c r="X58">
        <v>1.1094366970919201</v>
      </c>
      <c r="AJ58">
        <v>0</v>
      </c>
      <c r="AK58">
        <v>-6.6871606346640298E-3</v>
      </c>
      <c r="AL58">
        <v>0.70343891441822504</v>
      </c>
      <c r="AM58">
        <v>6.1793913872671503E-2</v>
      </c>
      <c r="AN58">
        <v>0.24145433234376601</v>
      </c>
    </row>
    <row r="59" spans="1:40" x14ac:dyDescent="0.2">
      <c r="A59">
        <v>132</v>
      </c>
      <c r="B59">
        <v>766</v>
      </c>
      <c r="C59">
        <v>140</v>
      </c>
      <c r="D59">
        <v>0.45219698792282498</v>
      </c>
      <c r="E59">
        <v>0.27032351102625901</v>
      </c>
      <c r="F59">
        <v>4.9489063231032997</v>
      </c>
      <c r="G59">
        <v>-1.7882084393562117</v>
      </c>
      <c r="H59">
        <v>-1.2899973438676022</v>
      </c>
      <c r="I59">
        <v>0.47944098107935201</v>
      </c>
      <c r="J59">
        <v>0.23990529387840001</v>
      </c>
      <c r="K59">
        <v>5.4622878950908803E-2</v>
      </c>
      <c r="L59">
        <v>4.0441704997751076E-5</v>
      </c>
      <c r="M59">
        <v>4.6682271899912116E-7</v>
      </c>
      <c r="N59" s="1">
        <v>1.1889027109615E-9</v>
      </c>
      <c r="O59" s="1">
        <v>1.4701640788381301E-13</v>
      </c>
      <c r="P59">
        <v>0</v>
      </c>
      <c r="R59">
        <v>5.87728818427024</v>
      </c>
      <c r="S59">
        <v>2.08196703115037</v>
      </c>
      <c r="T59">
        <v>55.705027670581003</v>
      </c>
      <c r="V59">
        <v>35.360438141205499</v>
      </c>
      <c r="X59">
        <v>0.97527897279284004</v>
      </c>
      <c r="AJ59">
        <v>0</v>
      </c>
      <c r="AK59">
        <v>-8.5333928385112404E-3</v>
      </c>
      <c r="AL59">
        <v>0.78776623606254403</v>
      </c>
      <c r="AM59">
        <v>5.4646590797954399E-2</v>
      </c>
      <c r="AN59">
        <v>0.166120565978012</v>
      </c>
    </row>
    <row r="60" spans="1:40" x14ac:dyDescent="0.2">
      <c r="A60">
        <v>133</v>
      </c>
      <c r="B60">
        <v>764</v>
      </c>
      <c r="C60">
        <v>140</v>
      </c>
      <c r="D60">
        <v>0.45100564045702202</v>
      </c>
      <c r="E60">
        <v>0.56084070847853995</v>
      </c>
      <c r="F60">
        <v>4.9341461586934701</v>
      </c>
      <c r="G60">
        <v>-3.762906868374535</v>
      </c>
      <c r="H60">
        <v>-2.72796760381509</v>
      </c>
      <c r="I60">
        <v>0.99786845158313098</v>
      </c>
      <c r="J60">
        <v>0.49841590223688298</v>
      </c>
      <c r="K60">
        <v>0.11366519970033601</v>
      </c>
      <c r="L60">
        <v>3.848495358053095E-5</v>
      </c>
      <c r="M60">
        <v>4.4597696674694788E-7</v>
      </c>
      <c r="N60" s="1">
        <v>2.3515415431145101E-9</v>
      </c>
      <c r="O60" s="1">
        <v>2.8960569172262798E-13</v>
      </c>
      <c r="P60">
        <v>0</v>
      </c>
      <c r="R60">
        <v>7.3909284579302597</v>
      </c>
      <c r="S60">
        <v>2.0464624782319301</v>
      </c>
      <c r="T60">
        <v>52.890779818481398</v>
      </c>
      <c r="V60">
        <v>36.575276894840201</v>
      </c>
      <c r="X60">
        <v>1.0965523505160599</v>
      </c>
      <c r="AJ60">
        <v>0</v>
      </c>
      <c r="AK60">
        <v>-1.6079594773955E-2</v>
      </c>
      <c r="AL60">
        <v>0.74632741288386095</v>
      </c>
      <c r="AM60">
        <v>6.1306996105779298E-2</v>
      </c>
      <c r="AN60">
        <v>0.20844518578431301</v>
      </c>
    </row>
    <row r="61" spans="1:40" x14ac:dyDescent="0.2">
      <c r="A61">
        <v>134</v>
      </c>
      <c r="B61">
        <v>762</v>
      </c>
      <c r="C61">
        <v>140</v>
      </c>
      <c r="D61">
        <v>0.44980968941699401</v>
      </c>
      <c r="E61">
        <v>0.64059798065726004</v>
      </c>
      <c r="F61">
        <v>4.9265819932926602</v>
      </c>
      <c r="G61">
        <v>-4.3290119282555253</v>
      </c>
      <c r="H61">
        <v>-3.1478564213506659</v>
      </c>
      <c r="I61">
        <v>1.1410476809204999</v>
      </c>
      <c r="J61">
        <v>0.56961217436819001</v>
      </c>
      <c r="K61">
        <v>0.13002888849295599</v>
      </c>
      <c r="L61">
        <v>3.7408904457025983E-5</v>
      </c>
      <c r="M61">
        <v>4.3450304809459968E-7</v>
      </c>
      <c r="N61" s="1">
        <v>2.6151368183715002E-9</v>
      </c>
      <c r="O61" s="1">
        <v>3.2150174171195702E-13</v>
      </c>
      <c r="P61">
        <v>0</v>
      </c>
      <c r="R61">
        <v>8.1542315931885305</v>
      </c>
      <c r="S61">
        <v>2.0756112944699701</v>
      </c>
      <c r="T61">
        <v>51.405569076486699</v>
      </c>
      <c r="V61">
        <v>37.226727768958803</v>
      </c>
      <c r="X61">
        <v>1.13786026689584</v>
      </c>
      <c r="AJ61">
        <v>0</v>
      </c>
      <c r="AK61">
        <v>-1.7723358238831199E-2</v>
      </c>
      <c r="AL61">
        <v>0.72449039711622099</v>
      </c>
      <c r="AM61">
        <v>6.3539331061679499E-2</v>
      </c>
      <c r="AN61">
        <v>0.22969363006092899</v>
      </c>
    </row>
    <row r="62" spans="1:40" x14ac:dyDescent="0.2">
      <c r="A62">
        <v>135</v>
      </c>
      <c r="B62">
        <v>760</v>
      </c>
      <c r="C62">
        <v>140</v>
      </c>
      <c r="D62">
        <v>0.44860910806756099</v>
      </c>
      <c r="E62">
        <v>0.67740609371597205</v>
      </c>
      <c r="F62">
        <v>4.9217928409236604</v>
      </c>
      <c r="G62">
        <v>-4.5978616113150625</v>
      </c>
      <c r="H62">
        <v>-3.3508460074875632</v>
      </c>
      <c r="I62">
        <v>1.2070034397981799</v>
      </c>
      <c r="J62">
        <v>0.60252692769677996</v>
      </c>
      <c r="K62">
        <v>0.13763401175349799</v>
      </c>
      <c r="L62">
        <v>3.6750118067979607E-5</v>
      </c>
      <c r="M62">
        <v>4.2763642316841189E-7</v>
      </c>
      <c r="N62" s="1">
        <v>2.7206120115288699E-9</v>
      </c>
      <c r="O62" s="1">
        <v>3.3409851232860101E-13</v>
      </c>
      <c r="P62">
        <v>0</v>
      </c>
      <c r="R62">
        <v>8.5932947833250104</v>
      </c>
      <c r="S62">
        <v>2.12201330159303</v>
      </c>
      <c r="T62">
        <v>50.517034622607703</v>
      </c>
      <c r="V62">
        <v>37.604882829372997</v>
      </c>
      <c r="X62">
        <v>1.16277446310122</v>
      </c>
      <c r="AJ62">
        <v>0</v>
      </c>
      <c r="AK62">
        <v>-1.8074625422679701E-2</v>
      </c>
      <c r="AL62">
        <v>0.71134928331990299</v>
      </c>
      <c r="AM62">
        <v>6.4874164524126601E-2</v>
      </c>
      <c r="AN62">
        <v>0.24185117757864899</v>
      </c>
    </row>
    <row r="63" spans="1:40" x14ac:dyDescent="0.2">
      <c r="A63">
        <v>136</v>
      </c>
      <c r="B63">
        <v>758</v>
      </c>
      <c r="C63">
        <v>140</v>
      </c>
      <c r="D63">
        <v>0.44740386946613198</v>
      </c>
      <c r="E63">
        <v>0.698974464382357</v>
      </c>
      <c r="F63">
        <v>4.9183491758767799</v>
      </c>
      <c r="G63">
        <v>-4.7588649706943471</v>
      </c>
      <c r="H63">
        <v>-3.474682113856491</v>
      </c>
      <c r="I63">
        <v>1.24538898980541</v>
      </c>
      <c r="J63">
        <v>0.62183290377934397</v>
      </c>
      <c r="K63">
        <v>0.14211566511191201</v>
      </c>
      <c r="L63">
        <v>3.6278395943743321E-5</v>
      </c>
      <c r="M63">
        <v>4.2282863416251196E-7</v>
      </c>
      <c r="N63" s="1">
        <v>2.7749340631550798E-9</v>
      </c>
      <c r="O63" s="1">
        <v>3.4050291530263198E-13</v>
      </c>
      <c r="P63">
        <v>0</v>
      </c>
      <c r="R63">
        <v>8.8888840455435503</v>
      </c>
      <c r="S63">
        <v>2.17211959013853</v>
      </c>
      <c r="T63">
        <v>49.896712340351797</v>
      </c>
      <c r="V63">
        <v>37.862652767890403</v>
      </c>
      <c r="X63">
        <v>1.17963125607556</v>
      </c>
      <c r="AJ63">
        <v>0</v>
      </c>
      <c r="AK63">
        <v>-1.7897714614437701E-2</v>
      </c>
      <c r="AL63">
        <v>0.70213039544560096</v>
      </c>
      <c r="AM63">
        <v>6.5769320957388494E-2</v>
      </c>
      <c r="AN63">
        <v>0.249997998211447</v>
      </c>
    </row>
    <row r="64" spans="1:40" x14ac:dyDescent="0.2">
      <c r="A64">
        <v>137</v>
      </c>
      <c r="B64">
        <v>756</v>
      </c>
      <c r="C64">
        <v>140</v>
      </c>
      <c r="D64">
        <v>0.44619394646067401</v>
      </c>
      <c r="E64">
        <v>0.713300165951684</v>
      </c>
      <c r="F64">
        <v>4.9156763445596798</v>
      </c>
      <c r="G64">
        <v>-4.8677730524346243</v>
      </c>
      <c r="H64">
        <v>-3.5601227712463324</v>
      </c>
      <c r="I64">
        <v>1.2706119430484299</v>
      </c>
      <c r="J64">
        <v>0.63466208514626998</v>
      </c>
      <c r="K64">
        <v>0.14510722756210601</v>
      </c>
      <c r="L64">
        <v>3.5908301854339615E-5</v>
      </c>
      <c r="M64">
        <v>4.1913609391918162E-7</v>
      </c>
      <c r="N64" s="1">
        <v>2.80654857350612E-9</v>
      </c>
      <c r="O64" s="1">
        <v>3.4417798248247599E-13</v>
      </c>
      <c r="P64">
        <v>0</v>
      </c>
      <c r="R64">
        <v>9.1074536592404698</v>
      </c>
      <c r="S64">
        <v>2.2223951336227499</v>
      </c>
      <c r="T64">
        <v>49.422324286135797</v>
      </c>
      <c r="V64">
        <v>38.056009390032202</v>
      </c>
      <c r="X64">
        <v>1.1918175309686401</v>
      </c>
      <c r="AJ64">
        <v>0</v>
      </c>
      <c r="AK64">
        <v>-1.7458998011365599E-2</v>
      </c>
      <c r="AL64">
        <v>0.69505195653040797</v>
      </c>
      <c r="AM64">
        <v>6.6410250317726502E-2</v>
      </c>
      <c r="AN64">
        <v>0.25599679116322999</v>
      </c>
    </row>
    <row r="65" spans="1:40" x14ac:dyDescent="0.2">
      <c r="A65">
        <v>138</v>
      </c>
      <c r="B65">
        <v>754</v>
      </c>
      <c r="C65">
        <v>140</v>
      </c>
      <c r="D65">
        <v>0.44497931168767801</v>
      </c>
      <c r="E65">
        <v>0.713170159243246</v>
      </c>
      <c r="F65">
        <v>4.9161101943824601</v>
      </c>
      <c r="G65">
        <v>-4.8647813853306028</v>
      </c>
      <c r="H65">
        <v>-3.5611946891604167</v>
      </c>
      <c r="I65">
        <v>1.2691298215160201</v>
      </c>
      <c r="J65">
        <v>0.63456850469364301</v>
      </c>
      <c r="K65">
        <v>0.14506797672236299</v>
      </c>
      <c r="L65">
        <v>3.5970602207108117E-5</v>
      </c>
      <c r="M65">
        <v>4.2022536976476851E-7</v>
      </c>
      <c r="N65" s="1">
        <v>2.8141782317699102E-9</v>
      </c>
      <c r="O65" s="1">
        <v>3.45222747137684E-13</v>
      </c>
      <c r="P65">
        <v>0</v>
      </c>
      <c r="R65">
        <v>8.9707631665686502</v>
      </c>
      <c r="S65">
        <v>2.3075203626152598</v>
      </c>
      <c r="T65">
        <v>49.581384276770699</v>
      </c>
      <c r="V65">
        <v>37.957190035184297</v>
      </c>
      <c r="X65">
        <v>1.1831421588609501</v>
      </c>
      <c r="AJ65">
        <v>0</v>
      </c>
      <c r="AK65">
        <v>-1.5096519657671699E-2</v>
      </c>
      <c r="AL65">
        <v>0.69710083769778697</v>
      </c>
      <c r="AM65">
        <v>6.5909061911408703E-2</v>
      </c>
      <c r="AN65">
        <v>0.25208662004847499</v>
      </c>
    </row>
    <row r="66" spans="1:40" x14ac:dyDescent="0.2">
      <c r="A66">
        <v>139</v>
      </c>
      <c r="B66">
        <v>752</v>
      </c>
      <c r="C66">
        <v>140</v>
      </c>
      <c r="D66">
        <v>0.443759937570114</v>
      </c>
      <c r="E66">
        <v>0.71263436367590605</v>
      </c>
      <c r="F66">
        <v>4.9163928744691301</v>
      </c>
      <c r="G66">
        <v>-4.859655594669988</v>
      </c>
      <c r="H66">
        <v>-3.5608255198915821</v>
      </c>
      <c r="I66">
        <v>1.2669658828253401</v>
      </c>
      <c r="J66">
        <v>0.63411094166444704</v>
      </c>
      <c r="K66">
        <v>0.14495065424421599</v>
      </c>
      <c r="L66">
        <v>3.6005459766192489E-5</v>
      </c>
      <c r="M66">
        <v>4.2101131312329357E-7</v>
      </c>
      <c r="N66" s="1">
        <v>2.8180742568508898E-9</v>
      </c>
      <c r="O66" s="1">
        <v>3.4579144891340902E-13</v>
      </c>
      <c r="P66">
        <v>0</v>
      </c>
      <c r="R66">
        <v>8.8586653937785602</v>
      </c>
      <c r="S66">
        <v>2.38683836226468</v>
      </c>
      <c r="T66">
        <v>49.7004013107139</v>
      </c>
      <c r="V66">
        <v>37.878524935542799</v>
      </c>
      <c r="X66">
        <v>1.1755699977</v>
      </c>
      <c r="AJ66">
        <v>0</v>
      </c>
      <c r="AK66">
        <v>-1.2924595494828699E-2</v>
      </c>
      <c r="AL66">
        <v>0.69858562797730295</v>
      </c>
      <c r="AM66">
        <v>6.5469569999829905E-2</v>
      </c>
      <c r="AN66">
        <v>0.24886939751769499</v>
      </c>
    </row>
    <row r="67" spans="1:40" x14ac:dyDescent="0.2">
      <c r="A67">
        <v>140</v>
      </c>
      <c r="B67">
        <v>750</v>
      </c>
      <c r="C67">
        <v>140</v>
      </c>
      <c r="D67">
        <v>0.44253579631530099</v>
      </c>
      <c r="E67">
        <v>0.71140495567462303</v>
      </c>
      <c r="F67">
        <v>4.9166844213247298</v>
      </c>
      <c r="G67">
        <v>-4.8497506497810896</v>
      </c>
      <c r="H67">
        <v>-3.5569360945101596</v>
      </c>
      <c r="I67">
        <v>1.26356307019589</v>
      </c>
      <c r="J67">
        <v>0.63303192405546604</v>
      </c>
      <c r="K67">
        <v>0.14469201085778499</v>
      </c>
      <c r="L67">
        <v>3.6036897885007541E-5</v>
      </c>
      <c r="M67">
        <v>4.2175994612639013E-7</v>
      </c>
      <c r="N67" s="1">
        <v>2.8189487375575601E-9</v>
      </c>
      <c r="O67" s="1">
        <v>3.4598828931259102E-13</v>
      </c>
      <c r="P67">
        <v>0</v>
      </c>
      <c r="R67">
        <v>8.7507381615497906</v>
      </c>
      <c r="S67">
        <v>2.4633758634794298</v>
      </c>
      <c r="T67">
        <v>49.814631253820203</v>
      </c>
      <c r="V67">
        <v>37.803269154644703</v>
      </c>
      <c r="X67">
        <v>1.1679855665058501</v>
      </c>
      <c r="AJ67">
        <v>0</v>
      </c>
      <c r="AK67">
        <v>-1.08144772180716E-2</v>
      </c>
      <c r="AL67">
        <v>0.70001027995606202</v>
      </c>
      <c r="AM67">
        <v>6.5030368900027197E-2</v>
      </c>
      <c r="AN67">
        <v>0.245773828361982</v>
      </c>
    </row>
    <row r="68" spans="1:40" x14ac:dyDescent="0.2">
      <c r="A68">
        <v>151</v>
      </c>
      <c r="B68">
        <v>772</v>
      </c>
      <c r="C68">
        <v>120</v>
      </c>
      <c r="D68">
        <v>0.47679328326077502</v>
      </c>
      <c r="E68">
        <v>0.48332026904389802</v>
      </c>
      <c r="F68">
        <v>4.93767571630507</v>
      </c>
      <c r="G68">
        <v>-3.2307670727360485</v>
      </c>
      <c r="H68">
        <v>-2.3301219326193237</v>
      </c>
      <c r="I68">
        <v>0.86173768369777004</v>
      </c>
      <c r="J68">
        <v>0.42960214478688502</v>
      </c>
      <c r="K68">
        <v>9.7884165913911594E-2</v>
      </c>
      <c r="L68">
        <v>3.9812725711407069E-5</v>
      </c>
      <c r="M68">
        <v>4.5971655623162449E-7</v>
      </c>
      <c r="N68" s="1">
        <v>2.0866593501217098E-9</v>
      </c>
      <c r="O68" s="1">
        <v>2.5714213953091099E-13</v>
      </c>
      <c r="P68">
        <v>0</v>
      </c>
      <c r="R68">
        <v>6.5348508855416698</v>
      </c>
      <c r="S68">
        <v>2.09102358999669</v>
      </c>
      <c r="T68">
        <v>54.494246400452496</v>
      </c>
      <c r="V68">
        <v>35.776735368839098</v>
      </c>
      <c r="X68">
        <v>1.1031437551699399</v>
      </c>
      <c r="AJ68">
        <v>0</v>
      </c>
      <c r="AK68">
        <v>-1.54715446986838E-2</v>
      </c>
      <c r="AL68">
        <v>0.76936350776620299</v>
      </c>
      <c r="AM68">
        <v>6.1708400071329099E-2</v>
      </c>
      <c r="AN68">
        <v>0.18439963686114999</v>
      </c>
    </row>
    <row r="69" spans="1:40" x14ac:dyDescent="0.2">
      <c r="A69">
        <v>152</v>
      </c>
      <c r="B69">
        <v>770</v>
      </c>
      <c r="C69">
        <v>120</v>
      </c>
      <c r="D69">
        <v>0.47565594593299199</v>
      </c>
      <c r="E69">
        <v>0.61124907152725505</v>
      </c>
      <c r="F69">
        <v>4.92835363849166</v>
      </c>
      <c r="G69">
        <v>-4.1238120652950991</v>
      </c>
      <c r="H69">
        <v>-2.9849635216510895</v>
      </c>
      <c r="I69">
        <v>1.09173996418924</v>
      </c>
      <c r="J69">
        <v>0.54373626201312997</v>
      </c>
      <c r="K69">
        <v>0.124027031411311</v>
      </c>
      <c r="L69">
        <v>3.8407883160261096E-5</v>
      </c>
      <c r="M69">
        <v>4.4465407070467227E-7</v>
      </c>
      <c r="N69" s="1">
        <v>2.5502865276305998E-9</v>
      </c>
      <c r="O69" s="1">
        <v>3.1357732205694998E-13</v>
      </c>
      <c r="P69">
        <v>0</v>
      </c>
      <c r="R69">
        <v>7.5570104267787297</v>
      </c>
      <c r="S69">
        <v>2.0947540060602701</v>
      </c>
      <c r="T69">
        <v>52.545900735559002</v>
      </c>
      <c r="V69">
        <v>36.645665293262802</v>
      </c>
      <c r="X69">
        <v>1.15666953833904</v>
      </c>
      <c r="AJ69">
        <v>0</v>
      </c>
      <c r="AK69">
        <v>-1.8357180556650698E-2</v>
      </c>
      <c r="AL69">
        <v>0.74080549397150497</v>
      </c>
      <c r="AM69">
        <v>6.4610915593173293E-2</v>
      </c>
      <c r="AN69">
        <v>0.21294077099197201</v>
      </c>
    </row>
    <row r="70" spans="1:40" x14ac:dyDescent="0.2">
      <c r="A70">
        <v>153</v>
      </c>
      <c r="B70">
        <v>768</v>
      </c>
      <c r="C70">
        <v>120</v>
      </c>
      <c r="D70">
        <v>0.474514239062578</v>
      </c>
      <c r="E70">
        <v>0.66315307434953596</v>
      </c>
      <c r="F70">
        <v>4.9225959884580002</v>
      </c>
      <c r="G70">
        <v>-4.4983156029459028</v>
      </c>
      <c r="H70">
        <v>-3.2643459064808935</v>
      </c>
      <c r="I70">
        <v>1.18519876719493</v>
      </c>
      <c r="J70">
        <v>0.59015459584642205</v>
      </c>
      <c r="K70">
        <v>0.13471612862490201</v>
      </c>
      <c r="L70">
        <v>3.7591504935187906E-5</v>
      </c>
      <c r="M70">
        <v>4.3608140619084371E-7</v>
      </c>
      <c r="N70" s="1">
        <v>2.7120620036088799E-9</v>
      </c>
      <c r="O70" s="1">
        <v>3.3301068281499199E-13</v>
      </c>
      <c r="P70">
        <v>0</v>
      </c>
      <c r="R70">
        <v>8.1182374628325302</v>
      </c>
      <c r="S70">
        <v>2.1331423290390399</v>
      </c>
      <c r="T70">
        <v>51.434767960107102</v>
      </c>
      <c r="V70">
        <v>37.125290985960198</v>
      </c>
      <c r="X70">
        <v>1.18856126206097</v>
      </c>
      <c r="AJ70">
        <v>0</v>
      </c>
      <c r="AK70">
        <v>-1.9271781169976701E-2</v>
      </c>
      <c r="AL70">
        <v>0.72441834945968697</v>
      </c>
      <c r="AM70">
        <v>6.6326254448436206E-2</v>
      </c>
      <c r="AN70">
        <v>0.22852717726185301</v>
      </c>
    </row>
    <row r="71" spans="1:40" x14ac:dyDescent="0.2">
      <c r="A71">
        <v>154</v>
      </c>
      <c r="B71">
        <v>766</v>
      </c>
      <c r="C71">
        <v>120</v>
      </c>
      <c r="D71">
        <v>0.47336813742000999</v>
      </c>
      <c r="E71">
        <v>0.691451718651513</v>
      </c>
      <c r="F71">
        <v>4.9185828322753897</v>
      </c>
      <c r="G71">
        <v>-4.7075047524960789</v>
      </c>
      <c r="H71">
        <v>-3.4231674409524628</v>
      </c>
      <c r="I71">
        <v>1.2359498739774</v>
      </c>
      <c r="J71">
        <v>0.61549848799868301</v>
      </c>
      <c r="K71">
        <v>0.140579460025407</v>
      </c>
      <c r="L71">
        <v>3.7033216934109581E-5</v>
      </c>
      <c r="M71">
        <v>4.3034504736419226E-7</v>
      </c>
      <c r="N71" s="1">
        <v>2.7896101434292601E-9</v>
      </c>
      <c r="O71" s="1">
        <v>3.4220805574107602E-13</v>
      </c>
      <c r="P71">
        <v>0</v>
      </c>
      <c r="R71">
        <v>8.4801894837986893</v>
      </c>
      <c r="S71">
        <v>2.1803062987324102</v>
      </c>
      <c r="T71">
        <v>50.692157433206098</v>
      </c>
      <c r="V71">
        <v>37.4375971589687</v>
      </c>
      <c r="X71">
        <v>1.2097496252939499</v>
      </c>
      <c r="AJ71">
        <v>0</v>
      </c>
      <c r="AK71">
        <v>-1.93988532878877E-2</v>
      </c>
      <c r="AL71">
        <v>0.71340980346266503</v>
      </c>
      <c r="AM71">
        <v>6.7456691671161098E-2</v>
      </c>
      <c r="AN71">
        <v>0.23853235815406101</v>
      </c>
    </row>
    <row r="72" spans="1:40" x14ac:dyDescent="0.2">
      <c r="A72">
        <v>155</v>
      </c>
      <c r="B72">
        <v>764</v>
      </c>
      <c r="C72">
        <v>120</v>
      </c>
      <c r="D72">
        <v>0.47221761558116099</v>
      </c>
      <c r="E72">
        <v>0.70948737778368598</v>
      </c>
      <c r="F72">
        <v>4.9155395188191697</v>
      </c>
      <c r="G72">
        <v>-4.8434453931926553</v>
      </c>
      <c r="H72">
        <v>-3.5283033166718689</v>
      </c>
      <c r="I72">
        <v>1.2680345914484701</v>
      </c>
      <c r="J72">
        <v>0.63166437877082104</v>
      </c>
      <c r="K72">
        <v>0.144335606512247</v>
      </c>
      <c r="L72">
        <v>3.6609284819925567E-5</v>
      </c>
      <c r="M72">
        <v>4.2608078998173847E-7</v>
      </c>
      <c r="N72" s="1">
        <v>2.8332995331475599E-9</v>
      </c>
      <c r="O72" s="1">
        <v>3.4732187900592398E-13</v>
      </c>
      <c r="P72">
        <v>0</v>
      </c>
      <c r="R72">
        <v>8.7396349185239206</v>
      </c>
      <c r="S72">
        <v>2.2294694965089299</v>
      </c>
      <c r="T72">
        <v>50.141794767574403</v>
      </c>
      <c r="V72">
        <v>37.664179758987899</v>
      </c>
      <c r="X72">
        <v>1.2249210584047401</v>
      </c>
      <c r="AJ72">
        <v>0</v>
      </c>
      <c r="AK72">
        <v>-1.9149003950254401E-2</v>
      </c>
      <c r="AL72">
        <v>0.70521588632862098</v>
      </c>
      <c r="AM72">
        <v>6.8259257000976195E-2</v>
      </c>
      <c r="AN72">
        <v>0.24567386062065599</v>
      </c>
    </row>
    <row r="73" spans="1:40" x14ac:dyDescent="0.2">
      <c r="A73">
        <v>156</v>
      </c>
      <c r="B73">
        <v>762</v>
      </c>
      <c r="C73">
        <v>120</v>
      </c>
      <c r="D73">
        <v>0.47106264792542502</v>
      </c>
      <c r="E73">
        <v>0.72208706936829903</v>
      </c>
      <c r="F73">
        <v>4.9131001465271096</v>
      </c>
      <c r="G73">
        <v>-4.9400116123281244</v>
      </c>
      <c r="H73">
        <v>-3.6044705300104747</v>
      </c>
      <c r="I73">
        <v>1.29019087312722</v>
      </c>
      <c r="J73">
        <v>0.64296222928295599</v>
      </c>
      <c r="K73">
        <v>0.146971779087124</v>
      </c>
      <c r="L73">
        <v>3.6265092486621449E-5</v>
      </c>
      <c r="M73">
        <v>4.2268772805316545E-7</v>
      </c>
      <c r="N73" s="1">
        <v>2.8601217624920799E-9</v>
      </c>
      <c r="O73" s="1">
        <v>3.5041536743417E-13</v>
      </c>
      <c r="P73">
        <v>0</v>
      </c>
      <c r="R73">
        <v>8.9389171614633103</v>
      </c>
      <c r="S73">
        <v>2.27849027991074</v>
      </c>
      <c r="T73">
        <v>49.705675750111197</v>
      </c>
      <c r="V73">
        <v>37.840610510645199</v>
      </c>
      <c r="X73">
        <v>1.2363062978694499</v>
      </c>
      <c r="AJ73">
        <v>0</v>
      </c>
      <c r="AK73">
        <v>-1.86933897308658E-2</v>
      </c>
      <c r="AL73">
        <v>0.69869927578566005</v>
      </c>
      <c r="AM73">
        <v>6.8855975581534501E-2</v>
      </c>
      <c r="AN73">
        <v>0.25113813836366999</v>
      </c>
    </row>
    <row r="74" spans="1:40" x14ac:dyDescent="0.2">
      <c r="A74">
        <v>157</v>
      </c>
      <c r="B74">
        <v>760</v>
      </c>
      <c r="C74">
        <v>120</v>
      </c>
      <c r="D74">
        <v>0.46990320863379098</v>
      </c>
      <c r="E74">
        <v>0.731423122272436</v>
      </c>
      <c r="F74">
        <v>4.9110687962347503</v>
      </c>
      <c r="G74">
        <v>-5.0126492462545986</v>
      </c>
      <c r="H74">
        <v>-3.6629778895734835</v>
      </c>
      <c r="I74">
        <v>1.3063653454785</v>
      </c>
      <c r="J74">
        <v>0.65133377719153696</v>
      </c>
      <c r="K74">
        <v>0.14893359319934699</v>
      </c>
      <c r="L74">
        <v>3.5972719742497251E-5</v>
      </c>
      <c r="M74">
        <v>4.1985918035052563E-7</v>
      </c>
      <c r="N74" s="1">
        <v>2.8773104569449001E-9</v>
      </c>
      <c r="O74" s="1">
        <v>3.52362226538744E-13</v>
      </c>
      <c r="P74">
        <v>0</v>
      </c>
      <c r="R74">
        <v>9.0995230743700706</v>
      </c>
      <c r="S74">
        <v>2.32662330277256</v>
      </c>
      <c r="T74">
        <v>49.343853964047902</v>
      </c>
      <c r="V74">
        <v>37.984892534358899</v>
      </c>
      <c r="X74">
        <v>1.2451071244504901</v>
      </c>
      <c r="AJ74">
        <v>0</v>
      </c>
      <c r="AK74">
        <v>-1.8115066847979099E-2</v>
      </c>
      <c r="AL74">
        <v>0.69327640831848802</v>
      </c>
      <c r="AM74">
        <v>6.9312460633104506E-2</v>
      </c>
      <c r="AN74">
        <v>0.25552619789638598</v>
      </c>
    </row>
    <row r="75" spans="1:40" x14ac:dyDescent="0.2">
      <c r="A75">
        <v>158</v>
      </c>
      <c r="B75">
        <v>758</v>
      </c>
      <c r="C75">
        <v>120</v>
      </c>
      <c r="D75">
        <v>0.46873927168695301</v>
      </c>
      <c r="E75">
        <v>0.738623566378389</v>
      </c>
      <c r="F75">
        <v>4.9093299297316504</v>
      </c>
      <c r="G75">
        <v>-5.0694662317238546</v>
      </c>
      <c r="H75">
        <v>-3.7097778259815639</v>
      </c>
      <c r="I75">
        <v>1.3186135923408699</v>
      </c>
      <c r="J75">
        <v>0.65778822858889396</v>
      </c>
      <c r="K75">
        <v>0.150453030647863</v>
      </c>
      <c r="L75">
        <v>3.5716276610044055E-5</v>
      </c>
      <c r="M75">
        <v>4.1742085231800461E-7</v>
      </c>
      <c r="N75" s="1">
        <v>2.8884514206261699E-9</v>
      </c>
      <c r="O75" s="1">
        <v>3.5359346166521698E-13</v>
      </c>
      <c r="P75">
        <v>0</v>
      </c>
      <c r="R75">
        <v>9.2335991392039407</v>
      </c>
      <c r="S75">
        <v>2.3736174846707399</v>
      </c>
      <c r="T75">
        <v>49.033565277421999</v>
      </c>
      <c r="V75">
        <v>38.107182445241399</v>
      </c>
      <c r="X75">
        <v>1.25203565346182</v>
      </c>
      <c r="AJ75">
        <v>0</v>
      </c>
      <c r="AK75">
        <v>-1.74589802389838E-2</v>
      </c>
      <c r="AL75">
        <v>0.68861416152608301</v>
      </c>
      <c r="AM75">
        <v>6.9667530650564399E-2</v>
      </c>
      <c r="AN75">
        <v>0.25917728806233498</v>
      </c>
    </row>
    <row r="76" spans="1:40" x14ac:dyDescent="0.2">
      <c r="A76">
        <v>159</v>
      </c>
      <c r="B76">
        <v>756</v>
      </c>
      <c r="C76">
        <v>120</v>
      </c>
      <c r="D76">
        <v>0.46757081086333502</v>
      </c>
      <c r="E76">
        <v>0.72864549080833796</v>
      </c>
      <c r="F76">
        <v>4.9118155205392098</v>
      </c>
      <c r="G76">
        <v>-4.9897516082371718</v>
      </c>
      <c r="H76">
        <v>-3.6530037136056626</v>
      </c>
      <c r="I76">
        <v>1.2988853856400999</v>
      </c>
      <c r="J76">
        <v>0.64888513615281596</v>
      </c>
      <c r="K76">
        <v>0.14834545144487599</v>
      </c>
      <c r="L76">
        <v>3.605484750492347E-5</v>
      </c>
      <c r="M76">
        <v>4.2156081838585604E-7</v>
      </c>
      <c r="N76" s="1">
        <v>2.8795749725048801E-9</v>
      </c>
      <c r="O76" s="1">
        <v>3.5284039806637501E-13</v>
      </c>
      <c r="P76">
        <v>0</v>
      </c>
      <c r="R76">
        <v>8.8700986839263702</v>
      </c>
      <c r="S76">
        <v>2.4786891006017999</v>
      </c>
      <c r="T76">
        <v>49.5991722058777</v>
      </c>
      <c r="V76">
        <v>37.823063692684698</v>
      </c>
      <c r="X76">
        <v>1.2289763169093499</v>
      </c>
      <c r="AJ76">
        <v>0</v>
      </c>
      <c r="AK76">
        <v>-1.3864082560854901E-2</v>
      </c>
      <c r="AL76">
        <v>0.69652169743091397</v>
      </c>
      <c r="AM76">
        <v>6.8380926208032503E-2</v>
      </c>
      <c r="AN76">
        <v>0.24896145892190699</v>
      </c>
    </row>
    <row r="77" spans="1:40" x14ac:dyDescent="0.2">
      <c r="A77">
        <v>172</v>
      </c>
      <c r="B77">
        <v>782</v>
      </c>
      <c r="C77">
        <v>100</v>
      </c>
      <c r="D77">
        <v>0.50326541250059598</v>
      </c>
      <c r="E77">
        <v>0.36636694160197703</v>
      </c>
      <c r="F77">
        <v>4.9405200270069596</v>
      </c>
      <c r="G77">
        <v>-2.4417919149762439</v>
      </c>
      <c r="H77">
        <v>-1.7504920024898223</v>
      </c>
      <c r="I77">
        <v>0.65516742878872303</v>
      </c>
      <c r="J77">
        <v>0.32572464050695799</v>
      </c>
      <c r="K77">
        <v>7.4155542250463696E-2</v>
      </c>
      <c r="L77">
        <v>4.1105772585580086E-5</v>
      </c>
      <c r="M77">
        <v>4.7235108207233092E-7</v>
      </c>
      <c r="N77" s="1">
        <v>1.6243019274084499E-9</v>
      </c>
      <c r="O77" s="1">
        <v>2.0035266570349401E-13</v>
      </c>
      <c r="P77">
        <v>0</v>
      </c>
      <c r="R77">
        <v>5.7034341884029702</v>
      </c>
      <c r="S77">
        <v>2.1588572697084101</v>
      </c>
      <c r="T77">
        <v>56.013311987614699</v>
      </c>
      <c r="V77">
        <v>35.032154704889699</v>
      </c>
      <c r="X77">
        <v>1.09224184938411</v>
      </c>
      <c r="AJ77">
        <v>0</v>
      </c>
      <c r="AK77">
        <v>-1.33686394026969E-2</v>
      </c>
      <c r="AL77">
        <v>0.79121699945425905</v>
      </c>
      <c r="AM77">
        <v>6.1130002448798702E-2</v>
      </c>
      <c r="AN77">
        <v>0.16102163749963799</v>
      </c>
    </row>
    <row r="78" spans="1:40" x14ac:dyDescent="0.2">
      <c r="A78">
        <v>173</v>
      </c>
      <c r="B78">
        <v>780</v>
      </c>
      <c r="C78">
        <v>100</v>
      </c>
      <c r="D78">
        <v>0.50218914684517901</v>
      </c>
      <c r="E78">
        <v>0.56502448822803197</v>
      </c>
      <c r="F78">
        <v>4.9298550635819298</v>
      </c>
      <c r="G78">
        <v>-3.8060246538556468</v>
      </c>
      <c r="H78">
        <v>-2.7395191440529594</v>
      </c>
      <c r="I78">
        <v>1.01268148867937</v>
      </c>
      <c r="J78">
        <v>0.50286477746389402</v>
      </c>
      <c r="K78">
        <v>0.114612799147384</v>
      </c>
      <c r="L78">
        <v>3.9565938681420595E-5</v>
      </c>
      <c r="M78">
        <v>4.5607081513499881E-7</v>
      </c>
      <c r="N78" s="1">
        <v>2.4151269214827002E-9</v>
      </c>
      <c r="O78" s="1">
        <v>2.97023616035242E-13</v>
      </c>
      <c r="P78">
        <v>0</v>
      </c>
      <c r="R78">
        <v>6.8636149451930599</v>
      </c>
      <c r="S78">
        <v>2.1378773746174402</v>
      </c>
      <c r="T78">
        <v>53.843851395793898</v>
      </c>
      <c r="V78">
        <v>35.978827909167201</v>
      </c>
      <c r="X78">
        <v>1.1758283752283101</v>
      </c>
      <c r="AJ78">
        <v>0</v>
      </c>
      <c r="AK78">
        <v>-1.8480497594594199E-2</v>
      </c>
      <c r="AL78">
        <v>0.75932256326257797</v>
      </c>
      <c r="AM78">
        <v>6.5699999802611306E-2</v>
      </c>
      <c r="AN78">
        <v>0.19345793452940399</v>
      </c>
    </row>
    <row r="79" spans="1:40" x14ac:dyDescent="0.2">
      <c r="A79">
        <v>174</v>
      </c>
      <c r="B79">
        <v>778</v>
      </c>
      <c r="C79">
        <v>100</v>
      </c>
      <c r="D79">
        <v>0.501108785615755</v>
      </c>
      <c r="E79">
        <v>0.64019256639273503</v>
      </c>
      <c r="F79">
        <v>4.92310505636903</v>
      </c>
      <c r="G79">
        <v>-4.3408730026019926</v>
      </c>
      <c r="H79">
        <v>-3.1335687146207634</v>
      </c>
      <c r="I79">
        <v>1.14855566568161</v>
      </c>
      <c r="J79">
        <v>0.57007883640856705</v>
      </c>
      <c r="K79">
        <v>0.13003837193449999</v>
      </c>
      <c r="L79">
        <v>3.8564069320359435E-5</v>
      </c>
      <c r="M79">
        <v>4.455063004943973E-7</v>
      </c>
      <c r="N79" s="1">
        <v>2.6712141138512998E-9</v>
      </c>
      <c r="O79" s="1">
        <v>3.2797230263158099E-13</v>
      </c>
      <c r="P79">
        <v>0</v>
      </c>
      <c r="R79">
        <v>7.5694933996773202</v>
      </c>
      <c r="S79">
        <v>2.1629443752628998</v>
      </c>
      <c r="T79">
        <v>52.473368997251796</v>
      </c>
      <c r="V79">
        <v>36.578733440748202</v>
      </c>
      <c r="X79">
        <v>1.21545978705965</v>
      </c>
      <c r="AJ79">
        <v>0</v>
      </c>
      <c r="AK79">
        <v>-2.0118680294090599E-2</v>
      </c>
      <c r="AL79">
        <v>0.73916581750709198</v>
      </c>
      <c r="AM79">
        <v>6.7838270143288401E-2</v>
      </c>
      <c r="AN79">
        <v>0.21311459264370899</v>
      </c>
    </row>
    <row r="80" spans="1:40" x14ac:dyDescent="0.2">
      <c r="A80">
        <v>175</v>
      </c>
      <c r="B80">
        <v>776</v>
      </c>
      <c r="C80">
        <v>100</v>
      </c>
      <c r="D80">
        <v>0.50002430539008103</v>
      </c>
      <c r="E80">
        <v>0.67837860293885399</v>
      </c>
      <c r="F80">
        <v>4.9184487187873103</v>
      </c>
      <c r="G80">
        <v>-4.6199654270894195</v>
      </c>
      <c r="H80">
        <v>-3.3426217431351164</v>
      </c>
      <c r="I80">
        <v>1.2175033922263701</v>
      </c>
      <c r="J80">
        <v>0.60428950047150798</v>
      </c>
      <c r="K80">
        <v>0.13792531786447301</v>
      </c>
      <c r="L80">
        <v>3.7898861048910688E-5</v>
      </c>
      <c r="M80">
        <v>4.3863167872542258E-7</v>
      </c>
      <c r="N80" s="1">
        <v>2.78559000227913E-9</v>
      </c>
      <c r="O80" s="1">
        <v>3.4162485927467001E-13</v>
      </c>
      <c r="P80">
        <v>0</v>
      </c>
      <c r="R80">
        <v>8.0136078914560702</v>
      </c>
      <c r="S80">
        <v>2.2049780488844402</v>
      </c>
      <c r="T80">
        <v>51.580996872151402</v>
      </c>
      <c r="V80">
        <v>36.958605645545802</v>
      </c>
      <c r="X80">
        <v>1.24181154196218</v>
      </c>
      <c r="AJ80">
        <v>0</v>
      </c>
      <c r="AK80">
        <v>-2.0644316506240101E-2</v>
      </c>
      <c r="AL80">
        <v>0.72597054659568205</v>
      </c>
      <c r="AM80">
        <v>6.9249430440836798E-2</v>
      </c>
      <c r="AN80">
        <v>0.22542433946971999</v>
      </c>
    </row>
    <row r="81" spans="1:40" x14ac:dyDescent="0.2">
      <c r="A81">
        <v>176</v>
      </c>
      <c r="B81">
        <v>774</v>
      </c>
      <c r="C81">
        <v>100</v>
      </c>
      <c r="D81">
        <v>0.49893568256697302</v>
      </c>
      <c r="E81">
        <v>0.70163206558977798</v>
      </c>
      <c r="F81">
        <v>4.9149770423699604</v>
      </c>
      <c r="G81">
        <v>-4.7935310159640032</v>
      </c>
      <c r="H81">
        <v>-3.4748918843924725</v>
      </c>
      <c r="I81">
        <v>1.2592647964203101</v>
      </c>
      <c r="J81">
        <v>0.62514760691395699</v>
      </c>
      <c r="K81">
        <v>0.142753884614577</v>
      </c>
      <c r="L81">
        <v>3.7408253559292369E-5</v>
      </c>
      <c r="M81">
        <v>4.3366476211639895E-7</v>
      </c>
      <c r="N81" s="1">
        <v>2.84751744989773E-9</v>
      </c>
      <c r="O81" s="1">
        <v>3.48925564051247E-13</v>
      </c>
      <c r="P81">
        <v>0</v>
      </c>
      <c r="R81">
        <v>8.3236874055927093</v>
      </c>
      <c r="S81">
        <v>2.2520743601473501</v>
      </c>
      <c r="T81">
        <v>50.937281965852101</v>
      </c>
      <c r="V81">
        <v>37.2263686834388</v>
      </c>
      <c r="X81">
        <v>1.2605875849689101</v>
      </c>
      <c r="AJ81">
        <v>0</v>
      </c>
      <c r="AK81">
        <v>-2.06387339057496E-2</v>
      </c>
      <c r="AL81">
        <v>0.71640854972413204</v>
      </c>
      <c r="AM81">
        <v>7.0247239473543804E-2</v>
      </c>
      <c r="AN81">
        <v>0.23398294470807299</v>
      </c>
    </row>
    <row r="82" spans="1:40" x14ac:dyDescent="0.2">
      <c r="A82">
        <v>177</v>
      </c>
      <c r="B82">
        <v>772</v>
      </c>
      <c r="C82">
        <v>100</v>
      </c>
      <c r="D82">
        <v>0.49784289336458698</v>
      </c>
      <c r="E82">
        <v>0.71741932034077105</v>
      </c>
      <c r="F82">
        <v>4.91223458994022</v>
      </c>
      <c r="G82">
        <v>-4.9134455528786978</v>
      </c>
      <c r="H82">
        <v>-3.567951623201258</v>
      </c>
      <c r="I82">
        <v>1.28736920985259</v>
      </c>
      <c r="J82">
        <v>0.63931896203661498</v>
      </c>
      <c r="K82">
        <v>0.146047446880891</v>
      </c>
      <c r="L82">
        <v>3.7019027346355268E-5</v>
      </c>
      <c r="M82">
        <v>4.2980239163235662E-7</v>
      </c>
      <c r="N82" s="1">
        <v>2.88495136628272E-9</v>
      </c>
      <c r="O82" s="1">
        <v>3.53280982658551E-13</v>
      </c>
      <c r="P82">
        <v>0</v>
      </c>
      <c r="R82">
        <v>8.5568000834443403</v>
      </c>
      <c r="S82">
        <v>2.30034204088886</v>
      </c>
      <c r="T82">
        <v>50.438202171433602</v>
      </c>
      <c r="V82">
        <v>37.429997804864598</v>
      </c>
      <c r="X82">
        <v>1.2746578993684401</v>
      </c>
      <c r="AJ82">
        <v>0</v>
      </c>
      <c r="AK82">
        <v>-2.0347432917472201E-2</v>
      </c>
      <c r="AL82">
        <v>0.70896609890923101</v>
      </c>
      <c r="AM82">
        <v>7.0988950571948303E-2</v>
      </c>
      <c r="AN82">
        <v>0.24039238343629199</v>
      </c>
    </row>
    <row r="83" spans="1:40" x14ac:dyDescent="0.2">
      <c r="A83">
        <v>178</v>
      </c>
      <c r="B83">
        <v>770</v>
      </c>
      <c r="C83">
        <v>100</v>
      </c>
      <c r="D83">
        <v>0.49674591381872402</v>
      </c>
      <c r="E83">
        <v>0.72891007600158997</v>
      </c>
      <c r="F83">
        <v>4.9099775941489998</v>
      </c>
      <c r="G83">
        <v>-5.0020639123958945</v>
      </c>
      <c r="H83">
        <v>-3.6380577706779662</v>
      </c>
      <c r="I83">
        <v>1.30758389658047</v>
      </c>
      <c r="J83">
        <v>0.64963710933404595</v>
      </c>
      <c r="K83">
        <v>0.14845486807723901</v>
      </c>
      <c r="L83">
        <v>3.6694339400469973E-5</v>
      </c>
      <c r="M83">
        <v>4.2664119514311771E-7</v>
      </c>
      <c r="N83" s="1">
        <v>2.9090525861221299E-9</v>
      </c>
      <c r="O83" s="1">
        <v>3.5604371220174402E-13</v>
      </c>
      <c r="P83">
        <v>0</v>
      </c>
      <c r="R83">
        <v>8.7414256870909597</v>
      </c>
      <c r="S83">
        <v>2.3483558366428601</v>
      </c>
      <c r="T83">
        <v>50.0312983554048</v>
      </c>
      <c r="V83">
        <v>37.593353508118902</v>
      </c>
      <c r="X83">
        <v>1.28556661274229</v>
      </c>
      <c r="AJ83">
        <v>0</v>
      </c>
      <c r="AK83">
        <v>-1.98875261627324E-2</v>
      </c>
      <c r="AL83">
        <v>0.70287805783854795</v>
      </c>
      <c r="AM83">
        <v>7.1558963459396802E-2</v>
      </c>
      <c r="AN83">
        <v>0.24545050486478701</v>
      </c>
    </row>
    <row r="84" spans="1:40" x14ac:dyDescent="0.2">
      <c r="A84">
        <v>179</v>
      </c>
      <c r="B84">
        <v>768</v>
      </c>
      <c r="C84">
        <v>100</v>
      </c>
      <c r="D84">
        <v>0.49564471978101199</v>
      </c>
      <c r="E84">
        <v>0.73767791056973397</v>
      </c>
      <c r="F84">
        <v>4.9080640066019603</v>
      </c>
      <c r="G84">
        <v>-5.070619564232917</v>
      </c>
      <c r="H84">
        <v>-3.6934054937781737</v>
      </c>
      <c r="I84">
        <v>1.3227816073137799</v>
      </c>
      <c r="J84">
        <v>0.657510232604955</v>
      </c>
      <c r="K84">
        <v>0.15029916267951299</v>
      </c>
      <c r="L84">
        <v>3.6413648541884962E-5</v>
      </c>
      <c r="M84">
        <v>4.2395663168704664E-7</v>
      </c>
      <c r="N84" s="1">
        <v>2.9250875741223001E-9</v>
      </c>
      <c r="O84" s="1">
        <v>3.5784879255948898E-13</v>
      </c>
      <c r="P84">
        <v>0</v>
      </c>
      <c r="R84">
        <v>8.8933306620537298</v>
      </c>
      <c r="S84">
        <v>2.3955649021479899</v>
      </c>
      <c r="T84">
        <v>49.687275511716997</v>
      </c>
      <c r="V84">
        <v>37.729611298280297</v>
      </c>
      <c r="X84">
        <v>1.29421762580082</v>
      </c>
      <c r="AJ84">
        <v>0</v>
      </c>
      <c r="AK84">
        <v>-1.9321218047450801E-2</v>
      </c>
      <c r="AL84">
        <v>0.69771633969660096</v>
      </c>
      <c r="AM84">
        <v>7.2006593166274099E-2</v>
      </c>
      <c r="AN84">
        <v>0.249598285184575</v>
      </c>
    </row>
    <row r="85" spans="1:40" x14ac:dyDescent="0.2">
      <c r="A85">
        <v>180</v>
      </c>
      <c r="B85">
        <v>766</v>
      </c>
      <c r="C85">
        <v>100</v>
      </c>
      <c r="D85">
        <v>0.49453928691719501</v>
      </c>
      <c r="E85">
        <v>0.74459537802132703</v>
      </c>
      <c r="F85">
        <v>4.9064049252079602</v>
      </c>
      <c r="G85">
        <v>-5.1254058509006333</v>
      </c>
      <c r="H85">
        <v>-3.7385979359684396</v>
      </c>
      <c r="I85">
        <v>1.33455989504132</v>
      </c>
      <c r="J85">
        <v>0.66371988689995998</v>
      </c>
      <c r="K85">
        <v>0.151759870897685</v>
      </c>
      <c r="L85">
        <v>3.6164536655719247E-5</v>
      </c>
      <c r="M85">
        <v>4.2161313998623713E-7</v>
      </c>
      <c r="N85" s="1">
        <v>2.93585232468209E-9</v>
      </c>
      <c r="O85" s="1">
        <v>3.5903178517127999E-13</v>
      </c>
      <c r="P85">
        <v>0</v>
      </c>
      <c r="R85">
        <v>9.0219854549319507</v>
      </c>
      <c r="S85">
        <v>2.44176513279064</v>
      </c>
      <c r="T85">
        <v>49.388401379092102</v>
      </c>
      <c r="V85">
        <v>37.846669239265402</v>
      </c>
      <c r="X85">
        <v>1.3011787939197601</v>
      </c>
      <c r="AJ85">
        <v>0</v>
      </c>
      <c r="AK85">
        <v>-1.86844064813502E-2</v>
      </c>
      <c r="AL85">
        <v>0.693221392279041</v>
      </c>
      <c r="AM85">
        <v>7.23627741015926E-2</v>
      </c>
      <c r="AN85">
        <v>0.25310024010071602</v>
      </c>
    </row>
    <row r="86" spans="1:40" x14ac:dyDescent="0.2">
      <c r="A86">
        <v>181</v>
      </c>
      <c r="B86">
        <v>764</v>
      </c>
      <c r="C86">
        <v>100</v>
      </c>
      <c r="D86">
        <v>0.49342959070530001</v>
      </c>
      <c r="E86">
        <v>0.75018734326678005</v>
      </c>
      <c r="F86">
        <v>4.90494143943463</v>
      </c>
      <c r="G86">
        <v>-5.1702424784609775</v>
      </c>
      <c r="H86">
        <v>-3.7764350526081487</v>
      </c>
      <c r="I86">
        <v>1.34388220204678</v>
      </c>
      <c r="J86">
        <v>0.66873658244970902</v>
      </c>
      <c r="K86">
        <v>0.15294521912849701</v>
      </c>
      <c r="L86">
        <v>3.5939007298407317E-5</v>
      </c>
      <c r="M86">
        <v>4.1952353302113076E-7</v>
      </c>
      <c r="N86" s="1">
        <v>2.9429656205288999E-9</v>
      </c>
      <c r="O86" s="1">
        <v>3.5978610316038302E-13</v>
      </c>
      <c r="P86">
        <v>0</v>
      </c>
      <c r="R86">
        <v>9.1334518926761401</v>
      </c>
      <c r="S86">
        <v>2.4869001119012499</v>
      </c>
      <c r="T86">
        <v>49.123246199946699</v>
      </c>
      <c r="V86">
        <v>37.949574228678699</v>
      </c>
      <c r="X86">
        <v>1.3068275667970799</v>
      </c>
      <c r="AJ86">
        <v>0</v>
      </c>
      <c r="AK86">
        <v>-1.7999176469924699E-2</v>
      </c>
      <c r="AL86">
        <v>0.68922566180896705</v>
      </c>
      <c r="AM86">
        <v>7.2648041606044794E-2</v>
      </c>
      <c r="AN86">
        <v>0.25612547305491201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2C506-F18D-468D-AC0D-6AE7E3D44FEE}">
  <sheetPr codeName="Sheet8"/>
  <dimension ref="A1:AP83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14</v>
      </c>
      <c r="B2">
        <v>734</v>
      </c>
      <c r="C2">
        <v>300</v>
      </c>
      <c r="D2">
        <v>0.25781710768008598</v>
      </c>
      <c r="E2">
        <v>0.436406832549946</v>
      </c>
      <c r="F2">
        <v>3.5902480146437701</v>
      </c>
      <c r="G2">
        <v>-5.5429591209697042</v>
      </c>
      <c r="H2">
        <v>-4.7135121494043863</v>
      </c>
      <c r="I2">
        <v>0.82355852808948005</v>
      </c>
      <c r="J2">
        <v>0.48667631856276899</v>
      </c>
      <c r="K2">
        <v>0.121553394297537</v>
      </c>
      <c r="L2">
        <v>4.4322035415071205E-5</v>
      </c>
      <c r="M2">
        <v>9.1477213222032718E-7</v>
      </c>
      <c r="N2" s="1">
        <v>6.8249323386203401E-10</v>
      </c>
      <c r="O2" s="1">
        <v>1.18783741568469E-13</v>
      </c>
      <c r="P2" s="1">
        <v>-8.4840171958189003E-13</v>
      </c>
      <c r="Q2">
        <v>49.620479117250603</v>
      </c>
      <c r="R2">
        <v>1.7469414641595099E-2</v>
      </c>
      <c r="S2">
        <v>2.24137033588545</v>
      </c>
      <c r="T2">
        <v>0.558699710077046</v>
      </c>
      <c r="V2">
        <v>32.422460660261699</v>
      </c>
      <c r="X2">
        <v>14.9088479097405</v>
      </c>
      <c r="AA2">
        <v>0.21414178416769999</v>
      </c>
      <c r="AB2">
        <v>1.65310679752604E-2</v>
      </c>
      <c r="AJ2">
        <v>-1.11100647316551</v>
      </c>
      <c r="AK2">
        <v>0.98977543499832299</v>
      </c>
      <c r="AL2">
        <v>1.06022523709922</v>
      </c>
      <c r="AM2">
        <v>4.3313286305096101E-2</v>
      </c>
      <c r="AN2">
        <v>-4.2285920114113203E-2</v>
      </c>
      <c r="AO2">
        <v>5.8725166906615001E-2</v>
      </c>
      <c r="AP2">
        <v>1.2532679703708301E-3</v>
      </c>
    </row>
    <row r="3" spans="1:42" x14ac:dyDescent="0.2">
      <c r="A3">
        <v>15</v>
      </c>
      <c r="B3">
        <v>732</v>
      </c>
      <c r="C3">
        <v>300</v>
      </c>
      <c r="D3">
        <v>0.256201064517732</v>
      </c>
      <c r="E3">
        <v>0.58717267370614601</v>
      </c>
      <c r="F3">
        <v>3.5977274536712001</v>
      </c>
      <c r="G3">
        <v>-7.4340525567504203</v>
      </c>
      <c r="H3">
        <v>-6.3223914740526341</v>
      </c>
      <c r="I3">
        <v>1.1059653610881801</v>
      </c>
      <c r="J3">
        <v>0.65379992606542803</v>
      </c>
      <c r="K3">
        <v>0.16320654670686099</v>
      </c>
      <c r="L3">
        <v>4.423011958404647E-5</v>
      </c>
      <c r="M3">
        <v>9.1501354685818777E-7</v>
      </c>
      <c r="N3" s="1">
        <v>1.0113545645670301E-9</v>
      </c>
      <c r="O3" s="1">
        <v>1.5930376676720101E-13</v>
      </c>
      <c r="P3" s="1">
        <v>-1.7969672172506901E-12</v>
      </c>
      <c r="Q3">
        <v>49.3399214887543</v>
      </c>
      <c r="R3">
        <v>1.77241405947695E-2</v>
      </c>
      <c r="S3">
        <v>2.5420883922924702</v>
      </c>
      <c r="T3">
        <v>0.60046736695027203</v>
      </c>
      <c r="V3">
        <v>32.732537455801499</v>
      </c>
      <c r="X3">
        <v>14.577700515945301</v>
      </c>
      <c r="AA3">
        <v>0.17373127833207799</v>
      </c>
      <c r="AB3">
        <v>1.5829361329175302E-2</v>
      </c>
      <c r="AJ3">
        <v>-1.13233755547078</v>
      </c>
      <c r="AK3">
        <v>0.99150719278931898</v>
      </c>
      <c r="AL3">
        <v>1.07218356580956</v>
      </c>
      <c r="AM3">
        <v>4.9746443875125002E-2</v>
      </c>
      <c r="AN3">
        <v>-4.8702326290938E-2</v>
      </c>
      <c r="AO3">
        <v>6.6400570620527399E-2</v>
      </c>
      <c r="AP3">
        <v>1.2021086671824999E-3</v>
      </c>
    </row>
    <row r="4" spans="1:42" x14ac:dyDescent="0.2">
      <c r="A4">
        <v>16</v>
      </c>
      <c r="B4">
        <v>730</v>
      </c>
      <c r="C4">
        <v>300</v>
      </c>
      <c r="D4">
        <v>0.25457857748093798</v>
      </c>
      <c r="E4">
        <v>0.64170120948638099</v>
      </c>
      <c r="F4">
        <v>3.6018014724545302</v>
      </c>
      <c r="G4">
        <v>-8.1129100976776218</v>
      </c>
      <c r="H4">
        <v>-6.9022372643269074</v>
      </c>
      <c r="I4">
        <v>1.2068711891050301</v>
      </c>
      <c r="J4">
        <v>0.71402790856162601</v>
      </c>
      <c r="K4">
        <v>0.17816118250656299</v>
      </c>
      <c r="L4">
        <v>4.4150657075386677E-5</v>
      </c>
      <c r="M4">
        <v>9.1481206969222482E-7</v>
      </c>
      <c r="N4" s="1">
        <v>1.1776059054754399E-9</v>
      </c>
      <c r="O4" s="1">
        <v>1.7405895861646301E-13</v>
      </c>
      <c r="P4" s="1">
        <v>-2.46945755206024E-12</v>
      </c>
      <c r="Q4">
        <v>49.154972621469298</v>
      </c>
      <c r="R4">
        <v>1.8518064919689201E-2</v>
      </c>
      <c r="S4">
        <v>2.7774386666214501</v>
      </c>
      <c r="T4">
        <v>0.62475227519603405</v>
      </c>
      <c r="V4">
        <v>32.855507725147199</v>
      </c>
      <c r="X4">
        <v>14.403202993293</v>
      </c>
      <c r="AA4">
        <v>0.15027446846456199</v>
      </c>
      <c r="AB4">
        <v>1.53331848885075E-2</v>
      </c>
      <c r="AJ4">
        <v>-1.14398977559691</v>
      </c>
      <c r="AK4">
        <v>0.99252396972494905</v>
      </c>
      <c r="AL4">
        <v>1.0769718132192401</v>
      </c>
      <c r="AM4">
        <v>5.4901713553978403E-2</v>
      </c>
      <c r="AN4">
        <v>-5.3810055791518902E-2</v>
      </c>
      <c r="AO4">
        <v>7.2237084144073593E-2</v>
      </c>
      <c r="AP4">
        <v>1.16525074618163E-3</v>
      </c>
    </row>
    <row r="5" spans="1:42" x14ac:dyDescent="0.2">
      <c r="A5">
        <v>17</v>
      </c>
      <c r="B5">
        <v>728</v>
      </c>
      <c r="C5">
        <v>300</v>
      </c>
      <c r="D5">
        <v>0.25294960795086002</v>
      </c>
      <c r="E5">
        <v>0.67489040633136299</v>
      </c>
      <c r="F5">
        <v>3.6054720925125698</v>
      </c>
      <c r="G5">
        <v>-8.5215440593477272</v>
      </c>
      <c r="H5">
        <v>-7.2526511785078265</v>
      </c>
      <c r="I5">
        <v>1.26743533021015</v>
      </c>
      <c r="J5">
        <v>0.75044837872617298</v>
      </c>
      <c r="K5">
        <v>0.187185031256488</v>
      </c>
      <c r="L5">
        <v>4.4068660282855815E-5</v>
      </c>
      <c r="M5">
        <v>9.1461371890456533E-7</v>
      </c>
      <c r="N5" s="1">
        <v>1.31086918618648E-9</v>
      </c>
      <c r="O5" s="1">
        <v>1.82762056827391E-13</v>
      </c>
      <c r="P5" s="1">
        <v>-3.0498105994128801E-12</v>
      </c>
      <c r="Q5">
        <v>48.9875656279278</v>
      </c>
      <c r="R5">
        <v>1.9169215549725001E-2</v>
      </c>
      <c r="S5">
        <v>2.9919290625535999</v>
      </c>
      <c r="T5">
        <v>0.64545822023950306</v>
      </c>
      <c r="V5">
        <v>32.964199813980002</v>
      </c>
      <c r="X5">
        <v>14.2438723808626</v>
      </c>
      <c r="AA5">
        <v>0.13290644240392699</v>
      </c>
      <c r="AB5">
        <v>1.4899236482733599E-2</v>
      </c>
      <c r="AJ5">
        <v>-1.1543081296135</v>
      </c>
      <c r="AK5">
        <v>0.99328206456277002</v>
      </c>
      <c r="AL5">
        <v>1.0812192715750899</v>
      </c>
      <c r="AM5">
        <v>5.9623992003893102E-2</v>
      </c>
      <c r="AN5">
        <v>-5.8493232278582899E-2</v>
      </c>
      <c r="AO5">
        <v>7.7543043646598697E-2</v>
      </c>
      <c r="AP5">
        <v>1.1329901037295299E-3</v>
      </c>
    </row>
    <row r="6" spans="1:42" x14ac:dyDescent="0.2">
      <c r="A6">
        <v>18</v>
      </c>
      <c r="B6">
        <v>726</v>
      </c>
      <c r="C6">
        <v>300</v>
      </c>
      <c r="D6">
        <v>0.251314116999449</v>
      </c>
      <c r="E6">
        <v>0.69919709320648904</v>
      </c>
      <c r="F6">
        <v>3.60889673981556</v>
      </c>
      <c r="G6">
        <v>-8.8178409288752082</v>
      </c>
      <c r="H6">
        <v>-7.5077731994786809</v>
      </c>
      <c r="I6">
        <v>1.31118223429567</v>
      </c>
      <c r="J6">
        <v>0.77694953328835803</v>
      </c>
      <c r="K6">
        <v>0.19374261543493801</v>
      </c>
      <c r="L6">
        <v>4.39837433581652E-5</v>
      </c>
      <c r="M6">
        <v>9.1441184328706016E-7</v>
      </c>
      <c r="N6" s="1">
        <v>1.4312616705414799E-9</v>
      </c>
      <c r="O6" s="1">
        <v>1.8883540614141301E-13</v>
      </c>
      <c r="P6" s="1">
        <v>-3.5746301180445902E-12</v>
      </c>
      <c r="Q6">
        <v>48.8306041026974</v>
      </c>
      <c r="R6">
        <v>1.9726621351481202E-2</v>
      </c>
      <c r="S6">
        <v>3.1943640444660302</v>
      </c>
      <c r="T6">
        <v>0.66390784529871205</v>
      </c>
      <c r="V6">
        <v>33.063938549839698</v>
      </c>
      <c r="X6">
        <v>14.0938737159374</v>
      </c>
      <c r="AA6">
        <v>0.119079333116852</v>
      </c>
      <c r="AB6">
        <v>1.45057872921955E-2</v>
      </c>
      <c r="AJ6">
        <v>-1.1638259807484399</v>
      </c>
      <c r="AK6">
        <v>0.99388943529406304</v>
      </c>
      <c r="AL6">
        <v>1.0851275262930999</v>
      </c>
      <c r="AM6">
        <v>6.4099467541344504E-2</v>
      </c>
      <c r="AN6">
        <v>-6.2935144064395099E-2</v>
      </c>
      <c r="AO6">
        <v>8.2540977079891401E-2</v>
      </c>
      <c r="AP6">
        <v>1.1037186044306701E-3</v>
      </c>
    </row>
    <row r="7" spans="1:42" x14ac:dyDescent="0.2">
      <c r="A7">
        <v>19</v>
      </c>
      <c r="B7">
        <v>724</v>
      </c>
      <c r="C7">
        <v>300</v>
      </c>
      <c r="D7">
        <v>0.249672065386352</v>
      </c>
      <c r="E7">
        <v>0.718870869751428</v>
      </c>
      <c r="F7">
        <v>3.6121531026685498</v>
      </c>
      <c r="G7">
        <v>-9.0556005099006391</v>
      </c>
      <c r="H7">
        <v>-7.7133011179653668</v>
      </c>
      <c r="I7">
        <v>1.3461358791909599</v>
      </c>
      <c r="J7">
        <v>0.79826831842719104</v>
      </c>
      <c r="K7">
        <v>0.19901450722571701</v>
      </c>
      <c r="L7">
        <v>4.3895671859148488E-5</v>
      </c>
      <c r="M7">
        <v>9.1420392000934298E-7</v>
      </c>
      <c r="N7" s="1">
        <v>1.5458747084411201E-9</v>
      </c>
      <c r="O7" s="1">
        <v>1.9345861653042299E-13</v>
      </c>
      <c r="P7" s="1">
        <v>-4.0599279105861497E-12</v>
      </c>
      <c r="Q7">
        <v>48.680532048239797</v>
      </c>
      <c r="R7">
        <v>2.0215436852401101E-2</v>
      </c>
      <c r="S7">
        <v>3.3891514742574702</v>
      </c>
      <c r="T7">
        <v>0.680768689514195</v>
      </c>
      <c r="V7">
        <v>33.157320205249</v>
      </c>
      <c r="X7">
        <v>13.9502519075496</v>
      </c>
      <c r="AA7">
        <v>0.107619001589646</v>
      </c>
      <c r="AB7">
        <v>1.41412367477008E-2</v>
      </c>
      <c r="AJ7">
        <v>-1.17280385918088</v>
      </c>
      <c r="AK7">
        <v>0.99439593455542796</v>
      </c>
      <c r="AL7">
        <v>1.0887951596458401</v>
      </c>
      <c r="AM7">
        <v>6.8421299442823699E-2</v>
      </c>
      <c r="AN7">
        <v>-6.7227463528231807E-2</v>
      </c>
      <c r="AO7">
        <v>8.7342352270530596E-2</v>
      </c>
      <c r="AP7">
        <v>1.07657679449494E-3</v>
      </c>
    </row>
    <row r="8" spans="1:42" x14ac:dyDescent="0.2">
      <c r="A8">
        <v>32</v>
      </c>
      <c r="B8">
        <v>736</v>
      </c>
      <c r="C8">
        <v>280</v>
      </c>
      <c r="D8">
        <v>0.281227270475152</v>
      </c>
      <c r="E8">
        <v>0.50728476494152597</v>
      </c>
      <c r="F8">
        <v>3.58704260774266</v>
      </c>
      <c r="G8">
        <v>-6.4594213446365618</v>
      </c>
      <c r="H8">
        <v>-5.4916986371943022</v>
      </c>
      <c r="I8">
        <v>0.95894833022074</v>
      </c>
      <c r="J8">
        <v>0.56654434853884506</v>
      </c>
      <c r="K8">
        <v>0.141421449482241</v>
      </c>
      <c r="L8">
        <v>4.4326219610422257E-5</v>
      </c>
      <c r="M8">
        <v>9.1386228526779374E-7</v>
      </c>
      <c r="N8" s="1">
        <v>7.83205640581048E-10</v>
      </c>
      <c r="O8" s="1">
        <v>1.3946467878923501E-13</v>
      </c>
      <c r="P8" s="1">
        <v>-1.0426815186831701E-12</v>
      </c>
      <c r="Q8">
        <v>49.628328988478799</v>
      </c>
      <c r="R8">
        <v>1.7292468053969699E-2</v>
      </c>
      <c r="S8">
        <v>2.3059120225868002</v>
      </c>
      <c r="T8">
        <v>0.570462522702466</v>
      </c>
      <c r="V8">
        <v>32.228170151790302</v>
      </c>
      <c r="X8">
        <v>15.0369653662652</v>
      </c>
      <c r="AA8">
        <v>0.196949317058461</v>
      </c>
      <c r="AB8">
        <v>1.5919163063913201E-2</v>
      </c>
      <c r="AJ8">
        <v>-1.1059538450128901</v>
      </c>
      <c r="AK8">
        <v>0.99055146824836604</v>
      </c>
      <c r="AL8">
        <v>1.05282685465437</v>
      </c>
      <c r="AM8">
        <v>4.4601128306730103E-2</v>
      </c>
      <c r="AN8">
        <v>-4.3585176658971103E-2</v>
      </c>
      <c r="AO8">
        <v>6.0353889507925598E-2</v>
      </c>
      <c r="AP8">
        <v>1.20568095446855E-3</v>
      </c>
    </row>
    <row r="9" spans="1:42" x14ac:dyDescent="0.2">
      <c r="A9">
        <v>33</v>
      </c>
      <c r="B9">
        <v>734</v>
      </c>
      <c r="C9">
        <v>280</v>
      </c>
      <c r="D9">
        <v>0.27966092439060802</v>
      </c>
      <c r="E9">
        <v>0.58961896407513004</v>
      </c>
      <c r="F9">
        <v>3.5913977382088702</v>
      </c>
      <c r="G9">
        <v>-7.4962225617900486</v>
      </c>
      <c r="H9">
        <v>-6.3753581709044003</v>
      </c>
      <c r="I9">
        <v>1.11290710508429</v>
      </c>
      <c r="J9">
        <v>0.65806035041678801</v>
      </c>
      <c r="K9">
        <v>0.164175345382154</v>
      </c>
      <c r="L9">
        <v>4.4261997359859822E-5</v>
      </c>
      <c r="M9">
        <v>9.1373655541846548E-7</v>
      </c>
      <c r="N9" s="1">
        <v>9.7272363858391498E-10</v>
      </c>
      <c r="O9" s="1">
        <v>1.6245867861369599E-13</v>
      </c>
      <c r="P9" s="1">
        <v>-1.73260888034243E-12</v>
      </c>
      <c r="Q9">
        <v>49.434904991191303</v>
      </c>
      <c r="R9">
        <v>1.8201919028937499E-2</v>
      </c>
      <c r="S9">
        <v>2.5483108276217199</v>
      </c>
      <c r="T9">
        <v>0.59677076826119702</v>
      </c>
      <c r="V9">
        <v>32.365659410831697</v>
      </c>
      <c r="X9">
        <v>14.852699259168</v>
      </c>
      <c r="AA9">
        <v>0.16807077578556601</v>
      </c>
      <c r="AB9">
        <v>1.53820481114454E-2</v>
      </c>
      <c r="AJ9">
        <v>-1.11853000783589</v>
      </c>
      <c r="AK9">
        <v>0.99179446445762198</v>
      </c>
      <c r="AL9">
        <v>1.0581342468061099</v>
      </c>
      <c r="AM9">
        <v>4.9879817516143302E-2</v>
      </c>
      <c r="AN9">
        <v>-4.8809609400699103E-2</v>
      </c>
      <c r="AO9">
        <v>6.6365188356787605E-2</v>
      </c>
      <c r="AP9">
        <v>1.1659000999334999E-3</v>
      </c>
    </row>
    <row r="10" spans="1:42" x14ac:dyDescent="0.2">
      <c r="A10">
        <v>34</v>
      </c>
      <c r="B10">
        <v>732</v>
      </c>
      <c r="C10">
        <v>280</v>
      </c>
      <c r="D10">
        <v>0.27808834502313201</v>
      </c>
      <c r="E10">
        <v>0.63155787131330599</v>
      </c>
      <c r="F10">
        <v>3.59520429732255</v>
      </c>
      <c r="G10">
        <v>-8.0184747963260286</v>
      </c>
      <c r="H10">
        <v>-6.8220290789700888</v>
      </c>
      <c r="I10">
        <v>1.19031559205684</v>
      </c>
      <c r="J10">
        <v>0.70440732162169994</v>
      </c>
      <c r="K10">
        <v>0.175666754677514</v>
      </c>
      <c r="L10">
        <v>4.4194327983240397E-5</v>
      </c>
      <c r="M10">
        <v>9.1360659670693542E-7</v>
      </c>
      <c r="N10" s="1">
        <v>1.1046916386688599E-9</v>
      </c>
      <c r="O10" s="1">
        <v>1.7406530720926299E-13</v>
      </c>
      <c r="P10" s="1">
        <v>-2.3189661680865799E-12</v>
      </c>
      <c r="Q10">
        <v>49.2651717595759</v>
      </c>
      <c r="R10">
        <v>1.8920803668381399E-2</v>
      </c>
      <c r="S10">
        <v>2.7625580767699298</v>
      </c>
      <c r="T10">
        <v>0.61835873436795497</v>
      </c>
      <c r="V10">
        <v>32.483359029762703</v>
      </c>
      <c r="X10">
        <v>14.6889818657841</v>
      </c>
      <c r="AA10">
        <v>0.147720551926493</v>
      </c>
      <c r="AB10">
        <v>1.4929178144417099E-2</v>
      </c>
      <c r="AJ10">
        <v>-1.1292806402668301</v>
      </c>
      <c r="AK10">
        <v>0.99267623688884199</v>
      </c>
      <c r="AL10">
        <v>1.0626963225630901</v>
      </c>
      <c r="AM10">
        <v>5.4572868022534603E-2</v>
      </c>
      <c r="AN10">
        <v>-5.3459643984531402E-2</v>
      </c>
      <c r="AO10">
        <v>7.1662521574799604E-2</v>
      </c>
      <c r="AP10">
        <v>1.1323352020972601E-3</v>
      </c>
    </row>
    <row r="11" spans="1:42" x14ac:dyDescent="0.2">
      <c r="A11">
        <v>35</v>
      </c>
      <c r="B11">
        <v>730</v>
      </c>
      <c r="C11">
        <v>280</v>
      </c>
      <c r="D11">
        <v>0.27650949509046802</v>
      </c>
      <c r="E11">
        <v>0.65972741046606997</v>
      </c>
      <c r="F11">
        <v>3.5987077437503201</v>
      </c>
      <c r="G11">
        <v>-8.3655707385314315</v>
      </c>
      <c r="H11">
        <v>-7.120054775272048</v>
      </c>
      <c r="I11">
        <v>1.2416049077998099</v>
      </c>
      <c r="J11">
        <v>0.73534882753500397</v>
      </c>
      <c r="K11">
        <v>0.18332341980583999</v>
      </c>
      <c r="L11">
        <v>4.4123201662699131E-5</v>
      </c>
      <c r="M11">
        <v>9.1346700369746013E-7</v>
      </c>
      <c r="N11" s="1">
        <v>1.2180056421715901E-9</v>
      </c>
      <c r="O11" s="1">
        <v>1.81647830133001E-13</v>
      </c>
      <c r="P11" s="1">
        <v>-2.8482184373935401E-12</v>
      </c>
      <c r="Q11">
        <v>49.108291930624098</v>
      </c>
      <c r="R11">
        <v>1.9525485485986999E-2</v>
      </c>
      <c r="S11">
        <v>2.9619280507319101</v>
      </c>
      <c r="T11">
        <v>0.63723844891702397</v>
      </c>
      <c r="V11">
        <v>32.5898801686821</v>
      </c>
      <c r="X11">
        <v>14.536727830601199</v>
      </c>
      <c r="AA11">
        <v>0.131882031224968</v>
      </c>
      <c r="AB11">
        <v>1.45260537325511E-2</v>
      </c>
      <c r="AJ11">
        <v>-1.1390368382300899</v>
      </c>
      <c r="AK11">
        <v>0.99336657447688703</v>
      </c>
      <c r="AL11">
        <v>1.0668373351064</v>
      </c>
      <c r="AM11">
        <v>5.8960299098094401E-2</v>
      </c>
      <c r="AN11">
        <v>-5.7810791002495802E-2</v>
      </c>
      <c r="AO11">
        <v>7.6580983116834894E-2</v>
      </c>
      <c r="AP11">
        <v>1.1024374343660899E-3</v>
      </c>
    </row>
    <row r="12" spans="1:42" x14ac:dyDescent="0.2">
      <c r="A12">
        <v>36</v>
      </c>
      <c r="B12">
        <v>728</v>
      </c>
      <c r="C12">
        <v>280</v>
      </c>
      <c r="D12">
        <v>0.27492433701243602</v>
      </c>
      <c r="E12">
        <v>0.68137319489499504</v>
      </c>
      <c r="F12">
        <v>3.6020148268910601</v>
      </c>
      <c r="G12">
        <v>-8.6297624199317777</v>
      </c>
      <c r="H12">
        <v>-7.3477929545500995</v>
      </c>
      <c r="I12">
        <v>1.2804968939536301</v>
      </c>
      <c r="J12">
        <v>0.75898320430463295</v>
      </c>
      <c r="K12">
        <v>0.189164461458671</v>
      </c>
      <c r="L12">
        <v>4.4048536003085397E-5</v>
      </c>
      <c r="M12">
        <v>9.1331627584756283E-7</v>
      </c>
      <c r="N12" s="1">
        <v>1.32362309801606E-9</v>
      </c>
      <c r="O12" s="1">
        <v>1.8723062983561901E-13</v>
      </c>
      <c r="P12" s="1">
        <v>-3.3390892766570298E-12</v>
      </c>
      <c r="Q12">
        <v>48.959477651680501</v>
      </c>
      <c r="R12">
        <v>2.0050507185875598E-2</v>
      </c>
      <c r="S12">
        <v>3.15228063337192</v>
      </c>
      <c r="T12">
        <v>0.65430631772100101</v>
      </c>
      <c r="V12">
        <v>32.688922325332797</v>
      </c>
      <c r="X12">
        <v>14.391882073493701</v>
      </c>
      <c r="AA12">
        <v>0.118924034921242</v>
      </c>
      <c r="AB12">
        <v>1.41564562927728E-2</v>
      </c>
      <c r="AJ12">
        <v>-1.1481562778650301</v>
      </c>
      <c r="AK12">
        <v>0.99393457071898805</v>
      </c>
      <c r="AL12">
        <v>1.0706970035313199</v>
      </c>
      <c r="AM12">
        <v>6.3165639579582003E-2</v>
      </c>
      <c r="AN12">
        <v>-6.1984541134756301E-2</v>
      </c>
      <c r="AO12">
        <v>8.1268597903994794E-2</v>
      </c>
      <c r="AP12">
        <v>1.0750072658962499E-3</v>
      </c>
    </row>
    <row r="13" spans="1:42" x14ac:dyDescent="0.2">
      <c r="A13">
        <v>37</v>
      </c>
      <c r="B13">
        <v>726</v>
      </c>
      <c r="C13">
        <v>280</v>
      </c>
      <c r="D13">
        <v>0.273332832907971</v>
      </c>
      <c r="E13">
        <v>0.69936438364405096</v>
      </c>
      <c r="F13">
        <v>3.6051828809890099</v>
      </c>
      <c r="G13">
        <v>-8.8475413807790169</v>
      </c>
      <c r="H13">
        <v>-7.5362325552260989</v>
      </c>
      <c r="I13">
        <v>1.3124243862812499</v>
      </c>
      <c r="J13">
        <v>0.77851658458345696</v>
      </c>
      <c r="K13">
        <v>0.19398860105876001</v>
      </c>
      <c r="L13">
        <v>4.3970270684871037E-5</v>
      </c>
      <c r="M13">
        <v>9.1315409383707133E-7</v>
      </c>
      <c r="N13" s="1">
        <v>1.4259848610959101E-9</v>
      </c>
      <c r="O13" s="1">
        <v>1.91623570616648E-13</v>
      </c>
      <c r="P13" s="1">
        <v>-3.8009033610783302E-12</v>
      </c>
      <c r="Q13">
        <v>48.816131919341302</v>
      </c>
      <c r="R13">
        <v>2.0515078418984201E-2</v>
      </c>
      <c r="S13">
        <v>3.3367959171416599</v>
      </c>
      <c r="T13">
        <v>0.67005277549836995</v>
      </c>
      <c r="V13">
        <v>32.782455320563997</v>
      </c>
      <c r="X13">
        <v>14.2522427815349</v>
      </c>
      <c r="AA13">
        <v>0.107994838452171</v>
      </c>
      <c r="AB13">
        <v>1.38113690483935E-2</v>
      </c>
      <c r="AJ13">
        <v>-1.1568303668526101</v>
      </c>
      <c r="AK13">
        <v>0.99441633664331197</v>
      </c>
      <c r="AL13">
        <v>1.0743497937717601</v>
      </c>
      <c r="AM13">
        <v>6.7255877890711094E-2</v>
      </c>
      <c r="AN13">
        <v>-6.6046750222757605E-2</v>
      </c>
      <c r="AO13">
        <v>8.5805731095958099E-2</v>
      </c>
      <c r="AP13">
        <v>1.04937767361986E-3</v>
      </c>
    </row>
    <row r="14" spans="1:42" x14ac:dyDescent="0.2">
      <c r="A14">
        <v>48</v>
      </c>
      <c r="B14">
        <v>740</v>
      </c>
      <c r="C14">
        <v>260</v>
      </c>
      <c r="D14">
        <v>0.30605586537038199</v>
      </c>
      <c r="E14">
        <v>0.39191166944008399</v>
      </c>
      <c r="F14">
        <v>3.5791599618437302</v>
      </c>
      <c r="G14">
        <v>-5.010665379490705</v>
      </c>
      <c r="H14">
        <v>-4.2576517138667054</v>
      </c>
      <c r="I14">
        <v>0.74324005885012101</v>
      </c>
      <c r="J14">
        <v>0.43855249345394198</v>
      </c>
      <c r="K14">
        <v>0.109498226851587</v>
      </c>
      <c r="L14">
        <v>4.4380252754284955E-5</v>
      </c>
      <c r="M14">
        <v>9.1312090158384721E-7</v>
      </c>
      <c r="N14" s="1">
        <v>5.56407195027914E-10</v>
      </c>
      <c r="O14" s="1">
        <v>1.08199881496184E-13</v>
      </c>
      <c r="P14" s="1">
        <v>-4.3055234869874999E-13</v>
      </c>
      <c r="Q14">
        <v>49.849782950429102</v>
      </c>
      <c r="R14">
        <v>1.58800654099964E-2</v>
      </c>
      <c r="S14">
        <v>2.0971481874696698</v>
      </c>
      <c r="T14">
        <v>0.551601064902566</v>
      </c>
      <c r="V14">
        <v>31.892933789753801</v>
      </c>
      <c r="X14">
        <v>15.3550805165121</v>
      </c>
      <c r="AA14">
        <v>0.221639088455342</v>
      </c>
      <c r="AB14">
        <v>1.59343370671962E-2</v>
      </c>
      <c r="AJ14">
        <v>-1.0869280394790799</v>
      </c>
      <c r="AK14">
        <v>0.98953543454968695</v>
      </c>
      <c r="AL14">
        <v>1.0400419026163701</v>
      </c>
      <c r="AM14">
        <v>3.9960248223505898E-2</v>
      </c>
      <c r="AN14">
        <v>-3.9028918628928697E-2</v>
      </c>
      <c r="AO14">
        <v>5.5214666287399503E-2</v>
      </c>
      <c r="AP14">
        <v>1.20470643104947E-3</v>
      </c>
    </row>
    <row r="15" spans="1:42" x14ac:dyDescent="0.2">
      <c r="A15">
        <v>49</v>
      </c>
      <c r="B15">
        <v>738</v>
      </c>
      <c r="C15">
        <v>260</v>
      </c>
      <c r="D15">
        <v>0.30454482519902998</v>
      </c>
      <c r="E15">
        <v>0.52912087911313099</v>
      </c>
      <c r="F15">
        <v>3.5810115634956001</v>
      </c>
      <c r="G15">
        <v>-6.7649100419229837</v>
      </c>
      <c r="H15">
        <v>-5.7514329648362272</v>
      </c>
      <c r="I15">
        <v>1.0023014162950601</v>
      </c>
      <c r="J15">
        <v>0.59224783096001699</v>
      </c>
      <c r="K15">
        <v>0.147757377973007</v>
      </c>
      <c r="L15">
        <v>4.433818779240439E-5</v>
      </c>
      <c r="M15">
        <v>9.1251271570774167E-7</v>
      </c>
      <c r="N15" s="1">
        <v>7.8868406485394598E-10</v>
      </c>
      <c r="O15" s="1">
        <v>1.47662933555638E-13</v>
      </c>
      <c r="P15" s="1">
        <v>-1.05511927736503E-12</v>
      </c>
      <c r="Q15">
        <v>49.709545791392401</v>
      </c>
      <c r="R15">
        <v>1.78626594682816E-2</v>
      </c>
      <c r="S15">
        <v>2.32924332599401</v>
      </c>
      <c r="T15">
        <v>0.569484178358872</v>
      </c>
      <c r="V15">
        <v>31.8700627218882</v>
      </c>
      <c r="X15">
        <v>15.3000992717497</v>
      </c>
      <c r="AA15">
        <v>0.18825417037856201</v>
      </c>
      <c r="AB15">
        <v>1.54478807697929E-2</v>
      </c>
      <c r="AJ15">
        <v>-1.0931378027599099</v>
      </c>
      <c r="AK15">
        <v>0.99096792119702604</v>
      </c>
      <c r="AL15">
        <v>1.03919021947225</v>
      </c>
      <c r="AM15">
        <v>4.5103059084291103E-2</v>
      </c>
      <c r="AN15">
        <v>-4.4055561567111899E-2</v>
      </c>
      <c r="AO15">
        <v>6.0764355340977398E-2</v>
      </c>
      <c r="AP15">
        <v>1.1678092324799601E-3</v>
      </c>
    </row>
    <row r="16" spans="1:42" x14ac:dyDescent="0.2">
      <c r="A16">
        <v>50</v>
      </c>
      <c r="B16">
        <v>736</v>
      </c>
      <c r="C16">
        <v>260</v>
      </c>
      <c r="D16">
        <v>0.30302779566962401</v>
      </c>
      <c r="E16">
        <v>0.58589652718172602</v>
      </c>
      <c r="F16">
        <v>3.5849844476519701</v>
      </c>
      <c r="G16">
        <v>-7.4799345344750989</v>
      </c>
      <c r="H16">
        <v>-6.3615843903018474</v>
      </c>
      <c r="I16">
        <v>1.1082100224676701</v>
      </c>
      <c r="J16">
        <v>0.65538226677409195</v>
      </c>
      <c r="K16">
        <v>0.163430702625632</v>
      </c>
      <c r="L16">
        <v>4.4285219387576526E-5</v>
      </c>
      <c r="M16">
        <v>9.1246239170109076E-7</v>
      </c>
      <c r="N16" s="1">
        <v>9.2604431867432401E-10</v>
      </c>
      <c r="O16" s="1">
        <v>1.6389845237934399E-13</v>
      </c>
      <c r="P16" s="1">
        <v>-1.63298081260754E-12</v>
      </c>
      <c r="Q16">
        <v>49.536124972423998</v>
      </c>
      <c r="R16">
        <v>1.8664336541129801E-2</v>
      </c>
      <c r="S16">
        <v>2.5448897175031902</v>
      </c>
      <c r="T16">
        <v>0.59222138458194495</v>
      </c>
      <c r="V16">
        <v>31.997966694935499</v>
      </c>
      <c r="X16">
        <v>15.1309322120195</v>
      </c>
      <c r="AA16">
        <v>0.16423152780522701</v>
      </c>
      <c r="AB16">
        <v>1.4969154189332E-2</v>
      </c>
      <c r="AJ16">
        <v>-1.10443251115444</v>
      </c>
      <c r="AK16">
        <v>0.992001925303022</v>
      </c>
      <c r="AL16">
        <v>1.0441082676512099</v>
      </c>
      <c r="AM16">
        <v>4.9801531694510397E-2</v>
      </c>
      <c r="AN16">
        <v>-4.8706238320982399E-2</v>
      </c>
      <c r="AO16">
        <v>6.6094595057237096E-2</v>
      </c>
      <c r="AP16">
        <v>1.13242976944006E-3</v>
      </c>
    </row>
    <row r="17" spans="1:42" x14ac:dyDescent="0.2">
      <c r="A17">
        <v>51</v>
      </c>
      <c r="B17">
        <v>734</v>
      </c>
      <c r="C17">
        <v>260</v>
      </c>
      <c r="D17">
        <v>0.30150474110112602</v>
      </c>
      <c r="E17">
        <v>0.61984993582678105</v>
      </c>
      <c r="F17">
        <v>3.5885735946638699</v>
      </c>
      <c r="G17">
        <v>-7.9029658126886666</v>
      </c>
      <c r="H17">
        <v>-6.7238654049607067</v>
      </c>
      <c r="I17">
        <v>1.1707296904413</v>
      </c>
      <c r="J17">
        <v>0.69292986698844605</v>
      </c>
      <c r="K17">
        <v>0.17272877913064999</v>
      </c>
      <c r="L17">
        <v>4.422808617728821E-5</v>
      </c>
      <c r="M17">
        <v>9.1239400134659433E-7</v>
      </c>
      <c r="N17" s="1">
        <v>1.0341017340105399E-9</v>
      </c>
      <c r="O17" s="1">
        <v>1.7353137252003001E-13</v>
      </c>
      <c r="P17" s="1">
        <v>-2.1553294924097899E-12</v>
      </c>
      <c r="Q17">
        <v>49.378949541308003</v>
      </c>
      <c r="R17">
        <v>1.93229520196532E-2</v>
      </c>
      <c r="S17">
        <v>2.7417112443636502</v>
      </c>
      <c r="T17">
        <v>0.61161279820223002</v>
      </c>
      <c r="V17">
        <v>32.111529299319798</v>
      </c>
      <c r="X17">
        <v>14.9762773461858</v>
      </c>
      <c r="AA17">
        <v>0.14604281669543701</v>
      </c>
      <c r="AB17">
        <v>1.45540019052305E-2</v>
      </c>
      <c r="AJ17">
        <v>-1.1144611167956999</v>
      </c>
      <c r="AK17">
        <v>0.99278906295443603</v>
      </c>
      <c r="AL17">
        <v>1.04848883532603</v>
      </c>
      <c r="AM17">
        <v>5.41122055900458E-2</v>
      </c>
      <c r="AN17">
        <v>-5.29775317364998E-2</v>
      </c>
      <c r="AO17">
        <v>7.0946812286426894E-2</v>
      </c>
      <c r="AP17">
        <v>1.1017323752599401E-3</v>
      </c>
    </row>
    <row r="18" spans="1:42" x14ac:dyDescent="0.2">
      <c r="A18">
        <v>52</v>
      </c>
      <c r="B18">
        <v>732</v>
      </c>
      <c r="C18">
        <v>260</v>
      </c>
      <c r="D18">
        <v>0.29997562552852802</v>
      </c>
      <c r="E18">
        <v>0.64430785402441204</v>
      </c>
      <c r="F18">
        <v>3.59193007127101</v>
      </c>
      <c r="G18">
        <v>-8.2046380874149367</v>
      </c>
      <c r="H18">
        <v>-6.9832062955406817</v>
      </c>
      <c r="I18">
        <v>1.2151736475891699</v>
      </c>
      <c r="J18">
        <v>0.71982405600433097</v>
      </c>
      <c r="K18">
        <v>0.17937650267128399</v>
      </c>
      <c r="L18">
        <v>4.4166996658792087E-5</v>
      </c>
      <c r="M18">
        <v>9.1230849375751399E-7</v>
      </c>
      <c r="N18" s="1">
        <v>1.1312671042866901E-9</v>
      </c>
      <c r="O18" s="1">
        <v>1.8030505888924401E-13</v>
      </c>
      <c r="P18" s="1">
        <v>-2.6415895181982901E-12</v>
      </c>
      <c r="Q18">
        <v>49.231357656882203</v>
      </c>
      <c r="R18">
        <v>1.9887686452964001E-2</v>
      </c>
      <c r="S18">
        <v>2.9277567383994798</v>
      </c>
      <c r="T18">
        <v>0.62890358975432903</v>
      </c>
      <c r="V18">
        <v>32.216155755177802</v>
      </c>
      <c r="X18">
        <v>14.8303769999038</v>
      </c>
      <c r="AA18">
        <v>0.13138289882635801</v>
      </c>
      <c r="AB18">
        <v>1.41786746029702E-2</v>
      </c>
      <c r="AJ18">
        <v>-1.12372850821012</v>
      </c>
      <c r="AK18">
        <v>0.99342678812985796</v>
      </c>
      <c r="AL18">
        <v>1.0525350993</v>
      </c>
      <c r="AM18">
        <v>5.82043036472462E-2</v>
      </c>
      <c r="AN18">
        <v>-5.7035768213304999E-2</v>
      </c>
      <c r="AO18">
        <v>7.5524122221500595E-2</v>
      </c>
      <c r="AP18">
        <v>1.07396312481671E-3</v>
      </c>
    </row>
    <row r="19" spans="1:42" x14ac:dyDescent="0.2">
      <c r="A19">
        <v>53</v>
      </c>
      <c r="B19">
        <v>730</v>
      </c>
      <c r="C19">
        <v>260</v>
      </c>
      <c r="D19">
        <v>0.29844041269999899</v>
      </c>
      <c r="E19">
        <v>0.66380718213600098</v>
      </c>
      <c r="F19">
        <v>3.59512853374821</v>
      </c>
      <c r="G19">
        <v>-8.4429808305399785</v>
      </c>
      <c r="H19">
        <v>-7.1888843747894837</v>
      </c>
      <c r="I19">
        <v>1.25015845661216</v>
      </c>
      <c r="J19">
        <v>0.74114794177527998</v>
      </c>
      <c r="K19">
        <v>0.18464073701529901</v>
      </c>
      <c r="L19">
        <v>4.410202866424944E-5</v>
      </c>
      <c r="M19">
        <v>9.1220678855542278E-7</v>
      </c>
      <c r="N19" s="1">
        <v>1.2239690769173399E-9</v>
      </c>
      <c r="O19" s="1">
        <v>1.8550661665506201E-13</v>
      </c>
      <c r="P19" s="1">
        <v>-3.101477001948E-12</v>
      </c>
      <c r="Q19">
        <v>49.090030044085502</v>
      </c>
      <c r="R19">
        <v>2.0383640551554401E-2</v>
      </c>
      <c r="S19">
        <v>3.1070396541262602</v>
      </c>
      <c r="T19">
        <v>0.64472005483239903</v>
      </c>
      <c r="V19">
        <v>32.314497096902599</v>
      </c>
      <c r="X19">
        <v>14.6903655536528</v>
      </c>
      <c r="AA19">
        <v>0.11913279543869</v>
      </c>
      <c r="AB19">
        <v>1.38311604101035E-2</v>
      </c>
      <c r="AJ19">
        <v>-1.13248365064106</v>
      </c>
      <c r="AK19">
        <v>0.99396243673234896</v>
      </c>
      <c r="AL19">
        <v>1.05634676971407</v>
      </c>
      <c r="AM19">
        <v>6.2162137584871997E-2</v>
      </c>
      <c r="AN19">
        <v>-6.0963782259330003E-2</v>
      </c>
      <c r="AO19">
        <v>7.9927854033365206E-2</v>
      </c>
      <c r="AP19">
        <v>1.0482348357287201E-3</v>
      </c>
    </row>
    <row r="20" spans="1:42" x14ac:dyDescent="0.2">
      <c r="A20">
        <v>54</v>
      </c>
      <c r="B20">
        <v>728</v>
      </c>
      <c r="C20">
        <v>260</v>
      </c>
      <c r="D20">
        <v>0.29689906607401501</v>
      </c>
      <c r="E20">
        <v>0.68036367592835401</v>
      </c>
      <c r="F20">
        <v>3.5982119847665102</v>
      </c>
      <c r="G20">
        <v>-8.643751352622207</v>
      </c>
      <c r="H20">
        <v>-7.3627680262342823</v>
      </c>
      <c r="I20">
        <v>1.2795118877170399</v>
      </c>
      <c r="J20">
        <v>0.75915943211604198</v>
      </c>
      <c r="K20">
        <v>0.18908382241200899</v>
      </c>
      <c r="L20">
        <v>4.4033214536503508E-5</v>
      </c>
      <c r="M20">
        <v>9.1208974760631846E-7</v>
      </c>
      <c r="N20" s="1">
        <v>1.3151114988658399E-9</v>
      </c>
      <c r="O20" s="1">
        <v>1.8971346809418501E-13</v>
      </c>
      <c r="P20" s="1">
        <v>-3.54034981796338E-12</v>
      </c>
      <c r="Q20">
        <v>48.953039906896997</v>
      </c>
      <c r="R20">
        <v>2.0825760263762001E-2</v>
      </c>
      <c r="S20">
        <v>3.28189390558145</v>
      </c>
      <c r="T20">
        <v>0.65942904574108896</v>
      </c>
      <c r="V20">
        <v>32.408068663021297</v>
      </c>
      <c r="X20">
        <v>14.554587272204699</v>
      </c>
      <c r="AA20">
        <v>0.108650997754819</v>
      </c>
      <c r="AB20">
        <v>1.35044485356276E-2</v>
      </c>
      <c r="AJ20">
        <v>-1.1408699840191601</v>
      </c>
      <c r="AK20">
        <v>0.99442315279697102</v>
      </c>
      <c r="AL20">
        <v>1.0599808370388799</v>
      </c>
      <c r="AM20">
        <v>6.6034703725447702E-2</v>
      </c>
      <c r="AN20">
        <v>-6.4809691341487105E-2</v>
      </c>
      <c r="AO20">
        <v>8.42169520329525E-2</v>
      </c>
      <c r="AP20">
        <v>1.02402976639144E-3</v>
      </c>
    </row>
    <row r="21" spans="1:42" x14ac:dyDescent="0.2">
      <c r="A21">
        <v>63</v>
      </c>
      <c r="B21">
        <v>744</v>
      </c>
      <c r="C21">
        <v>240</v>
      </c>
      <c r="D21">
        <v>0.33068918055350899</v>
      </c>
      <c r="E21">
        <v>0.187956309158305</v>
      </c>
      <c r="F21">
        <v>3.57850227404843</v>
      </c>
      <c r="G21">
        <v>-2.4026554900670734</v>
      </c>
      <c r="H21">
        <v>-2.0392852176879956</v>
      </c>
      <c r="I21">
        <v>0.35724354557250898</v>
      </c>
      <c r="J21">
        <v>0.210248428494789</v>
      </c>
      <c r="K21">
        <v>5.2523736123175999E-2</v>
      </c>
      <c r="L21">
        <v>4.4403523852896291E-5</v>
      </c>
      <c r="M21">
        <v>9.1372219209318163E-7</v>
      </c>
      <c r="N21" s="1">
        <v>2.5920707342236699E-10</v>
      </c>
      <c r="O21" s="1">
        <v>5.1298960102385699E-14</v>
      </c>
      <c r="P21" s="1">
        <v>-7.3953750711776305E-14</v>
      </c>
      <c r="Q21">
        <v>49.902110785718598</v>
      </c>
      <c r="R21">
        <v>1.24493819198241E-2</v>
      </c>
      <c r="S21">
        <v>1.95265456947442</v>
      </c>
      <c r="T21">
        <v>0.560844785997338</v>
      </c>
      <c r="V21">
        <v>32.000900344230899</v>
      </c>
      <c r="X21">
        <v>15.3151387924267</v>
      </c>
      <c r="AA21">
        <v>0.24019377072555601</v>
      </c>
      <c r="AB21">
        <v>1.5707569506521E-2</v>
      </c>
      <c r="AJ21">
        <v>-1.0870689091821799</v>
      </c>
      <c r="AK21">
        <v>0.98877044213125198</v>
      </c>
      <c r="AL21">
        <v>1.0442081647622901</v>
      </c>
      <c r="AM21">
        <v>3.6434839466071102E-2</v>
      </c>
      <c r="AN21">
        <v>-3.5704260055679199E-2</v>
      </c>
      <c r="AO21">
        <v>5.2171426589891101E-2</v>
      </c>
      <c r="AP21">
        <v>1.1882962883578499E-3</v>
      </c>
    </row>
    <row r="22" spans="1:42" x14ac:dyDescent="0.2">
      <c r="A22">
        <v>64</v>
      </c>
      <c r="B22">
        <v>742</v>
      </c>
      <c r="C22">
        <v>240</v>
      </c>
      <c r="D22">
        <v>0.32923262572033701</v>
      </c>
      <c r="E22">
        <v>0.45624181377034301</v>
      </c>
      <c r="F22">
        <v>3.57096886320707</v>
      </c>
      <c r="G22">
        <v>-5.8651427858806127</v>
      </c>
      <c r="H22">
        <v>-4.9846929620709624</v>
      </c>
      <c r="I22">
        <v>0.86731007615588795</v>
      </c>
      <c r="J22">
        <v>0.51205318593916005</v>
      </c>
      <c r="K22">
        <v>0.127764153440585</v>
      </c>
      <c r="L22">
        <v>4.4379072240204686E-5</v>
      </c>
      <c r="M22">
        <v>9.1116544865410423E-7</v>
      </c>
      <c r="N22" s="1">
        <v>6.2245985165790496E-10</v>
      </c>
      <c r="O22" s="1">
        <v>1.28567085307187E-13</v>
      </c>
      <c r="P22" s="1">
        <v>-4.8792561462691098E-13</v>
      </c>
      <c r="Q22">
        <v>49.968521435653102</v>
      </c>
      <c r="R22">
        <v>1.74624581749512E-2</v>
      </c>
      <c r="S22">
        <v>2.1288488357741802</v>
      </c>
      <c r="T22">
        <v>0.54458882519451801</v>
      </c>
      <c r="V22">
        <v>31.385429350210099</v>
      </c>
      <c r="X22">
        <v>15.729843832147701</v>
      </c>
      <c r="AA22">
        <v>0.20979513618182</v>
      </c>
      <c r="AB22">
        <v>1.55101266634474E-2</v>
      </c>
      <c r="AJ22">
        <v>-1.0687191488129799</v>
      </c>
      <c r="AK22">
        <v>0.99008868993013499</v>
      </c>
      <c r="AL22">
        <v>1.02077766473141</v>
      </c>
      <c r="AM22">
        <v>4.0745662728589503E-2</v>
      </c>
      <c r="AN22">
        <v>-3.9724245416533299E-2</v>
      </c>
      <c r="AO22">
        <v>5.5661852425076201E-2</v>
      </c>
      <c r="AP22">
        <v>1.1695244142996E-3</v>
      </c>
    </row>
    <row r="23" spans="1:42" x14ac:dyDescent="0.2">
      <c r="A23">
        <v>65</v>
      </c>
      <c r="B23">
        <v>740</v>
      </c>
      <c r="C23">
        <v>240</v>
      </c>
      <c r="D23">
        <v>0.32777032028821201</v>
      </c>
      <c r="E23">
        <v>0.53756832325281401</v>
      </c>
      <c r="F23">
        <v>3.57492020436352</v>
      </c>
      <c r="G23">
        <v>-6.9008008569647128</v>
      </c>
      <c r="H23">
        <v>-5.866962422026134</v>
      </c>
      <c r="I23">
        <v>1.0204199130815499</v>
      </c>
      <c r="J23">
        <v>0.60299302252888398</v>
      </c>
      <c r="K23">
        <v>0.150372118123549</v>
      </c>
      <c r="L23">
        <v>4.4340920241529252E-5</v>
      </c>
      <c r="M23">
        <v>9.1116352498228673E-7</v>
      </c>
      <c r="N23" s="1">
        <v>7.7508878891711299E-10</v>
      </c>
      <c r="O23" s="1">
        <v>1.5224610018712399E-13</v>
      </c>
      <c r="P23" s="1">
        <v>-1.0262487156660599E-12</v>
      </c>
      <c r="Q23">
        <v>49.795197029651199</v>
      </c>
      <c r="R23">
        <v>1.8431472277655299E-2</v>
      </c>
      <c r="S23">
        <v>2.3454372915534898</v>
      </c>
      <c r="T23">
        <v>0.56787079855868305</v>
      </c>
      <c r="V23">
        <v>31.511439709996001</v>
      </c>
      <c r="X23">
        <v>15.5647874634454</v>
      </c>
      <c r="AA23">
        <v>0.18183020536009301</v>
      </c>
      <c r="AB23">
        <v>1.50060291573605E-2</v>
      </c>
      <c r="AJ23">
        <v>-1.08008460826474</v>
      </c>
      <c r="AK23">
        <v>0.99128589735015904</v>
      </c>
      <c r="AL23">
        <v>1.0255882757383601</v>
      </c>
      <c r="AM23">
        <v>4.5447622488084802E-2</v>
      </c>
      <c r="AN23">
        <v>-4.4368776179798002E-2</v>
      </c>
      <c r="AO23">
        <v>6.0999289015626901E-2</v>
      </c>
      <c r="AP23">
        <v>1.1322998523037599E-3</v>
      </c>
    </row>
    <row r="24" spans="1:42" x14ac:dyDescent="0.2">
      <c r="A24">
        <v>66</v>
      </c>
      <c r="B24">
        <v>738</v>
      </c>
      <c r="C24">
        <v>240</v>
      </c>
      <c r="D24">
        <v>0.326302230134007</v>
      </c>
      <c r="E24">
        <v>0.57974942849758204</v>
      </c>
      <c r="F24">
        <v>3.57859373618192</v>
      </c>
      <c r="G24">
        <v>-7.4320354259442407</v>
      </c>
      <c r="H24">
        <v>-6.3208938666137211</v>
      </c>
      <c r="I24">
        <v>1.09888894756516</v>
      </c>
      <c r="J24">
        <v>0.64991521238963701</v>
      </c>
      <c r="K24">
        <v>0.162004818439135</v>
      </c>
      <c r="L24">
        <v>4.4297619422505163E-5</v>
      </c>
      <c r="M24">
        <v>9.1117400496178547E-7</v>
      </c>
      <c r="N24" s="1">
        <v>8.8057882000982297E-10</v>
      </c>
      <c r="O24" s="1">
        <v>1.6461670809693199E-13</v>
      </c>
      <c r="P24" s="1">
        <v>-1.5269248991879701E-12</v>
      </c>
      <c r="Q24">
        <v>49.637658627447202</v>
      </c>
      <c r="R24">
        <v>1.9148309319794402E-2</v>
      </c>
      <c r="S24">
        <v>2.5398828779163898</v>
      </c>
      <c r="T24">
        <v>0.58779529137820197</v>
      </c>
      <c r="V24">
        <v>31.631970767690898</v>
      </c>
      <c r="X24">
        <v>15.407884000121999</v>
      </c>
      <c r="AA24">
        <v>0.16108305988910099</v>
      </c>
      <c r="AB24">
        <v>1.4577066236260899E-2</v>
      </c>
      <c r="AJ24">
        <v>-1.0903929284815701</v>
      </c>
      <c r="AK24">
        <v>0.99217811078248697</v>
      </c>
      <c r="AL24">
        <v>1.0302028120672</v>
      </c>
      <c r="AM24">
        <v>4.9685753466060301E-2</v>
      </c>
      <c r="AN24">
        <v>-4.85641956516649E-2</v>
      </c>
      <c r="AO24">
        <v>6.5789776952704104E-2</v>
      </c>
      <c r="AP24">
        <v>1.10067086478332E-3</v>
      </c>
    </row>
    <row r="25" spans="1:42" x14ac:dyDescent="0.2">
      <c r="A25">
        <v>67</v>
      </c>
      <c r="B25">
        <v>736</v>
      </c>
      <c r="C25">
        <v>240</v>
      </c>
      <c r="D25">
        <v>0.32482832086409602</v>
      </c>
      <c r="E25">
        <v>0.60792228100550505</v>
      </c>
      <c r="F25">
        <v>3.5819918114901199</v>
      </c>
      <c r="G25">
        <v>-7.7832232241212758</v>
      </c>
      <c r="H25">
        <v>-6.6220611826110174</v>
      </c>
      <c r="I25">
        <v>1.1506337427639699</v>
      </c>
      <c r="J25">
        <v>0.68109071666905896</v>
      </c>
      <c r="K25">
        <v>0.16971626765182499</v>
      </c>
      <c r="L25">
        <v>4.4249875154317154E-5</v>
      </c>
      <c r="M25">
        <v>9.1115994316882957E-7</v>
      </c>
      <c r="N25" s="1">
        <v>9.7031179444626003E-10</v>
      </c>
      <c r="O25" s="1">
        <v>1.7282338317566899E-13</v>
      </c>
      <c r="P25" s="1">
        <v>-1.99722138335825E-12</v>
      </c>
      <c r="Q25">
        <v>49.491481360579598</v>
      </c>
      <c r="R25">
        <v>1.9754156706311001E-2</v>
      </c>
      <c r="S25">
        <v>2.7215201089857</v>
      </c>
      <c r="T25">
        <v>0.60527825547079905</v>
      </c>
      <c r="V25">
        <v>31.7418185898674</v>
      </c>
      <c r="X25">
        <v>15.2613441753612</v>
      </c>
      <c r="AA25">
        <v>0.14460735468045499</v>
      </c>
      <c r="AB25">
        <v>1.41959983484538E-2</v>
      </c>
      <c r="AJ25">
        <v>-1.0997943442571301</v>
      </c>
      <c r="AK25">
        <v>0.99288994167031797</v>
      </c>
      <c r="AL25">
        <v>1.0344196558361101</v>
      </c>
      <c r="AM25">
        <v>5.3663290741569197E-2</v>
      </c>
      <c r="AN25">
        <v>-5.2505531638077502E-2</v>
      </c>
      <c r="AO25">
        <v>7.0254427237295497E-2</v>
      </c>
      <c r="AP25">
        <v>1.07256040992208E-3</v>
      </c>
    </row>
    <row r="26" spans="1:42" x14ac:dyDescent="0.2">
      <c r="A26">
        <v>68</v>
      </c>
      <c r="B26">
        <v>734</v>
      </c>
      <c r="C26">
        <v>240</v>
      </c>
      <c r="D26">
        <v>0.32334855781164801</v>
      </c>
      <c r="E26">
        <v>0.62935832818523396</v>
      </c>
      <c r="F26">
        <v>3.5852107468383201</v>
      </c>
      <c r="G26">
        <v>-8.0478894278146225</v>
      </c>
      <c r="H26">
        <v>-6.849878407434753</v>
      </c>
      <c r="I26">
        <v>1.1895060521073</v>
      </c>
      <c r="J26">
        <v>0.70468689527116901</v>
      </c>
      <c r="K26">
        <v>0.175542910201372</v>
      </c>
      <c r="L26">
        <v>4.4197981535181255E-5</v>
      </c>
      <c r="M26">
        <v>9.1112447193734814E-7</v>
      </c>
      <c r="N26" s="1">
        <v>1.05381517041979E-9</v>
      </c>
      <c r="O26" s="1">
        <v>1.78938373261684E-13</v>
      </c>
      <c r="P26" s="1">
        <v>-2.44514968120121E-12</v>
      </c>
      <c r="Q26">
        <v>49.352447126414397</v>
      </c>
      <c r="R26">
        <v>2.02817779609769E-2</v>
      </c>
      <c r="S26">
        <v>2.8953839690663701</v>
      </c>
      <c r="T26">
        <v>0.62111634968682905</v>
      </c>
      <c r="V26">
        <v>31.844503765163601</v>
      </c>
      <c r="X26">
        <v>15.121456144405</v>
      </c>
      <c r="AA26">
        <v>0.13096416663184199</v>
      </c>
      <c r="AB26">
        <v>1.3846700670822601E-2</v>
      </c>
      <c r="AJ26">
        <v>-1.1086091903035</v>
      </c>
      <c r="AK26">
        <v>0.99348215367230597</v>
      </c>
      <c r="AL26">
        <v>1.03837062501222</v>
      </c>
      <c r="AM26">
        <v>5.7485696803808203E-2</v>
      </c>
      <c r="AN26">
        <v>-5.6296322140385401E-2</v>
      </c>
      <c r="AO26">
        <v>7.45202577778976E-2</v>
      </c>
      <c r="AP26">
        <v>1.04677917765198E-3</v>
      </c>
    </row>
    <row r="27" spans="1:42" x14ac:dyDescent="0.2">
      <c r="A27">
        <v>69</v>
      </c>
      <c r="B27">
        <v>732</v>
      </c>
      <c r="C27">
        <v>240</v>
      </c>
      <c r="D27">
        <v>0.32186290603392398</v>
      </c>
      <c r="E27">
        <v>0.64698506722500304</v>
      </c>
      <c r="F27">
        <v>3.5883032324280202</v>
      </c>
      <c r="G27">
        <v>-8.2636514677101989</v>
      </c>
      <c r="H27">
        <v>-7.0362808992735282</v>
      </c>
      <c r="I27">
        <v>1.2210819961564601</v>
      </c>
      <c r="J27">
        <v>0.72399139568847404</v>
      </c>
      <c r="K27">
        <v>0.18030390000992699</v>
      </c>
      <c r="L27">
        <v>4.4142081984962214E-5</v>
      </c>
      <c r="M27">
        <v>9.1106956655269162E-7</v>
      </c>
      <c r="N27" s="1">
        <v>1.1349983009441799E-9</v>
      </c>
      <c r="O27" s="1">
        <v>1.8380375194326799E-13</v>
      </c>
      <c r="P27" s="1">
        <v>-2.8755329738396599E-12</v>
      </c>
      <c r="Q27">
        <v>49.218235640715498</v>
      </c>
      <c r="R27">
        <v>2.0749631559387499E-2</v>
      </c>
      <c r="S27">
        <v>3.0642499285203102</v>
      </c>
      <c r="T27">
        <v>0.63575194767913501</v>
      </c>
      <c r="V27">
        <v>31.9419401007586</v>
      </c>
      <c r="X27">
        <v>14.9861924178833</v>
      </c>
      <c r="AA27">
        <v>0.119359981716138</v>
      </c>
      <c r="AB27">
        <v>1.3520351167480999E-2</v>
      </c>
      <c r="AJ27">
        <v>-1.11701306927382</v>
      </c>
      <c r="AK27">
        <v>0.99398824991181001</v>
      </c>
      <c r="AL27">
        <v>1.0421273444883301</v>
      </c>
      <c r="AM27">
        <v>6.1211065638316201E-2</v>
      </c>
      <c r="AN27">
        <v>-5.9993577773792703E-2</v>
      </c>
      <c r="AO27">
        <v>7.8657310370040201E-2</v>
      </c>
      <c r="AP27">
        <v>1.0226766391193401E-3</v>
      </c>
    </row>
    <row r="28" spans="1:42" x14ac:dyDescent="0.2">
      <c r="A28">
        <v>77</v>
      </c>
      <c r="B28">
        <v>746</v>
      </c>
      <c r="C28">
        <v>220</v>
      </c>
      <c r="D28">
        <v>0.35372663494088302</v>
      </c>
      <c r="E28">
        <v>0.38776407012812802</v>
      </c>
      <c r="F28">
        <v>3.5664065334925299</v>
      </c>
      <c r="G28">
        <v>-4.9967045275016577</v>
      </c>
      <c r="H28">
        <v>-4.2433442252891638</v>
      </c>
      <c r="I28">
        <v>0.73920453536034403</v>
      </c>
      <c r="J28">
        <v>0.43565591695315697</v>
      </c>
      <c r="K28">
        <v>0.10872682810739299</v>
      </c>
      <c r="L28">
        <v>4.4397404673975911E-5</v>
      </c>
      <c r="M28">
        <v>9.1075789125350538E-7</v>
      </c>
      <c r="N28" s="1">
        <v>5.0528641404674204E-10</v>
      </c>
      <c r="O28" s="1">
        <v>1.09116228529233E-13</v>
      </c>
      <c r="P28" s="1">
        <v>-1.4871544155612399E-13</v>
      </c>
      <c r="Q28">
        <v>50.089385102847302</v>
      </c>
      <c r="R28">
        <v>1.5495831586231201E-2</v>
      </c>
      <c r="S28">
        <v>1.9975758880782399</v>
      </c>
      <c r="T28">
        <v>0.54243069056964999</v>
      </c>
      <c r="V28">
        <v>31.225888768935999</v>
      </c>
      <c r="X28">
        <v>15.889072311176999</v>
      </c>
      <c r="AA28">
        <v>0.224809331396922</v>
      </c>
      <c r="AB28">
        <v>1.5342075408577601E-2</v>
      </c>
      <c r="AJ28">
        <v>-1.0589613388015899</v>
      </c>
      <c r="AK28">
        <v>0.98948420838933404</v>
      </c>
      <c r="AL28">
        <v>1.0147722706639499</v>
      </c>
      <c r="AM28">
        <v>3.7687251427974702E-2</v>
      </c>
      <c r="AN28">
        <v>-3.6781595109324203E-2</v>
      </c>
      <c r="AO28">
        <v>5.2643280818452598E-2</v>
      </c>
      <c r="AP28">
        <v>1.15592261119971E-3</v>
      </c>
    </row>
    <row r="29" spans="1:42" x14ac:dyDescent="0.2">
      <c r="A29">
        <v>78</v>
      </c>
      <c r="B29">
        <v>744</v>
      </c>
      <c r="C29">
        <v>220</v>
      </c>
      <c r="D29">
        <v>0.352318242147177</v>
      </c>
      <c r="E29">
        <v>0.48476927739111703</v>
      </c>
      <c r="F29">
        <v>3.5640396045303699</v>
      </c>
      <c r="G29">
        <v>-6.2609906930417303</v>
      </c>
      <c r="H29">
        <v>-5.3215658864362823</v>
      </c>
      <c r="I29">
        <v>0.92358531839497404</v>
      </c>
      <c r="J29">
        <v>0.54538833557120703</v>
      </c>
      <c r="K29">
        <v>0.13601680429558299</v>
      </c>
      <c r="L29">
        <v>4.4361335287248172E-5</v>
      </c>
      <c r="M29">
        <v>9.094706491619189E-7</v>
      </c>
      <c r="N29" s="1">
        <v>6.4431703751433596E-10</v>
      </c>
      <c r="O29" s="1">
        <v>1.3901211980483099E-13</v>
      </c>
      <c r="P29" s="1">
        <v>-5.1159442143301602E-13</v>
      </c>
      <c r="Q29">
        <v>50.061766682014301</v>
      </c>
      <c r="R29">
        <v>1.8670528974311498E-2</v>
      </c>
      <c r="S29">
        <v>2.1625573945966701</v>
      </c>
      <c r="T29">
        <v>0.54206080452333605</v>
      </c>
      <c r="V29">
        <v>30.959857392058101</v>
      </c>
      <c r="X29">
        <v>16.0396995968105</v>
      </c>
      <c r="AA29">
        <v>0.20031968047707999</v>
      </c>
      <c r="AB29">
        <v>1.5067920545540099E-2</v>
      </c>
      <c r="AJ29">
        <v>-1.05373468565677</v>
      </c>
      <c r="AK29">
        <v>0.99053774202015299</v>
      </c>
      <c r="AL29">
        <v>1.00471901460997</v>
      </c>
      <c r="AM29">
        <v>4.1515560484772202E-2</v>
      </c>
      <c r="AN29">
        <v>-4.04258853437965E-2</v>
      </c>
      <c r="AO29">
        <v>5.6254575531539203E-2</v>
      </c>
      <c r="AP29">
        <v>1.13367835412513E-3</v>
      </c>
    </row>
    <row r="30" spans="1:42" x14ac:dyDescent="0.2">
      <c r="A30">
        <v>79</v>
      </c>
      <c r="B30">
        <v>742</v>
      </c>
      <c r="C30">
        <v>220</v>
      </c>
      <c r="D30">
        <v>0.35090429985716198</v>
      </c>
      <c r="E30">
        <v>0.540555106737449</v>
      </c>
      <c r="F30">
        <v>3.5689005262823899</v>
      </c>
      <c r="G30">
        <v>-6.9669653176129378</v>
      </c>
      <c r="H30">
        <v>-5.9231717388908898</v>
      </c>
      <c r="I30">
        <v>1.0282161047353</v>
      </c>
      <c r="J30">
        <v>0.60759123777156498</v>
      </c>
      <c r="K30">
        <v>0.151462643118419</v>
      </c>
      <c r="L30">
        <v>4.4333029730773077E-5</v>
      </c>
      <c r="M30">
        <v>9.0980163905777725E-7</v>
      </c>
      <c r="N30" s="1">
        <v>7.5758104249520403E-10</v>
      </c>
      <c r="O30" s="1">
        <v>1.5534975374522799E-13</v>
      </c>
      <c r="P30" s="1">
        <v>-9.9134161525485396E-13</v>
      </c>
      <c r="Q30">
        <v>49.878428836288002</v>
      </c>
      <c r="R30">
        <v>1.9045026125818001E-2</v>
      </c>
      <c r="S30">
        <v>2.36355991429705</v>
      </c>
      <c r="T30">
        <v>0.56675844688471799</v>
      </c>
      <c r="V30">
        <v>31.155972969052701</v>
      </c>
      <c r="X30">
        <v>15.8255961393688</v>
      </c>
      <c r="AA30">
        <v>0.17605947915890099</v>
      </c>
      <c r="AB30">
        <v>1.4579188823927801E-2</v>
      </c>
      <c r="AJ30">
        <v>-1.0672296600886999</v>
      </c>
      <c r="AK30">
        <v>0.99157420030826704</v>
      </c>
      <c r="AL30">
        <v>1.0121604365483099</v>
      </c>
      <c r="AM30">
        <v>4.5829433654577797E-2</v>
      </c>
      <c r="AN30">
        <v>-4.4716717578079102E-2</v>
      </c>
      <c r="AO30">
        <v>6.1284231500561802E-2</v>
      </c>
      <c r="AP30">
        <v>1.09807565506025E-3</v>
      </c>
    </row>
    <row r="31" spans="1:42" x14ac:dyDescent="0.2">
      <c r="A31">
        <v>80</v>
      </c>
      <c r="B31">
        <v>740</v>
      </c>
      <c r="C31">
        <v>220</v>
      </c>
      <c r="D31">
        <v>0.34948477520604299</v>
      </c>
      <c r="E31">
        <v>0.57302237266365297</v>
      </c>
      <c r="F31">
        <v>3.5723194717731102</v>
      </c>
      <c r="G31">
        <v>-7.3757240983680683</v>
      </c>
      <c r="H31">
        <v>-6.272999725636379</v>
      </c>
      <c r="I31">
        <v>1.0884117581125099</v>
      </c>
      <c r="J31">
        <v>0.64371310592110698</v>
      </c>
      <c r="K31">
        <v>0.16040625067030601</v>
      </c>
      <c r="L31">
        <v>4.4297941567171961E-5</v>
      </c>
      <c r="M31">
        <v>9.0986242013682008E-7</v>
      </c>
      <c r="N31" s="1">
        <v>8.4093042269228204E-10</v>
      </c>
      <c r="O31" s="1">
        <v>1.6513032151469901E-13</v>
      </c>
      <c r="P31" s="1">
        <v>-1.43311570029981E-12</v>
      </c>
      <c r="Q31">
        <v>49.734354154571101</v>
      </c>
      <c r="R31">
        <v>1.9688710469015099E-2</v>
      </c>
      <c r="S31">
        <v>2.5401487860535799</v>
      </c>
      <c r="T31">
        <v>0.584304060281436</v>
      </c>
      <c r="V31">
        <v>31.270131378296501</v>
      </c>
      <c r="X31">
        <v>15.679312384561699</v>
      </c>
      <c r="AA31">
        <v>0.15786642924754399</v>
      </c>
      <c r="AB31">
        <v>1.4194096519068999E-2</v>
      </c>
      <c r="AJ31">
        <v>-1.0767085074178899</v>
      </c>
      <c r="AK31">
        <v>0.99235557903793203</v>
      </c>
      <c r="AL31">
        <v>1.01651184254299</v>
      </c>
      <c r="AM31">
        <v>4.9680122879460997E-2</v>
      </c>
      <c r="AN31">
        <v>-4.85290713663276E-2</v>
      </c>
      <c r="AO31">
        <v>6.5620286642264603E-2</v>
      </c>
      <c r="AP31">
        <v>1.0697476815683599E-3</v>
      </c>
    </row>
    <row r="32" spans="1:42" x14ac:dyDescent="0.2">
      <c r="A32">
        <v>81</v>
      </c>
      <c r="B32">
        <v>738</v>
      </c>
      <c r="C32">
        <v>220</v>
      </c>
      <c r="D32">
        <v>0.34805963506898102</v>
      </c>
      <c r="E32">
        <v>0.59661154310261</v>
      </c>
      <c r="F32">
        <v>3.5755403426573098</v>
      </c>
      <c r="G32">
        <v>-7.6698298998465386</v>
      </c>
      <c r="H32">
        <v>-6.5256066716322394</v>
      </c>
      <c r="I32">
        <v>1.13160582328467</v>
      </c>
      <c r="J32">
        <v>0.66982831948995303</v>
      </c>
      <c r="K32">
        <v>0.16685912783163101</v>
      </c>
      <c r="L32">
        <v>4.4258448690010902E-5</v>
      </c>
      <c r="M32">
        <v>9.0989614999220049E-7</v>
      </c>
      <c r="N32" s="1">
        <v>9.1590721699995904E-10</v>
      </c>
      <c r="O32" s="1">
        <v>1.7219280684301401E-13</v>
      </c>
      <c r="P32" s="1">
        <v>-1.8589414075207E-12</v>
      </c>
      <c r="Q32">
        <v>49.598198090710099</v>
      </c>
      <c r="R32">
        <v>2.02449319000206E-2</v>
      </c>
      <c r="S32">
        <v>2.7080928669256901</v>
      </c>
      <c r="T32">
        <v>0.60005051967963896</v>
      </c>
      <c r="V32">
        <v>31.376307075566601</v>
      </c>
      <c r="X32">
        <v>15.540363723554201</v>
      </c>
      <c r="AA32">
        <v>0.14289795424899099</v>
      </c>
      <c r="AB32">
        <v>1.38448374146973E-2</v>
      </c>
      <c r="AJ32">
        <v>-1.08553371938674</v>
      </c>
      <c r="AK32">
        <v>0.99300114438096998</v>
      </c>
      <c r="AL32">
        <v>1.0205684695294399</v>
      </c>
      <c r="AM32">
        <v>5.3357839825485101E-2</v>
      </c>
      <c r="AN32">
        <v>-5.2173568017109401E-2</v>
      </c>
      <c r="AO32">
        <v>6.9735789088071098E-2</v>
      </c>
      <c r="AP32">
        <v>1.0440445798777301E-3</v>
      </c>
    </row>
    <row r="33" spans="1:42" x14ac:dyDescent="0.2">
      <c r="A33">
        <v>82</v>
      </c>
      <c r="B33">
        <v>736</v>
      </c>
      <c r="C33">
        <v>220</v>
      </c>
      <c r="D33">
        <v>0.34662884605856398</v>
      </c>
      <c r="E33">
        <v>0.615410066058237</v>
      </c>
      <c r="F33">
        <v>3.5786250150829901</v>
      </c>
      <c r="G33">
        <v>-7.9020953699993246</v>
      </c>
      <c r="H33">
        <v>-6.7258219144961666</v>
      </c>
      <c r="I33">
        <v>1.16560814101288</v>
      </c>
      <c r="J33">
        <v>0.69053852929379</v>
      </c>
      <c r="K33">
        <v>0.17196830164223401</v>
      </c>
      <c r="L33">
        <v>4.4214836853783326E-5</v>
      </c>
      <c r="M33">
        <v>9.0990638243992925E-7</v>
      </c>
      <c r="N33" s="1">
        <v>9.8763036167786802E-10</v>
      </c>
      <c r="O33" s="1">
        <v>1.77717793002999E-13</v>
      </c>
      <c r="P33" s="1">
        <v>-2.2717130273214201E-12</v>
      </c>
      <c r="Q33">
        <v>49.467274118281303</v>
      </c>
      <c r="R33">
        <v>2.07357446496193E-2</v>
      </c>
      <c r="S33">
        <v>2.8705652162911299</v>
      </c>
      <c r="T33">
        <v>0.61451212882022099</v>
      </c>
      <c r="V33">
        <v>31.476808153904901</v>
      </c>
      <c r="X33">
        <v>15.406363076759201</v>
      </c>
      <c r="AA33">
        <v>0.130220943335637</v>
      </c>
      <c r="AB33">
        <v>1.35206179577854E-2</v>
      </c>
      <c r="AJ33">
        <v>-1.09391113757261</v>
      </c>
      <c r="AK33">
        <v>0.99355022283837102</v>
      </c>
      <c r="AL33">
        <v>1.02441630680422</v>
      </c>
      <c r="AM33">
        <v>5.6928785542645903E-2</v>
      </c>
      <c r="AN33">
        <v>-5.5715116755938397E-2</v>
      </c>
      <c r="AO33">
        <v>7.3710767611026795E-2</v>
      </c>
      <c r="AP33">
        <v>1.02017153227825E-3</v>
      </c>
    </row>
    <row r="34" spans="1:42" x14ac:dyDescent="0.2">
      <c r="A34">
        <v>83</v>
      </c>
      <c r="B34">
        <v>734</v>
      </c>
      <c r="C34">
        <v>220</v>
      </c>
      <c r="D34">
        <v>0.345192374522167</v>
      </c>
      <c r="E34">
        <v>0.631305300210383</v>
      </c>
      <c r="F34">
        <v>3.5816103482697699</v>
      </c>
      <c r="G34">
        <v>-8.0968850793025045</v>
      </c>
      <c r="H34">
        <v>-6.894323391085603</v>
      </c>
      <c r="I34">
        <v>1.19402441365923</v>
      </c>
      <c r="J34">
        <v>0.70796812148449295</v>
      </c>
      <c r="K34">
        <v>0.17626297637747099</v>
      </c>
      <c r="L34">
        <v>4.4167256490187358E-5</v>
      </c>
      <c r="M34">
        <v>9.098953891905539E-7</v>
      </c>
      <c r="N34" s="1">
        <v>1.0585004826195299E-9</v>
      </c>
      <c r="O34" s="1">
        <v>1.82254910863602E-13</v>
      </c>
      <c r="P34" s="1">
        <v>-2.67354399216882E-12</v>
      </c>
      <c r="Q34">
        <v>49.339973509015699</v>
      </c>
      <c r="R34">
        <v>2.11746699901229E-2</v>
      </c>
      <c r="S34">
        <v>3.02947256868493</v>
      </c>
      <c r="T34">
        <v>0.62799963763328104</v>
      </c>
      <c r="V34">
        <v>31.573000316568098</v>
      </c>
      <c r="X34">
        <v>15.2758966428698</v>
      </c>
      <c r="AA34">
        <v>0.119267579562871</v>
      </c>
      <c r="AB34">
        <v>1.3215075675052399E-2</v>
      </c>
      <c r="AJ34">
        <v>-1.10196393847578</v>
      </c>
      <c r="AK34">
        <v>0.99402673158711197</v>
      </c>
      <c r="AL34">
        <v>1.0281061876047299</v>
      </c>
      <c r="AM34">
        <v>6.0432723895051901E-2</v>
      </c>
      <c r="AN34">
        <v>-5.91926901027248E-2</v>
      </c>
      <c r="AO34">
        <v>7.7593325315899797E-2</v>
      </c>
      <c r="AP34">
        <v>9.9766017570853001E-4</v>
      </c>
    </row>
    <row r="35" spans="1:42" x14ac:dyDescent="0.2">
      <c r="A35">
        <v>89</v>
      </c>
      <c r="B35">
        <v>750</v>
      </c>
      <c r="C35">
        <v>200</v>
      </c>
      <c r="D35">
        <v>0.37802912573913899</v>
      </c>
      <c r="E35">
        <v>0.32477631883058999</v>
      </c>
      <c r="F35">
        <v>3.56168541224431</v>
      </c>
      <c r="G35">
        <v>-4.1961945433320942</v>
      </c>
      <c r="H35">
        <v>-3.5609240717366761</v>
      </c>
      <c r="I35">
        <v>0.62089671269649405</v>
      </c>
      <c r="J35">
        <v>0.365337605989488</v>
      </c>
      <c r="K35">
        <v>9.1186132754475999E-2</v>
      </c>
      <c r="L35">
        <v>4.4404762769788796E-5</v>
      </c>
      <c r="M35">
        <v>9.1013337965363662E-7</v>
      </c>
      <c r="N35" s="1">
        <v>4.0780764926245902E-10</v>
      </c>
      <c r="O35" s="1">
        <v>9.1420561674425798E-14</v>
      </c>
      <c r="P35" s="1">
        <v>6.0970076746609594E-14</v>
      </c>
      <c r="Q35">
        <v>50.1970041622791</v>
      </c>
      <c r="R35">
        <v>1.4050110809507001E-2</v>
      </c>
      <c r="S35">
        <v>1.9000999436742201</v>
      </c>
      <c r="T35">
        <v>0.54194868322454004</v>
      </c>
      <c r="V35">
        <v>31.036901363567502</v>
      </c>
      <c r="X35">
        <v>16.0594707567965</v>
      </c>
      <c r="AA35">
        <v>0.23538182974743299</v>
      </c>
      <c r="AB35">
        <v>1.5143149901109E-2</v>
      </c>
      <c r="AJ35">
        <v>-1.04910465195032</v>
      </c>
      <c r="AK35">
        <v>0.98906944154235199</v>
      </c>
      <c r="AL35">
        <v>1.0076692367051701</v>
      </c>
      <c r="AM35">
        <v>3.5393640247520897E-2</v>
      </c>
      <c r="AN35">
        <v>-3.4573261985065197E-2</v>
      </c>
      <c r="AO35">
        <v>5.0405747999119198E-2</v>
      </c>
      <c r="AP35">
        <v>1.13984744123001E-3</v>
      </c>
    </row>
    <row r="36" spans="1:42" x14ac:dyDescent="0.2">
      <c r="A36">
        <v>90</v>
      </c>
      <c r="B36">
        <v>748</v>
      </c>
      <c r="C36">
        <v>200</v>
      </c>
      <c r="D36">
        <v>0.37667384811242399</v>
      </c>
      <c r="E36">
        <v>0.45018674773435002</v>
      </c>
      <c r="F36">
        <v>3.55827498816108</v>
      </c>
      <c r="G36">
        <v>-5.8333263661647994</v>
      </c>
      <c r="H36">
        <v>-4.9548505847671356</v>
      </c>
      <c r="I36">
        <v>0.860280841597868</v>
      </c>
      <c r="J36">
        <v>0.50724738625907295</v>
      </c>
      <c r="K36">
        <v>0.12651825652379001</v>
      </c>
      <c r="L36">
        <v>4.4364436769249109E-5</v>
      </c>
      <c r="M36">
        <v>9.0862807487062626E-7</v>
      </c>
      <c r="N36" s="1">
        <v>5.7383512308417996E-10</v>
      </c>
      <c r="O36" s="1">
        <v>1.2947521602264301E-13</v>
      </c>
      <c r="P36" s="1">
        <v>-2.0455420998845699E-13</v>
      </c>
      <c r="Q36">
        <v>50.193820027872903</v>
      </c>
      <c r="R36">
        <v>1.7454014094648699E-2</v>
      </c>
      <c r="S36">
        <v>2.0554950145160702</v>
      </c>
      <c r="T36">
        <v>0.53842915584862805</v>
      </c>
      <c r="V36">
        <v>30.705713481941501</v>
      </c>
      <c r="X36">
        <v>16.262582560745901</v>
      </c>
      <c r="AA36">
        <v>0.211616596106739</v>
      </c>
      <c r="AB36">
        <v>1.48891488734349E-2</v>
      </c>
      <c r="AJ36">
        <v>-1.0411368896156199</v>
      </c>
      <c r="AK36">
        <v>0.99009435608854002</v>
      </c>
      <c r="AL36">
        <v>0.99518054597607297</v>
      </c>
      <c r="AM36">
        <v>3.9040936632378002E-2</v>
      </c>
      <c r="AN36">
        <v>-3.8023581084459197E-2</v>
      </c>
      <c r="AO36">
        <v>5.3725855285002899E-2</v>
      </c>
      <c r="AP36">
        <v>1.1187767180876401E-3</v>
      </c>
    </row>
    <row r="37" spans="1:42" x14ac:dyDescent="0.2">
      <c r="A37">
        <v>91</v>
      </c>
      <c r="B37">
        <v>746</v>
      </c>
      <c r="C37">
        <v>200</v>
      </c>
      <c r="D37">
        <v>0.37531325123877901</v>
      </c>
      <c r="E37">
        <v>0.50007416912527103</v>
      </c>
      <c r="F37">
        <v>3.5577071613939801</v>
      </c>
      <c r="G37">
        <v>-6.486552580830887</v>
      </c>
      <c r="H37">
        <v>-5.513481165890874</v>
      </c>
      <c r="I37">
        <v>0.95478723930727805</v>
      </c>
      <c r="J37">
        <v>0.56382703298320702</v>
      </c>
      <c r="K37">
        <v>0.140560801223822</v>
      </c>
      <c r="L37">
        <v>4.4331220916912571E-5</v>
      </c>
      <c r="M37">
        <v>9.0786575917615364E-7</v>
      </c>
      <c r="N37" s="1">
        <v>6.5395655087035202E-10</v>
      </c>
      <c r="O37" s="1">
        <v>1.45787507152514E-13</v>
      </c>
      <c r="P37" s="1">
        <v>-5.3655976584598703E-13</v>
      </c>
      <c r="Q37">
        <v>50.139668395441603</v>
      </c>
      <c r="R37">
        <v>1.98107820764028E-2</v>
      </c>
      <c r="S37">
        <v>2.2039136575717801</v>
      </c>
      <c r="T37">
        <v>0.54216720949905195</v>
      </c>
      <c r="V37">
        <v>30.569182514164801</v>
      </c>
      <c r="X37">
        <v>16.319337953818099</v>
      </c>
      <c r="AA37">
        <v>0.19129848233145999</v>
      </c>
      <c r="AB37">
        <v>1.46210050966559E-2</v>
      </c>
      <c r="AJ37">
        <v>-1.04033754484403</v>
      </c>
      <c r="AK37">
        <v>0.99096459899454403</v>
      </c>
      <c r="AL37">
        <v>0.99005054208699605</v>
      </c>
      <c r="AM37">
        <v>4.2424520661132802E-2</v>
      </c>
      <c r="AN37">
        <v>-4.1270616040338201E-2</v>
      </c>
      <c r="AO37">
        <v>5.7070652614016198E-2</v>
      </c>
      <c r="AP37">
        <v>1.09784652768357E-3</v>
      </c>
    </row>
    <row r="38" spans="1:42" x14ac:dyDescent="0.2">
      <c r="A38">
        <v>92</v>
      </c>
      <c r="B38">
        <v>744</v>
      </c>
      <c r="C38">
        <v>200</v>
      </c>
      <c r="D38">
        <v>0.373947303740848</v>
      </c>
      <c r="E38">
        <v>0.54136566457939805</v>
      </c>
      <c r="F38">
        <v>3.5630643731377898</v>
      </c>
      <c r="G38">
        <v>-7.0048474216012151</v>
      </c>
      <c r="H38">
        <v>-5.9552731057015391</v>
      </c>
      <c r="I38">
        <v>1.03187761480575</v>
      </c>
      <c r="J38">
        <v>0.60970032713231903</v>
      </c>
      <c r="K38">
        <v>0.15193822167816901</v>
      </c>
      <c r="L38">
        <v>4.4313880351722559E-5</v>
      </c>
      <c r="M38">
        <v>9.0842300846744306E-7</v>
      </c>
      <c r="N38" s="1">
        <v>7.4259838652307995E-10</v>
      </c>
      <c r="O38" s="1">
        <v>1.5789122119433501E-13</v>
      </c>
      <c r="P38" s="1">
        <v>-9.7113598710218504E-13</v>
      </c>
      <c r="Q38">
        <v>49.953379828569197</v>
      </c>
      <c r="R38">
        <v>1.97463165935985E-2</v>
      </c>
      <c r="S38">
        <v>2.3912369929832602</v>
      </c>
      <c r="T38">
        <v>0.56706596870752501</v>
      </c>
      <c r="V38">
        <v>30.806934882915399</v>
      </c>
      <c r="X38">
        <v>16.07750613576</v>
      </c>
      <c r="AA38">
        <v>0.169974593614377</v>
      </c>
      <c r="AB38">
        <v>1.4155280856484299E-2</v>
      </c>
      <c r="AJ38">
        <v>-1.0549267394067801</v>
      </c>
      <c r="AK38">
        <v>0.99187395601928496</v>
      </c>
      <c r="AL38">
        <v>0.99902996401778499</v>
      </c>
      <c r="AM38">
        <v>4.6411745786703498E-2</v>
      </c>
      <c r="AN38">
        <v>-4.5260121353840103E-2</v>
      </c>
      <c r="AO38">
        <v>6.1806955428466002E-2</v>
      </c>
      <c r="AP38">
        <v>1.0642395083825E-3</v>
      </c>
    </row>
    <row r="39" spans="1:42" x14ac:dyDescent="0.2">
      <c r="A39">
        <v>93</v>
      </c>
      <c r="B39">
        <v>742</v>
      </c>
      <c r="C39">
        <v>200</v>
      </c>
      <c r="D39">
        <v>0.37257597399398801</v>
      </c>
      <c r="E39">
        <v>0.56674231665609498</v>
      </c>
      <c r="F39">
        <v>3.5662556481941601</v>
      </c>
      <c r="G39">
        <v>-7.3240086581904515</v>
      </c>
      <c r="H39">
        <v>-6.2289466604960317</v>
      </c>
      <c r="I39">
        <v>1.0787193988025601</v>
      </c>
      <c r="J39">
        <v>0.63792692685491703</v>
      </c>
      <c r="K39">
        <v>0.15891802847703099</v>
      </c>
      <c r="L39">
        <v>4.4285621168257388E-5</v>
      </c>
      <c r="M39">
        <v>9.085249778983778E-7</v>
      </c>
      <c r="N39" s="1">
        <v>8.0951019698083098E-10</v>
      </c>
      <c r="O39" s="1">
        <v>1.6575520792739099E-13</v>
      </c>
      <c r="P39" s="1">
        <v>-1.3654515331382101E-12</v>
      </c>
      <c r="Q39">
        <v>49.821174915664002</v>
      </c>
      <c r="R39">
        <v>2.03224994984697E-2</v>
      </c>
      <c r="S39">
        <v>2.5522469290794199</v>
      </c>
      <c r="T39">
        <v>0.58250461577389701</v>
      </c>
      <c r="V39">
        <v>30.915170550494601</v>
      </c>
      <c r="X39">
        <v>15.9407872242121</v>
      </c>
      <c r="AA39">
        <v>0.15398330830122001</v>
      </c>
      <c r="AB39">
        <v>1.38099569760914E-2</v>
      </c>
      <c r="AJ39">
        <v>-1.0636693843128899</v>
      </c>
      <c r="AK39">
        <v>0.99255986089832005</v>
      </c>
      <c r="AL39">
        <v>1.0031379231320301</v>
      </c>
      <c r="AM39">
        <v>4.9925235439367097E-2</v>
      </c>
      <c r="AN39">
        <v>-4.8739300471514702E-2</v>
      </c>
      <c r="AO39">
        <v>6.5746769035183797E-2</v>
      </c>
      <c r="AP39">
        <v>1.03889627950207E-3</v>
      </c>
    </row>
    <row r="40" spans="1:42" x14ac:dyDescent="0.2">
      <c r="A40">
        <v>94</v>
      </c>
      <c r="B40">
        <v>740</v>
      </c>
      <c r="C40">
        <v>200</v>
      </c>
      <c r="D40">
        <v>0.37119923012387401</v>
      </c>
      <c r="E40">
        <v>0.58648709103943097</v>
      </c>
      <c r="F40">
        <v>3.5693069719807702</v>
      </c>
      <c r="G40">
        <v>-7.5700735053170245</v>
      </c>
      <c r="H40">
        <v>-6.4406857239702395</v>
      </c>
      <c r="I40">
        <v>1.1147290937637899</v>
      </c>
      <c r="J40">
        <v>0.659787964912808</v>
      </c>
      <c r="K40">
        <v>0.16431399586625101</v>
      </c>
      <c r="L40">
        <v>4.4253206599265668E-5</v>
      </c>
      <c r="M40">
        <v>9.0859980790304968E-7</v>
      </c>
      <c r="N40" s="1">
        <v>8.72353576309019E-10</v>
      </c>
      <c r="O40" s="1">
        <v>1.7183496569305999E-13</v>
      </c>
      <c r="P40" s="1">
        <v>-1.75242480624811E-12</v>
      </c>
      <c r="Q40">
        <v>49.694355482549803</v>
      </c>
      <c r="R40">
        <v>2.0829447122114899E-2</v>
      </c>
      <c r="S40">
        <v>2.70761538434328</v>
      </c>
      <c r="T40">
        <v>0.59662277583187595</v>
      </c>
      <c r="V40">
        <v>31.0175288250277</v>
      </c>
      <c r="X40">
        <v>15.8091100274089</v>
      </c>
      <c r="AA40">
        <v>0.14044705617216299</v>
      </c>
      <c r="AB40">
        <v>1.34910015439491E-2</v>
      </c>
      <c r="AJ40">
        <v>-1.0719472210394101</v>
      </c>
      <c r="AK40">
        <v>0.99314267845570803</v>
      </c>
      <c r="AL40">
        <v>1.0070309022567101</v>
      </c>
      <c r="AM40">
        <v>5.3328589502775199E-2</v>
      </c>
      <c r="AN40">
        <v>-5.2112380828255998E-2</v>
      </c>
      <c r="AO40">
        <v>6.9541953326616696E-2</v>
      </c>
      <c r="AP40">
        <v>1.0154783258515699E-3</v>
      </c>
    </row>
    <row r="41" spans="1:42" x14ac:dyDescent="0.2">
      <c r="A41">
        <v>95</v>
      </c>
      <c r="B41">
        <v>738</v>
      </c>
      <c r="C41">
        <v>200</v>
      </c>
      <c r="D41">
        <v>0.36981704000395799</v>
      </c>
      <c r="E41">
        <v>0.60288379498228895</v>
      </c>
      <c r="F41">
        <v>3.57225758010118</v>
      </c>
      <c r="G41">
        <v>-7.7726855776031005</v>
      </c>
      <c r="H41">
        <v>-6.6156426575310263</v>
      </c>
      <c r="I41">
        <v>1.14428415177972</v>
      </c>
      <c r="J41">
        <v>0.67786035438349002</v>
      </c>
      <c r="K41">
        <v>0.16876828769027699</v>
      </c>
      <c r="L41">
        <v>4.4216864676434205E-5</v>
      </c>
      <c r="M41">
        <v>9.0865068237526938E-7</v>
      </c>
      <c r="N41" s="1">
        <v>9.3389651704095601E-10</v>
      </c>
      <c r="O41" s="1">
        <v>1.76798252231235E-13</v>
      </c>
      <c r="P41" s="1">
        <v>-2.1327053562203302E-12</v>
      </c>
      <c r="Q41">
        <v>49.5712319062307</v>
      </c>
      <c r="R41">
        <v>2.1281899376311801E-2</v>
      </c>
      <c r="S41">
        <v>2.8593208226634799</v>
      </c>
      <c r="T41">
        <v>0.60974938792335298</v>
      </c>
      <c r="V41">
        <v>31.115499392038501</v>
      </c>
      <c r="X41">
        <v>15.6809702886147</v>
      </c>
      <c r="AA41">
        <v>0.12875493546762501</v>
      </c>
      <c r="AB41">
        <v>1.31913676851802E-2</v>
      </c>
      <c r="AJ41">
        <v>-1.07989135782174</v>
      </c>
      <c r="AK41">
        <v>0.99364808997710596</v>
      </c>
      <c r="AL41">
        <v>1.0107640888060501</v>
      </c>
      <c r="AM41">
        <v>5.66629208222591E-2</v>
      </c>
      <c r="AN41">
        <v>-5.5419614436517398E-2</v>
      </c>
      <c r="AO41">
        <v>7.3242405032901706E-2</v>
      </c>
      <c r="AP41">
        <v>9.9346761994400807E-4</v>
      </c>
    </row>
    <row r="42" spans="1:42" x14ac:dyDescent="0.2">
      <c r="A42">
        <v>101</v>
      </c>
      <c r="B42">
        <v>754</v>
      </c>
      <c r="C42">
        <v>180</v>
      </c>
      <c r="D42">
        <v>0.402142335588766</v>
      </c>
      <c r="E42">
        <v>0.30535408827133698</v>
      </c>
      <c r="F42">
        <v>3.5556007833344898</v>
      </c>
      <c r="G42">
        <v>-3.9599948638558491</v>
      </c>
      <c r="H42">
        <v>-3.3585262534439613</v>
      </c>
      <c r="I42">
        <v>0.58557037473775797</v>
      </c>
      <c r="J42">
        <v>0.34411501223567398</v>
      </c>
      <c r="K42">
        <v>8.5879744909092906E-2</v>
      </c>
      <c r="L42">
        <v>4.4395317121480501E-5</v>
      </c>
      <c r="M42">
        <v>9.0896608804843294E-7</v>
      </c>
      <c r="N42" s="1">
        <v>3.7190550032889402E-10</v>
      </c>
      <c r="O42" s="1">
        <v>8.6449807944522199E-14</v>
      </c>
      <c r="P42" s="1">
        <v>1.90337189814322E-13</v>
      </c>
      <c r="Q42">
        <v>50.311267671597001</v>
      </c>
      <c r="R42">
        <v>1.3611017270648699E-2</v>
      </c>
      <c r="S42">
        <v>1.8424680416305601</v>
      </c>
      <c r="T42">
        <v>0.54041438190115998</v>
      </c>
      <c r="V42">
        <v>30.7341853034076</v>
      </c>
      <c r="X42">
        <v>16.302610093540601</v>
      </c>
      <c r="AA42">
        <v>0.24052898642617301</v>
      </c>
      <c r="AB42">
        <v>1.4914504226150999E-2</v>
      </c>
      <c r="AJ42">
        <v>-1.0361159659694099</v>
      </c>
      <c r="AK42">
        <v>0.98888972632117</v>
      </c>
      <c r="AL42">
        <v>0.99630128010100205</v>
      </c>
      <c r="AM42">
        <v>3.4040753316116001E-2</v>
      </c>
      <c r="AN42">
        <v>-3.3247239817897498E-2</v>
      </c>
      <c r="AO42">
        <v>4.9010541407377997E-2</v>
      </c>
      <c r="AP42">
        <v>1.12090464164155E-3</v>
      </c>
    </row>
    <row r="43" spans="1:42" x14ac:dyDescent="0.2">
      <c r="A43">
        <v>102</v>
      </c>
      <c r="B43">
        <v>752</v>
      </c>
      <c r="C43">
        <v>180</v>
      </c>
      <c r="D43">
        <v>0.40083938935765601</v>
      </c>
      <c r="E43">
        <v>0.42899131562345499</v>
      </c>
      <c r="F43">
        <v>3.5522278776190102</v>
      </c>
      <c r="G43">
        <v>-5.5789406840946487</v>
      </c>
      <c r="H43">
        <v>-4.7359523284310896</v>
      </c>
      <c r="I43">
        <v>0.822307326404487</v>
      </c>
      <c r="J43">
        <v>0.48419750662052102</v>
      </c>
      <c r="K43">
        <v>0.120766834336934</v>
      </c>
      <c r="L43">
        <v>4.4351436903903819E-5</v>
      </c>
      <c r="M43">
        <v>9.0751211843873618E-7</v>
      </c>
      <c r="N43" s="1">
        <v>5.3055333776530197E-10</v>
      </c>
      <c r="O43" s="1">
        <v>1.2405051830973901E-13</v>
      </c>
      <c r="P43" s="1">
        <v>6.7622784137178803E-15</v>
      </c>
      <c r="Q43">
        <v>50.3125041161883</v>
      </c>
      <c r="R43">
        <v>1.6864425962562001E-2</v>
      </c>
      <c r="S43">
        <v>1.9869017684621399</v>
      </c>
      <c r="T43">
        <v>0.53675345535046204</v>
      </c>
      <c r="V43">
        <v>30.4108759410496</v>
      </c>
      <c r="X43">
        <v>16.502900875089502</v>
      </c>
      <c r="AA43">
        <v>0.218530991945388</v>
      </c>
      <c r="AB43">
        <v>1.46684259519788E-2</v>
      </c>
      <c r="AJ43">
        <v>-1.02815208255927</v>
      </c>
      <c r="AK43">
        <v>0.98983907787259795</v>
      </c>
      <c r="AL43">
        <v>0.98414867895129399</v>
      </c>
      <c r="AM43">
        <v>3.7433822378787202E-2</v>
      </c>
      <c r="AN43">
        <v>-3.6452304763591598E-2</v>
      </c>
      <c r="AO43">
        <v>5.2082267288269098E-2</v>
      </c>
      <c r="AP43">
        <v>1.1005408319141399E-3</v>
      </c>
    </row>
    <row r="44" spans="1:42" x14ac:dyDescent="0.2">
      <c r="A44">
        <v>103</v>
      </c>
      <c r="B44">
        <v>750</v>
      </c>
      <c r="C44">
        <v>180</v>
      </c>
      <c r="D44">
        <v>0.39953134926452799</v>
      </c>
      <c r="E44">
        <v>0.47984774134281699</v>
      </c>
      <c r="F44">
        <v>3.5515276914672902</v>
      </c>
      <c r="G44">
        <v>-6.2470721402183145</v>
      </c>
      <c r="H44">
        <v>-5.3067822252217285</v>
      </c>
      <c r="I44">
        <v>0.91901472413290997</v>
      </c>
      <c r="J44">
        <v>0.541949975563919</v>
      </c>
      <c r="K44">
        <v>0.13511023509563799</v>
      </c>
      <c r="L44">
        <v>4.4318500549719903E-5</v>
      </c>
      <c r="M44">
        <v>9.0676304464458935E-7</v>
      </c>
      <c r="N44" s="1">
        <v>6.0747449278155096E-10</v>
      </c>
      <c r="O44" s="1">
        <v>1.40714463165359E-13</v>
      </c>
      <c r="P44" s="1">
        <v>-2.7772343668490001E-13</v>
      </c>
      <c r="Q44">
        <v>50.265162465811301</v>
      </c>
      <c r="R44">
        <v>1.9166992913970601E-2</v>
      </c>
      <c r="S44">
        <v>2.1263900998852101</v>
      </c>
      <c r="T44">
        <v>0.53992208052851998</v>
      </c>
      <c r="V44">
        <v>30.270018659130098</v>
      </c>
      <c r="X44">
        <v>16.5662735086078</v>
      </c>
      <c r="AA44">
        <v>0.19865267420459301</v>
      </c>
      <c r="AB44">
        <v>1.44135189184141E-2</v>
      </c>
      <c r="AJ44">
        <v>-1.02696576773685</v>
      </c>
      <c r="AK44">
        <v>0.99068921656132602</v>
      </c>
      <c r="AL44">
        <v>0.97887006452014902</v>
      </c>
      <c r="AM44">
        <v>4.0615194446603102E-2</v>
      </c>
      <c r="AN44">
        <v>-3.9500486513965101E-2</v>
      </c>
      <c r="AO44">
        <v>5.5211158118014997E-2</v>
      </c>
      <c r="AP44">
        <v>1.08062060472486E-3</v>
      </c>
    </row>
    <row r="45" spans="1:42" x14ac:dyDescent="0.2">
      <c r="A45">
        <v>104</v>
      </c>
      <c r="B45">
        <v>748</v>
      </c>
      <c r="C45">
        <v>180</v>
      </c>
      <c r="D45">
        <v>0.39821818537923098</v>
      </c>
      <c r="E45">
        <v>0.51576610029792502</v>
      </c>
      <c r="F45">
        <v>3.5544082282085401</v>
      </c>
      <c r="G45">
        <v>-6.7074947929937156</v>
      </c>
      <c r="H45">
        <v>-5.7001622946985959</v>
      </c>
      <c r="I45">
        <v>0.98646868559478795</v>
      </c>
      <c r="J45">
        <v>0.58226981812393297</v>
      </c>
      <c r="K45">
        <v>0.14510603936956201</v>
      </c>
      <c r="L45">
        <v>4.4302071066888137E-5</v>
      </c>
      <c r="M45">
        <v>9.0686601730516768E-7</v>
      </c>
      <c r="N45" s="1">
        <v>6.7458641780612699E-10</v>
      </c>
      <c r="O45" s="1">
        <v>1.52125270615888E-13</v>
      </c>
      <c r="P45" s="1">
        <v>-6.2453759118528805E-13</v>
      </c>
      <c r="Q45">
        <v>50.140819989128602</v>
      </c>
      <c r="R45">
        <v>2.0001316679374E-2</v>
      </c>
      <c r="S45">
        <v>2.2834917128288201</v>
      </c>
      <c r="T45">
        <v>0.55486724711492597</v>
      </c>
      <c r="V45">
        <v>30.359593901144301</v>
      </c>
      <c r="X45">
        <v>16.447869174295299</v>
      </c>
      <c r="AA45">
        <v>0.17929802592122801</v>
      </c>
      <c r="AB45">
        <v>1.4058632887272399E-2</v>
      </c>
      <c r="AJ45">
        <v>-1.0350028225460299</v>
      </c>
      <c r="AK45">
        <v>0.991513554813933</v>
      </c>
      <c r="AL45">
        <v>0.98224474867324196</v>
      </c>
      <c r="AM45">
        <v>4.40365844682961E-2</v>
      </c>
      <c r="AN45">
        <v>-4.2872787840317603E-2</v>
      </c>
      <c r="AO45">
        <v>5.9026195413245303E-2</v>
      </c>
      <c r="AP45">
        <v>1.05452701763535E-3</v>
      </c>
    </row>
    <row r="46" spans="1:42" x14ac:dyDescent="0.2">
      <c r="A46">
        <v>105</v>
      </c>
      <c r="B46">
        <v>746</v>
      </c>
      <c r="C46">
        <v>180</v>
      </c>
      <c r="D46">
        <v>0.396899867536674</v>
      </c>
      <c r="E46">
        <v>0.54158101813160497</v>
      </c>
      <c r="F46">
        <v>3.5575234478206101</v>
      </c>
      <c r="G46">
        <v>-7.0344285225827639</v>
      </c>
      <c r="H46">
        <v>-5.9802295451926151</v>
      </c>
      <c r="I46">
        <v>1.03439040120703</v>
      </c>
      <c r="J46">
        <v>0.61108579846710798</v>
      </c>
      <c r="K46">
        <v>0.15223540366638599</v>
      </c>
      <c r="L46">
        <v>4.4283349919622855E-5</v>
      </c>
      <c r="M46">
        <v>9.0703001396379843E-7</v>
      </c>
      <c r="N46" s="1">
        <v>7.3323706170324499E-10</v>
      </c>
      <c r="O46" s="1">
        <v>1.6034413193981399E-13</v>
      </c>
      <c r="P46" s="1">
        <v>-9.8072274301551093E-13</v>
      </c>
      <c r="Q46">
        <v>50.014197968336497</v>
      </c>
      <c r="R46">
        <v>2.0581372714650301E-2</v>
      </c>
      <c r="S46">
        <v>2.4359749973298199</v>
      </c>
      <c r="T46">
        <v>0.56965728503840996</v>
      </c>
      <c r="V46">
        <v>30.467777126742501</v>
      </c>
      <c r="X46">
        <v>16.3152013110167</v>
      </c>
      <c r="AA46">
        <v>0.162885972370587</v>
      </c>
      <c r="AB46">
        <v>1.37239664505965E-2</v>
      </c>
      <c r="AJ46">
        <v>-1.0435186830671399</v>
      </c>
      <c r="AK46">
        <v>0.99221435446492601</v>
      </c>
      <c r="AL46">
        <v>0.98632565110235004</v>
      </c>
      <c r="AM46">
        <v>4.7354898020428998E-2</v>
      </c>
      <c r="AN46">
        <v>-4.6156644686137803E-2</v>
      </c>
      <c r="AO46">
        <v>6.2750393703651E-2</v>
      </c>
      <c r="AP46">
        <v>1.0300304619281699E-3</v>
      </c>
    </row>
    <row r="47" spans="1:42" x14ac:dyDescent="0.2">
      <c r="A47">
        <v>106</v>
      </c>
      <c r="B47">
        <v>744</v>
      </c>
      <c r="C47">
        <v>180</v>
      </c>
      <c r="D47">
        <v>0.39557636533451601</v>
      </c>
      <c r="E47">
        <v>0.56151800272463803</v>
      </c>
      <c r="F47">
        <v>3.56050602576589</v>
      </c>
      <c r="G47">
        <v>-7.2846556856924689</v>
      </c>
      <c r="H47">
        <v>-6.1953177052113668</v>
      </c>
      <c r="I47">
        <v>1.07097083073401</v>
      </c>
      <c r="J47">
        <v>0.63324418879599298</v>
      </c>
      <c r="K47">
        <v>0.15770735919590201</v>
      </c>
      <c r="L47">
        <v>4.4260577461735425E-5</v>
      </c>
      <c r="M47">
        <v>9.0716448808440959E-7</v>
      </c>
      <c r="N47" s="1">
        <v>7.8759387428595398E-10</v>
      </c>
      <c r="O47" s="1">
        <v>1.6670747006329201E-13</v>
      </c>
      <c r="P47" s="1">
        <v>-1.33579353102314E-12</v>
      </c>
      <c r="Q47">
        <v>49.892653387989199</v>
      </c>
      <c r="R47">
        <v>2.1092210455244901E-2</v>
      </c>
      <c r="S47">
        <v>2.5831793672839898</v>
      </c>
      <c r="T47">
        <v>0.583178503542506</v>
      </c>
      <c r="V47">
        <v>30.5703158875105</v>
      </c>
      <c r="X47">
        <v>16.1872455892453</v>
      </c>
      <c r="AA47">
        <v>0.148919833251619</v>
      </c>
      <c r="AB47">
        <v>1.3415220721527199E-2</v>
      </c>
      <c r="AJ47">
        <v>-1.05158951904499</v>
      </c>
      <c r="AK47">
        <v>0.99281272746225602</v>
      </c>
      <c r="AL47">
        <v>0.99020145160030903</v>
      </c>
      <c r="AM47">
        <v>5.05707527790401E-2</v>
      </c>
      <c r="AN47">
        <v>-4.9342067997547999E-2</v>
      </c>
      <c r="AO47">
        <v>6.6339231142846497E-2</v>
      </c>
      <c r="AP47">
        <v>1.0074240580909501E-3</v>
      </c>
    </row>
    <row r="48" spans="1:42" x14ac:dyDescent="0.2">
      <c r="A48">
        <v>107</v>
      </c>
      <c r="B48">
        <v>742</v>
      </c>
      <c r="C48">
        <v>180</v>
      </c>
      <c r="D48">
        <v>0.39424764813081797</v>
      </c>
      <c r="E48">
        <v>0.57795415415405105</v>
      </c>
      <c r="F48">
        <v>3.5633932530014198</v>
      </c>
      <c r="G48">
        <v>-7.4891965282925801</v>
      </c>
      <c r="H48">
        <v>-6.3717374430741476</v>
      </c>
      <c r="I48">
        <v>1.10078223436776</v>
      </c>
      <c r="J48">
        <v>0.65143359594142103</v>
      </c>
      <c r="K48">
        <v>0.16219207735975899</v>
      </c>
      <c r="L48">
        <v>4.4234025352775825E-5</v>
      </c>
      <c r="M48">
        <v>9.0727325352062281E-7</v>
      </c>
      <c r="N48" s="1">
        <v>8.4045244873461599E-10</v>
      </c>
      <c r="O48" s="1">
        <v>1.7191339650869999E-13</v>
      </c>
      <c r="P48" s="1">
        <v>-1.68866723459318E-12</v>
      </c>
      <c r="Q48">
        <v>49.774597415336601</v>
      </c>
      <c r="R48">
        <v>2.1548351674010001E-2</v>
      </c>
      <c r="S48">
        <v>2.7269439218873699</v>
      </c>
      <c r="T48">
        <v>0.595744204503596</v>
      </c>
      <c r="V48">
        <v>30.668655996787098</v>
      </c>
      <c r="X48">
        <v>16.062573863256599</v>
      </c>
      <c r="AA48">
        <v>0.136810870345521</v>
      </c>
      <c r="AB48">
        <v>1.3125376209053E-2</v>
      </c>
      <c r="AJ48">
        <v>-1.0593400549140399</v>
      </c>
      <c r="AK48">
        <v>0.99333337597166005</v>
      </c>
      <c r="AL48">
        <v>0.99392545778406305</v>
      </c>
      <c r="AM48">
        <v>5.3722213459305203E-2</v>
      </c>
      <c r="AN48">
        <v>-5.2466276398840703E-2</v>
      </c>
      <c r="AO48">
        <v>6.9839091601545195E-2</v>
      </c>
      <c r="AP48">
        <v>9.861924963140659E-4</v>
      </c>
    </row>
    <row r="49" spans="1:42" x14ac:dyDescent="0.2">
      <c r="A49">
        <v>108</v>
      </c>
      <c r="B49">
        <v>740</v>
      </c>
      <c r="C49">
        <v>180</v>
      </c>
      <c r="D49">
        <v>0.39291368504170499</v>
      </c>
      <c r="E49">
        <v>0.59212715098726798</v>
      </c>
      <c r="F49">
        <v>3.56620929480466</v>
      </c>
      <c r="G49">
        <v>-7.6641898943334654</v>
      </c>
      <c r="H49">
        <v>-6.523175386244545</v>
      </c>
      <c r="I49">
        <v>1.1262049134767</v>
      </c>
      <c r="J49">
        <v>0.66705362583221695</v>
      </c>
      <c r="K49">
        <v>0.166038250152589</v>
      </c>
      <c r="L49">
        <v>4.4203845546427576E-5</v>
      </c>
      <c r="M49">
        <v>9.0735880881330003E-7</v>
      </c>
      <c r="N49" s="1">
        <v>8.93291797605166E-10</v>
      </c>
      <c r="O49" s="1">
        <v>1.76327604197109E-13</v>
      </c>
      <c r="P49" s="1">
        <v>-2.0391119341985599E-12</v>
      </c>
      <c r="Q49">
        <v>49.658995272552197</v>
      </c>
      <c r="R49">
        <v>2.1959456519435198E-2</v>
      </c>
      <c r="S49">
        <v>2.8684734324917498</v>
      </c>
      <c r="T49">
        <v>0.60756001344969901</v>
      </c>
      <c r="V49">
        <v>30.763727234074501</v>
      </c>
      <c r="X49">
        <v>15.9402712531805</v>
      </c>
      <c r="AA49">
        <v>0.12616334146996799</v>
      </c>
      <c r="AB49">
        <v>1.28499962617586E-2</v>
      </c>
      <c r="AJ49">
        <v>-1.06685174189405</v>
      </c>
      <c r="AK49">
        <v>0.993792886982795</v>
      </c>
      <c r="AL49">
        <v>0.99753190710634199</v>
      </c>
      <c r="AM49">
        <v>5.6834219834439099E-2</v>
      </c>
      <c r="AN49">
        <v>-5.5553647302090503E-2</v>
      </c>
      <c r="AO49">
        <v>7.3280365080917606E-2</v>
      </c>
      <c r="AP49">
        <v>9.6601019165239296E-4</v>
      </c>
    </row>
    <row r="50" spans="1:42" x14ac:dyDescent="0.2">
      <c r="A50">
        <v>116</v>
      </c>
      <c r="B50">
        <v>758</v>
      </c>
      <c r="C50">
        <v>160</v>
      </c>
      <c r="D50">
        <v>0.426068467245311</v>
      </c>
      <c r="E50">
        <v>0.340096955559758</v>
      </c>
      <c r="F50">
        <v>3.5478977235380298</v>
      </c>
      <c r="G50">
        <v>-4.4325889263364973</v>
      </c>
      <c r="H50">
        <v>-3.7578030960446465</v>
      </c>
      <c r="I50">
        <v>0.65440123191761601</v>
      </c>
      <c r="J50">
        <v>0.38421476807393501</v>
      </c>
      <c r="K50">
        <v>9.5858725944502801E-2</v>
      </c>
      <c r="L50">
        <v>4.4360067693093639E-5</v>
      </c>
      <c r="M50">
        <v>9.0715087380403402E-7</v>
      </c>
      <c r="N50" s="1">
        <v>4.0619962594074299E-10</v>
      </c>
      <c r="O50" s="1">
        <v>9.7503766039416898E-14</v>
      </c>
      <c r="P50" s="1">
        <v>3.0545318158534999E-13</v>
      </c>
      <c r="Q50">
        <v>50.4335368374851</v>
      </c>
      <c r="R50">
        <v>1.43616236065854E-2</v>
      </c>
      <c r="S50">
        <v>1.83119765483357</v>
      </c>
      <c r="T50">
        <v>0.538211781078899</v>
      </c>
      <c r="V50">
        <v>30.296214471510801</v>
      </c>
      <c r="X50">
        <v>16.6317001424766</v>
      </c>
      <c r="AA50">
        <v>0.24014027135115401</v>
      </c>
      <c r="AB50">
        <v>1.46372176570378E-2</v>
      </c>
      <c r="AJ50">
        <v>-1.01939270525507</v>
      </c>
      <c r="AK50">
        <v>0.98895147044559395</v>
      </c>
      <c r="AL50">
        <v>0.97990763078033605</v>
      </c>
      <c r="AM50">
        <v>3.3772049220052301E-2</v>
      </c>
      <c r="AN50">
        <v>-3.2936648078568498E-2</v>
      </c>
      <c r="AO50">
        <v>4.8600597659321898E-2</v>
      </c>
      <c r="AP50">
        <v>1.0976052283358201E-3</v>
      </c>
    </row>
    <row r="51" spans="1:42" x14ac:dyDescent="0.2">
      <c r="A51">
        <v>117</v>
      </c>
      <c r="B51">
        <v>756</v>
      </c>
      <c r="C51">
        <v>160</v>
      </c>
      <c r="D51">
        <v>0.424817082058009</v>
      </c>
      <c r="E51">
        <v>0.42772664949207101</v>
      </c>
      <c r="F51">
        <v>3.54570666857262</v>
      </c>
      <c r="G51">
        <v>-5.5857582440385478</v>
      </c>
      <c r="H51">
        <v>-4.7392721742828936</v>
      </c>
      <c r="I51">
        <v>0.82250990599587503</v>
      </c>
      <c r="J51">
        <v>0.48373966259784901</v>
      </c>
      <c r="K51">
        <v>0.120632271497026</v>
      </c>
      <c r="L51">
        <v>4.4319046439195588E-5</v>
      </c>
      <c r="M51">
        <v>9.060448587357006E-7</v>
      </c>
      <c r="N51" s="1">
        <v>5.2024491011246803E-10</v>
      </c>
      <c r="O51" s="1">
        <v>1.24860187247365E-13</v>
      </c>
      <c r="P51" s="1">
        <v>1.3753178849411099E-13</v>
      </c>
      <c r="Q51">
        <v>50.417460389391003</v>
      </c>
      <c r="R51">
        <v>1.7096253855336901E-2</v>
      </c>
      <c r="S51">
        <v>1.9647163562193899</v>
      </c>
      <c r="T51">
        <v>0.53753263195591205</v>
      </c>
      <c r="V51">
        <v>30.057702402252499</v>
      </c>
      <c r="X51">
        <v>16.771478309984801</v>
      </c>
      <c r="AA51">
        <v>0.21962037674586299</v>
      </c>
      <c r="AB51">
        <v>1.4393279595068E-2</v>
      </c>
      <c r="AJ51">
        <v>-1.01438234943157</v>
      </c>
      <c r="AK51">
        <v>0.98983277479326903</v>
      </c>
      <c r="AL51">
        <v>0.97097938236179904</v>
      </c>
      <c r="AM51">
        <v>3.6867574354306799E-2</v>
      </c>
      <c r="AN51">
        <v>-3.58743441073043E-2</v>
      </c>
      <c r="AO51">
        <v>5.1498996550935601E-2</v>
      </c>
      <c r="AP51">
        <v>1.0779654785653401E-3</v>
      </c>
    </row>
    <row r="52" spans="1:42" x14ac:dyDescent="0.2">
      <c r="A52">
        <v>118</v>
      </c>
      <c r="B52">
        <v>754</v>
      </c>
      <c r="C52">
        <v>160</v>
      </c>
      <c r="D52">
        <v>0.42356082363822201</v>
      </c>
      <c r="E52">
        <v>0.47037076244999498</v>
      </c>
      <c r="F52">
        <v>3.54527133866869</v>
      </c>
      <c r="G52">
        <v>-6.1479075589360619</v>
      </c>
      <c r="H52">
        <v>-5.2196595359739808</v>
      </c>
      <c r="I52">
        <v>0.90371223576116499</v>
      </c>
      <c r="J52">
        <v>0.53223710216005005</v>
      </c>
      <c r="K52">
        <v>0.13267553242529101</v>
      </c>
      <c r="L52">
        <v>4.4288248046770041E-5</v>
      </c>
      <c r="M52">
        <v>9.054195442317137E-7</v>
      </c>
      <c r="N52" s="1">
        <v>5.8458909270667003E-10</v>
      </c>
      <c r="O52" s="1">
        <v>1.3912270630264801E-13</v>
      </c>
      <c r="P52" s="1">
        <v>-1.1149153040152E-13</v>
      </c>
      <c r="Q52">
        <v>50.370152583994702</v>
      </c>
      <c r="R52">
        <v>1.91835995181442E-2</v>
      </c>
      <c r="S52">
        <v>2.09360917752708</v>
      </c>
      <c r="T52">
        <v>0.54091547114599803</v>
      </c>
      <c r="V52">
        <v>29.9403187213507</v>
      </c>
      <c r="X52">
        <v>16.8206220867424</v>
      </c>
      <c r="AA52">
        <v>0.201045340397038</v>
      </c>
      <c r="AB52">
        <v>1.41530193238133E-2</v>
      </c>
      <c r="AJ52">
        <v>-1.0137907738983201</v>
      </c>
      <c r="AK52">
        <v>0.99062526321515498</v>
      </c>
      <c r="AL52">
        <v>0.96659522619557103</v>
      </c>
      <c r="AM52">
        <v>3.9797606600960302E-2</v>
      </c>
      <c r="AN52">
        <v>-3.8683791563429E-2</v>
      </c>
      <c r="AO52">
        <v>5.4397146967891302E-2</v>
      </c>
      <c r="AP52">
        <v>1.0593224821777299E-3</v>
      </c>
    </row>
    <row r="53" spans="1:42" x14ac:dyDescent="0.2">
      <c r="A53">
        <v>119</v>
      </c>
      <c r="B53">
        <v>752</v>
      </c>
      <c r="C53">
        <v>160</v>
      </c>
      <c r="D53">
        <v>0.42229966346388498</v>
      </c>
      <c r="E53">
        <v>0.49688327646797698</v>
      </c>
      <c r="F53">
        <v>3.5455796949893399</v>
      </c>
      <c r="G53">
        <v>-6.4967719956423906</v>
      </c>
      <c r="H53">
        <v>-5.5190993580734613</v>
      </c>
      <c r="I53">
        <v>0.95368739947220404</v>
      </c>
      <c r="J53">
        <v>0.56237164671697104</v>
      </c>
      <c r="K53">
        <v>0.140141618356563</v>
      </c>
      <c r="L53">
        <v>4.4261646084774251E-5</v>
      </c>
      <c r="M53">
        <v>9.0500966942267849E-7</v>
      </c>
      <c r="N53" s="1">
        <v>6.3178090844440402E-10</v>
      </c>
      <c r="O53" s="1">
        <v>1.48501879640928E-13</v>
      </c>
      <c r="P53" s="1">
        <v>-3.82521112324942E-13</v>
      </c>
      <c r="Q53">
        <v>50.3109567542609</v>
      </c>
      <c r="R53">
        <v>2.0940971764307401E-2</v>
      </c>
      <c r="S53">
        <v>2.2176543822541399</v>
      </c>
      <c r="T53">
        <v>0.54544986695386699</v>
      </c>
      <c r="V53">
        <v>29.8761967693322</v>
      </c>
      <c r="X53">
        <v>16.829960496994701</v>
      </c>
      <c r="AA53">
        <v>0.184917728144432</v>
      </c>
      <c r="AB53">
        <v>1.3923030295201901E-2</v>
      </c>
      <c r="AJ53">
        <v>-1.0149990215039899</v>
      </c>
      <c r="AK53">
        <v>0.99131240610875604</v>
      </c>
      <c r="AL53">
        <v>0.96420587665531099</v>
      </c>
      <c r="AM53">
        <v>4.2599142043908599E-2</v>
      </c>
      <c r="AN53">
        <v>-4.1383694990686802E-2</v>
      </c>
      <c r="AO53">
        <v>5.7223528289519002E-2</v>
      </c>
      <c r="AP53">
        <v>1.04176339718508E-3</v>
      </c>
    </row>
    <row r="54" spans="1:42" x14ac:dyDescent="0.2">
      <c r="A54">
        <v>120</v>
      </c>
      <c r="B54">
        <v>750</v>
      </c>
      <c r="C54">
        <v>160</v>
      </c>
      <c r="D54">
        <v>0.42103357278991599</v>
      </c>
      <c r="E54">
        <v>0.52318209639086199</v>
      </c>
      <c r="F54">
        <v>3.5495325464888001</v>
      </c>
      <c r="G54">
        <v>-6.8284760906084854</v>
      </c>
      <c r="H54">
        <v>-5.8026251111733691</v>
      </c>
      <c r="I54">
        <v>1.00263986652506</v>
      </c>
      <c r="J54">
        <v>0.59167526137681103</v>
      </c>
      <c r="K54">
        <v>0.147394646911575</v>
      </c>
      <c r="L54">
        <v>4.4256670256182618E-5</v>
      </c>
      <c r="M54">
        <v>9.0544595055147083E-7</v>
      </c>
      <c r="N54" s="1">
        <v>6.8516888589683203E-10</v>
      </c>
      <c r="O54" s="1">
        <v>1.5678050046946501E-13</v>
      </c>
      <c r="P54" s="1">
        <v>-7.1296684831672001E-13</v>
      </c>
      <c r="Q54">
        <v>50.1691100863614</v>
      </c>
      <c r="R54">
        <v>2.110731651094E-2</v>
      </c>
      <c r="S54">
        <v>2.3684510533210399</v>
      </c>
      <c r="T54">
        <v>0.56285193430575897</v>
      </c>
      <c r="V54">
        <v>30.0418631811193</v>
      </c>
      <c r="X54">
        <v>16.655022317366399</v>
      </c>
      <c r="AA54">
        <v>0.168026282511055</v>
      </c>
      <c r="AB54">
        <v>1.35678285038233E-2</v>
      </c>
      <c r="AJ54">
        <v>-1.0256538712999801</v>
      </c>
      <c r="AK54">
        <v>0.99203032853273199</v>
      </c>
      <c r="AL54">
        <v>0.97041321836346095</v>
      </c>
      <c r="AM54">
        <v>4.58345381472203E-2</v>
      </c>
      <c r="AN54">
        <v>-4.4608348590147798E-2</v>
      </c>
      <c r="AO54">
        <v>6.0968047487900898E-2</v>
      </c>
      <c r="AP54">
        <v>1.0160873588133501E-3</v>
      </c>
    </row>
    <row r="55" spans="1:42" x14ac:dyDescent="0.2">
      <c r="A55">
        <v>121</v>
      </c>
      <c r="B55">
        <v>748</v>
      </c>
      <c r="C55">
        <v>160</v>
      </c>
      <c r="D55">
        <v>0.41976252264603803</v>
      </c>
      <c r="E55">
        <v>0.54204120596484895</v>
      </c>
      <c r="F55">
        <v>3.5524045122110799</v>
      </c>
      <c r="G55">
        <v>-7.0663088037601653</v>
      </c>
      <c r="H55">
        <v>-6.0070229821646297</v>
      </c>
      <c r="I55">
        <v>1.03734595465459</v>
      </c>
      <c r="J55">
        <v>0.612687624756034</v>
      </c>
      <c r="K55">
        <v>0.15258431411783999</v>
      </c>
      <c r="L55">
        <v>4.4241573814528335E-5</v>
      </c>
      <c r="M55">
        <v>9.0563027415816941E-7</v>
      </c>
      <c r="N55" s="1">
        <v>7.3117495709609802E-10</v>
      </c>
      <c r="O55" s="1">
        <v>1.6299256646526501E-13</v>
      </c>
      <c r="P55" s="1">
        <v>-1.03361056877345E-12</v>
      </c>
      <c r="Q55">
        <v>50.054219827124598</v>
      </c>
      <c r="R55">
        <v>2.16042901648676E-2</v>
      </c>
      <c r="S55">
        <v>2.5062546669568202</v>
      </c>
      <c r="T55">
        <v>0.57545640347834504</v>
      </c>
      <c r="V55">
        <v>30.142556724184502</v>
      </c>
      <c r="X55">
        <v>16.5323685612824</v>
      </c>
      <c r="AA55">
        <v>0.15426368801273499</v>
      </c>
      <c r="AB55">
        <v>1.32758387955617E-2</v>
      </c>
      <c r="AJ55">
        <v>-1.03338568795594</v>
      </c>
      <c r="AK55">
        <v>0.99261771271437405</v>
      </c>
      <c r="AL55">
        <v>0.97419799737992896</v>
      </c>
      <c r="AM55">
        <v>4.8840015228864803E-2</v>
      </c>
      <c r="AN55">
        <v>-4.7584268955321203E-2</v>
      </c>
      <c r="AO55">
        <v>6.4319467773616495E-2</v>
      </c>
      <c r="AP55">
        <v>9.9476381448163997E-4</v>
      </c>
    </row>
    <row r="56" spans="1:42" x14ac:dyDescent="0.2">
      <c r="A56">
        <v>122</v>
      </c>
      <c r="B56">
        <v>746</v>
      </c>
      <c r="C56">
        <v>160</v>
      </c>
      <c r="D56">
        <v>0.41848648383456999</v>
      </c>
      <c r="E56">
        <v>0.55772493814794699</v>
      </c>
      <c r="F56">
        <v>3.5551949558729401</v>
      </c>
      <c r="G56">
        <v>-7.2624656114337336</v>
      </c>
      <c r="H56">
        <v>-6.1761666244621178</v>
      </c>
      <c r="I56">
        <v>1.0658872462067499</v>
      </c>
      <c r="J56">
        <v>0.63009169607017601</v>
      </c>
      <c r="K56">
        <v>0.156876049012902</v>
      </c>
      <c r="L56">
        <v>4.4222984396590797E-5</v>
      </c>
      <c r="M56">
        <v>9.0578869535778369E-7</v>
      </c>
      <c r="N56" s="1">
        <v>7.7592769515868095E-10</v>
      </c>
      <c r="O56" s="1">
        <v>1.68150204589937E-13</v>
      </c>
      <c r="P56" s="1">
        <v>-1.35599060309927E-12</v>
      </c>
      <c r="Q56">
        <v>49.942266413935201</v>
      </c>
      <c r="R56">
        <v>2.2049736911143598E-2</v>
      </c>
      <c r="S56">
        <v>2.64122835997108</v>
      </c>
      <c r="T56">
        <v>0.58720982957885504</v>
      </c>
      <c r="V56">
        <v>30.2395906731354</v>
      </c>
      <c r="X56">
        <v>16.412427546663899</v>
      </c>
      <c r="AA56">
        <v>0.142226635442362</v>
      </c>
      <c r="AB56">
        <v>1.30008043618569E-2</v>
      </c>
      <c r="AJ56">
        <v>-1.0408391459256701</v>
      </c>
      <c r="AK56">
        <v>0.99313309907304304</v>
      </c>
      <c r="AL56">
        <v>0.97785167598546896</v>
      </c>
      <c r="AM56">
        <v>5.1793648670723801E-2</v>
      </c>
      <c r="AN56">
        <v>-5.0511332145415498E-2</v>
      </c>
      <c r="AO56">
        <v>6.7597383077120807E-2</v>
      </c>
      <c r="AP56">
        <v>9.7467126473225595E-4</v>
      </c>
    </row>
    <row r="57" spans="1:42" x14ac:dyDescent="0.2">
      <c r="A57">
        <v>123</v>
      </c>
      <c r="B57">
        <v>744</v>
      </c>
      <c r="C57">
        <v>160</v>
      </c>
      <c r="D57">
        <v>0.41720542692818402</v>
      </c>
      <c r="E57">
        <v>0.57131003968101002</v>
      </c>
      <c r="F57">
        <v>3.5579242229843802</v>
      </c>
      <c r="G57">
        <v>-7.4310616556039681</v>
      </c>
      <c r="H57">
        <v>-6.3220197649739145</v>
      </c>
      <c r="I57">
        <v>1.09034251647255</v>
      </c>
      <c r="J57">
        <v>0.64510801738330004</v>
      </c>
      <c r="K57">
        <v>0.16057397625006001</v>
      </c>
      <c r="L57">
        <v>4.4201048078313126E-5</v>
      </c>
      <c r="M57">
        <v>9.059237150301363E-7</v>
      </c>
      <c r="N57" s="1">
        <v>8.2070245816901697E-10</v>
      </c>
      <c r="O57" s="1">
        <v>1.7257282394970701E-13</v>
      </c>
      <c r="P57" s="1">
        <v>-1.6791782467135001E-12</v>
      </c>
      <c r="Q57">
        <v>49.832386560168501</v>
      </c>
      <c r="R57">
        <v>2.2452180179118899E-2</v>
      </c>
      <c r="S57">
        <v>2.77436813451498</v>
      </c>
      <c r="T57">
        <v>0.59828689742059304</v>
      </c>
      <c r="V57">
        <v>30.3337615105753</v>
      </c>
      <c r="X57">
        <v>16.294435651306099</v>
      </c>
      <c r="AA57">
        <v>0.13157022256704501</v>
      </c>
      <c r="AB57">
        <v>1.2738843268183701E-2</v>
      </c>
      <c r="AJ57">
        <v>-1.0480831878796</v>
      </c>
      <c r="AK57">
        <v>0.99359090884946699</v>
      </c>
      <c r="AL57">
        <v>0.98140343063381197</v>
      </c>
      <c r="AM57">
        <v>5.4715972351780301E-2</v>
      </c>
      <c r="AN57">
        <v>-5.34095771595159E-2</v>
      </c>
      <c r="AO57">
        <v>7.0826927968577494E-2</v>
      </c>
      <c r="AP57">
        <v>9.55525235479226E-4</v>
      </c>
    </row>
    <row r="58" spans="1:42" x14ac:dyDescent="0.2">
      <c r="A58">
        <v>133</v>
      </c>
      <c r="B58">
        <v>764</v>
      </c>
      <c r="C58">
        <v>140</v>
      </c>
      <c r="D58">
        <v>0.45100564045702202</v>
      </c>
      <c r="E58">
        <v>0.28664021058995498</v>
      </c>
      <c r="F58">
        <v>3.5426244582055899</v>
      </c>
      <c r="G58">
        <v>-3.7478157443520628</v>
      </c>
      <c r="H58">
        <v>-3.1734809484641291</v>
      </c>
      <c r="I58">
        <v>0.55376251833190404</v>
      </c>
      <c r="J58">
        <v>0.32430943004937401</v>
      </c>
      <c r="K58">
        <v>8.0911825109214006E-2</v>
      </c>
      <c r="L58">
        <v>4.4345804880382223E-5</v>
      </c>
      <c r="M58">
        <v>9.0618824846807151E-7</v>
      </c>
      <c r="N58" s="1">
        <v>3.36619400032947E-10</v>
      </c>
      <c r="O58" s="1">
        <v>8.2063514336086998E-14</v>
      </c>
      <c r="P58" s="1">
        <v>4.30120803508138E-13</v>
      </c>
      <c r="Q58">
        <v>50.534763034744202</v>
      </c>
      <c r="R58">
        <v>1.32648807801447E-2</v>
      </c>
      <c r="S58">
        <v>1.7527356174195301</v>
      </c>
      <c r="T58">
        <v>0.54303202706263298</v>
      </c>
      <c r="V58">
        <v>30.0749486293318</v>
      </c>
      <c r="X58">
        <v>16.8155519871483</v>
      </c>
      <c r="AA58">
        <v>0.25118870996388798</v>
      </c>
      <c r="AB58">
        <v>1.4515113549428599E-2</v>
      </c>
      <c r="AJ58">
        <v>-1.0089382939962099</v>
      </c>
      <c r="AK58">
        <v>0.98851526052453498</v>
      </c>
      <c r="AL58">
        <v>0.97169686161102098</v>
      </c>
      <c r="AM58">
        <v>3.1851791680521199E-2</v>
      </c>
      <c r="AN58">
        <v>-3.1081023091297E-2</v>
      </c>
      <c r="AO58">
        <v>4.6868133768528601E-2</v>
      </c>
      <c r="AP58">
        <v>1.08726950290469E-3</v>
      </c>
    </row>
    <row r="59" spans="1:42" x14ac:dyDescent="0.2">
      <c r="A59">
        <v>134</v>
      </c>
      <c r="B59">
        <v>762</v>
      </c>
      <c r="C59">
        <v>140</v>
      </c>
      <c r="D59">
        <v>0.44980968941699401</v>
      </c>
      <c r="E59">
        <v>0.39249632245013999</v>
      </c>
      <c r="F59">
        <v>3.5398027084152002</v>
      </c>
      <c r="G59">
        <v>-5.1437810094752665</v>
      </c>
      <c r="H59">
        <v>-4.3592664743139506</v>
      </c>
      <c r="I59">
        <v>0.75787522113830397</v>
      </c>
      <c r="J59">
        <v>0.44461961935587901</v>
      </c>
      <c r="K59">
        <v>0.110880846979707</v>
      </c>
      <c r="L59">
        <v>4.4298732416102676E-5</v>
      </c>
      <c r="M59">
        <v>9.0496018513300589E-7</v>
      </c>
      <c r="N59" s="1">
        <v>4.6820829681355E-10</v>
      </c>
      <c r="O59" s="1">
        <v>1.14545467682316E-13</v>
      </c>
      <c r="P59" s="1">
        <v>3.7975307226875698E-13</v>
      </c>
      <c r="Q59">
        <v>50.535547485375801</v>
      </c>
      <c r="R59">
        <v>1.6071684764331899E-2</v>
      </c>
      <c r="S59">
        <v>1.87597738939311</v>
      </c>
      <c r="T59">
        <v>0.54028222618788602</v>
      </c>
      <c r="V59">
        <v>29.7990903515132</v>
      </c>
      <c r="X59">
        <v>16.986382810280698</v>
      </c>
      <c r="AA59">
        <v>0.232367903346863</v>
      </c>
      <c r="AB59">
        <v>1.42801491379382E-2</v>
      </c>
      <c r="AJ59">
        <v>-1.0022143189455699</v>
      </c>
      <c r="AK59">
        <v>0.98932731474511404</v>
      </c>
      <c r="AL59">
        <v>0.961396590576715</v>
      </c>
      <c r="AM59">
        <v>3.4737754277902003E-2</v>
      </c>
      <c r="AN59">
        <v>-3.38052394914959E-2</v>
      </c>
      <c r="AO59">
        <v>4.9489771139725899E-2</v>
      </c>
      <c r="AP59">
        <v>1.06812769761489E-3</v>
      </c>
    </row>
    <row r="60" spans="1:42" x14ac:dyDescent="0.2">
      <c r="A60">
        <v>135</v>
      </c>
      <c r="B60">
        <v>760</v>
      </c>
      <c r="C60">
        <v>140</v>
      </c>
      <c r="D60">
        <v>0.44860910806756099</v>
      </c>
      <c r="E60">
        <v>0.44187786630261799</v>
      </c>
      <c r="F60">
        <v>3.5389958015018501</v>
      </c>
      <c r="G60">
        <v>-5.7969904455854575</v>
      </c>
      <c r="H60">
        <v>-4.9162073616979161</v>
      </c>
      <c r="I60">
        <v>0.85252198024250203</v>
      </c>
      <c r="J60">
        <v>0.500850617030976</v>
      </c>
      <c r="K60">
        <v>0.12485967519800301</v>
      </c>
      <c r="L60">
        <v>4.4266127059056174E-5</v>
      </c>
      <c r="M60">
        <v>9.0427823831743312E-7</v>
      </c>
      <c r="N60" s="1">
        <v>5.3688080993022204E-10</v>
      </c>
      <c r="O60" s="1">
        <v>1.3079829245041301E-13</v>
      </c>
      <c r="P60" s="1">
        <v>1.9218180999440801E-13</v>
      </c>
      <c r="Q60">
        <v>50.499006140112499</v>
      </c>
      <c r="R60">
        <v>1.81995275587487E-2</v>
      </c>
      <c r="S60">
        <v>1.99724640473722</v>
      </c>
      <c r="T60">
        <v>0.54260144132703403</v>
      </c>
      <c r="V60">
        <v>29.660415133552799</v>
      </c>
      <c r="X60">
        <v>17.0546912592187</v>
      </c>
      <c r="AA60">
        <v>0.21379131946758401</v>
      </c>
      <c r="AB60">
        <v>1.4048774025193399E-2</v>
      </c>
      <c r="AJ60">
        <v>-1.00064298108882</v>
      </c>
      <c r="AK60">
        <v>0.99011962405254605</v>
      </c>
      <c r="AL60">
        <v>0.95622871068667303</v>
      </c>
      <c r="AM60">
        <v>3.7504149456772898E-2</v>
      </c>
      <c r="AN60">
        <v>-3.64489381912627E-2</v>
      </c>
      <c r="AO60">
        <v>5.2189375739684199E-2</v>
      </c>
      <c r="AP60">
        <v>1.05005934440809E-3</v>
      </c>
    </row>
    <row r="61" spans="1:42" x14ac:dyDescent="0.2">
      <c r="A61">
        <v>136</v>
      </c>
      <c r="B61">
        <v>758</v>
      </c>
      <c r="C61">
        <v>140</v>
      </c>
      <c r="D61">
        <v>0.44740386946613198</v>
      </c>
      <c r="E61">
        <v>0.471664791145264</v>
      </c>
      <c r="F61">
        <v>3.5390452204212401</v>
      </c>
      <c r="G61">
        <v>-6.1907635374045462</v>
      </c>
      <c r="H61">
        <v>-5.2533318794114852</v>
      </c>
      <c r="I61">
        <v>0.90911279444606496</v>
      </c>
      <c r="J61">
        <v>0.53476883503394501</v>
      </c>
      <c r="K61">
        <v>0.133274587288015</v>
      </c>
      <c r="L61">
        <v>4.4239726476917815E-5</v>
      </c>
      <c r="M61">
        <v>9.0384291317574309E-7</v>
      </c>
      <c r="N61" s="1">
        <v>5.8420812613656303E-10</v>
      </c>
      <c r="O61" s="1">
        <v>1.4121172852108999E-13</v>
      </c>
      <c r="P61" s="1">
        <v>-3.6554159883436103E-14</v>
      </c>
      <c r="Q61">
        <v>50.448059957709198</v>
      </c>
      <c r="R61">
        <v>1.9977683470628602E-2</v>
      </c>
      <c r="S61">
        <v>2.1144705264533301</v>
      </c>
      <c r="T61">
        <v>0.54644482862348898</v>
      </c>
      <c r="V61">
        <v>29.582228895510799</v>
      </c>
      <c r="X61">
        <v>17.077730930746501</v>
      </c>
      <c r="AA61">
        <v>0.19725938087540601</v>
      </c>
      <c r="AB61">
        <v>1.3827796610473699E-2</v>
      </c>
      <c r="AJ61">
        <v>-1.0011759390255</v>
      </c>
      <c r="AK61">
        <v>0.99082270439256304</v>
      </c>
      <c r="AL61">
        <v>0.95331977889160002</v>
      </c>
      <c r="AM61">
        <v>4.01548562516107E-2</v>
      </c>
      <c r="AN61">
        <v>-3.8997018810971597E-2</v>
      </c>
      <c r="AO61">
        <v>5.4842496427355503E-2</v>
      </c>
      <c r="AP61">
        <v>1.03312187334388E-3</v>
      </c>
    </row>
    <row r="62" spans="1:42" x14ac:dyDescent="0.2">
      <c r="A62">
        <v>137</v>
      </c>
      <c r="B62">
        <v>756</v>
      </c>
      <c r="C62">
        <v>140</v>
      </c>
      <c r="D62">
        <v>0.44619394646067401</v>
      </c>
      <c r="E62">
        <v>0.49233035968269001</v>
      </c>
      <c r="F62">
        <v>3.5395409486906799</v>
      </c>
      <c r="G62">
        <v>-6.4632003608541941</v>
      </c>
      <c r="H62">
        <v>-5.4876104309440761</v>
      </c>
      <c r="I62">
        <v>0.94795698383142801</v>
      </c>
      <c r="J62">
        <v>0.558272630743332</v>
      </c>
      <c r="K62">
        <v>0.13909440993041999</v>
      </c>
      <c r="L62">
        <v>4.4216243935326533E-5</v>
      </c>
      <c r="M62">
        <v>9.0353958733065269E-7</v>
      </c>
      <c r="N62" s="1">
        <v>6.2207973260822199E-10</v>
      </c>
      <c r="O62" s="1">
        <v>1.4880994055548799E-13</v>
      </c>
      <c r="P62" s="1">
        <v>-2.8110056668542198E-13</v>
      </c>
      <c r="Q62">
        <v>50.390224136990497</v>
      </c>
      <c r="R62">
        <v>2.15453982086703E-2</v>
      </c>
      <c r="S62">
        <v>2.2282576248918602</v>
      </c>
      <c r="T62">
        <v>0.55076242744716697</v>
      </c>
      <c r="V62">
        <v>29.536507334186101</v>
      </c>
      <c r="X62">
        <v>17.076388588436501</v>
      </c>
      <c r="AA62">
        <v>0.18269753835271399</v>
      </c>
      <c r="AB62">
        <v>1.36169514863785E-2</v>
      </c>
      <c r="AJ62">
        <v>-1.0027672986324301</v>
      </c>
      <c r="AK62">
        <v>0.99144168252542897</v>
      </c>
      <c r="AL62">
        <v>0.951622201606387</v>
      </c>
      <c r="AM62">
        <v>4.2719369348834899E-2</v>
      </c>
      <c r="AN62">
        <v>-4.1470966638925903E-2</v>
      </c>
      <c r="AO62">
        <v>5.7437882455798998E-2</v>
      </c>
      <c r="AP62">
        <v>1.0171293349066799E-3</v>
      </c>
    </row>
    <row r="63" spans="1:42" x14ac:dyDescent="0.2">
      <c r="A63">
        <v>138</v>
      </c>
      <c r="B63">
        <v>754</v>
      </c>
      <c r="C63">
        <v>140</v>
      </c>
      <c r="D63">
        <v>0.44497931168767801</v>
      </c>
      <c r="E63">
        <v>0.51277598048829098</v>
      </c>
      <c r="F63">
        <v>3.5424819733595601</v>
      </c>
      <c r="G63">
        <v>-6.7232114175259525</v>
      </c>
      <c r="H63">
        <v>-5.7104863043845135</v>
      </c>
      <c r="I63">
        <v>0.98595639696386905</v>
      </c>
      <c r="J63">
        <v>0.58114442096816998</v>
      </c>
      <c r="K63">
        <v>0.144750484079949</v>
      </c>
      <c r="L63">
        <v>4.4210979593569536E-5</v>
      </c>
      <c r="M63">
        <v>9.0381947651962799E-7</v>
      </c>
      <c r="N63" s="1">
        <v>6.6248476040292803E-10</v>
      </c>
      <c r="O63" s="1">
        <v>1.55663430802621E-13</v>
      </c>
      <c r="P63" s="1">
        <v>-5.6441974384696298E-13</v>
      </c>
      <c r="Q63">
        <v>50.276981549929403</v>
      </c>
      <c r="R63">
        <v>2.20035335186002E-2</v>
      </c>
      <c r="S63">
        <v>2.35985132768799</v>
      </c>
      <c r="T63">
        <v>0.56351552346275302</v>
      </c>
      <c r="V63">
        <v>29.6455202973785</v>
      </c>
      <c r="X63">
        <v>16.9508829170647</v>
      </c>
      <c r="AA63">
        <v>0.16791985137807999</v>
      </c>
      <c r="AB63">
        <v>1.3324999579905499E-2</v>
      </c>
      <c r="AJ63">
        <v>-1.0106753812318601</v>
      </c>
      <c r="AK63">
        <v>0.99206884262574602</v>
      </c>
      <c r="AL63">
        <v>0.95569169390539099</v>
      </c>
      <c r="AM63">
        <v>4.5572775592053298E-2</v>
      </c>
      <c r="AN63">
        <v>-4.4297083349376598E-2</v>
      </c>
      <c r="AO63">
        <v>6.0643250005844099E-2</v>
      </c>
      <c r="AP63">
        <v>9.9590245220474403E-4</v>
      </c>
    </row>
    <row r="64" spans="1:42" x14ac:dyDescent="0.2">
      <c r="A64">
        <v>139</v>
      </c>
      <c r="B64">
        <v>752</v>
      </c>
      <c r="C64">
        <v>140</v>
      </c>
      <c r="D64">
        <v>0.443759937570114</v>
      </c>
      <c r="E64">
        <v>0.529223006480397</v>
      </c>
      <c r="F64">
        <v>3.5452048655728601</v>
      </c>
      <c r="G64">
        <v>-6.9309730073027715</v>
      </c>
      <c r="H64">
        <v>-5.8892245033165098</v>
      </c>
      <c r="I64">
        <v>1.0161912929681101</v>
      </c>
      <c r="J64">
        <v>0.59948527046817002</v>
      </c>
      <c r="K64">
        <v>0.14927854004140301</v>
      </c>
      <c r="L64">
        <v>4.4201347825158899E-5</v>
      </c>
      <c r="M64">
        <v>9.0403983429133764E-7</v>
      </c>
      <c r="N64" s="1">
        <v>7.0035973286883296E-10</v>
      </c>
      <c r="O64" s="1">
        <v>1.61261308335809E-13</v>
      </c>
      <c r="P64" s="1">
        <v>-8.5237885208793401E-13</v>
      </c>
      <c r="Q64">
        <v>50.169931361211503</v>
      </c>
      <c r="R64">
        <v>2.24656287445941E-2</v>
      </c>
      <c r="S64">
        <v>2.4872987287300501</v>
      </c>
      <c r="T64">
        <v>0.57488374479531601</v>
      </c>
      <c r="V64">
        <v>29.742392586561898</v>
      </c>
      <c r="X64">
        <v>16.834886442136</v>
      </c>
      <c r="AA64">
        <v>0.15508501135219599</v>
      </c>
      <c r="AB64">
        <v>1.3056496468233E-2</v>
      </c>
      <c r="AJ64">
        <v>-1.0179427145405799</v>
      </c>
      <c r="AK64">
        <v>0.99261514997462796</v>
      </c>
      <c r="AL64">
        <v>0.959314972057147</v>
      </c>
      <c r="AM64">
        <v>4.8351615753884802E-2</v>
      </c>
      <c r="AN64">
        <v>-4.7048453028517297E-2</v>
      </c>
      <c r="AO64">
        <v>6.37330858334232E-2</v>
      </c>
      <c r="AP64">
        <v>9.7634395002162903E-4</v>
      </c>
    </row>
    <row r="65" spans="1:42" x14ac:dyDescent="0.2">
      <c r="A65">
        <v>140</v>
      </c>
      <c r="B65">
        <v>750</v>
      </c>
      <c r="C65">
        <v>140</v>
      </c>
      <c r="D65">
        <v>0.44253579631530099</v>
      </c>
      <c r="E65">
        <v>0.54325626729502896</v>
      </c>
      <c r="F65">
        <v>3.5478669666855902</v>
      </c>
      <c r="G65">
        <v>-7.1068578322626035</v>
      </c>
      <c r="H65">
        <v>-6.041028929791068</v>
      </c>
      <c r="I65">
        <v>1.04171324094368</v>
      </c>
      <c r="J65">
        <v>0.61507553878105103</v>
      </c>
      <c r="K65">
        <v>0.15312193844814201</v>
      </c>
      <c r="L65">
        <v>4.4188645005192978E-5</v>
      </c>
      <c r="M65">
        <v>9.0423591385337288E-7</v>
      </c>
      <c r="N65" s="1">
        <v>7.3763569281853003E-10</v>
      </c>
      <c r="O65" s="1">
        <v>1.66040604843601E-13</v>
      </c>
      <c r="P65" s="1">
        <v>-1.1446095897387301E-12</v>
      </c>
      <c r="Q65">
        <v>50.064993700224399</v>
      </c>
      <c r="R65">
        <v>2.28826095611642E-2</v>
      </c>
      <c r="S65">
        <v>2.6128217609147399</v>
      </c>
      <c r="T65">
        <v>0.58556356460685099</v>
      </c>
      <c r="V65">
        <v>29.836445808872899</v>
      </c>
      <c r="X65">
        <v>16.720781835194799</v>
      </c>
      <c r="AA65">
        <v>0.143709147400711</v>
      </c>
      <c r="AB65">
        <v>1.28015732242395E-2</v>
      </c>
      <c r="AJ65">
        <v>-1.0249974735156799</v>
      </c>
      <c r="AK65">
        <v>0.99310078125071199</v>
      </c>
      <c r="AL65">
        <v>0.96283856821269898</v>
      </c>
      <c r="AM65">
        <v>5.1097113280905798E-2</v>
      </c>
      <c r="AN65">
        <v>-4.9769086931385501E-2</v>
      </c>
      <c r="AO65">
        <v>6.6772329094456198E-2</v>
      </c>
      <c r="AP65">
        <v>9.5776860829656103E-4</v>
      </c>
    </row>
    <row r="66" spans="1:42" x14ac:dyDescent="0.2">
      <c r="A66">
        <v>151</v>
      </c>
      <c r="B66">
        <v>772</v>
      </c>
      <c r="C66">
        <v>120</v>
      </c>
      <c r="D66">
        <v>0.47679328326077502</v>
      </c>
      <c r="E66">
        <v>0.14992829645668601</v>
      </c>
      <c r="F66">
        <v>3.5393352106236402</v>
      </c>
      <c r="G66">
        <v>-1.9641331712149559</v>
      </c>
      <c r="H66">
        <v>-1.6599670597768836</v>
      </c>
      <c r="I66">
        <v>0.29102627511655899</v>
      </c>
      <c r="J66">
        <v>0.16978785530575299</v>
      </c>
      <c r="K66">
        <v>4.2360581164130197E-2</v>
      </c>
      <c r="L66">
        <v>4.4352613881040881E-5</v>
      </c>
      <c r="M66">
        <v>9.0577872307319739E-7</v>
      </c>
      <c r="N66" s="1">
        <v>1.7442756770974E-10</v>
      </c>
      <c r="O66" s="1">
        <v>4.2472680184491901E-14</v>
      </c>
      <c r="P66" s="1">
        <v>3.3584067195811302E-13</v>
      </c>
      <c r="Q66">
        <v>50.600883801861499</v>
      </c>
      <c r="R66">
        <v>1.1144420676079601E-2</v>
      </c>
      <c r="S66">
        <v>1.6539192440146</v>
      </c>
      <c r="T66">
        <v>0.55723706925980199</v>
      </c>
      <c r="V66">
        <v>30.015041048347101</v>
      </c>
      <c r="X66">
        <v>16.883247884208501</v>
      </c>
      <c r="AA66">
        <v>0.26402238899726199</v>
      </c>
      <c r="AB66">
        <v>1.45041426349833E-2</v>
      </c>
      <c r="AJ66">
        <v>-1.0041411120694199</v>
      </c>
      <c r="AK66">
        <v>0.98798756044652503</v>
      </c>
      <c r="AL66">
        <v>0.96954310018210099</v>
      </c>
      <c r="AM66">
        <v>2.9327811352248299E-2</v>
      </c>
      <c r="AN66">
        <v>-2.8680399826850701E-2</v>
      </c>
      <c r="AO66">
        <v>4.4876836651365E-2</v>
      </c>
      <c r="AP66">
        <v>1.0862032640353899E-3</v>
      </c>
    </row>
    <row r="67" spans="1:42" x14ac:dyDescent="0.2">
      <c r="A67">
        <v>152</v>
      </c>
      <c r="B67">
        <v>770</v>
      </c>
      <c r="C67">
        <v>120</v>
      </c>
      <c r="D67">
        <v>0.47565594593299199</v>
      </c>
      <c r="E67">
        <v>0.32558509422497001</v>
      </c>
      <c r="F67">
        <v>3.53469120993765</v>
      </c>
      <c r="G67">
        <v>-4.2796603652670795</v>
      </c>
      <c r="H67">
        <v>-3.6205548794808196</v>
      </c>
      <c r="I67">
        <v>0.63184152402459903</v>
      </c>
      <c r="J67">
        <v>0.36933011985033898</v>
      </c>
      <c r="K67">
        <v>9.2111325965221397E-2</v>
      </c>
      <c r="L67">
        <v>4.4288514130125307E-5</v>
      </c>
      <c r="M67">
        <v>9.0413263626399144E-7</v>
      </c>
      <c r="N67" s="1">
        <v>3.83228059097113E-10</v>
      </c>
      <c r="O67" s="1">
        <v>9.4266549730699499E-14</v>
      </c>
      <c r="P67" s="1">
        <v>5.8640473346105904E-13</v>
      </c>
      <c r="Q67">
        <v>50.643582212968198</v>
      </c>
      <c r="R67">
        <v>1.42957928647066E-2</v>
      </c>
      <c r="S67">
        <v>1.7611797162968399</v>
      </c>
      <c r="T67">
        <v>0.54830132537228904</v>
      </c>
      <c r="V67">
        <v>29.624914311187201</v>
      </c>
      <c r="X67">
        <v>17.141861880312302</v>
      </c>
      <c r="AA67">
        <v>0.25158848015727803</v>
      </c>
      <c r="AB67">
        <v>1.4276280840959801E-2</v>
      </c>
      <c r="AJ67">
        <v>-0.99245034441327196</v>
      </c>
      <c r="AK67">
        <v>0.988542450227203</v>
      </c>
      <c r="AL67">
        <v>0.95500220674272596</v>
      </c>
      <c r="AM67">
        <v>3.1934293661241599E-2</v>
      </c>
      <c r="AN67">
        <v>-3.11054926542738E-2</v>
      </c>
      <c r="AO67">
        <v>4.7009913955975001E-2</v>
      </c>
      <c r="AP67">
        <v>1.0669724803997599E-3</v>
      </c>
    </row>
    <row r="68" spans="1:42" x14ac:dyDescent="0.2">
      <c r="A68">
        <v>153</v>
      </c>
      <c r="B68">
        <v>768</v>
      </c>
      <c r="C68">
        <v>120</v>
      </c>
      <c r="D68">
        <v>0.474514239062578</v>
      </c>
      <c r="E68">
        <v>0.39653992818502398</v>
      </c>
      <c r="F68">
        <v>3.5330041312660998</v>
      </c>
      <c r="G68">
        <v>-5.2204088612166251</v>
      </c>
      <c r="H68">
        <v>-4.4197524527534178</v>
      </c>
      <c r="I68">
        <v>0.76901158186928598</v>
      </c>
      <c r="J68">
        <v>0.45018332343125</v>
      </c>
      <c r="K68">
        <v>0.112238738889591</v>
      </c>
      <c r="L68">
        <v>4.4248693355412331E-5</v>
      </c>
      <c r="M68">
        <v>9.032527781729328E-7</v>
      </c>
      <c r="N68" s="1">
        <v>4.7374440299085598E-10</v>
      </c>
      <c r="O68" s="1">
        <v>1.16691486004107E-13</v>
      </c>
      <c r="P68" s="1">
        <v>5.1675576512251503E-13</v>
      </c>
      <c r="Q68">
        <v>50.627524541962998</v>
      </c>
      <c r="R68">
        <v>1.6619141830902202E-2</v>
      </c>
      <c r="S68">
        <v>1.8746927841904599</v>
      </c>
      <c r="T68">
        <v>0.54821555984485904</v>
      </c>
      <c r="V68">
        <v>29.430500211665201</v>
      </c>
      <c r="X68">
        <v>17.254963389502301</v>
      </c>
      <c r="AA68">
        <v>0.23343571086131301</v>
      </c>
      <c r="AB68">
        <v>1.40486601417443E-2</v>
      </c>
      <c r="AJ68">
        <v>-0.98858047530044102</v>
      </c>
      <c r="AK68">
        <v>0.98932003155002701</v>
      </c>
      <c r="AL68">
        <v>0.947771050675843</v>
      </c>
      <c r="AM68">
        <v>3.4554722336186401E-2</v>
      </c>
      <c r="AN68">
        <v>-3.3592203714161897E-2</v>
      </c>
      <c r="AO68">
        <v>4.9477980539490402E-2</v>
      </c>
      <c r="AP68">
        <v>1.04889391305487E-3</v>
      </c>
    </row>
    <row r="69" spans="1:42" x14ac:dyDescent="0.2">
      <c r="A69">
        <v>154</v>
      </c>
      <c r="B69">
        <v>766</v>
      </c>
      <c r="C69">
        <v>120</v>
      </c>
      <c r="D69">
        <v>0.47336813742000999</v>
      </c>
      <c r="E69">
        <v>0.43567727049993998</v>
      </c>
      <c r="F69">
        <v>3.5325402011900402</v>
      </c>
      <c r="G69">
        <v>-5.7400777925416069</v>
      </c>
      <c r="H69">
        <v>-4.8628591043420641</v>
      </c>
      <c r="I69">
        <v>0.84416945407259902</v>
      </c>
      <c r="J69">
        <v>0.49482465198849102</v>
      </c>
      <c r="K69">
        <v>0.123332572507786</v>
      </c>
      <c r="L69">
        <v>4.4219461204915755E-5</v>
      </c>
      <c r="M69">
        <v>9.0271731683796946E-7</v>
      </c>
      <c r="N69" s="1">
        <v>5.2857562431357296E-10</v>
      </c>
      <c r="O69" s="1">
        <v>1.29885181212955E-13</v>
      </c>
      <c r="P69" s="1">
        <v>3.5420976286188498E-13</v>
      </c>
      <c r="Q69">
        <v>50.589325217786403</v>
      </c>
      <c r="R69">
        <v>1.85098001568271E-2</v>
      </c>
      <c r="S69">
        <v>1.98586027719339</v>
      </c>
      <c r="T69">
        <v>0.55086749968465398</v>
      </c>
      <c r="V69">
        <v>29.3204282273921</v>
      </c>
      <c r="X69">
        <v>17.3050342507374</v>
      </c>
      <c r="AA69">
        <v>0.216143191189798</v>
      </c>
      <c r="AB69">
        <v>1.38315358592379E-2</v>
      </c>
      <c r="AJ69">
        <v>-0.98780367564660498</v>
      </c>
      <c r="AK69">
        <v>0.99005542866674301</v>
      </c>
      <c r="AL69">
        <v>0.94368232483008396</v>
      </c>
      <c r="AM69">
        <v>3.7080407888887099E-2</v>
      </c>
      <c r="AN69">
        <v>-3.6009007024123997E-2</v>
      </c>
      <c r="AO69">
        <v>5.1962433158035802E-2</v>
      </c>
      <c r="AP69">
        <v>1.03208812697774E-3</v>
      </c>
    </row>
    <row r="70" spans="1:42" x14ac:dyDescent="0.2">
      <c r="A70">
        <v>155</v>
      </c>
      <c r="B70">
        <v>764</v>
      </c>
      <c r="C70">
        <v>120</v>
      </c>
      <c r="D70">
        <v>0.47221761558116099</v>
      </c>
      <c r="E70">
        <v>0.46127538321133699</v>
      </c>
      <c r="F70">
        <v>3.5326853299923999</v>
      </c>
      <c r="G70">
        <v>-6.0796045471401818</v>
      </c>
      <c r="H70">
        <v>-5.1535393274338848</v>
      </c>
      <c r="I70">
        <v>0.892894200169982</v>
      </c>
      <c r="J70">
        <v>0.52401241336663995</v>
      </c>
      <c r="K70">
        <v>0.13057358358388699</v>
      </c>
      <c r="L70">
        <v>4.4195360450954531E-5</v>
      </c>
      <c r="M70">
        <v>9.023603556061911E-7</v>
      </c>
      <c r="N70" s="1">
        <v>5.6854453505388898E-10</v>
      </c>
      <c r="O70" s="1">
        <v>1.3902337560623499E-13</v>
      </c>
      <c r="P70" s="1">
        <v>1.5600990620511099E-13</v>
      </c>
      <c r="Q70">
        <v>50.540964272094001</v>
      </c>
      <c r="R70">
        <v>2.01469925086015E-2</v>
      </c>
      <c r="S70">
        <v>2.0939498342177898</v>
      </c>
      <c r="T70">
        <v>0.55446306179094096</v>
      </c>
      <c r="V70">
        <v>29.253683620449099</v>
      </c>
      <c r="X70">
        <v>17.322575064880802</v>
      </c>
      <c r="AA70">
        <v>0.20059170184157599</v>
      </c>
      <c r="AB70">
        <v>1.3625452216980499E-2</v>
      </c>
      <c r="AJ70">
        <v>-0.98851060515131906</v>
      </c>
      <c r="AK70">
        <v>0.99071529605319197</v>
      </c>
      <c r="AL70">
        <v>0.94120598758523999</v>
      </c>
      <c r="AM70">
        <v>3.9521006321884503E-2</v>
      </c>
      <c r="AN70">
        <v>-3.8355246463140501E-2</v>
      </c>
      <c r="AO70">
        <v>5.4407205527824902E-2</v>
      </c>
      <c r="AP70">
        <v>1.0163561263189099E-3</v>
      </c>
    </row>
    <row r="71" spans="1:42" x14ac:dyDescent="0.2">
      <c r="A71">
        <v>156</v>
      </c>
      <c r="B71">
        <v>762</v>
      </c>
      <c r="C71">
        <v>120</v>
      </c>
      <c r="D71">
        <v>0.47106264792542502</v>
      </c>
      <c r="E71">
        <v>0.47984976252453498</v>
      </c>
      <c r="F71">
        <v>3.5331803760178602</v>
      </c>
      <c r="G71">
        <v>-6.3252949105049261</v>
      </c>
      <c r="H71">
        <v>-5.3647963829018508</v>
      </c>
      <c r="I71">
        <v>0.92788342520704603</v>
      </c>
      <c r="J71">
        <v>0.54516469436125903</v>
      </c>
      <c r="K71">
        <v>0.13581241585671799</v>
      </c>
      <c r="L71">
        <v>4.4173931020187274E-5</v>
      </c>
      <c r="M71">
        <v>9.0210731396355076E-7</v>
      </c>
      <c r="N71" s="1">
        <v>6.0118524630588005E-10</v>
      </c>
      <c r="O71" s="1">
        <v>1.4598945061656E-13</v>
      </c>
      <c r="P71" s="1">
        <v>-5.8817365602713205E-14</v>
      </c>
      <c r="Q71">
        <v>50.4871576989311</v>
      </c>
      <c r="R71">
        <v>2.1619429355036301E-2</v>
      </c>
      <c r="S71">
        <v>2.1994227539967901</v>
      </c>
      <c r="T71">
        <v>0.55836407402564803</v>
      </c>
      <c r="V71">
        <v>29.212454345504099</v>
      </c>
      <c r="X71">
        <v>17.320837332231601</v>
      </c>
      <c r="AA71">
        <v>0.18671539755620201</v>
      </c>
      <c r="AB71">
        <v>1.34289683993827E-2</v>
      </c>
      <c r="AJ71">
        <v>-0.99004203048122197</v>
      </c>
      <c r="AK71">
        <v>0.99130378954826803</v>
      </c>
      <c r="AL71">
        <v>0.93967861062424995</v>
      </c>
      <c r="AM71">
        <v>4.1896704053369198E-2</v>
      </c>
      <c r="AN71">
        <v>-4.0646012340797101E-2</v>
      </c>
      <c r="AO71">
        <v>5.6807452764213201E-2</v>
      </c>
      <c r="AP71">
        <v>1.0014858319189999E-3</v>
      </c>
    </row>
    <row r="72" spans="1:42" x14ac:dyDescent="0.2">
      <c r="A72">
        <v>157</v>
      </c>
      <c r="B72">
        <v>760</v>
      </c>
      <c r="C72">
        <v>120</v>
      </c>
      <c r="D72">
        <v>0.46990320863379098</v>
      </c>
      <c r="E72">
        <v>0.49429597117805202</v>
      </c>
      <c r="F72">
        <v>3.5338982795344598</v>
      </c>
      <c r="G72">
        <v>-6.5156412340619507</v>
      </c>
      <c r="H72">
        <v>-5.5292049452271721</v>
      </c>
      <c r="I72">
        <v>0.95478516075572595</v>
      </c>
      <c r="J72">
        <v>0.56158447344346896</v>
      </c>
      <c r="K72">
        <v>0.13987272187222299</v>
      </c>
      <c r="L72">
        <v>4.4153903857874155E-5</v>
      </c>
      <c r="M72">
        <v>9.0191976617964819E-7</v>
      </c>
      <c r="N72" s="1">
        <v>6.2990562369790305E-10</v>
      </c>
      <c r="O72" s="1">
        <v>1.51635387220588E-13</v>
      </c>
      <c r="P72" s="1">
        <v>-2.8265511966798599E-13</v>
      </c>
      <c r="Q72">
        <v>50.4300599086882</v>
      </c>
      <c r="R72">
        <v>2.29764734633741E-2</v>
      </c>
      <c r="S72">
        <v>2.3028575681277399</v>
      </c>
      <c r="T72">
        <v>0.56231067635578602</v>
      </c>
      <c r="V72">
        <v>29.187781395903599</v>
      </c>
      <c r="X72">
        <v>17.306479259862101</v>
      </c>
      <c r="AA72">
        <v>0.17429423318652801</v>
      </c>
      <c r="AB72">
        <v>1.32404844124823E-2</v>
      </c>
      <c r="AJ72">
        <v>-0.99208330749219198</v>
      </c>
      <c r="AK72">
        <v>0.991830762367649</v>
      </c>
      <c r="AL72">
        <v>0.93876682493703001</v>
      </c>
      <c r="AM72">
        <v>4.4224790916925799E-2</v>
      </c>
      <c r="AN72">
        <v>-4.28957609561018E-2</v>
      </c>
      <c r="AO72">
        <v>5.9169385113393501E-2</v>
      </c>
      <c r="AP72">
        <v>9.8730511329477391E-4</v>
      </c>
    </row>
    <row r="73" spans="1:42" x14ac:dyDescent="0.2">
      <c r="A73">
        <v>158</v>
      </c>
      <c r="B73">
        <v>758</v>
      </c>
      <c r="C73">
        <v>120</v>
      </c>
      <c r="D73">
        <v>0.46873927168695301</v>
      </c>
      <c r="E73">
        <v>0.50610196062928503</v>
      </c>
      <c r="F73">
        <v>3.5347695974721498</v>
      </c>
      <c r="G73">
        <v>-6.6704781853099755</v>
      </c>
      <c r="H73">
        <v>-5.6635562804735811</v>
      </c>
      <c r="I73">
        <v>0.97650381112000695</v>
      </c>
      <c r="J73">
        <v>0.57497166287372503</v>
      </c>
      <c r="K73">
        <v>0.14317820346514701</v>
      </c>
      <c r="L73">
        <v>4.4134549255124267E-5</v>
      </c>
      <c r="M73">
        <v>9.0177576709999591E-7</v>
      </c>
      <c r="N73" s="1">
        <v>6.5649250263153496E-10</v>
      </c>
      <c r="O73" s="1">
        <v>1.5640574935097001E-13</v>
      </c>
      <c r="P73" s="1">
        <v>-5.12058513358493E-13</v>
      </c>
      <c r="Q73">
        <v>50.370761518942302</v>
      </c>
      <c r="R73">
        <v>2.4248202520290901E-2</v>
      </c>
      <c r="S73">
        <v>2.4047620847642599</v>
      </c>
      <c r="T73">
        <v>0.56618921446022796</v>
      </c>
      <c r="V73">
        <v>29.174647330673</v>
      </c>
      <c r="X73">
        <v>17.283221957228999</v>
      </c>
      <c r="AA73">
        <v>0.16311108283728801</v>
      </c>
      <c r="AB73">
        <v>1.3058608573463901E-2</v>
      </c>
      <c r="AJ73">
        <v>-0.99446692571278095</v>
      </c>
      <c r="AK73">
        <v>0.99230562977584003</v>
      </c>
      <c r="AL73">
        <v>0.93828405094931899</v>
      </c>
      <c r="AM73">
        <v>4.65187467104307E-2</v>
      </c>
      <c r="AN73">
        <v>-4.5116246223445101E-2</v>
      </c>
      <c r="AO73">
        <v>6.15010639686671E-2</v>
      </c>
      <c r="AP73">
        <v>9.7368053196938899E-4</v>
      </c>
    </row>
    <row r="74" spans="1:42" x14ac:dyDescent="0.2">
      <c r="A74">
        <v>159</v>
      </c>
      <c r="B74">
        <v>756</v>
      </c>
      <c r="C74">
        <v>120</v>
      </c>
      <c r="D74">
        <v>0.46757081086333502</v>
      </c>
      <c r="E74">
        <v>0.52320388838924103</v>
      </c>
      <c r="F74">
        <v>3.5391304092928602</v>
      </c>
      <c r="G74">
        <v>-6.8812822644874201</v>
      </c>
      <c r="H74">
        <v>-5.8440084941222388</v>
      </c>
      <c r="I74">
        <v>1.0078936698879399</v>
      </c>
      <c r="J74">
        <v>0.59384054244380802</v>
      </c>
      <c r="K74">
        <v>0.14783402358258299</v>
      </c>
      <c r="L74">
        <v>4.4144596350526411E-5</v>
      </c>
      <c r="M74">
        <v>9.0244357681033792E-7</v>
      </c>
      <c r="N74" s="1">
        <v>6.9189220375269299E-10</v>
      </c>
      <c r="O74" s="1">
        <v>1.6178464902717901E-13</v>
      </c>
      <c r="P74" s="1">
        <v>-7.97466590030576E-13</v>
      </c>
      <c r="Q74">
        <v>50.229028291182601</v>
      </c>
      <c r="R74">
        <v>2.37964904743393E-2</v>
      </c>
      <c r="S74">
        <v>2.5390500872378601</v>
      </c>
      <c r="T74">
        <v>0.58302817945141705</v>
      </c>
      <c r="V74">
        <v>29.378398909368201</v>
      </c>
      <c r="X74">
        <v>17.083617681564299</v>
      </c>
      <c r="AA74">
        <v>0.150335772323624</v>
      </c>
      <c r="AB74">
        <v>1.27445883975391E-2</v>
      </c>
      <c r="AJ74">
        <v>-1.0059206253050601</v>
      </c>
      <c r="AK74">
        <v>0.99284768419818803</v>
      </c>
      <c r="AL74">
        <v>0.94586082132013904</v>
      </c>
      <c r="AM74">
        <v>4.9370422429586697E-2</v>
      </c>
      <c r="AN74">
        <v>-4.7992557089030399E-2</v>
      </c>
      <c r="AO74">
        <v>6.4882958183856698E-2</v>
      </c>
      <c r="AP74">
        <v>9.5129626232210503E-4</v>
      </c>
    </row>
    <row r="75" spans="1:42" x14ac:dyDescent="0.2">
      <c r="A75">
        <v>173</v>
      </c>
      <c r="B75">
        <v>780</v>
      </c>
      <c r="C75">
        <v>100</v>
      </c>
      <c r="D75">
        <v>0.50218914684517901</v>
      </c>
      <c r="E75">
        <v>0.235120934811442</v>
      </c>
      <c r="F75">
        <v>3.5301509799114199</v>
      </c>
      <c r="G75">
        <v>-3.0993349876798275</v>
      </c>
      <c r="H75">
        <v>-2.6159153317124746</v>
      </c>
      <c r="I75">
        <v>0.45902260453624999</v>
      </c>
      <c r="J75">
        <v>0.26707757980538699</v>
      </c>
      <c r="K75">
        <v>6.6603648441501601E-2</v>
      </c>
      <c r="L75">
        <v>4.4282655146442766E-5</v>
      </c>
      <c r="M75">
        <v>9.0332037172113515E-7</v>
      </c>
      <c r="N75" s="1">
        <v>2.7704562297959702E-10</v>
      </c>
      <c r="O75" s="1">
        <v>6.7321501059019795E-14</v>
      </c>
      <c r="P75" s="1">
        <v>6.1962372730745098E-13</v>
      </c>
      <c r="Q75">
        <v>50.723228073217797</v>
      </c>
      <c r="R75">
        <v>1.2521097848733599E-2</v>
      </c>
      <c r="S75">
        <v>1.66611588023274</v>
      </c>
      <c r="T75">
        <v>0.56519218161925899</v>
      </c>
      <c r="V75">
        <v>29.4947007376377</v>
      </c>
      <c r="X75">
        <v>17.254505032889401</v>
      </c>
      <c r="AA75">
        <v>0.269412765524979</v>
      </c>
      <c r="AB75">
        <v>1.43242310292619E-2</v>
      </c>
      <c r="AJ75">
        <v>-0.98500595854236295</v>
      </c>
      <c r="AK75">
        <v>0.98780944525043501</v>
      </c>
      <c r="AL75">
        <v>0.95028076150126795</v>
      </c>
      <c r="AM75">
        <v>2.9460447900923298E-2</v>
      </c>
      <c r="AN75">
        <v>-2.8734935060316599E-2</v>
      </c>
      <c r="AO75">
        <v>4.5120272591336698E-2</v>
      </c>
      <c r="AP75">
        <v>1.06996635871632E-3</v>
      </c>
    </row>
    <row r="76" spans="1:42" x14ac:dyDescent="0.2">
      <c r="A76">
        <v>174</v>
      </c>
      <c r="B76">
        <v>778</v>
      </c>
      <c r="C76">
        <v>100</v>
      </c>
      <c r="D76">
        <v>0.501108785615755</v>
      </c>
      <c r="E76">
        <v>0.34014001688911999</v>
      </c>
      <c r="F76">
        <v>3.5273953278849</v>
      </c>
      <c r="G76">
        <v>-4.4933242686983919</v>
      </c>
      <c r="H76">
        <v>-3.7956688553850602</v>
      </c>
      <c r="I76">
        <v>0.66370680998271403</v>
      </c>
      <c r="J76">
        <v>0.386783179567045</v>
      </c>
      <c r="K76">
        <v>9.6428096448456402E-2</v>
      </c>
      <c r="L76">
        <v>4.4231825454791025E-5</v>
      </c>
      <c r="M76">
        <v>9.0219969495949168E-7</v>
      </c>
      <c r="N76" s="1">
        <v>4.05568374625217E-10</v>
      </c>
      <c r="O76" s="1">
        <v>9.91495132102173E-14</v>
      </c>
      <c r="P76" s="1">
        <v>7.4880991109727098E-13</v>
      </c>
      <c r="Q76">
        <v>50.732788954810701</v>
      </c>
      <c r="R76">
        <v>1.50301253670421E-2</v>
      </c>
      <c r="S76">
        <v>1.76835327670261</v>
      </c>
      <c r="T76">
        <v>0.56161106881331702</v>
      </c>
      <c r="V76">
        <v>29.2338099998918</v>
      </c>
      <c r="X76">
        <v>17.4199504383642</v>
      </c>
      <c r="AA76">
        <v>0.25436002453054901</v>
      </c>
      <c r="AB76">
        <v>1.4096111519624799E-2</v>
      </c>
      <c r="AJ76">
        <v>-0.97824232287978996</v>
      </c>
      <c r="AK76">
        <v>0.98846350120042803</v>
      </c>
      <c r="AL76">
        <v>0.94059659890898495</v>
      </c>
      <c r="AM76">
        <v>3.18713093055846E-2</v>
      </c>
      <c r="AN76">
        <v>-3.1001597554740901E-2</v>
      </c>
      <c r="AO76">
        <v>4.7261013689866502E-2</v>
      </c>
      <c r="AP76">
        <v>1.0514973296672199E-3</v>
      </c>
    </row>
    <row r="77" spans="1:42" x14ac:dyDescent="0.2">
      <c r="A77">
        <v>175</v>
      </c>
      <c r="B77">
        <v>776</v>
      </c>
      <c r="C77">
        <v>100</v>
      </c>
      <c r="D77">
        <v>0.50002430539008103</v>
      </c>
      <c r="E77">
        <v>0.39336531306612499</v>
      </c>
      <c r="F77">
        <v>3.5262980737896799</v>
      </c>
      <c r="G77">
        <v>-5.202296911093736</v>
      </c>
      <c r="H77">
        <v>-4.3976275236422167</v>
      </c>
      <c r="I77">
        <v>0.76697268021876497</v>
      </c>
      <c r="J77">
        <v>0.44756719417798502</v>
      </c>
      <c r="K77">
        <v>0.111551917856841</v>
      </c>
      <c r="L77">
        <v>4.4197197392368276E-5</v>
      </c>
      <c r="M77">
        <v>9.0153123622165644E-7</v>
      </c>
      <c r="N77" s="1">
        <v>4.7454980891820302E-10</v>
      </c>
      <c r="O77" s="1">
        <v>1.1634128092249701E-13</v>
      </c>
      <c r="P77" s="1">
        <v>6.8746740890844804E-13</v>
      </c>
      <c r="Q77">
        <v>50.710160153645297</v>
      </c>
      <c r="R77">
        <v>1.7044469577221399E-2</v>
      </c>
      <c r="S77">
        <v>1.8723164553635601</v>
      </c>
      <c r="T77">
        <v>0.56255694661217603</v>
      </c>
      <c r="V77">
        <v>29.084296864668801</v>
      </c>
      <c r="X77">
        <v>17.5025871970347</v>
      </c>
      <c r="AA77">
        <v>0.23715830997942899</v>
      </c>
      <c r="AB77">
        <v>1.38796031187274E-2</v>
      </c>
      <c r="AJ77">
        <v>-0.97581361076156303</v>
      </c>
      <c r="AK77">
        <v>0.98919718649680499</v>
      </c>
      <c r="AL77">
        <v>0.935053649182362</v>
      </c>
      <c r="AM77">
        <v>3.4254184332231902E-2</v>
      </c>
      <c r="AN77">
        <v>-3.3268685300316798E-2</v>
      </c>
      <c r="AO77">
        <v>4.9542739422511202E-2</v>
      </c>
      <c r="AP77">
        <v>1.03453662796955E-3</v>
      </c>
    </row>
    <row r="78" spans="1:42" x14ac:dyDescent="0.2">
      <c r="A78">
        <v>176</v>
      </c>
      <c r="B78">
        <v>774</v>
      </c>
      <c r="C78">
        <v>100</v>
      </c>
      <c r="D78">
        <v>0.49893568256697302</v>
      </c>
      <c r="E78">
        <v>0.426105884713529</v>
      </c>
      <c r="F78">
        <v>3.52601901836436</v>
      </c>
      <c r="G78">
        <v>-5.6387041329236043</v>
      </c>
      <c r="H78">
        <v>-4.76950658280344</v>
      </c>
      <c r="I78">
        <v>0.83006021116378903</v>
      </c>
      <c r="J78">
        <v>0.48497561824101798</v>
      </c>
      <c r="K78">
        <v>0.120846167446705</v>
      </c>
      <c r="L78">
        <v>4.4170609494082468E-5</v>
      </c>
      <c r="M78">
        <v>9.0109862700653119E-7</v>
      </c>
      <c r="N78" s="1">
        <v>5.2005500643188804E-10</v>
      </c>
      <c r="O78" s="1">
        <v>1.2757586749322001E-13</v>
      </c>
      <c r="P78" s="1">
        <v>5.5429219867694502E-13</v>
      </c>
      <c r="Q78">
        <v>50.672861792229</v>
      </c>
      <c r="R78">
        <v>1.87623110564289E-2</v>
      </c>
      <c r="S78">
        <v>1.9743553606458499</v>
      </c>
      <c r="T78">
        <v>0.56516944512145195</v>
      </c>
      <c r="V78">
        <v>28.991658780311301</v>
      </c>
      <c r="X78">
        <v>17.542620004500399</v>
      </c>
      <c r="AA78">
        <v>0.220896643292182</v>
      </c>
      <c r="AB78">
        <v>1.36756628432103E-2</v>
      </c>
      <c r="AJ78">
        <v>-0.97543732905608505</v>
      </c>
      <c r="AK78">
        <v>0.98988710555794901</v>
      </c>
      <c r="AL78">
        <v>0.93162222435742403</v>
      </c>
      <c r="AM78">
        <v>3.6567477105476101E-2</v>
      </c>
      <c r="AN78">
        <v>-3.5483181098721603E-2</v>
      </c>
      <c r="AO78">
        <v>5.18248630472476E-2</v>
      </c>
      <c r="AP78">
        <v>1.0188400867089001E-3</v>
      </c>
    </row>
    <row r="79" spans="1:42" x14ac:dyDescent="0.2">
      <c r="A79">
        <v>177</v>
      </c>
      <c r="B79">
        <v>772</v>
      </c>
      <c r="C79">
        <v>100</v>
      </c>
      <c r="D79">
        <v>0.49784289336458698</v>
      </c>
      <c r="E79">
        <v>0.44881461234526698</v>
      </c>
      <c r="F79">
        <v>3.52619795943267</v>
      </c>
      <c r="G79">
        <v>-5.9410268963059467</v>
      </c>
      <c r="H79">
        <v>-5.0281497093544667</v>
      </c>
      <c r="I79">
        <v>0.87344131172700701</v>
      </c>
      <c r="J79">
        <v>0.51090864111009904</v>
      </c>
      <c r="K79">
        <v>0.127280038587928</v>
      </c>
      <c r="L79">
        <v>4.4148352259860832E-5</v>
      </c>
      <c r="M79">
        <v>9.0080148871654267E-7</v>
      </c>
      <c r="N79" s="1">
        <v>5.54313539121015E-10</v>
      </c>
      <c r="O79" s="1">
        <v>1.35809394907015E-13</v>
      </c>
      <c r="P79" s="1">
        <v>3.8809881041405002E-13</v>
      </c>
      <c r="Q79">
        <v>50.627894966325201</v>
      </c>
      <c r="R79">
        <v>2.0289141306709901E-2</v>
      </c>
      <c r="S79">
        <v>2.07410624532405</v>
      </c>
      <c r="T79">
        <v>0.56841582261978596</v>
      </c>
      <c r="V79">
        <v>28.9317236375513</v>
      </c>
      <c r="X79">
        <v>17.557979649878501</v>
      </c>
      <c r="AA79">
        <v>0.206107826819941</v>
      </c>
      <c r="AB79">
        <v>1.34827101743545E-2</v>
      </c>
      <c r="AJ79">
        <v>-0.97617007320514904</v>
      </c>
      <c r="AK79">
        <v>0.99051330263474202</v>
      </c>
      <c r="AL79">
        <v>0.92940392744780698</v>
      </c>
      <c r="AM79">
        <v>3.8818312017848799E-2</v>
      </c>
      <c r="AN79">
        <v>-3.7646147386016002E-2</v>
      </c>
      <c r="AO79">
        <v>5.4076529265514997E-2</v>
      </c>
      <c r="AP79">
        <v>1.0041492252517801E-3</v>
      </c>
    </row>
    <row r="80" spans="1:42" x14ac:dyDescent="0.2">
      <c r="A80">
        <v>178</v>
      </c>
      <c r="B80">
        <v>770</v>
      </c>
      <c r="C80">
        <v>100</v>
      </c>
      <c r="D80">
        <v>0.49674591381872402</v>
      </c>
      <c r="E80">
        <v>0.46586871426717302</v>
      </c>
      <c r="F80">
        <v>3.5266612440541398</v>
      </c>
      <c r="G80">
        <v>-6.1674920995502296</v>
      </c>
      <c r="H80">
        <v>-5.2227141077502504</v>
      </c>
      <c r="I80">
        <v>0.90569715937303197</v>
      </c>
      <c r="J80">
        <v>0.530359963884944</v>
      </c>
      <c r="K80">
        <v>0.132099082397725</v>
      </c>
      <c r="L80">
        <v>4.4128563836752232E-5</v>
      </c>
      <c r="M80">
        <v>9.005887817382958E-7</v>
      </c>
      <c r="N80" s="1">
        <v>5.8253543181516198E-10</v>
      </c>
      <c r="O80" s="1">
        <v>1.42301867531041E-13</v>
      </c>
      <c r="P80" s="1">
        <v>2.0423084029045501E-13</v>
      </c>
      <c r="Q80">
        <v>50.578427032908003</v>
      </c>
      <c r="R80">
        <v>2.1683939454144902E-2</v>
      </c>
      <c r="S80">
        <v>2.17187106422617</v>
      </c>
      <c r="T80">
        <v>0.57187397106442694</v>
      </c>
      <c r="V80">
        <v>28.8925250228111</v>
      </c>
      <c r="X80">
        <v>17.557563975866501</v>
      </c>
      <c r="AA80">
        <v>0.19275609944709801</v>
      </c>
      <c r="AB80">
        <v>1.3298894222503899E-2</v>
      </c>
      <c r="AJ80">
        <v>-0.97757011233450397</v>
      </c>
      <c r="AK80">
        <v>0.99107832331420598</v>
      </c>
      <c r="AL80">
        <v>0.92795451253363104</v>
      </c>
      <c r="AM80">
        <v>4.1020066055664502E-2</v>
      </c>
      <c r="AN80">
        <v>-3.9767576460401598E-2</v>
      </c>
      <c r="AO80">
        <v>5.6294530658144201E-2</v>
      </c>
      <c r="AP80">
        <v>9.9025623326009105E-4</v>
      </c>
    </row>
    <row r="81" spans="1:42" x14ac:dyDescent="0.2">
      <c r="A81">
        <v>179</v>
      </c>
      <c r="B81">
        <v>768</v>
      </c>
      <c r="C81">
        <v>100</v>
      </c>
      <c r="D81">
        <v>0.49564471978101199</v>
      </c>
      <c r="E81">
        <v>0.47941518045350401</v>
      </c>
      <c r="F81">
        <v>3.5273157827702102</v>
      </c>
      <c r="G81">
        <v>-6.3467490975946204</v>
      </c>
      <c r="H81">
        <v>-5.3773967658667754</v>
      </c>
      <c r="I81">
        <v>0.93104003431575</v>
      </c>
      <c r="J81">
        <v>0.54578304924353804</v>
      </c>
      <c r="K81">
        <v>0.13591501583025001</v>
      </c>
      <c r="L81">
        <v>4.4110209522037377E-5</v>
      </c>
      <c r="M81">
        <v>9.004319335495393E-7</v>
      </c>
      <c r="N81" s="1">
        <v>6.0732213283090199E-10</v>
      </c>
      <c r="O81" s="1">
        <v>1.4768107503204999E-13</v>
      </c>
      <c r="P81" s="1">
        <v>9.6530601265855795E-15</v>
      </c>
      <c r="Q81">
        <v>50.5260501166794</v>
      </c>
      <c r="R81">
        <v>2.2982303266648199E-2</v>
      </c>
      <c r="S81">
        <v>2.2680505906792199</v>
      </c>
      <c r="T81">
        <v>0.57535506984336504</v>
      </c>
      <c r="V81">
        <v>28.867493935709401</v>
      </c>
      <c r="X81">
        <v>17.546261363812199</v>
      </c>
      <c r="AA81">
        <v>0.18068401913507801</v>
      </c>
      <c r="AB81">
        <v>1.31226008745226E-2</v>
      </c>
      <c r="AJ81">
        <v>-0.97940686506837904</v>
      </c>
      <c r="AK81">
        <v>0.99158927696440002</v>
      </c>
      <c r="AL81">
        <v>0.92703028911893803</v>
      </c>
      <c r="AM81">
        <v>4.3184897145087497E-2</v>
      </c>
      <c r="AN81">
        <v>-4.1857584771783397E-2</v>
      </c>
      <c r="AO81">
        <v>5.8482984226538699E-2</v>
      </c>
      <c r="AP81">
        <v>9.770023851971611E-4</v>
      </c>
    </row>
    <row r="82" spans="1:42" x14ac:dyDescent="0.2">
      <c r="A82">
        <v>180</v>
      </c>
      <c r="B82">
        <v>766</v>
      </c>
      <c r="C82">
        <v>100</v>
      </c>
      <c r="D82">
        <v>0.49453928691719501</v>
      </c>
      <c r="E82">
        <v>0.49063222538264201</v>
      </c>
      <c r="F82">
        <v>3.52810738328562</v>
      </c>
      <c r="G82">
        <v>-6.4945592197844322</v>
      </c>
      <c r="H82">
        <v>-5.5055139379494369</v>
      </c>
      <c r="I82">
        <v>0.95178297823701397</v>
      </c>
      <c r="J82">
        <v>0.558526159511889</v>
      </c>
      <c r="K82">
        <v>0.13906385834711399</v>
      </c>
      <c r="L82">
        <v>4.4092662568519205E-5</v>
      </c>
      <c r="M82">
        <v>9.0031364640792327E-7</v>
      </c>
      <c r="N82" s="1">
        <v>6.3012938145974404E-10</v>
      </c>
      <c r="O82" s="1">
        <v>1.52296297949674E-13</v>
      </c>
      <c r="P82" s="1">
        <v>-1.92144034862495E-13</v>
      </c>
      <c r="Q82">
        <v>50.471629421918102</v>
      </c>
      <c r="R82">
        <v>2.4207177473499399E-2</v>
      </c>
      <c r="S82">
        <v>2.3630156598209999</v>
      </c>
      <c r="T82">
        <v>0.57877052046734401</v>
      </c>
      <c r="V82">
        <v>28.852718421006301</v>
      </c>
      <c r="X82">
        <v>17.526981869422801</v>
      </c>
      <c r="AA82">
        <v>0.169724419367629</v>
      </c>
      <c r="AB82">
        <v>1.2952510523209801E-2</v>
      </c>
      <c r="AJ82">
        <v>-0.98154951287028103</v>
      </c>
      <c r="AK82">
        <v>0.99205343835400295</v>
      </c>
      <c r="AL82">
        <v>0.92648621195535896</v>
      </c>
      <c r="AM82">
        <v>4.5322760213986998E-2</v>
      </c>
      <c r="AN82">
        <v>-4.3924811856585602E-2</v>
      </c>
      <c r="AO82">
        <v>6.0647647790111503E-2</v>
      </c>
      <c r="AP82">
        <v>9.6426641340496995E-4</v>
      </c>
    </row>
    <row r="83" spans="1:42" x14ac:dyDescent="0.2">
      <c r="A83">
        <v>181</v>
      </c>
      <c r="B83">
        <v>764</v>
      </c>
      <c r="C83">
        <v>100</v>
      </c>
      <c r="D83">
        <v>0.49342959070530001</v>
      </c>
      <c r="E83">
        <v>0.50022235653179103</v>
      </c>
      <c r="F83">
        <v>3.5290024237273099</v>
      </c>
      <c r="G83">
        <v>-6.6203392551052147</v>
      </c>
      <c r="H83">
        <v>-5.61502372674589</v>
      </c>
      <c r="I83">
        <v>0.96930581724854104</v>
      </c>
      <c r="J83">
        <v>0.56939413203059597</v>
      </c>
      <c r="K83">
        <v>0.14174610738959401</v>
      </c>
      <c r="L83">
        <v>4.4075514560958886E-5</v>
      </c>
      <c r="M83">
        <v>9.0022277487728187E-7</v>
      </c>
      <c r="N83" s="1">
        <v>6.5184510247041199E-10</v>
      </c>
      <c r="O83" s="1">
        <v>1.5635824118683299E-13</v>
      </c>
      <c r="P83" s="1">
        <v>-3.9927683629674098E-13</v>
      </c>
      <c r="Q83">
        <v>50.415662230532497</v>
      </c>
      <c r="R83">
        <v>2.5374151741558701E-2</v>
      </c>
      <c r="S83">
        <v>2.4570835866417799</v>
      </c>
      <c r="T83">
        <v>0.58207871296128499</v>
      </c>
      <c r="V83">
        <v>28.8457162041977</v>
      </c>
      <c r="X83">
        <v>17.5015693994565</v>
      </c>
      <c r="AA83">
        <v>0.15972815647078001</v>
      </c>
      <c r="AB83">
        <v>1.2787557997789301E-2</v>
      </c>
      <c r="AJ83">
        <v>-0.98391896473423901</v>
      </c>
      <c r="AK83">
        <v>0.99247720729216604</v>
      </c>
      <c r="AL83">
        <v>0.92623028381624795</v>
      </c>
      <c r="AM83">
        <v>4.7441661668588701E-2</v>
      </c>
      <c r="AN83">
        <v>-4.5976370494995297E-2</v>
      </c>
      <c r="AO83">
        <v>6.2794228087108495E-2</v>
      </c>
      <c r="AP83">
        <v>9.5195436512253602E-4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74767-DAB9-4EE0-8D30-920ACCDC70E8}">
  <sheetPr codeName="Sheet9"/>
  <dimension ref="A1:AL13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13</v>
      </c>
      <c r="B2">
        <v>736</v>
      </c>
      <c r="C2">
        <v>300</v>
      </c>
      <c r="D2">
        <v>0.25942674528068399</v>
      </c>
      <c r="E2">
        <v>0.29565589696335798</v>
      </c>
      <c r="F2">
        <v>2.5267130983640498</v>
      </c>
      <c r="G2">
        <v>-4.6356651698204692</v>
      </c>
      <c r="H2">
        <v>-4.0276066066165184</v>
      </c>
      <c r="I2">
        <v>0.60254527394733304</v>
      </c>
      <c r="J2">
        <v>0.35135598847381699</v>
      </c>
      <c r="K2">
        <v>0.117012056950503</v>
      </c>
      <c r="L2">
        <v>2.842349388416588E-5</v>
      </c>
      <c r="M2">
        <v>1.7851120687225007E-6</v>
      </c>
      <c r="N2" s="1">
        <v>-3.2564685458709402E-9</v>
      </c>
      <c r="O2" s="1">
        <v>1.1140381937777E-12</v>
      </c>
      <c r="P2" s="1">
        <v>1.1722382471397299E-11</v>
      </c>
      <c r="Q2">
        <v>65.790408859668901</v>
      </c>
      <c r="S2">
        <v>18.9087087738748</v>
      </c>
      <c r="AA2">
        <v>0.248585853239674</v>
      </c>
      <c r="AB2">
        <v>3.8469598102403499</v>
      </c>
      <c r="AC2">
        <v>11.2053367029761</v>
      </c>
      <c r="AJ2">
        <v>0.33874163190138101</v>
      </c>
      <c r="AK2">
        <v>1.2095898289490301E-2</v>
      </c>
      <c r="AL2">
        <v>0.64916246980912795</v>
      </c>
    </row>
    <row r="3" spans="1:38" x14ac:dyDescent="0.2">
      <c r="A3">
        <v>14</v>
      </c>
      <c r="B3">
        <v>734</v>
      </c>
      <c r="C3">
        <v>300</v>
      </c>
      <c r="D3">
        <v>0.25781710768008598</v>
      </c>
      <c r="E3">
        <v>24.631902582307301</v>
      </c>
      <c r="F3">
        <v>2.5270678575907799</v>
      </c>
      <c r="G3">
        <v>-386.46519448873477</v>
      </c>
      <c r="H3">
        <v>-335.90202348204372</v>
      </c>
      <c r="I3">
        <v>50.204210898764899</v>
      </c>
      <c r="J3">
        <v>29.336073067594199</v>
      </c>
      <c r="K3">
        <v>9.7472264182848303</v>
      </c>
      <c r="L3">
        <v>2.8671078797918688E-5</v>
      </c>
      <c r="M3">
        <v>1.7876321581097323E-6</v>
      </c>
      <c r="N3" s="1">
        <v>-3.1087030028972599E-7</v>
      </c>
      <c r="O3" s="1">
        <v>9.2354969225162998E-11</v>
      </c>
      <c r="P3" s="1">
        <v>1.0900312795345799E-9</v>
      </c>
      <c r="Q3">
        <v>65.852957447594207</v>
      </c>
      <c r="S3">
        <v>18.9344837304699</v>
      </c>
      <c r="AA3">
        <v>0.25525559844666101</v>
      </c>
      <c r="AB3">
        <v>4.0539183843976998</v>
      </c>
      <c r="AC3">
        <v>10.9033848390913</v>
      </c>
      <c r="AJ3">
        <v>0.35658901204176002</v>
      </c>
      <c r="AK3">
        <v>1.2407349676009601E-2</v>
      </c>
      <c r="AL3">
        <v>0.63100363828223005</v>
      </c>
    </row>
    <row r="4" spans="1:38" x14ac:dyDescent="0.2">
      <c r="A4">
        <v>15</v>
      </c>
      <c r="B4">
        <v>732</v>
      </c>
      <c r="C4">
        <v>300</v>
      </c>
      <c r="D4">
        <v>0.256201064517732</v>
      </c>
      <c r="E4">
        <v>30.753556626416099</v>
      </c>
      <c r="F4">
        <v>2.52713966273997</v>
      </c>
      <c r="G4">
        <v>-482.41734704536287</v>
      </c>
      <c r="H4">
        <v>-419.4802991722197</v>
      </c>
      <c r="I4">
        <v>62.614582771868001</v>
      </c>
      <c r="J4">
        <v>36.656341023586897</v>
      </c>
      <c r="K4">
        <v>12.1693142171147</v>
      </c>
      <c r="L4">
        <v>2.8758272148489764E-5</v>
      </c>
      <c r="M4">
        <v>1.7882956731716506E-6</v>
      </c>
      <c r="N4" s="1">
        <v>-4.1899868143535298E-7</v>
      </c>
      <c r="O4" s="1">
        <v>1.1505852296334E-10</v>
      </c>
      <c r="P4" s="1">
        <v>1.4483670244726301E-9</v>
      </c>
      <c r="Q4">
        <v>65.865568489735097</v>
      </c>
      <c r="S4">
        <v>18.930893187700899</v>
      </c>
      <c r="AA4">
        <v>0.249350749618442</v>
      </c>
      <c r="AB4">
        <v>4.0726083409603397</v>
      </c>
      <c r="AC4">
        <v>10.881579231985</v>
      </c>
      <c r="AJ4">
        <v>0.358198967523986</v>
      </c>
      <c r="AK4">
        <v>1.2119177654033499E-2</v>
      </c>
      <c r="AL4">
        <v>0.62968185482198002</v>
      </c>
    </row>
    <row r="5" spans="1:38" x14ac:dyDescent="0.2">
      <c r="A5">
        <v>16</v>
      </c>
      <c r="B5">
        <v>730</v>
      </c>
      <c r="C5">
        <v>300</v>
      </c>
      <c r="D5">
        <v>0.25457857748093798</v>
      </c>
      <c r="E5">
        <v>32.771864363103198</v>
      </c>
      <c r="F5">
        <v>2.5272070872377999</v>
      </c>
      <c r="G5">
        <v>-513.92146357205445</v>
      </c>
      <c r="H5">
        <v>-447.06882163642615</v>
      </c>
      <c r="I5">
        <v>66.642717375894307</v>
      </c>
      <c r="J5">
        <v>39.087719201262502</v>
      </c>
      <c r="K5">
        <v>12.967621264042201</v>
      </c>
      <c r="L5">
        <v>2.8826166478626018E-5</v>
      </c>
      <c r="M5">
        <v>1.7886608690794002E-6</v>
      </c>
      <c r="N5" s="1">
        <v>-4.7806465499625096E-7</v>
      </c>
      <c r="O5" s="1">
        <v>1.2237399674812799E-10</v>
      </c>
      <c r="P5" s="1">
        <v>1.6324032249492699E-9</v>
      </c>
      <c r="Q5">
        <v>65.868552721249898</v>
      </c>
      <c r="S5">
        <v>18.9257183600498</v>
      </c>
      <c r="AA5">
        <v>0.24438513419330299</v>
      </c>
      <c r="AB5">
        <v>4.0656920574218196</v>
      </c>
      <c r="AC5">
        <v>10.895651727085101</v>
      </c>
      <c r="AJ5">
        <v>0.35760328980103601</v>
      </c>
      <c r="AK5">
        <v>1.1878253757534899E-2</v>
      </c>
      <c r="AL5">
        <v>0.63051845644142801</v>
      </c>
    </row>
    <row r="6" spans="1:38" x14ac:dyDescent="0.2">
      <c r="A6">
        <v>17</v>
      </c>
      <c r="B6">
        <v>728</v>
      </c>
      <c r="C6">
        <v>300</v>
      </c>
      <c r="D6">
        <v>0.25294960795086002</v>
      </c>
      <c r="E6">
        <v>33.8174571803549</v>
      </c>
      <c r="F6">
        <v>2.5272746161144601</v>
      </c>
      <c r="G6">
        <v>-530.1431363074845</v>
      </c>
      <c r="H6">
        <v>-461.38166423571033</v>
      </c>
      <c r="I6">
        <v>68.682487211481003</v>
      </c>
      <c r="J6">
        <v>40.361344051503401</v>
      </c>
      <c r="K6">
        <v>13.380998236094801</v>
      </c>
      <c r="L6">
        <v>2.8892638453873178E-5</v>
      </c>
      <c r="M6">
        <v>1.7889611905659071E-6</v>
      </c>
      <c r="N6" s="1">
        <v>-5.2685282224695505E-7</v>
      </c>
      <c r="O6" s="1">
        <v>1.26033288615018E-10</v>
      </c>
      <c r="P6" s="1">
        <v>1.7787080052183801E-9</v>
      </c>
      <c r="Q6">
        <v>65.869108774782006</v>
      </c>
      <c r="S6">
        <v>18.920202109247001</v>
      </c>
      <c r="AA6">
        <v>0.23970442330911901</v>
      </c>
      <c r="AB6">
        <v>4.0524696242626703</v>
      </c>
      <c r="AC6">
        <v>10.918515068399101</v>
      </c>
      <c r="AJ6">
        <v>0.35646432839088099</v>
      </c>
      <c r="AK6">
        <v>1.16515350664631E-2</v>
      </c>
      <c r="AL6">
        <v>0.63188413654265496</v>
      </c>
    </row>
    <row r="7" spans="1:38" x14ac:dyDescent="0.2">
      <c r="A7">
        <v>18</v>
      </c>
      <c r="B7">
        <v>726</v>
      </c>
      <c r="C7">
        <v>300</v>
      </c>
      <c r="D7">
        <v>0.251314116999449</v>
      </c>
      <c r="E7">
        <v>34.460906494281602</v>
      </c>
      <c r="F7">
        <v>2.5273432929608299</v>
      </c>
      <c r="G7">
        <v>-540.04623255905449</v>
      </c>
      <c r="H7">
        <v>-470.20571346548633</v>
      </c>
      <c r="I7">
        <v>69.899934037500103</v>
      </c>
      <c r="J7">
        <v>41.157621394219198</v>
      </c>
      <c r="K7">
        <v>13.635229764892699</v>
      </c>
      <c r="L7">
        <v>2.8961340234974169E-5</v>
      </c>
      <c r="M7">
        <v>1.7892425771033627E-6</v>
      </c>
      <c r="N7" s="1">
        <v>-5.72461545444673E-7</v>
      </c>
      <c r="O7" s="1">
        <v>1.28173645871611E-10</v>
      </c>
      <c r="P7" s="1">
        <v>1.9122258977828301E-9</v>
      </c>
      <c r="Q7">
        <v>65.868635024857795</v>
      </c>
      <c r="S7">
        <v>18.914584721423999</v>
      </c>
      <c r="AA7">
        <v>0.235180563905933</v>
      </c>
      <c r="AB7">
        <v>4.0366871854697797</v>
      </c>
      <c r="AC7">
        <v>10.944912504342399</v>
      </c>
      <c r="AJ7">
        <v>0.355104642359718</v>
      </c>
      <c r="AK7">
        <v>1.1432559535801299E-2</v>
      </c>
      <c r="AL7">
        <v>0.63346279810448003</v>
      </c>
    </row>
    <row r="8" spans="1:38" x14ac:dyDescent="0.2">
      <c r="A8">
        <v>19</v>
      </c>
      <c r="B8">
        <v>724</v>
      </c>
      <c r="C8">
        <v>300</v>
      </c>
      <c r="D8">
        <v>0.249672065386352</v>
      </c>
      <c r="E8">
        <v>34.894786852620697</v>
      </c>
      <c r="F8">
        <v>2.5274134988767498</v>
      </c>
      <c r="G8">
        <v>-546.65663461121676</v>
      </c>
      <c r="H8">
        <v>-476.1693603894791</v>
      </c>
      <c r="I8">
        <v>70.688737122536807</v>
      </c>
      <c r="J8">
        <v>41.706290124458398</v>
      </c>
      <c r="K8">
        <v>13.8065207248947</v>
      </c>
      <c r="L8">
        <v>2.9033639989396834E-5</v>
      </c>
      <c r="M8">
        <v>1.7895208468617273E-6</v>
      </c>
      <c r="N8" s="1">
        <v>-6.1721059643667597E-7</v>
      </c>
      <c r="O8" s="1">
        <v>1.2951711501882599E-10</v>
      </c>
      <c r="P8" s="1">
        <v>2.04112462099934E-9</v>
      </c>
      <c r="Q8">
        <v>65.867601168710294</v>
      </c>
      <c r="S8">
        <v>18.908946226545801</v>
      </c>
      <c r="AA8">
        <v>0.230769984096131</v>
      </c>
      <c r="AB8">
        <v>4.0196012451007803</v>
      </c>
      <c r="AC8">
        <v>10.9730813755468</v>
      </c>
      <c r="AJ8">
        <v>0.35363240678640701</v>
      </c>
      <c r="AK8">
        <v>1.12191303825379E-2</v>
      </c>
      <c r="AL8">
        <v>0.63514846283105397</v>
      </c>
    </row>
    <row r="9" spans="1:38" x14ac:dyDescent="0.2">
      <c r="A9">
        <v>32</v>
      </c>
      <c r="B9">
        <v>736</v>
      </c>
      <c r="C9">
        <v>280</v>
      </c>
      <c r="D9">
        <v>0.281227270475152</v>
      </c>
      <c r="E9">
        <v>28.6578196315021</v>
      </c>
      <c r="F9">
        <v>2.5261665182703701</v>
      </c>
      <c r="G9">
        <v>-450.16036160367236</v>
      </c>
      <c r="H9">
        <v>-391.10902361683861</v>
      </c>
      <c r="I9">
        <v>58.515917343143897</v>
      </c>
      <c r="J9">
        <v>34.1268660990089</v>
      </c>
      <c r="K9">
        <v>11.3443905713403</v>
      </c>
      <c r="L9">
        <v>2.8657566832854892E-5</v>
      </c>
      <c r="M9">
        <v>1.7895162880268992E-6</v>
      </c>
      <c r="N9" s="1">
        <v>-3.3906965833011299E-7</v>
      </c>
      <c r="O9" s="1">
        <v>1.07560923970162E-10</v>
      </c>
      <c r="P9" s="1">
        <v>1.2044556396765699E-9</v>
      </c>
      <c r="Q9">
        <v>65.878320625064006</v>
      </c>
      <c r="S9">
        <v>18.947946656642699</v>
      </c>
      <c r="AA9">
        <v>0.260444499662839</v>
      </c>
      <c r="AB9">
        <v>4.1457336767316999</v>
      </c>
      <c r="AC9">
        <v>10.7675545418985</v>
      </c>
      <c r="AJ9">
        <v>0.36449478065915097</v>
      </c>
      <c r="AK9">
        <v>1.2653652244728799E-2</v>
      </c>
      <c r="AL9">
        <v>0.62285156709612</v>
      </c>
    </row>
    <row r="10" spans="1:38" x14ac:dyDescent="0.2">
      <c r="A10">
        <v>33</v>
      </c>
      <c r="B10">
        <v>734</v>
      </c>
      <c r="C10">
        <v>280</v>
      </c>
      <c r="D10">
        <v>0.27966092439060802</v>
      </c>
      <c r="E10">
        <v>31.9664378451515</v>
      </c>
      <c r="F10">
        <v>2.5262305022620799</v>
      </c>
      <c r="G10">
        <v>-501.97968095431236</v>
      </c>
      <c r="H10">
        <v>-436.32058874732593</v>
      </c>
      <c r="I10">
        <v>65.192962524933193</v>
      </c>
      <c r="J10">
        <v>38.0881290688909</v>
      </c>
      <c r="K10">
        <v>12.6538088335674</v>
      </c>
      <c r="L10">
        <v>2.8716451667448174E-5</v>
      </c>
      <c r="M10">
        <v>1.7898581498662658E-6</v>
      </c>
      <c r="N10" s="1">
        <v>-4.0541181197191602E-7</v>
      </c>
      <c r="O10" s="1">
        <v>1.1977628023475199E-10</v>
      </c>
      <c r="P10" s="1">
        <v>1.42055076027259E-9</v>
      </c>
      <c r="Q10">
        <v>65.881458780600695</v>
      </c>
      <c r="S10">
        <v>18.942652583516999</v>
      </c>
      <c r="AA10">
        <v>0.25534458943400901</v>
      </c>
      <c r="AB10">
        <v>4.1388477871085998</v>
      </c>
      <c r="AC10">
        <v>10.781696259339499</v>
      </c>
      <c r="AJ10">
        <v>0.36390216421781202</v>
      </c>
      <c r="AK10">
        <v>1.24063101450274E-2</v>
      </c>
      <c r="AL10">
        <v>0.62369152563715902</v>
      </c>
    </row>
    <row r="11" spans="1:38" x14ac:dyDescent="0.2">
      <c r="A11">
        <v>34</v>
      </c>
      <c r="B11">
        <v>732</v>
      </c>
      <c r="C11">
        <v>280</v>
      </c>
      <c r="D11">
        <v>0.27808834502313201</v>
      </c>
      <c r="E11">
        <v>33.430585639638998</v>
      </c>
      <c r="F11">
        <v>2.5262933061151802</v>
      </c>
      <c r="G11">
        <v>-524.79561622257506</v>
      </c>
      <c r="H11">
        <v>-456.3514367829348</v>
      </c>
      <c r="I11">
        <v>68.093497925324698</v>
      </c>
      <c r="J11">
        <v>39.854434574688497</v>
      </c>
      <c r="K11">
        <v>13.233057918776201</v>
      </c>
      <c r="L11">
        <v>2.8772636057436123E-5</v>
      </c>
      <c r="M11">
        <v>1.7901212572800163E-6</v>
      </c>
      <c r="N11" s="1">
        <v>-4.53279573851514E-7</v>
      </c>
      <c r="O11" s="1">
        <v>1.2504946124219201E-10</v>
      </c>
      <c r="P11" s="1">
        <v>1.5683647868263799E-9</v>
      </c>
      <c r="Q11">
        <v>65.881783840962598</v>
      </c>
      <c r="S11">
        <v>18.9369300455194</v>
      </c>
      <c r="AA11">
        <v>0.250547588600251</v>
      </c>
      <c r="AB11">
        <v>4.1245697893543696</v>
      </c>
      <c r="AC11">
        <v>10.8061687355633</v>
      </c>
      <c r="AJ11">
        <v>0.36267318606264098</v>
      </c>
      <c r="AK11">
        <v>1.2174126459043399E-2</v>
      </c>
      <c r="AL11">
        <v>0.62515268747831498</v>
      </c>
    </row>
    <row r="12" spans="1:38" x14ac:dyDescent="0.2">
      <c r="A12">
        <v>35</v>
      </c>
      <c r="B12">
        <v>730</v>
      </c>
      <c r="C12">
        <v>280</v>
      </c>
      <c r="D12">
        <v>0.27650949509046802</v>
      </c>
      <c r="E12">
        <v>34.270851597856897</v>
      </c>
      <c r="F12">
        <v>2.5263569718005598</v>
      </c>
      <c r="G12">
        <v>-537.80041476842212</v>
      </c>
      <c r="H12">
        <v>-467.86461387471348</v>
      </c>
      <c r="I12">
        <v>69.716194879837204</v>
      </c>
      <c r="J12">
        <v>40.879601260859303</v>
      </c>
      <c r="K12">
        <v>13.565324291219</v>
      </c>
      <c r="L12">
        <v>2.8830740460623901E-5</v>
      </c>
      <c r="M12">
        <v>1.7903658511415938E-6</v>
      </c>
      <c r="N12" s="1">
        <v>-4.9617473055315702E-7</v>
      </c>
      <c r="O12" s="1">
        <v>1.2796526527667501E-10</v>
      </c>
      <c r="P12" s="1">
        <v>1.6965265439703601E-9</v>
      </c>
      <c r="Q12">
        <v>65.881133568082902</v>
      </c>
      <c r="S12">
        <v>18.931110459580399</v>
      </c>
      <c r="AA12">
        <v>0.24589810289950001</v>
      </c>
      <c r="AB12">
        <v>4.1078638899715401</v>
      </c>
      <c r="AC12">
        <v>10.8339939794655</v>
      </c>
      <c r="AJ12">
        <v>0.36123499157857702</v>
      </c>
      <c r="AK12">
        <v>1.1949224909442E-2</v>
      </c>
      <c r="AL12">
        <v>0.62681578351197997</v>
      </c>
    </row>
    <row r="13" spans="1:38" x14ac:dyDescent="0.2">
      <c r="A13">
        <v>36</v>
      </c>
      <c r="B13">
        <v>728</v>
      </c>
      <c r="C13">
        <v>280</v>
      </c>
      <c r="D13">
        <v>0.27492433701243602</v>
      </c>
      <c r="E13">
        <v>34.816329288434801</v>
      </c>
      <c r="F13">
        <v>2.5264220713979699</v>
      </c>
      <c r="G13">
        <v>-546.16943001258483</v>
      </c>
      <c r="H13">
        <v>-475.35313096389882</v>
      </c>
      <c r="I13">
        <v>70.734953851756401</v>
      </c>
      <c r="J13">
        <v>41.555727650609597</v>
      </c>
      <c r="K13">
        <v>13.7808839158729</v>
      </c>
      <c r="L13">
        <v>2.889216904439114E-5</v>
      </c>
      <c r="M13">
        <v>1.7906084944039601E-6</v>
      </c>
      <c r="N13" s="1">
        <v>-5.3773301995795697E-7</v>
      </c>
      <c r="O13" s="1">
        <v>1.2975985887951401E-10</v>
      </c>
      <c r="P13" s="1">
        <v>1.8181048524817499E-9</v>
      </c>
      <c r="Q13">
        <v>65.879998768238906</v>
      </c>
      <c r="S13">
        <v>18.9252815525359</v>
      </c>
      <c r="AA13">
        <v>0.241353984934428</v>
      </c>
      <c r="AB13">
        <v>4.0900538117379401</v>
      </c>
      <c r="AC13">
        <v>10.863311882552599</v>
      </c>
      <c r="AJ13">
        <v>0.35970146640935002</v>
      </c>
      <c r="AK13">
        <v>1.17294716647097E-2</v>
      </c>
      <c r="AL13">
        <v>0.62856906192593898</v>
      </c>
    </row>
    <row r="14" spans="1:38" x14ac:dyDescent="0.2">
      <c r="A14">
        <v>37</v>
      </c>
      <c r="B14">
        <v>726</v>
      </c>
      <c r="C14">
        <v>280</v>
      </c>
      <c r="D14">
        <v>0.273332832907971</v>
      </c>
      <c r="E14">
        <v>35.1961790125156</v>
      </c>
      <c r="F14">
        <v>2.5264888336949101</v>
      </c>
      <c r="G14">
        <v>-551.93404355761254</v>
      </c>
      <c r="H14">
        <v>-480.58041825385732</v>
      </c>
      <c r="I14">
        <v>71.414327482114999</v>
      </c>
      <c r="J14">
        <v>42.036769648016097</v>
      </c>
      <c r="K14">
        <v>13.930866641133001</v>
      </c>
      <c r="L14">
        <v>2.8957604423689305E-5</v>
      </c>
      <c r="M14">
        <v>1.7908559497812579E-6</v>
      </c>
      <c r="N14" s="1">
        <v>-5.7934685737688195E-7</v>
      </c>
      <c r="O14" s="1">
        <v>1.3091881009308299E-10</v>
      </c>
      <c r="P14" s="1">
        <v>1.9381013092408E-9</v>
      </c>
      <c r="Q14">
        <v>65.8785685642586</v>
      </c>
      <c r="S14">
        <v>18.9194764862849</v>
      </c>
      <c r="AA14">
        <v>0.236898464384868</v>
      </c>
      <c r="AB14">
        <v>4.07164794296515</v>
      </c>
      <c r="AC14">
        <v>10.8934085421063</v>
      </c>
      <c r="AJ14">
        <v>0.35811634663847502</v>
      </c>
      <c r="AK14">
        <v>1.15140195300142E-2</v>
      </c>
      <c r="AL14">
        <v>0.63036963383151001</v>
      </c>
    </row>
    <row r="15" spans="1:38" x14ac:dyDescent="0.2">
      <c r="A15">
        <v>47</v>
      </c>
      <c r="B15">
        <v>742</v>
      </c>
      <c r="C15">
        <v>260</v>
      </c>
      <c r="D15">
        <v>0.30756095158350699</v>
      </c>
      <c r="E15">
        <v>1.22048489170852</v>
      </c>
      <c r="F15">
        <v>2.58282857974875</v>
      </c>
      <c r="G15">
        <v>-19.742629039266681</v>
      </c>
      <c r="H15">
        <v>-17.16017612982877</v>
      </c>
      <c r="I15">
        <v>2.5439126330472401</v>
      </c>
      <c r="J15">
        <v>1.49802849761611</v>
      </c>
      <c r="K15">
        <v>0.47253809303413002</v>
      </c>
      <c r="L15">
        <v>3.1682915466451654E-5</v>
      </c>
      <c r="M15">
        <v>1.7930242118819761E-6</v>
      </c>
      <c r="N15" s="1">
        <v>-2.7676778194190501E-8</v>
      </c>
      <c r="O15" s="1">
        <v>4.0408096790186101E-12</v>
      </c>
      <c r="P15" s="1">
        <v>9.0348300133759297E-11</v>
      </c>
      <c r="Q15">
        <v>64.352528785170705</v>
      </c>
      <c r="S15">
        <v>22.018747347495001</v>
      </c>
      <c r="AA15">
        <v>3.1499091790284202</v>
      </c>
      <c r="AB15">
        <v>8.7960916136137293</v>
      </c>
      <c r="AC15">
        <v>1.68272307469211</v>
      </c>
      <c r="AJ15">
        <v>0.75542878309542205</v>
      </c>
      <c r="AK15">
        <v>0.14949015991862399</v>
      </c>
      <c r="AL15">
        <v>9.5081056985953705E-2</v>
      </c>
    </row>
    <row r="16" spans="1:38" x14ac:dyDescent="0.2">
      <c r="A16">
        <v>48</v>
      </c>
      <c r="B16">
        <v>740</v>
      </c>
      <c r="C16">
        <v>260</v>
      </c>
      <c r="D16">
        <v>0.30605586537038199</v>
      </c>
      <c r="E16">
        <v>14.622642049598401</v>
      </c>
      <c r="F16">
        <v>2.58122004270419</v>
      </c>
      <c r="G16">
        <v>-236.4104938842552</v>
      </c>
      <c r="H16">
        <v>-205.55799361500792</v>
      </c>
      <c r="I16">
        <v>30.452055736314701</v>
      </c>
      <c r="J16">
        <v>17.972555729415799</v>
      </c>
      <c r="K16">
        <v>5.6650118190927801</v>
      </c>
      <c r="L16">
        <v>3.1891818936713781E-5</v>
      </c>
      <c r="M16">
        <v>1.7974599641289525E-6</v>
      </c>
      <c r="N16" s="1">
        <v>-3.55241059364932E-7</v>
      </c>
      <c r="O16" s="1">
        <v>4.8395820278057299E-11</v>
      </c>
      <c r="P16" s="1">
        <v>1.1497051008155801E-9</v>
      </c>
      <c r="Q16">
        <v>64.530620147218798</v>
      </c>
      <c r="S16">
        <v>21.881417260344701</v>
      </c>
      <c r="AA16">
        <v>2.9950552663128001</v>
      </c>
      <c r="AB16">
        <v>8.83292998746699</v>
      </c>
      <c r="AC16">
        <v>1.75997733865655</v>
      </c>
      <c r="AJ16">
        <v>0.758456164353986</v>
      </c>
      <c r="AK16">
        <v>0.142115461027636</v>
      </c>
      <c r="AL16">
        <v>9.9428374618376697E-2</v>
      </c>
    </row>
    <row r="17" spans="1:38" x14ac:dyDescent="0.2">
      <c r="A17">
        <v>49</v>
      </c>
      <c r="B17">
        <v>738</v>
      </c>
      <c r="C17">
        <v>260</v>
      </c>
      <c r="D17">
        <v>0.30454482519902998</v>
      </c>
      <c r="E17">
        <v>17.917345310333001</v>
      </c>
      <c r="F17">
        <v>2.58118732627034</v>
      </c>
      <c r="G17">
        <v>-289.60624648927973</v>
      </c>
      <c r="H17">
        <v>-251.91875121834707</v>
      </c>
      <c r="I17">
        <v>37.271913436119902</v>
      </c>
      <c r="J17">
        <v>22.051636223089599</v>
      </c>
      <c r="K17">
        <v>6.9415129727227098</v>
      </c>
      <c r="L17">
        <v>3.2047943015414962E-5</v>
      </c>
      <c r="M17">
        <v>1.7987516970751442E-6</v>
      </c>
      <c r="N17" s="1">
        <v>-4.6520626973938998E-7</v>
      </c>
      <c r="O17" s="1">
        <v>5.9081201224923404E-11</v>
      </c>
      <c r="P17" s="1">
        <v>1.4937698481858E-9</v>
      </c>
      <c r="Q17">
        <v>64.561031767195701</v>
      </c>
      <c r="S17">
        <v>21.8623904916439</v>
      </c>
      <c r="AA17">
        <v>2.9722618515479202</v>
      </c>
      <c r="AB17">
        <v>8.8508195041815299</v>
      </c>
      <c r="AC17">
        <v>1.7534963854308701</v>
      </c>
      <c r="AJ17">
        <v>0.75992507888365801</v>
      </c>
      <c r="AK17">
        <v>0.14102144186371099</v>
      </c>
      <c r="AL17">
        <v>9.9053479252630805E-2</v>
      </c>
    </row>
    <row r="18" spans="1:38" x14ac:dyDescent="0.2">
      <c r="A18">
        <v>50</v>
      </c>
      <c r="B18">
        <v>736</v>
      </c>
      <c r="C18">
        <v>260</v>
      </c>
      <c r="D18">
        <v>0.30302779566962401</v>
      </c>
      <c r="E18">
        <v>19.114123990389299</v>
      </c>
      <c r="F18">
        <v>2.58131886319967</v>
      </c>
      <c r="G18">
        <v>-308.88125992928354</v>
      </c>
      <c r="H18">
        <v>-268.80189995328664</v>
      </c>
      <c r="I18">
        <v>39.715958951589798</v>
      </c>
      <c r="J18">
        <v>23.557649858142099</v>
      </c>
      <c r="K18">
        <v>7.4047899555874404</v>
      </c>
      <c r="L18">
        <v>3.2204065486476795E-5</v>
      </c>
      <c r="M18">
        <v>1.7996835290786283E-6</v>
      </c>
      <c r="N18" s="1">
        <v>-5.3014255491459897E-7</v>
      </c>
      <c r="O18" s="1">
        <v>6.2757594780194006E-11</v>
      </c>
      <c r="P18" s="1">
        <v>1.6895763213218799E-9</v>
      </c>
      <c r="Q18">
        <v>64.574222812087299</v>
      </c>
      <c r="S18">
        <v>21.856271276451</v>
      </c>
      <c r="AA18">
        <v>2.9641354863657599</v>
      </c>
      <c r="AB18">
        <v>8.8641727222664102</v>
      </c>
      <c r="AC18">
        <v>1.7411977028294801</v>
      </c>
      <c r="AJ18">
        <v>0.76102120181192301</v>
      </c>
      <c r="AK18">
        <v>0.14062657108260301</v>
      </c>
      <c r="AL18">
        <v>9.8352227105473006E-2</v>
      </c>
    </row>
    <row r="19" spans="1:38" x14ac:dyDescent="0.2">
      <c r="A19">
        <v>51</v>
      </c>
      <c r="B19">
        <v>734</v>
      </c>
      <c r="C19">
        <v>260</v>
      </c>
      <c r="D19">
        <v>0.30150474110112602</v>
      </c>
      <c r="E19">
        <v>19.781939019375098</v>
      </c>
      <c r="F19">
        <v>2.5814840075833798</v>
      </c>
      <c r="G19">
        <v>-319.60300406278907</v>
      </c>
      <c r="H19">
        <v>-278.25339700428322</v>
      </c>
      <c r="I19">
        <v>41.0560562562735</v>
      </c>
      <c r="J19">
        <v>24.417262714773099</v>
      </c>
      <c r="K19">
        <v>7.6630104859311903</v>
      </c>
      <c r="L19">
        <v>3.2368008943304402E-5</v>
      </c>
      <c r="M19">
        <v>1.8005654031050699E-6</v>
      </c>
      <c r="N19" s="1">
        <v>-5.86059942744522E-7</v>
      </c>
      <c r="O19" s="1">
        <v>6.4648511177330596E-11</v>
      </c>
      <c r="P19" s="1">
        <v>1.8544500851581301E-9</v>
      </c>
      <c r="Q19">
        <v>64.583943971879805</v>
      </c>
      <c r="S19">
        <v>21.8527403924287</v>
      </c>
      <c r="AA19">
        <v>2.9589541711531702</v>
      </c>
      <c r="AB19">
        <v>8.8765791341255404</v>
      </c>
      <c r="AC19">
        <v>1.72778233041273</v>
      </c>
      <c r="AJ19">
        <v>0.76203943566587595</v>
      </c>
      <c r="AK19">
        <v>0.14037211602998501</v>
      </c>
      <c r="AL19">
        <v>9.7588448304137307E-2</v>
      </c>
    </row>
    <row r="20" spans="1:38" x14ac:dyDescent="0.2">
      <c r="A20">
        <v>52</v>
      </c>
      <c r="B20">
        <v>732</v>
      </c>
      <c r="C20">
        <v>260</v>
      </c>
      <c r="D20">
        <v>0.29997562552852802</v>
      </c>
      <c r="E20">
        <v>20.233126880608001</v>
      </c>
      <c r="F20">
        <v>2.58166170404093</v>
      </c>
      <c r="G20">
        <v>-326.82143465841352</v>
      </c>
      <c r="H20">
        <v>-284.66182695580255</v>
      </c>
      <c r="I20">
        <v>41.943598172024998</v>
      </c>
      <c r="J20">
        <v>25.014179985810902</v>
      </c>
      <c r="K20">
        <v>7.8372494928123899</v>
      </c>
      <c r="L20">
        <v>3.2541588524945458E-5</v>
      </c>
      <c r="M20">
        <v>1.8014488028092549E-6</v>
      </c>
      <c r="N20" s="1">
        <v>-6.4023464105153297E-7</v>
      </c>
      <c r="O20" s="1">
        <v>6.57933828012618E-11</v>
      </c>
      <c r="P20" s="1">
        <v>2.0120151563130201E-9</v>
      </c>
      <c r="Q20">
        <v>64.592411937234203</v>
      </c>
      <c r="S20">
        <v>21.8501332736442</v>
      </c>
      <c r="AA20">
        <v>2.95482738751021</v>
      </c>
      <c r="AB20">
        <v>8.8886146400416202</v>
      </c>
      <c r="AC20">
        <v>1.7140127615696601</v>
      </c>
      <c r="AJ20">
        <v>0.76302709358851695</v>
      </c>
      <c r="AK20">
        <v>0.14016797113067</v>
      </c>
      <c r="AL20">
        <v>9.6804935280811993E-2</v>
      </c>
    </row>
    <row r="21" spans="1:38" x14ac:dyDescent="0.2">
      <c r="A21">
        <v>53</v>
      </c>
      <c r="B21">
        <v>730</v>
      </c>
      <c r="C21">
        <v>260</v>
      </c>
      <c r="D21">
        <v>0.29844041269999899</v>
      </c>
      <c r="E21">
        <v>20.572360340725499</v>
      </c>
      <c r="F21">
        <v>2.5818452938180898</v>
      </c>
      <c r="G21">
        <v>-332.22896401298777</v>
      </c>
      <c r="H21">
        <v>-289.49787058154988</v>
      </c>
      <c r="I21">
        <v>42.596913154999697</v>
      </c>
      <c r="J21">
        <v>25.477134079726699</v>
      </c>
      <c r="K21">
        <v>7.9680840637444197</v>
      </c>
      <c r="L21">
        <v>3.2725861163521131E-5</v>
      </c>
      <c r="M21">
        <v>1.8023514458324935E-6</v>
      </c>
      <c r="N21" s="1">
        <v>-6.9518369617412199E-7</v>
      </c>
      <c r="O21" s="1">
        <v>6.6540181617194305E-11</v>
      </c>
      <c r="P21" s="1">
        <v>2.1703744101601999E-9</v>
      </c>
      <c r="Q21">
        <v>64.600332064185096</v>
      </c>
      <c r="S21">
        <v>21.847920336358399</v>
      </c>
      <c r="AA21">
        <v>2.9511536382418702</v>
      </c>
      <c r="AB21">
        <v>8.9004627154953493</v>
      </c>
      <c r="AC21">
        <v>1.70013124571913</v>
      </c>
      <c r="AJ21">
        <v>0.76399924899684102</v>
      </c>
      <c r="AK21">
        <v>0.139985468906525</v>
      </c>
      <c r="AL21">
        <v>9.6015282096633597E-2</v>
      </c>
    </row>
    <row r="22" spans="1:38" x14ac:dyDescent="0.2">
      <c r="A22">
        <v>54</v>
      </c>
      <c r="B22">
        <v>728</v>
      </c>
      <c r="C22">
        <v>260</v>
      </c>
      <c r="D22">
        <v>0.29689906607401501</v>
      </c>
      <c r="E22">
        <v>20.8454031347819</v>
      </c>
      <c r="F22">
        <v>2.5820320861128199</v>
      </c>
      <c r="G22">
        <v>-336.56554894531666</v>
      </c>
      <c r="H22">
        <v>-293.40450616190515</v>
      </c>
      <c r="I22">
        <v>43.111464599122399</v>
      </c>
      <c r="J22">
        <v>25.862540479966999</v>
      </c>
      <c r="K22">
        <v>8.0732548781623006</v>
      </c>
      <c r="L22">
        <v>3.2921692180790019E-5</v>
      </c>
      <c r="M22">
        <v>1.8032817980937424E-6</v>
      </c>
      <c r="N22" s="1">
        <v>-7.5206025052140604E-7</v>
      </c>
      <c r="O22" s="1">
        <v>6.7040827836772303E-11</v>
      </c>
      <c r="P22" s="1">
        <v>2.33318245183647E-9</v>
      </c>
      <c r="Q22">
        <v>64.607993694038697</v>
      </c>
      <c r="S22">
        <v>21.845884479028701</v>
      </c>
      <c r="AA22">
        <v>2.94768629851422</v>
      </c>
      <c r="AB22">
        <v>8.9121989821545693</v>
      </c>
      <c r="AC22">
        <v>1.6862365462636799</v>
      </c>
      <c r="AJ22">
        <v>0.76496211478284704</v>
      </c>
      <c r="AK22">
        <v>0.13981285547973701</v>
      </c>
      <c r="AL22">
        <v>9.5225029737415201E-2</v>
      </c>
    </row>
    <row r="23" spans="1:38" x14ac:dyDescent="0.2">
      <c r="A23">
        <v>62</v>
      </c>
      <c r="B23">
        <v>746</v>
      </c>
      <c r="C23">
        <v>240</v>
      </c>
      <c r="D23">
        <v>0.33214001864298798</v>
      </c>
      <c r="E23">
        <v>1.47508363566072</v>
      </c>
      <c r="F23">
        <v>2.5814030756261999</v>
      </c>
      <c r="G23">
        <v>-23.886457916197948</v>
      </c>
      <c r="H23">
        <v>-20.745117383407202</v>
      </c>
      <c r="I23">
        <v>3.0823142155627199</v>
      </c>
      <c r="J23">
        <v>1.80666017383372</v>
      </c>
      <c r="K23">
        <v>0.57142708536631504</v>
      </c>
      <c r="L23">
        <v>3.1454018035128174E-5</v>
      </c>
      <c r="M23">
        <v>1.7942637577993342E-6</v>
      </c>
      <c r="N23" s="1">
        <v>-2.9045191461171199E-8</v>
      </c>
      <c r="O23" s="1">
        <v>4.9227266295328201E-12</v>
      </c>
      <c r="P23" s="1">
        <v>9.6608202391944501E-11</v>
      </c>
      <c r="Q23">
        <v>64.393967765559296</v>
      </c>
      <c r="S23">
        <v>21.9968792781338</v>
      </c>
      <c r="AA23">
        <v>3.1221985783277999</v>
      </c>
      <c r="AB23">
        <v>8.83110617266715</v>
      </c>
      <c r="AC23">
        <v>1.65584820531184</v>
      </c>
      <c r="AJ23">
        <v>0.75830436318155103</v>
      </c>
      <c r="AK23">
        <v>0.14814935352283501</v>
      </c>
      <c r="AL23">
        <v>9.3546283295613597E-2</v>
      </c>
    </row>
    <row r="24" spans="1:38" x14ac:dyDescent="0.2">
      <c r="A24">
        <v>63</v>
      </c>
      <c r="B24">
        <v>744</v>
      </c>
      <c r="C24">
        <v>240</v>
      </c>
      <c r="D24">
        <v>0.33068918055350899</v>
      </c>
      <c r="E24">
        <v>10.379025682063199</v>
      </c>
      <c r="F24">
        <v>2.5794562350334602</v>
      </c>
      <c r="G24">
        <v>-167.94434898912255</v>
      </c>
      <c r="H24">
        <v>-145.90449007940765</v>
      </c>
      <c r="I24">
        <v>21.6682484488176</v>
      </c>
      <c r="J24">
        <v>12.7233347080666</v>
      </c>
      <c r="K24">
        <v>4.0237262183781697</v>
      </c>
      <c r="L24">
        <v>3.1606053985431606E-5</v>
      </c>
      <c r="M24">
        <v>1.7981370174634563E-6</v>
      </c>
      <c r="N24" s="1">
        <v>-2.17550272545693E-7</v>
      </c>
      <c r="O24" s="1">
        <v>3.4672014594204599E-11</v>
      </c>
      <c r="P24" s="1">
        <v>7.17268433477045E-10</v>
      </c>
      <c r="Q24">
        <v>64.564249250054402</v>
      </c>
      <c r="S24">
        <v>21.848328510957099</v>
      </c>
      <c r="AA24">
        <v>2.9599098178589398</v>
      </c>
      <c r="AB24">
        <v>8.8211241816651391</v>
      </c>
      <c r="AC24">
        <v>1.8063882394642601</v>
      </c>
      <c r="AJ24">
        <v>0.75748745955695196</v>
      </c>
      <c r="AK24">
        <v>0.14045615678142301</v>
      </c>
      <c r="AL24">
        <v>0.10205638366162401</v>
      </c>
    </row>
    <row r="25" spans="1:38" x14ac:dyDescent="0.2">
      <c r="A25">
        <v>64</v>
      </c>
      <c r="B25">
        <v>742</v>
      </c>
      <c r="C25">
        <v>240</v>
      </c>
      <c r="D25">
        <v>0.32923262572033701</v>
      </c>
      <c r="E25">
        <v>16.912383470840201</v>
      </c>
      <c r="F25">
        <v>2.5796565291676798</v>
      </c>
      <c r="G25">
        <v>-273.60287644535339</v>
      </c>
      <c r="H25">
        <v>-237.80090940452217</v>
      </c>
      <c r="I25">
        <v>35.267661962105201</v>
      </c>
      <c r="J25">
        <v>20.755433687159499</v>
      </c>
      <c r="K25">
        <v>6.5560601884844498</v>
      </c>
      <c r="L25">
        <v>3.1730862533740736E-5</v>
      </c>
      <c r="M25">
        <v>1.7988233087212326E-6</v>
      </c>
      <c r="N25" s="1">
        <v>-3.78417641859221E-7</v>
      </c>
      <c r="O25" s="1">
        <v>5.6297079442995901E-11</v>
      </c>
      <c r="P25" s="1">
        <v>1.2369976155257701E-9</v>
      </c>
      <c r="Q25">
        <v>64.570028829825006</v>
      </c>
      <c r="S25">
        <v>21.847824709872299</v>
      </c>
      <c r="AA25">
        <v>2.95814559087792</v>
      </c>
      <c r="AB25">
        <v>8.8326828852528294</v>
      </c>
      <c r="AC25">
        <v>1.7913179841717899</v>
      </c>
      <c r="AJ25">
        <v>0.758436479132095</v>
      </c>
      <c r="AK25">
        <v>0.140364379489129</v>
      </c>
      <c r="AL25">
        <v>0.101199141378774</v>
      </c>
    </row>
    <row r="26" spans="1:38" x14ac:dyDescent="0.2">
      <c r="A26">
        <v>65</v>
      </c>
      <c r="B26">
        <v>740</v>
      </c>
      <c r="C26">
        <v>240</v>
      </c>
      <c r="D26">
        <v>0.32777032028821201</v>
      </c>
      <c r="E26">
        <v>18.554855005976599</v>
      </c>
      <c r="F26">
        <v>2.57990629768311</v>
      </c>
      <c r="G26">
        <v>-300.11196616389026</v>
      </c>
      <c r="H26">
        <v>-260.95564347663753</v>
      </c>
      <c r="I26">
        <v>38.648100170016903</v>
      </c>
      <c r="J26">
        <v>22.798052766141701</v>
      </c>
      <c r="K26">
        <v>7.1920654725483004</v>
      </c>
      <c r="L26">
        <v>3.1860698828655998E-5</v>
      </c>
      <c r="M26">
        <v>1.7994167677968685E-6</v>
      </c>
      <c r="N26" s="1">
        <v>-4.4319214878901399E-7</v>
      </c>
      <c r="O26" s="1">
        <v>6.15247869791132E-11</v>
      </c>
      <c r="P26" s="1">
        <v>1.4369104847761299E-9</v>
      </c>
      <c r="Q26">
        <v>64.570666561450693</v>
      </c>
      <c r="S26">
        <v>21.851167092456599</v>
      </c>
      <c r="AA26">
        <v>2.9607542847767099</v>
      </c>
      <c r="AB26">
        <v>8.8428665264709299</v>
      </c>
      <c r="AC26">
        <v>1.7745455348449399</v>
      </c>
      <c r="AJ26">
        <v>0.75927244196700605</v>
      </c>
      <c r="AK26">
        <v>0.140481043404318</v>
      </c>
      <c r="AL26">
        <v>0.100246514628674</v>
      </c>
    </row>
    <row r="27" spans="1:38" x14ac:dyDescent="0.2">
      <c r="A27">
        <v>66</v>
      </c>
      <c r="B27">
        <v>738</v>
      </c>
      <c r="C27">
        <v>240</v>
      </c>
      <c r="D27">
        <v>0.326302230134007</v>
      </c>
      <c r="E27">
        <v>19.3525116281468</v>
      </c>
      <c r="F27">
        <v>2.58013280500038</v>
      </c>
      <c r="G27">
        <v>-312.94756090971384</v>
      </c>
      <c r="H27">
        <v>-272.23563480647579</v>
      </c>
      <c r="I27">
        <v>40.262993723224099</v>
      </c>
      <c r="J27">
        <v>23.808338220917999</v>
      </c>
      <c r="K27">
        <v>7.5005874079973802</v>
      </c>
      <c r="L27">
        <v>3.2000024058201657E-5</v>
      </c>
      <c r="M27">
        <v>1.8000886775725668E-6</v>
      </c>
      <c r="N27" s="1">
        <v>-4.93562767327182E-7</v>
      </c>
      <c r="O27" s="1">
        <v>6.3906654721257495E-11</v>
      </c>
      <c r="P27" s="1">
        <v>1.58768413944962E-9</v>
      </c>
      <c r="Q27">
        <v>64.573756830057704</v>
      </c>
      <c r="S27">
        <v>21.8526399918618</v>
      </c>
      <c r="AA27">
        <v>2.96124836993449</v>
      </c>
      <c r="AB27">
        <v>8.8536144216487198</v>
      </c>
      <c r="AC27">
        <v>1.7587403864972</v>
      </c>
      <c r="AJ27">
        <v>0.76015466871433102</v>
      </c>
      <c r="AK27">
        <v>0.140496979580024</v>
      </c>
      <c r="AL27">
        <v>9.9348351705643601E-2</v>
      </c>
    </row>
    <row r="28" spans="1:38" x14ac:dyDescent="0.2">
      <c r="A28">
        <v>67</v>
      </c>
      <c r="B28">
        <v>736</v>
      </c>
      <c r="C28">
        <v>240</v>
      </c>
      <c r="D28">
        <v>0.32482832086409602</v>
      </c>
      <c r="E28">
        <v>19.857441430853001</v>
      </c>
      <c r="F28">
        <v>2.5803483982930802</v>
      </c>
      <c r="G28">
        <v>-321.04457057395001</v>
      </c>
      <c r="H28">
        <v>-279.40134711533995</v>
      </c>
      <c r="I28">
        <v>41.265642826745299</v>
      </c>
      <c r="J28">
        <v>24.4628266586429</v>
      </c>
      <c r="K28">
        <v>7.6956435200722604</v>
      </c>
      <c r="L28">
        <v>3.2148778021550679E-5</v>
      </c>
      <c r="M28">
        <v>1.8008123559260332E-6</v>
      </c>
      <c r="N28" s="1">
        <v>-5.4083722073403599E-7</v>
      </c>
      <c r="O28" s="1">
        <v>6.5288297546758405E-11</v>
      </c>
      <c r="P28" s="1">
        <v>1.7266824818101801E-9</v>
      </c>
      <c r="Q28">
        <v>64.578027384288902</v>
      </c>
      <c r="S28">
        <v>21.853204195373699</v>
      </c>
      <c r="AA28">
        <v>2.9607173681611698</v>
      </c>
      <c r="AB28">
        <v>8.86461025563273</v>
      </c>
      <c r="AC28">
        <v>1.74344079654347</v>
      </c>
      <c r="AJ28">
        <v>0.761057166571248</v>
      </c>
      <c r="AK28">
        <v>0.14046411121925001</v>
      </c>
      <c r="AL28">
        <v>9.8478722209501393E-2</v>
      </c>
    </row>
    <row r="29" spans="1:38" x14ac:dyDescent="0.2">
      <c r="A29">
        <v>68</v>
      </c>
      <c r="B29">
        <v>734</v>
      </c>
      <c r="C29">
        <v>240</v>
      </c>
      <c r="D29">
        <v>0.32334855781164801</v>
      </c>
      <c r="E29">
        <v>20.223443015761099</v>
      </c>
      <c r="F29">
        <v>2.58055769980357</v>
      </c>
      <c r="G29">
        <v>-326.89218204363402</v>
      </c>
      <c r="H29">
        <v>-284.61468785321921</v>
      </c>
      <c r="I29">
        <v>41.977356094340202</v>
      </c>
      <c r="J29">
        <v>24.9501083504781</v>
      </c>
      <c r="K29">
        <v>7.8368497698386896</v>
      </c>
      <c r="L29">
        <v>3.2307338918544448E-5</v>
      </c>
      <c r="M29">
        <v>1.801579024609196E-6</v>
      </c>
      <c r="N29" s="1">
        <v>-5.8826704434664404E-7</v>
      </c>
      <c r="O29" s="1">
        <v>6.6182989018291701E-11</v>
      </c>
      <c r="P29" s="1">
        <v>1.86457381954811E-9</v>
      </c>
      <c r="Q29">
        <v>64.583005857873701</v>
      </c>
      <c r="S29">
        <v>21.853216646476099</v>
      </c>
      <c r="AA29">
        <v>2.95956598169722</v>
      </c>
      <c r="AB29">
        <v>8.8757371592653502</v>
      </c>
      <c r="AC29">
        <v>1.7284743546874699</v>
      </c>
      <c r="AJ29">
        <v>0.76197033180753804</v>
      </c>
      <c r="AK29">
        <v>0.140401725816511</v>
      </c>
      <c r="AL29">
        <v>9.7627942375950405E-2</v>
      </c>
    </row>
    <row r="30" spans="1:38" x14ac:dyDescent="0.2">
      <c r="A30">
        <v>69</v>
      </c>
      <c r="B30">
        <v>732</v>
      </c>
      <c r="C30">
        <v>240</v>
      </c>
      <c r="D30">
        <v>0.32186290603392398</v>
      </c>
      <c r="E30">
        <v>20.511468466397702</v>
      </c>
      <c r="F30">
        <v>2.58076290673558</v>
      </c>
      <c r="G30">
        <v>-331.47693543377289</v>
      </c>
      <c r="H30">
        <v>-288.73244748098301</v>
      </c>
      <c r="I30">
        <v>42.525481721921999</v>
      </c>
      <c r="J30">
        <v>25.345048065653501</v>
      </c>
      <c r="K30">
        <v>7.9478314001121504</v>
      </c>
      <c r="L30">
        <v>3.2476245777415047E-5</v>
      </c>
      <c r="M30">
        <v>1.8023855928793169E-6</v>
      </c>
      <c r="N30" s="1">
        <v>-6.3723063629740796E-7</v>
      </c>
      <c r="O30" s="1">
        <v>6.6793516880813604E-11</v>
      </c>
      <c r="P30" s="1">
        <v>2.0058125729963499E-9</v>
      </c>
      <c r="Q30">
        <v>64.588471264440201</v>
      </c>
      <c r="S30">
        <v>21.852844524806301</v>
      </c>
      <c r="AA30">
        <v>2.9579836996040498</v>
      </c>
      <c r="AB30">
        <v>8.8869409594187303</v>
      </c>
      <c r="AC30">
        <v>1.7137595517306501</v>
      </c>
      <c r="AJ30">
        <v>0.76288971274432105</v>
      </c>
      <c r="AK30">
        <v>0.14031885444193101</v>
      </c>
      <c r="AL30">
        <v>9.6791432813747594E-2</v>
      </c>
    </row>
    <row r="31" spans="1:38" x14ac:dyDescent="0.2">
      <c r="A31">
        <v>75</v>
      </c>
      <c r="B31">
        <v>750</v>
      </c>
      <c r="C31">
        <v>220</v>
      </c>
      <c r="D31">
        <v>0.356526902213751</v>
      </c>
      <c r="E31">
        <v>1.94369726960321</v>
      </c>
      <c r="F31">
        <v>2.5796361936379899</v>
      </c>
      <c r="G31">
        <v>-31.505698739996543</v>
      </c>
      <c r="H31">
        <v>-27.339629391842248</v>
      </c>
      <c r="I31">
        <v>4.0718070157398998</v>
      </c>
      <c r="J31">
        <v>2.3762644529844699</v>
      </c>
      <c r="K31">
        <v>0.75347728272569703</v>
      </c>
      <c r="L31">
        <v>3.1262791011773646E-5</v>
      </c>
      <c r="M31">
        <v>1.7961146424545035E-6</v>
      </c>
      <c r="N31" s="1">
        <v>-3.3259281710358398E-8</v>
      </c>
      <c r="O31" s="1">
        <v>6.5361187010007499E-12</v>
      </c>
      <c r="P31" s="1">
        <v>1.1291868633116399E-10</v>
      </c>
      <c r="Q31">
        <v>64.461913224588201</v>
      </c>
      <c r="S31">
        <v>21.951182085429799</v>
      </c>
      <c r="AA31">
        <v>3.0686437824547399</v>
      </c>
      <c r="AB31">
        <v>8.8627178533092899</v>
      </c>
      <c r="AC31">
        <v>1.65554305421782</v>
      </c>
      <c r="AJ31">
        <v>0.76090009046263696</v>
      </c>
      <c r="AK31">
        <v>0.145585452126371</v>
      </c>
      <c r="AL31">
        <v>9.3514457410991098E-2</v>
      </c>
    </row>
    <row r="32" spans="1:38" x14ac:dyDescent="0.2">
      <c r="A32">
        <v>76</v>
      </c>
      <c r="B32">
        <v>748</v>
      </c>
      <c r="C32">
        <v>220</v>
      </c>
      <c r="D32">
        <v>0.355129510845618</v>
      </c>
      <c r="E32">
        <v>4.0071652919085201</v>
      </c>
      <c r="F32">
        <v>2.57677249833666</v>
      </c>
      <c r="G32">
        <v>-64.887062480561852</v>
      </c>
      <c r="H32">
        <v>-56.322103150829221</v>
      </c>
      <c r="I32">
        <v>8.3875623852838892</v>
      </c>
      <c r="J32">
        <v>4.9019221234222199</v>
      </c>
      <c r="K32">
        <v>1.55511023751425</v>
      </c>
      <c r="L32">
        <v>3.1403816159421233E-5</v>
      </c>
      <c r="M32">
        <v>1.8010058151680941E-6</v>
      </c>
      <c r="N32" s="1">
        <v>-7.2759923870644305E-8</v>
      </c>
      <c r="O32" s="1">
        <v>1.35185157480825E-11</v>
      </c>
      <c r="P32" s="1">
        <v>2.44728215562683E-10</v>
      </c>
      <c r="Q32">
        <v>64.691971513244496</v>
      </c>
      <c r="S32">
        <v>21.7438680283413</v>
      </c>
      <c r="AA32">
        <v>2.8439266060708999</v>
      </c>
      <c r="AB32">
        <v>8.8318896610236806</v>
      </c>
      <c r="AC32">
        <v>1.8883441913194099</v>
      </c>
      <c r="AJ32">
        <v>0.75837321749612296</v>
      </c>
      <c r="AK32">
        <v>0.13494553737463799</v>
      </c>
      <c r="AL32">
        <v>0.106681245129238</v>
      </c>
    </row>
    <row r="33" spans="1:38" x14ac:dyDescent="0.2">
      <c r="A33">
        <v>77</v>
      </c>
      <c r="B33">
        <v>746</v>
      </c>
      <c r="C33">
        <v>220</v>
      </c>
      <c r="D33">
        <v>0.35372663494088302</v>
      </c>
      <c r="E33">
        <v>15.854736617078601</v>
      </c>
      <c r="F33">
        <v>2.5779696581234202</v>
      </c>
      <c r="G33">
        <v>-256.71230379851397</v>
      </c>
      <c r="H33">
        <v>-222.93430992249267</v>
      </c>
      <c r="I33">
        <v>33.143299687014903</v>
      </c>
      <c r="J33">
        <v>19.4104334099314</v>
      </c>
      <c r="K33">
        <v>6.1500865873726802</v>
      </c>
      <c r="L33">
        <v>3.1461853596674974E-5</v>
      </c>
      <c r="M33">
        <v>1.7993692177719601E-6</v>
      </c>
      <c r="N33" s="1">
        <v>-3.0613150702995899E-7</v>
      </c>
      <c r="O33" s="1">
        <v>5.3225166229068498E-11</v>
      </c>
      <c r="P33" s="1">
        <v>1.02053319140597E-9</v>
      </c>
      <c r="Q33">
        <v>64.595197814208802</v>
      </c>
      <c r="S33">
        <v>21.820915734965102</v>
      </c>
      <c r="AA33">
        <v>2.9300725726296699</v>
      </c>
      <c r="AB33">
        <v>8.8182252413203006</v>
      </c>
      <c r="AC33">
        <v>1.8355886368760499</v>
      </c>
      <c r="AJ33">
        <v>0.75724991932400798</v>
      </c>
      <c r="AK33">
        <v>0.13904238721470299</v>
      </c>
      <c r="AL33">
        <v>0.103707693461288</v>
      </c>
    </row>
    <row r="34" spans="1:38" x14ac:dyDescent="0.2">
      <c r="A34">
        <v>78</v>
      </c>
      <c r="B34">
        <v>744</v>
      </c>
      <c r="C34">
        <v>220</v>
      </c>
      <c r="D34">
        <v>0.352318242147177</v>
      </c>
      <c r="E34">
        <v>17.992865963557598</v>
      </c>
      <c r="F34">
        <v>2.5784092542077901</v>
      </c>
      <c r="G34">
        <v>-291.27918985632601</v>
      </c>
      <c r="H34">
        <v>-253.06612982566014</v>
      </c>
      <c r="I34">
        <v>37.568755867537497</v>
      </c>
      <c r="J34">
        <v>22.049663486982599</v>
      </c>
      <c r="K34">
        <v>6.9782816417504101</v>
      </c>
      <c r="L34">
        <v>3.1565084802990612E-5</v>
      </c>
      <c r="M34">
        <v>1.799477789019841E-6</v>
      </c>
      <c r="N34" s="1">
        <v>-3.7047414724394201E-7</v>
      </c>
      <c r="O34" s="1">
        <v>6.0179466946613494E-11</v>
      </c>
      <c r="P34" s="1">
        <v>1.22404307003396E-9</v>
      </c>
      <c r="Q34">
        <v>64.576219200841095</v>
      </c>
      <c r="S34">
        <v>21.839140777991499</v>
      </c>
      <c r="AA34">
        <v>2.94953681971112</v>
      </c>
      <c r="AB34">
        <v>8.8237117387340405</v>
      </c>
      <c r="AC34">
        <v>1.8113914627221099</v>
      </c>
      <c r="AJ34">
        <v>0.75770008101014696</v>
      </c>
      <c r="AK34">
        <v>0.13996215935530301</v>
      </c>
      <c r="AL34">
        <v>0.102337759634549</v>
      </c>
    </row>
    <row r="35" spans="1:38" x14ac:dyDescent="0.2">
      <c r="A35">
        <v>79</v>
      </c>
      <c r="B35">
        <v>742</v>
      </c>
      <c r="C35">
        <v>220</v>
      </c>
      <c r="D35">
        <v>0.35090429985716198</v>
      </c>
      <c r="E35">
        <v>18.939462506274399</v>
      </c>
      <c r="F35">
        <v>2.5787423181545401</v>
      </c>
      <c r="G35">
        <v>-306.54320369033866</v>
      </c>
      <c r="H35">
        <v>-266.44550363188938</v>
      </c>
      <c r="I35">
        <v>39.4992858774065</v>
      </c>
      <c r="J35">
        <v>23.2344658918405</v>
      </c>
      <c r="K35">
        <v>7.3444571692717098</v>
      </c>
      <c r="L35">
        <v>3.1680703187886698E-5</v>
      </c>
      <c r="M35">
        <v>1.7998484299956747E-6</v>
      </c>
      <c r="N35" s="1">
        <v>-4.1607885155321402E-7</v>
      </c>
      <c r="O35" s="1">
        <v>6.3109511099888196E-11</v>
      </c>
      <c r="P35" s="1">
        <v>1.3629288582983799E-9</v>
      </c>
      <c r="Q35">
        <v>64.568150664328499</v>
      </c>
      <c r="S35">
        <v>21.8490696353437</v>
      </c>
      <c r="AA35">
        <v>2.9596109113812799</v>
      </c>
      <c r="AB35">
        <v>8.8317612281217404</v>
      </c>
      <c r="AC35">
        <v>1.79140756082462</v>
      </c>
      <c r="AJ35">
        <v>0.75836078952087005</v>
      </c>
      <c r="AK35">
        <v>0.140434548076973</v>
      </c>
      <c r="AL35">
        <v>0.101204662402155</v>
      </c>
    </row>
    <row r="36" spans="1:38" x14ac:dyDescent="0.2">
      <c r="A36">
        <v>80</v>
      </c>
      <c r="B36">
        <v>740</v>
      </c>
      <c r="C36">
        <v>220</v>
      </c>
      <c r="D36">
        <v>0.34948477520604299</v>
      </c>
      <c r="E36">
        <v>19.495217614730102</v>
      </c>
      <c r="F36">
        <v>2.5790130333561301</v>
      </c>
      <c r="G36">
        <v>-315.4737818221484</v>
      </c>
      <c r="H36">
        <v>-274.32842600904519</v>
      </c>
      <c r="I36">
        <v>40.611316994623799</v>
      </c>
      <c r="J36">
        <v>23.943868483428702</v>
      </c>
      <c r="K36">
        <v>7.5591776243800197</v>
      </c>
      <c r="L36">
        <v>3.1807082233453603E-5</v>
      </c>
      <c r="M36">
        <v>1.8003842783552864E-6</v>
      </c>
      <c r="N36" s="1">
        <v>-4.5715170956826302E-7</v>
      </c>
      <c r="O36" s="1">
        <v>6.4711345627600397E-11</v>
      </c>
      <c r="P36" s="1">
        <v>1.4851148188443001E-9</v>
      </c>
      <c r="Q36">
        <v>64.566532829850004</v>
      </c>
      <c r="S36">
        <v>21.854099313605001</v>
      </c>
      <c r="AA36">
        <v>2.9641379470050002</v>
      </c>
      <c r="AB36">
        <v>8.8413419261959607</v>
      </c>
      <c r="AC36">
        <v>1.7738879833439101</v>
      </c>
      <c r="AJ36">
        <v>0.75914723323752598</v>
      </c>
      <c r="AK36">
        <v>0.14064264602125101</v>
      </c>
      <c r="AL36">
        <v>0.100210120741221</v>
      </c>
    </row>
    <row r="37" spans="1:38" x14ac:dyDescent="0.2">
      <c r="A37">
        <v>81</v>
      </c>
      <c r="B37">
        <v>738</v>
      </c>
      <c r="C37">
        <v>220</v>
      </c>
      <c r="D37">
        <v>0.34805963506898102</v>
      </c>
      <c r="E37">
        <v>19.8842357851556</v>
      </c>
      <c r="F37">
        <v>2.5792576176609301</v>
      </c>
      <c r="G37">
        <v>-321.70190332075668</v>
      </c>
      <c r="H37">
        <v>-279.86683484333281</v>
      </c>
      <c r="I37">
        <v>41.373751152078199</v>
      </c>
      <c r="J37">
        <v>24.451982644925</v>
      </c>
      <c r="K37">
        <v>7.7092864431231698</v>
      </c>
      <c r="L37">
        <v>3.1942909553814786E-5</v>
      </c>
      <c r="M37">
        <v>1.8010042317901462E-6</v>
      </c>
      <c r="N37" s="1">
        <v>-4.9782454302352201E-7</v>
      </c>
      <c r="O37" s="1">
        <v>6.5734826760920896E-11</v>
      </c>
      <c r="P37" s="1">
        <v>1.60443803032664E-9</v>
      </c>
      <c r="Q37">
        <v>64.567647096965302</v>
      </c>
      <c r="S37">
        <v>21.857044141705</v>
      </c>
      <c r="AA37">
        <v>2.96630746134172</v>
      </c>
      <c r="AB37">
        <v>8.8515452604354508</v>
      </c>
      <c r="AC37">
        <v>1.7574560395524901</v>
      </c>
      <c r="AJ37">
        <v>0.75998474757680301</v>
      </c>
      <c r="AK37">
        <v>0.14073844118266099</v>
      </c>
      <c r="AL37">
        <v>9.9276811240535404E-2</v>
      </c>
    </row>
    <row r="38" spans="1:38" x14ac:dyDescent="0.2">
      <c r="A38">
        <v>82</v>
      </c>
      <c r="B38">
        <v>736</v>
      </c>
      <c r="C38">
        <v>220</v>
      </c>
      <c r="D38">
        <v>0.34662884605856398</v>
      </c>
      <c r="E38">
        <v>20.1841668367849</v>
      </c>
      <c r="F38">
        <v>2.57948730047901</v>
      </c>
      <c r="G38">
        <v>-326.48570534887136</v>
      </c>
      <c r="H38">
        <v>-284.1527772572054</v>
      </c>
      <c r="I38">
        <v>41.949093882639701</v>
      </c>
      <c r="J38">
        <v>24.853895724172698</v>
      </c>
      <c r="K38">
        <v>7.82487544444849</v>
      </c>
      <c r="L38">
        <v>3.2088188229008811E-5</v>
      </c>
      <c r="M38">
        <v>1.8016844121419568E-6</v>
      </c>
      <c r="N38" s="1">
        <v>-5.3962593213948699E-7</v>
      </c>
      <c r="O38" s="1">
        <v>6.6439160798467104E-11</v>
      </c>
      <c r="P38" s="1">
        <v>1.7259465854147401E-9</v>
      </c>
      <c r="Q38">
        <v>64.570345446074995</v>
      </c>
      <c r="S38">
        <v>21.858773504862601</v>
      </c>
      <c r="AA38">
        <v>2.9671045807780398</v>
      </c>
      <c r="AB38">
        <v>8.8620921370970596</v>
      </c>
      <c r="AC38">
        <v>1.7416843311871999</v>
      </c>
      <c r="AJ38">
        <v>0.76085039496030604</v>
      </c>
      <c r="AK38">
        <v>0.14076887953189199</v>
      </c>
      <c r="AL38">
        <v>9.8380725507801595E-2</v>
      </c>
    </row>
    <row r="39" spans="1:38" x14ac:dyDescent="0.2">
      <c r="A39">
        <v>83</v>
      </c>
      <c r="B39">
        <v>734</v>
      </c>
      <c r="C39">
        <v>220</v>
      </c>
      <c r="D39">
        <v>0.345192374522167</v>
      </c>
      <c r="E39">
        <v>20.430316003704299</v>
      </c>
      <c r="F39">
        <v>2.5797074850200499</v>
      </c>
      <c r="G39">
        <v>-330.39726765219905</v>
      </c>
      <c r="H39">
        <v>-287.68279277578796</v>
      </c>
      <c r="I39">
        <v>42.411234549383003</v>
      </c>
      <c r="J39">
        <v>25.192948892470898</v>
      </c>
      <c r="K39">
        <v>7.9196250436686704</v>
      </c>
      <c r="L39">
        <v>3.2243252778202812E-5</v>
      </c>
      <c r="M39">
        <v>1.802414324764415E-6</v>
      </c>
      <c r="N39" s="1">
        <v>-5.8334061237768705E-7</v>
      </c>
      <c r="O39" s="1">
        <v>6.6941525017889098E-11</v>
      </c>
      <c r="P39" s="1">
        <v>1.85216895163454E-9</v>
      </c>
      <c r="Q39">
        <v>64.574078339649702</v>
      </c>
      <c r="S39">
        <v>21.859703640749199</v>
      </c>
      <c r="AA39">
        <v>2.9670009327246398</v>
      </c>
      <c r="AB39">
        <v>8.8728491624313008</v>
      </c>
      <c r="AC39">
        <v>1.7263679244450001</v>
      </c>
      <c r="AJ39">
        <v>0.76173321202992295</v>
      </c>
      <c r="AK39">
        <v>0.140756437375193</v>
      </c>
      <c r="AL39">
        <v>9.75103505948825E-2</v>
      </c>
    </row>
    <row r="40" spans="1:38" x14ac:dyDescent="0.2">
      <c r="A40">
        <v>86</v>
      </c>
      <c r="B40">
        <v>756</v>
      </c>
      <c r="C40">
        <v>200</v>
      </c>
      <c r="D40">
        <v>0.38206335325268598</v>
      </c>
      <c r="E40">
        <v>0.813700302144854</v>
      </c>
      <c r="F40">
        <v>2.57985441484806</v>
      </c>
      <c r="G40">
        <v>-13.212064290408915</v>
      </c>
      <c r="H40">
        <v>-11.451870083871983</v>
      </c>
      <c r="I40">
        <v>1.7103378579769</v>
      </c>
      <c r="J40">
        <v>0.99265243907039702</v>
      </c>
      <c r="K40">
        <v>0.31540551182333898</v>
      </c>
      <c r="L40">
        <v>3.0968181172351202E-5</v>
      </c>
      <c r="M40">
        <v>1.7939836846514653E-6</v>
      </c>
      <c r="N40" s="1">
        <v>-1.13830747708118E-8</v>
      </c>
      <c r="O40" s="1">
        <v>2.7492366068623398E-12</v>
      </c>
      <c r="P40" s="1">
        <v>3.9968471104476202E-11</v>
      </c>
      <c r="Q40">
        <v>64.349788404714104</v>
      </c>
      <c r="S40">
        <v>22.059523740090299</v>
      </c>
      <c r="AA40">
        <v>3.18418955075254</v>
      </c>
      <c r="AB40">
        <v>8.8968854371808597</v>
      </c>
      <c r="AC40">
        <v>1.5096128672621301</v>
      </c>
      <c r="AJ40">
        <v>0.76370193684669097</v>
      </c>
      <c r="AK40">
        <v>0.151041258952853</v>
      </c>
      <c r="AL40">
        <v>8.5256804200455602E-2</v>
      </c>
    </row>
    <row r="41" spans="1:38" x14ac:dyDescent="0.2">
      <c r="A41">
        <v>87</v>
      </c>
      <c r="B41">
        <v>754</v>
      </c>
      <c r="C41">
        <v>200</v>
      </c>
      <c r="D41">
        <v>0.38072384753930699</v>
      </c>
      <c r="E41">
        <v>2.7460237591096899</v>
      </c>
      <c r="F41">
        <v>2.5773909484596098</v>
      </c>
      <c r="G41">
        <v>-44.549055845388629</v>
      </c>
      <c r="H41">
        <v>-38.625139212896883</v>
      </c>
      <c r="I41">
        <v>5.7673335272275201</v>
      </c>
      <c r="J41">
        <v>3.35186948372287</v>
      </c>
      <c r="K41">
        <v>1.0654277189693899</v>
      </c>
      <c r="L41">
        <v>3.1107028565453373E-5</v>
      </c>
      <c r="M41">
        <v>1.7987576667765236E-6</v>
      </c>
      <c r="N41" s="1">
        <v>-4.0858757859860898E-8</v>
      </c>
      <c r="O41" s="1">
        <v>9.3050472052389002E-12</v>
      </c>
      <c r="P41" s="1">
        <v>1.41877861975762E-10</v>
      </c>
      <c r="Q41">
        <v>64.566402170993101</v>
      </c>
      <c r="S41">
        <v>21.872531804899399</v>
      </c>
      <c r="AA41">
        <v>2.9793754285145</v>
      </c>
      <c r="AB41">
        <v>8.8893739322546192</v>
      </c>
      <c r="AC41">
        <v>1.69231666333824</v>
      </c>
      <c r="AJ41">
        <v>0.76308899228562099</v>
      </c>
      <c r="AK41">
        <v>0.14133184734874399</v>
      </c>
      <c r="AL41">
        <v>9.5579160365633506E-2</v>
      </c>
    </row>
    <row r="42" spans="1:38" x14ac:dyDescent="0.2">
      <c r="A42">
        <v>88</v>
      </c>
      <c r="B42">
        <v>752</v>
      </c>
      <c r="C42">
        <v>200</v>
      </c>
      <c r="D42">
        <v>0.37937911525142798</v>
      </c>
      <c r="E42">
        <v>4.7977275697040502</v>
      </c>
      <c r="F42">
        <v>2.5746186381832699</v>
      </c>
      <c r="G42">
        <v>-77.755569273830162</v>
      </c>
      <c r="H42">
        <v>-67.434546801632166</v>
      </c>
      <c r="I42">
        <v>10.0678168777232</v>
      </c>
      <c r="J42">
        <v>5.8588420995556296</v>
      </c>
      <c r="K42">
        <v>1.86347115590271</v>
      </c>
      <c r="L42">
        <v>3.1227205063830538E-5</v>
      </c>
      <c r="M42">
        <v>1.8032601556873481E-6</v>
      </c>
      <c r="N42" s="1">
        <v>-7.5640701903741495E-8</v>
      </c>
      <c r="O42" s="1">
        <v>1.63117785013735E-11</v>
      </c>
      <c r="P42" s="1">
        <v>2.6001850487957202E-10</v>
      </c>
      <c r="Q42">
        <v>64.782069310499395</v>
      </c>
      <c r="S42">
        <v>21.674843200097001</v>
      </c>
      <c r="AA42">
        <v>2.765957326738</v>
      </c>
      <c r="AB42">
        <v>8.8517102102727296</v>
      </c>
      <c r="AC42">
        <v>1.92541995239279</v>
      </c>
      <c r="AJ42">
        <v>0.76000155630756905</v>
      </c>
      <c r="AK42">
        <v>0.13123315201501401</v>
      </c>
      <c r="AL42">
        <v>0.108765291677416</v>
      </c>
    </row>
    <row r="43" spans="1:38" x14ac:dyDescent="0.2">
      <c r="A43">
        <v>89</v>
      </c>
      <c r="B43">
        <v>750</v>
      </c>
      <c r="C43">
        <v>200</v>
      </c>
      <c r="D43">
        <v>0.37802912573913899</v>
      </c>
      <c r="E43">
        <v>15.096008821692999</v>
      </c>
      <c r="F43">
        <v>2.5761178679936099</v>
      </c>
      <c r="G43">
        <v>-244.63057344842878</v>
      </c>
      <c r="H43">
        <v>-212.26342943735369</v>
      </c>
      <c r="I43">
        <v>31.634798427478799</v>
      </c>
      <c r="J43">
        <v>18.443742754602901</v>
      </c>
      <c r="K43">
        <v>5.8599837411362099</v>
      </c>
      <c r="L43">
        <v>3.1234620402043798E-5</v>
      </c>
      <c r="M43">
        <v>1.800372799538158E-6</v>
      </c>
      <c r="N43" s="1">
        <v>-2.5190489594720099E-7</v>
      </c>
      <c r="O43" s="1">
        <v>5.1068985332634398E-11</v>
      </c>
      <c r="P43" s="1">
        <v>8.5805180659842203E-10</v>
      </c>
      <c r="Q43">
        <v>64.636763835123205</v>
      </c>
      <c r="S43">
        <v>21.781314032448499</v>
      </c>
      <c r="AA43">
        <v>2.8877018998280399</v>
      </c>
      <c r="AB43">
        <v>8.8070318785272601</v>
      </c>
      <c r="AC43">
        <v>1.88718835407289</v>
      </c>
      <c r="AJ43">
        <v>0.75633148086937196</v>
      </c>
      <c r="AK43">
        <v>0.137039497672958</v>
      </c>
      <c r="AL43">
        <v>0.10662902145766801</v>
      </c>
    </row>
    <row r="44" spans="1:38" x14ac:dyDescent="0.2">
      <c r="A44">
        <v>90</v>
      </c>
      <c r="B44">
        <v>748</v>
      </c>
      <c r="C44">
        <v>200</v>
      </c>
      <c r="D44">
        <v>0.37667384811242399</v>
      </c>
      <c r="E44">
        <v>17.589620666171299</v>
      </c>
      <c r="F44">
        <v>2.57687772907699</v>
      </c>
      <c r="G44">
        <v>-285.00111042169038</v>
      </c>
      <c r="H44">
        <v>-247.40689764460501</v>
      </c>
      <c r="I44">
        <v>36.815563606801497</v>
      </c>
      <c r="J44">
        <v>21.507330193453701</v>
      </c>
      <c r="K44">
        <v>6.8259430657859301</v>
      </c>
      <c r="L44">
        <v>3.1308021608509306E-5</v>
      </c>
      <c r="M44">
        <v>1.7997257882033898E-6</v>
      </c>
      <c r="N44" s="1">
        <v>-3.1253332655634601E-7</v>
      </c>
      <c r="O44" s="1">
        <v>5.9275988223494196E-11</v>
      </c>
      <c r="P44" s="1">
        <v>1.05432255065601E-9</v>
      </c>
      <c r="Q44">
        <v>64.585432355829695</v>
      </c>
      <c r="S44">
        <v>21.8242436235684</v>
      </c>
      <c r="AA44">
        <v>2.9350967510126802</v>
      </c>
      <c r="AB44">
        <v>8.8051879335543095</v>
      </c>
      <c r="AC44">
        <v>1.85003933603472</v>
      </c>
      <c r="AJ44">
        <v>0.75617928837450799</v>
      </c>
      <c r="AK44">
        <v>0.13928981455220901</v>
      </c>
      <c r="AL44">
        <v>0.104530897073281</v>
      </c>
    </row>
    <row r="45" spans="1:38" x14ac:dyDescent="0.2">
      <c r="A45">
        <v>91</v>
      </c>
      <c r="B45">
        <v>746</v>
      </c>
      <c r="C45">
        <v>200</v>
      </c>
      <c r="D45">
        <v>0.37531325123877901</v>
      </c>
      <c r="E45">
        <v>18.586344997162001</v>
      </c>
      <c r="F45">
        <v>2.5773092394680499</v>
      </c>
      <c r="G45">
        <v>-301.09611625187983</v>
      </c>
      <c r="H45">
        <v>-261.49569418669205</v>
      </c>
      <c r="I45">
        <v>38.856323470723403</v>
      </c>
      <c r="J45">
        <v>22.746402305759599</v>
      </c>
      <c r="K45">
        <v>7.2115308138181096</v>
      </c>
      <c r="L45">
        <v>3.140337581444163E-5</v>
      </c>
      <c r="M45">
        <v>1.7998288810325499E-6</v>
      </c>
      <c r="N45" s="1">
        <v>-3.5208639442526699E-7</v>
      </c>
      <c r="O45" s="1">
        <v>6.2420634902216796E-11</v>
      </c>
      <c r="P45" s="1">
        <v>1.1765923571674701E-9</v>
      </c>
      <c r="Q45">
        <v>64.567298968689599</v>
      </c>
      <c r="S45">
        <v>21.841867605447199</v>
      </c>
      <c r="AA45">
        <v>2.9538678945076802</v>
      </c>
      <c r="AB45">
        <v>8.8109822123551407</v>
      </c>
      <c r="AC45">
        <v>1.82598331900019</v>
      </c>
      <c r="AJ45">
        <v>0.75665479355885601</v>
      </c>
      <c r="AK45">
        <v>0.140176535510498</v>
      </c>
      <c r="AL45">
        <v>0.103168670930645</v>
      </c>
    </row>
    <row r="46" spans="1:38" x14ac:dyDescent="0.2">
      <c r="A46">
        <v>92</v>
      </c>
      <c r="B46">
        <v>744</v>
      </c>
      <c r="C46">
        <v>200</v>
      </c>
      <c r="D46">
        <v>0.373947303740848</v>
      </c>
      <c r="E46">
        <v>19.1749207976473</v>
      </c>
      <c r="F46">
        <v>2.5776608111781298</v>
      </c>
      <c r="G46">
        <v>-310.5709555965035</v>
      </c>
      <c r="H46">
        <v>-269.84395108895438</v>
      </c>
      <c r="I46">
        <v>40.040313137245299</v>
      </c>
      <c r="J46">
        <v>23.489525780158399</v>
      </c>
      <c r="K46">
        <v>7.4388844003425403</v>
      </c>
      <c r="L46">
        <v>3.1509048578950012E-5</v>
      </c>
      <c r="M46">
        <v>1.8001294980504698E-6</v>
      </c>
      <c r="N46" s="1">
        <v>-3.8744312789609298E-7</v>
      </c>
      <c r="O46" s="1">
        <v>6.4173509232658402E-11</v>
      </c>
      <c r="P46" s="1">
        <v>1.28303161756413E-9</v>
      </c>
      <c r="Q46">
        <v>64.557269480890398</v>
      </c>
      <c r="S46">
        <v>21.8532999272533</v>
      </c>
      <c r="AA46">
        <v>2.9656399209213902</v>
      </c>
      <c r="AB46">
        <v>8.8186033544720903</v>
      </c>
      <c r="AC46">
        <v>1.8051873164626899</v>
      </c>
      <c r="AJ46">
        <v>0.75728038733243197</v>
      </c>
      <c r="AK46">
        <v>0.140729812656087</v>
      </c>
      <c r="AL46">
        <v>0.101989800011479</v>
      </c>
    </row>
    <row r="47" spans="1:38" x14ac:dyDescent="0.2">
      <c r="A47">
        <v>93</v>
      </c>
      <c r="B47">
        <v>742</v>
      </c>
      <c r="C47">
        <v>200</v>
      </c>
      <c r="D47">
        <v>0.37257597399398801</v>
      </c>
      <c r="E47">
        <v>19.5727351570645</v>
      </c>
      <c r="F47">
        <v>2.5779485519135799</v>
      </c>
      <c r="G47">
        <v>-316.95015587055406</v>
      </c>
      <c r="H47">
        <v>-275.50782378004288</v>
      </c>
      <c r="I47">
        <v>40.823850751624001</v>
      </c>
      <c r="J47">
        <v>24.0020819588816</v>
      </c>
      <c r="K47">
        <v>7.5923684134564597</v>
      </c>
      <c r="L47">
        <v>3.1624837764146183E-5</v>
      </c>
      <c r="M47">
        <v>1.8005954417073249E-6</v>
      </c>
      <c r="N47" s="1">
        <v>-4.22014159829183E-7</v>
      </c>
      <c r="O47" s="1">
        <v>6.5270668410295706E-11</v>
      </c>
      <c r="P47" s="1">
        <v>1.38535212688157E-9</v>
      </c>
      <c r="Q47">
        <v>64.553792482446099</v>
      </c>
      <c r="S47">
        <v>21.859743321651798</v>
      </c>
      <c r="AA47">
        <v>2.9717670973285402</v>
      </c>
      <c r="AB47">
        <v>8.8277472459822093</v>
      </c>
      <c r="AC47">
        <v>1.78694985259123</v>
      </c>
      <c r="AJ47">
        <v>0.75803104565817203</v>
      </c>
      <c r="AK47">
        <v>0.14101413998670001</v>
      </c>
      <c r="AL47">
        <v>0.100954814355127</v>
      </c>
    </row>
    <row r="48" spans="1:38" x14ac:dyDescent="0.2">
      <c r="A48">
        <v>94</v>
      </c>
      <c r="B48">
        <v>740</v>
      </c>
      <c r="C48">
        <v>200</v>
      </c>
      <c r="D48">
        <v>0.37119923012387401</v>
      </c>
      <c r="E48">
        <v>19.875890942449299</v>
      </c>
      <c r="F48">
        <v>2.5782076344519398</v>
      </c>
      <c r="G48">
        <v>-321.79291489248783</v>
      </c>
      <c r="H48">
        <v>-279.84009059265219</v>
      </c>
      <c r="I48">
        <v>41.4083050879293</v>
      </c>
      <c r="J48">
        <v>24.4014435650035</v>
      </c>
      <c r="K48">
        <v>7.7091893906653599</v>
      </c>
      <c r="L48">
        <v>3.1749480644164447E-5</v>
      </c>
      <c r="M48">
        <v>1.8011485649544901E-6</v>
      </c>
      <c r="N48" s="1">
        <v>-4.5743537677300402E-7</v>
      </c>
      <c r="O48" s="1">
        <v>6.6032544702215399E-11</v>
      </c>
      <c r="P48" s="1">
        <v>1.4890840119475201E-9</v>
      </c>
      <c r="Q48">
        <v>64.553280292706802</v>
      </c>
      <c r="S48">
        <v>21.863919731054899</v>
      </c>
      <c r="AA48">
        <v>2.9753321903227499</v>
      </c>
      <c r="AB48">
        <v>8.8375548588311599</v>
      </c>
      <c r="AC48">
        <v>1.7699129270842999</v>
      </c>
      <c r="AJ48">
        <v>0.75883616443244795</v>
      </c>
      <c r="AK48">
        <v>0.14117641482916701</v>
      </c>
      <c r="AL48">
        <v>9.9987420738384E-2</v>
      </c>
    </row>
    <row r="49" spans="1:38" x14ac:dyDescent="0.2">
      <c r="A49">
        <v>95</v>
      </c>
      <c r="B49">
        <v>738</v>
      </c>
      <c r="C49">
        <v>200</v>
      </c>
      <c r="D49">
        <v>0.36981704000395799</v>
      </c>
      <c r="E49">
        <v>20.123092051694201</v>
      </c>
      <c r="F49">
        <v>2.5784490398001898</v>
      </c>
      <c r="G49">
        <v>-325.72711444535355</v>
      </c>
      <c r="H49">
        <v>-283.38538781072032</v>
      </c>
      <c r="I49">
        <v>41.874822365260499</v>
      </c>
      <c r="J49">
        <v>24.734982360134499</v>
      </c>
      <c r="K49">
        <v>7.8043396402565799</v>
      </c>
      <c r="L49">
        <v>3.1882963979752431E-5</v>
      </c>
      <c r="M49">
        <v>1.8017657129517385E-6</v>
      </c>
      <c r="N49" s="1">
        <v>-4.9445595458974805E-7</v>
      </c>
      <c r="O49" s="1">
        <v>6.6587895479936698E-11</v>
      </c>
      <c r="P49" s="1">
        <v>1.5966944973008699E-9</v>
      </c>
      <c r="Q49">
        <v>64.554619649045705</v>
      </c>
      <c r="S49">
        <v>21.8666749469484</v>
      </c>
      <c r="AA49">
        <v>2.97729275115451</v>
      </c>
      <c r="AB49">
        <v>8.8477626992863208</v>
      </c>
      <c r="AC49">
        <v>1.7536499535649599</v>
      </c>
      <c r="AJ49">
        <v>0.75967408342479104</v>
      </c>
      <c r="AK49">
        <v>0.14126226802345601</v>
      </c>
      <c r="AL49">
        <v>9.9063648551752301E-2</v>
      </c>
    </row>
    <row r="50" spans="1:38" x14ac:dyDescent="0.2">
      <c r="A50">
        <v>97</v>
      </c>
      <c r="B50">
        <v>762</v>
      </c>
      <c r="C50">
        <v>180</v>
      </c>
      <c r="D50">
        <v>0.40730377240013699</v>
      </c>
      <c r="E50">
        <v>0.31666005584687101</v>
      </c>
      <c r="F50">
        <v>2.5790674973074901</v>
      </c>
      <c r="G50">
        <v>-5.1491897542170397</v>
      </c>
      <c r="H50">
        <v>-4.4578264607034876</v>
      </c>
      <c r="I50">
        <v>0.66788706324064395</v>
      </c>
      <c r="J50">
        <v>0.38564223061901198</v>
      </c>
      <c r="K50">
        <v>0.122780833063678</v>
      </c>
      <c r="L50">
        <v>3.0740042614401266E-5</v>
      </c>
      <c r="M50">
        <v>1.7935667160504728E-6</v>
      </c>
      <c r="N50" s="1">
        <v>-3.6249368244317802E-9</v>
      </c>
      <c r="O50" s="1">
        <v>1.0755719660218101E-12</v>
      </c>
      <c r="P50" s="1">
        <v>1.3228035099991499E-11</v>
      </c>
      <c r="Q50">
        <v>64.317230470907305</v>
      </c>
      <c r="S50">
        <v>22.097293967475402</v>
      </c>
      <c r="AA50">
        <v>3.2229473238398598</v>
      </c>
      <c r="AB50">
        <v>8.9233513889337406</v>
      </c>
      <c r="AC50">
        <v>1.4391768488436101</v>
      </c>
      <c r="AJ50">
        <v>0.76587239662303896</v>
      </c>
      <c r="AK50">
        <v>0.15285949469082699</v>
      </c>
      <c r="AL50">
        <v>8.1268108686133697E-2</v>
      </c>
    </row>
    <row r="51" spans="1:38" x14ac:dyDescent="0.2">
      <c r="A51">
        <v>98</v>
      </c>
      <c r="B51">
        <v>760</v>
      </c>
      <c r="C51">
        <v>180</v>
      </c>
      <c r="D51">
        <v>0.40602090693510101</v>
      </c>
      <c r="E51">
        <v>2.1064276459080999</v>
      </c>
      <c r="F51">
        <v>2.5769047052394001</v>
      </c>
      <c r="G51">
        <v>-34.226447608426135</v>
      </c>
      <c r="H51">
        <v>-29.640037666718946</v>
      </c>
      <c r="I51">
        <v>4.4392488425758003</v>
      </c>
      <c r="J51">
        <v>2.5665539255660201</v>
      </c>
      <c r="K51">
        <v>0.81742551116666695</v>
      </c>
      <c r="L51">
        <v>3.0867283091154754E-5</v>
      </c>
      <c r="M51">
        <v>1.7980330317826858E-6</v>
      </c>
      <c r="N51" s="1">
        <v>-2.56703048652456E-8</v>
      </c>
      <c r="O51" s="1">
        <v>7.1741824645225001E-12</v>
      </c>
      <c r="P51" s="1">
        <v>9.2469481719548203E-11</v>
      </c>
      <c r="Q51">
        <v>64.5166995941496</v>
      </c>
      <c r="S51">
        <v>21.9286604668847</v>
      </c>
      <c r="AA51">
        <v>3.0372795661925398</v>
      </c>
      <c r="AB51">
        <v>8.9257629893227506</v>
      </c>
      <c r="AC51">
        <v>1.5915973834503301</v>
      </c>
      <c r="AJ51">
        <v>0.76607325315564201</v>
      </c>
      <c r="AK51">
        <v>0.14405240310606299</v>
      </c>
      <c r="AL51">
        <v>8.98743437382932E-2</v>
      </c>
    </row>
    <row r="52" spans="1:38" x14ac:dyDescent="0.2">
      <c r="A52">
        <v>99</v>
      </c>
      <c r="B52">
        <v>758</v>
      </c>
      <c r="C52">
        <v>180</v>
      </c>
      <c r="D52">
        <v>0.40473306502448703</v>
      </c>
      <c r="E52">
        <v>4.0462027951194903</v>
      </c>
      <c r="F52">
        <v>2.5744684078364601</v>
      </c>
      <c r="G52">
        <v>-65.686786599214358</v>
      </c>
      <c r="H52">
        <v>-56.90121991310621</v>
      </c>
      <c r="I52">
        <v>8.5201635902711992</v>
      </c>
      <c r="J52">
        <v>4.9320185865292698</v>
      </c>
      <c r="K52">
        <v>1.5716653514967101</v>
      </c>
      <c r="L52">
        <v>3.098218729671512E-5</v>
      </c>
      <c r="M52">
        <v>1.802356752976728E-6</v>
      </c>
      <c r="N52" s="1">
        <v>-5.2332473536919101E-8</v>
      </c>
      <c r="O52" s="1">
        <v>1.3823371415472699E-11</v>
      </c>
      <c r="P52" s="1">
        <v>1.8628831500256801E-10</v>
      </c>
      <c r="Q52">
        <v>64.718497838663694</v>
      </c>
      <c r="S52">
        <v>21.7491569802622</v>
      </c>
      <c r="AA52">
        <v>2.84210049016168</v>
      </c>
      <c r="AB52">
        <v>8.9048678300067703</v>
      </c>
      <c r="AC52">
        <v>1.7853768609055001</v>
      </c>
      <c r="AJ52">
        <v>0.76436243412177496</v>
      </c>
      <c r="AK52">
        <v>0.13480999008912001</v>
      </c>
      <c r="AL52">
        <v>0.10082757578910299</v>
      </c>
    </row>
    <row r="53" spans="1:38" x14ac:dyDescent="0.2">
      <c r="A53">
        <v>100</v>
      </c>
      <c r="B53">
        <v>756</v>
      </c>
      <c r="C53">
        <v>180</v>
      </c>
      <c r="D53">
        <v>0.40344021765534699</v>
      </c>
      <c r="E53">
        <v>6.1217560587884501</v>
      </c>
      <c r="F53">
        <v>2.5716799307402098</v>
      </c>
      <c r="G53">
        <v>-99.276685763233246</v>
      </c>
      <c r="H53">
        <v>-86.022122340608107</v>
      </c>
      <c r="I53">
        <v>12.879136590997501</v>
      </c>
      <c r="J53">
        <v>7.4638084049862403</v>
      </c>
      <c r="K53">
        <v>2.3804502207342702</v>
      </c>
      <c r="L53">
        <v>3.1076344641351026E-5</v>
      </c>
      <c r="M53">
        <v>1.8064038063710826E-6</v>
      </c>
      <c r="N53" s="1">
        <v>-8.3668689761783306E-8</v>
      </c>
      <c r="O53" s="1">
        <v>2.09896198244567E-11</v>
      </c>
      <c r="P53" s="1">
        <v>2.9467438328162401E-10</v>
      </c>
      <c r="Q53">
        <v>64.920297416610097</v>
      </c>
      <c r="S53">
        <v>21.556958156257501</v>
      </c>
      <c r="AA53">
        <v>2.6364473196624298</v>
      </c>
      <c r="AB53">
        <v>8.8506931647191394</v>
      </c>
      <c r="AC53">
        <v>2.0356039427506598</v>
      </c>
      <c r="AJ53">
        <v>0.75992018800876404</v>
      </c>
      <c r="AK53">
        <v>0.12508942188932001</v>
      </c>
      <c r="AL53">
        <v>0.114990390101915</v>
      </c>
    </row>
    <row r="54" spans="1:38" x14ac:dyDescent="0.2">
      <c r="A54">
        <v>101</v>
      </c>
      <c r="B54">
        <v>754</v>
      </c>
      <c r="C54">
        <v>180</v>
      </c>
      <c r="D54">
        <v>0.402142335588766</v>
      </c>
      <c r="E54">
        <v>15.2634873937627</v>
      </c>
      <c r="F54">
        <v>2.57437093633501</v>
      </c>
      <c r="G54">
        <v>-247.55331564448332</v>
      </c>
      <c r="H54">
        <v>-214.61971112298801</v>
      </c>
      <c r="I54">
        <v>32.063091584963502</v>
      </c>
      <c r="J54">
        <v>18.6154670259873</v>
      </c>
      <c r="K54">
        <v>5.9290163582613102</v>
      </c>
      <c r="L54">
        <v>3.1030547400111614E-5</v>
      </c>
      <c r="M54">
        <v>1.8012037600750718E-6</v>
      </c>
      <c r="N54" s="1">
        <v>-2.2022877890616299E-7</v>
      </c>
      <c r="O54" s="1">
        <v>5.1975477451689797E-11</v>
      </c>
      <c r="P54" s="1">
        <v>7.6824893258907304E-10</v>
      </c>
      <c r="Q54">
        <v>64.666972652716794</v>
      </c>
      <c r="S54">
        <v>21.750024671694302</v>
      </c>
      <c r="AA54">
        <v>2.85483904222394</v>
      </c>
      <c r="AB54">
        <v>8.7923214816909301</v>
      </c>
      <c r="AC54">
        <v>1.9358421516739499</v>
      </c>
      <c r="AJ54">
        <v>0.75512393442504999</v>
      </c>
      <c r="AK54">
        <v>0.13548995373017</v>
      </c>
      <c r="AL54">
        <v>0.109386111844779</v>
      </c>
    </row>
    <row r="55" spans="1:38" x14ac:dyDescent="0.2">
      <c r="A55">
        <v>102</v>
      </c>
      <c r="B55">
        <v>752</v>
      </c>
      <c r="C55">
        <v>180</v>
      </c>
      <c r="D55">
        <v>0.40083938935765601</v>
      </c>
      <c r="E55">
        <v>17.461049673918801</v>
      </c>
      <c r="F55">
        <v>2.57537346559389</v>
      </c>
      <c r="G55">
        <v>-283.16704533801129</v>
      </c>
      <c r="H55">
        <v>-245.61186121138812</v>
      </c>
      <c r="I55">
        <v>36.633842975782201</v>
      </c>
      <c r="J55">
        <v>21.309260582624301</v>
      </c>
      <c r="K55">
        <v>6.7800068251041701</v>
      </c>
      <c r="L55">
        <v>3.1081035706419683E-5</v>
      </c>
      <c r="M55">
        <v>1.8000028509464948E-6</v>
      </c>
      <c r="N55" s="1">
        <v>-2.67957339956736E-7</v>
      </c>
      <c r="O55" s="1">
        <v>5.9226017040436304E-11</v>
      </c>
      <c r="P55" s="1">
        <v>9.2496531979052995E-10</v>
      </c>
      <c r="Q55">
        <v>64.591887378326703</v>
      </c>
      <c r="S55">
        <v>21.811324690701099</v>
      </c>
      <c r="AA55">
        <v>2.9229323078640101</v>
      </c>
      <c r="AB55">
        <v>8.7857039429968893</v>
      </c>
      <c r="AC55">
        <v>1.88815168011112</v>
      </c>
      <c r="AJ55">
        <v>0.75457931282098001</v>
      </c>
      <c r="AK55">
        <v>0.13872600447731201</v>
      </c>
      <c r="AL55">
        <v>0.106694682701707</v>
      </c>
    </row>
    <row r="56" spans="1:38" x14ac:dyDescent="0.2">
      <c r="A56">
        <v>103</v>
      </c>
      <c r="B56">
        <v>750</v>
      </c>
      <c r="C56">
        <v>180</v>
      </c>
      <c r="D56">
        <v>0.39953134926452799</v>
      </c>
      <c r="E56">
        <v>18.380588788639798</v>
      </c>
      <c r="F56">
        <v>2.5759119211059698</v>
      </c>
      <c r="G56">
        <v>-298.02979669053121</v>
      </c>
      <c r="H56">
        <v>-258.6203257727297</v>
      </c>
      <c r="I56">
        <v>38.517784213264399</v>
      </c>
      <c r="J56">
        <v>22.4482092944158</v>
      </c>
      <c r="K56">
        <v>7.1355657148199496</v>
      </c>
      <c r="L56">
        <v>3.1158219096532023E-5</v>
      </c>
      <c r="M56">
        <v>1.7998314315793088E-6</v>
      </c>
      <c r="N56" s="1">
        <v>-3.0049420563227401E-7</v>
      </c>
      <c r="O56" s="1">
        <v>6.21450371411517E-11</v>
      </c>
      <c r="P56" s="1">
        <v>1.02659936260228E-9</v>
      </c>
      <c r="Q56">
        <v>64.563026477452198</v>
      </c>
      <c r="S56">
        <v>21.837200178668301</v>
      </c>
      <c r="AA56">
        <v>2.95101414704604</v>
      </c>
      <c r="AB56">
        <v>8.7892249286066892</v>
      </c>
      <c r="AC56">
        <v>1.8595342682265801</v>
      </c>
      <c r="AJ56">
        <v>0.75486805052336703</v>
      </c>
      <c r="AK56">
        <v>0.140056267246673</v>
      </c>
      <c r="AL56">
        <v>0.105075682229958</v>
      </c>
    </row>
    <row r="57" spans="1:38" x14ac:dyDescent="0.2">
      <c r="A57">
        <v>104</v>
      </c>
      <c r="B57">
        <v>748</v>
      </c>
      <c r="C57">
        <v>180</v>
      </c>
      <c r="D57">
        <v>0.39821818537923098</v>
      </c>
      <c r="E57">
        <v>18.929069467554601</v>
      </c>
      <c r="F57">
        <v>2.5763162053033302</v>
      </c>
      <c r="G57">
        <v>-306.86615698996098</v>
      </c>
      <c r="H57">
        <v>-266.40692939099807</v>
      </c>
      <c r="I57">
        <v>39.621238406662002</v>
      </c>
      <c r="J57">
        <v>23.137017690806701</v>
      </c>
      <c r="K57">
        <v>7.3473393633084498</v>
      </c>
      <c r="L57">
        <v>3.1247234799656424E-5</v>
      </c>
      <c r="M57">
        <v>1.7999722442969175E-6</v>
      </c>
      <c r="N57" s="1">
        <v>-3.2988068262658201E-7</v>
      </c>
      <c r="O57" s="1">
        <v>6.3799215005313002E-11</v>
      </c>
      <c r="P57" s="1">
        <v>1.1157880028444801E-9</v>
      </c>
      <c r="Q57">
        <v>64.547626371102993</v>
      </c>
      <c r="S57">
        <v>21.852770103587702</v>
      </c>
      <c r="AA57">
        <v>2.9674528988114202</v>
      </c>
      <c r="AB57">
        <v>8.7957251997323702</v>
      </c>
      <c r="AC57">
        <v>1.83642542676549</v>
      </c>
      <c r="AJ57">
        <v>0.75540165085583699</v>
      </c>
      <c r="AK57">
        <v>0.14083185565806</v>
      </c>
      <c r="AL57">
        <v>0.10376649348610099</v>
      </c>
    </row>
    <row r="58" spans="1:38" x14ac:dyDescent="0.2">
      <c r="A58">
        <v>105</v>
      </c>
      <c r="B58">
        <v>746</v>
      </c>
      <c r="C58">
        <v>180</v>
      </c>
      <c r="D58">
        <v>0.396899867536674</v>
      </c>
      <c r="E58">
        <v>19.308766973132801</v>
      </c>
      <c r="F58">
        <v>2.5766464074700601</v>
      </c>
      <c r="G58">
        <v>-312.96020316513324</v>
      </c>
      <c r="H58">
        <v>-271.81763212960806</v>
      </c>
      <c r="I58">
        <v>40.3694952023992</v>
      </c>
      <c r="J58">
        <v>23.622122215705801</v>
      </c>
      <c r="K58">
        <v>7.49375890970291</v>
      </c>
      <c r="L58">
        <v>3.1345717089741291E-5</v>
      </c>
      <c r="M58">
        <v>1.8002956223649274E-6</v>
      </c>
      <c r="N58" s="1">
        <v>-3.5886058771650198E-7</v>
      </c>
      <c r="O58" s="1">
        <v>6.4872271512786494E-11</v>
      </c>
      <c r="P58" s="1">
        <v>1.20219417100174E-9</v>
      </c>
      <c r="Q58">
        <v>64.539721122856207</v>
      </c>
      <c r="S58">
        <v>21.862608488503401</v>
      </c>
      <c r="AA58">
        <v>2.9774142487106001</v>
      </c>
      <c r="AB58">
        <v>8.8039013830109099</v>
      </c>
      <c r="AC58">
        <v>1.8163547569187599</v>
      </c>
      <c r="AJ58">
        <v>0.75607294952547799</v>
      </c>
      <c r="AK58">
        <v>0.14129883589966699</v>
      </c>
      <c r="AL58">
        <v>0.10262821457485299</v>
      </c>
    </row>
    <row r="59" spans="1:38" x14ac:dyDescent="0.2">
      <c r="A59">
        <v>106</v>
      </c>
      <c r="B59">
        <v>744</v>
      </c>
      <c r="C59">
        <v>180</v>
      </c>
      <c r="D59">
        <v>0.39557636533451601</v>
      </c>
      <c r="E59">
        <v>19.599968005840001</v>
      </c>
      <c r="F59">
        <v>2.5769349837709101</v>
      </c>
      <c r="G59">
        <v>-317.61586865349432</v>
      </c>
      <c r="H59">
        <v>-275.9826525703557</v>
      </c>
      <c r="I59">
        <v>40.931245227487203</v>
      </c>
      <c r="J59">
        <v>24.001401185603299</v>
      </c>
      <c r="K59">
        <v>7.6059225899284302</v>
      </c>
      <c r="L59">
        <v>3.1452554254616944E-5</v>
      </c>
      <c r="M59">
        <v>1.800731095008291E-6</v>
      </c>
      <c r="N59" s="1">
        <v>-3.8861539347710101E-7</v>
      </c>
      <c r="O59" s="1">
        <v>6.5633439311563806E-11</v>
      </c>
      <c r="P59" s="1">
        <v>1.2899067226944501E-9</v>
      </c>
      <c r="Q59">
        <v>64.536056360835602</v>
      </c>
      <c r="S59">
        <v>21.869200606484998</v>
      </c>
      <c r="AA59">
        <v>2.98370793566035</v>
      </c>
      <c r="AB59">
        <v>8.8130167516672202</v>
      </c>
      <c r="AC59">
        <v>1.79801834535171</v>
      </c>
      <c r="AJ59">
        <v>0.75682137276039796</v>
      </c>
      <c r="AK59">
        <v>0.141591079281638</v>
      </c>
      <c r="AL59">
        <v>0.101587547957963</v>
      </c>
    </row>
    <row r="60" spans="1:38" x14ac:dyDescent="0.2">
      <c r="A60">
        <v>107</v>
      </c>
      <c r="B60">
        <v>742</v>
      </c>
      <c r="C60">
        <v>180</v>
      </c>
      <c r="D60">
        <v>0.39424764813081797</v>
      </c>
      <c r="E60">
        <v>19.838766737630799</v>
      </c>
      <c r="F60">
        <v>2.57719800454917</v>
      </c>
      <c r="G60">
        <v>-321.4194598043772</v>
      </c>
      <c r="H60">
        <v>-279.4102064321757</v>
      </c>
      <c r="I60">
        <v>41.382311355170501</v>
      </c>
      <c r="J60">
        <v>24.3189326333972</v>
      </c>
      <c r="K60">
        <v>7.6978046322448499</v>
      </c>
      <c r="L60">
        <v>3.1567431244313267E-5</v>
      </c>
      <c r="M60">
        <v>1.8012443049351951E-6</v>
      </c>
      <c r="N60" s="1">
        <v>-4.1975871190599902E-7</v>
      </c>
      <c r="O60" s="1">
        <v>6.62028526185575E-11</v>
      </c>
      <c r="P60" s="1">
        <v>1.3809875067806601E-9</v>
      </c>
      <c r="Q60">
        <v>64.535016510459997</v>
      </c>
      <c r="S60">
        <v>21.873778502535899</v>
      </c>
      <c r="AA60">
        <v>2.9877273816457102</v>
      </c>
      <c r="AB60">
        <v>8.8227010505241399</v>
      </c>
      <c r="AC60">
        <v>1.7807765548342001</v>
      </c>
      <c r="AJ60">
        <v>0.75761647724055403</v>
      </c>
      <c r="AK60">
        <v>0.141774983465008</v>
      </c>
      <c r="AL60">
        <v>0.100608539294436</v>
      </c>
    </row>
    <row r="61" spans="1:38" x14ac:dyDescent="0.2">
      <c r="A61">
        <v>108</v>
      </c>
      <c r="B61">
        <v>740</v>
      </c>
      <c r="C61">
        <v>180</v>
      </c>
      <c r="D61">
        <v>0.39291368504170499</v>
      </c>
      <c r="E61">
        <v>20.0436944924644</v>
      </c>
      <c r="F61">
        <v>2.5774439787887902</v>
      </c>
      <c r="G61">
        <v>-324.67202649266159</v>
      </c>
      <c r="H61">
        <v>-282.36124025586014</v>
      </c>
      <c r="I61">
        <v>41.7616209216812</v>
      </c>
      <c r="J61">
        <v>24.597424102561501</v>
      </c>
      <c r="K61">
        <v>7.7765781360972399</v>
      </c>
      <c r="L61">
        <v>3.1690424822699042E-5</v>
      </c>
      <c r="M61">
        <v>1.8018177577573315E-6</v>
      </c>
      <c r="N61" s="1">
        <v>-4.5268364234009599E-7</v>
      </c>
      <c r="O61" s="1">
        <v>6.6641552163894005E-11</v>
      </c>
      <c r="P61" s="1">
        <v>1.4767054997363101E-9</v>
      </c>
      <c r="Q61">
        <v>64.535746946585505</v>
      </c>
      <c r="S61">
        <v>21.8769936314483</v>
      </c>
      <c r="AA61">
        <v>2.99020945863455</v>
      </c>
      <c r="AB61">
        <v>8.8327576667047296</v>
      </c>
      <c r="AC61">
        <v>1.76429229662678</v>
      </c>
      <c r="AJ61">
        <v>0.75844209626837999</v>
      </c>
      <c r="AK61">
        <v>0.14188566360555899</v>
      </c>
      <c r="AL61">
        <v>9.9672240126059797E-2</v>
      </c>
    </row>
    <row r="62" spans="1:38" x14ac:dyDescent="0.2">
      <c r="A62">
        <v>110</v>
      </c>
      <c r="B62">
        <v>770</v>
      </c>
      <c r="C62">
        <v>160</v>
      </c>
      <c r="D62">
        <v>0.43347601016152998</v>
      </c>
      <c r="E62">
        <v>0.35135774897170402</v>
      </c>
      <c r="F62">
        <v>2.5775176678834901</v>
      </c>
      <c r="G62">
        <v>-5.7222023887346207</v>
      </c>
      <c r="H62">
        <v>-4.9456271470632309</v>
      </c>
      <c r="I62">
        <v>0.74445213216832395</v>
      </c>
      <c r="J62">
        <v>0.42714142285128298</v>
      </c>
      <c r="K62">
        <v>0.13631632999055901</v>
      </c>
      <c r="L62">
        <v>3.0500548365531991E-5</v>
      </c>
      <c r="M62">
        <v>1.7936045392931182E-6</v>
      </c>
      <c r="N62" s="1">
        <v>-3.0877976925868E-9</v>
      </c>
      <c r="O62" s="1">
        <v>1.2015404448226E-12</v>
      </c>
      <c r="P62" s="1">
        <v>1.1962886992047401E-11</v>
      </c>
      <c r="Q62">
        <v>64.321802391408795</v>
      </c>
      <c r="S62">
        <v>22.095986551314599</v>
      </c>
      <c r="AA62">
        <v>3.22080189697345</v>
      </c>
      <c r="AB62">
        <v>8.9301121071937306</v>
      </c>
      <c r="AC62">
        <v>1.4312970531092299</v>
      </c>
      <c r="AJ62">
        <v>0.76642694587552596</v>
      </c>
      <c r="AK62">
        <v>0.15275261644315</v>
      </c>
      <c r="AL62">
        <v>8.0820437681322799E-2</v>
      </c>
    </row>
    <row r="63" spans="1:38" x14ac:dyDescent="0.2">
      <c r="A63">
        <v>111</v>
      </c>
      <c r="B63">
        <v>768</v>
      </c>
      <c r="C63">
        <v>160</v>
      </c>
      <c r="D63">
        <v>0.43225327762570398</v>
      </c>
      <c r="E63">
        <v>1.0363238827805601</v>
      </c>
      <c r="F63">
        <v>2.5767001498342301</v>
      </c>
      <c r="G63">
        <v>-16.870470884025831</v>
      </c>
      <c r="H63">
        <v>-14.586509248440942</v>
      </c>
      <c r="I63">
        <v>2.1936912410170302</v>
      </c>
      <c r="J63">
        <v>1.2603941625930799</v>
      </c>
      <c r="K63">
        <v>0.40219032969250801</v>
      </c>
      <c r="L63">
        <v>3.0591272895635742E-5</v>
      </c>
      <c r="M63">
        <v>1.7960171996385611E-6</v>
      </c>
      <c r="N63" s="1">
        <v>-9.7155911956472196E-9</v>
      </c>
      <c r="O63" s="1">
        <v>3.5456239678769198E-12</v>
      </c>
      <c r="P63" s="1">
        <v>3.7048077487392103E-11</v>
      </c>
      <c r="Q63">
        <v>64.418490351687794</v>
      </c>
      <c r="S63">
        <v>22.020532020033698</v>
      </c>
      <c r="AA63">
        <v>3.13599032235207</v>
      </c>
      <c r="AB63">
        <v>8.9477621789627193</v>
      </c>
      <c r="AC63">
        <v>1.4772251269636301</v>
      </c>
      <c r="AJ63">
        <v>0.76787582652310105</v>
      </c>
      <c r="AK63">
        <v>0.14871749698737499</v>
      </c>
      <c r="AL63">
        <v>8.3406676489523601E-2</v>
      </c>
    </row>
    <row r="64" spans="1:38" x14ac:dyDescent="0.2">
      <c r="A64">
        <v>112</v>
      </c>
      <c r="B64">
        <v>766</v>
      </c>
      <c r="C64">
        <v>160</v>
      </c>
      <c r="D64">
        <v>0.43102583842564002</v>
      </c>
      <c r="E64">
        <v>2.2232994427612498</v>
      </c>
      <c r="F64">
        <v>2.57531205721931</v>
      </c>
      <c r="G64">
        <v>-36.172655766013634</v>
      </c>
      <c r="H64">
        <v>-31.286456860806545</v>
      </c>
      <c r="I64">
        <v>4.7021112497782598</v>
      </c>
      <c r="J64">
        <v>2.7051134985432101</v>
      </c>
      <c r="K64">
        <v>0.86331263682346104</v>
      </c>
      <c r="L64">
        <v>3.0690896021796452E-5</v>
      </c>
      <c r="M64">
        <v>1.7991883361224567E-6</v>
      </c>
      <c r="N64" s="1">
        <v>-2.22017188807857E-8</v>
      </c>
      <c r="O64" s="1">
        <v>7.6180351010985897E-12</v>
      </c>
      <c r="P64" s="1">
        <v>8.3407807548957502E-11</v>
      </c>
      <c r="Q64">
        <v>64.555284748453403</v>
      </c>
      <c r="S64">
        <v>21.907082810901699</v>
      </c>
      <c r="AA64">
        <v>3.01047446080509</v>
      </c>
      <c r="AB64">
        <v>8.9551793063894003</v>
      </c>
      <c r="AC64">
        <v>1.5719786734503201</v>
      </c>
      <c r="AJ64">
        <v>0.76848610071280099</v>
      </c>
      <c r="AK64">
        <v>0.14276030547619201</v>
      </c>
      <c r="AL64">
        <v>8.8753593811005796E-2</v>
      </c>
    </row>
    <row r="65" spans="1:38" x14ac:dyDescent="0.2">
      <c r="A65">
        <v>113</v>
      </c>
      <c r="B65">
        <v>764</v>
      </c>
      <c r="C65">
        <v>160</v>
      </c>
      <c r="D65">
        <v>0.42979366533288699</v>
      </c>
      <c r="E65">
        <v>4.1068978892251202</v>
      </c>
      <c r="F65">
        <v>2.5730500619130598</v>
      </c>
      <c r="G65">
        <v>-66.76237790511918</v>
      </c>
      <c r="H65">
        <v>-57.761481630461674</v>
      </c>
      <c r="I65">
        <v>8.6784903578628896</v>
      </c>
      <c r="J65">
        <v>4.9983696646014701</v>
      </c>
      <c r="K65">
        <v>1.5961204758572101</v>
      </c>
      <c r="L65">
        <v>3.0792284368303447E-5</v>
      </c>
      <c r="M65">
        <v>1.8032334887434557E-6</v>
      </c>
      <c r="N65" s="1">
        <v>-4.3527885748930403E-8</v>
      </c>
      <c r="O65" s="1">
        <v>1.41151196241019E-11</v>
      </c>
      <c r="P65" s="1">
        <v>1.6131142701929899E-10</v>
      </c>
      <c r="Q65">
        <v>64.744131139950696</v>
      </c>
      <c r="S65">
        <v>21.739535836437899</v>
      </c>
      <c r="AA65">
        <v>2.8281817675683998</v>
      </c>
      <c r="AB65">
        <v>8.9367671881527304</v>
      </c>
      <c r="AC65">
        <v>1.75138406789013</v>
      </c>
      <c r="AJ65">
        <v>0.766979222061555</v>
      </c>
      <c r="AK65">
        <v>0.13412856030873499</v>
      </c>
      <c r="AL65">
        <v>9.8892217629708706E-2</v>
      </c>
    </row>
    <row r="66" spans="1:38" x14ac:dyDescent="0.2">
      <c r="A66">
        <v>114</v>
      </c>
      <c r="B66">
        <v>762</v>
      </c>
      <c r="C66">
        <v>160</v>
      </c>
      <c r="D66">
        <v>0.428556730908567</v>
      </c>
      <c r="E66">
        <v>6.0960398257610304</v>
      </c>
      <c r="F66">
        <v>2.5705226859749502</v>
      </c>
      <c r="G66">
        <v>-99.001542628568643</v>
      </c>
      <c r="H66">
        <v>-85.678829810815671</v>
      </c>
      <c r="I66">
        <v>12.870321033427899</v>
      </c>
      <c r="J66">
        <v>7.4205710138147101</v>
      </c>
      <c r="K66">
        <v>2.3715176135272702</v>
      </c>
      <c r="L66">
        <v>3.0876344129054626E-5</v>
      </c>
      <c r="M66">
        <v>1.8069993484726471E-6</v>
      </c>
      <c r="N66" s="1">
        <v>-6.8313878587327199E-8</v>
      </c>
      <c r="O66" s="1">
        <v>2.1023087840486201E-11</v>
      </c>
      <c r="P66" s="1">
        <v>2.5006064977246E-10</v>
      </c>
      <c r="Q66">
        <v>64.930517056290896</v>
      </c>
      <c r="S66">
        <v>21.563469983607501</v>
      </c>
      <c r="AA66">
        <v>2.6394350306938601</v>
      </c>
      <c r="AB66">
        <v>8.8905386857857192</v>
      </c>
      <c r="AC66">
        <v>1.9760392436219401</v>
      </c>
      <c r="AJ66">
        <v>0.763190130189908</v>
      </c>
      <c r="AK66">
        <v>0.12520637326820999</v>
      </c>
      <c r="AL66">
        <v>0.11160349654188</v>
      </c>
    </row>
    <row r="67" spans="1:38" x14ac:dyDescent="0.2">
      <c r="A67">
        <v>115</v>
      </c>
      <c r="B67">
        <v>760</v>
      </c>
      <c r="C67">
        <v>160</v>
      </c>
      <c r="D67">
        <v>0.427315007501331</v>
      </c>
      <c r="E67">
        <v>11.2317947669781</v>
      </c>
      <c r="F67">
        <v>2.5702469869134301</v>
      </c>
      <c r="G67">
        <v>-182.29597316505914</v>
      </c>
      <c r="H67">
        <v>-157.8268983365781</v>
      </c>
      <c r="I67">
        <v>23.683951825466799</v>
      </c>
      <c r="J67">
        <v>13.672466867037601</v>
      </c>
      <c r="K67">
        <v>4.3699281914016401</v>
      </c>
      <c r="L67">
        <v>3.0870056686038053E-5</v>
      </c>
      <c r="M67">
        <v>1.8061116048328446E-6</v>
      </c>
      <c r="N67" s="1">
        <v>-1.32345202252198E-7</v>
      </c>
      <c r="O67" s="1">
        <v>3.8699977790619203E-11</v>
      </c>
      <c r="P67" s="1">
        <v>4.7936081971159295E-10</v>
      </c>
      <c r="Q67">
        <v>64.901179058692605</v>
      </c>
      <c r="S67">
        <v>21.5561592389253</v>
      </c>
      <c r="AA67">
        <v>2.6402492121384999</v>
      </c>
      <c r="AB67">
        <v>8.8059944635326008</v>
      </c>
      <c r="AC67">
        <v>2.0964180267108801</v>
      </c>
      <c r="AJ67">
        <v>0.75625030879257304</v>
      </c>
      <c r="AK67">
        <v>0.12529763361665</v>
      </c>
      <c r="AL67">
        <v>0.118452057590776</v>
      </c>
    </row>
    <row r="68" spans="1:38" x14ac:dyDescent="0.2">
      <c r="A68">
        <v>116</v>
      </c>
      <c r="B68">
        <v>758</v>
      </c>
      <c r="C68">
        <v>160</v>
      </c>
      <c r="D68">
        <v>0.426068467245311</v>
      </c>
      <c r="E68">
        <v>16.234454821934499</v>
      </c>
      <c r="F68">
        <v>2.5730722970286402</v>
      </c>
      <c r="G68">
        <v>-263.54022886455738</v>
      </c>
      <c r="H68">
        <v>-228.293366547993</v>
      </c>
      <c r="I68">
        <v>34.182090206627898</v>
      </c>
      <c r="J68">
        <v>19.7688387920332</v>
      </c>
      <c r="K68">
        <v>6.3093659827133202</v>
      </c>
      <c r="L68">
        <v>3.0830551680286856E-5</v>
      </c>
      <c r="M68">
        <v>1.8011185746649095E-6</v>
      </c>
      <c r="N68" s="1">
        <v>-2.0238389246472399E-7</v>
      </c>
      <c r="O68" s="1">
        <v>5.5555680478059898E-11</v>
      </c>
      <c r="P68" s="1">
        <v>7.2505215278824403E-10</v>
      </c>
      <c r="Q68">
        <v>64.652248246157697</v>
      </c>
      <c r="S68">
        <v>21.752954156997401</v>
      </c>
      <c r="AA68">
        <v>2.8606916365695398</v>
      </c>
      <c r="AB68">
        <v>8.7671889577464004</v>
      </c>
      <c r="AC68">
        <v>1.9669170025288001</v>
      </c>
      <c r="AJ68">
        <v>0.753059441289196</v>
      </c>
      <c r="AK68">
        <v>0.13578466571098799</v>
      </c>
      <c r="AL68">
        <v>0.111155892999815</v>
      </c>
    </row>
    <row r="69" spans="1:38" x14ac:dyDescent="0.2">
      <c r="A69">
        <v>117</v>
      </c>
      <c r="B69">
        <v>756</v>
      </c>
      <c r="C69">
        <v>160</v>
      </c>
      <c r="D69">
        <v>0.424817082058009</v>
      </c>
      <c r="E69">
        <v>17.6255041676873</v>
      </c>
      <c r="F69">
        <v>2.5740292442455299</v>
      </c>
      <c r="G69">
        <v>-286.09211681818283</v>
      </c>
      <c r="H69">
        <v>-247.94607221187124</v>
      </c>
      <c r="I69">
        <v>37.065582865774203</v>
      </c>
      <c r="J69">
        <v>21.474390495188199</v>
      </c>
      <c r="K69">
        <v>6.8474374201810901</v>
      </c>
      <c r="L69">
        <v>3.0873508303364149E-5</v>
      </c>
      <c r="M69">
        <v>1.8000039505839533E-6</v>
      </c>
      <c r="N69" s="1">
        <v>-2.3367177180936901E-7</v>
      </c>
      <c r="O69" s="1">
        <v>6.0104642769516594E-11</v>
      </c>
      <c r="P69" s="1">
        <v>8.27449458741422E-10</v>
      </c>
      <c r="Q69">
        <v>64.582297419655404</v>
      </c>
      <c r="S69">
        <v>21.810551979954699</v>
      </c>
      <c r="AA69">
        <v>2.9245324993390902</v>
      </c>
      <c r="AB69">
        <v>8.7623074726096704</v>
      </c>
      <c r="AC69">
        <v>1.92031062844109</v>
      </c>
      <c r="AJ69">
        <v>0.75265738162342899</v>
      </c>
      <c r="AK69">
        <v>0.138818094541965</v>
      </c>
      <c r="AL69">
        <v>0.10852452383460499</v>
      </c>
    </row>
    <row r="70" spans="1:38" x14ac:dyDescent="0.2">
      <c r="A70">
        <v>118</v>
      </c>
      <c r="B70">
        <v>754</v>
      </c>
      <c r="C70">
        <v>160</v>
      </c>
      <c r="D70">
        <v>0.42356082363822201</v>
      </c>
      <c r="E70">
        <v>18.323716638334702</v>
      </c>
      <c r="F70">
        <v>2.5745983387306399</v>
      </c>
      <c r="G70">
        <v>-297.37742164989095</v>
      </c>
      <c r="H70">
        <v>-257.84360705419891</v>
      </c>
      <c r="I70">
        <v>38.488842521240301</v>
      </c>
      <c r="J70">
        <v>22.3391074152111</v>
      </c>
      <c r="K70">
        <v>7.1171166246339199</v>
      </c>
      <c r="L70">
        <v>3.0938238548279133E-5</v>
      </c>
      <c r="M70">
        <v>1.7997368530651812E-6</v>
      </c>
      <c r="N70" s="1">
        <v>-2.5868743073062398E-7</v>
      </c>
      <c r="O70" s="1">
        <v>6.2303412593967003E-11</v>
      </c>
      <c r="P70" s="1">
        <v>9.0564058779403703E-10</v>
      </c>
      <c r="Q70">
        <v>64.550533141634602</v>
      </c>
      <c r="S70">
        <v>21.838748831077499</v>
      </c>
      <c r="AA70">
        <v>2.9552069502587202</v>
      </c>
      <c r="AB70">
        <v>8.7654441932321205</v>
      </c>
      <c r="AC70">
        <v>1.8900668837969701</v>
      </c>
      <c r="AJ70">
        <v>0.75291457769043002</v>
      </c>
      <c r="AK70">
        <v>0.14027183121811301</v>
      </c>
      <c r="AL70">
        <v>0.10681359109145599</v>
      </c>
    </row>
    <row r="71" spans="1:38" x14ac:dyDescent="0.2">
      <c r="A71">
        <v>119</v>
      </c>
      <c r="B71">
        <v>752</v>
      </c>
      <c r="C71">
        <v>160</v>
      </c>
      <c r="D71">
        <v>0.42229966346388498</v>
      </c>
      <c r="E71">
        <v>18.771767690292599</v>
      </c>
      <c r="F71">
        <v>2.5750194170179301</v>
      </c>
      <c r="G71">
        <v>-304.59323528461817</v>
      </c>
      <c r="H71">
        <v>-264.21810820950355</v>
      </c>
      <c r="I71">
        <v>39.384604277534599</v>
      </c>
      <c r="J71">
        <v>22.901213154805301</v>
      </c>
      <c r="K71">
        <v>7.2899518994818804</v>
      </c>
      <c r="L71">
        <v>3.1014469344109379E-5</v>
      </c>
      <c r="M71">
        <v>1.7998063624285329E-6</v>
      </c>
      <c r="N71" s="1">
        <v>-2.8237784773322803E-7</v>
      </c>
      <c r="O71" s="1">
        <v>6.3649134338941598E-11</v>
      </c>
      <c r="P71" s="1">
        <v>9.7774298991826097E-10</v>
      </c>
      <c r="Q71">
        <v>64.533482074286198</v>
      </c>
      <c r="S71">
        <v>21.855644799938499</v>
      </c>
      <c r="AA71">
        <v>2.9731249310326402</v>
      </c>
      <c r="AB71">
        <v>8.7717417828828097</v>
      </c>
      <c r="AC71">
        <v>1.8660064118597699</v>
      </c>
      <c r="AJ71">
        <v>0.75343163132525204</v>
      </c>
      <c r="AK71">
        <v>0.141117852732039</v>
      </c>
      <c r="AL71">
        <v>0.105450515942708</v>
      </c>
    </row>
    <row r="72" spans="1:38" x14ac:dyDescent="0.2">
      <c r="A72">
        <v>120</v>
      </c>
      <c r="B72">
        <v>750</v>
      </c>
      <c r="C72">
        <v>160</v>
      </c>
      <c r="D72">
        <v>0.42103357278991599</v>
      </c>
      <c r="E72">
        <v>19.103280451343</v>
      </c>
      <c r="F72">
        <v>2.5753818924190299</v>
      </c>
      <c r="G72">
        <v>-309.91310561096907</v>
      </c>
      <c r="H72">
        <v>-268.95210350549797</v>
      </c>
      <c r="I72">
        <v>40.034210140713498</v>
      </c>
      <c r="J72">
        <v>23.323172875904199</v>
      </c>
      <c r="K72">
        <v>7.4176495950274202</v>
      </c>
      <c r="L72">
        <v>3.1098421193608006E-5</v>
      </c>
      <c r="M72">
        <v>1.8000182940671375E-6</v>
      </c>
      <c r="N72" s="1">
        <v>-3.0630178697473301E-7</v>
      </c>
      <c r="O72" s="1">
        <v>6.4589791912117594E-11</v>
      </c>
      <c r="P72" s="1">
        <v>1.0494058132909701E-9</v>
      </c>
      <c r="Q72">
        <v>64.522255833367694</v>
      </c>
      <c r="S72">
        <v>21.868052150755702</v>
      </c>
      <c r="AA72">
        <v>2.9859806123437398</v>
      </c>
      <c r="AB72">
        <v>8.7792521901559102</v>
      </c>
      <c r="AC72">
        <v>1.84445921337685</v>
      </c>
      <c r="AJ72">
        <v>0.75404835645784196</v>
      </c>
      <c r="AK72">
        <v>0.141722709580547</v>
      </c>
      <c r="AL72">
        <v>0.104228933961609</v>
      </c>
    </row>
    <row r="73" spans="1:38" x14ac:dyDescent="0.2">
      <c r="A73">
        <v>121</v>
      </c>
      <c r="B73">
        <v>748</v>
      </c>
      <c r="C73">
        <v>160</v>
      </c>
      <c r="D73">
        <v>0.41976252264603803</v>
      </c>
      <c r="E73">
        <v>19.3644295411348</v>
      </c>
      <c r="F73">
        <v>2.57569137134948</v>
      </c>
      <c r="G73">
        <v>-314.08723348743825</v>
      </c>
      <c r="H73">
        <v>-272.69477514705574</v>
      </c>
      <c r="I73">
        <v>40.5351401267027</v>
      </c>
      <c r="J73">
        <v>23.661250298182399</v>
      </c>
      <c r="K73">
        <v>7.5181482364438796</v>
      </c>
      <c r="L73">
        <v>3.1190294364657051E-5</v>
      </c>
      <c r="M73">
        <v>1.8003637507480088E-6</v>
      </c>
      <c r="N73" s="1">
        <v>-3.3106814687540898E-7</v>
      </c>
      <c r="O73" s="1">
        <v>6.5282825065458798E-11</v>
      </c>
      <c r="P73" s="1">
        <v>1.1227719896686999E-9</v>
      </c>
      <c r="Q73">
        <v>64.516371321220603</v>
      </c>
      <c r="S73">
        <v>21.876362559850001</v>
      </c>
      <c r="AA73">
        <v>2.99420985540144</v>
      </c>
      <c r="AB73">
        <v>8.7879256882187402</v>
      </c>
      <c r="AC73">
        <v>1.8251305753090701</v>
      </c>
      <c r="AJ73">
        <v>0.75476063957649497</v>
      </c>
      <c r="AK73">
        <v>0.14210713828742899</v>
      </c>
      <c r="AL73">
        <v>0.10313222213607399</v>
      </c>
    </row>
    <row r="74" spans="1:38" x14ac:dyDescent="0.2">
      <c r="A74">
        <v>122</v>
      </c>
      <c r="B74">
        <v>746</v>
      </c>
      <c r="C74">
        <v>160</v>
      </c>
      <c r="D74">
        <v>0.41848648383456999</v>
      </c>
      <c r="E74">
        <v>19.5834678403697</v>
      </c>
      <c r="F74">
        <v>2.57597090780884</v>
      </c>
      <c r="G74">
        <v>-317.57542050888844</v>
      </c>
      <c r="H74">
        <v>-275.84446088602414</v>
      </c>
      <c r="I74">
        <v>40.946827869169603</v>
      </c>
      <c r="J74">
        <v>23.949881274953501</v>
      </c>
      <c r="K74">
        <v>7.6023637460361</v>
      </c>
      <c r="L74">
        <v>3.1289391135031568E-5</v>
      </c>
      <c r="M74">
        <v>1.8007929912255285E-6</v>
      </c>
      <c r="N74" s="1">
        <v>-3.5710982801698E-7</v>
      </c>
      <c r="O74" s="1">
        <v>6.5821422159061603E-11</v>
      </c>
      <c r="P74" s="1">
        <v>1.1993196863479399E-9</v>
      </c>
      <c r="Q74">
        <v>64.513520957089497</v>
      </c>
      <c r="S74">
        <v>21.882339333484602</v>
      </c>
      <c r="AA74">
        <v>2.9998058483502801</v>
      </c>
      <c r="AB74">
        <v>8.7972426936998005</v>
      </c>
      <c r="AC74">
        <v>1.80709116737563</v>
      </c>
      <c r="AJ74">
        <v>0.755525752593038</v>
      </c>
      <c r="AK74">
        <v>0.142366115950842</v>
      </c>
      <c r="AL74">
        <v>0.10210813145611899</v>
      </c>
    </row>
    <row r="75" spans="1:38" x14ac:dyDescent="0.2">
      <c r="A75">
        <v>123</v>
      </c>
      <c r="B75">
        <v>744</v>
      </c>
      <c r="C75">
        <v>160</v>
      </c>
      <c r="D75">
        <v>0.41720542692818402</v>
      </c>
      <c r="E75">
        <v>19.774638704403898</v>
      </c>
      <c r="F75">
        <v>2.5762300821542801</v>
      </c>
      <c r="G75">
        <v>-320.60941186722226</v>
      </c>
      <c r="H75">
        <v>-278.60187132970515</v>
      </c>
      <c r="I75">
        <v>41.299258258385699</v>
      </c>
      <c r="J75">
        <v>24.2064971794995</v>
      </c>
      <c r="K75">
        <v>7.6758045957867402</v>
      </c>
      <c r="L75">
        <v>3.1395679514866047E-5</v>
      </c>
      <c r="M75">
        <v>1.8012862122947052E-6</v>
      </c>
      <c r="N75" s="1">
        <v>-3.8471489260534201E-7</v>
      </c>
      <c r="O75" s="1">
        <v>6.6252277945737405E-11</v>
      </c>
      <c r="P75" s="1">
        <v>1.2799843010297101E-9</v>
      </c>
      <c r="Q75">
        <v>64.512751191059195</v>
      </c>
      <c r="S75">
        <v>21.886712181199201</v>
      </c>
      <c r="AA75">
        <v>3.0035931068689998</v>
      </c>
      <c r="AB75">
        <v>8.8069913001672706</v>
      </c>
      <c r="AC75">
        <v>1.7899522207051399</v>
      </c>
      <c r="AJ75">
        <v>0.75632626622275201</v>
      </c>
      <c r="AK75">
        <v>0.142538933530025</v>
      </c>
      <c r="AL75">
        <v>0.101134800247222</v>
      </c>
    </row>
    <row r="76" spans="1:38" x14ac:dyDescent="0.2">
      <c r="A76">
        <v>125</v>
      </c>
      <c r="B76">
        <v>780</v>
      </c>
      <c r="C76">
        <v>140</v>
      </c>
      <c r="D76">
        <v>0.46040972321132001</v>
      </c>
      <c r="E76">
        <v>0.121450957201082</v>
      </c>
      <c r="F76">
        <v>2.5760829699850798</v>
      </c>
      <c r="G76">
        <v>-1.9815922889494453</v>
      </c>
      <c r="H76">
        <v>-1.7090842153198516</v>
      </c>
      <c r="I76">
        <v>0.258755232995863</v>
      </c>
      <c r="J76">
        <v>0.14742851717070399</v>
      </c>
      <c r="K76">
        <v>4.7145592209627503E-2</v>
      </c>
      <c r="L76">
        <v>3.0265130355961122E-5</v>
      </c>
      <c r="M76">
        <v>1.7929365889731362E-6</v>
      </c>
      <c r="N76" s="1">
        <v>-7.6670748729466695E-10</v>
      </c>
      <c r="O76" s="1">
        <v>4.1775270867492602E-13</v>
      </c>
      <c r="P76" s="1">
        <v>3.2564720938131201E-12</v>
      </c>
      <c r="Q76">
        <v>64.299005267472594</v>
      </c>
      <c r="S76">
        <v>22.115630156219201</v>
      </c>
      <c r="AA76">
        <v>3.242327469368</v>
      </c>
      <c r="AB76">
        <v>8.9308082029348199</v>
      </c>
      <c r="AC76">
        <v>1.41222890400532</v>
      </c>
      <c r="AJ76">
        <v>0.76648368340428796</v>
      </c>
      <c r="AK76">
        <v>0.153772904546151</v>
      </c>
      <c r="AL76">
        <v>7.9743412049560203E-2</v>
      </c>
    </row>
    <row r="77" spans="1:38" x14ac:dyDescent="0.2">
      <c r="A77">
        <v>126</v>
      </c>
      <c r="B77">
        <v>778</v>
      </c>
      <c r="C77">
        <v>140</v>
      </c>
      <c r="D77">
        <v>0.45924986919088701</v>
      </c>
      <c r="E77">
        <v>0.78323076178907602</v>
      </c>
      <c r="F77">
        <v>2.57530357452544</v>
      </c>
      <c r="G77">
        <v>-12.773944164690477</v>
      </c>
      <c r="H77">
        <v>-11.021511663186441</v>
      </c>
      <c r="I77">
        <v>1.6671574004699901</v>
      </c>
      <c r="J77">
        <v>0.95103572868110497</v>
      </c>
      <c r="K77">
        <v>0.30413143115890801</v>
      </c>
      <c r="L77">
        <v>3.0341199819832687E-5</v>
      </c>
      <c r="M77">
        <v>1.7952444538615468E-6</v>
      </c>
      <c r="N77" s="1">
        <v>-5.2830099695379001E-9</v>
      </c>
      <c r="O77" s="1">
        <v>2.6961463098969E-12</v>
      </c>
      <c r="P77" s="1">
        <v>2.1988369180104001E-11</v>
      </c>
      <c r="Q77">
        <v>64.392468566138007</v>
      </c>
      <c r="S77">
        <v>22.042988839114201</v>
      </c>
      <c r="AA77">
        <v>3.1605892559503999</v>
      </c>
      <c r="AB77">
        <v>8.9486474959026694</v>
      </c>
      <c r="AC77">
        <v>1.4553058428946299</v>
      </c>
      <c r="AJ77">
        <v>0.76794801942349999</v>
      </c>
      <c r="AK77">
        <v>0.14988330940337699</v>
      </c>
      <c r="AL77">
        <v>8.2168671173121502E-2</v>
      </c>
    </row>
    <row r="78" spans="1:38" x14ac:dyDescent="0.2">
      <c r="A78">
        <v>127</v>
      </c>
      <c r="B78">
        <v>776</v>
      </c>
      <c r="C78">
        <v>140</v>
      </c>
      <c r="D78">
        <v>0.45808559309917701</v>
      </c>
      <c r="E78">
        <v>1.44641745072006</v>
      </c>
      <c r="F78">
        <v>2.57454157321741</v>
      </c>
      <c r="G78">
        <v>-23.580320700149077</v>
      </c>
      <c r="H78">
        <v>-20.353228383447899</v>
      </c>
      <c r="I78">
        <v>3.0759112774161701</v>
      </c>
      <c r="J78">
        <v>1.7568454315259201</v>
      </c>
      <c r="K78">
        <v>0.56181553476041801</v>
      </c>
      <c r="L78">
        <v>3.0417031014415595E-5</v>
      </c>
      <c r="M78">
        <v>1.7974668227025235E-6</v>
      </c>
      <c r="N78" s="1">
        <v>-1.04153814706068E-8</v>
      </c>
      <c r="O78" s="1">
        <v>4.98238514185124E-12</v>
      </c>
      <c r="P78" s="1">
        <v>4.2527056723785699E-11</v>
      </c>
      <c r="Q78">
        <v>64.482414002058206</v>
      </c>
      <c r="S78">
        <v>21.972469000593101</v>
      </c>
      <c r="AA78">
        <v>3.08142212926596</v>
      </c>
      <c r="AB78">
        <v>8.9642091522817609</v>
      </c>
      <c r="AC78">
        <v>1.4994857158008199</v>
      </c>
      <c r="AJ78">
        <v>0.76922531802666105</v>
      </c>
      <c r="AK78">
        <v>0.14611795203369499</v>
      </c>
      <c r="AL78">
        <v>8.4656729939643002E-2</v>
      </c>
    </row>
    <row r="79" spans="1:38" x14ac:dyDescent="0.2">
      <c r="A79">
        <v>128</v>
      </c>
      <c r="B79">
        <v>774</v>
      </c>
      <c r="C79">
        <v>140</v>
      </c>
      <c r="D79">
        <v>0.45691686959843703</v>
      </c>
      <c r="E79">
        <v>2.1104402743148101</v>
      </c>
      <c r="F79">
        <v>2.5737966583975398</v>
      </c>
      <c r="G79">
        <v>-34.391312314033371</v>
      </c>
      <c r="H79">
        <v>-29.696156124821254</v>
      </c>
      <c r="I79">
        <v>4.4837474948308396</v>
      </c>
      <c r="J79">
        <v>2.5642037799659398</v>
      </c>
      <c r="K79">
        <v>0.81997164283707702</v>
      </c>
      <c r="L79">
        <v>3.0492747773851468E-5</v>
      </c>
      <c r="M79">
        <v>1.7996050250358058E-6</v>
      </c>
      <c r="N79" s="1">
        <v>-1.6211212619053699E-8</v>
      </c>
      <c r="O79" s="1">
        <v>7.2737779425205604E-12</v>
      </c>
      <c r="P79" s="1">
        <v>6.5002696415162196E-11</v>
      </c>
      <c r="Q79">
        <v>64.568879905084003</v>
      </c>
      <c r="S79">
        <v>21.904042040574101</v>
      </c>
      <c r="AA79">
        <v>3.0047935502078298</v>
      </c>
      <c r="AB79">
        <v>8.9775036092568001</v>
      </c>
      <c r="AC79">
        <v>1.5447808948771</v>
      </c>
      <c r="AJ79">
        <v>0.77031652093955205</v>
      </c>
      <c r="AK79">
        <v>0.14247512693012099</v>
      </c>
      <c r="AL79">
        <v>8.7208352130326003E-2</v>
      </c>
    </row>
    <row r="80" spans="1:38" x14ac:dyDescent="0.2">
      <c r="A80">
        <v>129</v>
      </c>
      <c r="B80">
        <v>772</v>
      </c>
      <c r="C80">
        <v>140</v>
      </c>
      <c r="D80">
        <v>0.45574367315696301</v>
      </c>
      <c r="E80">
        <v>3.3539504822129</v>
      </c>
      <c r="F80">
        <v>2.5723911994778499</v>
      </c>
      <c r="G80">
        <v>-54.622514888416909</v>
      </c>
      <c r="H80">
        <v>-47.18181125576325</v>
      </c>
      <c r="I80">
        <v>7.1192686529719698</v>
      </c>
      <c r="J80">
        <v>4.0761682799178596</v>
      </c>
      <c r="K80">
        <v>1.3038259821809699</v>
      </c>
      <c r="L80">
        <v>3.0575771328334074E-5</v>
      </c>
      <c r="M80">
        <v>1.8025565066419895E-6</v>
      </c>
      <c r="N80" s="1">
        <v>-2.7420516165045901E-8</v>
      </c>
      <c r="O80" s="1">
        <v>1.15797528696385E-11</v>
      </c>
      <c r="P80" s="1">
        <v>1.08107529959444E-10</v>
      </c>
      <c r="Q80">
        <v>64.699664025176205</v>
      </c>
      <c r="S80">
        <v>21.792581849190402</v>
      </c>
      <c r="AA80">
        <v>2.88232106456516</v>
      </c>
      <c r="AB80">
        <v>8.97674162599208</v>
      </c>
      <c r="AC80">
        <v>1.64869143507598</v>
      </c>
      <c r="AJ80">
        <v>0.77025607834244803</v>
      </c>
      <c r="AK80">
        <v>0.13666885467324899</v>
      </c>
      <c r="AL80">
        <v>9.3075066984302304E-2</v>
      </c>
    </row>
    <row r="81" spans="1:38" x14ac:dyDescent="0.2">
      <c r="A81">
        <v>130</v>
      </c>
      <c r="B81">
        <v>770</v>
      </c>
      <c r="C81">
        <v>140</v>
      </c>
      <c r="D81">
        <v>0.45456597804726301</v>
      </c>
      <c r="E81">
        <v>5.22298848670534</v>
      </c>
      <c r="F81">
        <v>2.5701911953028498</v>
      </c>
      <c r="G81">
        <v>-84.989061942793199</v>
      </c>
      <c r="H81">
        <v>-73.434156168985069</v>
      </c>
      <c r="I81">
        <v>11.0769359860117</v>
      </c>
      <c r="J81">
        <v>6.3485446608443796</v>
      </c>
      <c r="K81">
        <v>2.0321400587826299</v>
      </c>
      <c r="L81">
        <v>3.0655855896221779E-5</v>
      </c>
      <c r="M81">
        <v>1.8061685080072657E-6</v>
      </c>
      <c r="N81" s="1">
        <v>-4.5256792650629597E-8</v>
      </c>
      <c r="O81" s="1">
        <v>1.8089251490498199E-11</v>
      </c>
      <c r="P81" s="1">
        <v>1.75721119405054E-10</v>
      </c>
      <c r="Q81">
        <v>64.873238992728602</v>
      </c>
      <c r="S81">
        <v>21.633919392096299</v>
      </c>
      <c r="AA81">
        <v>2.7109215671323201</v>
      </c>
      <c r="AB81">
        <v>8.9475898756653596</v>
      </c>
      <c r="AC81">
        <v>1.8343301723774199</v>
      </c>
      <c r="AJ81">
        <v>0.76786870196784496</v>
      </c>
      <c r="AK81">
        <v>0.12856082178221701</v>
      </c>
      <c r="AL81">
        <v>0.103570476249936</v>
      </c>
    </row>
    <row r="82" spans="1:38" x14ac:dyDescent="0.2">
      <c r="A82">
        <v>131</v>
      </c>
      <c r="B82">
        <v>768</v>
      </c>
      <c r="C82">
        <v>140</v>
      </c>
      <c r="D82">
        <v>0.45338375834414102</v>
      </c>
      <c r="E82">
        <v>7.2043336646091696</v>
      </c>
      <c r="F82">
        <v>2.5677105312390101</v>
      </c>
      <c r="G82">
        <v>-117.11291156251443</v>
      </c>
      <c r="H82">
        <v>-101.21997244686084</v>
      </c>
      <c r="I82">
        <v>15.264792888300001</v>
      </c>
      <c r="J82">
        <v>8.7569625725657705</v>
      </c>
      <c r="K82">
        <v>2.80574214926509</v>
      </c>
      <c r="L82">
        <v>3.0718057429971938E-5</v>
      </c>
      <c r="M82">
        <v>1.8095026270012795E-6</v>
      </c>
      <c r="N82" s="1">
        <v>-6.5881607491803394E-8</v>
      </c>
      <c r="O82" s="1">
        <v>2.5039157185614799E-11</v>
      </c>
      <c r="P82" s="1">
        <v>2.52310876383045E-10</v>
      </c>
      <c r="Q82">
        <v>65.044756451322897</v>
      </c>
      <c r="S82">
        <v>21.465982291564501</v>
      </c>
      <c r="AA82">
        <v>2.5323504854860999</v>
      </c>
      <c r="AB82">
        <v>8.8895383933875003</v>
      </c>
      <c r="AC82">
        <v>2.0673723782389302</v>
      </c>
      <c r="AJ82">
        <v>0.76310980959511099</v>
      </c>
      <c r="AK82">
        <v>0.120127497510071</v>
      </c>
      <c r="AL82">
        <v>0.116762692894817</v>
      </c>
    </row>
    <row r="83" spans="1:38" x14ac:dyDescent="0.2">
      <c r="A83">
        <v>132</v>
      </c>
      <c r="B83">
        <v>766</v>
      </c>
      <c r="C83">
        <v>140</v>
      </c>
      <c r="D83">
        <v>0.45219698792282498</v>
      </c>
      <c r="E83">
        <v>11.2497231955434</v>
      </c>
      <c r="F83">
        <v>2.56712910195523</v>
      </c>
      <c r="G83">
        <v>-182.74215002505483</v>
      </c>
      <c r="H83">
        <v>-158.00313979321947</v>
      </c>
      <c r="I83">
        <v>23.8069674559354</v>
      </c>
      <c r="J83">
        <v>13.672014013790299</v>
      </c>
      <c r="K83">
        <v>4.3822194945221904</v>
      </c>
      <c r="L83">
        <v>3.0696869461302135E-5</v>
      </c>
      <c r="M83">
        <v>1.8087365940067952E-6</v>
      </c>
      <c r="N83" s="1">
        <v>-1.0788346703093499E-7</v>
      </c>
      <c r="O83" s="1">
        <v>3.9096457470887798E-11</v>
      </c>
      <c r="P83" s="1">
        <v>4.0841918837444801E-10</v>
      </c>
      <c r="Q83">
        <v>65.028318889847</v>
      </c>
      <c r="S83">
        <v>21.441964501339001</v>
      </c>
      <c r="AA83">
        <v>2.5163710428821</v>
      </c>
      <c r="AB83">
        <v>8.7899424093835208</v>
      </c>
      <c r="AC83">
        <v>2.2234031565482701</v>
      </c>
      <c r="AJ83">
        <v>0.75493402640231</v>
      </c>
      <c r="AK83">
        <v>0.119428627117433</v>
      </c>
      <c r="AL83">
        <v>0.12563734648025501</v>
      </c>
    </row>
    <row r="84" spans="1:38" x14ac:dyDescent="0.2">
      <c r="A84">
        <v>133</v>
      </c>
      <c r="B84">
        <v>764</v>
      </c>
      <c r="C84">
        <v>140</v>
      </c>
      <c r="D84">
        <v>0.45100564045702202</v>
      </c>
      <c r="E84">
        <v>15.738836097073801</v>
      </c>
      <c r="F84">
        <v>2.5708502149979799</v>
      </c>
      <c r="G84">
        <v>-255.75331284320973</v>
      </c>
      <c r="H84">
        <v>-221.26297384292727</v>
      </c>
      <c r="I84">
        <v>33.2549187680494</v>
      </c>
      <c r="J84">
        <v>19.1316515570098</v>
      </c>
      <c r="K84">
        <v>6.12203542830136</v>
      </c>
      <c r="L84">
        <v>3.0618967251206895E-5</v>
      </c>
      <c r="M84">
        <v>1.802134393893884E-6</v>
      </c>
      <c r="N84" s="1">
        <v>-1.59436525043371E-7</v>
      </c>
      <c r="O84" s="1">
        <v>5.4256650008892302E-11</v>
      </c>
      <c r="P84" s="1">
        <v>5.9628528448962605E-10</v>
      </c>
      <c r="Q84">
        <v>64.702823826720405</v>
      </c>
      <c r="S84">
        <v>21.7012826707649</v>
      </c>
      <c r="AA84">
        <v>2.80626101104215</v>
      </c>
      <c r="AB84">
        <v>8.7444304083660001</v>
      </c>
      <c r="AC84">
        <v>2.0452020831064299</v>
      </c>
      <c r="AJ84">
        <v>0.75119047572488695</v>
      </c>
      <c r="AK84">
        <v>0.13321631000228401</v>
      </c>
      <c r="AL84">
        <v>0.115593214272828</v>
      </c>
    </row>
    <row r="85" spans="1:38" x14ac:dyDescent="0.2">
      <c r="A85">
        <v>134</v>
      </c>
      <c r="B85">
        <v>762</v>
      </c>
      <c r="C85">
        <v>140</v>
      </c>
      <c r="D85">
        <v>0.44980968941699401</v>
      </c>
      <c r="E85">
        <v>17.191503118582801</v>
      </c>
      <c r="F85">
        <v>2.5721802356741099</v>
      </c>
      <c r="G85">
        <v>-279.34663642820914</v>
      </c>
      <c r="H85">
        <v>-241.79297394003561</v>
      </c>
      <c r="I85">
        <v>36.278474122758503</v>
      </c>
      <c r="J85">
        <v>20.905604336817699</v>
      </c>
      <c r="K85">
        <v>6.6836308281007</v>
      </c>
      <c r="L85">
        <v>3.063471378597071E-5</v>
      </c>
      <c r="M85">
        <v>1.8002288020539528E-6</v>
      </c>
      <c r="N85" s="1">
        <v>-1.84990843260372E-7</v>
      </c>
      <c r="O85" s="1">
        <v>5.9038409186842306E-11</v>
      </c>
      <c r="P85" s="1">
        <v>6.8279583229476497E-10</v>
      </c>
      <c r="Q85">
        <v>64.597779396368196</v>
      </c>
      <c r="S85">
        <v>21.786448163970402</v>
      </c>
      <c r="AA85">
        <v>2.9010340967349402</v>
      </c>
      <c r="AB85">
        <v>8.7336169402909807</v>
      </c>
      <c r="AC85">
        <v>1.98112140263544</v>
      </c>
      <c r="AJ85">
        <v>0.750300363437854</v>
      </c>
      <c r="AK85">
        <v>0.13772241852591099</v>
      </c>
      <c r="AL85">
        <v>0.11197721803623401</v>
      </c>
    </row>
    <row r="86" spans="1:38" x14ac:dyDescent="0.2">
      <c r="A86">
        <v>135</v>
      </c>
      <c r="B86">
        <v>760</v>
      </c>
      <c r="C86">
        <v>140</v>
      </c>
      <c r="D86">
        <v>0.44860910806756099</v>
      </c>
      <c r="E86">
        <v>17.903933274503</v>
      </c>
      <c r="F86">
        <v>2.57291403993342</v>
      </c>
      <c r="G86">
        <v>-290.88356107769761</v>
      </c>
      <c r="H86">
        <v>-251.89525294740773</v>
      </c>
      <c r="I86">
        <v>37.7373161015243</v>
      </c>
      <c r="J86">
        <v>21.7823230667722</v>
      </c>
      <c r="K86">
        <v>6.9586208464882402</v>
      </c>
      <c r="L86">
        <v>3.0679093826061079E-5</v>
      </c>
      <c r="M86">
        <v>1.7995778888087893E-6</v>
      </c>
      <c r="N86" s="1">
        <v>-2.0500653240128501E-7</v>
      </c>
      <c r="O86" s="1">
        <v>6.1311914563142699E-11</v>
      </c>
      <c r="P86" s="1">
        <v>7.46855595216244E-10</v>
      </c>
      <c r="Q86">
        <v>64.550151176031093</v>
      </c>
      <c r="S86">
        <v>21.8270289900431</v>
      </c>
      <c r="AA86">
        <v>2.94562708785553</v>
      </c>
      <c r="AB86">
        <v>8.7338679164099293</v>
      </c>
      <c r="AC86">
        <v>1.9433248296602501</v>
      </c>
      <c r="AJ86">
        <v>0.75032026932703799</v>
      </c>
      <c r="AK86">
        <v>0.13983909809137901</v>
      </c>
      <c r="AL86">
        <v>0.109840632581581</v>
      </c>
    </row>
    <row r="87" spans="1:38" x14ac:dyDescent="0.2">
      <c r="A87">
        <v>136</v>
      </c>
      <c r="B87">
        <v>758</v>
      </c>
      <c r="C87">
        <v>140</v>
      </c>
      <c r="D87">
        <v>0.44740386946613198</v>
      </c>
      <c r="E87">
        <v>18.354769883907899</v>
      </c>
      <c r="F87">
        <v>2.5734282298976399</v>
      </c>
      <c r="G87">
        <v>-298.15800301734407</v>
      </c>
      <c r="H87">
        <v>-258.31122762780933</v>
      </c>
      <c r="I87">
        <v>38.6430445517476</v>
      </c>
      <c r="J87">
        <v>22.342787808110799</v>
      </c>
      <c r="K87">
        <v>7.1324195758270701</v>
      </c>
      <c r="L87">
        <v>3.0736833870309769E-5</v>
      </c>
      <c r="M87">
        <v>1.7994058108780079E-6</v>
      </c>
      <c r="N87" s="1">
        <v>-2.23802063470733E-7</v>
      </c>
      <c r="O87" s="1">
        <v>6.26974383347261E-11</v>
      </c>
      <c r="P87" s="1">
        <v>8.05070797796525E-10</v>
      </c>
      <c r="Q87">
        <v>64.523975100190796</v>
      </c>
      <c r="S87">
        <v>21.851031485821402</v>
      </c>
      <c r="AA87">
        <v>2.9715372220859599</v>
      </c>
      <c r="AB87">
        <v>8.7384615981251592</v>
      </c>
      <c r="AC87">
        <v>1.91499459377655</v>
      </c>
      <c r="AJ87">
        <v>0.75069734174666702</v>
      </c>
      <c r="AK87">
        <v>0.14106584055643401</v>
      </c>
      <c r="AL87">
        <v>0.108236817696898</v>
      </c>
    </row>
    <row r="88" spans="1:38" x14ac:dyDescent="0.2">
      <c r="A88">
        <v>137</v>
      </c>
      <c r="B88">
        <v>756</v>
      </c>
      <c r="C88">
        <v>140</v>
      </c>
      <c r="D88">
        <v>0.44619394646067401</v>
      </c>
      <c r="E88">
        <v>18.683022466758</v>
      </c>
      <c r="F88">
        <v>2.57383552096876</v>
      </c>
      <c r="G88">
        <v>-303.43422603317225</v>
      </c>
      <c r="H88">
        <v>-262.99961641748712</v>
      </c>
      <c r="I88">
        <v>39.289325769504103</v>
      </c>
      <c r="J88">
        <v>22.7557364158083</v>
      </c>
      <c r="K88">
        <v>7.25882532685148</v>
      </c>
      <c r="L88">
        <v>3.0803378526568898E-5</v>
      </c>
      <c r="M88">
        <v>1.7994757919582539E-6</v>
      </c>
      <c r="N88" s="1">
        <v>-2.4268153811474599E-7</v>
      </c>
      <c r="O88" s="1">
        <v>6.3662862388181697E-11</v>
      </c>
      <c r="P88" s="1">
        <v>8.6240272639285002E-10</v>
      </c>
      <c r="Q88">
        <v>64.5083231111076</v>
      </c>
      <c r="S88">
        <v>21.866914643238399</v>
      </c>
      <c r="AA88">
        <v>2.9882931672617499</v>
      </c>
      <c r="AB88">
        <v>8.7452217417995097</v>
      </c>
      <c r="AC88">
        <v>1.8912473365925799</v>
      </c>
      <c r="AJ88">
        <v>0.75125256108143001</v>
      </c>
      <c r="AK88">
        <v>0.14185646455765</v>
      </c>
      <c r="AL88">
        <v>0.106890974360918</v>
      </c>
    </row>
    <row r="89" spans="1:38" x14ac:dyDescent="0.2">
      <c r="A89">
        <v>138</v>
      </c>
      <c r="B89">
        <v>754</v>
      </c>
      <c r="C89">
        <v>140</v>
      </c>
      <c r="D89">
        <v>0.44497931168767801</v>
      </c>
      <c r="E89">
        <v>18.944642673941399</v>
      </c>
      <c r="F89">
        <v>2.5741924394750302</v>
      </c>
      <c r="G89">
        <v>-307.62419337935387</v>
      </c>
      <c r="H89">
        <v>-266.74952783301654</v>
      </c>
      <c r="I89">
        <v>39.794251614990301</v>
      </c>
      <c r="J89">
        <v>23.089100135330501</v>
      </c>
      <c r="K89">
        <v>7.3594508255975102</v>
      </c>
      <c r="L89">
        <v>3.0876489707159603E-5</v>
      </c>
      <c r="M89">
        <v>1.7996668449529893E-6</v>
      </c>
      <c r="N89" s="1">
        <v>-2.6221907529621002E-7</v>
      </c>
      <c r="O89" s="1">
        <v>6.4394271175476105E-11</v>
      </c>
      <c r="P89" s="1">
        <v>9.2098463058327804E-10</v>
      </c>
      <c r="Q89">
        <v>64.497629855000696</v>
      </c>
      <c r="S89">
        <v>21.8789601523839</v>
      </c>
      <c r="AA89">
        <v>3.00072596076927</v>
      </c>
      <c r="AB89">
        <v>8.7529712621626903</v>
      </c>
      <c r="AC89">
        <v>1.86971276968328</v>
      </c>
      <c r="AJ89">
        <v>0.75188910222512195</v>
      </c>
      <c r="AK89">
        <v>0.142441131075741</v>
      </c>
      <c r="AL89">
        <v>0.105669766699136</v>
      </c>
    </row>
    <row r="90" spans="1:38" x14ac:dyDescent="0.2">
      <c r="A90">
        <v>139</v>
      </c>
      <c r="B90">
        <v>752</v>
      </c>
      <c r="C90">
        <v>140</v>
      </c>
      <c r="D90">
        <v>0.443759937570114</v>
      </c>
      <c r="E90">
        <v>19.163315053298302</v>
      </c>
      <c r="F90">
        <v>2.5745060302436</v>
      </c>
      <c r="G90">
        <v>-311.11331049891317</v>
      </c>
      <c r="H90">
        <v>-269.89411831908211</v>
      </c>
      <c r="I90">
        <v>40.2079619371126</v>
      </c>
      <c r="J90">
        <v>23.371727158814402</v>
      </c>
      <c r="K90">
        <v>7.4434920051381903</v>
      </c>
      <c r="L90">
        <v>3.095622216315756E-5</v>
      </c>
      <c r="M90">
        <v>1.7999662832041442E-6</v>
      </c>
      <c r="N90" s="1">
        <v>-2.8271883514093102E-7</v>
      </c>
      <c r="O90" s="1">
        <v>6.4972067999008005E-11</v>
      </c>
      <c r="P90" s="1">
        <v>9.8188781395932003E-10</v>
      </c>
      <c r="Q90">
        <v>64.491254368569997</v>
      </c>
      <c r="S90">
        <v>21.887676560417798</v>
      </c>
      <c r="AA90">
        <v>3.0094047192462501</v>
      </c>
      <c r="AB90">
        <v>8.7616150293629307</v>
      </c>
      <c r="AC90">
        <v>1.8500493224029</v>
      </c>
      <c r="AJ90">
        <v>0.75259912189742895</v>
      </c>
      <c r="AK90">
        <v>0.14284693559894501</v>
      </c>
      <c r="AL90">
        <v>0.104553942503625</v>
      </c>
    </row>
    <row r="91" spans="1:38" x14ac:dyDescent="0.2">
      <c r="A91">
        <v>140</v>
      </c>
      <c r="B91">
        <v>750</v>
      </c>
      <c r="C91">
        <v>140</v>
      </c>
      <c r="D91">
        <v>0.44253579631530099</v>
      </c>
      <c r="E91">
        <v>19.353992097823301</v>
      </c>
      <c r="F91">
        <v>2.5747911128536498</v>
      </c>
      <c r="G91">
        <v>-314.14531315300621</v>
      </c>
      <c r="H91">
        <v>-272.64429281209357</v>
      </c>
      <c r="I91">
        <v>40.562009813724899</v>
      </c>
      <c r="J91">
        <v>23.621847811545098</v>
      </c>
      <c r="K91">
        <v>7.5167232018185599</v>
      </c>
      <c r="L91">
        <v>3.104223749918787E-5</v>
      </c>
      <c r="M91">
        <v>1.8003430419652909E-6</v>
      </c>
      <c r="N91" s="1">
        <v>-3.0441705856540999E-7</v>
      </c>
      <c r="O91" s="1">
        <v>6.5445281771118706E-11</v>
      </c>
      <c r="P91" s="1">
        <v>1.04591107189976E-9</v>
      </c>
      <c r="Q91">
        <v>64.487736250108298</v>
      </c>
      <c r="S91">
        <v>21.894186523404301</v>
      </c>
      <c r="AA91">
        <v>3.01559641021404</v>
      </c>
      <c r="AB91">
        <v>8.7708418053271195</v>
      </c>
      <c r="AC91">
        <v>1.8316390109460701</v>
      </c>
      <c r="AJ91">
        <v>0.75335701338333405</v>
      </c>
      <c r="AK91">
        <v>0.14313424967077401</v>
      </c>
      <c r="AL91">
        <v>0.10350873694589</v>
      </c>
    </row>
    <row r="92" spans="1:38" x14ac:dyDescent="0.2">
      <c r="A92">
        <v>142</v>
      </c>
      <c r="B92">
        <v>790</v>
      </c>
      <c r="C92">
        <v>120</v>
      </c>
      <c r="D92">
        <v>0.486836758688802</v>
      </c>
      <c r="E92">
        <v>0.44420071861787302</v>
      </c>
      <c r="F92">
        <v>2.57371930824279</v>
      </c>
      <c r="G92">
        <v>-7.2598736774830055</v>
      </c>
      <c r="H92">
        <v>-6.2480761988854034</v>
      </c>
      <c r="I92">
        <v>0.95169776475342205</v>
      </c>
      <c r="J92">
        <v>0.53877469174464798</v>
      </c>
      <c r="K92">
        <v>0.172590972603439</v>
      </c>
      <c r="L92">
        <v>3.0127975391224408E-5</v>
      </c>
      <c r="M92">
        <v>1.7944890133724969E-6</v>
      </c>
      <c r="N92" s="1">
        <v>-1.9957896758463502E-9</v>
      </c>
      <c r="O92" s="1">
        <v>1.5372264457263199E-12</v>
      </c>
      <c r="P92" s="1">
        <v>9.5286779420781003E-12</v>
      </c>
      <c r="Q92">
        <v>64.369302174619307</v>
      </c>
      <c r="S92">
        <v>22.062775588665001</v>
      </c>
      <c r="AA92">
        <v>3.1823190876859302</v>
      </c>
      <c r="AB92">
        <v>8.9488959709358191</v>
      </c>
      <c r="AC92">
        <v>1.4367071780938601</v>
      </c>
      <c r="AJ92">
        <v>0.76796803676708902</v>
      </c>
      <c r="AK92">
        <v>0.15091353751323799</v>
      </c>
      <c r="AL92">
        <v>8.1118425719672593E-2</v>
      </c>
    </row>
    <row r="93" spans="1:38" x14ac:dyDescent="0.2">
      <c r="A93">
        <v>143</v>
      </c>
      <c r="B93">
        <v>788</v>
      </c>
      <c r="C93">
        <v>120</v>
      </c>
      <c r="D93">
        <v>0.48573764312303003</v>
      </c>
      <c r="E93">
        <v>1.08542443498324</v>
      </c>
      <c r="F93">
        <v>2.5729939289737298</v>
      </c>
      <c r="G93">
        <v>-17.732661444888588</v>
      </c>
      <c r="H93">
        <v>-15.267209764556821</v>
      </c>
      <c r="I93">
        <v>2.32337716659451</v>
      </c>
      <c r="J93">
        <v>1.3167532272707301</v>
      </c>
      <c r="K93">
        <v>0.42185269959660399</v>
      </c>
      <c r="L93">
        <v>3.0190535870708898E-5</v>
      </c>
      <c r="M93">
        <v>1.7966143926939472E-6</v>
      </c>
      <c r="N93" s="1">
        <v>-5.2274952078978296E-9</v>
      </c>
      <c r="O93" s="1">
        <v>3.75970864049284E-12</v>
      </c>
      <c r="P93" s="1">
        <v>2.4312458818725601E-11</v>
      </c>
      <c r="Q93">
        <v>64.456213657228304</v>
      </c>
      <c r="S93">
        <v>21.994931072282402</v>
      </c>
      <c r="AA93">
        <v>3.10606706068722</v>
      </c>
      <c r="AB93">
        <v>8.9647103298364907</v>
      </c>
      <c r="AC93">
        <v>1.4780778799655401</v>
      </c>
      <c r="AJ93">
        <v>0.76926600247492205</v>
      </c>
      <c r="AK93">
        <v>0.14728614543497601</v>
      </c>
      <c r="AL93">
        <v>8.3447852090099806E-2</v>
      </c>
    </row>
    <row r="94" spans="1:38" x14ac:dyDescent="0.2">
      <c r="A94">
        <v>144</v>
      </c>
      <c r="B94">
        <v>786</v>
      </c>
      <c r="C94">
        <v>120</v>
      </c>
      <c r="D94">
        <v>0.48463437662276798</v>
      </c>
      <c r="E94">
        <v>1.7271408179693599</v>
      </c>
      <c r="F94">
        <v>2.5722852594469101</v>
      </c>
      <c r="G94">
        <v>-28.204970868461846</v>
      </c>
      <c r="H94">
        <v>-24.292954045591298</v>
      </c>
      <c r="I94">
        <v>3.6935437122886698</v>
      </c>
      <c r="J94">
        <v>2.0956249554127599</v>
      </c>
      <c r="K94">
        <v>0.67144217836116904</v>
      </c>
      <c r="L94">
        <v>3.0252540345740846E-5</v>
      </c>
      <c r="M94">
        <v>1.798660184093475E-6</v>
      </c>
      <c r="N94" s="1">
        <v>-8.9042811268882504E-9</v>
      </c>
      <c r="O94" s="1">
        <v>5.9874434125914896E-12</v>
      </c>
      <c r="P94" s="1">
        <v>4.0404192677536402E-11</v>
      </c>
      <c r="Q94">
        <v>64.539870139827897</v>
      </c>
      <c r="S94">
        <v>21.9290679166464</v>
      </c>
      <c r="AA94">
        <v>3.0322091863455198</v>
      </c>
      <c r="AB94">
        <v>8.9784654905341093</v>
      </c>
      <c r="AC94">
        <v>1.5203872666460301</v>
      </c>
      <c r="AJ94">
        <v>0.77039492139980903</v>
      </c>
      <c r="AK94">
        <v>0.14377429374006501</v>
      </c>
      <c r="AL94">
        <v>8.5830784860124701E-2</v>
      </c>
    </row>
    <row r="95" spans="1:38" x14ac:dyDescent="0.2">
      <c r="A95">
        <v>145</v>
      </c>
      <c r="B95">
        <v>784</v>
      </c>
      <c r="C95">
        <v>120</v>
      </c>
      <c r="D95">
        <v>0.48352693562881199</v>
      </c>
      <c r="E95">
        <v>2.3688469117214099</v>
      </c>
      <c r="F95">
        <v>2.5715929791450098</v>
      </c>
      <c r="G95">
        <v>-38.668518649135848</v>
      </c>
      <c r="H95">
        <v>-33.318201096000095</v>
      </c>
      <c r="I95">
        <v>5.0610770024459599</v>
      </c>
      <c r="J95">
        <v>2.8748046715457698</v>
      </c>
      <c r="K95">
        <v>0.92115934789532605</v>
      </c>
      <c r="L95">
        <v>3.0314086949639869E-5</v>
      </c>
      <c r="M95">
        <v>1.8006278111231808E-6</v>
      </c>
      <c r="N95" s="1">
        <v>-1.3057755191836799E-8</v>
      </c>
      <c r="O95" s="1">
        <v>8.21811517053459E-12</v>
      </c>
      <c r="P95" s="1">
        <v>5.7890230356461798E-11</v>
      </c>
      <c r="Q95">
        <v>64.620317112654106</v>
      </c>
      <c r="S95">
        <v>21.865154173596299</v>
      </c>
      <c r="AA95">
        <v>2.9607084925763898</v>
      </c>
      <c r="AB95">
        <v>8.9901790693236805</v>
      </c>
      <c r="AC95">
        <v>1.56364115184946</v>
      </c>
      <c r="AJ95">
        <v>0.77135630644695896</v>
      </c>
      <c r="AK95">
        <v>0.140376086956426</v>
      </c>
      <c r="AL95">
        <v>8.8267606596614395E-2</v>
      </c>
    </row>
    <row r="96" spans="1:38" x14ac:dyDescent="0.2">
      <c r="A96">
        <v>146</v>
      </c>
      <c r="B96">
        <v>782</v>
      </c>
      <c r="C96">
        <v>120</v>
      </c>
      <c r="D96">
        <v>0.48241529640335601</v>
      </c>
      <c r="E96">
        <v>3.01005610243759</v>
      </c>
      <c r="F96">
        <v>2.5709166872430802</v>
      </c>
      <c r="G96">
        <v>-49.115300709681392</v>
      </c>
      <c r="H96">
        <v>-42.336071372030382</v>
      </c>
      <c r="I96">
        <v>6.4248963063554996</v>
      </c>
      <c r="J96">
        <v>3.6537294294996001</v>
      </c>
      <c r="K96">
        <v>1.1708104418060299</v>
      </c>
      <c r="L96">
        <v>3.0375283382355684E-5</v>
      </c>
      <c r="M96">
        <v>1.8025189312174053E-6</v>
      </c>
      <c r="N96" s="1">
        <v>-1.7721810974387399E-8</v>
      </c>
      <c r="O96" s="1">
        <v>1.0449445536579099E-11</v>
      </c>
      <c r="P96" s="1">
        <v>7.6863388258675803E-11</v>
      </c>
      <c r="Q96">
        <v>64.697609828866106</v>
      </c>
      <c r="S96">
        <v>21.803150766938401</v>
      </c>
      <c r="AA96">
        <v>2.8915198485505802</v>
      </c>
      <c r="AB96">
        <v>8.9998717515859603</v>
      </c>
      <c r="AC96">
        <v>1.60784780405882</v>
      </c>
      <c r="AJ96">
        <v>0.77215191132442196</v>
      </c>
      <c r="AK96">
        <v>0.137089249279404</v>
      </c>
      <c r="AL96">
        <v>9.0758839396173102E-2</v>
      </c>
    </row>
    <row r="97" spans="1:38" x14ac:dyDescent="0.2">
      <c r="A97">
        <v>147</v>
      </c>
      <c r="B97">
        <v>780</v>
      </c>
      <c r="C97">
        <v>120</v>
      </c>
      <c r="D97">
        <v>0.48129943502824801</v>
      </c>
      <c r="E97">
        <v>4.0939431355390301</v>
      </c>
      <c r="F97">
        <v>2.56974468701083</v>
      </c>
      <c r="G97">
        <v>-66.764122329821447</v>
      </c>
      <c r="H97">
        <v>-57.569732811692703</v>
      </c>
      <c r="I97">
        <v>8.7303703348323793</v>
      </c>
      <c r="J97">
        <v>4.9701855749905004</v>
      </c>
      <c r="K97">
        <v>1.5931322501540599</v>
      </c>
      <c r="L97">
        <v>3.0440317094483852E-5</v>
      </c>
      <c r="M97">
        <v>1.8049636286319553E-6</v>
      </c>
      <c r="N97" s="1">
        <v>-2.56802968110315E-8</v>
      </c>
      <c r="O97" s="1">
        <v>1.42337472911004E-11</v>
      </c>
      <c r="P97" s="1">
        <v>1.09134887932695E-10</v>
      </c>
      <c r="Q97">
        <v>64.806211429427805</v>
      </c>
      <c r="S97">
        <v>21.7097095208964</v>
      </c>
      <c r="AA97">
        <v>2.7890891649920699</v>
      </c>
      <c r="AB97">
        <v>8.9969162207626301</v>
      </c>
      <c r="AC97">
        <v>1.6980736639209699</v>
      </c>
      <c r="AJ97">
        <v>0.77191136610297395</v>
      </c>
      <c r="AK97">
        <v>0.132235160997975</v>
      </c>
      <c r="AL97">
        <v>9.5853472899050302E-2</v>
      </c>
    </row>
    <row r="98" spans="1:38" x14ac:dyDescent="0.2">
      <c r="A98">
        <v>148</v>
      </c>
      <c r="B98">
        <v>778</v>
      </c>
      <c r="C98">
        <v>120</v>
      </c>
      <c r="D98">
        <v>0.48017932740332298</v>
      </c>
      <c r="E98">
        <v>5.9270165383872797</v>
      </c>
      <c r="F98">
        <v>2.5676529876869001</v>
      </c>
      <c r="G98">
        <v>-96.576232939187449</v>
      </c>
      <c r="H98">
        <v>-83.302133212537839</v>
      </c>
      <c r="I98">
        <v>12.628168888027</v>
      </c>
      <c r="J98">
        <v>7.19565104884642</v>
      </c>
      <c r="K98">
        <v>2.3083401716704302</v>
      </c>
      <c r="L98">
        <v>3.0502671466719917E-5</v>
      </c>
      <c r="M98">
        <v>1.8081978489607434E-6</v>
      </c>
      <c r="N98" s="1">
        <v>-3.9404720289360998E-8</v>
      </c>
      <c r="O98" s="1">
        <v>2.0671492144186599E-11</v>
      </c>
      <c r="P98" s="1">
        <v>1.6443953507732301E-10</v>
      </c>
      <c r="Q98">
        <v>64.965132447753803</v>
      </c>
      <c r="S98">
        <v>21.561313101811098</v>
      </c>
      <c r="AA98">
        <v>2.6295785527520201</v>
      </c>
      <c r="AB98">
        <v>8.9620226836147392</v>
      </c>
      <c r="AC98">
        <v>1.88195321406822</v>
      </c>
      <c r="AJ98">
        <v>0.76905350525015204</v>
      </c>
      <c r="AK98">
        <v>0.124694545440799</v>
      </c>
      <c r="AL98">
        <v>0.10625194930904799</v>
      </c>
    </row>
    <row r="99" spans="1:38" x14ac:dyDescent="0.2">
      <c r="A99">
        <v>149</v>
      </c>
      <c r="B99">
        <v>776</v>
      </c>
      <c r="C99">
        <v>120</v>
      </c>
      <c r="D99">
        <v>0.47905494924462999</v>
      </c>
      <c r="E99">
        <v>7.8650836904185599</v>
      </c>
      <c r="F99">
        <v>2.5653028152838901</v>
      </c>
      <c r="G99">
        <v>-128.03017127029042</v>
      </c>
      <c r="H99">
        <v>-110.46575683240786</v>
      </c>
      <c r="I99">
        <v>16.741566447011898</v>
      </c>
      <c r="J99">
        <v>9.5474808733568892</v>
      </c>
      <c r="K99">
        <v>3.0659474755022802</v>
      </c>
      <c r="L99">
        <v>3.0548223900114703E-5</v>
      </c>
      <c r="M99">
        <v>1.8111596155189515E-6</v>
      </c>
      <c r="N99" s="1">
        <v>-5.5172946783110702E-8</v>
      </c>
      <c r="O99" s="1">
        <v>2.7526213118238501E-11</v>
      </c>
      <c r="P99" s="1">
        <v>2.2651838334739E-10</v>
      </c>
      <c r="Q99">
        <v>65.121539832191402</v>
      </c>
      <c r="S99">
        <v>21.404611664265801</v>
      </c>
      <c r="AA99">
        <v>2.4638027373501501</v>
      </c>
      <c r="AB99">
        <v>8.8997549625032608</v>
      </c>
      <c r="AC99">
        <v>2.11029080368928</v>
      </c>
      <c r="AJ99">
        <v>0.76394917557458897</v>
      </c>
      <c r="AK99">
        <v>0.116870026074058</v>
      </c>
      <c r="AL99">
        <v>0.11918079835135199</v>
      </c>
    </row>
    <row r="100" spans="1:38" x14ac:dyDescent="0.2">
      <c r="A100">
        <v>150</v>
      </c>
      <c r="B100">
        <v>774</v>
      </c>
      <c r="C100">
        <v>120</v>
      </c>
      <c r="D100">
        <v>0.47792627608270499</v>
      </c>
      <c r="E100">
        <v>10.006596210123</v>
      </c>
      <c r="F100">
        <v>2.5624595947956901</v>
      </c>
      <c r="G100">
        <v>-162.69329665356909</v>
      </c>
      <c r="H100">
        <v>-140.41209944046895</v>
      </c>
      <c r="I100">
        <v>21.277942236642399</v>
      </c>
      <c r="J100">
        <v>12.1431846206768</v>
      </c>
      <c r="K100">
        <v>3.9050747299377102</v>
      </c>
      <c r="L100">
        <v>3.0567561391321349E-5</v>
      </c>
      <c r="M100">
        <v>1.8138255105420012E-6</v>
      </c>
      <c r="N100" s="1">
        <v>-7.3561110427560998E-8</v>
      </c>
      <c r="O100" s="1">
        <v>3.5169005010368102E-11</v>
      </c>
      <c r="P100" s="1">
        <v>2.9782466954291398E-10</v>
      </c>
      <c r="Q100">
        <v>65.280793994900606</v>
      </c>
      <c r="S100">
        <v>21.228748697870401</v>
      </c>
      <c r="AA100">
        <v>2.2815542076569</v>
      </c>
      <c r="AB100">
        <v>8.7935966950828508</v>
      </c>
      <c r="AC100">
        <v>2.41530640448907</v>
      </c>
      <c r="AJ100">
        <v>0.75523796646894703</v>
      </c>
      <c r="AK100">
        <v>0.108282644266571</v>
      </c>
      <c r="AL100">
        <v>0.136479389264481</v>
      </c>
    </row>
    <row r="101" spans="1:38" x14ac:dyDescent="0.2">
      <c r="A101">
        <v>151</v>
      </c>
      <c r="B101">
        <v>772</v>
      </c>
      <c r="C101">
        <v>120</v>
      </c>
      <c r="D101">
        <v>0.47679328326077502</v>
      </c>
      <c r="E101">
        <v>14.4298894842271</v>
      </c>
      <c r="F101">
        <v>2.5672119886865099</v>
      </c>
      <c r="G101">
        <v>-234.72318815150336</v>
      </c>
      <c r="H101">
        <v>-202.70736495026762</v>
      </c>
      <c r="I101">
        <v>30.632754342664398</v>
      </c>
      <c r="J101">
        <v>17.511051410960999</v>
      </c>
      <c r="K101">
        <v>5.6208406426186901</v>
      </c>
      <c r="L101">
        <v>3.0436398064924377E-5</v>
      </c>
      <c r="M101">
        <v>1.8051583861970566E-6</v>
      </c>
      <c r="N101" s="1">
        <v>-1.11631868904658E-7</v>
      </c>
      <c r="O101" s="1">
        <v>5.0236206561048899E-11</v>
      </c>
      <c r="P101" s="1">
        <v>4.45962126356292E-10</v>
      </c>
      <c r="Q101">
        <v>64.8594015612438</v>
      </c>
      <c r="S101">
        <v>21.5611040555941</v>
      </c>
      <c r="AA101">
        <v>2.6540769444158201</v>
      </c>
      <c r="AB101">
        <v>8.7258590302551404</v>
      </c>
      <c r="AC101">
        <v>2.19955840849103</v>
      </c>
      <c r="AJ101">
        <v>0.74966678587251001</v>
      </c>
      <c r="AK101">
        <v>0.12600401303431999</v>
      </c>
      <c r="AL101">
        <v>0.124329201093169</v>
      </c>
    </row>
    <row r="102" spans="1:38" x14ac:dyDescent="0.2">
      <c r="A102">
        <v>152</v>
      </c>
      <c r="B102">
        <v>770</v>
      </c>
      <c r="C102">
        <v>120</v>
      </c>
      <c r="D102">
        <v>0.47565594593299199</v>
      </c>
      <c r="E102">
        <v>16.372011242753398</v>
      </c>
      <c r="F102">
        <v>2.5696265173724799</v>
      </c>
      <c r="G102">
        <v>-266.35144407040968</v>
      </c>
      <c r="H102">
        <v>-230.14610187898069</v>
      </c>
      <c r="I102">
        <v>34.707704732233097</v>
      </c>
      <c r="J102">
        <v>19.872028051714899</v>
      </c>
      <c r="K102">
        <v>6.3713583013201198</v>
      </c>
      <c r="L102">
        <v>3.0400671919380026E-5</v>
      </c>
      <c r="M102">
        <v>1.8011365218958534E-6</v>
      </c>
      <c r="N102" s="1">
        <v>-1.3425720076776E-7</v>
      </c>
      <c r="O102" s="1">
        <v>5.6689157371818401E-11</v>
      </c>
      <c r="P102" s="1">
        <v>5.2828897860879196E-10</v>
      </c>
      <c r="Q102">
        <v>64.656060946981498</v>
      </c>
      <c r="S102">
        <v>21.724585269812099</v>
      </c>
      <c r="AA102">
        <v>2.8363973725532401</v>
      </c>
      <c r="AB102">
        <v>8.70131263114021</v>
      </c>
      <c r="AC102">
        <v>2.08164377951279</v>
      </c>
      <c r="AJ102">
        <v>0.74764626737149198</v>
      </c>
      <c r="AK102">
        <v>0.134675706151065</v>
      </c>
      <c r="AL102">
        <v>0.11767802647744199</v>
      </c>
    </row>
    <row r="103" spans="1:38" x14ac:dyDescent="0.2">
      <c r="A103">
        <v>153</v>
      </c>
      <c r="B103">
        <v>768</v>
      </c>
      <c r="C103">
        <v>120</v>
      </c>
      <c r="D103">
        <v>0.474514239062578</v>
      </c>
      <c r="E103">
        <v>17.231142606591298</v>
      </c>
      <c r="F103">
        <v>2.5707540630469898</v>
      </c>
      <c r="G103">
        <v>-280.30805587096978</v>
      </c>
      <c r="H103">
        <v>-242.32214059904334</v>
      </c>
      <c r="I103">
        <v>36.484575010254503</v>
      </c>
      <c r="J103">
        <v>20.921329699149901</v>
      </c>
      <c r="K103">
        <v>6.7027580950968302</v>
      </c>
      <c r="L103">
        <v>3.0416008664516575E-5</v>
      </c>
      <c r="M103">
        <v>1.7996528482852491E-6</v>
      </c>
      <c r="N103" s="1">
        <v>-1.5024409847746799E-7</v>
      </c>
      <c r="O103" s="1">
        <v>5.9476636924026099E-11</v>
      </c>
      <c r="P103" s="1">
        <v>5.8209680195955303E-10</v>
      </c>
      <c r="Q103">
        <v>64.571530227081695</v>
      </c>
      <c r="S103">
        <v>21.7942167156178</v>
      </c>
      <c r="AA103">
        <v>2.9135681161915001</v>
      </c>
      <c r="AB103">
        <v>8.6954883420846407</v>
      </c>
      <c r="AC103">
        <v>2.02519659902427</v>
      </c>
      <c r="AJ103">
        <v>0.74716623083188205</v>
      </c>
      <c r="AK103">
        <v>0.138343648237919</v>
      </c>
      <c r="AL103">
        <v>0.114490120930198</v>
      </c>
    </row>
    <row r="104" spans="1:38" x14ac:dyDescent="0.2">
      <c r="A104">
        <v>154</v>
      </c>
      <c r="B104">
        <v>766</v>
      </c>
      <c r="C104">
        <v>120</v>
      </c>
      <c r="D104">
        <v>0.47336813742000999</v>
      </c>
      <c r="E104">
        <v>17.739574538551501</v>
      </c>
      <c r="F104">
        <v>2.5714638862858701</v>
      </c>
      <c r="G104">
        <v>-288.53917707813872</v>
      </c>
      <c r="H104">
        <v>-249.55290191714838</v>
      </c>
      <c r="I104">
        <v>37.517466353260197</v>
      </c>
      <c r="J104">
        <v>21.5466280343813</v>
      </c>
      <c r="K104">
        <v>6.8986286889581603</v>
      </c>
      <c r="L104">
        <v>3.0451103186149113E-5</v>
      </c>
      <c r="M104">
        <v>1.7990342372041695E-6</v>
      </c>
      <c r="N104" s="1">
        <v>-1.64643219212306E-7</v>
      </c>
      <c r="O104" s="1">
        <v>6.1081547976654494E-11</v>
      </c>
      <c r="P104" s="1">
        <v>6.2826839865440498E-10</v>
      </c>
      <c r="Q104">
        <v>64.526706984366697</v>
      </c>
      <c r="S104">
        <v>21.832841564589899</v>
      </c>
      <c r="AA104">
        <v>2.9558929029949499</v>
      </c>
      <c r="AB104">
        <v>8.6968622121740307</v>
      </c>
      <c r="AC104">
        <v>1.9876963358742601</v>
      </c>
      <c r="AJ104">
        <v>0.74727849531203805</v>
      </c>
      <c r="AK104">
        <v>0.140352250334845</v>
      </c>
      <c r="AL104">
        <v>0.112369254353116</v>
      </c>
    </row>
    <row r="105" spans="1:38" x14ac:dyDescent="0.2">
      <c r="A105">
        <v>155</v>
      </c>
      <c r="B105">
        <v>764</v>
      </c>
      <c r="C105">
        <v>120</v>
      </c>
      <c r="D105">
        <v>0.47221761558116099</v>
      </c>
      <c r="E105">
        <v>18.0953501078172</v>
      </c>
      <c r="F105">
        <v>2.5719876099517198</v>
      </c>
      <c r="G105">
        <v>-294.2769703045052</v>
      </c>
      <c r="H105">
        <v>-254.63055300707666</v>
      </c>
      <c r="I105">
        <v>38.226309885193501</v>
      </c>
      <c r="J105">
        <v>21.987916635625101</v>
      </c>
      <c r="K105">
        <v>7.03555104145968</v>
      </c>
      <c r="L105">
        <v>3.0497037808779287E-5</v>
      </c>
      <c r="M105">
        <v>1.7988134504252619E-6</v>
      </c>
      <c r="N105" s="1">
        <v>-1.7885009877298999E-7</v>
      </c>
      <c r="O105" s="1">
        <v>6.2169902021788298E-11</v>
      </c>
      <c r="P105" s="1">
        <v>6.7253553505666197E-10</v>
      </c>
      <c r="Q105">
        <v>64.499805047230893</v>
      </c>
      <c r="S105">
        <v>21.857534081724399</v>
      </c>
      <c r="AA105">
        <v>2.98254168171959</v>
      </c>
      <c r="AB105">
        <v>8.70164733160534</v>
      </c>
      <c r="AC105">
        <v>1.95847185771965</v>
      </c>
      <c r="AJ105">
        <v>0.74767143336740705</v>
      </c>
      <c r="AK105">
        <v>0.14161414085766899</v>
      </c>
      <c r="AL105">
        <v>0.11071442577492201</v>
      </c>
    </row>
    <row r="106" spans="1:38" x14ac:dyDescent="0.2">
      <c r="A106">
        <v>156</v>
      </c>
      <c r="B106">
        <v>762</v>
      </c>
      <c r="C106">
        <v>120</v>
      </c>
      <c r="D106">
        <v>0.47106264792542502</v>
      </c>
      <c r="E106">
        <v>18.371054438757</v>
      </c>
      <c r="F106">
        <v>2.5724111069431199</v>
      </c>
      <c r="G106">
        <v>-298.70636363930714</v>
      </c>
      <c r="H106">
        <v>-258.57882495400708</v>
      </c>
      <c r="I106">
        <v>38.764950669275002</v>
      </c>
      <c r="J106">
        <v>22.3331725983609</v>
      </c>
      <c r="K106">
        <v>7.1415701748341203</v>
      </c>
      <c r="L106">
        <v>3.0550521146724256E-5</v>
      </c>
      <c r="M106">
        <v>1.7988140546459285E-6</v>
      </c>
      <c r="N106" s="1">
        <v>-1.9341415126047301E-7</v>
      </c>
      <c r="O106" s="1">
        <v>6.2984446908124494E-11</v>
      </c>
      <c r="P106" s="1">
        <v>7.1710502241772295E-10</v>
      </c>
      <c r="Q106">
        <v>64.482631475299797</v>
      </c>
      <c r="S106">
        <v>21.874678265953001</v>
      </c>
      <c r="AA106">
        <v>3.0006930274829302</v>
      </c>
      <c r="AB106">
        <v>8.7083226552182804</v>
      </c>
      <c r="AC106">
        <v>1.93367457604587</v>
      </c>
      <c r="AJ106">
        <v>0.74821986253869299</v>
      </c>
      <c r="AK106">
        <v>0.142471199439273</v>
      </c>
      <c r="AL106">
        <v>0.10930893802203299</v>
      </c>
    </row>
    <row r="107" spans="1:38" x14ac:dyDescent="0.2">
      <c r="A107">
        <v>157</v>
      </c>
      <c r="B107">
        <v>760</v>
      </c>
      <c r="C107">
        <v>120</v>
      </c>
      <c r="D107">
        <v>0.46990320863379098</v>
      </c>
      <c r="E107">
        <v>18.599346576911401</v>
      </c>
      <c r="F107">
        <v>2.57277367597773</v>
      </c>
      <c r="G107">
        <v>-302.36060684663829</v>
      </c>
      <c r="H107">
        <v>-261.85844876793294</v>
      </c>
      <c r="I107">
        <v>39.202592148967099</v>
      </c>
      <c r="J107">
        <v>22.622011500724899</v>
      </c>
      <c r="K107">
        <v>7.2292976061499399</v>
      </c>
      <c r="L107">
        <v>3.0610141052088148E-5</v>
      </c>
      <c r="M107">
        <v>1.7989547335994724E-6</v>
      </c>
      <c r="N107" s="1">
        <v>-2.0862158649627899E-7</v>
      </c>
      <c r="O107" s="1">
        <v>6.3633771021842896E-11</v>
      </c>
      <c r="P107" s="1">
        <v>7.6307855825074504E-10</v>
      </c>
      <c r="Q107">
        <v>64.4714070365536</v>
      </c>
      <c r="S107">
        <v>21.887209368715698</v>
      </c>
      <c r="AA107">
        <v>3.0136503849039702</v>
      </c>
      <c r="AB107">
        <v>8.7161615103497603</v>
      </c>
      <c r="AC107">
        <v>1.9115716994768299</v>
      </c>
      <c r="AJ107">
        <v>0.748863972213752</v>
      </c>
      <c r="AK107">
        <v>0.14308078908640201</v>
      </c>
      <c r="AL107">
        <v>0.108055238699844</v>
      </c>
    </row>
    <row r="108" spans="1:38" x14ac:dyDescent="0.2">
      <c r="A108">
        <v>158</v>
      </c>
      <c r="B108">
        <v>758</v>
      </c>
      <c r="C108">
        <v>120</v>
      </c>
      <c r="D108">
        <v>0.46873927168695301</v>
      </c>
      <c r="E108">
        <v>18.797091685177701</v>
      </c>
      <c r="F108">
        <v>2.5730959995406102</v>
      </c>
      <c r="G108">
        <v>-305.51511539768632</v>
      </c>
      <c r="H108">
        <v>-264.70739077836561</v>
      </c>
      <c r="I108">
        <v>39.5749644758965</v>
      </c>
      <c r="J108">
        <v>22.874925047141598</v>
      </c>
      <c r="K108">
        <v>7.3052430568208999</v>
      </c>
      <c r="L108">
        <v>3.0675263403757167E-5</v>
      </c>
      <c r="M108">
        <v>1.7991927267347832E-6</v>
      </c>
      <c r="N108" s="1">
        <v>-2.2465901765499899E-7</v>
      </c>
      <c r="O108" s="1">
        <v>6.4173513801607705E-11</v>
      </c>
      <c r="P108" s="1">
        <v>8.1113307264391201E-10</v>
      </c>
      <c r="Q108">
        <v>64.464133119425796</v>
      </c>
      <c r="S108">
        <v>21.896676438065999</v>
      </c>
      <c r="AA108">
        <v>3.0231580831739699</v>
      </c>
      <c r="AB108">
        <v>8.7247711291472001</v>
      </c>
      <c r="AC108">
        <v>1.8912612301868501</v>
      </c>
      <c r="AJ108">
        <v>0.74957143243765101</v>
      </c>
      <c r="AK108">
        <v>0.143526016333828</v>
      </c>
      <c r="AL108">
        <v>0.10690255122852001</v>
      </c>
    </row>
    <row r="109" spans="1:38" x14ac:dyDescent="0.2">
      <c r="A109">
        <v>159</v>
      </c>
      <c r="B109">
        <v>756</v>
      </c>
      <c r="C109">
        <v>120</v>
      </c>
      <c r="D109">
        <v>0.46757081086333502</v>
      </c>
      <c r="E109">
        <v>18.973363850435</v>
      </c>
      <c r="F109">
        <v>2.5734043712638299</v>
      </c>
      <c r="G109">
        <v>-308.31875419356663</v>
      </c>
      <c r="H109">
        <v>-267.25443142565024</v>
      </c>
      <c r="I109">
        <v>39.9012027089504</v>
      </c>
      <c r="J109">
        <v>23.102930317292099</v>
      </c>
      <c r="K109">
        <v>7.3728653228007497</v>
      </c>
      <c r="L109">
        <v>3.0744937742752403E-5</v>
      </c>
      <c r="M109">
        <v>1.7994711571724724E-6</v>
      </c>
      <c r="N109" s="1">
        <v>-2.4165248423412002E-7</v>
      </c>
      <c r="O109" s="1">
        <v>6.4631448968233605E-11</v>
      </c>
      <c r="P109" s="1">
        <v>8.6170309188575905E-10</v>
      </c>
      <c r="Q109">
        <v>64.458192668656295</v>
      </c>
      <c r="S109">
        <v>21.905084236011302</v>
      </c>
      <c r="AA109">
        <v>3.0314807255436498</v>
      </c>
      <c r="AB109">
        <v>8.7335752885234097</v>
      </c>
      <c r="AC109">
        <v>1.8716670812651901</v>
      </c>
      <c r="AJ109">
        <v>0.75029483785385898</v>
      </c>
      <c r="AK109">
        <v>0.143914810973506</v>
      </c>
      <c r="AL109">
        <v>0.105790351172633</v>
      </c>
    </row>
    <row r="110" spans="1:38" x14ac:dyDescent="0.2">
      <c r="A110">
        <v>161</v>
      </c>
      <c r="B110">
        <v>804</v>
      </c>
      <c r="C110">
        <v>100</v>
      </c>
      <c r="D110">
        <v>0.514840551455232</v>
      </c>
      <c r="E110">
        <v>0.226656563683996</v>
      </c>
      <c r="F110">
        <v>2.5715967488065701</v>
      </c>
      <c r="G110">
        <v>-3.7129666197458548</v>
      </c>
      <c r="H110">
        <v>-3.1859474097324187</v>
      </c>
      <c r="I110">
        <v>0.48927188415117301</v>
      </c>
      <c r="J110">
        <v>0.27478313404211302</v>
      </c>
      <c r="K110">
        <v>8.8138454751579207E-2</v>
      </c>
      <c r="L110">
        <v>2.9976217494380079E-5</v>
      </c>
      <c r="M110">
        <v>1.7945521059500253E-6</v>
      </c>
      <c r="N110" s="1">
        <v>-6.0605243436793101E-10</v>
      </c>
      <c r="O110" s="1">
        <v>7.8835135744632697E-13</v>
      </c>
      <c r="P110" s="1">
        <v>3.6382425514861002E-12</v>
      </c>
      <c r="Q110">
        <v>64.384014472915197</v>
      </c>
      <c r="S110">
        <v>22.0526688259019</v>
      </c>
      <c r="AA110">
        <v>3.17054799124401</v>
      </c>
      <c r="AB110">
        <v>8.9551853462940798</v>
      </c>
      <c r="AC110">
        <v>1.43758336364471</v>
      </c>
      <c r="AJ110">
        <v>0.76848395604458097</v>
      </c>
      <c r="AK110">
        <v>0.150350663056464</v>
      </c>
      <c r="AL110">
        <v>8.1165380898954406E-2</v>
      </c>
    </row>
    <row r="111" spans="1:38" x14ac:dyDescent="0.2">
      <c r="A111">
        <v>162</v>
      </c>
      <c r="B111">
        <v>802</v>
      </c>
      <c r="C111">
        <v>100</v>
      </c>
      <c r="D111">
        <v>0.51380784076640695</v>
      </c>
      <c r="E111">
        <v>0.84899657334385403</v>
      </c>
      <c r="F111">
        <v>2.5709120970574899</v>
      </c>
      <c r="G111">
        <v>-13.902283901497869</v>
      </c>
      <c r="H111">
        <v>-11.933655890897741</v>
      </c>
      <c r="I111">
        <v>1.8310263782729199</v>
      </c>
      <c r="J111">
        <v>1.02933857434766</v>
      </c>
      <c r="K111">
        <v>0.33023166148526101</v>
      </c>
      <c r="L111">
        <v>3.0026960373780589E-5</v>
      </c>
      <c r="M111">
        <v>1.7965557347646781E-6</v>
      </c>
      <c r="N111" s="1">
        <v>-2.4596391409602399E-9</v>
      </c>
      <c r="O111" s="1">
        <v>2.9561075064942198E-12</v>
      </c>
      <c r="P111" s="1">
        <v>1.41879418536076E-11</v>
      </c>
      <c r="Q111">
        <v>64.466749479697398</v>
      </c>
      <c r="S111">
        <v>21.988133011014099</v>
      </c>
      <c r="AA111">
        <v>3.0980002003950702</v>
      </c>
      <c r="AB111">
        <v>8.9703668438777395</v>
      </c>
      <c r="AC111">
        <v>1.4767504650155601</v>
      </c>
      <c r="AJ111">
        <v>0.76972989591772001</v>
      </c>
      <c r="AK111">
        <v>0.14689952198714901</v>
      </c>
      <c r="AL111">
        <v>8.337058209513E-2</v>
      </c>
    </row>
    <row r="112" spans="1:38" x14ac:dyDescent="0.2">
      <c r="A112">
        <v>163</v>
      </c>
      <c r="B112">
        <v>800</v>
      </c>
      <c r="C112">
        <v>100</v>
      </c>
      <c r="D112">
        <v>0.51277128080883805</v>
      </c>
      <c r="E112">
        <v>1.4713126471314999</v>
      </c>
      <c r="F112">
        <v>2.57024366787814</v>
      </c>
      <c r="G112">
        <v>-24.083072347090258</v>
      </c>
      <c r="H112">
        <v>-20.6809009781222</v>
      </c>
      <c r="I112">
        <v>3.1702663830480802</v>
      </c>
      <c r="J112">
        <v>1.7839801978854199</v>
      </c>
      <c r="K112">
        <v>0.57244091893674198</v>
      </c>
      <c r="L112">
        <v>3.0076848896952239E-5</v>
      </c>
      <c r="M112">
        <v>1.7984846106379205E-6</v>
      </c>
      <c r="N112" s="1">
        <v>-4.6061174953192201E-9</v>
      </c>
      <c r="O112" s="1">
        <v>5.1280500321807401E-12</v>
      </c>
      <c r="P112" s="1">
        <v>2.5602072718218399E-11</v>
      </c>
      <c r="Q112">
        <v>64.546449428997207</v>
      </c>
      <c r="S112">
        <v>21.925464619457198</v>
      </c>
      <c r="AA112">
        <v>3.0277012420866201</v>
      </c>
      <c r="AB112">
        <v>8.9836805716386401</v>
      </c>
      <c r="AC112">
        <v>1.5167041378202</v>
      </c>
      <c r="AJ112">
        <v>0.77082250759080095</v>
      </c>
      <c r="AK112">
        <v>0.14355684169817801</v>
      </c>
      <c r="AL112">
        <v>8.5620650711019694E-2</v>
      </c>
    </row>
    <row r="113" spans="1:38" x14ac:dyDescent="0.2">
      <c r="A113">
        <v>164</v>
      </c>
      <c r="B113">
        <v>798</v>
      </c>
      <c r="C113">
        <v>100</v>
      </c>
      <c r="D113">
        <v>0.51173085002101004</v>
      </c>
      <c r="E113">
        <v>2.0931542795296898</v>
      </c>
      <c r="F113">
        <v>2.5695911812315799</v>
      </c>
      <c r="G113">
        <v>-34.24791270490546</v>
      </c>
      <c r="H113">
        <v>-29.421328275744077</v>
      </c>
      <c r="I113">
        <v>4.5059836896432701</v>
      </c>
      <c r="J113">
        <v>2.53817469475409</v>
      </c>
      <c r="K113">
        <v>0.814586497189978</v>
      </c>
      <c r="L113">
        <v>3.0125955148000413E-5</v>
      </c>
      <c r="M113">
        <v>1.8003400737159088E-6</v>
      </c>
      <c r="N113" s="1">
        <v>-7.0643866754149899E-9</v>
      </c>
      <c r="O113" s="1">
        <v>7.3021634881919096E-12</v>
      </c>
      <c r="P113" s="1">
        <v>3.7931564744662202E-11</v>
      </c>
      <c r="Q113">
        <v>64.623159002895093</v>
      </c>
      <c r="S113">
        <v>21.864633717174801</v>
      </c>
      <c r="AA113">
        <v>2.95961599446303</v>
      </c>
      <c r="AB113">
        <v>8.9951476251770597</v>
      </c>
      <c r="AC113">
        <v>1.5574436602898201</v>
      </c>
      <c r="AJ113">
        <v>0.77176358071124895</v>
      </c>
      <c r="AK113">
        <v>0.14032082883458999</v>
      </c>
      <c r="AL113">
        <v>8.7915590454160294E-2</v>
      </c>
    </row>
    <row r="114" spans="1:38" x14ac:dyDescent="0.2">
      <c r="A114">
        <v>165</v>
      </c>
      <c r="B114">
        <v>796</v>
      </c>
      <c r="C114">
        <v>100</v>
      </c>
      <c r="D114">
        <v>0.51068652668007097</v>
      </c>
      <c r="E114">
        <v>2.7140855067571801</v>
      </c>
      <c r="F114">
        <v>2.5689542921677102</v>
      </c>
      <c r="G114">
        <v>-44.389635524649094</v>
      </c>
      <c r="H114">
        <v>-38.148786996250806</v>
      </c>
      <c r="I114">
        <v>5.8372057507349604</v>
      </c>
      <c r="J114">
        <v>3.2914080473622702</v>
      </c>
      <c r="K114">
        <v>1.05649427669147</v>
      </c>
      <c r="L114">
        <v>3.0174358062227742E-5</v>
      </c>
      <c r="M114">
        <v>1.8021236561342318E-6</v>
      </c>
      <c r="N114" s="1">
        <v>-9.8545552693899003E-9</v>
      </c>
      <c r="O114" s="1">
        <v>9.4764724022506794E-12</v>
      </c>
      <c r="P114" s="1">
        <v>5.1230822490399303E-11</v>
      </c>
      <c r="Q114">
        <v>64.696930994939805</v>
      </c>
      <c r="S114">
        <v>21.8056045271383</v>
      </c>
      <c r="AA114">
        <v>2.89370262245642</v>
      </c>
      <c r="AB114">
        <v>9.0047918579533306</v>
      </c>
      <c r="AC114">
        <v>1.5989699975120399</v>
      </c>
      <c r="AJ114">
        <v>0.77255512191453202</v>
      </c>
      <c r="AK114">
        <v>0.13718937755025101</v>
      </c>
      <c r="AL114">
        <v>9.0255500535216804E-2</v>
      </c>
    </row>
    <row r="115" spans="1:38" x14ac:dyDescent="0.2">
      <c r="A115">
        <v>166</v>
      </c>
      <c r="B115">
        <v>794</v>
      </c>
      <c r="C115">
        <v>100</v>
      </c>
      <c r="D115">
        <v>0.50963828890034402</v>
      </c>
      <c r="E115">
        <v>3.3336891646018998</v>
      </c>
      <c r="F115">
        <v>2.5683325944309301</v>
      </c>
      <c r="G115">
        <v>-54.501389982552389</v>
      </c>
      <c r="H115">
        <v>-46.857389390035557</v>
      </c>
      <c r="I115">
        <v>7.1630048189259599</v>
      </c>
      <c r="J115">
        <v>4.0431908202141802</v>
      </c>
      <c r="K115">
        <v>1.29799745244464</v>
      </c>
      <c r="L115">
        <v>3.0222143055175419E-5</v>
      </c>
      <c r="M115">
        <v>1.8038370600939768E-6</v>
      </c>
      <c r="N115" s="1">
        <v>-1.2998071976224801E-8</v>
      </c>
      <c r="O115" s="1">
        <v>1.1649057694261499E-11</v>
      </c>
      <c r="P115" s="1">
        <v>6.5558125496497496E-11</v>
      </c>
      <c r="Q115">
        <v>64.767825460137601</v>
      </c>
      <c r="S115">
        <v>21.748335935667701</v>
      </c>
      <c r="AA115">
        <v>2.8299131938452899</v>
      </c>
      <c r="AB115">
        <v>9.0126393144724002</v>
      </c>
      <c r="AC115">
        <v>1.64128609587685</v>
      </c>
      <c r="AJ115">
        <v>0.77319930859767405</v>
      </c>
      <c r="AK115">
        <v>0.13416009908099399</v>
      </c>
      <c r="AL115">
        <v>9.2640592321330803E-2</v>
      </c>
    </row>
    <row r="116" spans="1:38" x14ac:dyDescent="0.2">
      <c r="A116">
        <v>167</v>
      </c>
      <c r="B116">
        <v>792</v>
      </c>
      <c r="C116">
        <v>100</v>
      </c>
      <c r="D116">
        <v>0.50858611463174297</v>
      </c>
      <c r="E116">
        <v>3.9515706805272002</v>
      </c>
      <c r="F116">
        <v>2.56772562466938</v>
      </c>
      <c r="G116">
        <v>-64.576704883346252</v>
      </c>
      <c r="H116">
        <v>-55.541563610467328</v>
      </c>
      <c r="I116">
        <v>8.4825060065520503</v>
      </c>
      <c r="J116">
        <v>4.7930628840905696</v>
      </c>
      <c r="K116">
        <v>1.5389380557496299</v>
      </c>
      <c r="L116">
        <v>3.0269401637725032E-5</v>
      </c>
      <c r="M116">
        <v>1.8054821348088236E-6</v>
      </c>
      <c r="N116" s="1">
        <v>-1.6517871249700401E-8</v>
      </c>
      <c r="O116" s="1">
        <v>1.3818071230424101E-11</v>
      </c>
      <c r="P116" s="1">
        <v>8.0976066593573297E-11</v>
      </c>
      <c r="Q116">
        <v>64.835908807089098</v>
      </c>
      <c r="S116">
        <v>21.692782043343598</v>
      </c>
      <c r="AA116">
        <v>2.7681943455993299</v>
      </c>
      <c r="AB116">
        <v>9.01871765144395</v>
      </c>
      <c r="AC116">
        <v>1.68439715252397</v>
      </c>
      <c r="AJ116">
        <v>0.773698441777396</v>
      </c>
      <c r="AK116">
        <v>0.13123035359718799</v>
      </c>
      <c r="AL116">
        <v>9.5071204625414005E-2</v>
      </c>
    </row>
    <row r="117" spans="1:38" x14ac:dyDescent="0.2">
      <c r="A117">
        <v>168</v>
      </c>
      <c r="B117">
        <v>790</v>
      </c>
      <c r="C117">
        <v>100</v>
      </c>
      <c r="D117">
        <v>0.507529981658283</v>
      </c>
      <c r="E117">
        <v>5.0861855444231097</v>
      </c>
      <c r="F117">
        <v>2.5665423407154102</v>
      </c>
      <c r="G117">
        <v>-83.070558753922668</v>
      </c>
      <c r="H117">
        <v>-71.473748535508719</v>
      </c>
      <c r="I117">
        <v>10.9079717992888</v>
      </c>
      <c r="J117">
        <v>6.1694631793275798</v>
      </c>
      <c r="K117">
        <v>1.9817267238246099</v>
      </c>
      <c r="L117">
        <v>3.0318810372420369E-5</v>
      </c>
      <c r="M117">
        <v>1.8077146238894522E-6</v>
      </c>
      <c r="N117" s="1">
        <v>-2.2705297136866799E-8</v>
      </c>
      <c r="O117" s="1">
        <v>1.7816300538429099E-11</v>
      </c>
      <c r="P117" s="1">
        <v>1.08453397436034E-10</v>
      </c>
      <c r="Q117">
        <v>64.938527080409202</v>
      </c>
      <c r="S117">
        <v>21.601507722094102</v>
      </c>
      <c r="AA117">
        <v>2.6689475247966299</v>
      </c>
      <c r="AB117">
        <v>9.0081094717391501</v>
      </c>
      <c r="AC117">
        <v>1.78290820096078</v>
      </c>
      <c r="AJ117">
        <v>0.77283074557642695</v>
      </c>
      <c r="AK117">
        <v>0.126532346322279</v>
      </c>
      <c r="AL117">
        <v>0.100636908101292</v>
      </c>
    </row>
    <row r="118" spans="1:38" x14ac:dyDescent="0.2">
      <c r="A118">
        <v>169</v>
      </c>
      <c r="B118">
        <v>788</v>
      </c>
      <c r="C118">
        <v>100</v>
      </c>
      <c r="D118">
        <v>0.50646986759647905</v>
      </c>
      <c r="E118">
        <v>6.8938323686938503</v>
      </c>
      <c r="F118">
        <v>2.5645318272303199</v>
      </c>
      <c r="G118">
        <v>-112.49816263492379</v>
      </c>
      <c r="H118">
        <v>-96.823731122287285</v>
      </c>
      <c r="I118">
        <v>14.7711742097125</v>
      </c>
      <c r="J118">
        <v>8.3610108586727492</v>
      </c>
      <c r="K118">
        <v>2.6881445944615598</v>
      </c>
      <c r="L118">
        <v>3.036190095506864E-5</v>
      </c>
      <c r="M118">
        <v>1.8105311507375065E-6</v>
      </c>
      <c r="N118" s="1">
        <v>-3.2655484738177797E-8</v>
      </c>
      <c r="O118" s="1">
        <v>2.42240459171337E-11</v>
      </c>
      <c r="P118" s="1">
        <v>1.52456148584886E-10</v>
      </c>
      <c r="Q118">
        <v>65.082089946213898</v>
      </c>
      <c r="S118">
        <v>21.462668327076099</v>
      </c>
      <c r="AA118">
        <v>2.5209051701996898</v>
      </c>
      <c r="AB118">
        <v>8.9640460962592492</v>
      </c>
      <c r="AC118">
        <v>1.97029046025087</v>
      </c>
      <c r="AJ118">
        <v>0.76922120156426699</v>
      </c>
      <c r="AK118">
        <v>0.119540333758533</v>
      </c>
      <c r="AL118">
        <v>0.111238464677199</v>
      </c>
    </row>
    <row r="119" spans="1:38" x14ac:dyDescent="0.2">
      <c r="A119">
        <v>170</v>
      </c>
      <c r="B119">
        <v>786</v>
      </c>
      <c r="C119">
        <v>100</v>
      </c>
      <c r="D119">
        <v>0.50540574989378495</v>
      </c>
      <c r="E119">
        <v>8.8081418943313601</v>
      </c>
      <c r="F119">
        <v>2.56226468765909</v>
      </c>
      <c r="G119">
        <v>-143.59562837235529</v>
      </c>
      <c r="H119">
        <v>-123.62586307236126</v>
      </c>
      <c r="I119">
        <v>18.854520417310098</v>
      </c>
      <c r="J119">
        <v>10.6800632674602</v>
      </c>
      <c r="K119">
        <v>3.4376393417725102</v>
      </c>
      <c r="L119">
        <v>3.0388546764695187E-5</v>
      </c>
      <c r="M119">
        <v>1.8130803642398911E-6</v>
      </c>
      <c r="N119" s="1">
        <v>-4.4042227068550503E-8</v>
      </c>
      <c r="O119" s="1">
        <v>3.1058370224639697E-11</v>
      </c>
      <c r="P119" s="1">
        <v>2.0149140520724801E-10</v>
      </c>
      <c r="Q119">
        <v>65.223204640665301</v>
      </c>
      <c r="S119">
        <v>21.315523888401302</v>
      </c>
      <c r="AA119">
        <v>2.3665823168656099</v>
      </c>
      <c r="AB119">
        <v>8.8927543505081204</v>
      </c>
      <c r="AC119">
        <v>2.20193480355961</v>
      </c>
      <c r="AJ119">
        <v>0.76337639589100903</v>
      </c>
      <c r="AK119">
        <v>0.11226253295543701</v>
      </c>
      <c r="AL119">
        <v>0.12436107115355199</v>
      </c>
    </row>
    <row r="120" spans="1:38" x14ac:dyDescent="0.2">
      <c r="A120">
        <v>171</v>
      </c>
      <c r="B120">
        <v>784</v>
      </c>
      <c r="C120">
        <v>100</v>
      </c>
      <c r="D120">
        <v>0.50433760582698905</v>
      </c>
      <c r="E120">
        <v>10.9282622536997</v>
      </c>
      <c r="F120">
        <v>2.5595214504105099</v>
      </c>
      <c r="G120">
        <v>-177.94344339257219</v>
      </c>
      <c r="H120">
        <v>-153.2400707566581</v>
      </c>
      <c r="I120">
        <v>23.3678973049369</v>
      </c>
      <c r="J120">
        <v>13.2447671643097</v>
      </c>
      <c r="K120">
        <v>4.2696505832943599</v>
      </c>
      <c r="L120">
        <v>3.0389885321659113E-5</v>
      </c>
      <c r="M120">
        <v>1.8153273899091043E-6</v>
      </c>
      <c r="N120" s="1">
        <v>-5.7236710212538597E-8</v>
      </c>
      <c r="O120" s="1">
        <v>3.8695308171733803E-11</v>
      </c>
      <c r="P120" s="1">
        <v>2.57421086537969E-10</v>
      </c>
      <c r="Q120">
        <v>65.366391682288096</v>
      </c>
      <c r="S120">
        <v>21.1500965163963</v>
      </c>
      <c r="AA120">
        <v>2.19669230245032</v>
      </c>
      <c r="AB120">
        <v>8.7781496326455102</v>
      </c>
      <c r="AC120">
        <v>2.5086698662196798</v>
      </c>
      <c r="AJ120">
        <v>0.75397057342090701</v>
      </c>
      <c r="AK120">
        <v>0.10426329247341801</v>
      </c>
      <c r="AL120">
        <v>0.14176613410567299</v>
      </c>
    </row>
    <row r="121" spans="1:38" x14ac:dyDescent="0.2">
      <c r="A121">
        <v>172</v>
      </c>
      <c r="B121">
        <v>782</v>
      </c>
      <c r="C121">
        <v>100</v>
      </c>
      <c r="D121">
        <v>0.50326541250059598</v>
      </c>
      <c r="E121">
        <v>13.411830369310101</v>
      </c>
      <c r="F121">
        <v>2.5621397852095198</v>
      </c>
      <c r="G121">
        <v>-218.37742216510412</v>
      </c>
      <c r="H121">
        <v>-188.16168370773056</v>
      </c>
      <c r="I121">
        <v>28.6364388545453</v>
      </c>
      <c r="J121">
        <v>16.251473534034499</v>
      </c>
      <c r="K121">
        <v>5.2346208613334202</v>
      </c>
      <c r="L121">
        <v>3.0287541610435428E-5</v>
      </c>
      <c r="M121">
        <v>1.8097435884910584E-6</v>
      </c>
      <c r="N121" s="1">
        <v>-7.3791512200274806E-8</v>
      </c>
      <c r="O121" s="1">
        <v>4.7238737830470902E-11</v>
      </c>
      <c r="P121" s="1">
        <v>3.2647934939401301E-10</v>
      </c>
      <c r="Q121">
        <v>65.105262544838993</v>
      </c>
      <c r="S121">
        <v>21.3392015306861</v>
      </c>
      <c r="AA121">
        <v>2.4136367898795701</v>
      </c>
      <c r="AB121">
        <v>8.6920007313150602</v>
      </c>
      <c r="AC121">
        <v>2.4498984032801401</v>
      </c>
      <c r="AJ121">
        <v>0.74688753550153497</v>
      </c>
      <c r="AK121">
        <v>0.114608852651561</v>
      </c>
      <c r="AL121">
        <v>0.13850361184690299</v>
      </c>
    </row>
    <row r="122" spans="1:38" x14ac:dyDescent="0.2">
      <c r="A122">
        <v>173</v>
      </c>
      <c r="B122">
        <v>780</v>
      </c>
      <c r="C122">
        <v>100</v>
      </c>
      <c r="D122">
        <v>0.50218914684517901</v>
      </c>
      <c r="E122">
        <v>15.437180324881499</v>
      </c>
      <c r="F122">
        <v>2.5662455296477602</v>
      </c>
      <c r="G122">
        <v>-251.4714384565566</v>
      </c>
      <c r="H122">
        <v>-216.81105596810917</v>
      </c>
      <c r="I122">
        <v>32.911154620374397</v>
      </c>
      <c r="J122">
        <v>18.707619395126301</v>
      </c>
      <c r="K122">
        <v>6.0154728557872401</v>
      </c>
      <c r="L122">
        <v>3.0195524438028426E-5</v>
      </c>
      <c r="M122">
        <v>1.8029022827763772E-6</v>
      </c>
      <c r="N122" s="1">
        <v>-9.0024133838689599E-8</v>
      </c>
      <c r="O122" s="1">
        <v>5.39354106953301E-11</v>
      </c>
      <c r="P122" s="1">
        <v>3.91011789499374E-10</v>
      </c>
      <c r="Q122">
        <v>64.763778209760204</v>
      </c>
      <c r="S122">
        <v>21.617940888211699</v>
      </c>
      <c r="AA122">
        <v>2.72328031510167</v>
      </c>
      <c r="AB122">
        <v>8.6617726645926698</v>
      </c>
      <c r="AC122">
        <v>2.23322792233362</v>
      </c>
      <c r="AJ122">
        <v>0.74439706836490105</v>
      </c>
      <c r="AK122">
        <v>0.12933051594280201</v>
      </c>
      <c r="AL122">
        <v>0.126272415692296</v>
      </c>
    </row>
    <row r="123" spans="1:38" x14ac:dyDescent="0.2">
      <c r="A123">
        <v>174</v>
      </c>
      <c r="B123">
        <v>778</v>
      </c>
      <c r="C123">
        <v>100</v>
      </c>
      <c r="D123">
        <v>0.501108785615755</v>
      </c>
      <c r="E123">
        <v>16.4338126285692</v>
      </c>
      <c r="F123">
        <v>2.56806589516603</v>
      </c>
      <c r="G123">
        <v>-267.71905613041861</v>
      </c>
      <c r="H123">
        <v>-230.93814183499833</v>
      </c>
      <c r="I123">
        <v>34.991118580050703</v>
      </c>
      <c r="J123">
        <v>19.918639607961399</v>
      </c>
      <c r="K123">
        <v>6.3992955396912699</v>
      </c>
      <c r="L123">
        <v>3.0175000439082518E-5</v>
      </c>
      <c r="M123">
        <v>1.8000880558081536E-6</v>
      </c>
      <c r="N123" s="1">
        <v>-1.01913474752866E-7</v>
      </c>
      <c r="O123" s="1">
        <v>5.7185500094852703E-11</v>
      </c>
      <c r="P123" s="1">
        <v>4.3419145325715702E-10</v>
      </c>
      <c r="Q123">
        <v>64.617663457236105</v>
      </c>
      <c r="S123">
        <v>21.737116901217998</v>
      </c>
      <c r="AA123">
        <v>2.8556956260814998</v>
      </c>
      <c r="AB123">
        <v>8.6485991849873507</v>
      </c>
      <c r="AC123">
        <v>2.1409248304769699</v>
      </c>
      <c r="AJ123">
        <v>0.74331153192581301</v>
      </c>
      <c r="AK123">
        <v>0.13562751571896001</v>
      </c>
      <c r="AL123">
        <v>0.121060952355226</v>
      </c>
    </row>
    <row r="124" spans="1:38" x14ac:dyDescent="0.2">
      <c r="A124">
        <v>175</v>
      </c>
      <c r="B124">
        <v>776</v>
      </c>
      <c r="C124">
        <v>100</v>
      </c>
      <c r="D124">
        <v>0.50002430539008103</v>
      </c>
      <c r="E124">
        <v>17.0003062617129</v>
      </c>
      <c r="F124">
        <v>2.56909926253992</v>
      </c>
      <c r="G124">
        <v>-276.92426880578819</v>
      </c>
      <c r="H124">
        <v>-238.99281974730476</v>
      </c>
      <c r="I124">
        <v>36.154457473653302</v>
      </c>
      <c r="J124">
        <v>20.609781195774499</v>
      </c>
      <c r="K124">
        <v>6.6172243749374102</v>
      </c>
      <c r="L124">
        <v>3.0184921374245838E-5</v>
      </c>
      <c r="M124">
        <v>1.7988001629313076E-6</v>
      </c>
      <c r="N124" s="1">
        <v>-1.12291464272825E-7</v>
      </c>
      <c r="O124" s="1">
        <v>5.8999065378207306E-11</v>
      </c>
      <c r="P124" s="1">
        <v>4.6931354572693095E-10</v>
      </c>
      <c r="Q124">
        <v>64.543255632987893</v>
      </c>
      <c r="S124">
        <v>21.7993081251178</v>
      </c>
      <c r="AA124">
        <v>2.9243660711542301</v>
      </c>
      <c r="AB124">
        <v>8.6458277171025397</v>
      </c>
      <c r="AC124">
        <v>2.0872424536374101</v>
      </c>
      <c r="AJ124">
        <v>0.74308248502989005</v>
      </c>
      <c r="AK124">
        <v>0.138890638501494</v>
      </c>
      <c r="AL124">
        <v>0.118026876468615</v>
      </c>
    </row>
    <row r="125" spans="1:38" x14ac:dyDescent="0.2">
      <c r="A125">
        <v>176</v>
      </c>
      <c r="B125">
        <v>774</v>
      </c>
      <c r="C125">
        <v>100</v>
      </c>
      <c r="D125">
        <v>0.49893568256697302</v>
      </c>
      <c r="E125">
        <v>17.383851228033599</v>
      </c>
      <c r="F125">
        <v>2.56980631490016</v>
      </c>
      <c r="G125">
        <v>-283.13322414687815</v>
      </c>
      <c r="H125">
        <v>-244.46421522748156</v>
      </c>
      <c r="I125">
        <v>36.9278603059701</v>
      </c>
      <c r="J125">
        <v>21.080247092739299</v>
      </c>
      <c r="K125">
        <v>6.76465425710846</v>
      </c>
      <c r="L125">
        <v>3.0209559953553121E-5</v>
      </c>
      <c r="M125">
        <v>1.798171588828401E-6</v>
      </c>
      <c r="N125" s="1">
        <v>-1.22369397527866E-7</v>
      </c>
      <c r="O125" s="1">
        <v>6.0201866535649505E-11</v>
      </c>
      <c r="P125" s="1">
        <v>5.0198937029746296E-10</v>
      </c>
      <c r="Q125">
        <v>64.499308643465696</v>
      </c>
      <c r="S125">
        <v>21.8375253601099</v>
      </c>
      <c r="AA125">
        <v>2.9661501105470598</v>
      </c>
      <c r="AB125">
        <v>8.6480856574070408</v>
      </c>
      <c r="AC125">
        <v>2.04893022847018</v>
      </c>
      <c r="AJ125">
        <v>0.74326753079777497</v>
      </c>
      <c r="AK125">
        <v>0.14087343197312699</v>
      </c>
      <c r="AL125">
        <v>0.115859037229097</v>
      </c>
    </row>
    <row r="126" spans="1:38" x14ac:dyDescent="0.2">
      <c r="A126">
        <v>177</v>
      </c>
      <c r="B126">
        <v>772</v>
      </c>
      <c r="C126">
        <v>100</v>
      </c>
      <c r="D126">
        <v>0.49784289336458698</v>
      </c>
      <c r="E126">
        <v>17.6748270849336</v>
      </c>
      <c r="F126">
        <v>2.5703475173041399</v>
      </c>
      <c r="G126">
        <v>-287.82548570428412</v>
      </c>
      <c r="H126">
        <v>-248.62843569314839</v>
      </c>
      <c r="I126">
        <v>37.503755452457199</v>
      </c>
      <c r="J126">
        <v>21.439414228745299</v>
      </c>
      <c r="K126">
        <v>6.8764347878809602</v>
      </c>
      <c r="L126">
        <v>3.0243123038002955E-5</v>
      </c>
      <c r="M126">
        <v>1.7978879432528624E-6</v>
      </c>
      <c r="N126" s="1">
        <v>-1.3261353970252401E-7</v>
      </c>
      <c r="O126" s="1">
        <v>6.1094174663693494E-11</v>
      </c>
      <c r="P126" s="1">
        <v>5.3433675926871596E-10</v>
      </c>
      <c r="Q126">
        <v>64.471043100755693</v>
      </c>
      <c r="S126">
        <v>21.863456866448701</v>
      </c>
      <c r="AA126">
        <v>2.99413924677066</v>
      </c>
      <c r="AB126">
        <v>8.6530802262086404</v>
      </c>
      <c r="AC126">
        <v>2.0182805598161799</v>
      </c>
      <c r="AJ126">
        <v>0.74367786642074596</v>
      </c>
      <c r="AK126">
        <v>0.14219912043997099</v>
      </c>
      <c r="AL126">
        <v>0.114123013139282</v>
      </c>
    </row>
    <row r="127" spans="1:38" x14ac:dyDescent="0.2">
      <c r="A127">
        <v>178</v>
      </c>
      <c r="B127">
        <v>770</v>
      </c>
      <c r="C127">
        <v>100</v>
      </c>
      <c r="D127">
        <v>0.49674591381872402</v>
      </c>
      <c r="E127">
        <v>17.9126282816305</v>
      </c>
      <c r="F127">
        <v>2.5707921673199601</v>
      </c>
      <c r="G127">
        <v>-291.64605816902497</v>
      </c>
      <c r="H127">
        <v>-252.04184359873898</v>
      </c>
      <c r="I127">
        <v>37.965982428496297</v>
      </c>
      <c r="J127">
        <v>21.7349713425088</v>
      </c>
      <c r="K127">
        <v>6.9677465605103102</v>
      </c>
      <c r="L127">
        <v>3.0283104316260119E-5</v>
      </c>
      <c r="M127">
        <v>1.7978108176364694E-6</v>
      </c>
      <c r="N127" s="1">
        <v>-1.43252230835687E-7</v>
      </c>
      <c r="O127" s="1">
        <v>6.1806209015903303E-11</v>
      </c>
      <c r="P127" s="1">
        <v>5.6734946458205604E-10</v>
      </c>
      <c r="Q127">
        <v>64.451982605202005</v>
      </c>
      <c r="S127">
        <v>21.8821935107568</v>
      </c>
      <c r="AA127">
        <v>3.0140446762364701</v>
      </c>
      <c r="AB127">
        <v>8.6597254828335704</v>
      </c>
      <c r="AC127">
        <v>1.9920537249711301</v>
      </c>
      <c r="AJ127">
        <v>0.74422406143088904</v>
      </c>
      <c r="AK127">
        <v>0.143139685247691</v>
      </c>
      <c r="AL127">
        <v>0.11263625332141899</v>
      </c>
    </row>
    <row r="128" spans="1:38" x14ac:dyDescent="0.2">
      <c r="A128">
        <v>179</v>
      </c>
      <c r="B128">
        <v>768</v>
      </c>
      <c r="C128">
        <v>100</v>
      </c>
      <c r="D128">
        <v>0.49564471978101199</v>
      </c>
      <c r="E128">
        <v>18.1169820994267</v>
      </c>
      <c r="F128">
        <v>2.5711750921611198</v>
      </c>
      <c r="G128">
        <v>-294.91798325096926</v>
      </c>
      <c r="H128">
        <v>-254.98309972140359</v>
      </c>
      <c r="I128">
        <v>38.356513018840403</v>
      </c>
      <c r="J128">
        <v>21.990820197813701</v>
      </c>
      <c r="K128">
        <v>7.0461876185176502</v>
      </c>
      <c r="L128">
        <v>3.0328299674051621E-5</v>
      </c>
      <c r="M128">
        <v>1.7978699934567029E-6</v>
      </c>
      <c r="N128" s="1">
        <v>-1.5442523308495601E-7</v>
      </c>
      <c r="O128" s="1">
        <v>6.2402794113406096E-11</v>
      </c>
      <c r="P128" s="1">
        <v>6.0159646646224702E-10</v>
      </c>
      <c r="Q128">
        <v>64.438843212417197</v>
      </c>
      <c r="S128">
        <v>21.896307128817899</v>
      </c>
      <c r="AA128">
        <v>3.0287544533281401</v>
      </c>
      <c r="AB128">
        <v>8.6674457351618006</v>
      </c>
      <c r="AC128">
        <v>1.9686494702747801</v>
      </c>
      <c r="AJ128">
        <v>0.74485870257711195</v>
      </c>
      <c r="AK128">
        <v>0.14383269599889401</v>
      </c>
      <c r="AL128">
        <v>0.111308601423992</v>
      </c>
    </row>
    <row r="129" spans="1:38" x14ac:dyDescent="0.2">
      <c r="A129">
        <v>180</v>
      </c>
      <c r="B129">
        <v>766</v>
      </c>
      <c r="C129">
        <v>100</v>
      </c>
      <c r="D129">
        <v>0.49453928691719501</v>
      </c>
      <c r="E129">
        <v>18.298833323600999</v>
      </c>
      <c r="F129">
        <v>2.5715157978966499</v>
      </c>
      <c r="G129">
        <v>-297.82051198765748</v>
      </c>
      <c r="H129">
        <v>-257.60683222327674</v>
      </c>
      <c r="I129">
        <v>38.698628460165203</v>
      </c>
      <c r="J129">
        <v>22.220244566326201</v>
      </c>
      <c r="K129">
        <v>7.1159715754297101</v>
      </c>
      <c r="L129">
        <v>3.0378105384182764E-5</v>
      </c>
      <c r="M129">
        <v>1.7980260397306463E-6</v>
      </c>
      <c r="N129" s="1">
        <v>-1.6623551957381901E-7</v>
      </c>
      <c r="O129" s="1">
        <v>6.2919608009550906E-11</v>
      </c>
      <c r="P129" s="1">
        <v>6.3746469582119298E-10</v>
      </c>
      <c r="Q129">
        <v>64.429774866614295</v>
      </c>
      <c r="S129">
        <v>21.907242980253098</v>
      </c>
      <c r="AA129">
        <v>3.0398926172571898</v>
      </c>
      <c r="AB129">
        <v>8.6759071690602703</v>
      </c>
      <c r="AC129">
        <v>1.9471823668149999</v>
      </c>
      <c r="AJ129">
        <v>0.745554295743036</v>
      </c>
      <c r="AK129">
        <v>0.14435552594012199</v>
      </c>
      <c r="AL129">
        <v>0.11009017831684099</v>
      </c>
    </row>
    <row r="130" spans="1:38" x14ac:dyDescent="0.2">
      <c r="A130">
        <v>181</v>
      </c>
      <c r="B130">
        <v>764</v>
      </c>
      <c r="C130">
        <v>100</v>
      </c>
      <c r="D130">
        <v>0.49342959070530001</v>
      </c>
      <c r="E130">
        <v>18.464741023475099</v>
      </c>
      <c r="F130">
        <v>2.5718261241183602</v>
      </c>
      <c r="G130">
        <v>-300.46108312142485</v>
      </c>
      <c r="H130">
        <v>-260.00572134595399</v>
      </c>
      <c r="I130">
        <v>39.006278528149998</v>
      </c>
      <c r="J130">
        <v>22.431228843862002</v>
      </c>
      <c r="K130">
        <v>7.1796226231292897</v>
      </c>
      <c r="L130">
        <v>3.0432230106569262E-5</v>
      </c>
      <c r="M130">
        <v>1.7982551116020307E-6</v>
      </c>
      <c r="N130" s="1">
        <v>-1.78770293121513E-7</v>
      </c>
      <c r="O130" s="1">
        <v>6.3377785591617397E-11</v>
      </c>
      <c r="P130" s="1">
        <v>6.7525733618519299E-10</v>
      </c>
      <c r="Q130">
        <v>64.423650244825595</v>
      </c>
      <c r="S130">
        <v>21.9158801551099</v>
      </c>
      <c r="AA130">
        <v>3.0484474717171399</v>
      </c>
      <c r="AB130">
        <v>8.6849022545897991</v>
      </c>
      <c r="AC130">
        <v>1.92711987375739</v>
      </c>
      <c r="AJ130">
        <v>0.74629374718438202</v>
      </c>
      <c r="AK130">
        <v>0.14475526684732901</v>
      </c>
      <c r="AL130">
        <v>0.10895098596828801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CEC6C-2ACA-4DFD-B057-77D266C10494}">
  <sheetPr codeName="Sheet10"/>
  <dimension ref="A1:AL8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734</v>
      </c>
      <c r="C2">
        <v>300</v>
      </c>
      <c r="D2">
        <v>0.25781710768008598</v>
      </c>
      <c r="E2">
        <v>14.1961738837672</v>
      </c>
      <c r="F2">
        <v>2.5846637025160799</v>
      </c>
      <c r="G2">
        <v>-229.17837785558086</v>
      </c>
      <c r="H2">
        <v>-199.51858011135965</v>
      </c>
      <c r="I2">
        <v>29.449235708902499</v>
      </c>
      <c r="J2">
        <v>17.535083888315299</v>
      </c>
      <c r="K2">
        <v>5.4924645979853004</v>
      </c>
      <c r="L2">
        <v>3.2413153630778024E-5</v>
      </c>
      <c r="M2">
        <v>1.7953288764074566E-6</v>
      </c>
      <c r="N2" s="1">
        <v>-4.3412955108112198E-7</v>
      </c>
      <c r="O2" s="1">
        <v>4.6148375374204401E-11</v>
      </c>
      <c r="P2" s="1">
        <v>1.3698073466947201E-9</v>
      </c>
      <c r="Q2">
        <v>64.443556976193605</v>
      </c>
      <c r="S2">
        <v>21.9578861963886</v>
      </c>
      <c r="AA2">
        <v>3.0784579222572401</v>
      </c>
      <c r="AB2">
        <v>8.8393876364571096</v>
      </c>
      <c r="AC2">
        <v>1.6807112687032699</v>
      </c>
      <c r="AJ2">
        <v>0.75898494080932799</v>
      </c>
      <c r="AK2">
        <v>0.14606796932823099</v>
      </c>
      <c r="AL2">
        <v>9.4947089862440298E-2</v>
      </c>
    </row>
    <row r="3" spans="1:38" x14ac:dyDescent="0.2">
      <c r="A3">
        <v>15</v>
      </c>
      <c r="B3">
        <v>732</v>
      </c>
      <c r="C3">
        <v>300</v>
      </c>
      <c r="D3">
        <v>0.256201064517732</v>
      </c>
      <c r="E3">
        <v>18.026392123107499</v>
      </c>
      <c r="F3">
        <v>2.5840273604602801</v>
      </c>
      <c r="G3">
        <v>-290.91814477997508</v>
      </c>
      <c r="H3">
        <v>-253.36907232420714</v>
      </c>
      <c r="I3">
        <v>37.3566855253125</v>
      </c>
      <c r="J3">
        <v>22.307153110355301</v>
      </c>
      <c r="K3">
        <v>6.9760840767168002</v>
      </c>
      <c r="L3">
        <v>3.2641359096855043E-5</v>
      </c>
      <c r="M3">
        <v>1.7982110640258905E-6</v>
      </c>
      <c r="N3" s="1">
        <v>-5.9050186762579196E-7</v>
      </c>
      <c r="O3" s="1">
        <v>5.8385047652849605E-11</v>
      </c>
      <c r="P3" s="1">
        <v>1.8501948854932E-9</v>
      </c>
      <c r="Q3">
        <v>64.539648962044396</v>
      </c>
      <c r="S3">
        <v>21.890021092899101</v>
      </c>
      <c r="AA3">
        <v>3.0000467657586301</v>
      </c>
      <c r="AB3">
        <v>8.8756062828159106</v>
      </c>
      <c r="AC3">
        <v>1.6946768964818399</v>
      </c>
      <c r="AJ3">
        <v>0.761958929617089</v>
      </c>
      <c r="AK3">
        <v>0.14232210193657899</v>
      </c>
      <c r="AL3">
        <v>9.5718968446331196E-2</v>
      </c>
    </row>
    <row r="4" spans="1:38" x14ac:dyDescent="0.2">
      <c r="A4">
        <v>16</v>
      </c>
      <c r="B4">
        <v>730</v>
      </c>
      <c r="C4">
        <v>300</v>
      </c>
      <c r="D4">
        <v>0.25457857748093798</v>
      </c>
      <c r="E4">
        <v>19.358297244210402</v>
      </c>
      <c r="F4">
        <v>2.5839457036290998</v>
      </c>
      <c r="G4">
        <v>-312.33444906991275</v>
      </c>
      <c r="H4">
        <v>-272.13653082230087</v>
      </c>
      <c r="I4">
        <v>40.0716924164999</v>
      </c>
      <c r="J4">
        <v>23.9993787056065</v>
      </c>
      <c r="K4">
        <v>7.4917585214821196</v>
      </c>
      <c r="L4">
        <v>3.284801578099162E-5</v>
      </c>
      <c r="M4">
        <v>1.7997775893126998E-6</v>
      </c>
      <c r="N4" s="1">
        <v>-6.7772813077484103E-7</v>
      </c>
      <c r="O4" s="1">
        <v>6.2383938801432801E-11</v>
      </c>
      <c r="P4" s="1">
        <v>2.1096918252706499E-9</v>
      </c>
      <c r="Q4">
        <v>64.5761142534692</v>
      </c>
      <c r="S4">
        <v>21.866532482375</v>
      </c>
      <c r="AA4">
        <v>2.9721597443306398</v>
      </c>
      <c r="AB4">
        <v>8.89528878334872</v>
      </c>
      <c r="AC4">
        <v>1.68990473647629</v>
      </c>
      <c r="AJ4">
        <v>0.76357441480953003</v>
      </c>
      <c r="AK4">
        <v>0.14098543677523401</v>
      </c>
      <c r="AL4">
        <v>9.5440148415234197E-2</v>
      </c>
    </row>
    <row r="5" spans="1:38" x14ac:dyDescent="0.2">
      <c r="A5">
        <v>17</v>
      </c>
      <c r="B5">
        <v>728</v>
      </c>
      <c r="C5">
        <v>300</v>
      </c>
      <c r="D5">
        <v>0.25294960795086002</v>
      </c>
      <c r="E5">
        <v>20.096143016739401</v>
      </c>
      <c r="F5">
        <v>2.5839996604622599</v>
      </c>
      <c r="G5">
        <v>-324.16330994871601</v>
      </c>
      <c r="H5">
        <v>-282.56455189670254</v>
      </c>
      <c r="I5">
        <v>41.550974431417302</v>
      </c>
      <c r="J5">
        <v>24.962267841395299</v>
      </c>
      <c r="K5">
        <v>7.7771461522345504</v>
      </c>
      <c r="L5">
        <v>3.3058892299437898E-5</v>
      </c>
      <c r="M5">
        <v>1.8010538869765634E-6</v>
      </c>
      <c r="N5" s="1">
        <v>-7.5130569054956896E-7</v>
      </c>
      <c r="O5" s="1">
        <v>6.43978777161083E-11</v>
      </c>
      <c r="P5" s="1">
        <v>2.3242538127265502E-9</v>
      </c>
      <c r="Q5">
        <v>64.598169226592503</v>
      </c>
      <c r="S5">
        <v>21.8537817075417</v>
      </c>
      <c r="AA5">
        <v>2.95649399806811</v>
      </c>
      <c r="AB5">
        <v>8.9110092944742192</v>
      </c>
      <c r="AC5">
        <v>1.68054577332333</v>
      </c>
      <c r="AJ5">
        <v>0.76486437680282304</v>
      </c>
      <c r="AK5">
        <v>0.14023141932737701</v>
      </c>
      <c r="AL5">
        <v>9.49042038697991E-2</v>
      </c>
    </row>
    <row r="6" spans="1:38" x14ac:dyDescent="0.2">
      <c r="A6">
        <v>18</v>
      </c>
      <c r="B6">
        <v>726</v>
      </c>
      <c r="C6">
        <v>300</v>
      </c>
      <c r="D6">
        <v>0.251314116999449</v>
      </c>
      <c r="E6">
        <v>20.5903104150016</v>
      </c>
      <c r="F6">
        <v>2.58410866205524</v>
      </c>
      <c r="G6">
        <v>-332.05923053708472</v>
      </c>
      <c r="H6">
        <v>-289.57251724586035</v>
      </c>
      <c r="I6">
        <v>42.522857720286602</v>
      </c>
      <c r="J6">
        <v>25.6285504190969</v>
      </c>
      <c r="K6">
        <v>7.9680513119852403</v>
      </c>
      <c r="L6">
        <v>3.3279460628307847E-5</v>
      </c>
      <c r="M6">
        <v>1.802236811267528E-6</v>
      </c>
      <c r="N6" s="1">
        <v>-8.2144189674067899E-7</v>
      </c>
      <c r="O6" s="1">
        <v>6.5581198611255494E-11</v>
      </c>
      <c r="P6" s="1">
        <v>2.5261822018124701E-9</v>
      </c>
      <c r="Q6">
        <v>64.614448671620096</v>
      </c>
      <c r="S6">
        <v>21.845328653691698</v>
      </c>
      <c r="AA6">
        <v>2.9457215561465802</v>
      </c>
      <c r="AB6">
        <v>8.9251263852094294</v>
      </c>
      <c r="AC6">
        <v>1.6693747333320801</v>
      </c>
      <c r="AJ6">
        <v>0.76602254339115305</v>
      </c>
      <c r="AK6">
        <v>0.13971069696611399</v>
      </c>
      <c r="AL6">
        <v>9.4266759642731401E-2</v>
      </c>
    </row>
    <row r="7" spans="1:38" x14ac:dyDescent="0.2">
      <c r="A7">
        <v>19</v>
      </c>
      <c r="B7">
        <v>724</v>
      </c>
      <c r="C7">
        <v>300</v>
      </c>
      <c r="D7">
        <v>0.249672065386352</v>
      </c>
      <c r="E7">
        <v>20.958569449172401</v>
      </c>
      <c r="F7">
        <v>2.5842458462759801</v>
      </c>
      <c r="G7">
        <v>-337.92271695182757</v>
      </c>
      <c r="H7">
        <v>-294.813734314844</v>
      </c>
      <c r="I7">
        <v>43.232194390997897</v>
      </c>
      <c r="J7">
        <v>26.143837778366098</v>
      </c>
      <c r="K7">
        <v>8.1101298776874096</v>
      </c>
      <c r="L7">
        <v>3.3512023443984886E-5</v>
      </c>
      <c r="M7">
        <v>1.8033931427553292E-6</v>
      </c>
      <c r="N7" s="1">
        <v>-8.9152114251890498E-7</v>
      </c>
      <c r="O7" s="1">
        <v>6.6323028441068303E-11</v>
      </c>
      <c r="P7" s="1">
        <v>2.7261412692249702E-9</v>
      </c>
      <c r="Q7">
        <v>64.627827477749094</v>
      </c>
      <c r="S7">
        <v>21.839026821573899</v>
      </c>
      <c r="AA7">
        <v>2.9374007186136</v>
      </c>
      <c r="AB7">
        <v>8.9384192651341294</v>
      </c>
      <c r="AC7">
        <v>1.65732571692915</v>
      </c>
      <c r="AJ7">
        <v>0.767112913674315</v>
      </c>
      <c r="AK7">
        <v>0.13930687790525301</v>
      </c>
      <c r="AL7">
        <v>9.3580208420430203E-2</v>
      </c>
    </row>
    <row r="8" spans="1:38" x14ac:dyDescent="0.2">
      <c r="A8">
        <v>32</v>
      </c>
      <c r="B8">
        <v>736</v>
      </c>
      <c r="C8">
        <v>280</v>
      </c>
      <c r="D8">
        <v>0.281227270475152</v>
      </c>
      <c r="E8">
        <v>16.7676990769375</v>
      </c>
      <c r="F8">
        <v>2.5826748702251101</v>
      </c>
      <c r="G8">
        <v>-270.84944669589373</v>
      </c>
      <c r="H8">
        <v>-235.69697177174132</v>
      </c>
      <c r="I8">
        <v>34.833746146908098</v>
      </c>
      <c r="J8">
        <v>20.673546567399299</v>
      </c>
      <c r="K8">
        <v>6.4923770584703897</v>
      </c>
      <c r="L8">
        <v>3.2237972673021699E-5</v>
      </c>
      <c r="M8">
        <v>1.797634368670407E-6</v>
      </c>
      <c r="N8" s="1">
        <v>-4.7293827119084798E-7</v>
      </c>
      <c r="O8" s="1">
        <v>5.4936796269558398E-11</v>
      </c>
      <c r="P8" s="1">
        <v>1.5048760839121699E-9</v>
      </c>
      <c r="Q8">
        <v>64.529469625856805</v>
      </c>
      <c r="S8">
        <v>21.889977218616199</v>
      </c>
      <c r="AA8">
        <v>3.0023857779648999</v>
      </c>
      <c r="AB8">
        <v>8.8528071557792192</v>
      </c>
      <c r="AC8">
        <v>1.7253602217828199</v>
      </c>
      <c r="AJ8">
        <v>0.76008773666748997</v>
      </c>
      <c r="AK8">
        <v>0.14244919727115199</v>
      </c>
      <c r="AL8">
        <v>9.7463066061356296E-2</v>
      </c>
    </row>
    <row r="9" spans="1:38" x14ac:dyDescent="0.2">
      <c r="A9">
        <v>33</v>
      </c>
      <c r="B9">
        <v>734</v>
      </c>
      <c r="C9">
        <v>280</v>
      </c>
      <c r="D9">
        <v>0.27966092439060802</v>
      </c>
      <c r="E9">
        <v>18.7178212260443</v>
      </c>
      <c r="F9">
        <v>2.5825967590601602</v>
      </c>
      <c r="G9">
        <v>-302.27388022723676</v>
      </c>
      <c r="H9">
        <v>-263.15449274383371</v>
      </c>
      <c r="I9">
        <v>38.841669546148097</v>
      </c>
      <c r="J9">
        <v>23.114327760734</v>
      </c>
      <c r="K9">
        <v>7.2476747135917599</v>
      </c>
      <c r="L9">
        <v>3.2418751033560124E-5</v>
      </c>
      <c r="M9">
        <v>1.7991076554770093E-6</v>
      </c>
      <c r="N9" s="1">
        <v>-5.6440304002939899E-7</v>
      </c>
      <c r="O9" s="1">
        <v>6.1063576530084404E-11</v>
      </c>
      <c r="P9" s="1">
        <v>1.78306856979461E-9</v>
      </c>
      <c r="Q9">
        <v>64.565096572380995</v>
      </c>
      <c r="S9">
        <v>21.867078017030199</v>
      </c>
      <c r="AA9">
        <v>2.9751806412675501</v>
      </c>
      <c r="AB9">
        <v>8.8721666618108799</v>
      </c>
      <c r="AC9">
        <v>1.7204781075102999</v>
      </c>
      <c r="AJ9">
        <v>0.76167706911744804</v>
      </c>
      <c r="AK9">
        <v>0.14114494197157301</v>
      </c>
      <c r="AL9">
        <v>9.7177988910978202E-2</v>
      </c>
    </row>
    <row r="10" spans="1:38" x14ac:dyDescent="0.2">
      <c r="A10">
        <v>34</v>
      </c>
      <c r="B10">
        <v>732</v>
      </c>
      <c r="C10">
        <v>280</v>
      </c>
      <c r="D10">
        <v>0.27808834502313201</v>
      </c>
      <c r="E10">
        <v>19.631949718560701</v>
      </c>
      <c r="F10">
        <v>2.5826751577728602</v>
      </c>
      <c r="G10">
        <v>-316.96300204274576</v>
      </c>
      <c r="H10">
        <v>-276.06157719360101</v>
      </c>
      <c r="I10">
        <v>40.691861761075103</v>
      </c>
      <c r="J10">
        <v>24.2832673678076</v>
      </c>
      <c r="K10">
        <v>7.6014010741831504</v>
      </c>
      <c r="L10">
        <v>3.260117183050933E-5</v>
      </c>
      <c r="M10">
        <v>1.800239442988032E-6</v>
      </c>
      <c r="N10" s="1">
        <v>-6.3245677695213099E-7</v>
      </c>
      <c r="O10" s="1">
        <v>6.3732483306265394E-11</v>
      </c>
      <c r="P10" s="1">
        <v>1.98447948554503E-9</v>
      </c>
      <c r="Q10">
        <v>64.584191009052105</v>
      </c>
      <c r="S10">
        <v>21.856533139656399</v>
      </c>
      <c r="AA10">
        <v>2.9620255837037499</v>
      </c>
      <c r="AB10">
        <v>8.8870728231669105</v>
      </c>
      <c r="AC10">
        <v>1.7101774444206701</v>
      </c>
      <c r="AJ10">
        <v>0.76290046633848496</v>
      </c>
      <c r="AK10">
        <v>0.14051048637456501</v>
      </c>
      <c r="AL10">
        <v>9.6589047286948504E-2</v>
      </c>
    </row>
    <row r="11" spans="1:38" x14ac:dyDescent="0.2">
      <c r="A11">
        <v>35</v>
      </c>
      <c r="B11">
        <v>730</v>
      </c>
      <c r="C11">
        <v>280</v>
      </c>
      <c r="D11">
        <v>0.27650949509046802</v>
      </c>
      <c r="E11">
        <v>20.199018335360101</v>
      </c>
      <c r="F11">
        <v>2.58280486021193</v>
      </c>
      <c r="G11">
        <v>-326.04544975194335</v>
      </c>
      <c r="H11">
        <v>-284.0951200803533</v>
      </c>
      <c r="I11">
        <v>41.818601078193801</v>
      </c>
      <c r="J11">
        <v>25.0286111949057</v>
      </c>
      <c r="K11">
        <v>7.8205746963410698</v>
      </c>
      <c r="L11">
        <v>3.2791919337830016E-5</v>
      </c>
      <c r="M11">
        <v>1.8012830954097691E-6</v>
      </c>
      <c r="N11" s="1">
        <v>-6.9499562130922601E-7</v>
      </c>
      <c r="O11" s="1">
        <v>6.5224558550894601E-11</v>
      </c>
      <c r="P11" s="1">
        <v>2.1665322672401201E-9</v>
      </c>
      <c r="Q11">
        <v>64.597931776954795</v>
      </c>
      <c r="S11">
        <v>21.849980926075499</v>
      </c>
      <c r="AA11">
        <v>2.9534137200684101</v>
      </c>
      <c r="AB11">
        <v>8.9005159079390594</v>
      </c>
      <c r="AC11">
        <v>1.69815766896216</v>
      </c>
      <c r="AJ11">
        <v>0.76400357593610801</v>
      </c>
      <c r="AK11">
        <v>0.140092630145498</v>
      </c>
      <c r="AL11">
        <v>9.5903793918393099E-2</v>
      </c>
    </row>
    <row r="12" spans="1:38" x14ac:dyDescent="0.2">
      <c r="A12">
        <v>36</v>
      </c>
      <c r="B12">
        <v>728</v>
      </c>
      <c r="C12">
        <v>280</v>
      </c>
      <c r="D12">
        <v>0.27492433701243602</v>
      </c>
      <c r="E12">
        <v>20.603758610964601</v>
      </c>
      <c r="F12">
        <v>2.5829579632135</v>
      </c>
      <c r="G12">
        <v>-332.50516202439707</v>
      </c>
      <c r="H12">
        <v>-289.84961064125923</v>
      </c>
      <c r="I12">
        <v>42.606553846214602</v>
      </c>
      <c r="J12">
        <v>25.577975571055099</v>
      </c>
      <c r="K12">
        <v>7.9768075610998901</v>
      </c>
      <c r="L12">
        <v>3.2993292866872247E-5</v>
      </c>
      <c r="M12">
        <v>1.8023071327974999E-6</v>
      </c>
      <c r="N12" s="1">
        <v>-7.5686912396439701E-7</v>
      </c>
      <c r="O12" s="1">
        <v>6.6151890906472302E-11</v>
      </c>
      <c r="P12" s="1">
        <v>2.3447203158974699E-9</v>
      </c>
      <c r="Q12">
        <v>64.609280302154104</v>
      </c>
      <c r="S12">
        <v>21.845204124388999</v>
      </c>
      <c r="AA12">
        <v>2.9468247865555601</v>
      </c>
      <c r="AB12">
        <v>8.9132824812145408</v>
      </c>
      <c r="AC12">
        <v>1.68540830568663</v>
      </c>
      <c r="AJ12">
        <v>0.76505101035593603</v>
      </c>
      <c r="AK12">
        <v>0.13977124288613699</v>
      </c>
      <c r="AL12">
        <v>9.5177746757925896E-2</v>
      </c>
    </row>
    <row r="13" spans="1:38" x14ac:dyDescent="0.2">
      <c r="A13">
        <v>37</v>
      </c>
      <c r="B13">
        <v>726</v>
      </c>
      <c r="C13">
        <v>280</v>
      </c>
      <c r="D13">
        <v>0.273332832907971</v>
      </c>
      <c r="E13">
        <v>20.9181705445462</v>
      </c>
      <c r="F13">
        <v>2.58312381919766</v>
      </c>
      <c r="G13">
        <v>-337.50514297174641</v>
      </c>
      <c r="H13">
        <v>-294.33620184899263</v>
      </c>
      <c r="I13">
        <v>43.205665938801602</v>
      </c>
      <c r="J13">
        <v>26.020221677821301</v>
      </c>
      <c r="K13">
        <v>8.0980131068759693</v>
      </c>
      <c r="L13">
        <v>3.3206629570008315E-5</v>
      </c>
      <c r="M13">
        <v>1.8033390180774877E-6</v>
      </c>
      <c r="N13" s="1">
        <v>-8.1998403532032498E-7</v>
      </c>
      <c r="O13" s="1">
        <v>6.6753279166748795E-11</v>
      </c>
      <c r="P13" s="1">
        <v>2.5250814460695398E-9</v>
      </c>
      <c r="Q13">
        <v>64.619369658310006</v>
      </c>
      <c r="S13">
        <v>21.8413540594997</v>
      </c>
      <c r="AA13">
        <v>2.9412942302717302</v>
      </c>
      <c r="AB13">
        <v>8.9256726247882394</v>
      </c>
      <c r="AC13">
        <v>1.6723094271302399</v>
      </c>
      <c r="AJ13">
        <v>0.76606741959288804</v>
      </c>
      <c r="AK13">
        <v>0.13950035089176099</v>
      </c>
      <c r="AL13">
        <v>9.4432229515349506E-2</v>
      </c>
    </row>
    <row r="14" spans="1:38" x14ac:dyDescent="0.2">
      <c r="A14">
        <v>48</v>
      </c>
      <c r="B14">
        <v>740</v>
      </c>
      <c r="C14">
        <v>260</v>
      </c>
      <c r="D14">
        <v>0.30605586537038199</v>
      </c>
      <c r="E14">
        <v>24.541151347801701</v>
      </c>
      <c r="F14">
        <v>2.5252107678846598</v>
      </c>
      <c r="G14">
        <v>-386.03361708614676</v>
      </c>
      <c r="H14">
        <v>-335.11778026962423</v>
      </c>
      <c r="I14">
        <v>50.254983779817898</v>
      </c>
      <c r="J14">
        <v>29.204040206263102</v>
      </c>
      <c r="K14">
        <v>9.7184566373283499</v>
      </c>
      <c r="L14">
        <v>2.8577621684863302E-5</v>
      </c>
      <c r="M14">
        <v>1.790835671306793E-6</v>
      </c>
      <c r="N14" s="1">
        <v>-2.5205721266333098E-7</v>
      </c>
      <c r="O14" s="1">
        <v>9.2357429365291205E-11</v>
      </c>
      <c r="P14" s="1">
        <v>9.2267905716121903E-10</v>
      </c>
      <c r="Q14">
        <v>65.8924180645473</v>
      </c>
      <c r="S14">
        <v>18.965728533697298</v>
      </c>
      <c r="AA14">
        <v>0.27182528552558299</v>
      </c>
      <c r="AB14">
        <v>4.2237665672458604</v>
      </c>
      <c r="AC14">
        <v>10.6462615489838</v>
      </c>
      <c r="AJ14">
        <v>0.37120794940690799</v>
      </c>
      <c r="AK14">
        <v>1.32013395917691E-2</v>
      </c>
      <c r="AL14">
        <v>0.61559071100132201</v>
      </c>
    </row>
    <row r="15" spans="1:38" x14ac:dyDescent="0.2">
      <c r="A15">
        <v>49</v>
      </c>
      <c r="B15">
        <v>738</v>
      </c>
      <c r="C15">
        <v>260</v>
      </c>
      <c r="D15">
        <v>0.30454482519902998</v>
      </c>
      <c r="E15">
        <v>30.717854914751101</v>
      </c>
      <c r="F15">
        <v>2.52527027566232</v>
      </c>
      <c r="G15">
        <v>-483.0420531484001</v>
      </c>
      <c r="H15">
        <v>-419.51401954675805</v>
      </c>
      <c r="I15">
        <v>62.827506899710301</v>
      </c>
      <c r="J15">
        <v>36.571010860255399</v>
      </c>
      <c r="K15">
        <v>12.164185042210701</v>
      </c>
      <c r="L15">
        <v>2.8626899244413535E-5</v>
      </c>
      <c r="M15">
        <v>1.7911337024412381E-6</v>
      </c>
      <c r="N15" s="1">
        <v>-3.3823034479638902E-7</v>
      </c>
      <c r="O15" s="1">
        <v>1.15435320155145E-10</v>
      </c>
      <c r="P15" s="1">
        <v>1.2195720642814501E-9</v>
      </c>
      <c r="Q15">
        <v>65.894986583749699</v>
      </c>
      <c r="S15">
        <v>18.9601733928546</v>
      </c>
      <c r="AA15">
        <v>0.26664290860828399</v>
      </c>
      <c r="AB15">
        <v>4.2149268506332396</v>
      </c>
      <c r="AC15">
        <v>10.663270264154001</v>
      </c>
      <c r="AJ15">
        <v>0.37044776826410403</v>
      </c>
      <c r="AK15">
        <v>1.29502385744002E-2</v>
      </c>
      <c r="AL15">
        <v>0.616601993161495</v>
      </c>
    </row>
    <row r="16" spans="1:38" x14ac:dyDescent="0.2">
      <c r="A16">
        <v>50</v>
      </c>
      <c r="B16">
        <v>736</v>
      </c>
      <c r="C16">
        <v>260</v>
      </c>
      <c r="D16">
        <v>0.30302779566962401</v>
      </c>
      <c r="E16">
        <v>32.873833014977201</v>
      </c>
      <c r="F16">
        <v>2.5253273463481598</v>
      </c>
      <c r="G16">
        <v>-516.76594349663856</v>
      </c>
      <c r="H16">
        <v>-448.99893253086856</v>
      </c>
      <c r="I16">
        <v>67.152564996056</v>
      </c>
      <c r="J16">
        <v>39.154953644772</v>
      </c>
      <c r="K16">
        <v>13.0176521719116</v>
      </c>
      <c r="L16">
        <v>2.8672758984241073E-5</v>
      </c>
      <c r="M16">
        <v>1.7913463422443871E-6</v>
      </c>
      <c r="N16" s="1">
        <v>-3.870297500286E-7</v>
      </c>
      <c r="O16" s="1">
        <v>1.2335845993382699E-10</v>
      </c>
      <c r="P16" s="1">
        <v>1.37625657145342E-9</v>
      </c>
      <c r="Q16">
        <v>65.894582925112203</v>
      </c>
      <c r="S16">
        <v>18.9541388825007</v>
      </c>
      <c r="AA16">
        <v>0.26175856400261299</v>
      </c>
      <c r="AB16">
        <v>4.1982070655702097</v>
      </c>
      <c r="AC16">
        <v>10.691312562814201</v>
      </c>
      <c r="AJ16">
        <v>0.36900970462145899</v>
      </c>
      <c r="AK16">
        <v>1.27140999852205E-2</v>
      </c>
      <c r="AL16">
        <v>0.61827619539331902</v>
      </c>
    </row>
    <row r="17" spans="1:38" x14ac:dyDescent="0.2">
      <c r="A17">
        <v>51</v>
      </c>
      <c r="B17">
        <v>734</v>
      </c>
      <c r="C17">
        <v>260</v>
      </c>
      <c r="D17">
        <v>0.30150474110112602</v>
      </c>
      <c r="E17">
        <v>33.995487127408502</v>
      </c>
      <c r="F17">
        <v>2.5253854160712699</v>
      </c>
      <c r="G17">
        <v>-534.20935181981554</v>
      </c>
      <c r="H17">
        <v>-464.35796315135474</v>
      </c>
      <c r="I17">
        <v>69.355496865869796</v>
      </c>
      <c r="J17">
        <v>40.509801457289001</v>
      </c>
      <c r="K17">
        <v>13.461504493953599</v>
      </c>
      <c r="L17">
        <v>2.8720796312585468E-5</v>
      </c>
      <c r="M17">
        <v>1.7915488960905504E-6</v>
      </c>
      <c r="N17" s="1">
        <v>-4.2760040388483499E-7</v>
      </c>
      <c r="O17" s="1">
        <v>1.2737260593759999E-10</v>
      </c>
      <c r="P17" s="1">
        <v>1.50066744584239E-9</v>
      </c>
      <c r="Q17">
        <v>65.893505544155204</v>
      </c>
      <c r="S17">
        <v>18.9480592632008</v>
      </c>
      <c r="AA17">
        <v>0.256994207947433</v>
      </c>
      <c r="AB17">
        <v>4.1798676674752002</v>
      </c>
      <c r="AC17">
        <v>10.721573317221299</v>
      </c>
      <c r="AJ17">
        <v>0.36743205199923601</v>
      </c>
      <c r="AK17">
        <v>1.24838525807855E-2</v>
      </c>
      <c r="AL17">
        <v>0.620084095419977</v>
      </c>
    </row>
    <row r="18" spans="1:38" x14ac:dyDescent="0.2">
      <c r="A18">
        <v>52</v>
      </c>
      <c r="B18">
        <v>732</v>
      </c>
      <c r="C18">
        <v>260</v>
      </c>
      <c r="D18">
        <v>0.29997562552852802</v>
      </c>
      <c r="E18">
        <v>34.688533462664999</v>
      </c>
      <c r="F18">
        <v>2.5254450560900499</v>
      </c>
      <c r="G18">
        <v>-544.90639500734312</v>
      </c>
      <c r="H18">
        <v>-473.86355627769717</v>
      </c>
      <c r="I18">
        <v>70.678842689793498</v>
      </c>
      <c r="J18">
        <v>41.3564809574086</v>
      </c>
      <c r="K18">
        <v>13.735612017776599</v>
      </c>
      <c r="L18">
        <v>2.8772106663164265E-5</v>
      </c>
      <c r="M18">
        <v>1.7917541099264328E-6</v>
      </c>
      <c r="N18" s="1">
        <v>-4.65886969567569E-7</v>
      </c>
      <c r="O18" s="1">
        <v>1.2975843196963601E-10</v>
      </c>
      <c r="P18" s="1">
        <v>1.6147665684574E-9</v>
      </c>
      <c r="Q18">
        <v>65.892127624728403</v>
      </c>
      <c r="S18">
        <v>18.942004109219098</v>
      </c>
      <c r="AA18">
        <v>0.25232016257363099</v>
      </c>
      <c r="AB18">
        <v>4.1609226745271597</v>
      </c>
      <c r="AC18">
        <v>10.7526254289515</v>
      </c>
      <c r="AJ18">
        <v>0.36580199130913499</v>
      </c>
      <c r="AK18">
        <v>1.2257987280977699E-2</v>
      </c>
      <c r="AL18">
        <v>0.62194002140988602</v>
      </c>
    </row>
    <row r="19" spans="1:38" x14ac:dyDescent="0.2">
      <c r="A19">
        <v>53</v>
      </c>
      <c r="B19">
        <v>730</v>
      </c>
      <c r="C19">
        <v>260</v>
      </c>
      <c r="D19">
        <v>0.29844041269999899</v>
      </c>
      <c r="E19">
        <v>35.1575978315322</v>
      </c>
      <c r="F19">
        <v>2.5255064506921898</v>
      </c>
      <c r="G19">
        <v>-552.07816764422171</v>
      </c>
      <c r="H19">
        <v>-480.31035435677637</v>
      </c>
      <c r="I19">
        <v>71.542454555595199</v>
      </c>
      <c r="J19">
        <v>41.938607814496002</v>
      </c>
      <c r="K19">
        <v>13.921008921555501</v>
      </c>
      <c r="L19">
        <v>2.8827199724982785E-5</v>
      </c>
      <c r="M19">
        <v>1.7919665011253584E-6</v>
      </c>
      <c r="N19" s="1">
        <v>-5.0390801020232102E-7</v>
      </c>
      <c r="O19" s="1">
        <v>1.3128641911760999E-10</v>
      </c>
      <c r="P19" s="1">
        <v>1.72597808731614E-9</v>
      </c>
      <c r="Q19">
        <v>65.890568837100304</v>
      </c>
      <c r="S19">
        <v>18.935994935514099</v>
      </c>
      <c r="AA19">
        <v>0.247726254520968</v>
      </c>
      <c r="AB19">
        <v>4.1416951697629996</v>
      </c>
      <c r="AC19">
        <v>10.784014803101501</v>
      </c>
      <c r="AJ19">
        <v>0.36414729984328598</v>
      </c>
      <c r="AK19">
        <v>1.2035989196461599E-2</v>
      </c>
      <c r="AL19">
        <v>0.62381671096025204</v>
      </c>
    </row>
    <row r="20" spans="1:38" x14ac:dyDescent="0.2">
      <c r="A20">
        <v>54</v>
      </c>
      <c r="B20">
        <v>728</v>
      </c>
      <c r="C20">
        <v>260</v>
      </c>
      <c r="D20">
        <v>0.29689906607401501</v>
      </c>
      <c r="E20">
        <v>35.492904165465298</v>
      </c>
      <c r="F20">
        <v>2.5255696782208799</v>
      </c>
      <c r="G20">
        <v>-557.14500326608538</v>
      </c>
      <c r="H20">
        <v>-484.93056151182873</v>
      </c>
      <c r="I20">
        <v>72.131490540135502</v>
      </c>
      <c r="J20">
        <v>42.363655431939797</v>
      </c>
      <c r="K20">
        <v>14.0534250436788</v>
      </c>
      <c r="L20">
        <v>2.8886426002616068E-5</v>
      </c>
      <c r="M20">
        <v>1.7921883216786534E-6</v>
      </c>
      <c r="N20" s="1">
        <v>-5.4254916343162198E-7</v>
      </c>
      <c r="O20" s="1">
        <v>1.32296449434889E-10</v>
      </c>
      <c r="P20" s="1">
        <v>1.8375388825243199E-9</v>
      </c>
      <c r="Q20">
        <v>65.888878957369499</v>
      </c>
      <c r="S20">
        <v>18.930040039285</v>
      </c>
      <c r="AA20">
        <v>0.24320771449175899</v>
      </c>
      <c r="AB20">
        <v>4.1223178287367999</v>
      </c>
      <c r="AC20">
        <v>10.8155554601168</v>
      </c>
      <c r="AJ20">
        <v>0.36247938477230202</v>
      </c>
      <c r="AK20">
        <v>1.18176187843039E-2</v>
      </c>
      <c r="AL20">
        <v>0.625702996443393</v>
      </c>
    </row>
    <row r="21" spans="1:38" x14ac:dyDescent="0.2">
      <c r="A21">
        <v>63</v>
      </c>
      <c r="B21">
        <v>744</v>
      </c>
      <c r="C21">
        <v>240</v>
      </c>
      <c r="D21">
        <v>0.33068918055350899</v>
      </c>
      <c r="E21">
        <v>15.478146080742301</v>
      </c>
      <c r="F21">
        <v>2.5242817635033199</v>
      </c>
      <c r="G21">
        <v>-243.82809865127621</v>
      </c>
      <c r="H21">
        <v>-211.49337627106684</v>
      </c>
      <c r="I21">
        <v>31.7895319079873</v>
      </c>
      <c r="J21">
        <v>18.410897688905099</v>
      </c>
      <c r="K21">
        <v>6.1317030073778103</v>
      </c>
      <c r="L21">
        <v>2.8524472895488207E-5</v>
      </c>
      <c r="M21">
        <v>1.7923677603461198E-6</v>
      </c>
      <c r="N21" s="1">
        <v>-1.3845548556517801E-7</v>
      </c>
      <c r="O21" s="1">
        <v>5.8372257713318095E-11</v>
      </c>
      <c r="P21" s="1">
        <v>5.2347547820218701E-10</v>
      </c>
      <c r="Q21">
        <v>65.911515896185804</v>
      </c>
      <c r="S21">
        <v>18.985035932811101</v>
      </c>
      <c r="AA21">
        <v>0.28329786955771802</v>
      </c>
      <c r="AB21">
        <v>4.3169419179775099</v>
      </c>
      <c r="AC21">
        <v>10.503208383467699</v>
      </c>
      <c r="AJ21">
        <v>0.37921685838492702</v>
      </c>
      <c r="AK21">
        <v>1.37519894148041E-2</v>
      </c>
      <c r="AL21">
        <v>0.60703115220026704</v>
      </c>
    </row>
    <row r="22" spans="1:38" x14ac:dyDescent="0.2">
      <c r="A22">
        <v>64</v>
      </c>
      <c r="B22">
        <v>742</v>
      </c>
      <c r="C22">
        <v>240</v>
      </c>
      <c r="D22">
        <v>0.32923262572033701</v>
      </c>
      <c r="E22">
        <v>28.824752704176301</v>
      </c>
      <c r="F22">
        <v>2.52432969399436</v>
      </c>
      <c r="G22">
        <v>-453.91371825301314</v>
      </c>
      <c r="H22">
        <v>-393.89146428668602</v>
      </c>
      <c r="I22">
        <v>59.126487678005198</v>
      </c>
      <c r="J22">
        <v>34.2968609340803</v>
      </c>
      <c r="K22">
        <v>11.4187749614296</v>
      </c>
      <c r="L22">
        <v>2.8557647305807355E-5</v>
      </c>
      <c r="M22">
        <v>1.7925164296411611E-6</v>
      </c>
      <c r="N22" s="1">
        <v>-2.7564676465130002E-7</v>
      </c>
      <c r="O22" s="1">
        <v>1.08583850873926E-10</v>
      </c>
      <c r="P22" s="1">
        <v>1.0256467320967599E-9</v>
      </c>
      <c r="Q22">
        <v>65.910194544482707</v>
      </c>
      <c r="S22">
        <v>18.9785352545012</v>
      </c>
      <c r="AA22">
        <v>0.27824306274632399</v>
      </c>
      <c r="AB22">
        <v>4.2969549832198899</v>
      </c>
      <c r="AC22">
        <v>10.5360721550497</v>
      </c>
      <c r="AJ22">
        <v>0.377499538050379</v>
      </c>
      <c r="AK22">
        <v>1.35079907993695E-2</v>
      </c>
      <c r="AL22">
        <v>0.60899247115025101</v>
      </c>
    </row>
    <row r="23" spans="1:38" x14ac:dyDescent="0.2">
      <c r="A23">
        <v>65</v>
      </c>
      <c r="B23">
        <v>740</v>
      </c>
      <c r="C23">
        <v>240</v>
      </c>
      <c r="D23">
        <v>0.32777032028821201</v>
      </c>
      <c r="E23">
        <v>32.132018659916298</v>
      </c>
      <c r="F23">
        <v>2.5243780864224399</v>
      </c>
      <c r="G23">
        <v>-505.80647955858495</v>
      </c>
      <c r="H23">
        <v>-439.11478460660015</v>
      </c>
      <c r="I23">
        <v>65.826081974026295</v>
      </c>
      <c r="J23">
        <v>38.244255368855796</v>
      </c>
      <c r="K23">
        <v>12.7286870507792</v>
      </c>
      <c r="L23">
        <v>2.8591658893696868E-5</v>
      </c>
      <c r="M23">
        <v>1.792643750164632E-6</v>
      </c>
      <c r="N23" s="1">
        <v>-3.2818074588626102E-7</v>
      </c>
      <c r="O23" s="1">
        <v>1.2089973076125199E-10</v>
      </c>
      <c r="P23" s="1">
        <v>1.2028434980382099E-9</v>
      </c>
      <c r="Q23">
        <v>65.907910590973302</v>
      </c>
      <c r="S23">
        <v>18.9719365996962</v>
      </c>
      <c r="AA23">
        <v>0.27333203429511299</v>
      </c>
      <c r="AB23">
        <v>4.2745660838298596</v>
      </c>
      <c r="AC23">
        <v>10.5722546912054</v>
      </c>
      <c r="AJ23">
        <v>0.37557541448791998</v>
      </c>
      <c r="AK23">
        <v>1.3271085391669799E-2</v>
      </c>
      <c r="AL23">
        <v>0.61115350012040903</v>
      </c>
    </row>
    <row r="24" spans="1:38" x14ac:dyDescent="0.2">
      <c r="A24">
        <v>66</v>
      </c>
      <c r="B24">
        <v>738</v>
      </c>
      <c r="C24">
        <v>240</v>
      </c>
      <c r="D24">
        <v>0.326302230134007</v>
      </c>
      <c r="E24">
        <v>33.6427314112224</v>
      </c>
      <c r="F24">
        <v>2.52442925054602</v>
      </c>
      <c r="G24">
        <v>-529.39345574964454</v>
      </c>
      <c r="H24">
        <v>-459.79314319708647</v>
      </c>
      <c r="I24">
        <v>68.832826536674204</v>
      </c>
      <c r="J24">
        <v>40.056866807726898</v>
      </c>
      <c r="K24">
        <v>13.326866420972401</v>
      </c>
      <c r="L24">
        <v>2.8629703095300639E-5</v>
      </c>
      <c r="M24">
        <v>1.7927923282424616E-6</v>
      </c>
      <c r="N24" s="1">
        <v>-3.67026826083694E-7</v>
      </c>
      <c r="O24" s="1">
        <v>1.2642169945657699E-10</v>
      </c>
      <c r="P24" s="1">
        <v>1.32594048461399E-9</v>
      </c>
      <c r="Q24">
        <v>65.905953665737798</v>
      </c>
      <c r="S24">
        <v>18.965490500017999</v>
      </c>
      <c r="AA24">
        <v>0.26847055780866202</v>
      </c>
      <c r="AB24">
        <v>4.2533058925122997</v>
      </c>
      <c r="AC24">
        <v>10.606779383923101</v>
      </c>
      <c r="AJ24">
        <v>0.37374788874692999</v>
      </c>
      <c r="AK24">
        <v>1.30364572790534E-2</v>
      </c>
      <c r="AL24">
        <v>0.61321565397401601</v>
      </c>
    </row>
    <row r="25" spans="1:38" x14ac:dyDescent="0.2">
      <c r="A25">
        <v>67</v>
      </c>
      <c r="B25">
        <v>736</v>
      </c>
      <c r="C25">
        <v>240</v>
      </c>
      <c r="D25">
        <v>0.32482832086409602</v>
      </c>
      <c r="E25">
        <v>34.521942599559601</v>
      </c>
      <c r="F25">
        <v>2.5244827221907902</v>
      </c>
      <c r="G25">
        <v>-543.03103575277646</v>
      </c>
      <c r="H25">
        <v>-471.8443096367169</v>
      </c>
      <c r="I25">
        <v>70.541273463864997</v>
      </c>
      <c r="J25">
        <v>41.1202598956014</v>
      </c>
      <c r="K25">
        <v>13.6748579406401</v>
      </c>
      <c r="L25">
        <v>2.8671490596628382E-5</v>
      </c>
      <c r="M25">
        <v>1.7929556245802563E-6</v>
      </c>
      <c r="N25" s="1">
        <v>-4.02242562281784E-7</v>
      </c>
      <c r="O25" s="1">
        <v>1.2954629455253101E-10</v>
      </c>
      <c r="P25" s="1">
        <v>1.4332733063479E-9</v>
      </c>
      <c r="Q25">
        <v>65.904106318055398</v>
      </c>
      <c r="S25">
        <v>18.9591515828693</v>
      </c>
      <c r="AA25">
        <v>0.26367193958252499</v>
      </c>
      <c r="AB25">
        <v>4.2325708818320704</v>
      </c>
      <c r="AC25">
        <v>10.640499277660499</v>
      </c>
      <c r="AJ25">
        <v>0.37196512682754201</v>
      </c>
      <c r="AK25">
        <v>1.2804796751015901E-2</v>
      </c>
      <c r="AL25">
        <v>0.61523007642144101</v>
      </c>
    </row>
    <row r="26" spans="1:38" x14ac:dyDescent="0.2">
      <c r="A26">
        <v>68</v>
      </c>
      <c r="B26">
        <v>734</v>
      </c>
      <c r="C26">
        <v>240</v>
      </c>
      <c r="D26">
        <v>0.32334855781164801</v>
      </c>
      <c r="E26">
        <v>35.0977190883346</v>
      </c>
      <c r="F26">
        <v>2.5245383269927402</v>
      </c>
      <c r="G26">
        <v>-551.88828030363095</v>
      </c>
      <c r="H26">
        <v>-479.75036064589847</v>
      </c>
      <c r="I26">
        <v>71.625795221895999</v>
      </c>
      <c r="J26">
        <v>41.824635771010797</v>
      </c>
      <c r="K26">
        <v>13.902628735347101</v>
      </c>
      <c r="L26">
        <v>2.8717053689472288E-5</v>
      </c>
      <c r="M26">
        <v>1.7931316113966531E-6</v>
      </c>
      <c r="N26" s="1">
        <v>-4.3668332537897202E-7</v>
      </c>
      <c r="O26" s="1">
        <v>1.3151148461506201E-10</v>
      </c>
      <c r="P26" s="1">
        <v>1.5356824334481099E-9</v>
      </c>
      <c r="Q26">
        <v>65.902288532085805</v>
      </c>
      <c r="S26">
        <v>18.952902330512799</v>
      </c>
      <c r="AA26">
        <v>0.25894039790645501</v>
      </c>
      <c r="AB26">
        <v>4.2121368157538202</v>
      </c>
      <c r="AC26">
        <v>10.673731923741</v>
      </c>
      <c r="AJ26">
        <v>0.370207871282065</v>
      </c>
      <c r="AK26">
        <v>1.25763258278571E-2</v>
      </c>
      <c r="AL26">
        <v>0.61721580289007705</v>
      </c>
    </row>
    <row r="27" spans="1:38" x14ac:dyDescent="0.2">
      <c r="A27">
        <v>69</v>
      </c>
      <c r="B27">
        <v>732</v>
      </c>
      <c r="C27">
        <v>240</v>
      </c>
      <c r="D27">
        <v>0.32186290603392398</v>
      </c>
      <c r="E27">
        <v>35.5012654158689</v>
      </c>
      <c r="F27">
        <v>2.52459598296437</v>
      </c>
      <c r="G27">
        <v>-558.03252917189263</v>
      </c>
      <c r="H27">
        <v>-485.30375617035503</v>
      </c>
      <c r="I27">
        <v>72.3561388862733</v>
      </c>
      <c r="J27">
        <v>42.326102036166397</v>
      </c>
      <c r="K27">
        <v>14.062157135409601</v>
      </c>
      <c r="L27">
        <v>2.8766531673706016E-5</v>
      </c>
      <c r="M27">
        <v>1.7933196926893996E-6</v>
      </c>
      <c r="N27" s="1">
        <v>-4.71516149152562E-7</v>
      </c>
      <c r="O27" s="1">
        <v>1.32812280915483E-10</v>
      </c>
      <c r="P27" s="1">
        <v>1.6375550442561599E-9</v>
      </c>
      <c r="Q27">
        <v>65.900463440942801</v>
      </c>
      <c r="S27">
        <v>18.946734009275001</v>
      </c>
      <c r="AA27">
        <v>0.25427732979425799</v>
      </c>
      <c r="AB27">
        <v>4.1918986419376596</v>
      </c>
      <c r="AC27">
        <v>10.7066265780502</v>
      </c>
      <c r="AJ27">
        <v>0.36846710102845698</v>
      </c>
      <c r="AK27">
        <v>1.2351121015588599E-2</v>
      </c>
      <c r="AL27">
        <v>0.61918177795595297</v>
      </c>
    </row>
    <row r="28" spans="1:38" x14ac:dyDescent="0.2">
      <c r="A28">
        <v>77</v>
      </c>
      <c r="B28">
        <v>746</v>
      </c>
      <c r="C28">
        <v>220</v>
      </c>
      <c r="D28">
        <v>0.35372663494088302</v>
      </c>
      <c r="E28">
        <v>26.533953968565299</v>
      </c>
      <c r="F28">
        <v>2.5234133523061901</v>
      </c>
      <c r="G28">
        <v>-418.44514392493431</v>
      </c>
      <c r="H28">
        <v>-362.81325468712174</v>
      </c>
      <c r="I28">
        <v>54.586556677439702</v>
      </c>
      <c r="J28">
        <v>31.558721105904699</v>
      </c>
      <c r="K28">
        <v>10.515104053133101</v>
      </c>
      <c r="L28">
        <v>2.8507821445605035E-5</v>
      </c>
      <c r="M28">
        <v>1.7940220312245826E-6</v>
      </c>
      <c r="N28" s="1">
        <v>-2.2066108325301999E-7</v>
      </c>
      <c r="O28" s="1">
        <v>1.00149021921829E-10</v>
      </c>
      <c r="P28" s="1">
        <v>8.4966108044109602E-10</v>
      </c>
      <c r="Q28">
        <v>65.927702979698296</v>
      </c>
      <c r="S28">
        <v>18.997958042678</v>
      </c>
      <c r="AA28">
        <v>0.29018170786369002</v>
      </c>
      <c r="AB28">
        <v>4.3868909566732697</v>
      </c>
      <c r="AC28">
        <v>10.3972663130866</v>
      </c>
      <c r="AJ28">
        <v>0.38522437067620802</v>
      </c>
      <c r="AK28">
        <v>1.4081137445748401E-2</v>
      </c>
      <c r="AL28">
        <v>0.60069449187804302</v>
      </c>
    </row>
    <row r="29" spans="1:38" x14ac:dyDescent="0.2">
      <c r="A29">
        <v>78</v>
      </c>
      <c r="B29">
        <v>744</v>
      </c>
      <c r="C29">
        <v>220</v>
      </c>
      <c r="D29">
        <v>0.352318242147177</v>
      </c>
      <c r="E29">
        <v>31.2411678629745</v>
      </c>
      <c r="F29">
        <v>2.5234478984295898</v>
      </c>
      <c r="G29">
        <v>-492.47557805957427</v>
      </c>
      <c r="H29">
        <v>-427.18947273598792</v>
      </c>
      <c r="I29">
        <v>64.185326966117401</v>
      </c>
      <c r="J29">
        <v>37.164530717737797</v>
      </c>
      <c r="K29">
        <v>12.3803498706736</v>
      </c>
      <c r="L29">
        <v>2.8528220163609961E-5</v>
      </c>
      <c r="M29">
        <v>1.7940237706017681E-6</v>
      </c>
      <c r="N29" s="1">
        <v>-2.76829062120975E-7</v>
      </c>
      <c r="O29" s="1">
        <v>1.1780992230660101E-10</v>
      </c>
      <c r="P29" s="1">
        <v>1.0489867120729001E-9</v>
      </c>
      <c r="Q29">
        <v>65.922245887436205</v>
      </c>
      <c r="S29">
        <v>18.990468575202701</v>
      </c>
      <c r="AA29">
        <v>0.28527615838671699</v>
      </c>
      <c r="AB29">
        <v>4.3550955064811001</v>
      </c>
      <c r="AC29">
        <v>10.4469138724931</v>
      </c>
      <c r="AJ29">
        <v>0.382494190964146</v>
      </c>
      <c r="AK29">
        <v>1.3845333720559299E-2</v>
      </c>
      <c r="AL29">
        <v>0.60366047531529399</v>
      </c>
    </row>
    <row r="30" spans="1:38" x14ac:dyDescent="0.2">
      <c r="A30">
        <v>79</v>
      </c>
      <c r="B30">
        <v>742</v>
      </c>
      <c r="C30">
        <v>220</v>
      </c>
      <c r="D30">
        <v>0.35090429985716198</v>
      </c>
      <c r="E30">
        <v>33.263146391776502</v>
      </c>
      <c r="F30">
        <v>2.5234893926645801</v>
      </c>
      <c r="G30">
        <v>-524.14529834999064</v>
      </c>
      <c r="H30">
        <v>-454.86052475548331</v>
      </c>
      <c r="I30">
        <v>68.250774362909198</v>
      </c>
      <c r="J30">
        <v>39.580028286861797</v>
      </c>
      <c r="K30">
        <v>13.1814092377275</v>
      </c>
      <c r="L30">
        <v>2.8555521343717874E-5</v>
      </c>
      <c r="M30">
        <v>1.7940946057126183E-6</v>
      </c>
      <c r="N30" s="1">
        <v>-3.1449604052030799E-7</v>
      </c>
      <c r="O30" s="1">
        <v>1.25305116273887E-10</v>
      </c>
      <c r="P30" s="1">
        <v>1.1731958792048901E-9</v>
      </c>
      <c r="Q30">
        <v>65.918607729950594</v>
      </c>
      <c r="S30">
        <v>18.9834604025856</v>
      </c>
      <c r="AA30">
        <v>0.28034325853212799</v>
      </c>
      <c r="AB30">
        <v>4.3286152319543802</v>
      </c>
      <c r="AC30">
        <v>10.4889733769771</v>
      </c>
      <c r="AJ30">
        <v>0.38021974226769401</v>
      </c>
      <c r="AK30">
        <v>1.3607758310422701E-2</v>
      </c>
      <c r="AL30">
        <v>0.60617249942188201</v>
      </c>
    </row>
    <row r="31" spans="1:38" x14ac:dyDescent="0.2">
      <c r="A31">
        <v>80</v>
      </c>
      <c r="B31">
        <v>740</v>
      </c>
      <c r="C31">
        <v>220</v>
      </c>
      <c r="D31">
        <v>0.34948477520604299</v>
      </c>
      <c r="E31">
        <v>34.352276950192902</v>
      </c>
      <c r="F31">
        <v>2.5235354892922901</v>
      </c>
      <c r="G31">
        <v>-541.10396976776588</v>
      </c>
      <c r="H31">
        <v>-469.78338654684057</v>
      </c>
      <c r="I31">
        <v>70.394890412007399</v>
      </c>
      <c r="J31">
        <v>40.888582553857297</v>
      </c>
      <c r="K31">
        <v>13.6127576156365</v>
      </c>
      <c r="L31">
        <v>2.858817867314317E-5</v>
      </c>
      <c r="M31">
        <v>1.7942088862225528E-6</v>
      </c>
      <c r="N31" s="1">
        <v>-3.46802557728922E-7</v>
      </c>
      <c r="O31" s="1">
        <v>1.29258937053379E-10</v>
      </c>
      <c r="P31" s="1">
        <v>1.27427682349656E-9</v>
      </c>
      <c r="Q31">
        <v>65.915992286418202</v>
      </c>
      <c r="S31">
        <v>18.976756446718198</v>
      </c>
      <c r="AA31">
        <v>0.27542270429135901</v>
      </c>
      <c r="AB31">
        <v>4.3052115643968198</v>
      </c>
      <c r="AC31">
        <v>10.5266169981752</v>
      </c>
      <c r="AJ31">
        <v>0.37820904437720398</v>
      </c>
      <c r="AK31">
        <v>1.3370508996213301E-2</v>
      </c>
      <c r="AL31">
        <v>0.60842044662658201</v>
      </c>
    </row>
    <row r="32" spans="1:38" x14ac:dyDescent="0.2">
      <c r="A32">
        <v>81</v>
      </c>
      <c r="B32">
        <v>738</v>
      </c>
      <c r="C32">
        <v>220</v>
      </c>
      <c r="D32">
        <v>0.34805963506898102</v>
      </c>
      <c r="E32">
        <v>35.042601630620503</v>
      </c>
      <c r="F32">
        <v>2.5235846194485401</v>
      </c>
      <c r="G32">
        <v>-551.77361020295666</v>
      </c>
      <c r="H32">
        <v>-479.2565645252663</v>
      </c>
      <c r="I32">
        <v>71.717396704435998</v>
      </c>
      <c r="J32">
        <v>41.724860400265896</v>
      </c>
      <c r="K32">
        <v>13.886041847203</v>
      </c>
      <c r="L32">
        <v>2.8624934420766809E-5</v>
      </c>
      <c r="M32">
        <v>1.7943460364146866E-6</v>
      </c>
      <c r="N32" s="1">
        <v>-3.7780435660510999E-7</v>
      </c>
      <c r="O32" s="1">
        <v>1.31691004440613E-10</v>
      </c>
      <c r="P32" s="1">
        <v>1.36819645266247E-9</v>
      </c>
      <c r="Q32">
        <v>65.913755232745501</v>
      </c>
      <c r="S32">
        <v>18.9702197834802</v>
      </c>
      <c r="AA32">
        <v>0.27055187608197001</v>
      </c>
      <c r="AB32">
        <v>4.2830896977304098</v>
      </c>
      <c r="AC32">
        <v>10.5623834099618</v>
      </c>
      <c r="AJ32">
        <v>0.37630803222110998</v>
      </c>
      <c r="AK32">
        <v>1.31355317608647E-2</v>
      </c>
      <c r="AL32">
        <v>0.61055643601802501</v>
      </c>
    </row>
    <row r="33" spans="1:38" x14ac:dyDescent="0.2">
      <c r="A33">
        <v>82</v>
      </c>
      <c r="B33">
        <v>736</v>
      </c>
      <c r="C33">
        <v>220</v>
      </c>
      <c r="D33">
        <v>0.34662884605856398</v>
      </c>
      <c r="E33">
        <v>35.517266873120803</v>
      </c>
      <c r="F33">
        <v>2.5236362830272201</v>
      </c>
      <c r="G33">
        <v>-559.04279103032161</v>
      </c>
      <c r="H33">
        <v>-485.7829715158415</v>
      </c>
      <c r="I33">
        <v>72.595570048535905</v>
      </c>
      <c r="J33">
        <v>42.306569882481</v>
      </c>
      <c r="K33">
        <v>14.073845392060999</v>
      </c>
      <c r="L33">
        <v>2.8665547810468141E-5</v>
      </c>
      <c r="M33">
        <v>1.7945001189345121E-6</v>
      </c>
      <c r="N33" s="1">
        <v>-4.0892297218055298E-7</v>
      </c>
      <c r="O33" s="1">
        <v>1.3329373722451501E-10</v>
      </c>
      <c r="P33" s="1">
        <v>1.46050167590372E-9</v>
      </c>
      <c r="Q33">
        <v>65.911698321029903</v>
      </c>
      <c r="S33">
        <v>18.963806968962501</v>
      </c>
      <c r="AA33">
        <v>0.26574119067195801</v>
      </c>
      <c r="AB33">
        <v>4.2616939532784999</v>
      </c>
      <c r="AC33">
        <v>10.597059566057</v>
      </c>
      <c r="AJ33">
        <v>0.37446901182804598</v>
      </c>
      <c r="AK33">
        <v>1.290337423384E-2</v>
      </c>
      <c r="AL33">
        <v>0.61262761393811205</v>
      </c>
    </row>
    <row r="34" spans="1:38" x14ac:dyDescent="0.2">
      <c r="A34">
        <v>83</v>
      </c>
      <c r="B34">
        <v>734</v>
      </c>
      <c r="C34">
        <v>220</v>
      </c>
      <c r="D34">
        <v>0.345192374522167</v>
      </c>
      <c r="E34">
        <v>35.860341426160502</v>
      </c>
      <c r="F34">
        <v>2.5236902405888002</v>
      </c>
      <c r="G34">
        <v>-564.23744627316898</v>
      </c>
      <c r="H34">
        <v>-490.51143594049978</v>
      </c>
      <c r="I34">
        <v>73.202611659305205</v>
      </c>
      <c r="J34">
        <v>42.733691312019999</v>
      </c>
      <c r="K34">
        <v>14.2094861126038</v>
      </c>
      <c r="L34">
        <v>2.8710021042255091E-5</v>
      </c>
      <c r="M34">
        <v>1.7946686319549763E-6</v>
      </c>
      <c r="N34" s="1">
        <v>-4.4084454123381098E-7</v>
      </c>
      <c r="O34" s="1">
        <v>1.34384797961569E-10</v>
      </c>
      <c r="P34" s="1">
        <v>1.5538188486842999E-9</v>
      </c>
      <c r="Q34">
        <v>65.909727367659798</v>
      </c>
      <c r="S34">
        <v>18.9574966881246</v>
      </c>
      <c r="AA34">
        <v>0.26099503939281898</v>
      </c>
      <c r="AB34">
        <v>4.24075856776272</v>
      </c>
      <c r="AC34">
        <v>10.6310223370599</v>
      </c>
      <c r="AJ34">
        <v>0.37266917294054802</v>
      </c>
      <c r="AK34">
        <v>1.26742702927855E-2</v>
      </c>
      <c r="AL34">
        <v>0.61465655676666597</v>
      </c>
    </row>
    <row r="35" spans="1:38" x14ac:dyDescent="0.2">
      <c r="A35">
        <v>89</v>
      </c>
      <c r="B35">
        <v>750</v>
      </c>
      <c r="C35">
        <v>200</v>
      </c>
      <c r="D35">
        <v>0.37802912573913899</v>
      </c>
      <c r="E35">
        <v>24.5656398257895</v>
      </c>
      <c r="F35">
        <v>2.5225264557354898</v>
      </c>
      <c r="G35">
        <v>-387.98082766636759</v>
      </c>
      <c r="H35">
        <v>-336.12117151459546</v>
      </c>
      <c r="I35">
        <v>50.6862690238695</v>
      </c>
      <c r="J35">
        <v>29.211343071090599</v>
      </c>
      <c r="K35">
        <v>9.7385063177174498</v>
      </c>
      <c r="L35">
        <v>2.8475766294554518E-5</v>
      </c>
      <c r="M35">
        <v>1.7956530485774903E-6</v>
      </c>
      <c r="N35" s="1">
        <v>-1.7795577892977001E-7</v>
      </c>
      <c r="O35" s="1">
        <v>9.2860604314679903E-11</v>
      </c>
      <c r="P35" s="1">
        <v>7.1115801067007201E-10</v>
      </c>
      <c r="Q35">
        <v>65.947682650307698</v>
      </c>
      <c r="S35">
        <v>19.018609631808499</v>
      </c>
      <c r="AA35">
        <v>0.30255749735459397</v>
      </c>
      <c r="AB35">
        <v>4.4855554071546404</v>
      </c>
      <c r="AC35">
        <v>10.245594813374399</v>
      </c>
      <c r="AJ35">
        <v>0.39369079572410798</v>
      </c>
      <c r="AK35">
        <v>1.46743118852996E-2</v>
      </c>
      <c r="AL35">
        <v>0.59163489239059097</v>
      </c>
    </row>
    <row r="36" spans="1:38" x14ac:dyDescent="0.2">
      <c r="A36">
        <v>90</v>
      </c>
      <c r="B36">
        <v>748</v>
      </c>
      <c r="C36">
        <v>200</v>
      </c>
      <c r="D36">
        <v>0.37667384811242399</v>
      </c>
      <c r="E36">
        <v>30.641220302842498</v>
      </c>
      <c r="F36">
        <v>2.5225366586910001</v>
      </c>
      <c r="G36">
        <v>-483.70263744180136</v>
      </c>
      <c r="H36">
        <v>-419.23412781663797</v>
      </c>
      <c r="I36">
        <v>63.133241566041598</v>
      </c>
      <c r="J36">
        <v>36.437211746908602</v>
      </c>
      <c r="K36">
        <v>12.146987119998</v>
      </c>
      <c r="L36">
        <v>2.8478359618105603E-5</v>
      </c>
      <c r="M36">
        <v>1.795452063005456E-6</v>
      </c>
      <c r="N36" s="1">
        <v>-2.3544814367416199E-7</v>
      </c>
      <c r="O36" s="1">
        <v>1.1576029233276901E-10</v>
      </c>
      <c r="P36" s="1">
        <v>9.2558636763705897E-10</v>
      </c>
      <c r="Q36">
        <v>65.936677998270596</v>
      </c>
      <c r="S36">
        <v>19.009610624625498</v>
      </c>
      <c r="AA36">
        <v>0.29770100939577598</v>
      </c>
      <c r="AB36">
        <v>4.4374400628547797</v>
      </c>
      <c r="AC36">
        <v>10.3185703048532</v>
      </c>
      <c r="AJ36">
        <v>0.38956305524189699</v>
      </c>
      <c r="AK36">
        <v>1.4442299955702301E-2</v>
      </c>
      <c r="AL36">
        <v>0.59599464480240005</v>
      </c>
    </row>
    <row r="37" spans="1:38" x14ac:dyDescent="0.2">
      <c r="A37">
        <v>91</v>
      </c>
      <c r="B37">
        <v>746</v>
      </c>
      <c r="C37">
        <v>200</v>
      </c>
      <c r="D37">
        <v>0.37531325123877901</v>
      </c>
      <c r="E37">
        <v>32.951389975326599</v>
      </c>
      <c r="F37">
        <v>2.5225668772425398</v>
      </c>
      <c r="G37">
        <v>-519.95704727952648</v>
      </c>
      <c r="H37">
        <v>-450.85486514721839</v>
      </c>
      <c r="I37">
        <v>67.803740501700403</v>
      </c>
      <c r="J37">
        <v>39.190800259416498</v>
      </c>
      <c r="K37">
        <v>13.0626427678088</v>
      </c>
      <c r="L37">
        <v>2.8496270030224682E-5</v>
      </c>
      <c r="M37">
        <v>1.7954515765795189E-6</v>
      </c>
      <c r="N37" s="1">
        <v>-2.6988402642851902E-7</v>
      </c>
      <c r="O37" s="1">
        <v>1.2438631413697801E-10</v>
      </c>
      <c r="P37" s="1">
        <v>1.0430959759002E-9</v>
      </c>
      <c r="Q37">
        <v>65.931498472473393</v>
      </c>
      <c r="S37">
        <v>19.002014331262199</v>
      </c>
      <c r="AA37">
        <v>0.292642561127399</v>
      </c>
      <c r="AB37">
        <v>4.40598309669332</v>
      </c>
      <c r="AC37">
        <v>10.367861538443499</v>
      </c>
      <c r="AJ37">
        <v>0.38686333514440802</v>
      </c>
      <c r="AK37">
        <v>1.41991721366966E-2</v>
      </c>
      <c r="AL37">
        <v>0.59893749271889396</v>
      </c>
    </row>
    <row r="38" spans="1:38" x14ac:dyDescent="0.2">
      <c r="A38">
        <v>92</v>
      </c>
      <c r="B38">
        <v>744</v>
      </c>
      <c r="C38">
        <v>200</v>
      </c>
      <c r="D38">
        <v>0.373947303740848</v>
      </c>
      <c r="E38">
        <v>34.257496363124702</v>
      </c>
      <c r="F38">
        <v>2.52260354818244</v>
      </c>
      <c r="G38">
        <v>-540.35402719099386</v>
      </c>
      <c r="H38">
        <v>-468.74689577020831</v>
      </c>
      <c r="I38">
        <v>70.399775274822304</v>
      </c>
      <c r="J38">
        <v>40.753023464661197</v>
      </c>
      <c r="K38">
        <v>13.5802141354346</v>
      </c>
      <c r="L38">
        <v>2.8519765543264583E-5</v>
      </c>
      <c r="M38">
        <v>1.7955042758478873E-6</v>
      </c>
      <c r="N38" s="1">
        <v>-2.9937372078132602E-7</v>
      </c>
      <c r="O38" s="1">
        <v>1.29196266190171E-10</v>
      </c>
      <c r="P38" s="1">
        <v>1.1381304164412001E-9</v>
      </c>
      <c r="Q38">
        <v>65.927662797166604</v>
      </c>
      <c r="S38">
        <v>18.994818780963001</v>
      </c>
      <c r="AA38">
        <v>0.28760116084974402</v>
      </c>
      <c r="AB38">
        <v>4.3785714293380202</v>
      </c>
      <c r="AC38">
        <v>10.4113458316825</v>
      </c>
      <c r="AJ38">
        <v>0.38451009413918802</v>
      </c>
      <c r="AK38">
        <v>1.39565067975866E-2</v>
      </c>
      <c r="AL38">
        <v>0.60153339906322401</v>
      </c>
    </row>
    <row r="39" spans="1:38" x14ac:dyDescent="0.2">
      <c r="A39">
        <v>93</v>
      </c>
      <c r="B39">
        <v>742</v>
      </c>
      <c r="C39">
        <v>200</v>
      </c>
      <c r="D39">
        <v>0.37257597399398801</v>
      </c>
      <c r="E39">
        <v>35.044023843523803</v>
      </c>
      <c r="F39">
        <v>2.52264533550842</v>
      </c>
      <c r="G39">
        <v>-552.55038271659407</v>
      </c>
      <c r="H39">
        <v>-479.53717900081216</v>
      </c>
      <c r="I39">
        <v>71.923561755190505</v>
      </c>
      <c r="J39">
        <v>41.699742740052599</v>
      </c>
      <c r="K39">
        <v>13.8917759663828</v>
      </c>
      <c r="L39">
        <v>2.854842602022709E-5</v>
      </c>
      <c r="M39">
        <v>1.7956007985672971E-6</v>
      </c>
      <c r="N39" s="1">
        <v>-3.27002114937159E-7</v>
      </c>
      <c r="O39" s="1">
        <v>1.3202463485276999E-10</v>
      </c>
      <c r="P39" s="1">
        <v>1.2234759100464999E-9</v>
      </c>
      <c r="Q39">
        <v>65.924875450068399</v>
      </c>
      <c r="S39">
        <v>18.987946551172399</v>
      </c>
      <c r="AA39">
        <v>0.28258189024645802</v>
      </c>
      <c r="AB39">
        <v>4.3543435319345898</v>
      </c>
      <c r="AC39">
        <v>10.450252576578</v>
      </c>
      <c r="AJ39">
        <v>0.38242963213501702</v>
      </c>
      <c r="AK39">
        <v>1.37146258042677E-2</v>
      </c>
      <c r="AL39">
        <v>0.60385574206071502</v>
      </c>
    </row>
    <row r="40" spans="1:38" x14ac:dyDescent="0.2">
      <c r="A40">
        <v>94</v>
      </c>
      <c r="B40">
        <v>740</v>
      </c>
      <c r="C40">
        <v>200</v>
      </c>
      <c r="D40">
        <v>0.37119923012387401</v>
      </c>
      <c r="E40">
        <v>35.577978635540703</v>
      </c>
      <c r="F40">
        <v>2.5226904742777698</v>
      </c>
      <c r="G40">
        <v>-560.76017333887535</v>
      </c>
      <c r="H40">
        <v>-486.87532968204351</v>
      </c>
      <c r="I40">
        <v>72.925868486237704</v>
      </c>
      <c r="J40">
        <v>42.348039265101598</v>
      </c>
      <c r="K40">
        <v>14.1031882421986</v>
      </c>
      <c r="L40">
        <v>2.8581037799596843E-5</v>
      </c>
      <c r="M40">
        <v>1.7957210355781468E-6</v>
      </c>
      <c r="N40" s="1">
        <v>-3.54560170104258E-7</v>
      </c>
      <c r="O40" s="1">
        <v>1.33883210078854E-10</v>
      </c>
      <c r="P40" s="1">
        <v>1.3064226527887899E-9</v>
      </c>
      <c r="Q40">
        <v>65.922509617247201</v>
      </c>
      <c r="S40">
        <v>18.981257930171601</v>
      </c>
      <c r="AA40">
        <v>0.277615744180574</v>
      </c>
      <c r="AB40">
        <v>4.3315363108097502</v>
      </c>
      <c r="AC40">
        <v>10.487080397590701</v>
      </c>
      <c r="AJ40">
        <v>0.380470697542166</v>
      </c>
      <c r="AK40">
        <v>1.34751664300411E-2</v>
      </c>
      <c r="AL40">
        <v>0.60605413602779201</v>
      </c>
    </row>
    <row r="41" spans="1:38" x14ac:dyDescent="0.2">
      <c r="A41">
        <v>95</v>
      </c>
      <c r="B41">
        <v>738</v>
      </c>
      <c r="C41">
        <v>200</v>
      </c>
      <c r="D41">
        <v>0.36981704000395799</v>
      </c>
      <c r="E41">
        <v>35.960983664458901</v>
      </c>
      <c r="F41">
        <v>2.5227383835058599</v>
      </c>
      <c r="G41">
        <v>-566.58781954102085</v>
      </c>
      <c r="H41">
        <v>-492.1504848829141</v>
      </c>
      <c r="I41">
        <v>73.6165105653035</v>
      </c>
      <c r="J41">
        <v>42.818663186920901</v>
      </c>
      <c r="K41">
        <v>14.2547415536936</v>
      </c>
      <c r="L41">
        <v>2.8617363691419859E-5</v>
      </c>
      <c r="M41">
        <v>1.7958591177377903E-6</v>
      </c>
      <c r="N41" s="1">
        <v>-3.8276413287153102E-7</v>
      </c>
      <c r="O41" s="1">
        <v>1.35156762154704E-10</v>
      </c>
      <c r="P41" s="1">
        <v>1.38983111607444E-9</v>
      </c>
      <c r="Q41">
        <v>65.9203709503699</v>
      </c>
      <c r="S41">
        <v>18.974707872368199</v>
      </c>
      <c r="AA41">
        <v>0.27271090810394499</v>
      </c>
      <c r="AB41">
        <v>4.3095985782472903</v>
      </c>
      <c r="AC41">
        <v>10.5226116909104</v>
      </c>
      <c r="AJ41">
        <v>0.37858601609167802</v>
      </c>
      <c r="AK41">
        <v>1.3238569169759001E-2</v>
      </c>
      <c r="AL41">
        <v>0.60817541473856196</v>
      </c>
    </row>
    <row r="42" spans="1:38" x14ac:dyDescent="0.2">
      <c r="A42">
        <v>101</v>
      </c>
      <c r="B42">
        <v>754</v>
      </c>
      <c r="C42">
        <v>180</v>
      </c>
      <c r="D42">
        <v>0.402142335588766</v>
      </c>
      <c r="E42">
        <v>24.776663647599399</v>
      </c>
      <c r="F42">
        <v>2.5216578473062001</v>
      </c>
      <c r="G42">
        <v>-391.88847752606557</v>
      </c>
      <c r="H42">
        <v>-339.22661466632917</v>
      </c>
      <c r="I42">
        <v>51.269885469246297</v>
      </c>
      <c r="J42">
        <v>29.4581116931802</v>
      </c>
      <c r="K42">
        <v>9.8255453942997892</v>
      </c>
      <c r="L42">
        <v>2.8449096383510383E-5</v>
      </c>
      <c r="M42">
        <v>1.7972458445306905E-6</v>
      </c>
      <c r="N42" s="1">
        <v>-1.55942037325564E-7</v>
      </c>
      <c r="O42" s="1">
        <v>9.3777833583515998E-11</v>
      </c>
      <c r="P42" s="1">
        <v>6.4953632906458405E-10</v>
      </c>
      <c r="Q42">
        <v>65.965243120140201</v>
      </c>
      <c r="S42">
        <v>19.039508895524701</v>
      </c>
      <c r="AA42">
        <v>0.31570210834337298</v>
      </c>
      <c r="AB42">
        <v>4.5794781095429702</v>
      </c>
      <c r="AC42">
        <v>10.100067766448699</v>
      </c>
      <c r="AJ42">
        <v>0.40174243134322302</v>
      </c>
      <c r="AK42">
        <v>1.53045297096394E-2</v>
      </c>
      <c r="AL42">
        <v>0.58295303894713701</v>
      </c>
    </row>
    <row r="43" spans="1:38" x14ac:dyDescent="0.2">
      <c r="A43">
        <v>102</v>
      </c>
      <c r="B43">
        <v>752</v>
      </c>
      <c r="C43">
        <v>180</v>
      </c>
      <c r="D43">
        <v>0.40083938935765601</v>
      </c>
      <c r="E43">
        <v>30.706832082493399</v>
      </c>
      <c r="F43">
        <v>2.5216419226353701</v>
      </c>
      <c r="G43">
        <v>-485.42318431150261</v>
      </c>
      <c r="H43">
        <v>-420.37942194206602</v>
      </c>
      <c r="I43">
        <v>63.448044061295001</v>
      </c>
      <c r="J43">
        <v>36.505628451417799</v>
      </c>
      <c r="K43">
        <v>12.177316615358899</v>
      </c>
      <c r="L43">
        <v>2.8437939159775141E-5</v>
      </c>
      <c r="M43">
        <v>1.7968869576093787E-6</v>
      </c>
      <c r="N43" s="1">
        <v>-2.04291520487856E-7</v>
      </c>
      <c r="O43" s="1">
        <v>1.1618576938460099E-10</v>
      </c>
      <c r="P43" s="1">
        <v>8.36577577860554E-10</v>
      </c>
      <c r="Q43">
        <v>65.950061357442706</v>
      </c>
      <c r="S43">
        <v>19.029147708903</v>
      </c>
      <c r="AA43">
        <v>0.31069648006789202</v>
      </c>
      <c r="AB43">
        <v>4.5184831676102997</v>
      </c>
      <c r="AC43">
        <v>10.191611285976</v>
      </c>
      <c r="AJ43">
        <v>0.39651441167333301</v>
      </c>
      <c r="AK43">
        <v>1.50665366168613E-2</v>
      </c>
      <c r="AL43">
        <v>0.58841905170980502</v>
      </c>
    </row>
    <row r="44" spans="1:38" x14ac:dyDescent="0.2">
      <c r="A44">
        <v>103</v>
      </c>
      <c r="B44">
        <v>750</v>
      </c>
      <c r="C44">
        <v>180</v>
      </c>
      <c r="D44">
        <v>0.39953134926452799</v>
      </c>
      <c r="E44">
        <v>33.049750881160499</v>
      </c>
      <c r="F44">
        <v>2.5216586638666301</v>
      </c>
      <c r="G44">
        <v>-522.2330696651162</v>
      </c>
      <c r="H44">
        <v>-452.45651562341635</v>
      </c>
      <c r="I44">
        <v>68.197775537995298</v>
      </c>
      <c r="J44">
        <v>39.294084545898599</v>
      </c>
      <c r="K44">
        <v>13.106353906949</v>
      </c>
      <c r="L44">
        <v>2.844696913623296E-5</v>
      </c>
      <c r="M44">
        <v>1.7968117844610721E-6</v>
      </c>
      <c r="N44" s="1">
        <v>-2.34098633613028E-7</v>
      </c>
      <c r="O44" s="1">
        <v>1.2497340388796801E-10</v>
      </c>
      <c r="P44" s="1">
        <v>9.4120134969906097E-10</v>
      </c>
      <c r="Q44">
        <v>65.943196391593006</v>
      </c>
      <c r="S44">
        <v>19.020875987324501</v>
      </c>
      <c r="AA44">
        <v>0.30547407100094198</v>
      </c>
      <c r="AB44">
        <v>4.4814995657840404</v>
      </c>
      <c r="AC44">
        <v>10.2489539842973</v>
      </c>
      <c r="AJ44">
        <v>0.393342900616445</v>
      </c>
      <c r="AK44">
        <v>1.4816072702538799E-2</v>
      </c>
      <c r="AL44">
        <v>0.59184102668101501</v>
      </c>
    </row>
    <row r="45" spans="1:38" x14ac:dyDescent="0.2">
      <c r="A45">
        <v>104</v>
      </c>
      <c r="B45">
        <v>748</v>
      </c>
      <c r="C45">
        <v>180</v>
      </c>
      <c r="D45">
        <v>0.39821818537923098</v>
      </c>
      <c r="E45">
        <v>34.361612664965698</v>
      </c>
      <c r="F45">
        <v>2.5216860077992802</v>
      </c>
      <c r="G45">
        <v>-542.74196237085346</v>
      </c>
      <c r="H45">
        <v>-470.43194601216788</v>
      </c>
      <c r="I45">
        <v>70.812335463629694</v>
      </c>
      <c r="J45">
        <v>40.859647329421001</v>
      </c>
      <c r="K45">
        <v>13.626443799382301</v>
      </c>
      <c r="L45">
        <v>2.8463328980731313E-5</v>
      </c>
      <c r="M45">
        <v>1.7968214309092404E-6</v>
      </c>
      <c r="N45" s="1">
        <v>-2.59614171664597E-7</v>
      </c>
      <c r="O45" s="1">
        <v>1.2983662244611899E-10</v>
      </c>
      <c r="P45" s="1">
        <v>1.0250640186668399E-9</v>
      </c>
      <c r="Q45">
        <v>65.938649992013097</v>
      </c>
      <c r="S45">
        <v>19.013259525851499</v>
      </c>
      <c r="AA45">
        <v>0.30025125248809598</v>
      </c>
      <c r="AB45">
        <v>4.45140061412945</v>
      </c>
      <c r="AC45">
        <v>10.2964386155176</v>
      </c>
      <c r="AJ45">
        <v>0.39076090737042501</v>
      </c>
      <c r="AK45">
        <v>1.4564985146327E-2</v>
      </c>
      <c r="AL45">
        <v>0.59467410748324701</v>
      </c>
    </row>
    <row r="46" spans="1:38" x14ac:dyDescent="0.2">
      <c r="A46">
        <v>105</v>
      </c>
      <c r="B46">
        <v>746</v>
      </c>
      <c r="C46">
        <v>180</v>
      </c>
      <c r="D46">
        <v>0.396899867536674</v>
      </c>
      <c r="E46">
        <v>35.182132980719999</v>
      </c>
      <c r="F46">
        <v>2.5217198135271901</v>
      </c>
      <c r="G46">
        <v>-555.48572802148988</v>
      </c>
      <c r="H46">
        <v>-481.6891564405862</v>
      </c>
      <c r="I46">
        <v>72.409921582596894</v>
      </c>
      <c r="J46">
        <v>41.843314290537599</v>
      </c>
      <c r="K46">
        <v>13.9516423640697</v>
      </c>
      <c r="L46">
        <v>2.8484838801369631E-5</v>
      </c>
      <c r="M46">
        <v>1.7968801931936594E-6</v>
      </c>
      <c r="N46" s="1">
        <v>-2.83787064531146E-7</v>
      </c>
      <c r="O46" s="1">
        <v>1.32823227836088E-10</v>
      </c>
      <c r="P46" s="1">
        <v>1.10099832826353E-9</v>
      </c>
      <c r="Q46">
        <v>65.935335006735201</v>
      </c>
      <c r="S46">
        <v>19.0060315640462</v>
      </c>
      <c r="AA46">
        <v>0.29506161648609203</v>
      </c>
      <c r="AB46">
        <v>4.4250643056080898</v>
      </c>
      <c r="AC46">
        <v>10.3385075071243</v>
      </c>
      <c r="AJ46">
        <v>0.388501043608934</v>
      </c>
      <c r="AK46">
        <v>1.43151568574366E-2</v>
      </c>
      <c r="AL46">
        <v>0.59718379953362799</v>
      </c>
    </row>
    <row r="47" spans="1:38" x14ac:dyDescent="0.2">
      <c r="A47">
        <v>106</v>
      </c>
      <c r="B47">
        <v>744</v>
      </c>
      <c r="C47">
        <v>180</v>
      </c>
      <c r="D47">
        <v>0.39557636533451601</v>
      </c>
      <c r="E47">
        <v>35.739965849582703</v>
      </c>
      <c r="F47">
        <v>2.5217580044512</v>
      </c>
      <c r="G47">
        <v>-564.07888295339637</v>
      </c>
      <c r="H47">
        <v>-489.35511436847469</v>
      </c>
      <c r="I47">
        <v>73.463863328832304</v>
      </c>
      <c r="J47">
        <v>42.516558683872297</v>
      </c>
      <c r="K47">
        <v>14.1726390028295</v>
      </c>
      <c r="L47">
        <v>2.8510399932406727E-5</v>
      </c>
      <c r="M47">
        <v>1.7969692399444979E-6</v>
      </c>
      <c r="N47" s="1">
        <v>-3.0790388474858702E-7</v>
      </c>
      <c r="O47" s="1">
        <v>1.3480103644904401E-10</v>
      </c>
      <c r="P47" s="1">
        <v>1.17453644236093E-9</v>
      </c>
      <c r="Q47">
        <v>65.932669543400195</v>
      </c>
      <c r="S47">
        <v>18.999051053122699</v>
      </c>
      <c r="AA47">
        <v>0.28992457292955198</v>
      </c>
      <c r="AB47">
        <v>4.40082414656837</v>
      </c>
      <c r="AC47">
        <v>10.377530683979</v>
      </c>
      <c r="AJ47">
        <v>0.38642051395227101</v>
      </c>
      <c r="AK47">
        <v>1.40676636289922E-2</v>
      </c>
      <c r="AL47">
        <v>0.59951182241873502</v>
      </c>
    </row>
    <row r="48" spans="1:38" x14ac:dyDescent="0.2">
      <c r="A48">
        <v>107</v>
      </c>
      <c r="B48">
        <v>742</v>
      </c>
      <c r="C48">
        <v>180</v>
      </c>
      <c r="D48">
        <v>0.39424764813081797</v>
      </c>
      <c r="E48">
        <v>36.140612357865102</v>
      </c>
      <c r="F48">
        <v>2.5217995778150999</v>
      </c>
      <c r="G48">
        <v>-570.18888790974313</v>
      </c>
      <c r="H48">
        <v>-494.8723609557033</v>
      </c>
      <c r="I48">
        <v>74.192510421159099</v>
      </c>
      <c r="J48">
        <v>43.0046539364496</v>
      </c>
      <c r="K48">
        <v>14.3312786138133</v>
      </c>
      <c r="L48">
        <v>2.8539560089899446E-5</v>
      </c>
      <c r="M48">
        <v>1.7970795690037517E-6</v>
      </c>
      <c r="N48" s="1">
        <v>-3.3259773292811801E-7</v>
      </c>
      <c r="O48" s="1">
        <v>1.36170281030953E-10</v>
      </c>
      <c r="P48" s="1">
        <v>1.2483341541245999E-9</v>
      </c>
      <c r="Q48">
        <v>65.930367488819499</v>
      </c>
      <c r="S48">
        <v>18.9922482151479</v>
      </c>
      <c r="AA48">
        <v>0.28484931491010101</v>
      </c>
      <c r="AB48">
        <v>4.3778596171861004</v>
      </c>
      <c r="AC48">
        <v>10.414675363936301</v>
      </c>
      <c r="AJ48">
        <v>0.38444899976582197</v>
      </c>
      <c r="AK48">
        <v>1.38230180077447E-2</v>
      </c>
      <c r="AL48">
        <v>0.60172798222643298</v>
      </c>
    </row>
    <row r="49" spans="1:38" x14ac:dyDescent="0.2">
      <c r="A49">
        <v>108</v>
      </c>
      <c r="B49">
        <v>740</v>
      </c>
      <c r="C49">
        <v>180</v>
      </c>
      <c r="D49">
        <v>0.39291368504170499</v>
      </c>
      <c r="E49">
        <v>36.438732264280702</v>
      </c>
      <c r="F49">
        <v>2.5218440064636898</v>
      </c>
      <c r="G49">
        <v>-574.67961855478836</v>
      </c>
      <c r="H49">
        <v>-498.98819864242915</v>
      </c>
      <c r="I49">
        <v>74.708996606977394</v>
      </c>
      <c r="J49">
        <v>43.372538759964101</v>
      </c>
      <c r="K49">
        <v>14.449241178631601</v>
      </c>
      <c r="L49">
        <v>2.8572171187650783E-5</v>
      </c>
      <c r="M49">
        <v>1.7972067015050709E-6</v>
      </c>
      <c r="N49" s="1">
        <v>-3.5823527255698903E-7</v>
      </c>
      <c r="O49" s="1">
        <v>1.37138076019623E-10</v>
      </c>
      <c r="P49" s="1">
        <v>1.32386842506403E-9</v>
      </c>
      <c r="Q49">
        <v>65.928278596882606</v>
      </c>
      <c r="S49">
        <v>18.985585759294999</v>
      </c>
      <c r="AA49">
        <v>0.27984013498990901</v>
      </c>
      <c r="AB49">
        <v>4.3557381393101799</v>
      </c>
      <c r="AC49">
        <v>10.4505573695221</v>
      </c>
      <c r="AJ49">
        <v>0.382549427165775</v>
      </c>
      <c r="AK49">
        <v>1.3581463951028799E-2</v>
      </c>
      <c r="AL49">
        <v>0.603869108883195</v>
      </c>
    </row>
    <row r="50" spans="1:38" x14ac:dyDescent="0.2">
      <c r="A50">
        <v>115</v>
      </c>
      <c r="B50">
        <v>760</v>
      </c>
      <c r="C50">
        <v>160</v>
      </c>
      <c r="D50">
        <v>0.427315007501331</v>
      </c>
      <c r="E50">
        <v>11.852126504512301</v>
      </c>
      <c r="F50">
        <v>2.5209698682851802</v>
      </c>
      <c r="G50">
        <v>-187.90146784924704</v>
      </c>
      <c r="H50">
        <v>-162.44306544464158</v>
      </c>
      <c r="I50">
        <v>24.641535502691202</v>
      </c>
      <c r="J50">
        <v>14.0988640206971</v>
      </c>
      <c r="K50">
        <v>4.7014153773184004</v>
      </c>
      <c r="L50">
        <v>2.8501756656013165E-5</v>
      </c>
      <c r="M50">
        <v>1.8000989912042103E-6</v>
      </c>
      <c r="N50" s="1">
        <v>-6.2633028969456999E-8</v>
      </c>
      <c r="O50" s="1">
        <v>4.4880662808102001E-11</v>
      </c>
      <c r="P50" s="1">
        <v>2.7630600826403799E-10</v>
      </c>
      <c r="Q50">
        <v>66.022678170582196</v>
      </c>
      <c r="S50">
        <v>19.078677693556099</v>
      </c>
      <c r="AA50">
        <v>0.33461508394252798</v>
      </c>
      <c r="AB50">
        <v>4.81015513623937</v>
      </c>
      <c r="AC50">
        <v>9.7538739156795895</v>
      </c>
      <c r="AJ50">
        <v>0.42148503882723598</v>
      </c>
      <c r="AK50">
        <v>1.62024013066151E-2</v>
      </c>
      <c r="AL50">
        <v>0.56231255986614803</v>
      </c>
    </row>
    <row r="51" spans="1:38" x14ac:dyDescent="0.2">
      <c r="A51">
        <v>116</v>
      </c>
      <c r="B51">
        <v>758</v>
      </c>
      <c r="C51">
        <v>160</v>
      </c>
      <c r="D51">
        <v>0.426068467245311</v>
      </c>
      <c r="E51">
        <v>27.6193604684712</v>
      </c>
      <c r="F51">
        <v>2.5207796425603202</v>
      </c>
      <c r="G51">
        <v>-437.4500592665604</v>
      </c>
      <c r="H51">
        <v>-378.35537344605638</v>
      </c>
      <c r="I51">
        <v>57.309495049705703</v>
      </c>
      <c r="J51">
        <v>32.831925404427103</v>
      </c>
      <c r="K51">
        <v>10.9566738806326</v>
      </c>
      <c r="L51">
        <v>2.8413257112052305E-5</v>
      </c>
      <c r="M51">
        <v>1.7985852149374585E-6</v>
      </c>
      <c r="N51" s="1">
        <v>-1.49691465608824E-7</v>
      </c>
      <c r="O51" s="1">
        <v>1.0466703778525399E-10</v>
      </c>
      <c r="P51" s="1">
        <v>6.5428556071270801E-10</v>
      </c>
      <c r="Q51">
        <v>65.974049210256993</v>
      </c>
      <c r="S51">
        <v>19.0590444020451</v>
      </c>
      <c r="AA51">
        <v>0.32976432050848298</v>
      </c>
      <c r="AB51">
        <v>4.6503168793368399</v>
      </c>
      <c r="AC51">
        <v>9.9868251878525403</v>
      </c>
      <c r="AJ51">
        <v>0.40781004986285702</v>
      </c>
      <c r="AK51">
        <v>1.5980480429493699E-2</v>
      </c>
      <c r="AL51">
        <v>0.57620946970764897</v>
      </c>
    </row>
    <row r="52" spans="1:38" x14ac:dyDescent="0.2">
      <c r="A52">
        <v>117</v>
      </c>
      <c r="B52">
        <v>756</v>
      </c>
      <c r="C52">
        <v>160</v>
      </c>
      <c r="D52">
        <v>0.424817082058009</v>
      </c>
      <c r="E52">
        <v>31.741502743098</v>
      </c>
      <c r="F52">
        <v>2.5207542744268601</v>
      </c>
      <c r="G52">
        <v>-502.4713089214244</v>
      </c>
      <c r="H52">
        <v>-434.78637964536193</v>
      </c>
      <c r="I52">
        <v>65.767797965371798</v>
      </c>
      <c r="J52">
        <v>37.727850205533102</v>
      </c>
      <c r="K52">
        <v>12.5920654246693</v>
      </c>
      <c r="L52">
        <v>2.840042199011315E-5</v>
      </c>
      <c r="M52">
        <v>1.7982438742031389E-6</v>
      </c>
      <c r="N52" s="1">
        <v>-1.820739126136E-7</v>
      </c>
      <c r="O52" s="1">
        <v>1.20260133902448E-10</v>
      </c>
      <c r="P52" s="1">
        <v>7.8080093682916999E-10</v>
      </c>
      <c r="Q52">
        <v>65.959960092160799</v>
      </c>
      <c r="S52">
        <v>19.0484917479512</v>
      </c>
      <c r="AA52">
        <v>0.32434577592769498</v>
      </c>
      <c r="AB52">
        <v>4.5912548804422002</v>
      </c>
      <c r="AC52">
        <v>10.075947503518</v>
      </c>
      <c r="AJ52">
        <v>0.40275140504886697</v>
      </c>
      <c r="AK52">
        <v>1.5722612026501801E-2</v>
      </c>
      <c r="AL52">
        <v>0.58152598292462998</v>
      </c>
    </row>
    <row r="53" spans="1:38" x14ac:dyDescent="0.2">
      <c r="A53">
        <v>118</v>
      </c>
      <c r="B53">
        <v>754</v>
      </c>
      <c r="C53">
        <v>160</v>
      </c>
      <c r="D53">
        <v>0.42356082363822201</v>
      </c>
      <c r="E53">
        <v>33.6602739236396</v>
      </c>
      <c r="F53">
        <v>2.5207608298214601</v>
      </c>
      <c r="G53">
        <v>-532.60904913773606</v>
      </c>
      <c r="H53">
        <v>-461.06784759113617</v>
      </c>
      <c r="I53">
        <v>69.650198653166399</v>
      </c>
      <c r="J53">
        <v>40.009476719666502</v>
      </c>
      <c r="K53">
        <v>13.3532199982747</v>
      </c>
      <c r="L53">
        <v>2.8404279761190526E-5</v>
      </c>
      <c r="M53">
        <v>1.7981411670216683E-6</v>
      </c>
      <c r="N53" s="1">
        <v>-2.0560930057561101E-7</v>
      </c>
      <c r="O53" s="1">
        <v>1.2746868431907501E-10</v>
      </c>
      <c r="P53" s="1">
        <v>8.6405842570730397E-10</v>
      </c>
      <c r="Q53">
        <v>65.952800867057306</v>
      </c>
      <c r="S53">
        <v>19.0398230124785</v>
      </c>
      <c r="AA53">
        <v>0.31886448770695702</v>
      </c>
      <c r="AB53">
        <v>4.55257471410716</v>
      </c>
      <c r="AC53">
        <v>10.1359369186499</v>
      </c>
      <c r="AJ53">
        <v>0.39943683051352102</v>
      </c>
      <c r="AK53">
        <v>1.5459945887660901E-2</v>
      </c>
      <c r="AL53">
        <v>0.58510322359881695</v>
      </c>
    </row>
    <row r="54" spans="1:38" x14ac:dyDescent="0.2">
      <c r="A54">
        <v>119</v>
      </c>
      <c r="B54">
        <v>752</v>
      </c>
      <c r="C54">
        <v>160</v>
      </c>
      <c r="D54">
        <v>0.42229966346388498</v>
      </c>
      <c r="E54">
        <v>34.777930638692297</v>
      </c>
      <c r="F54">
        <v>2.52078025353428</v>
      </c>
      <c r="G54">
        <v>-550.06786843624673</v>
      </c>
      <c r="H54">
        <v>-476.39100468358038</v>
      </c>
      <c r="I54">
        <v>71.869349609975501</v>
      </c>
      <c r="J54">
        <v>41.341632341361503</v>
      </c>
      <c r="K54">
        <v>13.796494394912701</v>
      </c>
      <c r="L54">
        <v>2.8415643096914996E-5</v>
      </c>
      <c r="M54">
        <v>1.7981310686190996E-6</v>
      </c>
      <c r="N54" s="1">
        <v>-2.2669070647700599E-7</v>
      </c>
      <c r="O54" s="1">
        <v>1.3162108441686601E-10</v>
      </c>
      <c r="P54" s="1">
        <v>9.3374479841141804E-10</v>
      </c>
      <c r="Q54">
        <v>65.948202380488098</v>
      </c>
      <c r="S54">
        <v>19.031911281721101</v>
      </c>
      <c r="AA54">
        <v>0.313410222798092</v>
      </c>
      <c r="AB54">
        <v>4.5215856025732197</v>
      </c>
      <c r="AC54">
        <v>10.184890512419299</v>
      </c>
      <c r="AJ54">
        <v>0.396780385474298</v>
      </c>
      <c r="AK54">
        <v>1.5197893126942801E-2</v>
      </c>
      <c r="AL54">
        <v>0.58802172139875797</v>
      </c>
    </row>
    <row r="55" spans="1:38" x14ac:dyDescent="0.2">
      <c r="A55">
        <v>120</v>
      </c>
      <c r="B55">
        <v>750</v>
      </c>
      <c r="C55">
        <v>160</v>
      </c>
      <c r="D55">
        <v>0.42103357278991599</v>
      </c>
      <c r="E55">
        <v>35.545472878300401</v>
      </c>
      <c r="F55">
        <v>2.5208060693385002</v>
      </c>
      <c r="G55">
        <v>-561.98450637771975</v>
      </c>
      <c r="H55">
        <v>-486.92525596603974</v>
      </c>
      <c r="I55">
        <v>73.360944545452796</v>
      </c>
      <c r="J55">
        <v>42.259443633370601</v>
      </c>
      <c r="K55">
        <v>14.1008359630092</v>
      </c>
      <c r="L55">
        <v>2.8431188634648028E-5</v>
      </c>
      <c r="M55">
        <v>1.798160317067828E-6</v>
      </c>
      <c r="N55" s="1">
        <v>-2.4739267029763202E-7</v>
      </c>
      <c r="O55" s="1">
        <v>1.34432365626931E-10</v>
      </c>
      <c r="P55" s="1">
        <v>9.9944709750711504E-10</v>
      </c>
      <c r="Q55">
        <v>65.944555479378494</v>
      </c>
      <c r="S55">
        <v>19.024348637876201</v>
      </c>
      <c r="AA55">
        <v>0.30802191870836798</v>
      </c>
      <c r="AB55">
        <v>4.49363222493918</v>
      </c>
      <c r="AC55">
        <v>10.2294417390976</v>
      </c>
      <c r="AJ55">
        <v>0.39438345520610901</v>
      </c>
      <c r="AK55">
        <v>1.4938726436523201E-2</v>
      </c>
      <c r="AL55">
        <v>0.59067781835736699</v>
      </c>
    </row>
    <row r="56" spans="1:38" x14ac:dyDescent="0.2">
      <c r="A56">
        <v>121</v>
      </c>
      <c r="B56">
        <v>748</v>
      </c>
      <c r="C56">
        <v>160</v>
      </c>
      <c r="D56">
        <v>0.41976252264603803</v>
      </c>
      <c r="E56">
        <v>36.068968620936701</v>
      </c>
      <c r="F56">
        <v>2.5208374028304599</v>
      </c>
      <c r="G56">
        <v>-570.04154352420335</v>
      </c>
      <c r="H56">
        <v>-494.12277503510899</v>
      </c>
      <c r="I56">
        <v>74.346343327713299</v>
      </c>
      <c r="J56">
        <v>42.888988891285599</v>
      </c>
      <c r="K56">
        <v>14.3083280898789</v>
      </c>
      <c r="L56">
        <v>2.8450866519006966E-5</v>
      </c>
      <c r="M56">
        <v>1.7982256569441996E-6</v>
      </c>
      <c r="N56" s="1">
        <v>-2.6818806756154801E-7</v>
      </c>
      <c r="O56" s="1">
        <v>1.36305098577991E-10</v>
      </c>
      <c r="P56" s="1">
        <v>1.06337013047447E-9</v>
      </c>
      <c r="Q56">
        <v>65.941756145832798</v>
      </c>
      <c r="S56">
        <v>19.0170964544924</v>
      </c>
      <c r="AA56">
        <v>0.30269197937384701</v>
      </c>
      <c r="AB56">
        <v>4.4683815186380897</v>
      </c>
      <c r="AC56">
        <v>10.2700739016627</v>
      </c>
      <c r="AJ56">
        <v>0.392217690217602</v>
      </c>
      <c r="AK56">
        <v>1.46821154435263E-2</v>
      </c>
      <c r="AL56">
        <v>0.59310019433887096</v>
      </c>
    </row>
    <row r="57" spans="1:38" x14ac:dyDescent="0.2">
      <c r="A57">
        <v>122</v>
      </c>
      <c r="B57">
        <v>746</v>
      </c>
      <c r="C57">
        <v>160</v>
      </c>
      <c r="D57">
        <v>0.41848648383456999</v>
      </c>
      <c r="E57">
        <v>36.4503132219956</v>
      </c>
      <c r="F57">
        <v>2.5208726573415201</v>
      </c>
      <c r="G57">
        <v>-575.85056849902423</v>
      </c>
      <c r="H57">
        <v>-499.37682886822995</v>
      </c>
      <c r="I57">
        <v>75.036785194322903</v>
      </c>
      <c r="J57">
        <v>43.351154005720801</v>
      </c>
      <c r="K57">
        <v>14.459402824589899</v>
      </c>
      <c r="L57">
        <v>2.8473938586283462E-5</v>
      </c>
      <c r="M57">
        <v>1.798313840010683E-6</v>
      </c>
      <c r="N57" s="1">
        <v>-2.8959589220903601E-7</v>
      </c>
      <c r="O57" s="1">
        <v>1.37626665031752E-10</v>
      </c>
      <c r="P57" s="1">
        <v>1.1278129438739901E-9</v>
      </c>
      <c r="Q57">
        <v>65.939393661890193</v>
      </c>
      <c r="S57">
        <v>19.010050283066199</v>
      </c>
      <c r="AA57">
        <v>0.29743006913097503</v>
      </c>
      <c r="AB57">
        <v>4.4446443953847403</v>
      </c>
      <c r="AC57">
        <v>10.3084815905277</v>
      </c>
      <c r="AJ57">
        <v>0.39018124081272298</v>
      </c>
      <c r="AK57">
        <v>1.4428627714775001E-2</v>
      </c>
      <c r="AL57">
        <v>0.59539013147250097</v>
      </c>
    </row>
    <row r="58" spans="1:38" x14ac:dyDescent="0.2">
      <c r="A58">
        <v>123</v>
      </c>
      <c r="B58">
        <v>744</v>
      </c>
      <c r="C58">
        <v>160</v>
      </c>
      <c r="D58">
        <v>0.41720542692818402</v>
      </c>
      <c r="E58">
        <v>36.736863303825999</v>
      </c>
      <c r="F58">
        <v>2.5209111388440602</v>
      </c>
      <c r="G58">
        <v>-580.16089243008469</v>
      </c>
      <c r="H58">
        <v>-503.33498456999399</v>
      </c>
      <c r="I58">
        <v>75.530558777064101</v>
      </c>
      <c r="J58">
        <v>43.702170784977</v>
      </c>
      <c r="K58">
        <v>14.572851354320701</v>
      </c>
      <c r="L58">
        <v>2.8500197418677405E-5</v>
      </c>
      <c r="M58">
        <v>1.7984196516706708E-6</v>
      </c>
      <c r="N58" s="1">
        <v>-3.1189316944881298E-7</v>
      </c>
      <c r="O58" s="1">
        <v>1.38576792654512E-10</v>
      </c>
      <c r="P58" s="1">
        <v>1.19393874806348E-9</v>
      </c>
      <c r="Q58">
        <v>65.937298587442598</v>
      </c>
      <c r="S58">
        <v>19.003165338346999</v>
      </c>
      <c r="AA58">
        <v>0.29223877622225097</v>
      </c>
      <c r="AB58">
        <v>4.4219258566262098</v>
      </c>
      <c r="AC58">
        <v>10.3453714413619</v>
      </c>
      <c r="AJ58">
        <v>0.38823171825474501</v>
      </c>
      <c r="AK58">
        <v>1.41784314739775E-2</v>
      </c>
      <c r="AL58">
        <v>0.59758985027127698</v>
      </c>
    </row>
    <row r="59" spans="1:38" x14ac:dyDescent="0.2">
      <c r="A59">
        <v>132</v>
      </c>
      <c r="B59">
        <v>766</v>
      </c>
      <c r="C59">
        <v>140</v>
      </c>
      <c r="D59">
        <v>0.45219698792282498</v>
      </c>
      <c r="E59">
        <v>9.4039770955530706</v>
      </c>
      <c r="F59">
        <v>2.5203020436976802</v>
      </c>
      <c r="G59">
        <v>-149.40758386891133</v>
      </c>
      <c r="H59">
        <v>-129.00080275376516</v>
      </c>
      <c r="I59">
        <v>19.637955170231599</v>
      </c>
      <c r="J59">
        <v>11.190740631871099</v>
      </c>
      <c r="K59">
        <v>3.7312897154802598</v>
      </c>
      <c r="L59">
        <v>2.8528845516076592E-5</v>
      </c>
      <c r="M59">
        <v>1.8024001367228742E-6</v>
      </c>
      <c r="N59" s="1">
        <v>-4.0953580104626002E-8</v>
      </c>
      <c r="O59" s="1">
        <v>3.56297009252439E-11</v>
      </c>
      <c r="P59" s="1">
        <v>1.93916450416391E-10</v>
      </c>
      <c r="Q59">
        <v>66.060585650709896</v>
      </c>
      <c r="S59">
        <v>19.1160390355139</v>
      </c>
      <c r="AA59">
        <v>0.356593381347872</v>
      </c>
      <c r="AB59">
        <v>4.9925775384338298</v>
      </c>
      <c r="AC59">
        <v>9.4742043939944605</v>
      </c>
      <c r="AJ59">
        <v>0.43706498714481401</v>
      </c>
      <c r="AK59">
        <v>1.7250642176402198E-2</v>
      </c>
      <c r="AL59">
        <v>0.54568437067878295</v>
      </c>
    </row>
    <row r="60" spans="1:38" x14ac:dyDescent="0.2">
      <c r="A60">
        <v>133</v>
      </c>
      <c r="B60">
        <v>764</v>
      </c>
      <c r="C60">
        <v>140</v>
      </c>
      <c r="D60">
        <v>0.45100564045702202</v>
      </c>
      <c r="E60">
        <v>26.315247273408001</v>
      </c>
      <c r="F60">
        <v>2.5199592304710401</v>
      </c>
      <c r="G60">
        <v>-417.58766905856879</v>
      </c>
      <c r="H60">
        <v>-360.72013343466858</v>
      </c>
      <c r="I60">
        <v>54.830579592055301</v>
      </c>
      <c r="J60">
        <v>31.283407331987299</v>
      </c>
      <c r="K60">
        <v>10.4427273882875</v>
      </c>
      <c r="L60">
        <v>2.8400987927045569E-5</v>
      </c>
      <c r="M60">
        <v>1.800271313791599E-6</v>
      </c>
      <c r="N60" s="1">
        <v>-1.15521138024844E-7</v>
      </c>
      <c r="O60" s="1">
        <v>9.9836601202365404E-11</v>
      </c>
      <c r="P60" s="1">
        <v>5.4487163880731699E-10</v>
      </c>
      <c r="Q60">
        <v>65.995327734979398</v>
      </c>
      <c r="S60">
        <v>19.090041328452099</v>
      </c>
      <c r="AA60">
        <v>0.35037204932954602</v>
      </c>
      <c r="AB60">
        <v>4.7789974032233902</v>
      </c>
      <c r="AC60">
        <v>9.7852614840154004</v>
      </c>
      <c r="AJ60">
        <v>0.41882092087169198</v>
      </c>
      <c r="AK60">
        <v>1.6968045360390399E-2</v>
      </c>
      <c r="AL60">
        <v>0.56421103376791604</v>
      </c>
    </row>
    <row r="61" spans="1:38" x14ac:dyDescent="0.2">
      <c r="A61">
        <v>134</v>
      </c>
      <c r="B61">
        <v>762</v>
      </c>
      <c r="C61">
        <v>140</v>
      </c>
      <c r="D61">
        <v>0.44980968941699401</v>
      </c>
      <c r="E61">
        <v>31.267300931013501</v>
      </c>
      <c r="F61">
        <v>2.51988281084137</v>
      </c>
      <c r="G61">
        <v>-495.86133510065901</v>
      </c>
      <c r="H61">
        <v>-428.52636013040535</v>
      </c>
      <c r="I61">
        <v>65.048519509494895</v>
      </c>
      <c r="J61">
        <v>37.160331622937399</v>
      </c>
      <c r="K61">
        <v>12.408236127684599</v>
      </c>
      <c r="L61">
        <v>2.8369486447134519E-5</v>
      </c>
      <c r="M61">
        <v>1.7996884798483754E-6</v>
      </c>
      <c r="N61" s="1">
        <v>-1.4448498914032599E-7</v>
      </c>
      <c r="O61" s="1">
        <v>1.1863401312908499E-10</v>
      </c>
      <c r="P61" s="1">
        <v>6.68202683047563E-10</v>
      </c>
      <c r="Q61">
        <v>65.974841370695003</v>
      </c>
      <c r="S61">
        <v>19.077062613924902</v>
      </c>
      <c r="AA61">
        <v>0.34444468999241101</v>
      </c>
      <c r="AB61">
        <v>4.6993192513694497</v>
      </c>
      <c r="AC61">
        <v>9.9043320740181002</v>
      </c>
      <c r="AJ61">
        <v>0.412004695475784</v>
      </c>
      <c r="AK61">
        <v>1.6687739042623301E-2</v>
      </c>
      <c r="AL61">
        <v>0.57130756548159201</v>
      </c>
    </row>
    <row r="62" spans="1:38" x14ac:dyDescent="0.2">
      <c r="A62">
        <v>135</v>
      </c>
      <c r="B62">
        <v>760</v>
      </c>
      <c r="C62">
        <v>140</v>
      </c>
      <c r="D62">
        <v>0.44860910806756099</v>
      </c>
      <c r="E62">
        <v>33.495859316525497</v>
      </c>
      <c r="F62">
        <v>2.5198642091563501</v>
      </c>
      <c r="G62">
        <v>-530.94665976781869</v>
      </c>
      <c r="H62">
        <v>-459.05051132751879</v>
      </c>
      <c r="I62">
        <v>69.589264327831998</v>
      </c>
      <c r="J62">
        <v>39.805773656683201</v>
      </c>
      <c r="K62">
        <v>13.292723947112901</v>
      </c>
      <c r="L62">
        <v>2.8362210011310236E-5</v>
      </c>
      <c r="M62">
        <v>1.7994757375321104E-6</v>
      </c>
      <c r="N62" s="1">
        <v>-1.6460611933326701E-7</v>
      </c>
      <c r="O62" s="1">
        <v>1.2705791632375501E-10</v>
      </c>
      <c r="P62" s="1">
        <v>7.4420383091818896E-10</v>
      </c>
      <c r="Q62">
        <v>65.965103939876499</v>
      </c>
      <c r="S62">
        <v>19.067206355900201</v>
      </c>
      <c r="AA62">
        <v>0.33858527256426102</v>
      </c>
      <c r="AB62">
        <v>4.6517804470778801</v>
      </c>
      <c r="AC62">
        <v>9.9773239845810302</v>
      </c>
      <c r="AJ62">
        <v>0.40793528781476701</v>
      </c>
      <c r="AK62">
        <v>1.6407821399538901E-2</v>
      </c>
      <c r="AL62">
        <v>0.57565689078569304</v>
      </c>
    </row>
    <row r="63" spans="1:38" x14ac:dyDescent="0.2">
      <c r="A63">
        <v>136</v>
      </c>
      <c r="B63">
        <v>758</v>
      </c>
      <c r="C63">
        <v>140</v>
      </c>
      <c r="D63">
        <v>0.44740386946613198</v>
      </c>
      <c r="E63">
        <v>34.767803890992603</v>
      </c>
      <c r="F63">
        <v>2.5198669142274599</v>
      </c>
      <c r="G63">
        <v>-550.869776071096</v>
      </c>
      <c r="H63">
        <v>-476.48574266266201</v>
      </c>
      <c r="I63">
        <v>72.136966889815994</v>
      </c>
      <c r="J63">
        <v>41.317400563495099</v>
      </c>
      <c r="K63">
        <v>13.797476245546701</v>
      </c>
      <c r="L63">
        <v>2.8364724024920406E-5</v>
      </c>
      <c r="M63">
        <v>1.7993989565699679E-6</v>
      </c>
      <c r="N63" s="1">
        <v>-1.8230599646757201E-7</v>
      </c>
      <c r="O63" s="1">
        <v>1.3182998921754699E-10</v>
      </c>
      <c r="P63" s="1">
        <v>8.0553434153621399E-10</v>
      </c>
      <c r="Q63">
        <v>65.959213710428401</v>
      </c>
      <c r="S63">
        <v>19.058527934907499</v>
      </c>
      <c r="AA63">
        <v>0.33279989090249201</v>
      </c>
      <c r="AB63">
        <v>4.6159027776701604</v>
      </c>
      <c r="AC63">
        <v>10.033555686091301</v>
      </c>
      <c r="AJ63">
        <v>0.40486280505099698</v>
      </c>
      <c r="AK63">
        <v>1.6130402053447498E-2</v>
      </c>
      <c r="AL63">
        <v>0.57900679289555401</v>
      </c>
    </row>
    <row r="64" spans="1:38" x14ac:dyDescent="0.2">
      <c r="A64">
        <v>137</v>
      </c>
      <c r="B64">
        <v>756</v>
      </c>
      <c r="C64">
        <v>140</v>
      </c>
      <c r="D64">
        <v>0.44619394646067401</v>
      </c>
      <c r="E64">
        <v>35.589455001569199</v>
      </c>
      <c r="F64">
        <v>2.5198806392928601</v>
      </c>
      <c r="G64">
        <v>-563.65795207472183</v>
      </c>
      <c r="H64">
        <v>-487.76149103102802</v>
      </c>
      <c r="I64">
        <v>73.746743471499499</v>
      </c>
      <c r="J64">
        <v>42.295973624607697</v>
      </c>
      <c r="K64">
        <v>14.123468566970001</v>
      </c>
      <c r="L64">
        <v>2.8372847038822443E-5</v>
      </c>
      <c r="M64">
        <v>1.7993895184494206E-6</v>
      </c>
      <c r="N64" s="1">
        <v>-1.99381974819998E-7</v>
      </c>
      <c r="O64" s="1">
        <v>1.3487814500941599E-10</v>
      </c>
      <c r="P64" s="1">
        <v>8.6141731362204298E-10</v>
      </c>
      <c r="Q64">
        <v>65.955130819109499</v>
      </c>
      <c r="S64">
        <v>19.050455566150099</v>
      </c>
      <c r="AA64">
        <v>0.32709279089577198</v>
      </c>
      <c r="AB64">
        <v>4.5856415091049199</v>
      </c>
      <c r="AC64">
        <v>10.0816793147395</v>
      </c>
      <c r="AJ64">
        <v>0.40227043450269601</v>
      </c>
      <c r="AK64">
        <v>1.5856224179991499E-2</v>
      </c>
      <c r="AL64">
        <v>0.58187334131731105</v>
      </c>
    </row>
    <row r="65" spans="1:38" x14ac:dyDescent="0.2">
      <c r="A65">
        <v>138</v>
      </c>
      <c r="B65">
        <v>754</v>
      </c>
      <c r="C65">
        <v>140</v>
      </c>
      <c r="D65">
        <v>0.44497931168767801</v>
      </c>
      <c r="E65">
        <v>36.183711806998303</v>
      </c>
      <c r="F65">
        <v>2.5199006616141002</v>
      </c>
      <c r="G65">
        <v>-572.8424008534754</v>
      </c>
      <c r="H65">
        <v>-495.92691279590974</v>
      </c>
      <c r="I65">
        <v>74.882430080870094</v>
      </c>
      <c r="J65">
        <v>43.005822170324997</v>
      </c>
      <c r="K65">
        <v>14.3591818352954</v>
      </c>
      <c r="L65">
        <v>2.8384546421838896E-5</v>
      </c>
      <c r="M65">
        <v>1.7994137268522999E-6</v>
      </c>
      <c r="N65" s="1">
        <v>-2.16660734811126E-7</v>
      </c>
      <c r="O65" s="1">
        <v>1.3705158673454699E-10</v>
      </c>
      <c r="P65" s="1">
        <v>9.1600774558367199E-10</v>
      </c>
      <c r="Q65">
        <v>65.951842718327498</v>
      </c>
      <c r="S65">
        <v>19.042711887544399</v>
      </c>
      <c r="AA65">
        <v>0.32147141012341901</v>
      </c>
      <c r="AB65">
        <v>4.55801309260133</v>
      </c>
      <c r="AC65">
        <v>10.125960891403199</v>
      </c>
      <c r="AJ65">
        <v>0.399902917776295</v>
      </c>
      <c r="AK65">
        <v>1.5585909497358301E-2</v>
      </c>
      <c r="AL65">
        <v>0.58451117272634601</v>
      </c>
    </row>
    <row r="66" spans="1:38" x14ac:dyDescent="0.2">
      <c r="A66">
        <v>139</v>
      </c>
      <c r="B66">
        <v>752</v>
      </c>
      <c r="C66">
        <v>140</v>
      </c>
      <c r="D66">
        <v>0.443759937570114</v>
      </c>
      <c r="E66">
        <v>36.612093837037897</v>
      </c>
      <c r="F66">
        <v>2.5199260405314301</v>
      </c>
      <c r="G66">
        <v>-579.400300099476</v>
      </c>
      <c r="H66">
        <v>-501.82426054460893</v>
      </c>
      <c r="I66">
        <v>75.672866951048107</v>
      </c>
      <c r="J66">
        <v>43.520051332672502</v>
      </c>
      <c r="K66">
        <v>14.5290350780758</v>
      </c>
      <c r="L66">
        <v>2.8399690328599176E-5</v>
      </c>
      <c r="M66">
        <v>1.7994674996063202E-6</v>
      </c>
      <c r="N66" s="1">
        <v>-2.3437754057333099E-7</v>
      </c>
      <c r="O66" s="1">
        <v>1.38584088617977E-10</v>
      </c>
      <c r="P66" s="1">
        <v>9.7046684914484009E-10</v>
      </c>
      <c r="Q66">
        <v>65.949222691037406</v>
      </c>
      <c r="S66">
        <v>19.0352520368128</v>
      </c>
      <c r="AA66">
        <v>0.31592830443720199</v>
      </c>
      <c r="AB66">
        <v>4.5326175337260999</v>
      </c>
      <c r="AC66">
        <v>10.166979433986301</v>
      </c>
      <c r="AJ66">
        <v>0.397726154310651</v>
      </c>
      <c r="AK66">
        <v>1.5319140646989599E-2</v>
      </c>
      <c r="AL66">
        <v>0.58695470504235803</v>
      </c>
    </row>
    <row r="67" spans="1:38" x14ac:dyDescent="0.2">
      <c r="A67">
        <v>140</v>
      </c>
      <c r="B67">
        <v>750</v>
      </c>
      <c r="C67">
        <v>140</v>
      </c>
      <c r="D67">
        <v>0.44253579631530099</v>
      </c>
      <c r="E67">
        <v>36.932532123840097</v>
      </c>
      <c r="F67">
        <v>2.5199555299147298</v>
      </c>
      <c r="G67">
        <v>-584.2493698140039</v>
      </c>
      <c r="H67">
        <v>-506.2457987754961</v>
      </c>
      <c r="I67">
        <v>76.238646374928194</v>
      </c>
      <c r="J67">
        <v>43.907386538682204</v>
      </c>
      <c r="K67">
        <v>14.6560253486258</v>
      </c>
      <c r="L67">
        <v>2.8417849159930471E-5</v>
      </c>
      <c r="M67">
        <v>1.799542355675094E-6</v>
      </c>
      <c r="N67" s="1">
        <v>-2.5278846557821102E-7</v>
      </c>
      <c r="O67" s="1">
        <v>1.3969610564807501E-10</v>
      </c>
      <c r="P67" s="1">
        <v>1.0259849084305999E-9</v>
      </c>
      <c r="Q67">
        <v>65.947007883962897</v>
      </c>
      <c r="S67">
        <v>19.028002120046999</v>
      </c>
      <c r="AA67">
        <v>0.31046384382462699</v>
      </c>
      <c r="AB67">
        <v>4.5086753555585197</v>
      </c>
      <c r="AC67">
        <v>10.2058507966068</v>
      </c>
      <c r="AJ67">
        <v>0.39567345362863798</v>
      </c>
      <c r="AK67">
        <v>1.5056005643644999E-2</v>
      </c>
      <c r="AL67">
        <v>0.58927054072771601</v>
      </c>
    </row>
    <row r="68" spans="1:38" x14ac:dyDescent="0.2">
      <c r="A68">
        <v>151</v>
      </c>
      <c r="B68">
        <v>772</v>
      </c>
      <c r="C68">
        <v>120</v>
      </c>
      <c r="D68">
        <v>0.47679328326077502</v>
      </c>
      <c r="E68">
        <v>21.2531485500655</v>
      </c>
      <c r="F68">
        <v>2.51931885692865</v>
      </c>
      <c r="G68">
        <v>-338.12554044635402</v>
      </c>
      <c r="H68">
        <v>-291.58020178519308</v>
      </c>
      <c r="I68">
        <v>44.534601407607397</v>
      </c>
      <c r="J68">
        <v>25.279484176297199</v>
      </c>
      <c r="K68">
        <v>8.4360693334291206</v>
      </c>
      <c r="L68">
        <v>2.8441103203865488E-5</v>
      </c>
      <c r="M68">
        <v>1.8026490058407023E-6</v>
      </c>
      <c r="N68" s="1">
        <v>-7.1283631457622999E-8</v>
      </c>
      <c r="O68" s="1">
        <v>8.0667645490799301E-11</v>
      </c>
      <c r="P68" s="1">
        <v>3.7603998409567498E-10</v>
      </c>
      <c r="Q68">
        <v>66.036822601503999</v>
      </c>
      <c r="S68">
        <v>19.137374886591999</v>
      </c>
      <c r="AA68">
        <v>0.37974045961944602</v>
      </c>
      <c r="AB68">
        <v>4.9955575648534003</v>
      </c>
      <c r="AC68">
        <v>9.4505044874311093</v>
      </c>
      <c r="AJ68">
        <v>0.43731904154500001</v>
      </c>
      <c r="AK68">
        <v>1.8370123746150199E-2</v>
      </c>
      <c r="AL68">
        <v>0.544310834708849</v>
      </c>
    </row>
    <row r="69" spans="1:38" x14ac:dyDescent="0.2">
      <c r="A69">
        <v>152</v>
      </c>
      <c r="B69">
        <v>770</v>
      </c>
      <c r="C69">
        <v>120</v>
      </c>
      <c r="D69">
        <v>0.47565594593299199</v>
      </c>
      <c r="E69">
        <v>29.456423200606</v>
      </c>
      <c r="F69">
        <v>2.5190845796315502</v>
      </c>
      <c r="G69">
        <v>-468.21671647542291</v>
      </c>
      <c r="H69">
        <v>-403.94761156776383</v>
      </c>
      <c r="I69">
        <v>61.610607206690403</v>
      </c>
      <c r="J69">
        <v>35.014449349932399</v>
      </c>
      <c r="K69">
        <v>11.6933045594341</v>
      </c>
      <c r="L69">
        <v>2.8363480877710887E-5</v>
      </c>
      <c r="M69">
        <v>1.8013623397795069E-6</v>
      </c>
      <c r="N69" s="1">
        <v>-1.0198218520294E-7</v>
      </c>
      <c r="O69" s="1">
        <v>1.11888354300931E-10</v>
      </c>
      <c r="P69" s="1">
        <v>5.3022472153258203E-10</v>
      </c>
      <c r="Q69">
        <v>65.997004049386206</v>
      </c>
      <c r="S69">
        <v>19.1172061564844</v>
      </c>
      <c r="AA69">
        <v>0.37239216555162602</v>
      </c>
      <c r="AB69">
        <v>4.8539491083536204</v>
      </c>
      <c r="AC69">
        <v>9.6594485202240694</v>
      </c>
      <c r="AJ69">
        <v>0.425227630228318</v>
      </c>
      <c r="AK69">
        <v>1.8027586309871401E-2</v>
      </c>
      <c r="AL69">
        <v>0.556744783461809</v>
      </c>
    </row>
    <row r="70" spans="1:38" x14ac:dyDescent="0.2">
      <c r="A70">
        <v>153</v>
      </c>
      <c r="B70">
        <v>768</v>
      </c>
      <c r="C70">
        <v>120</v>
      </c>
      <c r="D70">
        <v>0.474514239062578</v>
      </c>
      <c r="E70">
        <v>32.6862993012763</v>
      </c>
      <c r="F70">
        <v>2.5190074840891201</v>
      </c>
      <c r="G70">
        <v>-519.25510847398107</v>
      </c>
      <c r="H70">
        <v>-448.18015549347786</v>
      </c>
      <c r="I70">
        <v>68.265814705376897</v>
      </c>
      <c r="J70">
        <v>38.8441013437279</v>
      </c>
      <c r="K70">
        <v>12.9758643067691</v>
      </c>
      <c r="L70">
        <v>2.8336454914947181E-5</v>
      </c>
      <c r="M70">
        <v>1.8008973441434292E-6</v>
      </c>
      <c r="N70" s="1">
        <v>-1.19796506549382E-7</v>
      </c>
      <c r="O70" s="1">
        <v>1.24168413304914E-10</v>
      </c>
      <c r="P70" s="1">
        <v>6.0757779496324101E-10</v>
      </c>
      <c r="Q70">
        <v>65.980731127835398</v>
      </c>
      <c r="S70">
        <v>19.104599906212901</v>
      </c>
      <c r="AA70">
        <v>0.36578894377877402</v>
      </c>
      <c r="AB70">
        <v>4.7846368511860602</v>
      </c>
      <c r="AC70">
        <v>9.7642431709866706</v>
      </c>
      <c r="AJ70">
        <v>0.41930301193305702</v>
      </c>
      <c r="AK70">
        <v>1.7714151961803801E-2</v>
      </c>
      <c r="AL70">
        <v>0.562982836105138</v>
      </c>
    </row>
    <row r="71" spans="1:38" x14ac:dyDescent="0.2">
      <c r="A71">
        <v>154</v>
      </c>
      <c r="B71">
        <v>766</v>
      </c>
      <c r="C71">
        <v>120</v>
      </c>
      <c r="D71">
        <v>0.47336813742000999</v>
      </c>
      <c r="E71">
        <v>34.395097400483898</v>
      </c>
      <c r="F71">
        <v>2.51897772175922</v>
      </c>
      <c r="G71">
        <v>-546.13849957909497</v>
      </c>
      <c r="H71">
        <v>-471.59241876722177</v>
      </c>
      <c r="I71">
        <v>71.737555513518899</v>
      </c>
      <c r="J71">
        <v>40.8700903456185</v>
      </c>
      <c r="K71">
        <v>13.6543872950423</v>
      </c>
      <c r="L71">
        <v>2.832623905900421E-5</v>
      </c>
      <c r="M71">
        <v>1.8006921905158075E-6</v>
      </c>
      <c r="N71" s="1">
        <v>-1.3443854156119801E-7</v>
      </c>
      <c r="O71" s="1">
        <v>1.30641487225832E-10</v>
      </c>
      <c r="P71" s="1">
        <v>6.6366341142291697E-10</v>
      </c>
      <c r="Q71">
        <v>65.9718780337532</v>
      </c>
      <c r="S71">
        <v>19.094406099008999</v>
      </c>
      <c r="AA71">
        <v>0.35944469693387199</v>
      </c>
      <c r="AB71">
        <v>4.7381838148373001</v>
      </c>
      <c r="AC71">
        <v>9.8360873554664892</v>
      </c>
      <c r="AJ71">
        <v>0.41533002009717501</v>
      </c>
      <c r="AK71">
        <v>1.7411022997653802E-2</v>
      </c>
      <c r="AL71">
        <v>0.56725895690517003</v>
      </c>
    </row>
    <row r="72" spans="1:38" x14ac:dyDescent="0.2">
      <c r="A72">
        <v>155</v>
      </c>
      <c r="B72">
        <v>764</v>
      </c>
      <c r="C72">
        <v>120</v>
      </c>
      <c r="D72">
        <v>0.47221761558116099</v>
      </c>
      <c r="E72">
        <v>35.450495667777197</v>
      </c>
      <c r="F72">
        <v>2.5189690970790002</v>
      </c>
      <c r="G72">
        <v>-562.65065549609824</v>
      </c>
      <c r="H72">
        <v>-486.06493433369707</v>
      </c>
      <c r="I72">
        <v>73.842473280047301</v>
      </c>
      <c r="J72">
        <v>42.122097735853202</v>
      </c>
      <c r="K72">
        <v>14.0734142824084</v>
      </c>
      <c r="L72">
        <v>2.8324140617929707E-5</v>
      </c>
      <c r="M72">
        <v>1.8006022671747082E-6</v>
      </c>
      <c r="N72" s="1">
        <v>-1.4817485473313199E-7</v>
      </c>
      <c r="O72" s="1">
        <v>1.3461462427591501E-10</v>
      </c>
      <c r="P72" s="1">
        <v>7.1191891180360804E-10</v>
      </c>
      <c r="Q72">
        <v>65.966237290386104</v>
      </c>
      <c r="S72">
        <v>19.085311386553901</v>
      </c>
      <c r="AA72">
        <v>0.353257656386751</v>
      </c>
      <c r="AB72">
        <v>4.7017707495938099</v>
      </c>
      <c r="AC72">
        <v>9.8934229170793699</v>
      </c>
      <c r="AJ72">
        <v>0.41221441797109198</v>
      </c>
      <c r="AK72">
        <v>1.71144955109288E-2</v>
      </c>
      <c r="AL72">
        <v>0.57067108651797804</v>
      </c>
    </row>
    <row r="73" spans="1:38" x14ac:dyDescent="0.2">
      <c r="A73">
        <v>156</v>
      </c>
      <c r="B73">
        <v>762</v>
      </c>
      <c r="C73">
        <v>120</v>
      </c>
      <c r="D73">
        <v>0.47106264792542502</v>
      </c>
      <c r="E73">
        <v>36.163661803922203</v>
      </c>
      <c r="F73">
        <v>2.5189723836326299</v>
      </c>
      <c r="G73">
        <v>-573.73245705262264</v>
      </c>
      <c r="H73">
        <v>-495.85636272624276</v>
      </c>
      <c r="I73">
        <v>75.231700068956101</v>
      </c>
      <c r="J73">
        <v>42.969204459773799</v>
      </c>
      <c r="K73">
        <v>14.3565138065429</v>
      </c>
      <c r="L73">
        <v>2.8327034093649102E-5</v>
      </c>
      <c r="M73">
        <v>1.8005749722946646E-6</v>
      </c>
      <c r="N73" s="1">
        <v>-1.6180838240505301E-7</v>
      </c>
      <c r="O73" s="1">
        <v>1.3727469223245701E-10</v>
      </c>
      <c r="P73" s="1">
        <v>7.5712743605850901E-10</v>
      </c>
      <c r="Q73">
        <v>65.962265876942098</v>
      </c>
      <c r="S73">
        <v>19.076837307398002</v>
      </c>
      <c r="AA73">
        <v>0.34719312934999302</v>
      </c>
      <c r="AB73">
        <v>4.6707047674600704</v>
      </c>
      <c r="AC73">
        <v>9.9429989188496997</v>
      </c>
      <c r="AJ73">
        <v>0.40955542293918401</v>
      </c>
      <c r="AK73">
        <v>1.6823338243574099E-2</v>
      </c>
      <c r="AL73">
        <v>0.57362123881724103</v>
      </c>
    </row>
    <row r="74" spans="1:38" x14ac:dyDescent="0.2">
      <c r="A74">
        <v>157</v>
      </c>
      <c r="B74">
        <v>760</v>
      </c>
      <c r="C74">
        <v>120</v>
      </c>
      <c r="D74">
        <v>0.46990320863379098</v>
      </c>
      <c r="E74">
        <v>36.673675802174799</v>
      </c>
      <c r="F74">
        <v>2.5189834808017602</v>
      </c>
      <c r="G74">
        <v>-581.59169792336695</v>
      </c>
      <c r="H74">
        <v>-502.8696078194871</v>
      </c>
      <c r="I74">
        <v>76.196186520718001</v>
      </c>
      <c r="J74">
        <v>43.576341562964203</v>
      </c>
      <c r="K74">
        <v>14.5589187391185</v>
      </c>
      <c r="L74">
        <v>2.8333551383540908E-5</v>
      </c>
      <c r="M74">
        <v>1.8005866250290734E-6</v>
      </c>
      <c r="N74" s="1">
        <v>-1.7571358198599799E-7</v>
      </c>
      <c r="O74" s="1">
        <v>1.39152278980691E-10</v>
      </c>
      <c r="P74" s="1">
        <v>8.01467351294989E-10</v>
      </c>
      <c r="Q74">
        <v>65.959263077512105</v>
      </c>
      <c r="S74">
        <v>19.068766598905398</v>
      </c>
      <c r="AA74">
        <v>0.341235374402233</v>
      </c>
      <c r="AB74">
        <v>4.6428547783568597</v>
      </c>
      <c r="AC74">
        <v>9.9878801708232992</v>
      </c>
      <c r="AJ74">
        <v>0.407170981799861</v>
      </c>
      <c r="AK74">
        <v>1.6536993511773498E-2</v>
      </c>
      <c r="AL74">
        <v>0.57629202468836505</v>
      </c>
    </row>
    <row r="75" spans="1:38" x14ac:dyDescent="0.2">
      <c r="A75">
        <v>158</v>
      </c>
      <c r="B75">
        <v>758</v>
      </c>
      <c r="C75">
        <v>120</v>
      </c>
      <c r="D75">
        <v>0.46873927168695301</v>
      </c>
      <c r="E75">
        <v>37.052356331928003</v>
      </c>
      <c r="F75">
        <v>2.5190002699866398</v>
      </c>
      <c r="G75">
        <v>-587.36824706914877</v>
      </c>
      <c r="H75">
        <v>-508.08709058185201</v>
      </c>
      <c r="I75">
        <v>76.886152826743796</v>
      </c>
      <c r="J75">
        <v>44.028678669248798</v>
      </c>
      <c r="K75">
        <v>14.709151393669501</v>
      </c>
      <c r="L75">
        <v>2.8343024464840181E-5</v>
      </c>
      <c r="M75">
        <v>1.8006249979368543E-6</v>
      </c>
      <c r="N75" s="1">
        <v>-1.9010542478703699E-7</v>
      </c>
      <c r="O75" s="1">
        <v>1.4052128748249701E-10</v>
      </c>
      <c r="P75" s="1">
        <v>8.4612209490455204E-10</v>
      </c>
      <c r="Q75">
        <v>65.956862599797205</v>
      </c>
      <c r="S75">
        <v>19.0609851997894</v>
      </c>
      <c r="AA75">
        <v>0.33537575911454998</v>
      </c>
      <c r="AB75">
        <v>4.6171054930441802</v>
      </c>
      <c r="AC75">
        <v>10.0296709482545</v>
      </c>
      <c r="AJ75">
        <v>0.40496579987377301</v>
      </c>
      <c r="AK75">
        <v>1.6255151040073301E-2</v>
      </c>
      <c r="AL75">
        <v>0.57877904908615296</v>
      </c>
    </row>
    <row r="76" spans="1:38" x14ac:dyDescent="0.2">
      <c r="A76">
        <v>159</v>
      </c>
      <c r="B76">
        <v>756</v>
      </c>
      <c r="C76">
        <v>120</v>
      </c>
      <c r="D76">
        <v>0.46757081086333502</v>
      </c>
      <c r="E76">
        <v>37.367890114199596</v>
      </c>
      <c r="F76">
        <v>2.51902057990318</v>
      </c>
      <c r="G76">
        <v>-592.14171200208091</v>
      </c>
      <c r="H76">
        <v>-512.44085198142523</v>
      </c>
      <c r="I76">
        <v>77.443385338051399</v>
      </c>
      <c r="J76">
        <v>44.4069686832012</v>
      </c>
      <c r="K76">
        <v>14.834293301262299</v>
      </c>
      <c r="L76">
        <v>2.8354566108353642E-5</v>
      </c>
      <c r="M76">
        <v>1.8006748123167161E-6</v>
      </c>
      <c r="N76" s="1">
        <v>-2.0523112705687001E-7</v>
      </c>
      <c r="O76" s="1">
        <v>1.41642009646526E-10</v>
      </c>
      <c r="P76" s="1">
        <v>8.9233820507822503E-10</v>
      </c>
      <c r="Q76">
        <v>65.954601110354503</v>
      </c>
      <c r="S76">
        <v>19.053362618903702</v>
      </c>
      <c r="AA76">
        <v>0.32961473947974101</v>
      </c>
      <c r="AB76">
        <v>4.5920822982824703</v>
      </c>
      <c r="AC76">
        <v>10.0703392329794</v>
      </c>
      <c r="AJ76">
        <v>0.40282224824657298</v>
      </c>
      <c r="AK76">
        <v>1.59779552508711E-2</v>
      </c>
      <c r="AL76">
        <v>0.58119979650255504</v>
      </c>
    </row>
    <row r="77" spans="1:38" x14ac:dyDescent="0.2">
      <c r="A77">
        <v>172</v>
      </c>
      <c r="B77">
        <v>782</v>
      </c>
      <c r="C77">
        <v>100</v>
      </c>
      <c r="D77">
        <v>0.50326541250059598</v>
      </c>
      <c r="E77">
        <v>14.3591506003643</v>
      </c>
      <c r="F77">
        <v>2.5190296104860299</v>
      </c>
      <c r="G77">
        <v>-229.19806666219867</v>
      </c>
      <c r="H77">
        <v>-197.22241027204797</v>
      </c>
      <c r="I77">
        <v>30.3043703645459</v>
      </c>
      <c r="J77">
        <v>17.099165308311001</v>
      </c>
      <c r="K77">
        <v>5.7002706679552704</v>
      </c>
      <c r="L77">
        <v>2.8544003324102014E-5</v>
      </c>
      <c r="M77">
        <v>1.805799080100852E-6</v>
      </c>
      <c r="N77" s="1">
        <v>-3.4293616673720701E-8</v>
      </c>
      <c r="O77" s="1">
        <v>5.44709309467653E-11</v>
      </c>
      <c r="P77" s="1">
        <v>2.1352388388406099E-10</v>
      </c>
      <c r="Q77">
        <v>66.096570772689503</v>
      </c>
      <c r="S77">
        <v>19.206413838082302</v>
      </c>
      <c r="AA77">
        <v>0.42275688256500898</v>
      </c>
      <c r="AB77">
        <v>5.3096977477793699</v>
      </c>
      <c r="AC77">
        <v>8.9645607588836906</v>
      </c>
      <c r="AJ77">
        <v>0.464080149440598</v>
      </c>
      <c r="AK77">
        <v>2.0418539265572501E-2</v>
      </c>
      <c r="AL77">
        <v>0.51550131129382804</v>
      </c>
    </row>
    <row r="78" spans="1:38" x14ac:dyDescent="0.2">
      <c r="A78">
        <v>173</v>
      </c>
      <c r="B78">
        <v>780</v>
      </c>
      <c r="C78">
        <v>100</v>
      </c>
      <c r="D78">
        <v>0.50218914684517901</v>
      </c>
      <c r="E78">
        <v>26.786621521736802</v>
      </c>
      <c r="F78">
        <v>2.5184448787546199</v>
      </c>
      <c r="G78">
        <v>-426.98487730918526</v>
      </c>
      <c r="H78">
        <v>-367.58649083295086</v>
      </c>
      <c r="I78">
        <v>56.400689812689798</v>
      </c>
      <c r="J78">
        <v>31.860144381046599</v>
      </c>
      <c r="K78">
        <v>10.636175422264101</v>
      </c>
      <c r="L78">
        <v>2.8396039267890887E-5</v>
      </c>
      <c r="M78">
        <v>1.8033556435592174E-6</v>
      </c>
      <c r="N78" s="1">
        <v>-6.3513662167749105E-8</v>
      </c>
      <c r="O78" s="1">
        <v>1.017932000968E-10</v>
      </c>
      <c r="P78" s="1">
        <v>3.96644131715998E-10</v>
      </c>
      <c r="Q78">
        <v>66.026555585343601</v>
      </c>
      <c r="S78">
        <v>19.172094615644301</v>
      </c>
      <c r="AA78">
        <v>0.410780259451129</v>
      </c>
      <c r="AB78">
        <v>5.0637003534188203</v>
      </c>
      <c r="AC78">
        <v>9.3268691861420603</v>
      </c>
      <c r="AJ78">
        <v>0.44313104630811501</v>
      </c>
      <c r="AK78">
        <v>1.9864815477815101E-2</v>
      </c>
      <c r="AL78">
        <v>0.537004138214069</v>
      </c>
    </row>
    <row r="79" spans="1:38" x14ac:dyDescent="0.2">
      <c r="A79">
        <v>174</v>
      </c>
      <c r="B79">
        <v>778</v>
      </c>
      <c r="C79">
        <v>100</v>
      </c>
      <c r="D79">
        <v>0.501108785615755</v>
      </c>
      <c r="E79">
        <v>31.560993897812502</v>
      </c>
      <c r="F79">
        <v>2.5182433710227299</v>
      </c>
      <c r="G79">
        <v>-502.70835261129702</v>
      </c>
      <c r="H79">
        <v>-432.97111035501422</v>
      </c>
      <c r="I79">
        <v>66.343758984239003</v>
      </c>
      <c r="J79">
        <v>37.520148304852</v>
      </c>
      <c r="K79">
        <v>12.532940326968699</v>
      </c>
      <c r="L79">
        <v>2.8338702249559605E-5</v>
      </c>
      <c r="M79">
        <v>1.8024445506505725E-6</v>
      </c>
      <c r="N79" s="1">
        <v>-7.8404049446716002E-8</v>
      </c>
      <c r="O79" s="1">
        <v>1.20004787602967E-10</v>
      </c>
      <c r="P79" s="1">
        <v>4.7766773678037E-10</v>
      </c>
      <c r="Q79">
        <v>65.998696810705795</v>
      </c>
      <c r="S79">
        <v>19.1540269047088</v>
      </c>
      <c r="AA79">
        <v>0.40237467713867903</v>
      </c>
      <c r="AB79">
        <v>4.9542517146863396</v>
      </c>
      <c r="AC79">
        <v>9.4906498927602403</v>
      </c>
      <c r="AJ79">
        <v>0.43379364913693802</v>
      </c>
      <c r="AK79">
        <v>1.9469130345197701E-2</v>
      </c>
      <c r="AL79">
        <v>0.546737220517863</v>
      </c>
    </row>
    <row r="80" spans="1:38" x14ac:dyDescent="0.2">
      <c r="A80">
        <v>175</v>
      </c>
      <c r="B80">
        <v>776</v>
      </c>
      <c r="C80">
        <v>100</v>
      </c>
      <c r="D80">
        <v>0.50002430539008103</v>
      </c>
      <c r="E80">
        <v>33.903347213167102</v>
      </c>
      <c r="F80">
        <v>2.5181533080027898</v>
      </c>
      <c r="G80">
        <v>-539.71403307078947</v>
      </c>
      <c r="H80">
        <v>-465.05019513124449</v>
      </c>
      <c r="I80">
        <v>71.166027679116297</v>
      </c>
      <c r="J80">
        <v>40.294181144929297</v>
      </c>
      <c r="K80">
        <v>13.4635755120313</v>
      </c>
      <c r="L80">
        <v>2.8311705159458732E-5</v>
      </c>
      <c r="M80">
        <v>1.8020335074453913E-6</v>
      </c>
      <c r="N80" s="1">
        <v>-8.97764536084109E-8</v>
      </c>
      <c r="O80" s="1">
        <v>1.2893243637424199E-10</v>
      </c>
      <c r="P80" s="1">
        <v>5.29318641753269E-10</v>
      </c>
      <c r="Q80">
        <v>65.984870147392996</v>
      </c>
      <c r="S80">
        <v>19.1411255011494</v>
      </c>
      <c r="AA80">
        <v>0.39495714996377601</v>
      </c>
      <c r="AB80">
        <v>4.8896170301217303</v>
      </c>
      <c r="AC80">
        <v>9.5894301713720491</v>
      </c>
      <c r="AJ80">
        <v>0.42827462134087102</v>
      </c>
      <c r="AK80">
        <v>1.9116494898698499E-2</v>
      </c>
      <c r="AL80">
        <v>0.55260888376042905</v>
      </c>
    </row>
    <row r="81" spans="1:38" x14ac:dyDescent="0.2">
      <c r="A81">
        <v>176</v>
      </c>
      <c r="B81">
        <v>774</v>
      </c>
      <c r="C81">
        <v>100</v>
      </c>
      <c r="D81">
        <v>0.49893568256697302</v>
      </c>
      <c r="E81">
        <v>35.280333452939999</v>
      </c>
      <c r="F81">
        <v>2.5181070978809998</v>
      </c>
      <c r="G81">
        <v>-561.36332610965144</v>
      </c>
      <c r="H81">
        <v>-483.91862960525748</v>
      </c>
      <c r="I81">
        <v>73.957595859613093</v>
      </c>
      <c r="J81">
        <v>41.923970101282201</v>
      </c>
      <c r="K81">
        <v>14.010656450088399</v>
      </c>
      <c r="L81">
        <v>2.8297579818051662E-5</v>
      </c>
      <c r="M81">
        <v>1.8018253847010989E-6</v>
      </c>
      <c r="N81" s="1">
        <v>-1.00178128301239E-7</v>
      </c>
      <c r="O81" s="1">
        <v>1.34167095873966E-10</v>
      </c>
      <c r="P81" s="1">
        <v>5.7054563745323598E-10</v>
      </c>
      <c r="Q81">
        <v>65.976712493310799</v>
      </c>
      <c r="S81">
        <v>19.1303405157466</v>
      </c>
      <c r="AA81">
        <v>0.38796290363486802</v>
      </c>
      <c r="AB81">
        <v>4.84316389401845</v>
      </c>
      <c r="AC81">
        <v>9.6618201932891701</v>
      </c>
      <c r="AJ81">
        <v>0.42430585965661199</v>
      </c>
      <c r="AK81">
        <v>1.8782390034960201E-2</v>
      </c>
      <c r="AL81">
        <v>0.55691175030842699</v>
      </c>
    </row>
    <row r="82" spans="1:38" x14ac:dyDescent="0.2">
      <c r="A82">
        <v>177</v>
      </c>
      <c r="B82">
        <v>772</v>
      </c>
      <c r="C82">
        <v>100</v>
      </c>
      <c r="D82">
        <v>0.49784289336458698</v>
      </c>
      <c r="E82">
        <v>36.181244199832797</v>
      </c>
      <c r="F82">
        <v>2.5180831422274199</v>
      </c>
      <c r="G82">
        <v>-575.44321057302216</v>
      </c>
      <c r="H82">
        <v>-496.27493808285294</v>
      </c>
      <c r="I82">
        <v>75.748239477748697</v>
      </c>
      <c r="J82">
        <v>42.990032306399399</v>
      </c>
      <c r="K82">
        <v>14.3685661498166</v>
      </c>
      <c r="L82">
        <v>2.8290420290050462E-5</v>
      </c>
      <c r="M82">
        <v>1.8017195364412457E-6</v>
      </c>
      <c r="N82" s="1">
        <v>-1.10400871025679E-7</v>
      </c>
      <c r="O82" s="1">
        <v>1.3757675242045E-10</v>
      </c>
      <c r="P82" s="1">
        <v>6.0749157860991103E-10</v>
      </c>
      <c r="Q82">
        <v>65.971354917507199</v>
      </c>
      <c r="S82">
        <v>19.120650536529698</v>
      </c>
      <c r="AA82">
        <v>0.381218688634539</v>
      </c>
      <c r="AB82">
        <v>4.8058212833015501</v>
      </c>
      <c r="AC82">
        <v>9.7209545740268997</v>
      </c>
      <c r="AJ82">
        <v>0.42111411654766101</v>
      </c>
      <c r="AK82">
        <v>1.8459381991518999E-2</v>
      </c>
      <c r="AL82">
        <v>0.56042650146081896</v>
      </c>
    </row>
    <row r="83" spans="1:38" x14ac:dyDescent="0.2">
      <c r="A83">
        <v>178</v>
      </c>
      <c r="B83">
        <v>770</v>
      </c>
      <c r="C83">
        <v>100</v>
      </c>
      <c r="D83">
        <v>0.49674591381872402</v>
      </c>
      <c r="E83">
        <v>36.811660539204901</v>
      </c>
      <c r="F83">
        <v>2.5180725425774799</v>
      </c>
      <c r="G83">
        <v>-585.22394914408369</v>
      </c>
      <c r="H83">
        <v>-504.93228633419585</v>
      </c>
      <c r="I83">
        <v>76.970390461475006</v>
      </c>
      <c r="J83">
        <v>43.736163161398203</v>
      </c>
      <c r="K83">
        <v>14.618983336169</v>
      </c>
      <c r="L83">
        <v>2.8287745938677386E-5</v>
      </c>
      <c r="M83">
        <v>1.80167326693821E-6</v>
      </c>
      <c r="N83" s="1">
        <v>-1.2077676847383301E-7</v>
      </c>
      <c r="O83" s="1">
        <v>1.39946811809438E-10</v>
      </c>
      <c r="P83" s="1">
        <v>6.4273147070852005E-10</v>
      </c>
      <c r="Q83">
        <v>65.967570257240595</v>
      </c>
      <c r="S83">
        <v>19.111622821358399</v>
      </c>
      <c r="AA83">
        <v>0.37465382991533602</v>
      </c>
      <c r="AB83">
        <v>4.7737200418181098</v>
      </c>
      <c r="AC83">
        <v>9.7724330496674803</v>
      </c>
      <c r="AJ83">
        <v>0.41836940274713402</v>
      </c>
      <c r="AK83">
        <v>1.8144455339025901E-2</v>
      </c>
      <c r="AL83">
        <v>0.56348614191383894</v>
      </c>
    </row>
    <row r="84" spans="1:38" x14ac:dyDescent="0.2">
      <c r="A84">
        <v>179</v>
      </c>
      <c r="B84">
        <v>768</v>
      </c>
      <c r="C84">
        <v>100</v>
      </c>
      <c r="D84">
        <v>0.49564471978101199</v>
      </c>
      <c r="E84">
        <v>37.272820022818401</v>
      </c>
      <c r="F84">
        <v>2.5180709560891898</v>
      </c>
      <c r="G84">
        <v>-592.31549428573544</v>
      </c>
      <c r="H84">
        <v>-511.27557399482481</v>
      </c>
      <c r="I84">
        <v>77.836930596850095</v>
      </c>
      <c r="J84">
        <v>44.282392229085502</v>
      </c>
      <c r="K84">
        <v>14.8021325343058</v>
      </c>
      <c r="L84">
        <v>2.8288355640836083E-5</v>
      </c>
      <c r="M84">
        <v>1.8016654453451083E-6</v>
      </c>
      <c r="N84" s="1">
        <v>-1.3148100547953701E-7</v>
      </c>
      <c r="O84" s="1">
        <v>1.4166413118283599E-10</v>
      </c>
      <c r="P84" s="1">
        <v>6.7756425107399E-10</v>
      </c>
      <c r="Q84">
        <v>65.964746315840401</v>
      </c>
      <c r="S84">
        <v>19.1030420532425</v>
      </c>
      <c r="AA84">
        <v>0.368233536479674</v>
      </c>
      <c r="AB84">
        <v>4.7449314406295304</v>
      </c>
      <c r="AC84">
        <v>9.8190466538078809</v>
      </c>
      <c r="AJ84">
        <v>0.41590716933573901</v>
      </c>
      <c r="AK84">
        <v>1.7836128568829102E-2</v>
      </c>
      <c r="AL84">
        <v>0.566256702095431</v>
      </c>
    </row>
    <row r="85" spans="1:38" x14ac:dyDescent="0.2">
      <c r="A85">
        <v>180</v>
      </c>
      <c r="B85">
        <v>766</v>
      </c>
      <c r="C85">
        <v>100</v>
      </c>
      <c r="D85">
        <v>0.49453928691719501</v>
      </c>
      <c r="E85">
        <v>37.620487835647602</v>
      </c>
      <c r="F85">
        <v>2.51807599772832</v>
      </c>
      <c r="G85">
        <v>-597.60448224155482</v>
      </c>
      <c r="H85">
        <v>-516.06747337341142</v>
      </c>
      <c r="I85">
        <v>78.465100195489896</v>
      </c>
      <c r="J85">
        <v>44.694834785028299</v>
      </c>
      <c r="K85">
        <v>14.940171730156999</v>
      </c>
      <c r="L85">
        <v>2.829161431565311E-5</v>
      </c>
      <c r="M85">
        <v>1.8016844316990046E-6</v>
      </c>
      <c r="N85" s="1">
        <v>-1.4262525168307001E-7</v>
      </c>
      <c r="O85" s="1">
        <v>1.4294175912570699E-10</v>
      </c>
      <c r="P85" s="1">
        <v>7.1274690703371495E-10</v>
      </c>
      <c r="Q85">
        <v>65.962542492425101</v>
      </c>
      <c r="S85">
        <v>19.094788198818701</v>
      </c>
      <c r="AA85">
        <v>0.36193825413307601</v>
      </c>
      <c r="AB85">
        <v>4.7183817858667298</v>
      </c>
      <c r="AC85">
        <v>9.8623492687563008</v>
      </c>
      <c r="AJ85">
        <v>0.41363579378021897</v>
      </c>
      <c r="AK85">
        <v>1.7533568401788699E-2</v>
      </c>
      <c r="AL85">
        <v>0.56883063781799104</v>
      </c>
    </row>
    <row r="86" spans="1:38" x14ac:dyDescent="0.2">
      <c r="A86">
        <v>181</v>
      </c>
      <c r="B86">
        <v>764</v>
      </c>
      <c r="C86">
        <v>100</v>
      </c>
      <c r="D86">
        <v>0.49342959070530001</v>
      </c>
      <c r="E86">
        <v>37.888021391438301</v>
      </c>
      <c r="F86">
        <v>2.5180862396405801</v>
      </c>
      <c r="G86">
        <v>-601.62119716703796</v>
      </c>
      <c r="H86">
        <v>-519.76411125568995</v>
      </c>
      <c r="I86">
        <v>78.925021367543806</v>
      </c>
      <c r="J86">
        <v>45.013047088513297</v>
      </c>
      <c r="K86">
        <v>15.046355758191201</v>
      </c>
      <c r="L86">
        <v>2.8297170811689808E-5</v>
      </c>
      <c r="M86">
        <v>1.8017233062581897E-6</v>
      </c>
      <c r="N86" s="1">
        <v>-1.5429271385382701E-7</v>
      </c>
      <c r="O86" s="1">
        <v>1.4390704325402301E-10</v>
      </c>
      <c r="P86" s="1">
        <v>7.4877743051858703E-10</v>
      </c>
      <c r="Q86">
        <v>65.960753439578298</v>
      </c>
      <c r="S86">
        <v>19.086788468130599</v>
      </c>
      <c r="AA86">
        <v>0.35575584542862898</v>
      </c>
      <c r="AB86">
        <v>4.6934226434882396</v>
      </c>
      <c r="AC86">
        <v>9.9032796033740595</v>
      </c>
      <c r="AJ86">
        <v>0.411499933297929</v>
      </c>
      <c r="AK86">
        <v>1.7236256164459E-2</v>
      </c>
      <c r="AL86">
        <v>0.57126381053761099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78951-129C-4DA6-9F13-CC94797DEDCC}">
  <sheetPr codeName="Sheet11"/>
  <dimension ref="A1:AL21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13</v>
      </c>
      <c r="B2">
        <v>736</v>
      </c>
      <c r="C2">
        <v>300</v>
      </c>
      <c r="D2">
        <v>0.25942674528068399</v>
      </c>
      <c r="E2">
        <v>0.29565589696335798</v>
      </c>
      <c r="F2">
        <v>2.5267130983640498</v>
      </c>
      <c r="G2">
        <v>-4.6356651698204692</v>
      </c>
      <c r="H2">
        <v>-4.0276066066165184</v>
      </c>
      <c r="I2">
        <v>0.60254527394733304</v>
      </c>
      <c r="J2">
        <v>0.35135598847381699</v>
      </c>
      <c r="K2">
        <v>0.117012056950503</v>
      </c>
      <c r="L2">
        <v>2.842349388416588E-5</v>
      </c>
      <c r="M2">
        <v>1.7851120687225007E-6</v>
      </c>
      <c r="N2" s="1">
        <v>-3.2564685458709402E-9</v>
      </c>
      <c r="O2" s="1">
        <v>1.1140381937777E-12</v>
      </c>
      <c r="P2" s="1">
        <v>1.1722382471397299E-11</v>
      </c>
      <c r="Q2">
        <v>65.790408859668901</v>
      </c>
      <c r="S2">
        <v>18.9087087738748</v>
      </c>
      <c r="AA2">
        <v>0.248585853239674</v>
      </c>
      <c r="AB2">
        <v>3.8469598102403499</v>
      </c>
      <c r="AC2">
        <v>11.2053367029761</v>
      </c>
      <c r="AJ2">
        <v>0.33874163190138101</v>
      </c>
      <c r="AK2">
        <v>1.2095898289490301E-2</v>
      </c>
      <c r="AL2">
        <v>0.64916246980912795</v>
      </c>
    </row>
    <row r="3" spans="1:38" x14ac:dyDescent="0.2">
      <c r="A3">
        <v>14</v>
      </c>
      <c r="B3">
        <v>734</v>
      </c>
      <c r="C3">
        <v>300</v>
      </c>
      <c r="D3">
        <v>0.25781710768008598</v>
      </c>
      <c r="E3">
        <v>24.631902582307301</v>
      </c>
      <c r="F3">
        <v>2.5270678575907799</v>
      </c>
      <c r="G3">
        <v>-386.46519448873477</v>
      </c>
      <c r="H3">
        <v>-335.90202348204372</v>
      </c>
      <c r="I3">
        <v>50.204210898764899</v>
      </c>
      <c r="J3">
        <v>29.336073067594199</v>
      </c>
      <c r="K3">
        <v>9.7472264182848303</v>
      </c>
      <c r="L3">
        <v>2.8671078797918688E-5</v>
      </c>
      <c r="M3">
        <v>1.7876321581097323E-6</v>
      </c>
      <c r="N3" s="1">
        <v>-3.1087030028972599E-7</v>
      </c>
      <c r="O3" s="1">
        <v>9.2354969225162998E-11</v>
      </c>
      <c r="P3" s="1">
        <v>1.0900312795345799E-9</v>
      </c>
      <c r="Q3">
        <v>65.852957447594207</v>
      </c>
      <c r="S3">
        <v>18.9344837304699</v>
      </c>
      <c r="AA3">
        <v>0.25525559844666101</v>
      </c>
      <c r="AB3">
        <v>4.0539183843976998</v>
      </c>
      <c r="AC3">
        <v>10.9033848390913</v>
      </c>
      <c r="AJ3">
        <v>0.35658901204176002</v>
      </c>
      <c r="AK3">
        <v>1.2407349676009601E-2</v>
      </c>
      <c r="AL3">
        <v>0.63100363828223005</v>
      </c>
    </row>
    <row r="4" spans="1:38" x14ac:dyDescent="0.2">
      <c r="A4">
        <v>14</v>
      </c>
      <c r="B4">
        <v>734</v>
      </c>
      <c r="C4">
        <v>300</v>
      </c>
      <c r="D4">
        <v>0.25781710768008598</v>
      </c>
      <c r="E4">
        <v>14.1961738837672</v>
      </c>
      <c r="F4">
        <v>2.5846637025160799</v>
      </c>
      <c r="G4">
        <v>-229.17837785558086</v>
      </c>
      <c r="H4">
        <v>-199.51858011135965</v>
      </c>
      <c r="I4">
        <v>29.449235708902499</v>
      </c>
      <c r="J4">
        <v>17.535083888315299</v>
      </c>
      <c r="K4">
        <v>5.4924645979853004</v>
      </c>
      <c r="L4">
        <v>3.2413153630778024E-5</v>
      </c>
      <c r="M4">
        <v>1.7953288764074566E-6</v>
      </c>
      <c r="N4" s="1">
        <v>-4.3412955108112198E-7</v>
      </c>
      <c r="O4" s="1">
        <v>4.6148375374204401E-11</v>
      </c>
      <c r="P4" s="1">
        <v>1.3698073466947201E-9</v>
      </c>
      <c r="Q4">
        <v>64.443556976193605</v>
      </c>
      <c r="S4">
        <v>21.9578861963886</v>
      </c>
      <c r="AA4">
        <v>3.0784579222572401</v>
      </c>
      <c r="AB4">
        <v>8.8393876364571096</v>
      </c>
      <c r="AC4">
        <v>1.6807112687032699</v>
      </c>
      <c r="AJ4">
        <v>0.75898494080932799</v>
      </c>
      <c r="AK4">
        <v>0.14606796932823099</v>
      </c>
      <c r="AL4">
        <v>9.4947089862440298E-2</v>
      </c>
    </row>
    <row r="5" spans="1:38" x14ac:dyDescent="0.2">
      <c r="A5">
        <v>15</v>
      </c>
      <c r="B5">
        <v>732</v>
      </c>
      <c r="C5">
        <v>300</v>
      </c>
      <c r="D5">
        <v>0.256201064517732</v>
      </c>
      <c r="E5">
        <v>30.753556626416099</v>
      </c>
      <c r="F5">
        <v>2.52713966273997</v>
      </c>
      <c r="G5">
        <v>-482.41734704536287</v>
      </c>
      <c r="H5">
        <v>-419.4802991722197</v>
      </c>
      <c r="I5">
        <v>62.614582771868001</v>
      </c>
      <c r="J5">
        <v>36.656341023586897</v>
      </c>
      <c r="K5">
        <v>12.1693142171147</v>
      </c>
      <c r="L5">
        <v>2.8758272148489764E-5</v>
      </c>
      <c r="M5">
        <v>1.7882956731716506E-6</v>
      </c>
      <c r="N5" s="1">
        <v>-4.1899868143535298E-7</v>
      </c>
      <c r="O5" s="1">
        <v>1.1505852296334E-10</v>
      </c>
      <c r="P5" s="1">
        <v>1.4483670244726301E-9</v>
      </c>
      <c r="Q5">
        <v>65.865568489735097</v>
      </c>
      <c r="S5">
        <v>18.930893187700899</v>
      </c>
      <c r="AA5">
        <v>0.249350749618442</v>
      </c>
      <c r="AB5">
        <v>4.0726083409603397</v>
      </c>
      <c r="AC5">
        <v>10.881579231985</v>
      </c>
      <c r="AJ5">
        <v>0.358198967523986</v>
      </c>
      <c r="AK5">
        <v>1.2119177654033499E-2</v>
      </c>
      <c r="AL5">
        <v>0.62968185482198002</v>
      </c>
    </row>
    <row r="6" spans="1:38" x14ac:dyDescent="0.2">
      <c r="A6">
        <v>15</v>
      </c>
      <c r="B6">
        <v>732</v>
      </c>
      <c r="C6">
        <v>300</v>
      </c>
      <c r="D6">
        <v>0.256201064517732</v>
      </c>
      <c r="E6">
        <v>18.026392123107499</v>
      </c>
      <c r="F6">
        <v>2.5840273604602801</v>
      </c>
      <c r="G6">
        <v>-290.91814477997508</v>
      </c>
      <c r="H6">
        <v>-253.36907232420714</v>
      </c>
      <c r="I6">
        <v>37.3566855253125</v>
      </c>
      <c r="J6">
        <v>22.307153110355301</v>
      </c>
      <c r="K6">
        <v>6.9760840767168002</v>
      </c>
      <c r="L6">
        <v>3.2641359096855043E-5</v>
      </c>
      <c r="M6">
        <v>1.7982110640258905E-6</v>
      </c>
      <c r="N6" s="1">
        <v>-5.9050186762579196E-7</v>
      </c>
      <c r="O6" s="1">
        <v>5.8385047652849605E-11</v>
      </c>
      <c r="P6" s="1">
        <v>1.8501948854932E-9</v>
      </c>
      <c r="Q6">
        <v>64.539648962044396</v>
      </c>
      <c r="S6">
        <v>21.890021092899101</v>
      </c>
      <c r="AA6">
        <v>3.0000467657586301</v>
      </c>
      <c r="AB6">
        <v>8.8756062828159106</v>
      </c>
      <c r="AC6">
        <v>1.6946768964818399</v>
      </c>
      <c r="AJ6">
        <v>0.761958929617089</v>
      </c>
      <c r="AK6">
        <v>0.14232210193657899</v>
      </c>
      <c r="AL6">
        <v>9.5718968446331196E-2</v>
      </c>
    </row>
    <row r="7" spans="1:38" x14ac:dyDescent="0.2">
      <c r="A7">
        <v>16</v>
      </c>
      <c r="B7">
        <v>730</v>
      </c>
      <c r="C7">
        <v>300</v>
      </c>
      <c r="D7">
        <v>0.25457857748093798</v>
      </c>
      <c r="E7">
        <v>32.771864363103198</v>
      </c>
      <c r="F7">
        <v>2.5272070872377999</v>
      </c>
      <c r="G7">
        <v>-513.92146357205445</v>
      </c>
      <c r="H7">
        <v>-447.06882163642615</v>
      </c>
      <c r="I7">
        <v>66.642717375894307</v>
      </c>
      <c r="J7">
        <v>39.087719201262502</v>
      </c>
      <c r="K7">
        <v>12.967621264042201</v>
      </c>
      <c r="L7">
        <v>2.8826166478626018E-5</v>
      </c>
      <c r="M7">
        <v>1.7886608690794002E-6</v>
      </c>
      <c r="N7" s="1">
        <v>-4.7806465499625096E-7</v>
      </c>
      <c r="O7" s="1">
        <v>1.2237399674812799E-10</v>
      </c>
      <c r="P7" s="1">
        <v>1.6324032249492699E-9</v>
      </c>
      <c r="Q7">
        <v>65.868552721249898</v>
      </c>
      <c r="S7">
        <v>18.9257183600498</v>
      </c>
      <c r="AA7">
        <v>0.24438513419330299</v>
      </c>
      <c r="AB7">
        <v>4.0656920574218196</v>
      </c>
      <c r="AC7">
        <v>10.895651727085101</v>
      </c>
      <c r="AJ7">
        <v>0.35760328980103601</v>
      </c>
      <c r="AK7">
        <v>1.1878253757534899E-2</v>
      </c>
      <c r="AL7">
        <v>0.63051845644142801</v>
      </c>
    </row>
    <row r="8" spans="1:38" x14ac:dyDescent="0.2">
      <c r="A8">
        <v>16</v>
      </c>
      <c r="B8">
        <v>730</v>
      </c>
      <c r="C8">
        <v>300</v>
      </c>
      <c r="D8">
        <v>0.25457857748093798</v>
      </c>
      <c r="E8">
        <v>19.358297244210402</v>
      </c>
      <c r="F8">
        <v>2.5839457036290998</v>
      </c>
      <c r="G8">
        <v>-312.33444906991275</v>
      </c>
      <c r="H8">
        <v>-272.13653082230087</v>
      </c>
      <c r="I8">
        <v>40.0716924164999</v>
      </c>
      <c r="J8">
        <v>23.9993787056065</v>
      </c>
      <c r="K8">
        <v>7.4917585214821196</v>
      </c>
      <c r="L8">
        <v>3.284801578099162E-5</v>
      </c>
      <c r="M8">
        <v>1.7997775893126998E-6</v>
      </c>
      <c r="N8" s="1">
        <v>-6.7772813077484103E-7</v>
      </c>
      <c r="O8" s="1">
        <v>6.2383938801432801E-11</v>
      </c>
      <c r="P8" s="1">
        <v>2.1096918252706499E-9</v>
      </c>
      <c r="Q8">
        <v>64.5761142534692</v>
      </c>
      <c r="S8">
        <v>21.866532482375</v>
      </c>
      <c r="AA8">
        <v>2.9721597443306398</v>
      </c>
      <c r="AB8">
        <v>8.89528878334872</v>
      </c>
      <c r="AC8">
        <v>1.68990473647629</v>
      </c>
      <c r="AJ8">
        <v>0.76357441480953003</v>
      </c>
      <c r="AK8">
        <v>0.14098543677523401</v>
      </c>
      <c r="AL8">
        <v>9.5440148415234197E-2</v>
      </c>
    </row>
    <row r="9" spans="1:38" x14ac:dyDescent="0.2">
      <c r="A9">
        <v>17</v>
      </c>
      <c r="B9">
        <v>728</v>
      </c>
      <c r="C9">
        <v>300</v>
      </c>
      <c r="D9">
        <v>0.25294960795086002</v>
      </c>
      <c r="E9">
        <v>33.8174571803549</v>
      </c>
      <c r="F9">
        <v>2.5272746161144601</v>
      </c>
      <c r="G9">
        <v>-530.1431363074845</v>
      </c>
      <c r="H9">
        <v>-461.38166423571033</v>
      </c>
      <c r="I9">
        <v>68.682487211481003</v>
      </c>
      <c r="J9">
        <v>40.361344051503401</v>
      </c>
      <c r="K9">
        <v>13.380998236094801</v>
      </c>
      <c r="L9">
        <v>2.8892638453873178E-5</v>
      </c>
      <c r="M9">
        <v>1.7889611905659071E-6</v>
      </c>
      <c r="N9" s="1">
        <v>-5.2685282224695505E-7</v>
      </c>
      <c r="O9" s="1">
        <v>1.26033288615018E-10</v>
      </c>
      <c r="P9" s="1">
        <v>1.7787080052183801E-9</v>
      </c>
      <c r="Q9">
        <v>65.869108774782006</v>
      </c>
      <c r="S9">
        <v>18.920202109247001</v>
      </c>
      <c r="AA9">
        <v>0.23970442330911901</v>
      </c>
      <c r="AB9">
        <v>4.0524696242626703</v>
      </c>
      <c r="AC9">
        <v>10.918515068399101</v>
      </c>
      <c r="AJ9">
        <v>0.35646432839088099</v>
      </c>
      <c r="AK9">
        <v>1.16515350664631E-2</v>
      </c>
      <c r="AL9">
        <v>0.63188413654265496</v>
      </c>
    </row>
    <row r="10" spans="1:38" x14ac:dyDescent="0.2">
      <c r="A10">
        <v>17</v>
      </c>
      <c r="B10">
        <v>728</v>
      </c>
      <c r="C10">
        <v>300</v>
      </c>
      <c r="D10">
        <v>0.25294960795086002</v>
      </c>
      <c r="E10">
        <v>20.096143016739401</v>
      </c>
      <c r="F10">
        <v>2.5839996604622599</v>
      </c>
      <c r="G10">
        <v>-324.16330994871601</v>
      </c>
      <c r="H10">
        <v>-282.56455189670254</v>
      </c>
      <c r="I10">
        <v>41.550974431417302</v>
      </c>
      <c r="J10">
        <v>24.962267841395299</v>
      </c>
      <c r="K10">
        <v>7.7771461522345504</v>
      </c>
      <c r="L10">
        <v>3.3058892299437898E-5</v>
      </c>
      <c r="M10">
        <v>1.8010538869765634E-6</v>
      </c>
      <c r="N10" s="1">
        <v>-7.5130569054956896E-7</v>
      </c>
      <c r="O10" s="1">
        <v>6.43978777161083E-11</v>
      </c>
      <c r="P10" s="1">
        <v>2.3242538127265502E-9</v>
      </c>
      <c r="Q10">
        <v>64.598169226592503</v>
      </c>
      <c r="S10">
        <v>21.8537817075417</v>
      </c>
      <c r="AA10">
        <v>2.95649399806811</v>
      </c>
      <c r="AB10">
        <v>8.9110092944742192</v>
      </c>
      <c r="AC10">
        <v>1.68054577332333</v>
      </c>
      <c r="AJ10">
        <v>0.76486437680282304</v>
      </c>
      <c r="AK10">
        <v>0.14023141932737701</v>
      </c>
      <c r="AL10">
        <v>9.49042038697991E-2</v>
      </c>
    </row>
    <row r="11" spans="1:38" x14ac:dyDescent="0.2">
      <c r="A11">
        <v>18</v>
      </c>
      <c r="B11">
        <v>726</v>
      </c>
      <c r="C11">
        <v>300</v>
      </c>
      <c r="D11">
        <v>0.251314116999449</v>
      </c>
      <c r="E11">
        <v>34.460906494281602</v>
      </c>
      <c r="F11">
        <v>2.5273432929608299</v>
      </c>
      <c r="G11">
        <v>-540.04623255905449</v>
      </c>
      <c r="H11">
        <v>-470.20571346548633</v>
      </c>
      <c r="I11">
        <v>69.899934037500103</v>
      </c>
      <c r="J11">
        <v>41.157621394219198</v>
      </c>
      <c r="K11">
        <v>13.635229764892699</v>
      </c>
      <c r="L11">
        <v>2.8961340234974169E-5</v>
      </c>
      <c r="M11">
        <v>1.7892425771033627E-6</v>
      </c>
      <c r="N11" s="1">
        <v>-5.72461545444673E-7</v>
      </c>
      <c r="O11" s="1">
        <v>1.28173645871611E-10</v>
      </c>
      <c r="P11" s="1">
        <v>1.9122258977828301E-9</v>
      </c>
      <c r="Q11">
        <v>65.868635024857795</v>
      </c>
      <c r="S11">
        <v>18.914584721423999</v>
      </c>
      <c r="AA11">
        <v>0.235180563905933</v>
      </c>
      <c r="AB11">
        <v>4.0366871854697797</v>
      </c>
      <c r="AC11">
        <v>10.944912504342399</v>
      </c>
      <c r="AJ11">
        <v>0.355104642359718</v>
      </c>
      <c r="AK11">
        <v>1.1432559535801299E-2</v>
      </c>
      <c r="AL11">
        <v>0.63346279810448003</v>
      </c>
    </row>
    <row r="12" spans="1:38" x14ac:dyDescent="0.2">
      <c r="A12">
        <v>18</v>
      </c>
      <c r="B12">
        <v>726</v>
      </c>
      <c r="C12">
        <v>300</v>
      </c>
      <c r="D12">
        <v>0.251314116999449</v>
      </c>
      <c r="E12">
        <v>20.5903104150016</v>
      </c>
      <c r="F12">
        <v>2.58410866205524</v>
      </c>
      <c r="G12">
        <v>-332.05923053708472</v>
      </c>
      <c r="H12">
        <v>-289.57251724586035</v>
      </c>
      <c r="I12">
        <v>42.522857720286602</v>
      </c>
      <c r="J12">
        <v>25.6285504190969</v>
      </c>
      <c r="K12">
        <v>7.9680513119852403</v>
      </c>
      <c r="L12">
        <v>3.3279460628307847E-5</v>
      </c>
      <c r="M12">
        <v>1.802236811267528E-6</v>
      </c>
      <c r="N12" s="1">
        <v>-8.2144189674067899E-7</v>
      </c>
      <c r="O12" s="1">
        <v>6.5581198611255494E-11</v>
      </c>
      <c r="P12" s="1">
        <v>2.5261822018124701E-9</v>
      </c>
      <c r="Q12">
        <v>64.614448671620096</v>
      </c>
      <c r="S12">
        <v>21.845328653691698</v>
      </c>
      <c r="AA12">
        <v>2.9457215561465802</v>
      </c>
      <c r="AB12">
        <v>8.9251263852094294</v>
      </c>
      <c r="AC12">
        <v>1.6693747333320801</v>
      </c>
      <c r="AJ12">
        <v>0.76602254339115305</v>
      </c>
      <c r="AK12">
        <v>0.13971069696611399</v>
      </c>
      <c r="AL12">
        <v>9.4266759642731401E-2</v>
      </c>
    </row>
    <row r="13" spans="1:38" x14ac:dyDescent="0.2">
      <c r="A13">
        <v>19</v>
      </c>
      <c r="B13">
        <v>724</v>
      </c>
      <c r="C13">
        <v>300</v>
      </c>
      <c r="D13">
        <v>0.249672065386352</v>
      </c>
      <c r="E13">
        <v>34.894786852620697</v>
      </c>
      <c r="F13">
        <v>2.5274134988767498</v>
      </c>
      <c r="G13">
        <v>-546.65663461121676</v>
      </c>
      <c r="H13">
        <v>-476.1693603894791</v>
      </c>
      <c r="I13">
        <v>70.688737122536807</v>
      </c>
      <c r="J13">
        <v>41.706290124458398</v>
      </c>
      <c r="K13">
        <v>13.8065207248947</v>
      </c>
      <c r="L13">
        <v>2.9033639989396834E-5</v>
      </c>
      <c r="M13">
        <v>1.7895208468617273E-6</v>
      </c>
      <c r="N13" s="1">
        <v>-6.1721059643667597E-7</v>
      </c>
      <c r="O13" s="1">
        <v>1.2951711501882599E-10</v>
      </c>
      <c r="P13" s="1">
        <v>2.04112462099934E-9</v>
      </c>
      <c r="Q13">
        <v>65.867601168710294</v>
      </c>
      <c r="S13">
        <v>18.908946226545801</v>
      </c>
      <c r="AA13">
        <v>0.230769984096131</v>
      </c>
      <c r="AB13">
        <v>4.0196012451007803</v>
      </c>
      <c r="AC13">
        <v>10.9730813755468</v>
      </c>
      <c r="AJ13">
        <v>0.35363240678640701</v>
      </c>
      <c r="AK13">
        <v>1.12191303825379E-2</v>
      </c>
      <c r="AL13">
        <v>0.63514846283105397</v>
      </c>
    </row>
    <row r="14" spans="1:38" x14ac:dyDescent="0.2">
      <c r="A14">
        <v>19</v>
      </c>
      <c r="B14">
        <v>724</v>
      </c>
      <c r="C14">
        <v>300</v>
      </c>
      <c r="D14">
        <v>0.249672065386352</v>
      </c>
      <c r="E14">
        <v>20.958569449172401</v>
      </c>
      <c r="F14">
        <v>2.5842458462759801</v>
      </c>
      <c r="G14">
        <v>-337.92271695182757</v>
      </c>
      <c r="H14">
        <v>-294.813734314844</v>
      </c>
      <c r="I14">
        <v>43.232194390997897</v>
      </c>
      <c r="J14">
        <v>26.143837778366098</v>
      </c>
      <c r="K14">
        <v>8.1101298776874096</v>
      </c>
      <c r="L14">
        <v>3.3512023443984886E-5</v>
      </c>
      <c r="M14">
        <v>1.8033931427553292E-6</v>
      </c>
      <c r="N14" s="1">
        <v>-8.9152114251890498E-7</v>
      </c>
      <c r="O14" s="1">
        <v>6.6323028441068303E-11</v>
      </c>
      <c r="P14" s="1">
        <v>2.7261412692249702E-9</v>
      </c>
      <c r="Q14">
        <v>64.627827477749094</v>
      </c>
      <c r="S14">
        <v>21.839026821573899</v>
      </c>
      <c r="AA14">
        <v>2.9374007186136</v>
      </c>
      <c r="AB14">
        <v>8.9384192651341294</v>
      </c>
      <c r="AC14">
        <v>1.65732571692915</v>
      </c>
      <c r="AJ14">
        <v>0.767112913674315</v>
      </c>
      <c r="AK14">
        <v>0.13930687790525301</v>
      </c>
      <c r="AL14">
        <v>9.3580208420430203E-2</v>
      </c>
    </row>
    <row r="15" spans="1:38" x14ac:dyDescent="0.2">
      <c r="A15">
        <v>32</v>
      </c>
      <c r="B15">
        <v>736</v>
      </c>
      <c r="C15">
        <v>280</v>
      </c>
      <c r="D15">
        <v>0.281227270475152</v>
      </c>
      <c r="E15">
        <v>28.6578196315021</v>
      </c>
      <c r="F15">
        <v>2.5261665182703701</v>
      </c>
      <c r="G15">
        <v>-450.16036160367236</v>
      </c>
      <c r="H15">
        <v>-391.10902361683861</v>
      </c>
      <c r="I15">
        <v>58.515917343143897</v>
      </c>
      <c r="J15">
        <v>34.1268660990089</v>
      </c>
      <c r="K15">
        <v>11.3443905713403</v>
      </c>
      <c r="L15">
        <v>2.8657566832854892E-5</v>
      </c>
      <c r="M15">
        <v>1.7895162880268992E-6</v>
      </c>
      <c r="N15" s="1">
        <v>-3.3906965833011299E-7</v>
      </c>
      <c r="O15" s="1">
        <v>1.07560923970162E-10</v>
      </c>
      <c r="P15" s="1">
        <v>1.2044556396765699E-9</v>
      </c>
      <c r="Q15">
        <v>65.878320625064006</v>
      </c>
      <c r="S15">
        <v>18.947946656642699</v>
      </c>
      <c r="AA15">
        <v>0.260444499662839</v>
      </c>
      <c r="AB15">
        <v>4.1457336767316999</v>
      </c>
      <c r="AC15">
        <v>10.7675545418985</v>
      </c>
      <c r="AJ15">
        <v>0.36449478065915097</v>
      </c>
      <c r="AK15">
        <v>1.2653652244728799E-2</v>
      </c>
      <c r="AL15">
        <v>0.62285156709612</v>
      </c>
    </row>
    <row r="16" spans="1:38" x14ac:dyDescent="0.2">
      <c r="A16">
        <v>32</v>
      </c>
      <c r="B16">
        <v>736</v>
      </c>
      <c r="C16">
        <v>280</v>
      </c>
      <c r="D16">
        <v>0.281227270475152</v>
      </c>
      <c r="E16">
        <v>16.7676990769375</v>
      </c>
      <c r="F16">
        <v>2.5826748702251101</v>
      </c>
      <c r="G16">
        <v>-270.84944669589373</v>
      </c>
      <c r="H16">
        <v>-235.69697177174132</v>
      </c>
      <c r="I16">
        <v>34.833746146908098</v>
      </c>
      <c r="J16">
        <v>20.673546567399299</v>
      </c>
      <c r="K16">
        <v>6.4923770584703897</v>
      </c>
      <c r="L16">
        <v>3.2237972673021699E-5</v>
      </c>
      <c r="M16">
        <v>1.797634368670407E-6</v>
      </c>
      <c r="N16" s="1">
        <v>-4.7293827119084798E-7</v>
      </c>
      <c r="O16" s="1">
        <v>5.4936796269558398E-11</v>
      </c>
      <c r="P16" s="1">
        <v>1.5048760839121699E-9</v>
      </c>
      <c r="Q16">
        <v>64.529469625856805</v>
      </c>
      <c r="S16">
        <v>21.889977218616199</v>
      </c>
      <c r="AA16">
        <v>3.0023857779648999</v>
      </c>
      <c r="AB16">
        <v>8.8528071557792192</v>
      </c>
      <c r="AC16">
        <v>1.7253602217828199</v>
      </c>
      <c r="AJ16">
        <v>0.76008773666748997</v>
      </c>
      <c r="AK16">
        <v>0.14244919727115199</v>
      </c>
      <c r="AL16">
        <v>9.7463066061356296E-2</v>
      </c>
    </row>
    <row r="17" spans="1:38" x14ac:dyDescent="0.2">
      <c r="A17">
        <v>33</v>
      </c>
      <c r="B17">
        <v>734</v>
      </c>
      <c r="C17">
        <v>280</v>
      </c>
      <c r="D17">
        <v>0.27966092439060802</v>
      </c>
      <c r="E17">
        <v>31.9664378451515</v>
      </c>
      <c r="F17">
        <v>2.5262305022620799</v>
      </c>
      <c r="G17">
        <v>-501.97968095431236</v>
      </c>
      <c r="H17">
        <v>-436.32058874732593</v>
      </c>
      <c r="I17">
        <v>65.192962524933193</v>
      </c>
      <c r="J17">
        <v>38.0881290688909</v>
      </c>
      <c r="K17">
        <v>12.6538088335674</v>
      </c>
      <c r="L17">
        <v>2.8716451667448174E-5</v>
      </c>
      <c r="M17">
        <v>1.7898581498662658E-6</v>
      </c>
      <c r="N17" s="1">
        <v>-4.0541181197191602E-7</v>
      </c>
      <c r="O17" s="1">
        <v>1.1977628023475199E-10</v>
      </c>
      <c r="P17" s="1">
        <v>1.42055076027259E-9</v>
      </c>
      <c r="Q17">
        <v>65.881458780600695</v>
      </c>
      <c r="S17">
        <v>18.942652583516999</v>
      </c>
      <c r="AA17">
        <v>0.25534458943400901</v>
      </c>
      <c r="AB17">
        <v>4.1388477871085998</v>
      </c>
      <c r="AC17">
        <v>10.781696259339499</v>
      </c>
      <c r="AJ17">
        <v>0.36390216421781202</v>
      </c>
      <c r="AK17">
        <v>1.24063101450274E-2</v>
      </c>
      <c r="AL17">
        <v>0.62369152563715902</v>
      </c>
    </row>
    <row r="18" spans="1:38" x14ac:dyDescent="0.2">
      <c r="A18">
        <v>33</v>
      </c>
      <c r="B18">
        <v>734</v>
      </c>
      <c r="C18">
        <v>280</v>
      </c>
      <c r="D18">
        <v>0.27966092439060802</v>
      </c>
      <c r="E18">
        <v>18.7178212260443</v>
      </c>
      <c r="F18">
        <v>2.5825967590601602</v>
      </c>
      <c r="G18">
        <v>-302.27388022723676</v>
      </c>
      <c r="H18">
        <v>-263.15449274383371</v>
      </c>
      <c r="I18">
        <v>38.841669546148097</v>
      </c>
      <c r="J18">
        <v>23.114327760734</v>
      </c>
      <c r="K18">
        <v>7.2476747135917599</v>
      </c>
      <c r="L18">
        <v>3.2418751033560124E-5</v>
      </c>
      <c r="M18">
        <v>1.7991076554770093E-6</v>
      </c>
      <c r="N18" s="1">
        <v>-5.6440304002939899E-7</v>
      </c>
      <c r="O18" s="1">
        <v>6.1063576530084404E-11</v>
      </c>
      <c r="P18" s="1">
        <v>1.78306856979461E-9</v>
      </c>
      <c r="Q18">
        <v>64.565096572380995</v>
      </c>
      <c r="S18">
        <v>21.867078017030199</v>
      </c>
      <c r="AA18">
        <v>2.9751806412675501</v>
      </c>
      <c r="AB18">
        <v>8.8721666618108799</v>
      </c>
      <c r="AC18">
        <v>1.7204781075102999</v>
      </c>
      <c r="AJ18">
        <v>0.76167706911744804</v>
      </c>
      <c r="AK18">
        <v>0.14114494197157301</v>
      </c>
      <c r="AL18">
        <v>9.7177988910978202E-2</v>
      </c>
    </row>
    <row r="19" spans="1:38" x14ac:dyDescent="0.2">
      <c r="A19">
        <v>34</v>
      </c>
      <c r="B19">
        <v>732</v>
      </c>
      <c r="C19">
        <v>280</v>
      </c>
      <c r="D19">
        <v>0.27808834502313201</v>
      </c>
      <c r="E19">
        <v>33.430585639638998</v>
      </c>
      <c r="F19">
        <v>2.5262933061151802</v>
      </c>
      <c r="G19">
        <v>-524.79561622257506</v>
      </c>
      <c r="H19">
        <v>-456.3514367829348</v>
      </c>
      <c r="I19">
        <v>68.093497925324698</v>
      </c>
      <c r="J19">
        <v>39.854434574688497</v>
      </c>
      <c r="K19">
        <v>13.233057918776201</v>
      </c>
      <c r="L19">
        <v>2.8772636057436123E-5</v>
      </c>
      <c r="M19">
        <v>1.7901212572800163E-6</v>
      </c>
      <c r="N19" s="1">
        <v>-4.53279573851514E-7</v>
      </c>
      <c r="O19" s="1">
        <v>1.2504946124219201E-10</v>
      </c>
      <c r="P19" s="1">
        <v>1.5683647868263799E-9</v>
      </c>
      <c r="Q19">
        <v>65.881783840962598</v>
      </c>
      <c r="S19">
        <v>18.9369300455194</v>
      </c>
      <c r="AA19">
        <v>0.250547588600251</v>
      </c>
      <c r="AB19">
        <v>4.1245697893543696</v>
      </c>
      <c r="AC19">
        <v>10.8061687355633</v>
      </c>
      <c r="AJ19">
        <v>0.36267318606264098</v>
      </c>
      <c r="AK19">
        <v>1.2174126459043399E-2</v>
      </c>
      <c r="AL19">
        <v>0.62515268747831498</v>
      </c>
    </row>
    <row r="20" spans="1:38" x14ac:dyDescent="0.2">
      <c r="A20">
        <v>34</v>
      </c>
      <c r="B20">
        <v>732</v>
      </c>
      <c r="C20">
        <v>280</v>
      </c>
      <c r="D20">
        <v>0.27808834502313201</v>
      </c>
      <c r="E20">
        <v>19.631949718560701</v>
      </c>
      <c r="F20">
        <v>2.5826751577728602</v>
      </c>
      <c r="G20">
        <v>-316.96300204274576</v>
      </c>
      <c r="H20">
        <v>-276.06157719360101</v>
      </c>
      <c r="I20">
        <v>40.691861761075103</v>
      </c>
      <c r="J20">
        <v>24.2832673678076</v>
      </c>
      <c r="K20">
        <v>7.6014010741831504</v>
      </c>
      <c r="L20">
        <v>3.260117183050933E-5</v>
      </c>
      <c r="M20">
        <v>1.800239442988032E-6</v>
      </c>
      <c r="N20" s="1">
        <v>-6.3245677695213099E-7</v>
      </c>
      <c r="O20" s="1">
        <v>6.3732483306265394E-11</v>
      </c>
      <c r="P20" s="1">
        <v>1.98447948554503E-9</v>
      </c>
      <c r="Q20">
        <v>64.584191009052105</v>
      </c>
      <c r="S20">
        <v>21.856533139656399</v>
      </c>
      <c r="AA20">
        <v>2.9620255837037499</v>
      </c>
      <c r="AB20">
        <v>8.8870728231669105</v>
      </c>
      <c r="AC20">
        <v>1.7101774444206701</v>
      </c>
      <c r="AJ20">
        <v>0.76290046633848496</v>
      </c>
      <c r="AK20">
        <v>0.14051048637456501</v>
      </c>
      <c r="AL20">
        <v>9.6589047286948504E-2</v>
      </c>
    </row>
    <row r="21" spans="1:38" x14ac:dyDescent="0.2">
      <c r="A21">
        <v>35</v>
      </c>
      <c r="B21">
        <v>730</v>
      </c>
      <c r="C21">
        <v>280</v>
      </c>
      <c r="D21">
        <v>0.27650949509046802</v>
      </c>
      <c r="E21">
        <v>34.270851597856897</v>
      </c>
      <c r="F21">
        <v>2.5263569718005598</v>
      </c>
      <c r="G21">
        <v>-537.80041476842212</v>
      </c>
      <c r="H21">
        <v>-467.86461387471348</v>
      </c>
      <c r="I21">
        <v>69.716194879837204</v>
      </c>
      <c r="J21">
        <v>40.879601260859303</v>
      </c>
      <c r="K21">
        <v>13.565324291219</v>
      </c>
      <c r="L21">
        <v>2.8830740460623901E-5</v>
      </c>
      <c r="M21">
        <v>1.7903658511415938E-6</v>
      </c>
      <c r="N21" s="1">
        <v>-4.9617473055315702E-7</v>
      </c>
      <c r="O21" s="1">
        <v>1.2796526527667501E-10</v>
      </c>
      <c r="P21" s="1">
        <v>1.6965265439703601E-9</v>
      </c>
      <c r="Q21">
        <v>65.881133568082902</v>
      </c>
      <c r="S21">
        <v>18.931110459580399</v>
      </c>
      <c r="AA21">
        <v>0.24589810289950001</v>
      </c>
      <c r="AB21">
        <v>4.1078638899715401</v>
      </c>
      <c r="AC21">
        <v>10.8339939794655</v>
      </c>
      <c r="AJ21">
        <v>0.36123499157857702</v>
      </c>
      <c r="AK21">
        <v>1.1949224909442E-2</v>
      </c>
      <c r="AL21">
        <v>0.62681578351197997</v>
      </c>
    </row>
    <row r="22" spans="1:38" x14ac:dyDescent="0.2">
      <c r="A22">
        <v>35</v>
      </c>
      <c r="B22">
        <v>730</v>
      </c>
      <c r="C22">
        <v>280</v>
      </c>
      <c r="D22">
        <v>0.27650949509046802</v>
      </c>
      <c r="E22">
        <v>20.199018335360101</v>
      </c>
      <c r="F22">
        <v>2.58280486021193</v>
      </c>
      <c r="G22">
        <v>-326.04544975194335</v>
      </c>
      <c r="H22">
        <v>-284.0951200803533</v>
      </c>
      <c r="I22">
        <v>41.818601078193801</v>
      </c>
      <c r="J22">
        <v>25.0286111949057</v>
      </c>
      <c r="K22">
        <v>7.8205746963410698</v>
      </c>
      <c r="L22">
        <v>3.2791919337830016E-5</v>
      </c>
      <c r="M22">
        <v>1.8012830954097691E-6</v>
      </c>
      <c r="N22" s="1">
        <v>-6.9499562130922601E-7</v>
      </c>
      <c r="O22" s="1">
        <v>6.5224558550894601E-11</v>
      </c>
      <c r="P22" s="1">
        <v>2.1665322672401201E-9</v>
      </c>
      <c r="Q22">
        <v>64.597931776954795</v>
      </c>
      <c r="S22">
        <v>21.849980926075499</v>
      </c>
      <c r="AA22">
        <v>2.9534137200684101</v>
      </c>
      <c r="AB22">
        <v>8.9005159079390594</v>
      </c>
      <c r="AC22">
        <v>1.69815766896216</v>
      </c>
      <c r="AJ22">
        <v>0.76400357593610801</v>
      </c>
      <c r="AK22">
        <v>0.140092630145498</v>
      </c>
      <c r="AL22">
        <v>9.5903793918393099E-2</v>
      </c>
    </row>
    <row r="23" spans="1:38" x14ac:dyDescent="0.2">
      <c r="A23">
        <v>36</v>
      </c>
      <c r="B23">
        <v>728</v>
      </c>
      <c r="C23">
        <v>280</v>
      </c>
      <c r="D23">
        <v>0.27492433701243602</v>
      </c>
      <c r="E23">
        <v>34.816329288434801</v>
      </c>
      <c r="F23">
        <v>2.5264220713979699</v>
      </c>
      <c r="G23">
        <v>-546.16943001258483</v>
      </c>
      <c r="H23">
        <v>-475.35313096389882</v>
      </c>
      <c r="I23">
        <v>70.734953851756401</v>
      </c>
      <c r="J23">
        <v>41.555727650609597</v>
      </c>
      <c r="K23">
        <v>13.7808839158729</v>
      </c>
      <c r="L23">
        <v>2.889216904439114E-5</v>
      </c>
      <c r="M23">
        <v>1.7906084944039601E-6</v>
      </c>
      <c r="N23" s="1">
        <v>-5.3773301995795697E-7</v>
      </c>
      <c r="O23" s="1">
        <v>1.2975985887951401E-10</v>
      </c>
      <c r="P23" s="1">
        <v>1.8181048524817499E-9</v>
      </c>
      <c r="Q23">
        <v>65.879998768238906</v>
      </c>
      <c r="S23">
        <v>18.9252815525359</v>
      </c>
      <c r="AA23">
        <v>0.241353984934428</v>
      </c>
      <c r="AB23">
        <v>4.0900538117379401</v>
      </c>
      <c r="AC23">
        <v>10.863311882552599</v>
      </c>
      <c r="AJ23">
        <v>0.35970146640935002</v>
      </c>
      <c r="AK23">
        <v>1.17294716647097E-2</v>
      </c>
      <c r="AL23">
        <v>0.62856906192593898</v>
      </c>
    </row>
    <row r="24" spans="1:38" x14ac:dyDescent="0.2">
      <c r="A24">
        <v>36</v>
      </c>
      <c r="B24">
        <v>728</v>
      </c>
      <c r="C24">
        <v>280</v>
      </c>
      <c r="D24">
        <v>0.27492433701243602</v>
      </c>
      <c r="E24">
        <v>20.603758610964601</v>
      </c>
      <c r="F24">
        <v>2.5829579632135</v>
      </c>
      <c r="G24">
        <v>-332.50516202439707</v>
      </c>
      <c r="H24">
        <v>-289.84961064125923</v>
      </c>
      <c r="I24">
        <v>42.606553846214602</v>
      </c>
      <c r="J24">
        <v>25.577975571055099</v>
      </c>
      <c r="K24">
        <v>7.9768075610998901</v>
      </c>
      <c r="L24">
        <v>3.2993292866872247E-5</v>
      </c>
      <c r="M24">
        <v>1.8023071327974999E-6</v>
      </c>
      <c r="N24" s="1">
        <v>-7.5686912396439701E-7</v>
      </c>
      <c r="O24" s="1">
        <v>6.6151890906472302E-11</v>
      </c>
      <c r="P24" s="1">
        <v>2.3447203158974699E-9</v>
      </c>
      <c r="Q24">
        <v>64.609280302154104</v>
      </c>
      <c r="S24">
        <v>21.845204124388999</v>
      </c>
      <c r="AA24">
        <v>2.9468247865555601</v>
      </c>
      <c r="AB24">
        <v>8.9132824812145408</v>
      </c>
      <c r="AC24">
        <v>1.68540830568663</v>
      </c>
      <c r="AJ24">
        <v>0.76505101035593603</v>
      </c>
      <c r="AK24">
        <v>0.13977124288613699</v>
      </c>
      <c r="AL24">
        <v>9.5177746757925896E-2</v>
      </c>
    </row>
    <row r="25" spans="1:38" x14ac:dyDescent="0.2">
      <c r="A25">
        <v>37</v>
      </c>
      <c r="B25">
        <v>726</v>
      </c>
      <c r="C25">
        <v>280</v>
      </c>
      <c r="D25">
        <v>0.273332832907971</v>
      </c>
      <c r="E25">
        <v>35.1961790125156</v>
      </c>
      <c r="F25">
        <v>2.5264888336949101</v>
      </c>
      <c r="G25">
        <v>-551.93404355761254</v>
      </c>
      <c r="H25">
        <v>-480.58041825385732</v>
      </c>
      <c r="I25">
        <v>71.414327482114999</v>
      </c>
      <c r="J25">
        <v>42.036769648016097</v>
      </c>
      <c r="K25">
        <v>13.930866641133001</v>
      </c>
      <c r="L25">
        <v>2.8957604423689305E-5</v>
      </c>
      <c r="M25">
        <v>1.7908559497812579E-6</v>
      </c>
      <c r="N25" s="1">
        <v>-5.7934685737688195E-7</v>
      </c>
      <c r="O25" s="1">
        <v>1.3091881009308299E-10</v>
      </c>
      <c r="P25" s="1">
        <v>1.9381013092408E-9</v>
      </c>
      <c r="Q25">
        <v>65.8785685642586</v>
      </c>
      <c r="S25">
        <v>18.9194764862849</v>
      </c>
      <c r="AA25">
        <v>0.236898464384868</v>
      </c>
      <c r="AB25">
        <v>4.07164794296515</v>
      </c>
      <c r="AC25">
        <v>10.8934085421063</v>
      </c>
      <c r="AJ25">
        <v>0.35811634663847502</v>
      </c>
      <c r="AK25">
        <v>1.15140195300142E-2</v>
      </c>
      <c r="AL25">
        <v>0.63036963383151001</v>
      </c>
    </row>
    <row r="26" spans="1:38" x14ac:dyDescent="0.2">
      <c r="A26">
        <v>37</v>
      </c>
      <c r="B26">
        <v>726</v>
      </c>
      <c r="C26">
        <v>280</v>
      </c>
      <c r="D26">
        <v>0.273332832907971</v>
      </c>
      <c r="E26">
        <v>20.9181705445462</v>
      </c>
      <c r="F26">
        <v>2.58312381919766</v>
      </c>
      <c r="G26">
        <v>-337.50514297174641</v>
      </c>
      <c r="H26">
        <v>-294.33620184899263</v>
      </c>
      <c r="I26">
        <v>43.205665938801602</v>
      </c>
      <c r="J26">
        <v>26.020221677821301</v>
      </c>
      <c r="K26">
        <v>8.0980131068759693</v>
      </c>
      <c r="L26">
        <v>3.3206629570008315E-5</v>
      </c>
      <c r="M26">
        <v>1.8033390180774877E-6</v>
      </c>
      <c r="N26" s="1">
        <v>-8.1998403532032498E-7</v>
      </c>
      <c r="O26" s="1">
        <v>6.6753279166748795E-11</v>
      </c>
      <c r="P26" s="1">
        <v>2.5250814460695398E-9</v>
      </c>
      <c r="Q26">
        <v>64.619369658310006</v>
      </c>
      <c r="S26">
        <v>21.8413540594997</v>
      </c>
      <c r="AA26">
        <v>2.9412942302717302</v>
      </c>
      <c r="AB26">
        <v>8.9256726247882394</v>
      </c>
      <c r="AC26">
        <v>1.6723094271302399</v>
      </c>
      <c r="AJ26">
        <v>0.76606741959288804</v>
      </c>
      <c r="AK26">
        <v>0.13950035089176099</v>
      </c>
      <c r="AL26">
        <v>9.4432229515349506E-2</v>
      </c>
    </row>
    <row r="27" spans="1:38" x14ac:dyDescent="0.2">
      <c r="A27">
        <v>47</v>
      </c>
      <c r="B27">
        <v>742</v>
      </c>
      <c r="C27">
        <v>260</v>
      </c>
      <c r="D27">
        <v>0.30756095158350699</v>
      </c>
      <c r="E27">
        <v>1.22048489170852</v>
      </c>
      <c r="F27">
        <v>2.58282857974875</v>
      </c>
      <c r="G27">
        <v>-19.742629039266681</v>
      </c>
      <c r="H27">
        <v>-17.16017612982877</v>
      </c>
      <c r="I27">
        <v>2.5439126330472401</v>
      </c>
      <c r="J27">
        <v>1.49802849761611</v>
      </c>
      <c r="K27">
        <v>0.47253809303413002</v>
      </c>
      <c r="L27">
        <v>3.1682915466451654E-5</v>
      </c>
      <c r="M27">
        <v>1.7930242118819761E-6</v>
      </c>
      <c r="N27" s="1">
        <v>-2.7676778194190501E-8</v>
      </c>
      <c r="O27" s="1">
        <v>4.0408096790186101E-12</v>
      </c>
      <c r="P27" s="1">
        <v>9.0348300133759297E-11</v>
      </c>
      <c r="Q27">
        <v>64.352528785170705</v>
      </c>
      <c r="S27">
        <v>22.018747347495001</v>
      </c>
      <c r="AA27">
        <v>3.1499091790284202</v>
      </c>
      <c r="AB27">
        <v>8.7960916136137293</v>
      </c>
      <c r="AC27">
        <v>1.68272307469211</v>
      </c>
      <c r="AJ27">
        <v>0.75542878309542205</v>
      </c>
      <c r="AK27">
        <v>0.14949015991862399</v>
      </c>
      <c r="AL27">
        <v>9.5081056985953705E-2</v>
      </c>
    </row>
    <row r="28" spans="1:38" x14ac:dyDescent="0.2">
      <c r="A28">
        <v>48</v>
      </c>
      <c r="B28">
        <v>740</v>
      </c>
      <c r="C28">
        <v>260</v>
      </c>
      <c r="D28">
        <v>0.30605586537038199</v>
      </c>
      <c r="E28">
        <v>14.622642049598401</v>
      </c>
      <c r="F28">
        <v>2.58122004270419</v>
      </c>
      <c r="G28">
        <v>-236.4104938842552</v>
      </c>
      <c r="H28">
        <v>-205.55799361500792</v>
      </c>
      <c r="I28">
        <v>30.452055736314701</v>
      </c>
      <c r="J28">
        <v>17.972555729415799</v>
      </c>
      <c r="K28">
        <v>5.6650118190927801</v>
      </c>
      <c r="L28">
        <v>3.1891818936713781E-5</v>
      </c>
      <c r="M28">
        <v>1.7974599641289525E-6</v>
      </c>
      <c r="N28" s="1">
        <v>-3.55241059364932E-7</v>
      </c>
      <c r="O28" s="1">
        <v>4.8395820278057299E-11</v>
      </c>
      <c r="P28" s="1">
        <v>1.1497051008155801E-9</v>
      </c>
      <c r="Q28">
        <v>64.530620147218798</v>
      </c>
      <c r="S28">
        <v>21.881417260344701</v>
      </c>
      <c r="AA28">
        <v>2.9950552663128001</v>
      </c>
      <c r="AB28">
        <v>8.83292998746699</v>
      </c>
      <c r="AC28">
        <v>1.75997733865655</v>
      </c>
      <c r="AJ28">
        <v>0.758456164353986</v>
      </c>
      <c r="AK28">
        <v>0.142115461027636</v>
      </c>
      <c r="AL28">
        <v>9.9428374618376697E-2</v>
      </c>
    </row>
    <row r="29" spans="1:38" x14ac:dyDescent="0.2">
      <c r="A29">
        <v>48</v>
      </c>
      <c r="B29">
        <v>740</v>
      </c>
      <c r="C29">
        <v>260</v>
      </c>
      <c r="D29">
        <v>0.30605586537038199</v>
      </c>
      <c r="E29">
        <v>24.541151347801701</v>
      </c>
      <c r="F29">
        <v>2.5252107678846598</v>
      </c>
      <c r="G29">
        <v>-386.03361708614676</v>
      </c>
      <c r="H29">
        <v>-335.11778026962423</v>
      </c>
      <c r="I29">
        <v>50.254983779817898</v>
      </c>
      <c r="J29">
        <v>29.204040206263102</v>
      </c>
      <c r="K29">
        <v>9.7184566373283499</v>
      </c>
      <c r="L29">
        <v>2.8577621684863302E-5</v>
      </c>
      <c r="M29">
        <v>1.790835671306793E-6</v>
      </c>
      <c r="N29" s="1">
        <v>-2.5205721266333098E-7</v>
      </c>
      <c r="O29" s="1">
        <v>9.2357429365291205E-11</v>
      </c>
      <c r="P29" s="1">
        <v>9.2267905716121903E-10</v>
      </c>
      <c r="Q29">
        <v>65.8924180645473</v>
      </c>
      <c r="S29">
        <v>18.965728533697298</v>
      </c>
      <c r="AA29">
        <v>0.27182528552558299</v>
      </c>
      <c r="AB29">
        <v>4.2237665672458604</v>
      </c>
      <c r="AC29">
        <v>10.6462615489838</v>
      </c>
      <c r="AJ29">
        <v>0.37120794940690799</v>
      </c>
      <c r="AK29">
        <v>1.32013395917691E-2</v>
      </c>
      <c r="AL29">
        <v>0.61559071100132201</v>
      </c>
    </row>
    <row r="30" spans="1:38" x14ac:dyDescent="0.2">
      <c r="A30">
        <v>49</v>
      </c>
      <c r="B30">
        <v>738</v>
      </c>
      <c r="C30">
        <v>260</v>
      </c>
      <c r="D30">
        <v>0.30454482519902998</v>
      </c>
      <c r="E30">
        <v>17.917345310333001</v>
      </c>
      <c r="F30">
        <v>2.58118732627034</v>
      </c>
      <c r="G30">
        <v>-289.60624648927973</v>
      </c>
      <c r="H30">
        <v>-251.91875121834707</v>
      </c>
      <c r="I30">
        <v>37.271913436119902</v>
      </c>
      <c r="J30">
        <v>22.051636223089599</v>
      </c>
      <c r="K30">
        <v>6.9415129727227098</v>
      </c>
      <c r="L30">
        <v>3.2047943015414962E-5</v>
      </c>
      <c r="M30">
        <v>1.7987516970751442E-6</v>
      </c>
      <c r="N30" s="1">
        <v>-4.6520626973938998E-7</v>
      </c>
      <c r="O30" s="1">
        <v>5.9081201224923404E-11</v>
      </c>
      <c r="P30" s="1">
        <v>1.4937698481858E-9</v>
      </c>
      <c r="Q30">
        <v>64.561031767195701</v>
      </c>
      <c r="S30">
        <v>21.8623904916439</v>
      </c>
      <c r="AA30">
        <v>2.9722618515479202</v>
      </c>
      <c r="AB30">
        <v>8.8508195041815299</v>
      </c>
      <c r="AC30">
        <v>1.7534963854308701</v>
      </c>
      <c r="AJ30">
        <v>0.75992507888365801</v>
      </c>
      <c r="AK30">
        <v>0.14102144186371099</v>
      </c>
      <c r="AL30">
        <v>9.9053479252630805E-2</v>
      </c>
    </row>
    <row r="31" spans="1:38" x14ac:dyDescent="0.2">
      <c r="A31">
        <v>49</v>
      </c>
      <c r="B31">
        <v>738</v>
      </c>
      <c r="C31">
        <v>260</v>
      </c>
      <c r="D31">
        <v>0.30454482519902998</v>
      </c>
      <c r="E31">
        <v>30.717854914751101</v>
      </c>
      <c r="F31">
        <v>2.52527027566232</v>
      </c>
      <c r="G31">
        <v>-483.0420531484001</v>
      </c>
      <c r="H31">
        <v>-419.51401954675805</v>
      </c>
      <c r="I31">
        <v>62.827506899710301</v>
      </c>
      <c r="J31">
        <v>36.571010860255399</v>
      </c>
      <c r="K31">
        <v>12.164185042210701</v>
      </c>
      <c r="L31">
        <v>2.8626899244413535E-5</v>
      </c>
      <c r="M31">
        <v>1.7911337024412381E-6</v>
      </c>
      <c r="N31" s="1">
        <v>-3.3823034479638902E-7</v>
      </c>
      <c r="O31" s="1">
        <v>1.15435320155145E-10</v>
      </c>
      <c r="P31" s="1">
        <v>1.2195720642814501E-9</v>
      </c>
      <c r="Q31">
        <v>65.894986583749699</v>
      </c>
      <c r="S31">
        <v>18.9601733928546</v>
      </c>
      <c r="AA31">
        <v>0.26664290860828399</v>
      </c>
      <c r="AB31">
        <v>4.2149268506332396</v>
      </c>
      <c r="AC31">
        <v>10.663270264154001</v>
      </c>
      <c r="AJ31">
        <v>0.37044776826410403</v>
      </c>
      <c r="AK31">
        <v>1.29502385744002E-2</v>
      </c>
      <c r="AL31">
        <v>0.616601993161495</v>
      </c>
    </row>
    <row r="32" spans="1:38" x14ac:dyDescent="0.2">
      <c r="A32">
        <v>50</v>
      </c>
      <c r="B32">
        <v>736</v>
      </c>
      <c r="C32">
        <v>260</v>
      </c>
      <c r="D32">
        <v>0.30302779566962401</v>
      </c>
      <c r="E32">
        <v>19.114123990389299</v>
      </c>
      <c r="F32">
        <v>2.58131886319967</v>
      </c>
      <c r="G32">
        <v>-308.88125992928354</v>
      </c>
      <c r="H32">
        <v>-268.80189995328664</v>
      </c>
      <c r="I32">
        <v>39.715958951589798</v>
      </c>
      <c r="J32">
        <v>23.557649858142099</v>
      </c>
      <c r="K32">
        <v>7.4047899555874404</v>
      </c>
      <c r="L32">
        <v>3.2204065486476795E-5</v>
      </c>
      <c r="M32">
        <v>1.7996835290786283E-6</v>
      </c>
      <c r="N32" s="1">
        <v>-5.3014255491459897E-7</v>
      </c>
      <c r="O32" s="1">
        <v>6.2757594780194006E-11</v>
      </c>
      <c r="P32" s="1">
        <v>1.6895763213218799E-9</v>
      </c>
      <c r="Q32">
        <v>64.574222812087299</v>
      </c>
      <c r="S32">
        <v>21.856271276451</v>
      </c>
      <c r="AA32">
        <v>2.9641354863657599</v>
      </c>
      <c r="AB32">
        <v>8.8641727222664102</v>
      </c>
      <c r="AC32">
        <v>1.7411977028294801</v>
      </c>
      <c r="AJ32">
        <v>0.76102120181192301</v>
      </c>
      <c r="AK32">
        <v>0.14062657108260301</v>
      </c>
      <c r="AL32">
        <v>9.8352227105473006E-2</v>
      </c>
    </row>
    <row r="33" spans="1:38" x14ac:dyDescent="0.2">
      <c r="A33">
        <v>50</v>
      </c>
      <c r="B33">
        <v>736</v>
      </c>
      <c r="C33">
        <v>260</v>
      </c>
      <c r="D33">
        <v>0.30302779566962401</v>
      </c>
      <c r="E33">
        <v>32.873833014977201</v>
      </c>
      <c r="F33">
        <v>2.5253273463481598</v>
      </c>
      <c r="G33">
        <v>-516.76594349663856</v>
      </c>
      <c r="H33">
        <v>-448.99893253086856</v>
      </c>
      <c r="I33">
        <v>67.152564996056</v>
      </c>
      <c r="J33">
        <v>39.154953644772</v>
      </c>
      <c r="K33">
        <v>13.0176521719116</v>
      </c>
      <c r="L33">
        <v>2.8672758984241073E-5</v>
      </c>
      <c r="M33">
        <v>1.7913463422443871E-6</v>
      </c>
      <c r="N33" s="1">
        <v>-3.870297500286E-7</v>
      </c>
      <c r="O33" s="1">
        <v>1.2335845993382699E-10</v>
      </c>
      <c r="P33" s="1">
        <v>1.37625657145342E-9</v>
      </c>
      <c r="Q33">
        <v>65.894582925112203</v>
      </c>
      <c r="S33">
        <v>18.9541388825007</v>
      </c>
      <c r="AA33">
        <v>0.26175856400261299</v>
      </c>
      <c r="AB33">
        <v>4.1982070655702097</v>
      </c>
      <c r="AC33">
        <v>10.691312562814201</v>
      </c>
      <c r="AJ33">
        <v>0.36900970462145899</v>
      </c>
      <c r="AK33">
        <v>1.27140999852205E-2</v>
      </c>
      <c r="AL33">
        <v>0.61827619539331902</v>
      </c>
    </row>
    <row r="34" spans="1:38" x14ac:dyDescent="0.2">
      <c r="A34">
        <v>51</v>
      </c>
      <c r="B34">
        <v>734</v>
      </c>
      <c r="C34">
        <v>260</v>
      </c>
      <c r="D34">
        <v>0.30150474110112602</v>
      </c>
      <c r="E34">
        <v>19.781939019375098</v>
      </c>
      <c r="F34">
        <v>2.5814840075833798</v>
      </c>
      <c r="G34">
        <v>-319.60300406278907</v>
      </c>
      <c r="H34">
        <v>-278.25339700428322</v>
      </c>
      <c r="I34">
        <v>41.0560562562735</v>
      </c>
      <c r="J34">
        <v>24.417262714773099</v>
      </c>
      <c r="K34">
        <v>7.6630104859311903</v>
      </c>
      <c r="L34">
        <v>3.2368008943304402E-5</v>
      </c>
      <c r="M34">
        <v>1.8005654031050699E-6</v>
      </c>
      <c r="N34" s="1">
        <v>-5.86059942744522E-7</v>
      </c>
      <c r="O34" s="1">
        <v>6.4648511177330596E-11</v>
      </c>
      <c r="P34" s="1">
        <v>1.8544500851581301E-9</v>
      </c>
      <c r="Q34">
        <v>64.583943971879805</v>
      </c>
      <c r="S34">
        <v>21.8527403924287</v>
      </c>
      <c r="AA34">
        <v>2.9589541711531702</v>
      </c>
      <c r="AB34">
        <v>8.8765791341255404</v>
      </c>
      <c r="AC34">
        <v>1.72778233041273</v>
      </c>
      <c r="AJ34">
        <v>0.76203943566587595</v>
      </c>
      <c r="AK34">
        <v>0.14037211602998501</v>
      </c>
      <c r="AL34">
        <v>9.7588448304137307E-2</v>
      </c>
    </row>
    <row r="35" spans="1:38" x14ac:dyDescent="0.2">
      <c r="A35">
        <v>51</v>
      </c>
      <c r="B35">
        <v>734</v>
      </c>
      <c r="C35">
        <v>260</v>
      </c>
      <c r="D35">
        <v>0.30150474110112602</v>
      </c>
      <c r="E35">
        <v>33.995487127408502</v>
      </c>
      <c r="F35">
        <v>2.5253854160712699</v>
      </c>
      <c r="G35">
        <v>-534.20935181981554</v>
      </c>
      <c r="H35">
        <v>-464.35796315135474</v>
      </c>
      <c r="I35">
        <v>69.355496865869796</v>
      </c>
      <c r="J35">
        <v>40.509801457289001</v>
      </c>
      <c r="K35">
        <v>13.461504493953599</v>
      </c>
      <c r="L35">
        <v>2.8720796312585468E-5</v>
      </c>
      <c r="M35">
        <v>1.7915488960905504E-6</v>
      </c>
      <c r="N35" s="1">
        <v>-4.2760040388483499E-7</v>
      </c>
      <c r="O35" s="1">
        <v>1.2737260593759999E-10</v>
      </c>
      <c r="P35" s="1">
        <v>1.50066744584239E-9</v>
      </c>
      <c r="Q35">
        <v>65.893505544155204</v>
      </c>
      <c r="S35">
        <v>18.9480592632008</v>
      </c>
      <c r="AA35">
        <v>0.256994207947433</v>
      </c>
      <c r="AB35">
        <v>4.1798676674752002</v>
      </c>
      <c r="AC35">
        <v>10.721573317221299</v>
      </c>
      <c r="AJ35">
        <v>0.36743205199923601</v>
      </c>
      <c r="AK35">
        <v>1.24838525807855E-2</v>
      </c>
      <c r="AL35">
        <v>0.620084095419977</v>
      </c>
    </row>
    <row r="36" spans="1:38" x14ac:dyDescent="0.2">
      <c r="A36">
        <v>52</v>
      </c>
      <c r="B36">
        <v>732</v>
      </c>
      <c r="C36">
        <v>260</v>
      </c>
      <c r="D36">
        <v>0.29997562552852802</v>
      </c>
      <c r="E36">
        <v>20.233126880608001</v>
      </c>
      <c r="F36">
        <v>2.58166170404093</v>
      </c>
      <c r="G36">
        <v>-326.82143465841352</v>
      </c>
      <c r="H36">
        <v>-284.66182695580255</v>
      </c>
      <c r="I36">
        <v>41.943598172024998</v>
      </c>
      <c r="J36">
        <v>25.014179985810902</v>
      </c>
      <c r="K36">
        <v>7.8372494928123899</v>
      </c>
      <c r="L36">
        <v>3.2541588524945458E-5</v>
      </c>
      <c r="M36">
        <v>1.8014488028092549E-6</v>
      </c>
      <c r="N36" s="1">
        <v>-6.4023464105153297E-7</v>
      </c>
      <c r="O36" s="1">
        <v>6.57933828012618E-11</v>
      </c>
      <c r="P36" s="1">
        <v>2.0120151563130201E-9</v>
      </c>
      <c r="Q36">
        <v>64.592411937234203</v>
      </c>
      <c r="S36">
        <v>21.8501332736442</v>
      </c>
      <c r="AA36">
        <v>2.95482738751021</v>
      </c>
      <c r="AB36">
        <v>8.8886146400416202</v>
      </c>
      <c r="AC36">
        <v>1.7140127615696601</v>
      </c>
      <c r="AJ36">
        <v>0.76302709358851695</v>
      </c>
      <c r="AK36">
        <v>0.14016797113067</v>
      </c>
      <c r="AL36">
        <v>9.6804935280811993E-2</v>
      </c>
    </row>
    <row r="37" spans="1:38" x14ac:dyDescent="0.2">
      <c r="A37">
        <v>52</v>
      </c>
      <c r="B37">
        <v>732</v>
      </c>
      <c r="C37">
        <v>260</v>
      </c>
      <c r="D37">
        <v>0.29997562552852802</v>
      </c>
      <c r="E37">
        <v>34.688533462664999</v>
      </c>
      <c r="F37">
        <v>2.5254450560900499</v>
      </c>
      <c r="G37">
        <v>-544.90639500734312</v>
      </c>
      <c r="H37">
        <v>-473.86355627769717</v>
      </c>
      <c r="I37">
        <v>70.678842689793498</v>
      </c>
      <c r="J37">
        <v>41.3564809574086</v>
      </c>
      <c r="K37">
        <v>13.735612017776599</v>
      </c>
      <c r="L37">
        <v>2.8772106663164265E-5</v>
      </c>
      <c r="M37">
        <v>1.7917541099264328E-6</v>
      </c>
      <c r="N37" s="1">
        <v>-4.65886969567569E-7</v>
      </c>
      <c r="O37" s="1">
        <v>1.2975843196963601E-10</v>
      </c>
      <c r="P37" s="1">
        <v>1.6147665684574E-9</v>
      </c>
      <c r="Q37">
        <v>65.892127624728403</v>
      </c>
      <c r="S37">
        <v>18.942004109219098</v>
      </c>
      <c r="AA37">
        <v>0.25232016257363099</v>
      </c>
      <c r="AB37">
        <v>4.1609226745271597</v>
      </c>
      <c r="AC37">
        <v>10.7526254289515</v>
      </c>
      <c r="AJ37">
        <v>0.36580199130913499</v>
      </c>
      <c r="AK37">
        <v>1.2257987280977699E-2</v>
      </c>
      <c r="AL37">
        <v>0.62194002140988602</v>
      </c>
    </row>
    <row r="38" spans="1:38" x14ac:dyDescent="0.2">
      <c r="A38">
        <v>53</v>
      </c>
      <c r="B38">
        <v>730</v>
      </c>
      <c r="C38">
        <v>260</v>
      </c>
      <c r="D38">
        <v>0.29844041269999899</v>
      </c>
      <c r="E38">
        <v>20.572360340725499</v>
      </c>
      <c r="F38">
        <v>2.5818452938180898</v>
      </c>
      <c r="G38">
        <v>-332.22896401298777</v>
      </c>
      <c r="H38">
        <v>-289.49787058154988</v>
      </c>
      <c r="I38">
        <v>42.596913154999697</v>
      </c>
      <c r="J38">
        <v>25.477134079726699</v>
      </c>
      <c r="K38">
        <v>7.9680840637444197</v>
      </c>
      <c r="L38">
        <v>3.2725861163521131E-5</v>
      </c>
      <c r="M38">
        <v>1.8023514458324935E-6</v>
      </c>
      <c r="N38" s="1">
        <v>-6.9518369617412199E-7</v>
      </c>
      <c r="O38" s="1">
        <v>6.6540181617194305E-11</v>
      </c>
      <c r="P38" s="1">
        <v>2.1703744101601999E-9</v>
      </c>
      <c r="Q38">
        <v>64.600332064185096</v>
      </c>
      <c r="S38">
        <v>21.847920336358399</v>
      </c>
      <c r="AA38">
        <v>2.9511536382418702</v>
      </c>
      <c r="AB38">
        <v>8.9004627154953493</v>
      </c>
      <c r="AC38">
        <v>1.70013124571913</v>
      </c>
      <c r="AJ38">
        <v>0.76399924899684102</v>
      </c>
      <c r="AK38">
        <v>0.139985468906525</v>
      </c>
      <c r="AL38">
        <v>9.6015282096633597E-2</v>
      </c>
    </row>
    <row r="39" spans="1:38" x14ac:dyDescent="0.2">
      <c r="A39">
        <v>53</v>
      </c>
      <c r="B39">
        <v>730</v>
      </c>
      <c r="C39">
        <v>260</v>
      </c>
      <c r="D39">
        <v>0.29844041269999899</v>
      </c>
      <c r="E39">
        <v>35.1575978315322</v>
      </c>
      <c r="F39">
        <v>2.5255064506921898</v>
      </c>
      <c r="G39">
        <v>-552.07816764422171</v>
      </c>
      <c r="H39">
        <v>-480.31035435677637</v>
      </c>
      <c r="I39">
        <v>71.542454555595199</v>
      </c>
      <c r="J39">
        <v>41.938607814496002</v>
      </c>
      <c r="K39">
        <v>13.921008921555501</v>
      </c>
      <c r="L39">
        <v>2.8827199724982785E-5</v>
      </c>
      <c r="M39">
        <v>1.7919665011253584E-6</v>
      </c>
      <c r="N39" s="1">
        <v>-5.0390801020232102E-7</v>
      </c>
      <c r="O39" s="1">
        <v>1.3128641911760999E-10</v>
      </c>
      <c r="P39" s="1">
        <v>1.72597808731614E-9</v>
      </c>
      <c r="Q39">
        <v>65.890568837100304</v>
      </c>
      <c r="S39">
        <v>18.935994935514099</v>
      </c>
      <c r="AA39">
        <v>0.247726254520968</v>
      </c>
      <c r="AB39">
        <v>4.1416951697629996</v>
      </c>
      <c r="AC39">
        <v>10.784014803101501</v>
      </c>
      <c r="AJ39">
        <v>0.36414729984328598</v>
      </c>
      <c r="AK39">
        <v>1.2035989196461599E-2</v>
      </c>
      <c r="AL39">
        <v>0.62381671096025204</v>
      </c>
    </row>
    <row r="40" spans="1:38" x14ac:dyDescent="0.2">
      <c r="A40">
        <v>54</v>
      </c>
      <c r="B40">
        <v>728</v>
      </c>
      <c r="C40">
        <v>260</v>
      </c>
      <c r="D40">
        <v>0.29689906607401501</v>
      </c>
      <c r="E40">
        <v>20.8454031347819</v>
      </c>
      <c r="F40">
        <v>2.5820320861128199</v>
      </c>
      <c r="G40">
        <v>-336.56554894531666</v>
      </c>
      <c r="H40">
        <v>-293.40450616190515</v>
      </c>
      <c r="I40">
        <v>43.111464599122399</v>
      </c>
      <c r="J40">
        <v>25.862540479966999</v>
      </c>
      <c r="K40">
        <v>8.0732548781623006</v>
      </c>
      <c r="L40">
        <v>3.2921692180790019E-5</v>
      </c>
      <c r="M40">
        <v>1.8032817980937424E-6</v>
      </c>
      <c r="N40" s="1">
        <v>-7.5206025052140604E-7</v>
      </c>
      <c r="O40" s="1">
        <v>6.7040827836772303E-11</v>
      </c>
      <c r="P40" s="1">
        <v>2.33318245183647E-9</v>
      </c>
      <c r="Q40">
        <v>64.607993694038697</v>
      </c>
      <c r="S40">
        <v>21.845884479028701</v>
      </c>
      <c r="AA40">
        <v>2.94768629851422</v>
      </c>
      <c r="AB40">
        <v>8.9121989821545693</v>
      </c>
      <c r="AC40">
        <v>1.6862365462636799</v>
      </c>
      <c r="AJ40">
        <v>0.76496211478284704</v>
      </c>
      <c r="AK40">
        <v>0.13981285547973701</v>
      </c>
      <c r="AL40">
        <v>9.5225029737415201E-2</v>
      </c>
    </row>
    <row r="41" spans="1:38" x14ac:dyDescent="0.2">
      <c r="A41">
        <v>54</v>
      </c>
      <c r="B41">
        <v>728</v>
      </c>
      <c r="C41">
        <v>260</v>
      </c>
      <c r="D41">
        <v>0.29689906607401501</v>
      </c>
      <c r="E41">
        <v>35.492904165465298</v>
      </c>
      <c r="F41">
        <v>2.5255696782208799</v>
      </c>
      <c r="G41">
        <v>-557.14500326608538</v>
      </c>
      <c r="H41">
        <v>-484.93056151182873</v>
      </c>
      <c r="I41">
        <v>72.131490540135502</v>
      </c>
      <c r="J41">
        <v>42.363655431939797</v>
      </c>
      <c r="K41">
        <v>14.0534250436788</v>
      </c>
      <c r="L41">
        <v>2.8886426002616068E-5</v>
      </c>
      <c r="M41">
        <v>1.7921883216786534E-6</v>
      </c>
      <c r="N41" s="1">
        <v>-5.4254916343162198E-7</v>
      </c>
      <c r="O41" s="1">
        <v>1.32296449434889E-10</v>
      </c>
      <c r="P41" s="1">
        <v>1.8375388825243199E-9</v>
      </c>
      <c r="Q41">
        <v>65.888878957369499</v>
      </c>
      <c r="S41">
        <v>18.930040039285</v>
      </c>
      <c r="AA41">
        <v>0.24320771449175899</v>
      </c>
      <c r="AB41">
        <v>4.1223178287367999</v>
      </c>
      <c r="AC41">
        <v>10.8155554601168</v>
      </c>
      <c r="AJ41">
        <v>0.36247938477230202</v>
      </c>
      <c r="AK41">
        <v>1.18176187843039E-2</v>
      </c>
      <c r="AL41">
        <v>0.625702996443393</v>
      </c>
    </row>
    <row r="42" spans="1:38" x14ac:dyDescent="0.2">
      <c r="A42">
        <v>62</v>
      </c>
      <c r="B42">
        <v>746</v>
      </c>
      <c r="C42">
        <v>240</v>
      </c>
      <c r="D42">
        <v>0.33214001864298798</v>
      </c>
      <c r="E42">
        <v>1.47508363566072</v>
      </c>
      <c r="F42">
        <v>2.5814030756261999</v>
      </c>
      <c r="G42">
        <v>-23.886457916197948</v>
      </c>
      <c r="H42">
        <v>-20.745117383407202</v>
      </c>
      <c r="I42">
        <v>3.0823142155627199</v>
      </c>
      <c r="J42">
        <v>1.80666017383372</v>
      </c>
      <c r="K42">
        <v>0.57142708536631504</v>
      </c>
      <c r="L42">
        <v>3.1454018035128174E-5</v>
      </c>
      <c r="M42">
        <v>1.7942637577993342E-6</v>
      </c>
      <c r="N42" s="1">
        <v>-2.9045191461171199E-8</v>
      </c>
      <c r="O42" s="1">
        <v>4.9227266295328201E-12</v>
      </c>
      <c r="P42" s="1">
        <v>9.6608202391944501E-11</v>
      </c>
      <c r="Q42">
        <v>64.393967765559296</v>
      </c>
      <c r="S42">
        <v>21.9968792781338</v>
      </c>
      <c r="AA42">
        <v>3.1221985783277999</v>
      </c>
      <c r="AB42">
        <v>8.83110617266715</v>
      </c>
      <c r="AC42">
        <v>1.65584820531184</v>
      </c>
      <c r="AJ42">
        <v>0.75830436318155103</v>
      </c>
      <c r="AK42">
        <v>0.14814935352283501</v>
      </c>
      <c r="AL42">
        <v>9.3546283295613597E-2</v>
      </c>
    </row>
    <row r="43" spans="1:38" x14ac:dyDescent="0.2">
      <c r="A43">
        <v>63</v>
      </c>
      <c r="B43">
        <v>744</v>
      </c>
      <c r="C43">
        <v>240</v>
      </c>
      <c r="D43">
        <v>0.33068918055350899</v>
      </c>
      <c r="E43">
        <v>10.379025682063199</v>
      </c>
      <c r="F43">
        <v>2.5794562350334602</v>
      </c>
      <c r="G43">
        <v>-167.94434898912255</v>
      </c>
      <c r="H43">
        <v>-145.90449007940765</v>
      </c>
      <c r="I43">
        <v>21.6682484488176</v>
      </c>
      <c r="J43">
        <v>12.7233347080666</v>
      </c>
      <c r="K43">
        <v>4.0237262183781697</v>
      </c>
      <c r="L43">
        <v>3.1606053985431606E-5</v>
      </c>
      <c r="M43">
        <v>1.7981370174634563E-6</v>
      </c>
      <c r="N43" s="1">
        <v>-2.17550272545693E-7</v>
      </c>
      <c r="O43" s="1">
        <v>3.4672014594204599E-11</v>
      </c>
      <c r="P43" s="1">
        <v>7.17268433477045E-10</v>
      </c>
      <c r="Q43">
        <v>64.564249250054402</v>
      </c>
      <c r="S43">
        <v>21.848328510957099</v>
      </c>
      <c r="AA43">
        <v>2.9599098178589398</v>
      </c>
      <c r="AB43">
        <v>8.8211241816651391</v>
      </c>
      <c r="AC43">
        <v>1.8063882394642601</v>
      </c>
      <c r="AJ43">
        <v>0.75748745955695196</v>
      </c>
      <c r="AK43">
        <v>0.14045615678142301</v>
      </c>
      <c r="AL43">
        <v>0.10205638366162401</v>
      </c>
    </row>
    <row r="44" spans="1:38" x14ac:dyDescent="0.2">
      <c r="A44">
        <v>63</v>
      </c>
      <c r="B44">
        <v>744</v>
      </c>
      <c r="C44">
        <v>240</v>
      </c>
      <c r="D44">
        <v>0.33068918055350899</v>
      </c>
      <c r="E44">
        <v>15.478146080742301</v>
      </c>
      <c r="F44">
        <v>2.5242817635033199</v>
      </c>
      <c r="G44">
        <v>-243.82809865127621</v>
      </c>
      <c r="H44">
        <v>-211.49337627106684</v>
      </c>
      <c r="I44">
        <v>31.7895319079873</v>
      </c>
      <c r="J44">
        <v>18.410897688905099</v>
      </c>
      <c r="K44">
        <v>6.1317030073778103</v>
      </c>
      <c r="L44">
        <v>2.8524472895488207E-5</v>
      </c>
      <c r="M44">
        <v>1.7923677603461198E-6</v>
      </c>
      <c r="N44" s="1">
        <v>-1.3845548556517801E-7</v>
      </c>
      <c r="O44" s="1">
        <v>5.8372257713318095E-11</v>
      </c>
      <c r="P44" s="1">
        <v>5.2347547820218701E-10</v>
      </c>
      <c r="Q44">
        <v>65.911515896185804</v>
      </c>
      <c r="S44">
        <v>18.985035932811101</v>
      </c>
      <c r="AA44">
        <v>0.28329786955771802</v>
      </c>
      <c r="AB44">
        <v>4.3169419179775099</v>
      </c>
      <c r="AC44">
        <v>10.503208383467699</v>
      </c>
      <c r="AJ44">
        <v>0.37921685838492702</v>
      </c>
      <c r="AK44">
        <v>1.37519894148041E-2</v>
      </c>
      <c r="AL44">
        <v>0.60703115220026704</v>
      </c>
    </row>
    <row r="45" spans="1:38" x14ac:dyDescent="0.2">
      <c r="A45">
        <v>64</v>
      </c>
      <c r="B45">
        <v>742</v>
      </c>
      <c r="C45">
        <v>240</v>
      </c>
      <c r="D45">
        <v>0.32923262572033701</v>
      </c>
      <c r="E45">
        <v>16.912383470840201</v>
      </c>
      <c r="F45">
        <v>2.5796565291676798</v>
      </c>
      <c r="G45">
        <v>-273.60287644535339</v>
      </c>
      <c r="H45">
        <v>-237.80090940452217</v>
      </c>
      <c r="I45">
        <v>35.267661962105201</v>
      </c>
      <c r="J45">
        <v>20.755433687159499</v>
      </c>
      <c r="K45">
        <v>6.5560601884844498</v>
      </c>
      <c r="L45">
        <v>3.1730862533740736E-5</v>
      </c>
      <c r="M45">
        <v>1.7988233087212326E-6</v>
      </c>
      <c r="N45" s="1">
        <v>-3.78417641859221E-7</v>
      </c>
      <c r="O45" s="1">
        <v>5.6297079442995901E-11</v>
      </c>
      <c r="P45" s="1">
        <v>1.2369976155257701E-9</v>
      </c>
      <c r="Q45">
        <v>64.570028829825006</v>
      </c>
      <c r="S45">
        <v>21.847824709872299</v>
      </c>
      <c r="AA45">
        <v>2.95814559087792</v>
      </c>
      <c r="AB45">
        <v>8.8326828852528294</v>
      </c>
      <c r="AC45">
        <v>1.7913179841717899</v>
      </c>
      <c r="AJ45">
        <v>0.758436479132095</v>
      </c>
      <c r="AK45">
        <v>0.140364379489129</v>
      </c>
      <c r="AL45">
        <v>0.101199141378774</v>
      </c>
    </row>
    <row r="46" spans="1:38" x14ac:dyDescent="0.2">
      <c r="A46">
        <v>64</v>
      </c>
      <c r="B46">
        <v>742</v>
      </c>
      <c r="C46">
        <v>240</v>
      </c>
      <c r="D46">
        <v>0.32923262572033701</v>
      </c>
      <c r="E46">
        <v>28.824752704176301</v>
      </c>
      <c r="F46">
        <v>2.52432969399436</v>
      </c>
      <c r="G46">
        <v>-453.91371825301314</v>
      </c>
      <c r="H46">
        <v>-393.89146428668602</v>
      </c>
      <c r="I46">
        <v>59.126487678005198</v>
      </c>
      <c r="J46">
        <v>34.2968609340803</v>
      </c>
      <c r="K46">
        <v>11.4187749614296</v>
      </c>
      <c r="L46">
        <v>2.8557647305807355E-5</v>
      </c>
      <c r="M46">
        <v>1.7925164296411611E-6</v>
      </c>
      <c r="N46" s="1">
        <v>-2.7564676465130002E-7</v>
      </c>
      <c r="O46" s="1">
        <v>1.08583850873926E-10</v>
      </c>
      <c r="P46" s="1">
        <v>1.0256467320967599E-9</v>
      </c>
      <c r="Q46">
        <v>65.910194544482707</v>
      </c>
      <c r="S46">
        <v>18.9785352545012</v>
      </c>
      <c r="AA46">
        <v>0.27824306274632399</v>
      </c>
      <c r="AB46">
        <v>4.2969549832198899</v>
      </c>
      <c r="AC46">
        <v>10.5360721550497</v>
      </c>
      <c r="AJ46">
        <v>0.377499538050379</v>
      </c>
      <c r="AK46">
        <v>1.35079907993695E-2</v>
      </c>
      <c r="AL46">
        <v>0.60899247115025101</v>
      </c>
    </row>
    <row r="47" spans="1:38" x14ac:dyDescent="0.2">
      <c r="A47">
        <v>65</v>
      </c>
      <c r="B47">
        <v>740</v>
      </c>
      <c r="C47">
        <v>240</v>
      </c>
      <c r="D47">
        <v>0.32777032028821201</v>
      </c>
      <c r="E47">
        <v>18.554855005976599</v>
      </c>
      <c r="F47">
        <v>2.57990629768311</v>
      </c>
      <c r="G47">
        <v>-300.11196616389026</v>
      </c>
      <c r="H47">
        <v>-260.95564347663753</v>
      </c>
      <c r="I47">
        <v>38.648100170016903</v>
      </c>
      <c r="J47">
        <v>22.798052766141701</v>
      </c>
      <c r="K47">
        <v>7.1920654725483004</v>
      </c>
      <c r="L47">
        <v>3.1860698828655998E-5</v>
      </c>
      <c r="M47">
        <v>1.7994167677968685E-6</v>
      </c>
      <c r="N47" s="1">
        <v>-4.4319214878901399E-7</v>
      </c>
      <c r="O47" s="1">
        <v>6.15247869791132E-11</v>
      </c>
      <c r="P47" s="1">
        <v>1.4369104847761299E-9</v>
      </c>
      <c r="Q47">
        <v>64.570666561450693</v>
      </c>
      <c r="S47">
        <v>21.851167092456599</v>
      </c>
      <c r="AA47">
        <v>2.9607542847767099</v>
      </c>
      <c r="AB47">
        <v>8.8428665264709299</v>
      </c>
      <c r="AC47">
        <v>1.7745455348449399</v>
      </c>
      <c r="AJ47">
        <v>0.75927244196700605</v>
      </c>
      <c r="AK47">
        <v>0.140481043404318</v>
      </c>
      <c r="AL47">
        <v>0.100246514628674</v>
      </c>
    </row>
    <row r="48" spans="1:38" x14ac:dyDescent="0.2">
      <c r="A48">
        <v>65</v>
      </c>
      <c r="B48">
        <v>740</v>
      </c>
      <c r="C48">
        <v>240</v>
      </c>
      <c r="D48">
        <v>0.32777032028821201</v>
      </c>
      <c r="E48">
        <v>32.132018659916298</v>
      </c>
      <c r="F48">
        <v>2.5243780864224399</v>
      </c>
      <c r="G48">
        <v>-505.80647955858495</v>
      </c>
      <c r="H48">
        <v>-439.11478460660015</v>
      </c>
      <c r="I48">
        <v>65.826081974026295</v>
      </c>
      <c r="J48">
        <v>38.244255368855796</v>
      </c>
      <c r="K48">
        <v>12.7286870507792</v>
      </c>
      <c r="L48">
        <v>2.8591658893696868E-5</v>
      </c>
      <c r="M48">
        <v>1.792643750164632E-6</v>
      </c>
      <c r="N48" s="1">
        <v>-3.2818074588626102E-7</v>
      </c>
      <c r="O48" s="1">
        <v>1.2089973076125199E-10</v>
      </c>
      <c r="P48" s="1">
        <v>1.2028434980382099E-9</v>
      </c>
      <c r="Q48">
        <v>65.907910590973302</v>
      </c>
      <c r="S48">
        <v>18.9719365996962</v>
      </c>
      <c r="AA48">
        <v>0.27333203429511299</v>
      </c>
      <c r="AB48">
        <v>4.2745660838298596</v>
      </c>
      <c r="AC48">
        <v>10.5722546912054</v>
      </c>
      <c r="AJ48">
        <v>0.37557541448791998</v>
      </c>
      <c r="AK48">
        <v>1.3271085391669799E-2</v>
      </c>
      <c r="AL48">
        <v>0.61115350012040903</v>
      </c>
    </row>
    <row r="49" spans="1:38" x14ac:dyDescent="0.2">
      <c r="A49">
        <v>66</v>
      </c>
      <c r="B49">
        <v>738</v>
      </c>
      <c r="C49">
        <v>240</v>
      </c>
      <c r="D49">
        <v>0.326302230134007</v>
      </c>
      <c r="E49">
        <v>19.3525116281468</v>
      </c>
      <c r="F49">
        <v>2.58013280500038</v>
      </c>
      <c r="G49">
        <v>-312.94756090971384</v>
      </c>
      <c r="H49">
        <v>-272.23563480647579</v>
      </c>
      <c r="I49">
        <v>40.262993723224099</v>
      </c>
      <c r="J49">
        <v>23.808338220917999</v>
      </c>
      <c r="K49">
        <v>7.5005874079973802</v>
      </c>
      <c r="L49">
        <v>3.2000024058201657E-5</v>
      </c>
      <c r="M49">
        <v>1.8000886775725668E-6</v>
      </c>
      <c r="N49" s="1">
        <v>-4.93562767327182E-7</v>
      </c>
      <c r="O49" s="1">
        <v>6.3906654721257495E-11</v>
      </c>
      <c r="P49" s="1">
        <v>1.58768413944962E-9</v>
      </c>
      <c r="Q49">
        <v>64.573756830057704</v>
      </c>
      <c r="S49">
        <v>21.8526399918618</v>
      </c>
      <c r="AA49">
        <v>2.96124836993449</v>
      </c>
      <c r="AB49">
        <v>8.8536144216487198</v>
      </c>
      <c r="AC49">
        <v>1.7587403864972</v>
      </c>
      <c r="AJ49">
        <v>0.76015466871433102</v>
      </c>
      <c r="AK49">
        <v>0.140496979580024</v>
      </c>
      <c r="AL49">
        <v>9.9348351705643601E-2</v>
      </c>
    </row>
    <row r="50" spans="1:38" x14ac:dyDescent="0.2">
      <c r="A50">
        <v>66</v>
      </c>
      <c r="B50">
        <v>738</v>
      </c>
      <c r="C50">
        <v>240</v>
      </c>
      <c r="D50">
        <v>0.326302230134007</v>
      </c>
      <c r="E50">
        <v>33.6427314112224</v>
      </c>
      <c r="F50">
        <v>2.52442925054602</v>
      </c>
      <c r="G50">
        <v>-529.39345574964454</v>
      </c>
      <c r="H50">
        <v>-459.79314319708647</v>
      </c>
      <c r="I50">
        <v>68.832826536674204</v>
      </c>
      <c r="J50">
        <v>40.056866807726898</v>
      </c>
      <c r="K50">
        <v>13.326866420972401</v>
      </c>
      <c r="L50">
        <v>2.8629703095300639E-5</v>
      </c>
      <c r="M50">
        <v>1.7927923282424616E-6</v>
      </c>
      <c r="N50" s="1">
        <v>-3.67026826083694E-7</v>
      </c>
      <c r="O50" s="1">
        <v>1.2642169945657699E-10</v>
      </c>
      <c r="P50" s="1">
        <v>1.32594048461399E-9</v>
      </c>
      <c r="Q50">
        <v>65.905953665737798</v>
      </c>
      <c r="S50">
        <v>18.965490500017999</v>
      </c>
      <c r="AA50">
        <v>0.26847055780866202</v>
      </c>
      <c r="AB50">
        <v>4.2533058925122997</v>
      </c>
      <c r="AC50">
        <v>10.606779383923101</v>
      </c>
      <c r="AJ50">
        <v>0.37374788874692999</v>
      </c>
      <c r="AK50">
        <v>1.30364572790534E-2</v>
      </c>
      <c r="AL50">
        <v>0.61321565397401601</v>
      </c>
    </row>
    <row r="51" spans="1:38" x14ac:dyDescent="0.2">
      <c r="A51">
        <v>67</v>
      </c>
      <c r="B51">
        <v>736</v>
      </c>
      <c r="C51">
        <v>240</v>
      </c>
      <c r="D51">
        <v>0.32482832086409602</v>
      </c>
      <c r="E51">
        <v>19.857441430853001</v>
      </c>
      <c r="F51">
        <v>2.5803483982930802</v>
      </c>
      <c r="G51">
        <v>-321.04457057395001</v>
      </c>
      <c r="H51">
        <v>-279.40134711533995</v>
      </c>
      <c r="I51">
        <v>41.265642826745299</v>
      </c>
      <c r="J51">
        <v>24.4628266586429</v>
      </c>
      <c r="K51">
        <v>7.6956435200722604</v>
      </c>
      <c r="L51">
        <v>3.2148778021550679E-5</v>
      </c>
      <c r="M51">
        <v>1.8008123559260332E-6</v>
      </c>
      <c r="N51" s="1">
        <v>-5.4083722073403599E-7</v>
      </c>
      <c r="O51" s="1">
        <v>6.5288297546758405E-11</v>
      </c>
      <c r="P51" s="1">
        <v>1.7266824818101801E-9</v>
      </c>
      <c r="Q51">
        <v>64.578027384288902</v>
      </c>
      <c r="S51">
        <v>21.853204195373699</v>
      </c>
      <c r="AA51">
        <v>2.9607173681611698</v>
      </c>
      <c r="AB51">
        <v>8.86461025563273</v>
      </c>
      <c r="AC51">
        <v>1.74344079654347</v>
      </c>
      <c r="AJ51">
        <v>0.761057166571248</v>
      </c>
      <c r="AK51">
        <v>0.14046411121925001</v>
      </c>
      <c r="AL51">
        <v>9.8478722209501393E-2</v>
      </c>
    </row>
    <row r="52" spans="1:38" x14ac:dyDescent="0.2">
      <c r="A52">
        <v>67</v>
      </c>
      <c r="B52">
        <v>736</v>
      </c>
      <c r="C52">
        <v>240</v>
      </c>
      <c r="D52">
        <v>0.32482832086409602</v>
      </c>
      <c r="E52">
        <v>34.521942599559601</v>
      </c>
      <c r="F52">
        <v>2.5244827221907902</v>
      </c>
      <c r="G52">
        <v>-543.03103575277646</v>
      </c>
      <c r="H52">
        <v>-471.8443096367169</v>
      </c>
      <c r="I52">
        <v>70.541273463864997</v>
      </c>
      <c r="J52">
        <v>41.1202598956014</v>
      </c>
      <c r="K52">
        <v>13.6748579406401</v>
      </c>
      <c r="L52">
        <v>2.8671490596628382E-5</v>
      </c>
      <c r="M52">
        <v>1.7929556245802563E-6</v>
      </c>
      <c r="N52" s="1">
        <v>-4.02242562281784E-7</v>
      </c>
      <c r="O52" s="1">
        <v>1.2954629455253101E-10</v>
      </c>
      <c r="P52" s="1">
        <v>1.4332733063479E-9</v>
      </c>
      <c r="Q52">
        <v>65.904106318055398</v>
      </c>
      <c r="S52">
        <v>18.9591515828693</v>
      </c>
      <c r="AA52">
        <v>0.26367193958252499</v>
      </c>
      <c r="AB52">
        <v>4.2325708818320704</v>
      </c>
      <c r="AC52">
        <v>10.640499277660499</v>
      </c>
      <c r="AJ52">
        <v>0.37196512682754201</v>
      </c>
      <c r="AK52">
        <v>1.2804796751015901E-2</v>
      </c>
      <c r="AL52">
        <v>0.61523007642144101</v>
      </c>
    </row>
    <row r="53" spans="1:38" x14ac:dyDescent="0.2">
      <c r="A53">
        <v>68</v>
      </c>
      <c r="B53">
        <v>734</v>
      </c>
      <c r="C53">
        <v>240</v>
      </c>
      <c r="D53">
        <v>0.32334855781164801</v>
      </c>
      <c r="E53">
        <v>20.223443015761099</v>
      </c>
      <c r="F53">
        <v>2.58055769980357</v>
      </c>
      <c r="G53">
        <v>-326.89218204363402</v>
      </c>
      <c r="H53">
        <v>-284.61468785321921</v>
      </c>
      <c r="I53">
        <v>41.977356094340202</v>
      </c>
      <c r="J53">
        <v>24.9501083504781</v>
      </c>
      <c r="K53">
        <v>7.8368497698386896</v>
      </c>
      <c r="L53">
        <v>3.2307338918544448E-5</v>
      </c>
      <c r="M53">
        <v>1.801579024609196E-6</v>
      </c>
      <c r="N53" s="1">
        <v>-5.8826704434664404E-7</v>
      </c>
      <c r="O53" s="1">
        <v>6.6182989018291701E-11</v>
      </c>
      <c r="P53" s="1">
        <v>1.86457381954811E-9</v>
      </c>
      <c r="Q53">
        <v>64.583005857873701</v>
      </c>
      <c r="S53">
        <v>21.853216646476099</v>
      </c>
      <c r="AA53">
        <v>2.95956598169722</v>
      </c>
      <c r="AB53">
        <v>8.8757371592653502</v>
      </c>
      <c r="AC53">
        <v>1.7284743546874699</v>
      </c>
      <c r="AJ53">
        <v>0.76197033180753804</v>
      </c>
      <c r="AK53">
        <v>0.140401725816511</v>
      </c>
      <c r="AL53">
        <v>9.7627942375950405E-2</v>
      </c>
    </row>
    <row r="54" spans="1:38" x14ac:dyDescent="0.2">
      <c r="A54">
        <v>68</v>
      </c>
      <c r="B54">
        <v>734</v>
      </c>
      <c r="C54">
        <v>240</v>
      </c>
      <c r="D54">
        <v>0.32334855781164801</v>
      </c>
      <c r="E54">
        <v>35.0977190883346</v>
      </c>
      <c r="F54">
        <v>2.5245383269927402</v>
      </c>
      <c r="G54">
        <v>-551.88828030363095</v>
      </c>
      <c r="H54">
        <v>-479.75036064589847</v>
      </c>
      <c r="I54">
        <v>71.625795221895999</v>
      </c>
      <c r="J54">
        <v>41.824635771010797</v>
      </c>
      <c r="K54">
        <v>13.902628735347101</v>
      </c>
      <c r="L54">
        <v>2.8717053689472288E-5</v>
      </c>
      <c r="M54">
        <v>1.7931316113966531E-6</v>
      </c>
      <c r="N54" s="1">
        <v>-4.3668332537897202E-7</v>
      </c>
      <c r="O54" s="1">
        <v>1.3151148461506201E-10</v>
      </c>
      <c r="P54" s="1">
        <v>1.5356824334481099E-9</v>
      </c>
      <c r="Q54">
        <v>65.902288532085805</v>
      </c>
      <c r="S54">
        <v>18.952902330512799</v>
      </c>
      <c r="AA54">
        <v>0.25894039790645501</v>
      </c>
      <c r="AB54">
        <v>4.2121368157538202</v>
      </c>
      <c r="AC54">
        <v>10.673731923741</v>
      </c>
      <c r="AJ54">
        <v>0.370207871282065</v>
      </c>
      <c r="AK54">
        <v>1.25763258278571E-2</v>
      </c>
      <c r="AL54">
        <v>0.61721580289007705</v>
      </c>
    </row>
    <row r="55" spans="1:38" x14ac:dyDescent="0.2">
      <c r="A55">
        <v>69</v>
      </c>
      <c r="B55">
        <v>732</v>
      </c>
      <c r="C55">
        <v>240</v>
      </c>
      <c r="D55">
        <v>0.32186290603392398</v>
      </c>
      <c r="E55">
        <v>20.511468466397702</v>
      </c>
      <c r="F55">
        <v>2.58076290673558</v>
      </c>
      <c r="G55">
        <v>-331.47693543377289</v>
      </c>
      <c r="H55">
        <v>-288.73244748098301</v>
      </c>
      <c r="I55">
        <v>42.525481721921999</v>
      </c>
      <c r="J55">
        <v>25.345048065653501</v>
      </c>
      <c r="K55">
        <v>7.9478314001121504</v>
      </c>
      <c r="L55">
        <v>3.2476245777415047E-5</v>
      </c>
      <c r="M55">
        <v>1.8023855928793169E-6</v>
      </c>
      <c r="N55" s="1">
        <v>-6.3723063629740796E-7</v>
      </c>
      <c r="O55" s="1">
        <v>6.6793516880813604E-11</v>
      </c>
      <c r="P55" s="1">
        <v>2.0058125729963499E-9</v>
      </c>
      <c r="Q55">
        <v>64.588471264440201</v>
      </c>
      <c r="S55">
        <v>21.852844524806301</v>
      </c>
      <c r="AA55">
        <v>2.9579836996040498</v>
      </c>
      <c r="AB55">
        <v>8.8869409594187303</v>
      </c>
      <c r="AC55">
        <v>1.7137595517306501</v>
      </c>
      <c r="AJ55">
        <v>0.76288971274432105</v>
      </c>
      <c r="AK55">
        <v>0.14031885444193101</v>
      </c>
      <c r="AL55">
        <v>9.6791432813747594E-2</v>
      </c>
    </row>
    <row r="56" spans="1:38" x14ac:dyDescent="0.2">
      <c r="A56">
        <v>69</v>
      </c>
      <c r="B56">
        <v>732</v>
      </c>
      <c r="C56">
        <v>240</v>
      </c>
      <c r="D56">
        <v>0.32186290603392398</v>
      </c>
      <c r="E56">
        <v>35.5012654158689</v>
      </c>
      <c r="F56">
        <v>2.52459598296437</v>
      </c>
      <c r="G56">
        <v>-558.03252917189263</v>
      </c>
      <c r="H56">
        <v>-485.30375617035503</v>
      </c>
      <c r="I56">
        <v>72.3561388862733</v>
      </c>
      <c r="J56">
        <v>42.326102036166397</v>
      </c>
      <c r="K56">
        <v>14.062157135409601</v>
      </c>
      <c r="L56">
        <v>2.8766531673706016E-5</v>
      </c>
      <c r="M56">
        <v>1.7933196926893996E-6</v>
      </c>
      <c r="N56" s="1">
        <v>-4.71516149152562E-7</v>
      </c>
      <c r="O56" s="1">
        <v>1.32812280915483E-10</v>
      </c>
      <c r="P56" s="1">
        <v>1.6375550442561599E-9</v>
      </c>
      <c r="Q56">
        <v>65.900463440942801</v>
      </c>
      <c r="S56">
        <v>18.946734009275001</v>
      </c>
      <c r="AA56">
        <v>0.25427732979425799</v>
      </c>
      <c r="AB56">
        <v>4.1918986419376596</v>
      </c>
      <c r="AC56">
        <v>10.7066265780502</v>
      </c>
      <c r="AJ56">
        <v>0.36846710102845698</v>
      </c>
      <c r="AK56">
        <v>1.2351121015588599E-2</v>
      </c>
      <c r="AL56">
        <v>0.61918177795595297</v>
      </c>
    </row>
    <row r="57" spans="1:38" x14ac:dyDescent="0.2">
      <c r="A57">
        <v>75</v>
      </c>
      <c r="B57">
        <v>750</v>
      </c>
      <c r="C57">
        <v>220</v>
      </c>
      <c r="D57">
        <v>0.356526902213751</v>
      </c>
      <c r="E57">
        <v>1.94369726960321</v>
      </c>
      <c r="F57">
        <v>2.5796361936379899</v>
      </c>
      <c r="G57">
        <v>-31.505698739996543</v>
      </c>
      <c r="H57">
        <v>-27.339629391842248</v>
      </c>
      <c r="I57">
        <v>4.0718070157398998</v>
      </c>
      <c r="J57">
        <v>2.3762644529844699</v>
      </c>
      <c r="K57">
        <v>0.75347728272569703</v>
      </c>
      <c r="L57">
        <v>3.1262791011773646E-5</v>
      </c>
      <c r="M57">
        <v>1.7961146424545035E-6</v>
      </c>
      <c r="N57" s="1">
        <v>-3.3259281710358398E-8</v>
      </c>
      <c r="O57" s="1">
        <v>6.5361187010007499E-12</v>
      </c>
      <c r="P57" s="1">
        <v>1.1291868633116399E-10</v>
      </c>
      <c r="Q57">
        <v>64.461913224588201</v>
      </c>
      <c r="S57">
        <v>21.951182085429799</v>
      </c>
      <c r="AA57">
        <v>3.0686437824547399</v>
      </c>
      <c r="AB57">
        <v>8.8627178533092899</v>
      </c>
      <c r="AC57">
        <v>1.65554305421782</v>
      </c>
      <c r="AJ57">
        <v>0.76090009046263696</v>
      </c>
      <c r="AK57">
        <v>0.145585452126371</v>
      </c>
      <c r="AL57">
        <v>9.3514457410991098E-2</v>
      </c>
    </row>
    <row r="58" spans="1:38" x14ac:dyDescent="0.2">
      <c r="A58">
        <v>76</v>
      </c>
      <c r="B58">
        <v>748</v>
      </c>
      <c r="C58">
        <v>220</v>
      </c>
      <c r="D58">
        <v>0.355129510845618</v>
      </c>
      <c r="E58">
        <v>4.0071652919085201</v>
      </c>
      <c r="F58">
        <v>2.57677249833666</v>
      </c>
      <c r="G58">
        <v>-64.887062480561852</v>
      </c>
      <c r="H58">
        <v>-56.322103150829221</v>
      </c>
      <c r="I58">
        <v>8.3875623852838892</v>
      </c>
      <c r="J58">
        <v>4.9019221234222199</v>
      </c>
      <c r="K58">
        <v>1.55511023751425</v>
      </c>
      <c r="L58">
        <v>3.1403816159421233E-5</v>
      </c>
      <c r="M58">
        <v>1.8010058151680941E-6</v>
      </c>
      <c r="N58" s="1">
        <v>-7.2759923870644305E-8</v>
      </c>
      <c r="O58" s="1">
        <v>1.35185157480825E-11</v>
      </c>
      <c r="P58" s="1">
        <v>2.44728215562683E-10</v>
      </c>
      <c r="Q58">
        <v>64.691971513244496</v>
      </c>
      <c r="S58">
        <v>21.7438680283413</v>
      </c>
      <c r="AA58">
        <v>2.8439266060708999</v>
      </c>
      <c r="AB58">
        <v>8.8318896610236806</v>
      </c>
      <c r="AC58">
        <v>1.8883441913194099</v>
      </c>
      <c r="AJ58">
        <v>0.75837321749612296</v>
      </c>
      <c r="AK58">
        <v>0.13494553737463799</v>
      </c>
      <c r="AL58">
        <v>0.106681245129238</v>
      </c>
    </row>
    <row r="59" spans="1:38" x14ac:dyDescent="0.2">
      <c r="A59">
        <v>77</v>
      </c>
      <c r="B59">
        <v>746</v>
      </c>
      <c r="C59">
        <v>220</v>
      </c>
      <c r="D59">
        <v>0.35372663494088302</v>
      </c>
      <c r="E59">
        <v>15.854736617078601</v>
      </c>
      <c r="F59">
        <v>2.5779696581234202</v>
      </c>
      <c r="G59">
        <v>-256.71230379851397</v>
      </c>
      <c r="H59">
        <v>-222.93430992249267</v>
      </c>
      <c r="I59">
        <v>33.143299687014903</v>
      </c>
      <c r="J59">
        <v>19.4104334099314</v>
      </c>
      <c r="K59">
        <v>6.1500865873726802</v>
      </c>
      <c r="L59">
        <v>3.1461853596674974E-5</v>
      </c>
      <c r="M59">
        <v>1.7993692177719601E-6</v>
      </c>
      <c r="N59" s="1">
        <v>-3.0613150702995899E-7</v>
      </c>
      <c r="O59" s="1">
        <v>5.3225166229068498E-11</v>
      </c>
      <c r="P59" s="1">
        <v>1.02053319140597E-9</v>
      </c>
      <c r="Q59">
        <v>64.595197814208802</v>
      </c>
      <c r="S59">
        <v>21.820915734965102</v>
      </c>
      <c r="AA59">
        <v>2.9300725726296699</v>
      </c>
      <c r="AB59">
        <v>8.8182252413203006</v>
      </c>
      <c r="AC59">
        <v>1.8355886368760499</v>
      </c>
      <c r="AJ59">
        <v>0.75724991932400798</v>
      </c>
      <c r="AK59">
        <v>0.13904238721470299</v>
      </c>
      <c r="AL59">
        <v>0.103707693461288</v>
      </c>
    </row>
    <row r="60" spans="1:38" x14ac:dyDescent="0.2">
      <c r="A60">
        <v>77</v>
      </c>
      <c r="B60">
        <v>746</v>
      </c>
      <c r="C60">
        <v>220</v>
      </c>
      <c r="D60">
        <v>0.35372663494088302</v>
      </c>
      <c r="E60">
        <v>26.533953968565299</v>
      </c>
      <c r="F60">
        <v>2.5234133523061901</v>
      </c>
      <c r="G60">
        <v>-418.44514392493431</v>
      </c>
      <c r="H60">
        <v>-362.81325468712174</v>
      </c>
      <c r="I60">
        <v>54.586556677439702</v>
      </c>
      <c r="J60">
        <v>31.558721105904699</v>
      </c>
      <c r="K60">
        <v>10.515104053133101</v>
      </c>
      <c r="L60">
        <v>2.8507821445605035E-5</v>
      </c>
      <c r="M60">
        <v>1.7940220312245826E-6</v>
      </c>
      <c r="N60" s="1">
        <v>-2.2066108325301999E-7</v>
      </c>
      <c r="O60" s="1">
        <v>1.00149021921829E-10</v>
      </c>
      <c r="P60" s="1">
        <v>8.4966108044109602E-10</v>
      </c>
      <c r="Q60">
        <v>65.927702979698296</v>
      </c>
      <c r="S60">
        <v>18.997958042678</v>
      </c>
      <c r="AA60">
        <v>0.29018170786369002</v>
      </c>
      <c r="AB60">
        <v>4.3868909566732697</v>
      </c>
      <c r="AC60">
        <v>10.3972663130866</v>
      </c>
      <c r="AJ60">
        <v>0.38522437067620802</v>
      </c>
      <c r="AK60">
        <v>1.4081137445748401E-2</v>
      </c>
      <c r="AL60">
        <v>0.60069449187804302</v>
      </c>
    </row>
    <row r="61" spans="1:38" x14ac:dyDescent="0.2">
      <c r="A61">
        <v>78</v>
      </c>
      <c r="B61">
        <v>744</v>
      </c>
      <c r="C61">
        <v>220</v>
      </c>
      <c r="D61">
        <v>0.352318242147177</v>
      </c>
      <c r="E61">
        <v>17.992865963557598</v>
      </c>
      <c r="F61">
        <v>2.5784092542077901</v>
      </c>
      <c r="G61">
        <v>-291.27918985632601</v>
      </c>
      <c r="H61">
        <v>-253.06612982566014</v>
      </c>
      <c r="I61">
        <v>37.568755867537497</v>
      </c>
      <c r="J61">
        <v>22.049663486982599</v>
      </c>
      <c r="K61">
        <v>6.9782816417504101</v>
      </c>
      <c r="L61">
        <v>3.1565084802990612E-5</v>
      </c>
      <c r="M61">
        <v>1.799477789019841E-6</v>
      </c>
      <c r="N61" s="1">
        <v>-3.7047414724394201E-7</v>
      </c>
      <c r="O61" s="1">
        <v>6.0179466946613494E-11</v>
      </c>
      <c r="P61" s="1">
        <v>1.22404307003396E-9</v>
      </c>
      <c r="Q61">
        <v>64.576219200841095</v>
      </c>
      <c r="S61">
        <v>21.839140777991499</v>
      </c>
      <c r="AA61">
        <v>2.94953681971112</v>
      </c>
      <c r="AB61">
        <v>8.8237117387340405</v>
      </c>
      <c r="AC61">
        <v>1.8113914627221099</v>
      </c>
      <c r="AJ61">
        <v>0.75770008101014696</v>
      </c>
      <c r="AK61">
        <v>0.13996215935530301</v>
      </c>
      <c r="AL61">
        <v>0.102337759634549</v>
      </c>
    </row>
    <row r="62" spans="1:38" x14ac:dyDescent="0.2">
      <c r="A62">
        <v>78</v>
      </c>
      <c r="B62">
        <v>744</v>
      </c>
      <c r="C62">
        <v>220</v>
      </c>
      <c r="D62">
        <v>0.352318242147177</v>
      </c>
      <c r="E62">
        <v>31.2411678629745</v>
      </c>
      <c r="F62">
        <v>2.5234478984295898</v>
      </c>
      <c r="G62">
        <v>-492.47557805957427</v>
      </c>
      <c r="H62">
        <v>-427.18947273598792</v>
      </c>
      <c r="I62">
        <v>64.185326966117401</v>
      </c>
      <c r="J62">
        <v>37.164530717737797</v>
      </c>
      <c r="K62">
        <v>12.3803498706736</v>
      </c>
      <c r="L62">
        <v>2.8528220163609961E-5</v>
      </c>
      <c r="M62">
        <v>1.7940237706017681E-6</v>
      </c>
      <c r="N62" s="1">
        <v>-2.76829062120975E-7</v>
      </c>
      <c r="O62" s="1">
        <v>1.1780992230660101E-10</v>
      </c>
      <c r="P62" s="1">
        <v>1.0489867120729001E-9</v>
      </c>
      <c r="Q62">
        <v>65.922245887436205</v>
      </c>
      <c r="S62">
        <v>18.990468575202701</v>
      </c>
      <c r="AA62">
        <v>0.28527615838671699</v>
      </c>
      <c r="AB62">
        <v>4.3550955064811001</v>
      </c>
      <c r="AC62">
        <v>10.4469138724931</v>
      </c>
      <c r="AJ62">
        <v>0.382494190964146</v>
      </c>
      <c r="AK62">
        <v>1.3845333720559299E-2</v>
      </c>
      <c r="AL62">
        <v>0.60366047531529399</v>
      </c>
    </row>
    <row r="63" spans="1:38" x14ac:dyDescent="0.2">
      <c r="A63">
        <v>79</v>
      </c>
      <c r="B63">
        <v>742</v>
      </c>
      <c r="C63">
        <v>220</v>
      </c>
      <c r="D63">
        <v>0.35090429985716198</v>
      </c>
      <c r="E63">
        <v>18.939462506274399</v>
      </c>
      <c r="F63">
        <v>2.5787423181545401</v>
      </c>
      <c r="G63">
        <v>-306.54320369033866</v>
      </c>
      <c r="H63">
        <v>-266.44550363188938</v>
      </c>
      <c r="I63">
        <v>39.4992858774065</v>
      </c>
      <c r="J63">
        <v>23.2344658918405</v>
      </c>
      <c r="K63">
        <v>7.3444571692717098</v>
      </c>
      <c r="L63">
        <v>3.1680703187886698E-5</v>
      </c>
      <c r="M63">
        <v>1.7998484299956747E-6</v>
      </c>
      <c r="N63" s="1">
        <v>-4.1607885155321402E-7</v>
      </c>
      <c r="O63" s="1">
        <v>6.3109511099888196E-11</v>
      </c>
      <c r="P63" s="1">
        <v>1.3629288582983799E-9</v>
      </c>
      <c r="Q63">
        <v>64.568150664328499</v>
      </c>
      <c r="S63">
        <v>21.8490696353437</v>
      </c>
      <c r="AA63">
        <v>2.9596109113812799</v>
      </c>
      <c r="AB63">
        <v>8.8317612281217404</v>
      </c>
      <c r="AC63">
        <v>1.79140756082462</v>
      </c>
      <c r="AJ63">
        <v>0.75836078952087005</v>
      </c>
      <c r="AK63">
        <v>0.140434548076973</v>
      </c>
      <c r="AL63">
        <v>0.101204662402155</v>
      </c>
    </row>
    <row r="64" spans="1:38" x14ac:dyDescent="0.2">
      <c r="A64">
        <v>79</v>
      </c>
      <c r="B64">
        <v>742</v>
      </c>
      <c r="C64">
        <v>220</v>
      </c>
      <c r="D64">
        <v>0.35090429985716198</v>
      </c>
      <c r="E64">
        <v>33.263146391776502</v>
      </c>
      <c r="F64">
        <v>2.5234893926645801</v>
      </c>
      <c r="G64">
        <v>-524.14529834999064</v>
      </c>
      <c r="H64">
        <v>-454.86052475548331</v>
      </c>
      <c r="I64">
        <v>68.250774362909198</v>
      </c>
      <c r="J64">
        <v>39.580028286861797</v>
      </c>
      <c r="K64">
        <v>13.1814092377275</v>
      </c>
      <c r="L64">
        <v>2.8555521343717874E-5</v>
      </c>
      <c r="M64">
        <v>1.7940946057126183E-6</v>
      </c>
      <c r="N64" s="1">
        <v>-3.1449604052030799E-7</v>
      </c>
      <c r="O64" s="1">
        <v>1.25305116273887E-10</v>
      </c>
      <c r="P64" s="1">
        <v>1.1731958792048901E-9</v>
      </c>
      <c r="Q64">
        <v>65.918607729950594</v>
      </c>
      <c r="S64">
        <v>18.9834604025856</v>
      </c>
      <c r="AA64">
        <v>0.28034325853212799</v>
      </c>
      <c r="AB64">
        <v>4.3286152319543802</v>
      </c>
      <c r="AC64">
        <v>10.4889733769771</v>
      </c>
      <c r="AJ64">
        <v>0.38021974226769401</v>
      </c>
      <c r="AK64">
        <v>1.3607758310422701E-2</v>
      </c>
      <c r="AL64">
        <v>0.60617249942188201</v>
      </c>
    </row>
    <row r="65" spans="1:38" x14ac:dyDescent="0.2">
      <c r="A65">
        <v>80</v>
      </c>
      <c r="B65">
        <v>740</v>
      </c>
      <c r="C65">
        <v>220</v>
      </c>
      <c r="D65">
        <v>0.34948477520604299</v>
      </c>
      <c r="E65">
        <v>19.495217614730102</v>
      </c>
      <c r="F65">
        <v>2.5790130333561301</v>
      </c>
      <c r="G65">
        <v>-315.4737818221484</v>
      </c>
      <c r="H65">
        <v>-274.32842600904519</v>
      </c>
      <c r="I65">
        <v>40.611316994623799</v>
      </c>
      <c r="J65">
        <v>23.943868483428702</v>
      </c>
      <c r="K65">
        <v>7.5591776243800197</v>
      </c>
      <c r="L65">
        <v>3.1807082233453603E-5</v>
      </c>
      <c r="M65">
        <v>1.8003842783552864E-6</v>
      </c>
      <c r="N65" s="1">
        <v>-4.5715170956826302E-7</v>
      </c>
      <c r="O65" s="1">
        <v>6.4711345627600397E-11</v>
      </c>
      <c r="P65" s="1">
        <v>1.4851148188443001E-9</v>
      </c>
      <c r="Q65">
        <v>64.566532829850004</v>
      </c>
      <c r="S65">
        <v>21.854099313605001</v>
      </c>
      <c r="AA65">
        <v>2.9641379470050002</v>
      </c>
      <c r="AB65">
        <v>8.8413419261959607</v>
      </c>
      <c r="AC65">
        <v>1.7738879833439101</v>
      </c>
      <c r="AJ65">
        <v>0.75914723323752598</v>
      </c>
      <c r="AK65">
        <v>0.14064264602125101</v>
      </c>
      <c r="AL65">
        <v>0.100210120741221</v>
      </c>
    </row>
    <row r="66" spans="1:38" x14ac:dyDescent="0.2">
      <c r="A66">
        <v>80</v>
      </c>
      <c r="B66">
        <v>740</v>
      </c>
      <c r="C66">
        <v>220</v>
      </c>
      <c r="D66">
        <v>0.34948477520604299</v>
      </c>
      <c r="E66">
        <v>34.352276950192902</v>
      </c>
      <c r="F66">
        <v>2.5235354892922901</v>
      </c>
      <c r="G66">
        <v>-541.10396976776588</v>
      </c>
      <c r="H66">
        <v>-469.78338654684057</v>
      </c>
      <c r="I66">
        <v>70.394890412007399</v>
      </c>
      <c r="J66">
        <v>40.888582553857297</v>
      </c>
      <c r="K66">
        <v>13.6127576156365</v>
      </c>
      <c r="L66">
        <v>2.858817867314317E-5</v>
      </c>
      <c r="M66">
        <v>1.7942088862225528E-6</v>
      </c>
      <c r="N66" s="1">
        <v>-3.46802557728922E-7</v>
      </c>
      <c r="O66" s="1">
        <v>1.29258937053379E-10</v>
      </c>
      <c r="P66" s="1">
        <v>1.27427682349656E-9</v>
      </c>
      <c r="Q66">
        <v>65.915992286418202</v>
      </c>
      <c r="S66">
        <v>18.976756446718198</v>
      </c>
      <c r="AA66">
        <v>0.27542270429135901</v>
      </c>
      <c r="AB66">
        <v>4.3052115643968198</v>
      </c>
      <c r="AC66">
        <v>10.5266169981752</v>
      </c>
      <c r="AJ66">
        <v>0.37820904437720398</v>
      </c>
      <c r="AK66">
        <v>1.3370508996213301E-2</v>
      </c>
      <c r="AL66">
        <v>0.60842044662658201</v>
      </c>
    </row>
    <row r="67" spans="1:38" x14ac:dyDescent="0.2">
      <c r="A67">
        <v>81</v>
      </c>
      <c r="B67">
        <v>738</v>
      </c>
      <c r="C67">
        <v>220</v>
      </c>
      <c r="D67">
        <v>0.34805963506898102</v>
      </c>
      <c r="E67">
        <v>19.8842357851556</v>
      </c>
      <c r="F67">
        <v>2.5792576176609301</v>
      </c>
      <c r="G67">
        <v>-321.70190332075668</v>
      </c>
      <c r="H67">
        <v>-279.86683484333281</v>
      </c>
      <c r="I67">
        <v>41.373751152078199</v>
      </c>
      <c r="J67">
        <v>24.451982644925</v>
      </c>
      <c r="K67">
        <v>7.7092864431231698</v>
      </c>
      <c r="L67">
        <v>3.1942909553814786E-5</v>
      </c>
      <c r="M67">
        <v>1.8010042317901462E-6</v>
      </c>
      <c r="N67" s="1">
        <v>-4.9782454302352201E-7</v>
      </c>
      <c r="O67" s="1">
        <v>6.5734826760920896E-11</v>
      </c>
      <c r="P67" s="1">
        <v>1.60443803032664E-9</v>
      </c>
      <c r="Q67">
        <v>64.567647096965302</v>
      </c>
      <c r="S67">
        <v>21.857044141705</v>
      </c>
      <c r="AA67">
        <v>2.96630746134172</v>
      </c>
      <c r="AB67">
        <v>8.8515452604354508</v>
      </c>
      <c r="AC67">
        <v>1.7574560395524901</v>
      </c>
      <c r="AJ67">
        <v>0.75998474757680301</v>
      </c>
      <c r="AK67">
        <v>0.14073844118266099</v>
      </c>
      <c r="AL67">
        <v>9.9276811240535404E-2</v>
      </c>
    </row>
    <row r="68" spans="1:38" x14ac:dyDescent="0.2">
      <c r="A68">
        <v>81</v>
      </c>
      <c r="B68">
        <v>738</v>
      </c>
      <c r="C68">
        <v>220</v>
      </c>
      <c r="D68">
        <v>0.34805963506898102</v>
      </c>
      <c r="E68">
        <v>35.042601630620503</v>
      </c>
      <c r="F68">
        <v>2.5235846194485401</v>
      </c>
      <c r="G68">
        <v>-551.77361020295666</v>
      </c>
      <c r="H68">
        <v>-479.2565645252663</v>
      </c>
      <c r="I68">
        <v>71.717396704435998</v>
      </c>
      <c r="J68">
        <v>41.724860400265896</v>
      </c>
      <c r="K68">
        <v>13.886041847203</v>
      </c>
      <c r="L68">
        <v>2.8624934420766809E-5</v>
      </c>
      <c r="M68">
        <v>1.7943460364146866E-6</v>
      </c>
      <c r="N68" s="1">
        <v>-3.7780435660510999E-7</v>
      </c>
      <c r="O68" s="1">
        <v>1.31691004440613E-10</v>
      </c>
      <c r="P68" s="1">
        <v>1.36819645266247E-9</v>
      </c>
      <c r="Q68">
        <v>65.913755232745501</v>
      </c>
      <c r="S68">
        <v>18.9702197834802</v>
      </c>
      <c r="AA68">
        <v>0.27055187608197001</v>
      </c>
      <c r="AB68">
        <v>4.2830896977304098</v>
      </c>
      <c r="AC68">
        <v>10.5623834099618</v>
      </c>
      <c r="AJ68">
        <v>0.37630803222110998</v>
      </c>
      <c r="AK68">
        <v>1.31355317608647E-2</v>
      </c>
      <c r="AL68">
        <v>0.61055643601802501</v>
      </c>
    </row>
    <row r="69" spans="1:38" x14ac:dyDescent="0.2">
      <c r="A69">
        <v>82</v>
      </c>
      <c r="B69">
        <v>736</v>
      </c>
      <c r="C69">
        <v>220</v>
      </c>
      <c r="D69">
        <v>0.34662884605856398</v>
      </c>
      <c r="E69">
        <v>20.1841668367849</v>
      </c>
      <c r="F69">
        <v>2.57948730047901</v>
      </c>
      <c r="G69">
        <v>-326.48570534887136</v>
      </c>
      <c r="H69">
        <v>-284.1527772572054</v>
      </c>
      <c r="I69">
        <v>41.949093882639701</v>
      </c>
      <c r="J69">
        <v>24.853895724172698</v>
      </c>
      <c r="K69">
        <v>7.82487544444849</v>
      </c>
      <c r="L69">
        <v>3.2088188229008811E-5</v>
      </c>
      <c r="M69">
        <v>1.8016844121419568E-6</v>
      </c>
      <c r="N69" s="1">
        <v>-5.3962593213948699E-7</v>
      </c>
      <c r="O69" s="1">
        <v>6.6439160798467104E-11</v>
      </c>
      <c r="P69" s="1">
        <v>1.7259465854147401E-9</v>
      </c>
      <c r="Q69">
        <v>64.570345446074995</v>
      </c>
      <c r="S69">
        <v>21.858773504862601</v>
      </c>
      <c r="AA69">
        <v>2.9671045807780398</v>
      </c>
      <c r="AB69">
        <v>8.8620921370970596</v>
      </c>
      <c r="AC69">
        <v>1.7416843311871999</v>
      </c>
      <c r="AJ69">
        <v>0.76085039496030604</v>
      </c>
      <c r="AK69">
        <v>0.14076887953189199</v>
      </c>
      <c r="AL69">
        <v>9.8380725507801595E-2</v>
      </c>
    </row>
    <row r="70" spans="1:38" x14ac:dyDescent="0.2">
      <c r="A70">
        <v>82</v>
      </c>
      <c r="B70">
        <v>736</v>
      </c>
      <c r="C70">
        <v>220</v>
      </c>
      <c r="D70">
        <v>0.34662884605856398</v>
      </c>
      <c r="E70">
        <v>35.517266873120803</v>
      </c>
      <c r="F70">
        <v>2.5236362830272201</v>
      </c>
      <c r="G70">
        <v>-559.04279103032161</v>
      </c>
      <c r="H70">
        <v>-485.7829715158415</v>
      </c>
      <c r="I70">
        <v>72.595570048535905</v>
      </c>
      <c r="J70">
        <v>42.306569882481</v>
      </c>
      <c r="K70">
        <v>14.073845392060999</v>
      </c>
      <c r="L70">
        <v>2.8665547810468141E-5</v>
      </c>
      <c r="M70">
        <v>1.7945001189345121E-6</v>
      </c>
      <c r="N70" s="1">
        <v>-4.0892297218055298E-7</v>
      </c>
      <c r="O70" s="1">
        <v>1.3329373722451501E-10</v>
      </c>
      <c r="P70" s="1">
        <v>1.46050167590372E-9</v>
      </c>
      <c r="Q70">
        <v>65.911698321029903</v>
      </c>
      <c r="S70">
        <v>18.963806968962501</v>
      </c>
      <c r="AA70">
        <v>0.26574119067195801</v>
      </c>
      <c r="AB70">
        <v>4.2616939532784999</v>
      </c>
      <c r="AC70">
        <v>10.597059566057</v>
      </c>
      <c r="AJ70">
        <v>0.37446901182804598</v>
      </c>
      <c r="AK70">
        <v>1.290337423384E-2</v>
      </c>
      <c r="AL70">
        <v>0.61262761393811205</v>
      </c>
    </row>
    <row r="71" spans="1:38" x14ac:dyDescent="0.2">
      <c r="A71">
        <v>83</v>
      </c>
      <c r="B71">
        <v>734</v>
      </c>
      <c r="C71">
        <v>220</v>
      </c>
      <c r="D71">
        <v>0.345192374522167</v>
      </c>
      <c r="E71">
        <v>20.430316003704299</v>
      </c>
      <c r="F71">
        <v>2.5797074850200499</v>
      </c>
      <c r="G71">
        <v>-330.39726765219905</v>
      </c>
      <c r="H71">
        <v>-287.68279277578796</v>
      </c>
      <c r="I71">
        <v>42.411234549383003</v>
      </c>
      <c r="J71">
        <v>25.192948892470898</v>
      </c>
      <c r="K71">
        <v>7.9196250436686704</v>
      </c>
      <c r="L71">
        <v>3.2243252778202812E-5</v>
      </c>
      <c r="M71">
        <v>1.802414324764415E-6</v>
      </c>
      <c r="N71" s="1">
        <v>-5.8334061237768705E-7</v>
      </c>
      <c r="O71" s="1">
        <v>6.6941525017889098E-11</v>
      </c>
      <c r="P71" s="1">
        <v>1.85216895163454E-9</v>
      </c>
      <c r="Q71">
        <v>64.574078339649702</v>
      </c>
      <c r="S71">
        <v>21.859703640749199</v>
      </c>
      <c r="AA71">
        <v>2.9670009327246398</v>
      </c>
      <c r="AB71">
        <v>8.8728491624313008</v>
      </c>
      <c r="AC71">
        <v>1.7263679244450001</v>
      </c>
      <c r="AJ71">
        <v>0.76173321202992295</v>
      </c>
      <c r="AK71">
        <v>0.140756437375193</v>
      </c>
      <c r="AL71">
        <v>9.75103505948825E-2</v>
      </c>
    </row>
    <row r="72" spans="1:38" x14ac:dyDescent="0.2">
      <c r="A72">
        <v>83</v>
      </c>
      <c r="B72">
        <v>734</v>
      </c>
      <c r="C72">
        <v>220</v>
      </c>
      <c r="D72">
        <v>0.345192374522167</v>
      </c>
      <c r="E72">
        <v>35.860341426160502</v>
      </c>
      <c r="F72">
        <v>2.5236902405888002</v>
      </c>
      <c r="G72">
        <v>-564.23744627316898</v>
      </c>
      <c r="H72">
        <v>-490.51143594049978</v>
      </c>
      <c r="I72">
        <v>73.202611659305205</v>
      </c>
      <c r="J72">
        <v>42.733691312019999</v>
      </c>
      <c r="K72">
        <v>14.2094861126038</v>
      </c>
      <c r="L72">
        <v>2.8710021042255091E-5</v>
      </c>
      <c r="M72">
        <v>1.7946686319549763E-6</v>
      </c>
      <c r="N72" s="1">
        <v>-4.4084454123381098E-7</v>
      </c>
      <c r="O72" s="1">
        <v>1.34384797961569E-10</v>
      </c>
      <c r="P72" s="1">
        <v>1.5538188486842999E-9</v>
      </c>
      <c r="Q72">
        <v>65.909727367659798</v>
      </c>
      <c r="S72">
        <v>18.9574966881246</v>
      </c>
      <c r="AA72">
        <v>0.26099503939281898</v>
      </c>
      <c r="AB72">
        <v>4.24075856776272</v>
      </c>
      <c r="AC72">
        <v>10.6310223370599</v>
      </c>
      <c r="AJ72">
        <v>0.37266917294054802</v>
      </c>
      <c r="AK72">
        <v>1.26742702927855E-2</v>
      </c>
      <c r="AL72">
        <v>0.61465655676666597</v>
      </c>
    </row>
    <row r="73" spans="1:38" x14ac:dyDescent="0.2">
      <c r="A73">
        <v>86</v>
      </c>
      <c r="B73">
        <v>756</v>
      </c>
      <c r="C73">
        <v>200</v>
      </c>
      <c r="D73">
        <v>0.38206335325268598</v>
      </c>
      <c r="E73">
        <v>0.813700302144854</v>
      </c>
      <c r="F73">
        <v>2.57985441484806</v>
      </c>
      <c r="G73">
        <v>-13.212064290408915</v>
      </c>
      <c r="H73">
        <v>-11.451870083871983</v>
      </c>
      <c r="I73">
        <v>1.7103378579769</v>
      </c>
      <c r="J73">
        <v>0.99265243907039702</v>
      </c>
      <c r="K73">
        <v>0.31540551182333898</v>
      </c>
      <c r="L73">
        <v>3.0968181172351202E-5</v>
      </c>
      <c r="M73">
        <v>1.7939836846514653E-6</v>
      </c>
      <c r="N73" s="1">
        <v>-1.13830747708118E-8</v>
      </c>
      <c r="O73" s="1">
        <v>2.7492366068623398E-12</v>
      </c>
      <c r="P73" s="1">
        <v>3.9968471104476202E-11</v>
      </c>
      <c r="Q73">
        <v>64.349788404714104</v>
      </c>
      <c r="S73">
        <v>22.059523740090299</v>
      </c>
      <c r="AA73">
        <v>3.18418955075254</v>
      </c>
      <c r="AB73">
        <v>8.8968854371808597</v>
      </c>
      <c r="AC73">
        <v>1.5096128672621301</v>
      </c>
      <c r="AJ73">
        <v>0.76370193684669097</v>
      </c>
      <c r="AK73">
        <v>0.151041258952853</v>
      </c>
      <c r="AL73">
        <v>8.5256804200455602E-2</v>
      </c>
    </row>
    <row r="74" spans="1:38" x14ac:dyDescent="0.2">
      <c r="A74">
        <v>87</v>
      </c>
      <c r="B74">
        <v>754</v>
      </c>
      <c r="C74">
        <v>200</v>
      </c>
      <c r="D74">
        <v>0.38072384753930699</v>
      </c>
      <c r="E74">
        <v>2.7460237591096899</v>
      </c>
      <c r="F74">
        <v>2.5773909484596098</v>
      </c>
      <c r="G74">
        <v>-44.549055845388629</v>
      </c>
      <c r="H74">
        <v>-38.625139212896883</v>
      </c>
      <c r="I74">
        <v>5.7673335272275201</v>
      </c>
      <c r="J74">
        <v>3.35186948372287</v>
      </c>
      <c r="K74">
        <v>1.0654277189693899</v>
      </c>
      <c r="L74">
        <v>3.1107028565453373E-5</v>
      </c>
      <c r="M74">
        <v>1.7987576667765236E-6</v>
      </c>
      <c r="N74" s="1">
        <v>-4.0858757859860898E-8</v>
      </c>
      <c r="O74" s="1">
        <v>9.3050472052389002E-12</v>
      </c>
      <c r="P74" s="1">
        <v>1.41877861975762E-10</v>
      </c>
      <c r="Q74">
        <v>64.566402170993101</v>
      </c>
      <c r="S74">
        <v>21.872531804899399</v>
      </c>
      <c r="AA74">
        <v>2.9793754285145</v>
      </c>
      <c r="AB74">
        <v>8.8893739322546192</v>
      </c>
      <c r="AC74">
        <v>1.69231666333824</v>
      </c>
      <c r="AJ74">
        <v>0.76308899228562099</v>
      </c>
      <c r="AK74">
        <v>0.14133184734874399</v>
      </c>
      <c r="AL74">
        <v>9.5579160365633506E-2</v>
      </c>
    </row>
    <row r="75" spans="1:38" x14ac:dyDescent="0.2">
      <c r="A75">
        <v>88</v>
      </c>
      <c r="B75">
        <v>752</v>
      </c>
      <c r="C75">
        <v>200</v>
      </c>
      <c r="D75">
        <v>0.37937911525142798</v>
      </c>
      <c r="E75">
        <v>4.7977275697040502</v>
      </c>
      <c r="F75">
        <v>2.5746186381832699</v>
      </c>
      <c r="G75">
        <v>-77.755569273830162</v>
      </c>
      <c r="H75">
        <v>-67.434546801632166</v>
      </c>
      <c r="I75">
        <v>10.0678168777232</v>
      </c>
      <c r="J75">
        <v>5.8588420995556296</v>
      </c>
      <c r="K75">
        <v>1.86347115590271</v>
      </c>
      <c r="L75">
        <v>3.1227205063830538E-5</v>
      </c>
      <c r="M75">
        <v>1.8032601556873481E-6</v>
      </c>
      <c r="N75" s="1">
        <v>-7.5640701903741495E-8</v>
      </c>
      <c r="O75" s="1">
        <v>1.63117785013735E-11</v>
      </c>
      <c r="P75" s="1">
        <v>2.6001850487957202E-10</v>
      </c>
      <c r="Q75">
        <v>64.782069310499395</v>
      </c>
      <c r="S75">
        <v>21.674843200097001</v>
      </c>
      <c r="AA75">
        <v>2.765957326738</v>
      </c>
      <c r="AB75">
        <v>8.8517102102727296</v>
      </c>
      <c r="AC75">
        <v>1.92541995239279</v>
      </c>
      <c r="AJ75">
        <v>0.76000155630756905</v>
      </c>
      <c r="AK75">
        <v>0.13123315201501401</v>
      </c>
      <c r="AL75">
        <v>0.108765291677416</v>
      </c>
    </row>
    <row r="76" spans="1:38" x14ac:dyDescent="0.2">
      <c r="A76">
        <v>89</v>
      </c>
      <c r="B76">
        <v>750</v>
      </c>
      <c r="C76">
        <v>200</v>
      </c>
      <c r="D76">
        <v>0.37802912573913899</v>
      </c>
      <c r="E76">
        <v>15.096008821692999</v>
      </c>
      <c r="F76">
        <v>2.5761178679936099</v>
      </c>
      <c r="G76">
        <v>-244.63057344842878</v>
      </c>
      <c r="H76">
        <v>-212.26342943735369</v>
      </c>
      <c r="I76">
        <v>31.634798427478799</v>
      </c>
      <c r="J76">
        <v>18.443742754602901</v>
      </c>
      <c r="K76">
        <v>5.8599837411362099</v>
      </c>
      <c r="L76">
        <v>3.1234620402043798E-5</v>
      </c>
      <c r="M76">
        <v>1.800372799538158E-6</v>
      </c>
      <c r="N76" s="1">
        <v>-2.5190489594720099E-7</v>
      </c>
      <c r="O76" s="1">
        <v>5.1068985332634398E-11</v>
      </c>
      <c r="P76" s="1">
        <v>8.5805180659842203E-10</v>
      </c>
      <c r="Q76">
        <v>64.636763835123205</v>
      </c>
      <c r="S76">
        <v>21.781314032448499</v>
      </c>
      <c r="AA76">
        <v>2.8877018998280399</v>
      </c>
      <c r="AB76">
        <v>8.8070318785272601</v>
      </c>
      <c r="AC76">
        <v>1.88718835407289</v>
      </c>
      <c r="AJ76">
        <v>0.75633148086937196</v>
      </c>
      <c r="AK76">
        <v>0.137039497672958</v>
      </c>
      <c r="AL76">
        <v>0.10662902145766801</v>
      </c>
    </row>
    <row r="77" spans="1:38" x14ac:dyDescent="0.2">
      <c r="A77">
        <v>89</v>
      </c>
      <c r="B77">
        <v>750</v>
      </c>
      <c r="C77">
        <v>200</v>
      </c>
      <c r="D77">
        <v>0.37802912573913899</v>
      </c>
      <c r="E77">
        <v>24.5656398257895</v>
      </c>
      <c r="F77">
        <v>2.5225264557354898</v>
      </c>
      <c r="G77">
        <v>-387.98082766636759</v>
      </c>
      <c r="H77">
        <v>-336.12117151459546</v>
      </c>
      <c r="I77">
        <v>50.6862690238695</v>
      </c>
      <c r="J77">
        <v>29.211343071090599</v>
      </c>
      <c r="K77">
        <v>9.7385063177174498</v>
      </c>
      <c r="L77">
        <v>2.8475766294554518E-5</v>
      </c>
      <c r="M77">
        <v>1.7956530485774903E-6</v>
      </c>
      <c r="N77" s="1">
        <v>-1.7795577892977001E-7</v>
      </c>
      <c r="O77" s="1">
        <v>9.2860604314679903E-11</v>
      </c>
      <c r="P77" s="1">
        <v>7.1115801067007201E-10</v>
      </c>
      <c r="Q77">
        <v>65.947682650307698</v>
      </c>
      <c r="S77">
        <v>19.018609631808499</v>
      </c>
      <c r="AA77">
        <v>0.30255749735459397</v>
      </c>
      <c r="AB77">
        <v>4.4855554071546404</v>
      </c>
      <c r="AC77">
        <v>10.245594813374399</v>
      </c>
      <c r="AJ77">
        <v>0.39369079572410798</v>
      </c>
      <c r="AK77">
        <v>1.46743118852996E-2</v>
      </c>
      <c r="AL77">
        <v>0.59163489239059097</v>
      </c>
    </row>
    <row r="78" spans="1:38" x14ac:dyDescent="0.2">
      <c r="A78">
        <v>90</v>
      </c>
      <c r="B78">
        <v>748</v>
      </c>
      <c r="C78">
        <v>200</v>
      </c>
      <c r="D78">
        <v>0.37667384811242399</v>
      </c>
      <c r="E78">
        <v>17.589620666171299</v>
      </c>
      <c r="F78">
        <v>2.57687772907699</v>
      </c>
      <c r="G78">
        <v>-285.00111042169038</v>
      </c>
      <c r="H78">
        <v>-247.40689764460501</v>
      </c>
      <c r="I78">
        <v>36.815563606801497</v>
      </c>
      <c r="J78">
        <v>21.507330193453701</v>
      </c>
      <c r="K78">
        <v>6.8259430657859301</v>
      </c>
      <c r="L78">
        <v>3.1308021608509306E-5</v>
      </c>
      <c r="M78">
        <v>1.7997257882033898E-6</v>
      </c>
      <c r="N78" s="1">
        <v>-3.1253332655634601E-7</v>
      </c>
      <c r="O78" s="1">
        <v>5.9275988223494196E-11</v>
      </c>
      <c r="P78" s="1">
        <v>1.05432255065601E-9</v>
      </c>
      <c r="Q78">
        <v>64.585432355829695</v>
      </c>
      <c r="S78">
        <v>21.8242436235684</v>
      </c>
      <c r="AA78">
        <v>2.9350967510126802</v>
      </c>
      <c r="AB78">
        <v>8.8051879335543095</v>
      </c>
      <c r="AC78">
        <v>1.85003933603472</v>
      </c>
      <c r="AJ78">
        <v>0.75617928837450799</v>
      </c>
      <c r="AK78">
        <v>0.13928981455220901</v>
      </c>
      <c r="AL78">
        <v>0.104530897073281</v>
      </c>
    </row>
    <row r="79" spans="1:38" x14ac:dyDescent="0.2">
      <c r="A79">
        <v>90</v>
      </c>
      <c r="B79">
        <v>748</v>
      </c>
      <c r="C79">
        <v>200</v>
      </c>
      <c r="D79">
        <v>0.37667384811242399</v>
      </c>
      <c r="E79">
        <v>30.641220302842498</v>
      </c>
      <c r="F79">
        <v>2.5225366586910001</v>
      </c>
      <c r="G79">
        <v>-483.70263744180136</v>
      </c>
      <c r="H79">
        <v>-419.23412781663797</v>
      </c>
      <c r="I79">
        <v>63.133241566041598</v>
      </c>
      <c r="J79">
        <v>36.437211746908602</v>
      </c>
      <c r="K79">
        <v>12.146987119998</v>
      </c>
      <c r="L79">
        <v>2.8478359618105603E-5</v>
      </c>
      <c r="M79">
        <v>1.795452063005456E-6</v>
      </c>
      <c r="N79" s="1">
        <v>-2.3544814367416199E-7</v>
      </c>
      <c r="O79" s="1">
        <v>1.1576029233276901E-10</v>
      </c>
      <c r="P79" s="1">
        <v>9.2558636763705897E-10</v>
      </c>
      <c r="Q79">
        <v>65.936677998270596</v>
      </c>
      <c r="S79">
        <v>19.009610624625498</v>
      </c>
      <c r="AA79">
        <v>0.29770100939577598</v>
      </c>
      <c r="AB79">
        <v>4.4374400628547797</v>
      </c>
      <c r="AC79">
        <v>10.3185703048532</v>
      </c>
      <c r="AJ79">
        <v>0.38956305524189699</v>
      </c>
      <c r="AK79">
        <v>1.4442299955702301E-2</v>
      </c>
      <c r="AL79">
        <v>0.59599464480240005</v>
      </c>
    </row>
    <row r="80" spans="1:38" x14ac:dyDescent="0.2">
      <c r="A80">
        <v>91</v>
      </c>
      <c r="B80">
        <v>746</v>
      </c>
      <c r="C80">
        <v>200</v>
      </c>
      <c r="D80">
        <v>0.37531325123877901</v>
      </c>
      <c r="E80">
        <v>18.586344997162001</v>
      </c>
      <c r="F80">
        <v>2.5773092394680499</v>
      </c>
      <c r="G80">
        <v>-301.09611625187983</v>
      </c>
      <c r="H80">
        <v>-261.49569418669205</v>
      </c>
      <c r="I80">
        <v>38.856323470723403</v>
      </c>
      <c r="J80">
        <v>22.746402305759599</v>
      </c>
      <c r="K80">
        <v>7.2115308138181096</v>
      </c>
      <c r="L80">
        <v>3.140337581444163E-5</v>
      </c>
      <c r="M80">
        <v>1.7998288810325499E-6</v>
      </c>
      <c r="N80" s="1">
        <v>-3.5208639442526699E-7</v>
      </c>
      <c r="O80" s="1">
        <v>6.2420634902216796E-11</v>
      </c>
      <c r="P80" s="1">
        <v>1.1765923571674701E-9</v>
      </c>
      <c r="Q80">
        <v>64.567298968689599</v>
      </c>
      <c r="S80">
        <v>21.841867605447199</v>
      </c>
      <c r="AA80">
        <v>2.9538678945076802</v>
      </c>
      <c r="AB80">
        <v>8.8109822123551407</v>
      </c>
      <c r="AC80">
        <v>1.82598331900019</v>
      </c>
      <c r="AJ80">
        <v>0.75665479355885601</v>
      </c>
      <c r="AK80">
        <v>0.140176535510498</v>
      </c>
      <c r="AL80">
        <v>0.103168670930645</v>
      </c>
    </row>
    <row r="81" spans="1:38" x14ac:dyDescent="0.2">
      <c r="A81">
        <v>91</v>
      </c>
      <c r="B81">
        <v>746</v>
      </c>
      <c r="C81">
        <v>200</v>
      </c>
      <c r="D81">
        <v>0.37531325123877901</v>
      </c>
      <c r="E81">
        <v>32.951389975326599</v>
      </c>
      <c r="F81">
        <v>2.5225668772425398</v>
      </c>
      <c r="G81">
        <v>-519.95704727952648</v>
      </c>
      <c r="H81">
        <v>-450.85486514721839</v>
      </c>
      <c r="I81">
        <v>67.803740501700403</v>
      </c>
      <c r="J81">
        <v>39.190800259416498</v>
      </c>
      <c r="K81">
        <v>13.0626427678088</v>
      </c>
      <c r="L81">
        <v>2.8496270030224682E-5</v>
      </c>
      <c r="M81">
        <v>1.7954515765795189E-6</v>
      </c>
      <c r="N81" s="1">
        <v>-2.6988402642851902E-7</v>
      </c>
      <c r="O81" s="1">
        <v>1.2438631413697801E-10</v>
      </c>
      <c r="P81" s="1">
        <v>1.0430959759002E-9</v>
      </c>
      <c r="Q81">
        <v>65.931498472473393</v>
      </c>
      <c r="S81">
        <v>19.002014331262199</v>
      </c>
      <c r="AA81">
        <v>0.292642561127399</v>
      </c>
      <c r="AB81">
        <v>4.40598309669332</v>
      </c>
      <c r="AC81">
        <v>10.367861538443499</v>
      </c>
      <c r="AJ81">
        <v>0.38686333514440802</v>
      </c>
      <c r="AK81">
        <v>1.41991721366966E-2</v>
      </c>
      <c r="AL81">
        <v>0.59893749271889396</v>
      </c>
    </row>
    <row r="82" spans="1:38" x14ac:dyDescent="0.2">
      <c r="A82">
        <v>92</v>
      </c>
      <c r="B82">
        <v>744</v>
      </c>
      <c r="C82">
        <v>200</v>
      </c>
      <c r="D82">
        <v>0.373947303740848</v>
      </c>
      <c r="E82">
        <v>19.1749207976473</v>
      </c>
      <c r="F82">
        <v>2.5776608111781298</v>
      </c>
      <c r="G82">
        <v>-310.5709555965035</v>
      </c>
      <c r="H82">
        <v>-269.84395108895438</v>
      </c>
      <c r="I82">
        <v>40.040313137245299</v>
      </c>
      <c r="J82">
        <v>23.489525780158399</v>
      </c>
      <c r="K82">
        <v>7.4388844003425403</v>
      </c>
      <c r="L82">
        <v>3.1509048578950012E-5</v>
      </c>
      <c r="M82">
        <v>1.8001294980504698E-6</v>
      </c>
      <c r="N82" s="1">
        <v>-3.8744312789609298E-7</v>
      </c>
      <c r="O82" s="1">
        <v>6.4173509232658402E-11</v>
      </c>
      <c r="P82" s="1">
        <v>1.28303161756413E-9</v>
      </c>
      <c r="Q82">
        <v>64.557269480890398</v>
      </c>
      <c r="S82">
        <v>21.8532999272533</v>
      </c>
      <c r="AA82">
        <v>2.9656399209213902</v>
      </c>
      <c r="AB82">
        <v>8.8186033544720903</v>
      </c>
      <c r="AC82">
        <v>1.8051873164626899</v>
      </c>
      <c r="AJ82">
        <v>0.75728038733243197</v>
      </c>
      <c r="AK82">
        <v>0.140729812656087</v>
      </c>
      <c r="AL82">
        <v>0.101989800011479</v>
      </c>
    </row>
    <row r="83" spans="1:38" x14ac:dyDescent="0.2">
      <c r="A83">
        <v>92</v>
      </c>
      <c r="B83">
        <v>744</v>
      </c>
      <c r="C83">
        <v>200</v>
      </c>
      <c r="D83">
        <v>0.373947303740848</v>
      </c>
      <c r="E83">
        <v>34.257496363124702</v>
      </c>
      <c r="F83">
        <v>2.52260354818244</v>
      </c>
      <c r="G83">
        <v>-540.35402719099386</v>
      </c>
      <c r="H83">
        <v>-468.74689577020831</v>
      </c>
      <c r="I83">
        <v>70.399775274822304</v>
      </c>
      <c r="J83">
        <v>40.753023464661197</v>
      </c>
      <c r="K83">
        <v>13.5802141354346</v>
      </c>
      <c r="L83">
        <v>2.8519765543264583E-5</v>
      </c>
      <c r="M83">
        <v>1.7955042758478873E-6</v>
      </c>
      <c r="N83" s="1">
        <v>-2.9937372078132602E-7</v>
      </c>
      <c r="O83" s="1">
        <v>1.29196266190171E-10</v>
      </c>
      <c r="P83" s="1">
        <v>1.1381304164412001E-9</v>
      </c>
      <c r="Q83">
        <v>65.927662797166604</v>
      </c>
      <c r="S83">
        <v>18.994818780963001</v>
      </c>
      <c r="AA83">
        <v>0.28760116084974402</v>
      </c>
      <c r="AB83">
        <v>4.3785714293380202</v>
      </c>
      <c r="AC83">
        <v>10.4113458316825</v>
      </c>
      <c r="AJ83">
        <v>0.38451009413918802</v>
      </c>
      <c r="AK83">
        <v>1.39565067975866E-2</v>
      </c>
      <c r="AL83">
        <v>0.60153339906322401</v>
      </c>
    </row>
    <row r="84" spans="1:38" x14ac:dyDescent="0.2">
      <c r="A84">
        <v>93</v>
      </c>
      <c r="B84">
        <v>742</v>
      </c>
      <c r="C84">
        <v>200</v>
      </c>
      <c r="D84">
        <v>0.37257597399398801</v>
      </c>
      <c r="E84">
        <v>19.5727351570645</v>
      </c>
      <c r="F84">
        <v>2.5779485519135799</v>
      </c>
      <c r="G84">
        <v>-316.95015587055406</v>
      </c>
      <c r="H84">
        <v>-275.50782378004288</v>
      </c>
      <c r="I84">
        <v>40.823850751624001</v>
      </c>
      <c r="J84">
        <v>24.0020819588816</v>
      </c>
      <c r="K84">
        <v>7.5923684134564597</v>
      </c>
      <c r="L84">
        <v>3.1624837764146183E-5</v>
      </c>
      <c r="M84">
        <v>1.8005954417073249E-6</v>
      </c>
      <c r="N84" s="1">
        <v>-4.22014159829183E-7</v>
      </c>
      <c r="O84" s="1">
        <v>6.5270668410295706E-11</v>
      </c>
      <c r="P84" s="1">
        <v>1.38535212688157E-9</v>
      </c>
      <c r="Q84">
        <v>64.553792482446099</v>
      </c>
      <c r="S84">
        <v>21.859743321651798</v>
      </c>
      <c r="AA84">
        <v>2.9717670973285402</v>
      </c>
      <c r="AB84">
        <v>8.8277472459822093</v>
      </c>
      <c r="AC84">
        <v>1.78694985259123</v>
      </c>
      <c r="AJ84">
        <v>0.75803104565817203</v>
      </c>
      <c r="AK84">
        <v>0.14101413998670001</v>
      </c>
      <c r="AL84">
        <v>0.100954814355127</v>
      </c>
    </row>
    <row r="85" spans="1:38" x14ac:dyDescent="0.2">
      <c r="A85">
        <v>93</v>
      </c>
      <c r="B85">
        <v>742</v>
      </c>
      <c r="C85">
        <v>200</v>
      </c>
      <c r="D85">
        <v>0.37257597399398801</v>
      </c>
      <c r="E85">
        <v>35.044023843523803</v>
      </c>
      <c r="F85">
        <v>2.52264533550842</v>
      </c>
      <c r="G85">
        <v>-552.55038271659407</v>
      </c>
      <c r="H85">
        <v>-479.53717900081216</v>
      </c>
      <c r="I85">
        <v>71.923561755190505</v>
      </c>
      <c r="J85">
        <v>41.699742740052599</v>
      </c>
      <c r="K85">
        <v>13.8917759663828</v>
      </c>
      <c r="L85">
        <v>2.854842602022709E-5</v>
      </c>
      <c r="M85">
        <v>1.7956007985672971E-6</v>
      </c>
      <c r="N85" s="1">
        <v>-3.27002114937159E-7</v>
      </c>
      <c r="O85" s="1">
        <v>1.3202463485276999E-10</v>
      </c>
      <c r="P85" s="1">
        <v>1.2234759100464999E-9</v>
      </c>
      <c r="Q85">
        <v>65.924875450068399</v>
      </c>
      <c r="S85">
        <v>18.987946551172399</v>
      </c>
      <c r="AA85">
        <v>0.28258189024645802</v>
      </c>
      <c r="AB85">
        <v>4.3543435319345898</v>
      </c>
      <c r="AC85">
        <v>10.450252576578</v>
      </c>
      <c r="AJ85">
        <v>0.38242963213501702</v>
      </c>
      <c r="AK85">
        <v>1.37146258042677E-2</v>
      </c>
      <c r="AL85">
        <v>0.60385574206071502</v>
      </c>
    </row>
    <row r="86" spans="1:38" x14ac:dyDescent="0.2">
      <c r="A86">
        <v>94</v>
      </c>
      <c r="B86">
        <v>740</v>
      </c>
      <c r="C86">
        <v>200</v>
      </c>
      <c r="D86">
        <v>0.37119923012387401</v>
      </c>
      <c r="E86">
        <v>19.875890942449299</v>
      </c>
      <c r="F86">
        <v>2.5782076344519398</v>
      </c>
      <c r="G86">
        <v>-321.79291489248783</v>
      </c>
      <c r="H86">
        <v>-279.84009059265219</v>
      </c>
      <c r="I86">
        <v>41.4083050879293</v>
      </c>
      <c r="J86">
        <v>24.4014435650035</v>
      </c>
      <c r="K86">
        <v>7.7091893906653599</v>
      </c>
      <c r="L86">
        <v>3.1749480644164447E-5</v>
      </c>
      <c r="M86">
        <v>1.8011485649544901E-6</v>
      </c>
      <c r="N86" s="1">
        <v>-4.5743537677300402E-7</v>
      </c>
      <c r="O86" s="1">
        <v>6.6032544702215399E-11</v>
      </c>
      <c r="P86" s="1">
        <v>1.4890840119475201E-9</v>
      </c>
      <c r="Q86">
        <v>64.553280292706802</v>
      </c>
      <c r="S86">
        <v>21.863919731054899</v>
      </c>
      <c r="AA86">
        <v>2.9753321903227499</v>
      </c>
      <c r="AB86">
        <v>8.8375548588311599</v>
      </c>
      <c r="AC86">
        <v>1.7699129270842999</v>
      </c>
      <c r="AJ86">
        <v>0.75883616443244795</v>
      </c>
      <c r="AK86">
        <v>0.14117641482916701</v>
      </c>
      <c r="AL86">
        <v>9.9987420738384E-2</v>
      </c>
    </row>
    <row r="87" spans="1:38" x14ac:dyDescent="0.2">
      <c r="A87">
        <v>94</v>
      </c>
      <c r="B87">
        <v>740</v>
      </c>
      <c r="C87">
        <v>200</v>
      </c>
      <c r="D87">
        <v>0.37119923012387401</v>
      </c>
      <c r="E87">
        <v>35.577978635540703</v>
      </c>
      <c r="F87">
        <v>2.5226904742777698</v>
      </c>
      <c r="G87">
        <v>-560.76017333887535</v>
      </c>
      <c r="H87">
        <v>-486.87532968204351</v>
      </c>
      <c r="I87">
        <v>72.925868486237704</v>
      </c>
      <c r="J87">
        <v>42.348039265101598</v>
      </c>
      <c r="K87">
        <v>14.1031882421986</v>
      </c>
      <c r="L87">
        <v>2.8581037799596843E-5</v>
      </c>
      <c r="M87">
        <v>1.7957210355781468E-6</v>
      </c>
      <c r="N87" s="1">
        <v>-3.54560170104258E-7</v>
      </c>
      <c r="O87" s="1">
        <v>1.33883210078854E-10</v>
      </c>
      <c r="P87" s="1">
        <v>1.3064226527887899E-9</v>
      </c>
      <c r="Q87">
        <v>65.922509617247201</v>
      </c>
      <c r="S87">
        <v>18.981257930171601</v>
      </c>
      <c r="AA87">
        <v>0.277615744180574</v>
      </c>
      <c r="AB87">
        <v>4.3315363108097502</v>
      </c>
      <c r="AC87">
        <v>10.487080397590701</v>
      </c>
      <c r="AJ87">
        <v>0.380470697542166</v>
      </c>
      <c r="AK87">
        <v>1.34751664300411E-2</v>
      </c>
      <c r="AL87">
        <v>0.60605413602779201</v>
      </c>
    </row>
    <row r="88" spans="1:38" x14ac:dyDescent="0.2">
      <c r="A88">
        <v>95</v>
      </c>
      <c r="B88">
        <v>738</v>
      </c>
      <c r="C88">
        <v>200</v>
      </c>
      <c r="D88">
        <v>0.36981704000395799</v>
      </c>
      <c r="E88">
        <v>20.123092051694201</v>
      </c>
      <c r="F88">
        <v>2.5784490398001898</v>
      </c>
      <c r="G88">
        <v>-325.72711444535355</v>
      </c>
      <c r="H88">
        <v>-283.38538781072032</v>
      </c>
      <c r="I88">
        <v>41.874822365260499</v>
      </c>
      <c r="J88">
        <v>24.734982360134499</v>
      </c>
      <c r="K88">
        <v>7.8043396402565799</v>
      </c>
      <c r="L88">
        <v>3.1882963979752431E-5</v>
      </c>
      <c r="M88">
        <v>1.8017657129517385E-6</v>
      </c>
      <c r="N88" s="1">
        <v>-4.9445595458974805E-7</v>
      </c>
      <c r="O88" s="1">
        <v>6.6587895479936698E-11</v>
      </c>
      <c r="P88" s="1">
        <v>1.5966944973008699E-9</v>
      </c>
      <c r="Q88">
        <v>64.554619649045705</v>
      </c>
      <c r="S88">
        <v>21.8666749469484</v>
      </c>
      <c r="AA88">
        <v>2.97729275115451</v>
      </c>
      <c r="AB88">
        <v>8.8477626992863208</v>
      </c>
      <c r="AC88">
        <v>1.7536499535649599</v>
      </c>
      <c r="AJ88">
        <v>0.75967408342479104</v>
      </c>
      <c r="AK88">
        <v>0.14126226802345601</v>
      </c>
      <c r="AL88">
        <v>9.9063648551752301E-2</v>
      </c>
    </row>
    <row r="89" spans="1:38" x14ac:dyDescent="0.2">
      <c r="A89">
        <v>95</v>
      </c>
      <c r="B89">
        <v>738</v>
      </c>
      <c r="C89">
        <v>200</v>
      </c>
      <c r="D89">
        <v>0.36981704000395799</v>
      </c>
      <c r="E89">
        <v>35.960983664458901</v>
      </c>
      <c r="F89">
        <v>2.5227383835058599</v>
      </c>
      <c r="G89">
        <v>-566.58781954102085</v>
      </c>
      <c r="H89">
        <v>-492.1504848829141</v>
      </c>
      <c r="I89">
        <v>73.6165105653035</v>
      </c>
      <c r="J89">
        <v>42.818663186920901</v>
      </c>
      <c r="K89">
        <v>14.2547415536936</v>
      </c>
      <c r="L89">
        <v>2.8617363691419859E-5</v>
      </c>
      <c r="M89">
        <v>1.7958591177377903E-6</v>
      </c>
      <c r="N89" s="1">
        <v>-3.8276413287153102E-7</v>
      </c>
      <c r="O89" s="1">
        <v>1.35156762154704E-10</v>
      </c>
      <c r="P89" s="1">
        <v>1.38983111607444E-9</v>
      </c>
      <c r="Q89">
        <v>65.9203709503699</v>
      </c>
      <c r="S89">
        <v>18.974707872368199</v>
      </c>
      <c r="AA89">
        <v>0.27271090810394499</v>
      </c>
      <c r="AB89">
        <v>4.3095985782472903</v>
      </c>
      <c r="AC89">
        <v>10.5226116909104</v>
      </c>
      <c r="AJ89">
        <v>0.37858601609167802</v>
      </c>
      <c r="AK89">
        <v>1.3238569169759001E-2</v>
      </c>
      <c r="AL89">
        <v>0.60817541473856196</v>
      </c>
    </row>
    <row r="90" spans="1:38" x14ac:dyDescent="0.2">
      <c r="A90">
        <v>97</v>
      </c>
      <c r="B90">
        <v>762</v>
      </c>
      <c r="C90">
        <v>180</v>
      </c>
      <c r="D90">
        <v>0.40730377240013699</v>
      </c>
      <c r="E90">
        <v>0.31666005584687101</v>
      </c>
      <c r="F90">
        <v>2.5790674973074901</v>
      </c>
      <c r="G90">
        <v>-5.1491897542170397</v>
      </c>
      <c r="H90">
        <v>-4.4578264607034876</v>
      </c>
      <c r="I90">
        <v>0.66788706324064395</v>
      </c>
      <c r="J90">
        <v>0.38564223061901198</v>
      </c>
      <c r="K90">
        <v>0.122780833063678</v>
      </c>
      <c r="L90">
        <v>3.0740042614401266E-5</v>
      </c>
      <c r="M90">
        <v>1.7935667160504728E-6</v>
      </c>
      <c r="N90" s="1">
        <v>-3.6249368244317802E-9</v>
      </c>
      <c r="O90" s="1">
        <v>1.0755719660218101E-12</v>
      </c>
      <c r="P90" s="1">
        <v>1.3228035099991499E-11</v>
      </c>
      <c r="Q90">
        <v>64.317230470907305</v>
      </c>
      <c r="S90">
        <v>22.097293967475402</v>
      </c>
      <c r="AA90">
        <v>3.2229473238398598</v>
      </c>
      <c r="AB90">
        <v>8.9233513889337406</v>
      </c>
      <c r="AC90">
        <v>1.4391768488436101</v>
      </c>
      <c r="AJ90">
        <v>0.76587239662303896</v>
      </c>
      <c r="AK90">
        <v>0.15285949469082699</v>
      </c>
      <c r="AL90">
        <v>8.1268108686133697E-2</v>
      </c>
    </row>
    <row r="91" spans="1:38" x14ac:dyDescent="0.2">
      <c r="A91">
        <v>98</v>
      </c>
      <c r="B91">
        <v>760</v>
      </c>
      <c r="C91">
        <v>180</v>
      </c>
      <c r="D91">
        <v>0.40602090693510101</v>
      </c>
      <c r="E91">
        <v>2.1064276459080999</v>
      </c>
      <c r="F91">
        <v>2.5769047052394001</v>
      </c>
      <c r="G91">
        <v>-34.226447608426135</v>
      </c>
      <c r="H91">
        <v>-29.640037666718946</v>
      </c>
      <c r="I91">
        <v>4.4392488425758003</v>
      </c>
      <c r="J91">
        <v>2.5665539255660201</v>
      </c>
      <c r="K91">
        <v>0.81742551116666695</v>
      </c>
      <c r="L91">
        <v>3.0867283091154754E-5</v>
      </c>
      <c r="M91">
        <v>1.7980330317826858E-6</v>
      </c>
      <c r="N91" s="1">
        <v>-2.56703048652456E-8</v>
      </c>
      <c r="O91" s="1">
        <v>7.1741824645225001E-12</v>
      </c>
      <c r="P91" s="1">
        <v>9.2469481719548203E-11</v>
      </c>
      <c r="Q91">
        <v>64.5166995941496</v>
      </c>
      <c r="S91">
        <v>21.9286604668847</v>
      </c>
      <c r="AA91">
        <v>3.0372795661925398</v>
      </c>
      <c r="AB91">
        <v>8.9257629893227506</v>
      </c>
      <c r="AC91">
        <v>1.5915973834503301</v>
      </c>
      <c r="AJ91">
        <v>0.76607325315564201</v>
      </c>
      <c r="AK91">
        <v>0.14405240310606299</v>
      </c>
      <c r="AL91">
        <v>8.98743437382932E-2</v>
      </c>
    </row>
    <row r="92" spans="1:38" x14ac:dyDescent="0.2">
      <c r="A92">
        <v>99</v>
      </c>
      <c r="B92">
        <v>758</v>
      </c>
      <c r="C92">
        <v>180</v>
      </c>
      <c r="D92">
        <v>0.40473306502448703</v>
      </c>
      <c r="E92">
        <v>4.0462027951194903</v>
      </c>
      <c r="F92">
        <v>2.5744684078364601</v>
      </c>
      <c r="G92">
        <v>-65.686786599214358</v>
      </c>
      <c r="H92">
        <v>-56.90121991310621</v>
      </c>
      <c r="I92">
        <v>8.5201635902711992</v>
      </c>
      <c r="J92">
        <v>4.9320185865292698</v>
      </c>
      <c r="K92">
        <v>1.5716653514967101</v>
      </c>
      <c r="L92">
        <v>3.098218729671512E-5</v>
      </c>
      <c r="M92">
        <v>1.802356752976728E-6</v>
      </c>
      <c r="N92" s="1">
        <v>-5.2332473536919101E-8</v>
      </c>
      <c r="O92" s="1">
        <v>1.3823371415472699E-11</v>
      </c>
      <c r="P92" s="1">
        <v>1.8628831500256801E-10</v>
      </c>
      <c r="Q92">
        <v>64.718497838663694</v>
      </c>
      <c r="S92">
        <v>21.7491569802622</v>
      </c>
      <c r="AA92">
        <v>2.84210049016168</v>
      </c>
      <c r="AB92">
        <v>8.9048678300067703</v>
      </c>
      <c r="AC92">
        <v>1.7853768609055001</v>
      </c>
      <c r="AJ92">
        <v>0.76436243412177496</v>
      </c>
      <c r="AK92">
        <v>0.13480999008912001</v>
      </c>
      <c r="AL92">
        <v>0.10082757578910299</v>
      </c>
    </row>
    <row r="93" spans="1:38" x14ac:dyDescent="0.2">
      <c r="A93">
        <v>100</v>
      </c>
      <c r="B93">
        <v>756</v>
      </c>
      <c r="C93">
        <v>180</v>
      </c>
      <c r="D93">
        <v>0.40344021765534699</v>
      </c>
      <c r="E93">
        <v>6.1217560587884501</v>
      </c>
      <c r="F93">
        <v>2.5716799307402098</v>
      </c>
      <c r="G93">
        <v>-99.276685763233246</v>
      </c>
      <c r="H93">
        <v>-86.022122340608107</v>
      </c>
      <c r="I93">
        <v>12.879136590997501</v>
      </c>
      <c r="J93">
        <v>7.4638084049862403</v>
      </c>
      <c r="K93">
        <v>2.3804502207342702</v>
      </c>
      <c r="L93">
        <v>3.1076344641351026E-5</v>
      </c>
      <c r="M93">
        <v>1.8064038063710826E-6</v>
      </c>
      <c r="N93" s="1">
        <v>-8.3668689761783306E-8</v>
      </c>
      <c r="O93" s="1">
        <v>2.09896198244567E-11</v>
      </c>
      <c r="P93" s="1">
        <v>2.9467438328162401E-10</v>
      </c>
      <c r="Q93">
        <v>64.920297416610097</v>
      </c>
      <c r="S93">
        <v>21.556958156257501</v>
      </c>
      <c r="AA93">
        <v>2.6364473196624298</v>
      </c>
      <c r="AB93">
        <v>8.8506931647191394</v>
      </c>
      <c r="AC93">
        <v>2.0356039427506598</v>
      </c>
      <c r="AJ93">
        <v>0.75992018800876404</v>
      </c>
      <c r="AK93">
        <v>0.12508942188932001</v>
      </c>
      <c r="AL93">
        <v>0.114990390101915</v>
      </c>
    </row>
    <row r="94" spans="1:38" x14ac:dyDescent="0.2">
      <c r="A94">
        <v>101</v>
      </c>
      <c r="B94">
        <v>754</v>
      </c>
      <c r="C94">
        <v>180</v>
      </c>
      <c r="D94">
        <v>0.402142335588766</v>
      </c>
      <c r="E94">
        <v>15.2634873937627</v>
      </c>
      <c r="F94">
        <v>2.57437093633501</v>
      </c>
      <c r="G94">
        <v>-247.55331564448332</v>
      </c>
      <c r="H94">
        <v>-214.61971112298801</v>
      </c>
      <c r="I94">
        <v>32.063091584963502</v>
      </c>
      <c r="J94">
        <v>18.6154670259873</v>
      </c>
      <c r="K94">
        <v>5.9290163582613102</v>
      </c>
      <c r="L94">
        <v>3.1030547400111614E-5</v>
      </c>
      <c r="M94">
        <v>1.8012037600750718E-6</v>
      </c>
      <c r="N94" s="1">
        <v>-2.2022877890616299E-7</v>
      </c>
      <c r="O94" s="1">
        <v>5.1975477451689797E-11</v>
      </c>
      <c r="P94" s="1">
        <v>7.6824893258907304E-10</v>
      </c>
      <c r="Q94">
        <v>64.666972652716794</v>
      </c>
      <c r="S94">
        <v>21.750024671694302</v>
      </c>
      <c r="AA94">
        <v>2.85483904222394</v>
      </c>
      <c r="AB94">
        <v>8.7923214816909301</v>
      </c>
      <c r="AC94">
        <v>1.9358421516739499</v>
      </c>
      <c r="AJ94">
        <v>0.75512393442504999</v>
      </c>
      <c r="AK94">
        <v>0.13548995373017</v>
      </c>
      <c r="AL94">
        <v>0.109386111844779</v>
      </c>
    </row>
    <row r="95" spans="1:38" x14ac:dyDescent="0.2">
      <c r="A95">
        <v>101</v>
      </c>
      <c r="B95">
        <v>754</v>
      </c>
      <c r="C95">
        <v>180</v>
      </c>
      <c r="D95">
        <v>0.402142335588766</v>
      </c>
      <c r="E95">
        <v>24.776663647599399</v>
      </c>
      <c r="F95">
        <v>2.5216578473062001</v>
      </c>
      <c r="G95">
        <v>-391.88847752606557</v>
      </c>
      <c r="H95">
        <v>-339.22661466632917</v>
      </c>
      <c r="I95">
        <v>51.269885469246297</v>
      </c>
      <c r="J95">
        <v>29.4581116931802</v>
      </c>
      <c r="K95">
        <v>9.8255453942997892</v>
      </c>
      <c r="L95">
        <v>2.8449096383510383E-5</v>
      </c>
      <c r="M95">
        <v>1.7972458445306905E-6</v>
      </c>
      <c r="N95" s="1">
        <v>-1.55942037325564E-7</v>
      </c>
      <c r="O95" s="1">
        <v>9.3777833583515998E-11</v>
      </c>
      <c r="P95" s="1">
        <v>6.4953632906458405E-10</v>
      </c>
      <c r="Q95">
        <v>65.965243120140201</v>
      </c>
      <c r="S95">
        <v>19.039508895524701</v>
      </c>
      <c r="AA95">
        <v>0.31570210834337298</v>
      </c>
      <c r="AB95">
        <v>4.5794781095429702</v>
      </c>
      <c r="AC95">
        <v>10.100067766448699</v>
      </c>
      <c r="AJ95">
        <v>0.40174243134322302</v>
      </c>
      <c r="AK95">
        <v>1.53045297096394E-2</v>
      </c>
      <c r="AL95">
        <v>0.58295303894713701</v>
      </c>
    </row>
    <row r="96" spans="1:38" x14ac:dyDescent="0.2">
      <c r="A96">
        <v>102</v>
      </c>
      <c r="B96">
        <v>752</v>
      </c>
      <c r="C96">
        <v>180</v>
      </c>
      <c r="D96">
        <v>0.40083938935765601</v>
      </c>
      <c r="E96">
        <v>17.461049673918801</v>
      </c>
      <c r="F96">
        <v>2.57537346559389</v>
      </c>
      <c r="G96">
        <v>-283.16704533801129</v>
      </c>
      <c r="H96">
        <v>-245.61186121138812</v>
      </c>
      <c r="I96">
        <v>36.633842975782201</v>
      </c>
      <c r="J96">
        <v>21.309260582624301</v>
      </c>
      <c r="K96">
        <v>6.7800068251041701</v>
      </c>
      <c r="L96">
        <v>3.1081035706419683E-5</v>
      </c>
      <c r="M96">
        <v>1.8000028509464948E-6</v>
      </c>
      <c r="N96" s="1">
        <v>-2.67957339956736E-7</v>
      </c>
      <c r="O96" s="1">
        <v>5.9226017040436304E-11</v>
      </c>
      <c r="P96" s="1">
        <v>9.2496531979052995E-10</v>
      </c>
      <c r="Q96">
        <v>64.591887378326703</v>
      </c>
      <c r="S96">
        <v>21.811324690701099</v>
      </c>
      <c r="AA96">
        <v>2.9229323078640101</v>
      </c>
      <c r="AB96">
        <v>8.7857039429968893</v>
      </c>
      <c r="AC96">
        <v>1.88815168011112</v>
      </c>
      <c r="AJ96">
        <v>0.75457931282098001</v>
      </c>
      <c r="AK96">
        <v>0.13872600447731201</v>
      </c>
      <c r="AL96">
        <v>0.106694682701707</v>
      </c>
    </row>
    <row r="97" spans="1:38" x14ac:dyDescent="0.2">
      <c r="A97">
        <v>102</v>
      </c>
      <c r="B97">
        <v>752</v>
      </c>
      <c r="C97">
        <v>180</v>
      </c>
      <c r="D97">
        <v>0.40083938935765601</v>
      </c>
      <c r="E97">
        <v>30.706832082493399</v>
      </c>
      <c r="F97">
        <v>2.5216419226353701</v>
      </c>
      <c r="G97">
        <v>-485.42318431150261</v>
      </c>
      <c r="H97">
        <v>-420.37942194206602</v>
      </c>
      <c r="I97">
        <v>63.448044061295001</v>
      </c>
      <c r="J97">
        <v>36.505628451417799</v>
      </c>
      <c r="K97">
        <v>12.177316615358899</v>
      </c>
      <c r="L97">
        <v>2.8437939159775141E-5</v>
      </c>
      <c r="M97">
        <v>1.7968869576093787E-6</v>
      </c>
      <c r="N97" s="1">
        <v>-2.04291520487856E-7</v>
      </c>
      <c r="O97" s="1">
        <v>1.1618576938460099E-10</v>
      </c>
      <c r="P97" s="1">
        <v>8.36577577860554E-10</v>
      </c>
      <c r="Q97">
        <v>65.950061357442706</v>
      </c>
      <c r="S97">
        <v>19.029147708903</v>
      </c>
      <c r="AA97">
        <v>0.31069648006789202</v>
      </c>
      <c r="AB97">
        <v>4.5184831676102997</v>
      </c>
      <c r="AC97">
        <v>10.191611285976</v>
      </c>
      <c r="AJ97">
        <v>0.39651441167333301</v>
      </c>
      <c r="AK97">
        <v>1.50665366168613E-2</v>
      </c>
      <c r="AL97">
        <v>0.58841905170980502</v>
      </c>
    </row>
    <row r="98" spans="1:38" x14ac:dyDescent="0.2">
      <c r="A98">
        <v>103</v>
      </c>
      <c r="B98">
        <v>750</v>
      </c>
      <c r="C98">
        <v>180</v>
      </c>
      <c r="D98">
        <v>0.39953134926452799</v>
      </c>
      <c r="E98">
        <v>18.380588788639798</v>
      </c>
      <c r="F98">
        <v>2.5759119211059698</v>
      </c>
      <c r="G98">
        <v>-298.02979669053121</v>
      </c>
      <c r="H98">
        <v>-258.6203257727297</v>
      </c>
      <c r="I98">
        <v>38.517784213264399</v>
      </c>
      <c r="J98">
        <v>22.4482092944158</v>
      </c>
      <c r="K98">
        <v>7.1355657148199496</v>
      </c>
      <c r="L98">
        <v>3.1158219096532023E-5</v>
      </c>
      <c r="M98">
        <v>1.7998314315793088E-6</v>
      </c>
      <c r="N98" s="1">
        <v>-3.0049420563227401E-7</v>
      </c>
      <c r="O98" s="1">
        <v>6.21450371411517E-11</v>
      </c>
      <c r="P98" s="1">
        <v>1.02659936260228E-9</v>
      </c>
      <c r="Q98">
        <v>64.563026477452198</v>
      </c>
      <c r="S98">
        <v>21.837200178668301</v>
      </c>
      <c r="AA98">
        <v>2.95101414704604</v>
      </c>
      <c r="AB98">
        <v>8.7892249286066892</v>
      </c>
      <c r="AC98">
        <v>1.8595342682265801</v>
      </c>
      <c r="AJ98">
        <v>0.75486805052336703</v>
      </c>
      <c r="AK98">
        <v>0.140056267246673</v>
      </c>
      <c r="AL98">
        <v>0.105075682229958</v>
      </c>
    </row>
    <row r="99" spans="1:38" x14ac:dyDescent="0.2">
      <c r="A99">
        <v>103</v>
      </c>
      <c r="B99">
        <v>750</v>
      </c>
      <c r="C99">
        <v>180</v>
      </c>
      <c r="D99">
        <v>0.39953134926452799</v>
      </c>
      <c r="E99">
        <v>33.049750881160499</v>
      </c>
      <c r="F99">
        <v>2.5216586638666301</v>
      </c>
      <c r="G99">
        <v>-522.2330696651162</v>
      </c>
      <c r="H99">
        <v>-452.45651562341635</v>
      </c>
      <c r="I99">
        <v>68.197775537995298</v>
      </c>
      <c r="J99">
        <v>39.294084545898599</v>
      </c>
      <c r="K99">
        <v>13.106353906949</v>
      </c>
      <c r="L99">
        <v>2.844696913623296E-5</v>
      </c>
      <c r="M99">
        <v>1.7968117844610721E-6</v>
      </c>
      <c r="N99" s="1">
        <v>-2.34098633613028E-7</v>
      </c>
      <c r="O99" s="1">
        <v>1.2497340388796801E-10</v>
      </c>
      <c r="P99" s="1">
        <v>9.4120134969906097E-10</v>
      </c>
      <c r="Q99">
        <v>65.943196391593006</v>
      </c>
      <c r="S99">
        <v>19.020875987324501</v>
      </c>
      <c r="AA99">
        <v>0.30547407100094198</v>
      </c>
      <c r="AB99">
        <v>4.4814995657840404</v>
      </c>
      <c r="AC99">
        <v>10.2489539842973</v>
      </c>
      <c r="AJ99">
        <v>0.393342900616445</v>
      </c>
      <c r="AK99">
        <v>1.4816072702538799E-2</v>
      </c>
      <c r="AL99">
        <v>0.59184102668101501</v>
      </c>
    </row>
    <row r="100" spans="1:38" x14ac:dyDescent="0.2">
      <c r="A100">
        <v>104</v>
      </c>
      <c r="B100">
        <v>748</v>
      </c>
      <c r="C100">
        <v>180</v>
      </c>
      <c r="D100">
        <v>0.39821818537923098</v>
      </c>
      <c r="E100">
        <v>18.929069467554601</v>
      </c>
      <c r="F100">
        <v>2.5763162053033302</v>
      </c>
      <c r="G100">
        <v>-306.86615698996098</v>
      </c>
      <c r="H100">
        <v>-266.40692939099807</v>
      </c>
      <c r="I100">
        <v>39.621238406662002</v>
      </c>
      <c r="J100">
        <v>23.137017690806701</v>
      </c>
      <c r="K100">
        <v>7.3473393633084498</v>
      </c>
      <c r="L100">
        <v>3.1247234799656424E-5</v>
      </c>
      <c r="M100">
        <v>1.7999722442969175E-6</v>
      </c>
      <c r="N100" s="1">
        <v>-3.2988068262658201E-7</v>
      </c>
      <c r="O100" s="1">
        <v>6.3799215005313002E-11</v>
      </c>
      <c r="P100" s="1">
        <v>1.1157880028444801E-9</v>
      </c>
      <c r="Q100">
        <v>64.547626371102993</v>
      </c>
      <c r="S100">
        <v>21.852770103587702</v>
      </c>
      <c r="AA100">
        <v>2.9674528988114202</v>
      </c>
      <c r="AB100">
        <v>8.7957251997323702</v>
      </c>
      <c r="AC100">
        <v>1.83642542676549</v>
      </c>
      <c r="AJ100">
        <v>0.75540165085583699</v>
      </c>
      <c r="AK100">
        <v>0.14083185565806</v>
      </c>
      <c r="AL100">
        <v>0.10376649348610099</v>
      </c>
    </row>
    <row r="101" spans="1:38" x14ac:dyDescent="0.2">
      <c r="A101">
        <v>104</v>
      </c>
      <c r="B101">
        <v>748</v>
      </c>
      <c r="C101">
        <v>180</v>
      </c>
      <c r="D101">
        <v>0.39821818537923098</v>
      </c>
      <c r="E101">
        <v>34.361612664965698</v>
      </c>
      <c r="F101">
        <v>2.5216860077992802</v>
      </c>
      <c r="G101">
        <v>-542.74196237085346</v>
      </c>
      <c r="H101">
        <v>-470.43194601216788</v>
      </c>
      <c r="I101">
        <v>70.812335463629694</v>
      </c>
      <c r="J101">
        <v>40.859647329421001</v>
      </c>
      <c r="K101">
        <v>13.626443799382301</v>
      </c>
      <c r="L101">
        <v>2.8463328980731313E-5</v>
      </c>
      <c r="M101">
        <v>1.7968214309092404E-6</v>
      </c>
      <c r="N101" s="1">
        <v>-2.59614171664597E-7</v>
      </c>
      <c r="O101" s="1">
        <v>1.2983662244611899E-10</v>
      </c>
      <c r="P101" s="1">
        <v>1.0250640186668399E-9</v>
      </c>
      <c r="Q101">
        <v>65.938649992013097</v>
      </c>
      <c r="S101">
        <v>19.013259525851499</v>
      </c>
      <c r="AA101">
        <v>0.30025125248809598</v>
      </c>
      <c r="AB101">
        <v>4.45140061412945</v>
      </c>
      <c r="AC101">
        <v>10.2964386155176</v>
      </c>
      <c r="AJ101">
        <v>0.39076090737042501</v>
      </c>
      <c r="AK101">
        <v>1.4564985146327E-2</v>
      </c>
      <c r="AL101">
        <v>0.59467410748324701</v>
      </c>
    </row>
    <row r="102" spans="1:38" x14ac:dyDescent="0.2">
      <c r="A102">
        <v>105</v>
      </c>
      <c r="B102">
        <v>746</v>
      </c>
      <c r="C102">
        <v>180</v>
      </c>
      <c r="D102">
        <v>0.396899867536674</v>
      </c>
      <c r="E102">
        <v>19.308766973132801</v>
      </c>
      <c r="F102">
        <v>2.5766464074700601</v>
      </c>
      <c r="G102">
        <v>-312.96020316513324</v>
      </c>
      <c r="H102">
        <v>-271.81763212960806</v>
      </c>
      <c r="I102">
        <v>40.3694952023992</v>
      </c>
      <c r="J102">
        <v>23.622122215705801</v>
      </c>
      <c r="K102">
        <v>7.49375890970291</v>
      </c>
      <c r="L102">
        <v>3.1345717089741291E-5</v>
      </c>
      <c r="M102">
        <v>1.8002956223649274E-6</v>
      </c>
      <c r="N102" s="1">
        <v>-3.5886058771650198E-7</v>
      </c>
      <c r="O102" s="1">
        <v>6.4872271512786494E-11</v>
      </c>
      <c r="P102" s="1">
        <v>1.20219417100174E-9</v>
      </c>
      <c r="Q102">
        <v>64.539721122856207</v>
      </c>
      <c r="S102">
        <v>21.862608488503401</v>
      </c>
      <c r="AA102">
        <v>2.9774142487106001</v>
      </c>
      <c r="AB102">
        <v>8.8039013830109099</v>
      </c>
      <c r="AC102">
        <v>1.8163547569187599</v>
      </c>
      <c r="AJ102">
        <v>0.75607294952547799</v>
      </c>
      <c r="AK102">
        <v>0.14129883589966699</v>
      </c>
      <c r="AL102">
        <v>0.10262821457485299</v>
      </c>
    </row>
    <row r="103" spans="1:38" x14ac:dyDescent="0.2">
      <c r="A103">
        <v>105</v>
      </c>
      <c r="B103">
        <v>746</v>
      </c>
      <c r="C103">
        <v>180</v>
      </c>
      <c r="D103">
        <v>0.396899867536674</v>
      </c>
      <c r="E103">
        <v>35.182132980719999</v>
      </c>
      <c r="F103">
        <v>2.5217198135271901</v>
      </c>
      <c r="G103">
        <v>-555.48572802148988</v>
      </c>
      <c r="H103">
        <v>-481.6891564405862</v>
      </c>
      <c r="I103">
        <v>72.409921582596894</v>
      </c>
      <c r="J103">
        <v>41.843314290537599</v>
      </c>
      <c r="K103">
        <v>13.9516423640697</v>
      </c>
      <c r="L103">
        <v>2.8484838801369631E-5</v>
      </c>
      <c r="M103">
        <v>1.7968801931936594E-6</v>
      </c>
      <c r="N103" s="1">
        <v>-2.83787064531146E-7</v>
      </c>
      <c r="O103" s="1">
        <v>1.32823227836088E-10</v>
      </c>
      <c r="P103" s="1">
        <v>1.10099832826353E-9</v>
      </c>
      <c r="Q103">
        <v>65.935335006735201</v>
      </c>
      <c r="S103">
        <v>19.0060315640462</v>
      </c>
      <c r="AA103">
        <v>0.29506161648609203</v>
      </c>
      <c r="AB103">
        <v>4.4250643056080898</v>
      </c>
      <c r="AC103">
        <v>10.3385075071243</v>
      </c>
      <c r="AJ103">
        <v>0.388501043608934</v>
      </c>
      <c r="AK103">
        <v>1.43151568574366E-2</v>
      </c>
      <c r="AL103">
        <v>0.59718379953362799</v>
      </c>
    </row>
    <row r="104" spans="1:38" x14ac:dyDescent="0.2">
      <c r="A104">
        <v>106</v>
      </c>
      <c r="B104">
        <v>744</v>
      </c>
      <c r="C104">
        <v>180</v>
      </c>
      <c r="D104">
        <v>0.39557636533451601</v>
      </c>
      <c r="E104">
        <v>19.599968005840001</v>
      </c>
      <c r="F104">
        <v>2.5769349837709101</v>
      </c>
      <c r="G104">
        <v>-317.61586865349432</v>
      </c>
      <c r="H104">
        <v>-275.9826525703557</v>
      </c>
      <c r="I104">
        <v>40.931245227487203</v>
      </c>
      <c r="J104">
        <v>24.001401185603299</v>
      </c>
      <c r="K104">
        <v>7.6059225899284302</v>
      </c>
      <c r="L104">
        <v>3.1452554254616944E-5</v>
      </c>
      <c r="M104">
        <v>1.800731095008291E-6</v>
      </c>
      <c r="N104" s="1">
        <v>-3.8861539347710101E-7</v>
      </c>
      <c r="O104" s="1">
        <v>6.5633439311563806E-11</v>
      </c>
      <c r="P104" s="1">
        <v>1.2899067226944501E-9</v>
      </c>
      <c r="Q104">
        <v>64.536056360835602</v>
      </c>
      <c r="S104">
        <v>21.869200606484998</v>
      </c>
      <c r="AA104">
        <v>2.98370793566035</v>
      </c>
      <c r="AB104">
        <v>8.8130167516672202</v>
      </c>
      <c r="AC104">
        <v>1.79801834535171</v>
      </c>
      <c r="AJ104">
        <v>0.75682137276039796</v>
      </c>
      <c r="AK104">
        <v>0.141591079281638</v>
      </c>
      <c r="AL104">
        <v>0.101587547957963</v>
      </c>
    </row>
    <row r="105" spans="1:38" x14ac:dyDescent="0.2">
      <c r="A105">
        <v>106</v>
      </c>
      <c r="B105">
        <v>744</v>
      </c>
      <c r="C105">
        <v>180</v>
      </c>
      <c r="D105">
        <v>0.39557636533451601</v>
      </c>
      <c r="E105">
        <v>35.739965849582703</v>
      </c>
      <c r="F105">
        <v>2.5217580044512</v>
      </c>
      <c r="G105">
        <v>-564.07888295339637</v>
      </c>
      <c r="H105">
        <v>-489.35511436847469</v>
      </c>
      <c r="I105">
        <v>73.463863328832304</v>
      </c>
      <c r="J105">
        <v>42.516558683872297</v>
      </c>
      <c r="K105">
        <v>14.1726390028295</v>
      </c>
      <c r="L105">
        <v>2.8510399932406727E-5</v>
      </c>
      <c r="M105">
        <v>1.7969692399444979E-6</v>
      </c>
      <c r="N105" s="1">
        <v>-3.0790388474858702E-7</v>
      </c>
      <c r="O105" s="1">
        <v>1.3480103644904401E-10</v>
      </c>
      <c r="P105" s="1">
        <v>1.17453644236093E-9</v>
      </c>
      <c r="Q105">
        <v>65.932669543400195</v>
      </c>
      <c r="S105">
        <v>18.999051053122699</v>
      </c>
      <c r="AA105">
        <v>0.28992457292955198</v>
      </c>
      <c r="AB105">
        <v>4.40082414656837</v>
      </c>
      <c r="AC105">
        <v>10.377530683979</v>
      </c>
      <c r="AJ105">
        <v>0.38642051395227101</v>
      </c>
      <c r="AK105">
        <v>1.40676636289922E-2</v>
      </c>
      <c r="AL105">
        <v>0.59951182241873502</v>
      </c>
    </row>
    <row r="106" spans="1:38" x14ac:dyDescent="0.2">
      <c r="A106">
        <v>107</v>
      </c>
      <c r="B106">
        <v>742</v>
      </c>
      <c r="C106">
        <v>180</v>
      </c>
      <c r="D106">
        <v>0.39424764813081797</v>
      </c>
      <c r="E106">
        <v>19.838766737630799</v>
      </c>
      <c r="F106">
        <v>2.57719800454917</v>
      </c>
      <c r="G106">
        <v>-321.4194598043772</v>
      </c>
      <c r="H106">
        <v>-279.4102064321757</v>
      </c>
      <c r="I106">
        <v>41.382311355170501</v>
      </c>
      <c r="J106">
        <v>24.3189326333972</v>
      </c>
      <c r="K106">
        <v>7.6978046322448499</v>
      </c>
      <c r="L106">
        <v>3.1567431244313267E-5</v>
      </c>
      <c r="M106">
        <v>1.8012443049351951E-6</v>
      </c>
      <c r="N106" s="1">
        <v>-4.1975871190599902E-7</v>
      </c>
      <c r="O106" s="1">
        <v>6.62028526185575E-11</v>
      </c>
      <c r="P106" s="1">
        <v>1.3809875067806601E-9</v>
      </c>
      <c r="Q106">
        <v>64.535016510459997</v>
      </c>
      <c r="S106">
        <v>21.873778502535899</v>
      </c>
      <c r="AA106">
        <v>2.9877273816457102</v>
      </c>
      <c r="AB106">
        <v>8.8227010505241399</v>
      </c>
      <c r="AC106">
        <v>1.7807765548342001</v>
      </c>
      <c r="AJ106">
        <v>0.75761647724055403</v>
      </c>
      <c r="AK106">
        <v>0.141774983465008</v>
      </c>
      <c r="AL106">
        <v>0.100608539294436</v>
      </c>
    </row>
    <row r="107" spans="1:38" x14ac:dyDescent="0.2">
      <c r="A107">
        <v>107</v>
      </c>
      <c r="B107">
        <v>742</v>
      </c>
      <c r="C107">
        <v>180</v>
      </c>
      <c r="D107">
        <v>0.39424764813081797</v>
      </c>
      <c r="E107">
        <v>36.140612357865102</v>
      </c>
      <c r="F107">
        <v>2.5217995778150999</v>
      </c>
      <c r="G107">
        <v>-570.18888790974313</v>
      </c>
      <c r="H107">
        <v>-494.8723609557033</v>
      </c>
      <c r="I107">
        <v>74.192510421159099</v>
      </c>
      <c r="J107">
        <v>43.0046539364496</v>
      </c>
      <c r="K107">
        <v>14.3312786138133</v>
      </c>
      <c r="L107">
        <v>2.8539560089899446E-5</v>
      </c>
      <c r="M107">
        <v>1.7970795690037517E-6</v>
      </c>
      <c r="N107" s="1">
        <v>-3.3259773292811801E-7</v>
      </c>
      <c r="O107" s="1">
        <v>1.36170281030953E-10</v>
      </c>
      <c r="P107" s="1">
        <v>1.2483341541245999E-9</v>
      </c>
      <c r="Q107">
        <v>65.930367488819499</v>
      </c>
      <c r="S107">
        <v>18.9922482151479</v>
      </c>
      <c r="AA107">
        <v>0.28484931491010101</v>
      </c>
      <c r="AB107">
        <v>4.3778596171861004</v>
      </c>
      <c r="AC107">
        <v>10.414675363936301</v>
      </c>
      <c r="AJ107">
        <v>0.38444899976582197</v>
      </c>
      <c r="AK107">
        <v>1.38230180077447E-2</v>
      </c>
      <c r="AL107">
        <v>0.60172798222643298</v>
      </c>
    </row>
    <row r="108" spans="1:38" x14ac:dyDescent="0.2">
      <c r="A108">
        <v>108</v>
      </c>
      <c r="B108">
        <v>740</v>
      </c>
      <c r="C108">
        <v>180</v>
      </c>
      <c r="D108">
        <v>0.39291368504170499</v>
      </c>
      <c r="E108">
        <v>20.0436944924644</v>
      </c>
      <c r="F108">
        <v>2.5774439787887902</v>
      </c>
      <c r="G108">
        <v>-324.67202649266159</v>
      </c>
      <c r="H108">
        <v>-282.36124025586014</v>
      </c>
      <c r="I108">
        <v>41.7616209216812</v>
      </c>
      <c r="J108">
        <v>24.597424102561501</v>
      </c>
      <c r="K108">
        <v>7.7765781360972399</v>
      </c>
      <c r="L108">
        <v>3.1690424822699042E-5</v>
      </c>
      <c r="M108">
        <v>1.8018177577573315E-6</v>
      </c>
      <c r="N108" s="1">
        <v>-4.5268364234009599E-7</v>
      </c>
      <c r="O108" s="1">
        <v>6.6641552163894005E-11</v>
      </c>
      <c r="P108" s="1">
        <v>1.4767054997363101E-9</v>
      </c>
      <c r="Q108">
        <v>64.535746946585505</v>
      </c>
      <c r="S108">
        <v>21.8769936314483</v>
      </c>
      <c r="AA108">
        <v>2.99020945863455</v>
      </c>
      <c r="AB108">
        <v>8.8327576667047296</v>
      </c>
      <c r="AC108">
        <v>1.76429229662678</v>
      </c>
      <c r="AJ108">
        <v>0.75844209626837999</v>
      </c>
      <c r="AK108">
        <v>0.14188566360555899</v>
      </c>
      <c r="AL108">
        <v>9.9672240126059797E-2</v>
      </c>
    </row>
    <row r="109" spans="1:38" x14ac:dyDescent="0.2">
      <c r="A109">
        <v>108</v>
      </c>
      <c r="B109">
        <v>740</v>
      </c>
      <c r="C109">
        <v>180</v>
      </c>
      <c r="D109">
        <v>0.39291368504170499</v>
      </c>
      <c r="E109">
        <v>36.438732264280702</v>
      </c>
      <c r="F109">
        <v>2.5218440064636898</v>
      </c>
      <c r="G109">
        <v>-574.67961855478836</v>
      </c>
      <c r="H109">
        <v>-498.98819864242915</v>
      </c>
      <c r="I109">
        <v>74.708996606977394</v>
      </c>
      <c r="J109">
        <v>43.372538759964101</v>
      </c>
      <c r="K109">
        <v>14.449241178631601</v>
      </c>
      <c r="L109">
        <v>2.8572171187650783E-5</v>
      </c>
      <c r="M109">
        <v>1.7972067015050709E-6</v>
      </c>
      <c r="N109" s="1">
        <v>-3.5823527255698903E-7</v>
      </c>
      <c r="O109" s="1">
        <v>1.37138076019623E-10</v>
      </c>
      <c r="P109" s="1">
        <v>1.32386842506403E-9</v>
      </c>
      <c r="Q109">
        <v>65.928278596882606</v>
      </c>
      <c r="S109">
        <v>18.985585759294999</v>
      </c>
      <c r="AA109">
        <v>0.27984013498990901</v>
      </c>
      <c r="AB109">
        <v>4.3557381393101799</v>
      </c>
      <c r="AC109">
        <v>10.4505573695221</v>
      </c>
      <c r="AJ109">
        <v>0.382549427165775</v>
      </c>
      <c r="AK109">
        <v>1.3581463951028799E-2</v>
      </c>
      <c r="AL109">
        <v>0.603869108883195</v>
      </c>
    </row>
    <row r="110" spans="1:38" x14ac:dyDescent="0.2">
      <c r="A110">
        <v>110</v>
      </c>
      <c r="B110">
        <v>770</v>
      </c>
      <c r="C110">
        <v>160</v>
      </c>
      <c r="D110">
        <v>0.43347601016152998</v>
      </c>
      <c r="E110">
        <v>0.35135774897170402</v>
      </c>
      <c r="F110">
        <v>2.5775176678834901</v>
      </c>
      <c r="G110">
        <v>-5.7222023887346207</v>
      </c>
      <c r="H110">
        <v>-4.9456271470632309</v>
      </c>
      <c r="I110">
        <v>0.74445213216832395</v>
      </c>
      <c r="J110">
        <v>0.42714142285128298</v>
      </c>
      <c r="K110">
        <v>0.13631632999055901</v>
      </c>
      <c r="L110">
        <v>3.0500548365531991E-5</v>
      </c>
      <c r="M110">
        <v>1.7936045392931182E-6</v>
      </c>
      <c r="N110" s="1">
        <v>-3.0877976925868E-9</v>
      </c>
      <c r="O110" s="1">
        <v>1.2015404448226E-12</v>
      </c>
      <c r="P110" s="1">
        <v>1.1962886992047401E-11</v>
      </c>
      <c r="Q110">
        <v>64.321802391408795</v>
      </c>
      <c r="S110">
        <v>22.095986551314599</v>
      </c>
      <c r="AA110">
        <v>3.22080189697345</v>
      </c>
      <c r="AB110">
        <v>8.9301121071937306</v>
      </c>
      <c r="AC110">
        <v>1.4312970531092299</v>
      </c>
      <c r="AJ110">
        <v>0.76642694587552596</v>
      </c>
      <c r="AK110">
        <v>0.15275261644315</v>
      </c>
      <c r="AL110">
        <v>8.0820437681322799E-2</v>
      </c>
    </row>
    <row r="111" spans="1:38" x14ac:dyDescent="0.2">
      <c r="A111">
        <v>111</v>
      </c>
      <c r="B111">
        <v>768</v>
      </c>
      <c r="C111">
        <v>160</v>
      </c>
      <c r="D111">
        <v>0.43225327762570398</v>
      </c>
      <c r="E111">
        <v>1.0363238827805601</v>
      </c>
      <c r="F111">
        <v>2.5767001498342301</v>
      </c>
      <c r="G111">
        <v>-16.870470884025831</v>
      </c>
      <c r="H111">
        <v>-14.586509248440942</v>
      </c>
      <c r="I111">
        <v>2.1936912410170302</v>
      </c>
      <c r="J111">
        <v>1.2603941625930799</v>
      </c>
      <c r="K111">
        <v>0.40219032969250801</v>
      </c>
      <c r="L111">
        <v>3.0591272895635742E-5</v>
      </c>
      <c r="M111">
        <v>1.7960171996385611E-6</v>
      </c>
      <c r="N111" s="1">
        <v>-9.7155911956472196E-9</v>
      </c>
      <c r="O111" s="1">
        <v>3.5456239678769198E-12</v>
      </c>
      <c r="P111" s="1">
        <v>3.7048077487392103E-11</v>
      </c>
      <c r="Q111">
        <v>64.418490351687794</v>
      </c>
      <c r="S111">
        <v>22.020532020033698</v>
      </c>
      <c r="AA111">
        <v>3.13599032235207</v>
      </c>
      <c r="AB111">
        <v>8.9477621789627193</v>
      </c>
      <c r="AC111">
        <v>1.4772251269636301</v>
      </c>
      <c r="AJ111">
        <v>0.76787582652310105</v>
      </c>
      <c r="AK111">
        <v>0.14871749698737499</v>
      </c>
      <c r="AL111">
        <v>8.3406676489523601E-2</v>
      </c>
    </row>
    <row r="112" spans="1:38" x14ac:dyDescent="0.2">
      <c r="A112">
        <v>112</v>
      </c>
      <c r="B112">
        <v>766</v>
      </c>
      <c r="C112">
        <v>160</v>
      </c>
      <c r="D112">
        <v>0.43102583842564002</v>
      </c>
      <c r="E112">
        <v>2.2232994427612498</v>
      </c>
      <c r="F112">
        <v>2.57531205721931</v>
      </c>
      <c r="G112">
        <v>-36.172655766013634</v>
      </c>
      <c r="H112">
        <v>-31.286456860806545</v>
      </c>
      <c r="I112">
        <v>4.7021112497782598</v>
      </c>
      <c r="J112">
        <v>2.7051134985432101</v>
      </c>
      <c r="K112">
        <v>0.86331263682346104</v>
      </c>
      <c r="L112">
        <v>3.0690896021796452E-5</v>
      </c>
      <c r="M112">
        <v>1.7991883361224567E-6</v>
      </c>
      <c r="N112" s="1">
        <v>-2.22017188807857E-8</v>
      </c>
      <c r="O112" s="1">
        <v>7.6180351010985897E-12</v>
      </c>
      <c r="P112" s="1">
        <v>8.3407807548957502E-11</v>
      </c>
      <c r="Q112">
        <v>64.555284748453403</v>
      </c>
      <c r="S112">
        <v>21.907082810901699</v>
      </c>
      <c r="AA112">
        <v>3.01047446080509</v>
      </c>
      <c r="AB112">
        <v>8.9551793063894003</v>
      </c>
      <c r="AC112">
        <v>1.5719786734503201</v>
      </c>
      <c r="AJ112">
        <v>0.76848610071280099</v>
      </c>
      <c r="AK112">
        <v>0.14276030547619201</v>
      </c>
      <c r="AL112">
        <v>8.8753593811005796E-2</v>
      </c>
    </row>
    <row r="113" spans="1:38" x14ac:dyDescent="0.2">
      <c r="A113">
        <v>113</v>
      </c>
      <c r="B113">
        <v>764</v>
      </c>
      <c r="C113">
        <v>160</v>
      </c>
      <c r="D113">
        <v>0.42979366533288699</v>
      </c>
      <c r="E113">
        <v>4.1068978892251202</v>
      </c>
      <c r="F113">
        <v>2.5730500619130598</v>
      </c>
      <c r="G113">
        <v>-66.76237790511918</v>
      </c>
      <c r="H113">
        <v>-57.761481630461674</v>
      </c>
      <c r="I113">
        <v>8.6784903578628896</v>
      </c>
      <c r="J113">
        <v>4.9983696646014701</v>
      </c>
      <c r="K113">
        <v>1.5961204758572101</v>
      </c>
      <c r="L113">
        <v>3.0792284368303447E-5</v>
      </c>
      <c r="M113">
        <v>1.8032334887434557E-6</v>
      </c>
      <c r="N113" s="1">
        <v>-4.3527885748930403E-8</v>
      </c>
      <c r="O113" s="1">
        <v>1.41151196241019E-11</v>
      </c>
      <c r="P113" s="1">
        <v>1.6131142701929899E-10</v>
      </c>
      <c r="Q113">
        <v>64.744131139950696</v>
      </c>
      <c r="S113">
        <v>21.739535836437899</v>
      </c>
      <c r="AA113">
        <v>2.8281817675683998</v>
      </c>
      <c r="AB113">
        <v>8.9367671881527304</v>
      </c>
      <c r="AC113">
        <v>1.75138406789013</v>
      </c>
      <c r="AJ113">
        <v>0.766979222061555</v>
      </c>
      <c r="AK113">
        <v>0.13412856030873499</v>
      </c>
      <c r="AL113">
        <v>9.8892217629708706E-2</v>
      </c>
    </row>
    <row r="114" spans="1:38" x14ac:dyDescent="0.2">
      <c r="A114">
        <v>114</v>
      </c>
      <c r="B114">
        <v>762</v>
      </c>
      <c r="C114">
        <v>160</v>
      </c>
      <c r="D114">
        <v>0.428556730908567</v>
      </c>
      <c r="E114">
        <v>6.0960398257610304</v>
      </c>
      <c r="F114">
        <v>2.5705226859749502</v>
      </c>
      <c r="G114">
        <v>-99.001542628568643</v>
      </c>
      <c r="H114">
        <v>-85.678829810815671</v>
      </c>
      <c r="I114">
        <v>12.870321033427899</v>
      </c>
      <c r="J114">
        <v>7.4205710138147101</v>
      </c>
      <c r="K114">
        <v>2.3715176135272702</v>
      </c>
      <c r="L114">
        <v>3.0876344129054626E-5</v>
      </c>
      <c r="M114">
        <v>1.8069993484726471E-6</v>
      </c>
      <c r="N114" s="1">
        <v>-6.8313878587327199E-8</v>
      </c>
      <c r="O114" s="1">
        <v>2.1023087840486201E-11</v>
      </c>
      <c r="P114" s="1">
        <v>2.5006064977246E-10</v>
      </c>
      <c r="Q114">
        <v>64.930517056290896</v>
      </c>
      <c r="S114">
        <v>21.563469983607501</v>
      </c>
      <c r="AA114">
        <v>2.6394350306938601</v>
      </c>
      <c r="AB114">
        <v>8.8905386857857192</v>
      </c>
      <c r="AC114">
        <v>1.9760392436219401</v>
      </c>
      <c r="AJ114">
        <v>0.763190130189908</v>
      </c>
      <c r="AK114">
        <v>0.12520637326820999</v>
      </c>
      <c r="AL114">
        <v>0.11160349654188</v>
      </c>
    </row>
    <row r="115" spans="1:38" x14ac:dyDescent="0.2">
      <c r="A115">
        <v>115</v>
      </c>
      <c r="B115">
        <v>760</v>
      </c>
      <c r="C115">
        <v>160</v>
      </c>
      <c r="D115">
        <v>0.427315007501331</v>
      </c>
      <c r="E115">
        <v>11.2317947669781</v>
      </c>
      <c r="F115">
        <v>2.5702469869134301</v>
      </c>
      <c r="G115">
        <v>-182.29597316505914</v>
      </c>
      <c r="H115">
        <v>-157.8268983365781</v>
      </c>
      <c r="I115">
        <v>23.683951825466799</v>
      </c>
      <c r="J115">
        <v>13.672466867037601</v>
      </c>
      <c r="K115">
        <v>4.3699281914016401</v>
      </c>
      <c r="L115">
        <v>3.0870056686038053E-5</v>
      </c>
      <c r="M115">
        <v>1.8061116048328446E-6</v>
      </c>
      <c r="N115" s="1">
        <v>-1.32345202252198E-7</v>
      </c>
      <c r="O115" s="1">
        <v>3.8699977790619203E-11</v>
      </c>
      <c r="P115" s="1">
        <v>4.7936081971159295E-10</v>
      </c>
      <c r="Q115">
        <v>64.901179058692605</v>
      </c>
      <c r="S115">
        <v>21.5561592389253</v>
      </c>
      <c r="AA115">
        <v>2.6402492121384999</v>
      </c>
      <c r="AB115">
        <v>8.8059944635326008</v>
      </c>
      <c r="AC115">
        <v>2.0964180267108801</v>
      </c>
      <c r="AJ115">
        <v>0.75625030879257304</v>
      </c>
      <c r="AK115">
        <v>0.12529763361665</v>
      </c>
      <c r="AL115">
        <v>0.118452057590776</v>
      </c>
    </row>
    <row r="116" spans="1:38" x14ac:dyDescent="0.2">
      <c r="A116">
        <v>115</v>
      </c>
      <c r="B116">
        <v>760</v>
      </c>
      <c r="C116">
        <v>160</v>
      </c>
      <c r="D116">
        <v>0.427315007501331</v>
      </c>
      <c r="E116">
        <v>11.852126504512301</v>
      </c>
      <c r="F116">
        <v>2.5209698682851802</v>
      </c>
      <c r="G116">
        <v>-187.90146784924704</v>
      </c>
      <c r="H116">
        <v>-162.44306544464158</v>
      </c>
      <c r="I116">
        <v>24.641535502691202</v>
      </c>
      <c r="J116">
        <v>14.0988640206971</v>
      </c>
      <c r="K116">
        <v>4.7014153773184004</v>
      </c>
      <c r="L116">
        <v>2.8501756656013165E-5</v>
      </c>
      <c r="M116">
        <v>1.8000989912042103E-6</v>
      </c>
      <c r="N116" s="1">
        <v>-6.2633028969456999E-8</v>
      </c>
      <c r="O116" s="1">
        <v>4.4880662808102001E-11</v>
      </c>
      <c r="P116" s="1">
        <v>2.7630600826403799E-10</v>
      </c>
      <c r="Q116">
        <v>66.022678170582196</v>
      </c>
      <c r="S116">
        <v>19.078677693556099</v>
      </c>
      <c r="AA116">
        <v>0.33461508394252798</v>
      </c>
      <c r="AB116">
        <v>4.81015513623937</v>
      </c>
      <c r="AC116">
        <v>9.7538739156795895</v>
      </c>
      <c r="AJ116">
        <v>0.42148503882723598</v>
      </c>
      <c r="AK116">
        <v>1.62024013066151E-2</v>
      </c>
      <c r="AL116">
        <v>0.56231255986614803</v>
      </c>
    </row>
    <row r="117" spans="1:38" x14ac:dyDescent="0.2">
      <c r="A117">
        <v>116</v>
      </c>
      <c r="B117">
        <v>758</v>
      </c>
      <c r="C117">
        <v>160</v>
      </c>
      <c r="D117">
        <v>0.426068467245311</v>
      </c>
      <c r="E117">
        <v>16.234454821934499</v>
      </c>
      <c r="F117">
        <v>2.5730722970286402</v>
      </c>
      <c r="G117">
        <v>-263.54022886455738</v>
      </c>
      <c r="H117">
        <v>-228.293366547993</v>
      </c>
      <c r="I117">
        <v>34.182090206627898</v>
      </c>
      <c r="J117">
        <v>19.7688387920332</v>
      </c>
      <c r="K117">
        <v>6.3093659827133202</v>
      </c>
      <c r="L117">
        <v>3.0830551680286856E-5</v>
      </c>
      <c r="M117">
        <v>1.8011185746649095E-6</v>
      </c>
      <c r="N117" s="1">
        <v>-2.0238389246472399E-7</v>
      </c>
      <c r="O117" s="1">
        <v>5.5555680478059898E-11</v>
      </c>
      <c r="P117" s="1">
        <v>7.2505215278824403E-10</v>
      </c>
      <c r="Q117">
        <v>64.652248246157697</v>
      </c>
      <c r="S117">
        <v>21.752954156997401</v>
      </c>
      <c r="AA117">
        <v>2.8606916365695398</v>
      </c>
      <c r="AB117">
        <v>8.7671889577464004</v>
      </c>
      <c r="AC117">
        <v>1.9669170025288001</v>
      </c>
      <c r="AJ117">
        <v>0.753059441289196</v>
      </c>
      <c r="AK117">
        <v>0.13578466571098799</v>
      </c>
      <c r="AL117">
        <v>0.111155892999815</v>
      </c>
    </row>
    <row r="118" spans="1:38" x14ac:dyDescent="0.2">
      <c r="A118">
        <v>116</v>
      </c>
      <c r="B118">
        <v>758</v>
      </c>
      <c r="C118">
        <v>160</v>
      </c>
      <c r="D118">
        <v>0.426068467245311</v>
      </c>
      <c r="E118">
        <v>27.6193604684712</v>
      </c>
      <c r="F118">
        <v>2.5207796425603202</v>
      </c>
      <c r="G118">
        <v>-437.4500592665604</v>
      </c>
      <c r="H118">
        <v>-378.35537344605638</v>
      </c>
      <c r="I118">
        <v>57.309495049705703</v>
      </c>
      <c r="J118">
        <v>32.831925404427103</v>
      </c>
      <c r="K118">
        <v>10.9566738806326</v>
      </c>
      <c r="L118">
        <v>2.8413257112052305E-5</v>
      </c>
      <c r="M118">
        <v>1.7985852149374585E-6</v>
      </c>
      <c r="N118" s="1">
        <v>-1.49691465608824E-7</v>
      </c>
      <c r="O118" s="1">
        <v>1.0466703778525399E-10</v>
      </c>
      <c r="P118" s="1">
        <v>6.5428556071270801E-10</v>
      </c>
      <c r="Q118">
        <v>65.974049210256993</v>
      </c>
      <c r="S118">
        <v>19.0590444020451</v>
      </c>
      <c r="AA118">
        <v>0.32976432050848298</v>
      </c>
      <c r="AB118">
        <v>4.6503168793368399</v>
      </c>
      <c r="AC118">
        <v>9.9868251878525403</v>
      </c>
      <c r="AJ118">
        <v>0.40781004986285702</v>
      </c>
      <c r="AK118">
        <v>1.5980480429493699E-2</v>
      </c>
      <c r="AL118">
        <v>0.57620946970764897</v>
      </c>
    </row>
    <row r="119" spans="1:38" x14ac:dyDescent="0.2">
      <c r="A119">
        <v>117</v>
      </c>
      <c r="B119">
        <v>756</v>
      </c>
      <c r="C119">
        <v>160</v>
      </c>
      <c r="D119">
        <v>0.424817082058009</v>
      </c>
      <c r="E119">
        <v>17.6255041676873</v>
      </c>
      <c r="F119">
        <v>2.5740292442455299</v>
      </c>
      <c r="G119">
        <v>-286.09211681818283</v>
      </c>
      <c r="H119">
        <v>-247.94607221187124</v>
      </c>
      <c r="I119">
        <v>37.065582865774203</v>
      </c>
      <c r="J119">
        <v>21.474390495188199</v>
      </c>
      <c r="K119">
        <v>6.8474374201810901</v>
      </c>
      <c r="L119">
        <v>3.0873508303364149E-5</v>
      </c>
      <c r="M119">
        <v>1.8000039505839533E-6</v>
      </c>
      <c r="N119" s="1">
        <v>-2.3367177180936901E-7</v>
      </c>
      <c r="O119" s="1">
        <v>6.0104642769516594E-11</v>
      </c>
      <c r="P119" s="1">
        <v>8.27449458741422E-10</v>
      </c>
      <c r="Q119">
        <v>64.582297419655404</v>
      </c>
      <c r="S119">
        <v>21.810551979954699</v>
      </c>
      <c r="AA119">
        <v>2.9245324993390902</v>
      </c>
      <c r="AB119">
        <v>8.7623074726096704</v>
      </c>
      <c r="AC119">
        <v>1.92031062844109</v>
      </c>
      <c r="AJ119">
        <v>0.75265738162342899</v>
      </c>
      <c r="AK119">
        <v>0.138818094541965</v>
      </c>
      <c r="AL119">
        <v>0.10852452383460499</v>
      </c>
    </row>
    <row r="120" spans="1:38" x14ac:dyDescent="0.2">
      <c r="A120">
        <v>117</v>
      </c>
      <c r="B120">
        <v>756</v>
      </c>
      <c r="C120">
        <v>160</v>
      </c>
      <c r="D120">
        <v>0.424817082058009</v>
      </c>
      <c r="E120">
        <v>31.741502743098</v>
      </c>
      <c r="F120">
        <v>2.5207542744268601</v>
      </c>
      <c r="G120">
        <v>-502.4713089214244</v>
      </c>
      <c r="H120">
        <v>-434.78637964536193</v>
      </c>
      <c r="I120">
        <v>65.767797965371798</v>
      </c>
      <c r="J120">
        <v>37.727850205533102</v>
      </c>
      <c r="K120">
        <v>12.5920654246693</v>
      </c>
      <c r="L120">
        <v>2.840042199011315E-5</v>
      </c>
      <c r="M120">
        <v>1.7982438742031389E-6</v>
      </c>
      <c r="N120" s="1">
        <v>-1.820739126136E-7</v>
      </c>
      <c r="O120" s="1">
        <v>1.20260133902448E-10</v>
      </c>
      <c r="P120" s="1">
        <v>7.8080093682916999E-10</v>
      </c>
      <c r="Q120">
        <v>65.959960092160799</v>
      </c>
      <c r="S120">
        <v>19.0484917479512</v>
      </c>
      <c r="AA120">
        <v>0.32434577592769498</v>
      </c>
      <c r="AB120">
        <v>4.5912548804422002</v>
      </c>
      <c r="AC120">
        <v>10.075947503518</v>
      </c>
      <c r="AJ120">
        <v>0.40275140504886697</v>
      </c>
      <c r="AK120">
        <v>1.5722612026501801E-2</v>
      </c>
      <c r="AL120">
        <v>0.58152598292462998</v>
      </c>
    </row>
    <row r="121" spans="1:38" x14ac:dyDescent="0.2">
      <c r="A121">
        <v>118</v>
      </c>
      <c r="B121">
        <v>754</v>
      </c>
      <c r="C121">
        <v>160</v>
      </c>
      <c r="D121">
        <v>0.42356082363822201</v>
      </c>
      <c r="E121">
        <v>18.323716638334702</v>
      </c>
      <c r="F121">
        <v>2.5745983387306399</v>
      </c>
      <c r="G121">
        <v>-297.37742164989095</v>
      </c>
      <c r="H121">
        <v>-257.84360705419891</v>
      </c>
      <c r="I121">
        <v>38.488842521240301</v>
      </c>
      <c r="J121">
        <v>22.3391074152111</v>
      </c>
      <c r="K121">
        <v>7.1171166246339199</v>
      </c>
      <c r="L121">
        <v>3.0938238548279133E-5</v>
      </c>
      <c r="M121">
        <v>1.7997368530651812E-6</v>
      </c>
      <c r="N121" s="1">
        <v>-2.5868743073062398E-7</v>
      </c>
      <c r="O121" s="1">
        <v>6.2303412593967003E-11</v>
      </c>
      <c r="P121" s="1">
        <v>9.0564058779403703E-10</v>
      </c>
      <c r="Q121">
        <v>64.550533141634602</v>
      </c>
      <c r="S121">
        <v>21.838748831077499</v>
      </c>
      <c r="AA121">
        <v>2.9552069502587202</v>
      </c>
      <c r="AB121">
        <v>8.7654441932321205</v>
      </c>
      <c r="AC121">
        <v>1.8900668837969701</v>
      </c>
      <c r="AJ121">
        <v>0.75291457769043002</v>
      </c>
      <c r="AK121">
        <v>0.14027183121811301</v>
      </c>
      <c r="AL121">
        <v>0.10681359109145599</v>
      </c>
    </row>
    <row r="122" spans="1:38" x14ac:dyDescent="0.2">
      <c r="A122">
        <v>118</v>
      </c>
      <c r="B122">
        <v>754</v>
      </c>
      <c r="C122">
        <v>160</v>
      </c>
      <c r="D122">
        <v>0.42356082363822201</v>
      </c>
      <c r="E122">
        <v>33.6602739236396</v>
      </c>
      <c r="F122">
        <v>2.5207608298214601</v>
      </c>
      <c r="G122">
        <v>-532.60904913773606</v>
      </c>
      <c r="H122">
        <v>-461.06784759113617</v>
      </c>
      <c r="I122">
        <v>69.650198653166399</v>
      </c>
      <c r="J122">
        <v>40.009476719666502</v>
      </c>
      <c r="K122">
        <v>13.3532199982747</v>
      </c>
      <c r="L122">
        <v>2.8404279761190526E-5</v>
      </c>
      <c r="M122">
        <v>1.7981411670216683E-6</v>
      </c>
      <c r="N122" s="1">
        <v>-2.0560930057561101E-7</v>
      </c>
      <c r="O122" s="1">
        <v>1.2746868431907501E-10</v>
      </c>
      <c r="P122" s="1">
        <v>8.6405842570730397E-10</v>
      </c>
      <c r="Q122">
        <v>65.952800867057306</v>
      </c>
      <c r="S122">
        <v>19.0398230124785</v>
      </c>
      <c r="AA122">
        <v>0.31886448770695702</v>
      </c>
      <c r="AB122">
        <v>4.55257471410716</v>
      </c>
      <c r="AC122">
        <v>10.1359369186499</v>
      </c>
      <c r="AJ122">
        <v>0.39943683051352102</v>
      </c>
      <c r="AK122">
        <v>1.5459945887660901E-2</v>
      </c>
      <c r="AL122">
        <v>0.58510322359881695</v>
      </c>
    </row>
    <row r="123" spans="1:38" x14ac:dyDescent="0.2">
      <c r="A123">
        <v>119</v>
      </c>
      <c r="B123">
        <v>752</v>
      </c>
      <c r="C123">
        <v>160</v>
      </c>
      <c r="D123">
        <v>0.42229966346388498</v>
      </c>
      <c r="E123">
        <v>18.771767690292599</v>
      </c>
      <c r="F123">
        <v>2.5750194170179301</v>
      </c>
      <c r="G123">
        <v>-304.59323528461817</v>
      </c>
      <c r="H123">
        <v>-264.21810820950355</v>
      </c>
      <c r="I123">
        <v>39.384604277534599</v>
      </c>
      <c r="J123">
        <v>22.901213154805301</v>
      </c>
      <c r="K123">
        <v>7.2899518994818804</v>
      </c>
      <c r="L123">
        <v>3.1014469344109379E-5</v>
      </c>
      <c r="M123">
        <v>1.7998063624285329E-6</v>
      </c>
      <c r="N123" s="1">
        <v>-2.8237784773322803E-7</v>
      </c>
      <c r="O123" s="1">
        <v>6.3649134338941598E-11</v>
      </c>
      <c r="P123" s="1">
        <v>9.7774298991826097E-10</v>
      </c>
      <c r="Q123">
        <v>64.533482074286198</v>
      </c>
      <c r="S123">
        <v>21.855644799938499</v>
      </c>
      <c r="AA123">
        <v>2.9731249310326402</v>
      </c>
      <c r="AB123">
        <v>8.7717417828828097</v>
      </c>
      <c r="AC123">
        <v>1.8660064118597699</v>
      </c>
      <c r="AJ123">
        <v>0.75343163132525204</v>
      </c>
      <c r="AK123">
        <v>0.141117852732039</v>
      </c>
      <c r="AL123">
        <v>0.105450515942708</v>
      </c>
    </row>
    <row r="124" spans="1:38" x14ac:dyDescent="0.2">
      <c r="A124">
        <v>119</v>
      </c>
      <c r="B124">
        <v>752</v>
      </c>
      <c r="C124">
        <v>160</v>
      </c>
      <c r="D124">
        <v>0.42229966346388498</v>
      </c>
      <c r="E124">
        <v>34.777930638692297</v>
      </c>
      <c r="F124">
        <v>2.52078025353428</v>
      </c>
      <c r="G124">
        <v>-550.06786843624673</v>
      </c>
      <c r="H124">
        <v>-476.39100468358038</v>
      </c>
      <c r="I124">
        <v>71.869349609975501</v>
      </c>
      <c r="J124">
        <v>41.341632341361503</v>
      </c>
      <c r="K124">
        <v>13.796494394912701</v>
      </c>
      <c r="L124">
        <v>2.8415643096914996E-5</v>
      </c>
      <c r="M124">
        <v>1.7981310686190996E-6</v>
      </c>
      <c r="N124" s="1">
        <v>-2.2669070647700599E-7</v>
      </c>
      <c r="O124" s="1">
        <v>1.3162108441686601E-10</v>
      </c>
      <c r="P124" s="1">
        <v>9.3374479841141804E-10</v>
      </c>
      <c r="Q124">
        <v>65.948202380488098</v>
      </c>
      <c r="S124">
        <v>19.031911281721101</v>
      </c>
      <c r="AA124">
        <v>0.313410222798092</v>
      </c>
      <c r="AB124">
        <v>4.5215856025732197</v>
      </c>
      <c r="AC124">
        <v>10.184890512419299</v>
      </c>
      <c r="AJ124">
        <v>0.396780385474298</v>
      </c>
      <c r="AK124">
        <v>1.5197893126942801E-2</v>
      </c>
      <c r="AL124">
        <v>0.58802172139875797</v>
      </c>
    </row>
    <row r="125" spans="1:38" x14ac:dyDescent="0.2">
      <c r="A125">
        <v>120</v>
      </c>
      <c r="B125">
        <v>750</v>
      </c>
      <c r="C125">
        <v>160</v>
      </c>
      <c r="D125">
        <v>0.42103357278991599</v>
      </c>
      <c r="E125">
        <v>19.103280451343</v>
      </c>
      <c r="F125">
        <v>2.5753818924190299</v>
      </c>
      <c r="G125">
        <v>-309.91310561096907</v>
      </c>
      <c r="H125">
        <v>-268.95210350549797</v>
      </c>
      <c r="I125">
        <v>40.034210140713498</v>
      </c>
      <c r="J125">
        <v>23.323172875904199</v>
      </c>
      <c r="K125">
        <v>7.4176495950274202</v>
      </c>
      <c r="L125">
        <v>3.1098421193608006E-5</v>
      </c>
      <c r="M125">
        <v>1.8000182940671375E-6</v>
      </c>
      <c r="N125" s="1">
        <v>-3.0630178697473301E-7</v>
      </c>
      <c r="O125" s="1">
        <v>6.4589791912117594E-11</v>
      </c>
      <c r="P125" s="1">
        <v>1.0494058132909701E-9</v>
      </c>
      <c r="Q125">
        <v>64.522255833367694</v>
      </c>
      <c r="S125">
        <v>21.868052150755702</v>
      </c>
      <c r="AA125">
        <v>2.9859806123437398</v>
      </c>
      <c r="AB125">
        <v>8.7792521901559102</v>
      </c>
      <c r="AC125">
        <v>1.84445921337685</v>
      </c>
      <c r="AJ125">
        <v>0.75404835645784196</v>
      </c>
      <c r="AK125">
        <v>0.141722709580547</v>
      </c>
      <c r="AL125">
        <v>0.104228933961609</v>
      </c>
    </row>
    <row r="126" spans="1:38" x14ac:dyDescent="0.2">
      <c r="A126">
        <v>120</v>
      </c>
      <c r="B126">
        <v>750</v>
      </c>
      <c r="C126">
        <v>160</v>
      </c>
      <c r="D126">
        <v>0.42103357278991599</v>
      </c>
      <c r="E126">
        <v>35.545472878300401</v>
      </c>
      <c r="F126">
        <v>2.5208060693385002</v>
      </c>
      <c r="G126">
        <v>-561.98450637771975</v>
      </c>
      <c r="H126">
        <v>-486.92525596603974</v>
      </c>
      <c r="I126">
        <v>73.360944545452796</v>
      </c>
      <c r="J126">
        <v>42.259443633370601</v>
      </c>
      <c r="K126">
        <v>14.1008359630092</v>
      </c>
      <c r="L126">
        <v>2.8431188634648028E-5</v>
      </c>
      <c r="M126">
        <v>1.798160317067828E-6</v>
      </c>
      <c r="N126" s="1">
        <v>-2.4739267029763202E-7</v>
      </c>
      <c r="O126" s="1">
        <v>1.34432365626931E-10</v>
      </c>
      <c r="P126" s="1">
        <v>9.9944709750711504E-10</v>
      </c>
      <c r="Q126">
        <v>65.944555479378494</v>
      </c>
      <c r="S126">
        <v>19.024348637876201</v>
      </c>
      <c r="AA126">
        <v>0.30802191870836798</v>
      </c>
      <c r="AB126">
        <v>4.49363222493918</v>
      </c>
      <c r="AC126">
        <v>10.2294417390976</v>
      </c>
      <c r="AJ126">
        <v>0.39438345520610901</v>
      </c>
      <c r="AK126">
        <v>1.4938726436523201E-2</v>
      </c>
      <c r="AL126">
        <v>0.59067781835736699</v>
      </c>
    </row>
    <row r="127" spans="1:38" x14ac:dyDescent="0.2">
      <c r="A127">
        <v>121</v>
      </c>
      <c r="B127">
        <v>748</v>
      </c>
      <c r="C127">
        <v>160</v>
      </c>
      <c r="D127">
        <v>0.41976252264603803</v>
      </c>
      <c r="E127">
        <v>19.3644295411348</v>
      </c>
      <c r="F127">
        <v>2.57569137134948</v>
      </c>
      <c r="G127">
        <v>-314.08723348743825</v>
      </c>
      <c r="H127">
        <v>-272.69477514705574</v>
      </c>
      <c r="I127">
        <v>40.5351401267027</v>
      </c>
      <c r="J127">
        <v>23.661250298182399</v>
      </c>
      <c r="K127">
        <v>7.5181482364438796</v>
      </c>
      <c r="L127">
        <v>3.1190294364657051E-5</v>
      </c>
      <c r="M127">
        <v>1.8003637507480088E-6</v>
      </c>
      <c r="N127" s="1">
        <v>-3.3106814687540898E-7</v>
      </c>
      <c r="O127" s="1">
        <v>6.5282825065458798E-11</v>
      </c>
      <c r="P127" s="1">
        <v>1.1227719896686999E-9</v>
      </c>
      <c r="Q127">
        <v>64.516371321220603</v>
      </c>
      <c r="S127">
        <v>21.876362559850001</v>
      </c>
      <c r="AA127">
        <v>2.99420985540144</v>
      </c>
      <c r="AB127">
        <v>8.7879256882187402</v>
      </c>
      <c r="AC127">
        <v>1.8251305753090701</v>
      </c>
      <c r="AJ127">
        <v>0.75476063957649497</v>
      </c>
      <c r="AK127">
        <v>0.14210713828742899</v>
      </c>
      <c r="AL127">
        <v>0.10313222213607399</v>
      </c>
    </row>
    <row r="128" spans="1:38" x14ac:dyDescent="0.2">
      <c r="A128">
        <v>121</v>
      </c>
      <c r="B128">
        <v>748</v>
      </c>
      <c r="C128">
        <v>160</v>
      </c>
      <c r="D128">
        <v>0.41976252264603803</v>
      </c>
      <c r="E128">
        <v>36.068968620936701</v>
      </c>
      <c r="F128">
        <v>2.5208374028304599</v>
      </c>
      <c r="G128">
        <v>-570.04154352420335</v>
      </c>
      <c r="H128">
        <v>-494.12277503510899</v>
      </c>
      <c r="I128">
        <v>74.346343327713299</v>
      </c>
      <c r="J128">
        <v>42.888988891285599</v>
      </c>
      <c r="K128">
        <v>14.3083280898789</v>
      </c>
      <c r="L128">
        <v>2.8450866519006966E-5</v>
      </c>
      <c r="M128">
        <v>1.7982256569441996E-6</v>
      </c>
      <c r="N128" s="1">
        <v>-2.6818806756154801E-7</v>
      </c>
      <c r="O128" s="1">
        <v>1.36305098577991E-10</v>
      </c>
      <c r="P128" s="1">
        <v>1.06337013047447E-9</v>
      </c>
      <c r="Q128">
        <v>65.941756145832798</v>
      </c>
      <c r="S128">
        <v>19.0170964544924</v>
      </c>
      <c r="AA128">
        <v>0.30269197937384701</v>
      </c>
      <c r="AB128">
        <v>4.4683815186380897</v>
      </c>
      <c r="AC128">
        <v>10.2700739016627</v>
      </c>
      <c r="AJ128">
        <v>0.392217690217602</v>
      </c>
      <c r="AK128">
        <v>1.46821154435263E-2</v>
      </c>
      <c r="AL128">
        <v>0.59310019433887096</v>
      </c>
    </row>
    <row r="129" spans="1:38" x14ac:dyDescent="0.2">
      <c r="A129">
        <v>122</v>
      </c>
      <c r="B129">
        <v>746</v>
      </c>
      <c r="C129">
        <v>160</v>
      </c>
      <c r="D129">
        <v>0.41848648383456999</v>
      </c>
      <c r="E129">
        <v>19.5834678403697</v>
      </c>
      <c r="F129">
        <v>2.57597090780884</v>
      </c>
      <c r="G129">
        <v>-317.57542050888844</v>
      </c>
      <c r="H129">
        <v>-275.84446088602414</v>
      </c>
      <c r="I129">
        <v>40.946827869169603</v>
      </c>
      <c r="J129">
        <v>23.949881274953501</v>
      </c>
      <c r="K129">
        <v>7.6023637460361</v>
      </c>
      <c r="L129">
        <v>3.1289391135031568E-5</v>
      </c>
      <c r="M129">
        <v>1.8007929912255285E-6</v>
      </c>
      <c r="N129" s="1">
        <v>-3.5710982801698E-7</v>
      </c>
      <c r="O129" s="1">
        <v>6.5821422159061603E-11</v>
      </c>
      <c r="P129" s="1">
        <v>1.1993196863479399E-9</v>
      </c>
      <c r="Q129">
        <v>64.513520957089497</v>
      </c>
      <c r="S129">
        <v>21.882339333484602</v>
      </c>
      <c r="AA129">
        <v>2.9998058483502801</v>
      </c>
      <c r="AB129">
        <v>8.7972426936998005</v>
      </c>
      <c r="AC129">
        <v>1.80709116737563</v>
      </c>
      <c r="AJ129">
        <v>0.755525752593038</v>
      </c>
      <c r="AK129">
        <v>0.142366115950842</v>
      </c>
      <c r="AL129">
        <v>0.10210813145611899</v>
      </c>
    </row>
    <row r="130" spans="1:38" x14ac:dyDescent="0.2">
      <c r="A130">
        <v>122</v>
      </c>
      <c r="B130">
        <v>746</v>
      </c>
      <c r="C130">
        <v>160</v>
      </c>
      <c r="D130">
        <v>0.41848648383456999</v>
      </c>
      <c r="E130">
        <v>36.4503132219956</v>
      </c>
      <c r="F130">
        <v>2.5208726573415201</v>
      </c>
      <c r="G130">
        <v>-575.85056849902423</v>
      </c>
      <c r="H130">
        <v>-499.37682886822995</v>
      </c>
      <c r="I130">
        <v>75.036785194322903</v>
      </c>
      <c r="J130">
        <v>43.351154005720801</v>
      </c>
      <c r="K130">
        <v>14.459402824589899</v>
      </c>
      <c r="L130">
        <v>2.8473938586283462E-5</v>
      </c>
      <c r="M130">
        <v>1.798313840010683E-6</v>
      </c>
      <c r="N130" s="1">
        <v>-2.8959589220903601E-7</v>
      </c>
      <c r="O130" s="1">
        <v>1.37626665031752E-10</v>
      </c>
      <c r="P130" s="1">
        <v>1.1278129438739901E-9</v>
      </c>
      <c r="Q130">
        <v>65.939393661890193</v>
      </c>
      <c r="S130">
        <v>19.010050283066199</v>
      </c>
      <c r="AA130">
        <v>0.29743006913097503</v>
      </c>
      <c r="AB130">
        <v>4.4446443953847403</v>
      </c>
      <c r="AC130">
        <v>10.3084815905277</v>
      </c>
      <c r="AJ130">
        <v>0.39018124081272298</v>
      </c>
      <c r="AK130">
        <v>1.4428627714775001E-2</v>
      </c>
      <c r="AL130">
        <v>0.59539013147250097</v>
      </c>
    </row>
    <row r="131" spans="1:38" x14ac:dyDescent="0.2">
      <c r="A131">
        <v>123</v>
      </c>
      <c r="B131">
        <v>744</v>
      </c>
      <c r="C131">
        <v>160</v>
      </c>
      <c r="D131">
        <v>0.41720542692818402</v>
      </c>
      <c r="E131">
        <v>19.774638704403898</v>
      </c>
      <c r="F131">
        <v>2.5762300821542801</v>
      </c>
      <c r="G131">
        <v>-320.60941186722226</v>
      </c>
      <c r="H131">
        <v>-278.60187132970515</v>
      </c>
      <c r="I131">
        <v>41.299258258385699</v>
      </c>
      <c r="J131">
        <v>24.2064971794995</v>
      </c>
      <c r="K131">
        <v>7.6758045957867402</v>
      </c>
      <c r="L131">
        <v>3.1395679514866047E-5</v>
      </c>
      <c r="M131">
        <v>1.8012862122947052E-6</v>
      </c>
      <c r="N131" s="1">
        <v>-3.8471489260534201E-7</v>
      </c>
      <c r="O131" s="1">
        <v>6.6252277945737405E-11</v>
      </c>
      <c r="P131" s="1">
        <v>1.2799843010297101E-9</v>
      </c>
      <c r="Q131">
        <v>64.512751191059195</v>
      </c>
      <c r="S131">
        <v>21.886712181199201</v>
      </c>
      <c r="AA131">
        <v>3.0035931068689998</v>
      </c>
      <c r="AB131">
        <v>8.8069913001672706</v>
      </c>
      <c r="AC131">
        <v>1.7899522207051399</v>
      </c>
      <c r="AJ131">
        <v>0.75632626622275201</v>
      </c>
      <c r="AK131">
        <v>0.142538933530025</v>
      </c>
      <c r="AL131">
        <v>0.101134800247222</v>
      </c>
    </row>
    <row r="132" spans="1:38" x14ac:dyDescent="0.2">
      <c r="A132">
        <v>123</v>
      </c>
      <c r="B132">
        <v>744</v>
      </c>
      <c r="C132">
        <v>160</v>
      </c>
      <c r="D132">
        <v>0.41720542692818402</v>
      </c>
      <c r="E132">
        <v>36.736863303825999</v>
      </c>
      <c r="F132">
        <v>2.5209111388440602</v>
      </c>
      <c r="G132">
        <v>-580.16089243008469</v>
      </c>
      <c r="H132">
        <v>-503.33498456999399</v>
      </c>
      <c r="I132">
        <v>75.530558777064101</v>
      </c>
      <c r="J132">
        <v>43.702170784977</v>
      </c>
      <c r="K132">
        <v>14.572851354320701</v>
      </c>
      <c r="L132">
        <v>2.8500197418677405E-5</v>
      </c>
      <c r="M132">
        <v>1.7984196516706708E-6</v>
      </c>
      <c r="N132" s="1">
        <v>-3.1189316944881298E-7</v>
      </c>
      <c r="O132" s="1">
        <v>1.38576792654512E-10</v>
      </c>
      <c r="P132" s="1">
        <v>1.19393874806348E-9</v>
      </c>
      <c r="Q132">
        <v>65.937298587442598</v>
      </c>
      <c r="S132">
        <v>19.003165338346999</v>
      </c>
      <c r="AA132">
        <v>0.29223877622225097</v>
      </c>
      <c r="AB132">
        <v>4.4219258566262098</v>
      </c>
      <c r="AC132">
        <v>10.3453714413619</v>
      </c>
      <c r="AJ132">
        <v>0.38823171825474501</v>
      </c>
      <c r="AK132">
        <v>1.41784314739775E-2</v>
      </c>
      <c r="AL132">
        <v>0.59758985027127698</v>
      </c>
    </row>
    <row r="133" spans="1:38" x14ac:dyDescent="0.2">
      <c r="A133">
        <v>125</v>
      </c>
      <c r="B133">
        <v>780</v>
      </c>
      <c r="C133">
        <v>140</v>
      </c>
      <c r="D133">
        <v>0.46040972321132001</v>
      </c>
      <c r="E133">
        <v>0.121450957201082</v>
      </c>
      <c r="F133">
        <v>2.5760829699850798</v>
      </c>
      <c r="G133">
        <v>-1.9815922889494453</v>
      </c>
      <c r="H133">
        <v>-1.7090842153198516</v>
      </c>
      <c r="I133">
        <v>0.258755232995863</v>
      </c>
      <c r="J133">
        <v>0.14742851717070399</v>
      </c>
      <c r="K133">
        <v>4.7145592209627503E-2</v>
      </c>
      <c r="L133">
        <v>3.0265130355961122E-5</v>
      </c>
      <c r="M133">
        <v>1.7929365889731362E-6</v>
      </c>
      <c r="N133" s="1">
        <v>-7.6670748729466695E-10</v>
      </c>
      <c r="O133" s="1">
        <v>4.1775270867492602E-13</v>
      </c>
      <c r="P133" s="1">
        <v>3.2564720938131201E-12</v>
      </c>
      <c r="Q133">
        <v>64.299005267472594</v>
      </c>
      <c r="S133">
        <v>22.115630156219201</v>
      </c>
      <c r="AA133">
        <v>3.242327469368</v>
      </c>
      <c r="AB133">
        <v>8.9308082029348199</v>
      </c>
      <c r="AC133">
        <v>1.41222890400532</v>
      </c>
      <c r="AJ133">
        <v>0.76648368340428796</v>
      </c>
      <c r="AK133">
        <v>0.153772904546151</v>
      </c>
      <c r="AL133">
        <v>7.9743412049560203E-2</v>
      </c>
    </row>
    <row r="134" spans="1:38" x14ac:dyDescent="0.2">
      <c r="A134">
        <v>126</v>
      </c>
      <c r="B134">
        <v>778</v>
      </c>
      <c r="C134">
        <v>140</v>
      </c>
      <c r="D134">
        <v>0.45924986919088701</v>
      </c>
      <c r="E134">
        <v>0.78323076178907602</v>
      </c>
      <c r="F134">
        <v>2.57530357452544</v>
      </c>
      <c r="G134">
        <v>-12.773944164690477</v>
      </c>
      <c r="H134">
        <v>-11.021511663186441</v>
      </c>
      <c r="I134">
        <v>1.6671574004699901</v>
      </c>
      <c r="J134">
        <v>0.95103572868110497</v>
      </c>
      <c r="K134">
        <v>0.30413143115890801</v>
      </c>
      <c r="L134">
        <v>3.0341199819832687E-5</v>
      </c>
      <c r="M134">
        <v>1.7952444538615468E-6</v>
      </c>
      <c r="N134" s="1">
        <v>-5.2830099695379001E-9</v>
      </c>
      <c r="O134" s="1">
        <v>2.6961463098969E-12</v>
      </c>
      <c r="P134" s="1">
        <v>2.1988369180104001E-11</v>
      </c>
      <c r="Q134">
        <v>64.392468566138007</v>
      </c>
      <c r="S134">
        <v>22.042988839114201</v>
      </c>
      <c r="AA134">
        <v>3.1605892559503999</v>
      </c>
      <c r="AB134">
        <v>8.9486474959026694</v>
      </c>
      <c r="AC134">
        <v>1.4553058428946299</v>
      </c>
      <c r="AJ134">
        <v>0.76794801942349999</v>
      </c>
      <c r="AK134">
        <v>0.14988330940337699</v>
      </c>
      <c r="AL134">
        <v>8.2168671173121502E-2</v>
      </c>
    </row>
    <row r="135" spans="1:38" x14ac:dyDescent="0.2">
      <c r="A135">
        <v>127</v>
      </c>
      <c r="B135">
        <v>776</v>
      </c>
      <c r="C135">
        <v>140</v>
      </c>
      <c r="D135">
        <v>0.45808559309917701</v>
      </c>
      <c r="E135">
        <v>1.44641745072006</v>
      </c>
      <c r="F135">
        <v>2.57454157321741</v>
      </c>
      <c r="G135">
        <v>-23.580320700149077</v>
      </c>
      <c r="H135">
        <v>-20.353228383447899</v>
      </c>
      <c r="I135">
        <v>3.0759112774161701</v>
      </c>
      <c r="J135">
        <v>1.7568454315259201</v>
      </c>
      <c r="K135">
        <v>0.56181553476041801</v>
      </c>
      <c r="L135">
        <v>3.0417031014415595E-5</v>
      </c>
      <c r="M135">
        <v>1.7974668227025235E-6</v>
      </c>
      <c r="N135" s="1">
        <v>-1.04153814706068E-8</v>
      </c>
      <c r="O135" s="1">
        <v>4.98238514185124E-12</v>
      </c>
      <c r="P135" s="1">
        <v>4.2527056723785699E-11</v>
      </c>
      <c r="Q135">
        <v>64.482414002058206</v>
      </c>
      <c r="S135">
        <v>21.972469000593101</v>
      </c>
      <c r="AA135">
        <v>3.08142212926596</v>
      </c>
      <c r="AB135">
        <v>8.9642091522817609</v>
      </c>
      <c r="AC135">
        <v>1.4994857158008199</v>
      </c>
      <c r="AJ135">
        <v>0.76922531802666105</v>
      </c>
      <c r="AK135">
        <v>0.14611795203369499</v>
      </c>
      <c r="AL135">
        <v>8.4656729939643002E-2</v>
      </c>
    </row>
    <row r="136" spans="1:38" x14ac:dyDescent="0.2">
      <c r="A136">
        <v>128</v>
      </c>
      <c r="B136">
        <v>774</v>
      </c>
      <c r="C136">
        <v>140</v>
      </c>
      <c r="D136">
        <v>0.45691686959843703</v>
      </c>
      <c r="E136">
        <v>2.1104402743148101</v>
      </c>
      <c r="F136">
        <v>2.5737966583975398</v>
      </c>
      <c r="G136">
        <v>-34.391312314033371</v>
      </c>
      <c r="H136">
        <v>-29.696156124821254</v>
      </c>
      <c r="I136">
        <v>4.4837474948308396</v>
      </c>
      <c r="J136">
        <v>2.5642037799659398</v>
      </c>
      <c r="K136">
        <v>0.81997164283707702</v>
      </c>
      <c r="L136">
        <v>3.0492747773851468E-5</v>
      </c>
      <c r="M136">
        <v>1.7996050250358058E-6</v>
      </c>
      <c r="N136" s="1">
        <v>-1.6211212619053699E-8</v>
      </c>
      <c r="O136" s="1">
        <v>7.2737779425205604E-12</v>
      </c>
      <c r="P136" s="1">
        <v>6.5002696415162196E-11</v>
      </c>
      <c r="Q136">
        <v>64.568879905084003</v>
      </c>
      <c r="S136">
        <v>21.904042040574101</v>
      </c>
      <c r="AA136">
        <v>3.0047935502078298</v>
      </c>
      <c r="AB136">
        <v>8.9775036092568001</v>
      </c>
      <c r="AC136">
        <v>1.5447808948771</v>
      </c>
      <c r="AJ136">
        <v>0.77031652093955205</v>
      </c>
      <c r="AK136">
        <v>0.14247512693012099</v>
      </c>
      <c r="AL136">
        <v>8.7208352130326003E-2</v>
      </c>
    </row>
    <row r="137" spans="1:38" x14ac:dyDescent="0.2">
      <c r="A137">
        <v>129</v>
      </c>
      <c r="B137">
        <v>772</v>
      </c>
      <c r="C137">
        <v>140</v>
      </c>
      <c r="D137">
        <v>0.45574367315696301</v>
      </c>
      <c r="E137">
        <v>3.3539504822129</v>
      </c>
      <c r="F137">
        <v>2.5723911994778499</v>
      </c>
      <c r="G137">
        <v>-54.622514888416909</v>
      </c>
      <c r="H137">
        <v>-47.18181125576325</v>
      </c>
      <c r="I137">
        <v>7.1192686529719698</v>
      </c>
      <c r="J137">
        <v>4.0761682799178596</v>
      </c>
      <c r="K137">
        <v>1.3038259821809699</v>
      </c>
      <c r="L137">
        <v>3.0575771328334074E-5</v>
      </c>
      <c r="M137">
        <v>1.8025565066419895E-6</v>
      </c>
      <c r="N137" s="1">
        <v>-2.7420516165045901E-8</v>
      </c>
      <c r="O137" s="1">
        <v>1.15797528696385E-11</v>
      </c>
      <c r="P137" s="1">
        <v>1.08107529959444E-10</v>
      </c>
      <c r="Q137">
        <v>64.699664025176205</v>
      </c>
      <c r="S137">
        <v>21.792581849190402</v>
      </c>
      <c r="AA137">
        <v>2.88232106456516</v>
      </c>
      <c r="AB137">
        <v>8.97674162599208</v>
      </c>
      <c r="AC137">
        <v>1.64869143507598</v>
      </c>
      <c r="AJ137">
        <v>0.77025607834244803</v>
      </c>
      <c r="AK137">
        <v>0.13666885467324899</v>
      </c>
      <c r="AL137">
        <v>9.3075066984302304E-2</v>
      </c>
    </row>
    <row r="138" spans="1:38" x14ac:dyDescent="0.2">
      <c r="A138">
        <v>130</v>
      </c>
      <c r="B138">
        <v>770</v>
      </c>
      <c r="C138">
        <v>140</v>
      </c>
      <c r="D138">
        <v>0.45456597804726301</v>
      </c>
      <c r="E138">
        <v>5.22298848670534</v>
      </c>
      <c r="F138">
        <v>2.5701911953028498</v>
      </c>
      <c r="G138">
        <v>-84.989061942793199</v>
      </c>
      <c r="H138">
        <v>-73.434156168985069</v>
      </c>
      <c r="I138">
        <v>11.0769359860117</v>
      </c>
      <c r="J138">
        <v>6.3485446608443796</v>
      </c>
      <c r="K138">
        <v>2.0321400587826299</v>
      </c>
      <c r="L138">
        <v>3.0655855896221779E-5</v>
      </c>
      <c r="M138">
        <v>1.8061685080072657E-6</v>
      </c>
      <c r="N138" s="1">
        <v>-4.5256792650629597E-8</v>
      </c>
      <c r="O138" s="1">
        <v>1.8089251490498199E-11</v>
      </c>
      <c r="P138" s="1">
        <v>1.75721119405054E-10</v>
      </c>
      <c r="Q138">
        <v>64.873238992728602</v>
      </c>
      <c r="S138">
        <v>21.633919392096299</v>
      </c>
      <c r="AA138">
        <v>2.7109215671323201</v>
      </c>
      <c r="AB138">
        <v>8.9475898756653596</v>
      </c>
      <c r="AC138">
        <v>1.8343301723774199</v>
      </c>
      <c r="AJ138">
        <v>0.76786870196784496</v>
      </c>
      <c r="AK138">
        <v>0.12856082178221701</v>
      </c>
      <c r="AL138">
        <v>0.103570476249936</v>
      </c>
    </row>
    <row r="139" spans="1:38" x14ac:dyDescent="0.2">
      <c r="A139">
        <v>131</v>
      </c>
      <c r="B139">
        <v>768</v>
      </c>
      <c r="C139">
        <v>140</v>
      </c>
      <c r="D139">
        <v>0.45338375834414102</v>
      </c>
      <c r="E139">
        <v>7.2043336646091696</v>
      </c>
      <c r="F139">
        <v>2.5677105312390101</v>
      </c>
      <c r="G139">
        <v>-117.11291156251443</v>
      </c>
      <c r="H139">
        <v>-101.21997244686084</v>
      </c>
      <c r="I139">
        <v>15.264792888300001</v>
      </c>
      <c r="J139">
        <v>8.7569625725657705</v>
      </c>
      <c r="K139">
        <v>2.80574214926509</v>
      </c>
      <c r="L139">
        <v>3.0718057429971938E-5</v>
      </c>
      <c r="M139">
        <v>1.8095026270012795E-6</v>
      </c>
      <c r="N139" s="1">
        <v>-6.5881607491803394E-8</v>
      </c>
      <c r="O139" s="1">
        <v>2.5039157185614799E-11</v>
      </c>
      <c r="P139" s="1">
        <v>2.52310876383045E-10</v>
      </c>
      <c r="Q139">
        <v>65.044756451322897</v>
      </c>
      <c r="S139">
        <v>21.465982291564501</v>
      </c>
      <c r="AA139">
        <v>2.5323504854860999</v>
      </c>
      <c r="AB139">
        <v>8.8895383933875003</v>
      </c>
      <c r="AC139">
        <v>2.0673723782389302</v>
      </c>
      <c r="AJ139">
        <v>0.76310980959511099</v>
      </c>
      <c r="AK139">
        <v>0.120127497510071</v>
      </c>
      <c r="AL139">
        <v>0.116762692894817</v>
      </c>
    </row>
    <row r="140" spans="1:38" x14ac:dyDescent="0.2">
      <c r="A140">
        <v>132</v>
      </c>
      <c r="B140">
        <v>766</v>
      </c>
      <c r="C140">
        <v>140</v>
      </c>
      <c r="D140">
        <v>0.45219698792282498</v>
      </c>
      <c r="E140">
        <v>11.2497231955434</v>
      </c>
      <c r="F140">
        <v>2.56712910195523</v>
      </c>
      <c r="G140">
        <v>-182.74215002505483</v>
      </c>
      <c r="H140">
        <v>-158.00313979321947</v>
      </c>
      <c r="I140">
        <v>23.8069674559354</v>
      </c>
      <c r="J140">
        <v>13.672014013790299</v>
      </c>
      <c r="K140">
        <v>4.3822194945221904</v>
      </c>
      <c r="L140">
        <v>3.0696869461302135E-5</v>
      </c>
      <c r="M140">
        <v>1.8087365940067952E-6</v>
      </c>
      <c r="N140" s="1">
        <v>-1.0788346703093499E-7</v>
      </c>
      <c r="O140" s="1">
        <v>3.9096457470887798E-11</v>
      </c>
      <c r="P140" s="1">
        <v>4.0841918837444801E-10</v>
      </c>
      <c r="Q140">
        <v>65.028318889847</v>
      </c>
      <c r="S140">
        <v>21.441964501339001</v>
      </c>
      <c r="AA140">
        <v>2.5163710428821</v>
      </c>
      <c r="AB140">
        <v>8.7899424093835208</v>
      </c>
      <c r="AC140">
        <v>2.2234031565482701</v>
      </c>
      <c r="AJ140">
        <v>0.75493402640231</v>
      </c>
      <c r="AK140">
        <v>0.119428627117433</v>
      </c>
      <c r="AL140">
        <v>0.12563734648025501</v>
      </c>
    </row>
    <row r="141" spans="1:38" x14ac:dyDescent="0.2">
      <c r="A141">
        <v>132</v>
      </c>
      <c r="B141">
        <v>766</v>
      </c>
      <c r="C141">
        <v>140</v>
      </c>
      <c r="D141">
        <v>0.45219698792282498</v>
      </c>
      <c r="E141">
        <v>9.4039770955530706</v>
      </c>
      <c r="F141">
        <v>2.5203020436976802</v>
      </c>
      <c r="G141">
        <v>-149.40758386891133</v>
      </c>
      <c r="H141">
        <v>-129.00080275376516</v>
      </c>
      <c r="I141">
        <v>19.637955170231599</v>
      </c>
      <c r="J141">
        <v>11.190740631871099</v>
      </c>
      <c r="K141">
        <v>3.7312897154802598</v>
      </c>
      <c r="L141">
        <v>2.8528845516076592E-5</v>
      </c>
      <c r="M141">
        <v>1.8024001367228742E-6</v>
      </c>
      <c r="N141" s="1">
        <v>-4.0953580104626002E-8</v>
      </c>
      <c r="O141" s="1">
        <v>3.56297009252439E-11</v>
      </c>
      <c r="P141" s="1">
        <v>1.93916450416391E-10</v>
      </c>
      <c r="Q141">
        <v>66.060585650709896</v>
      </c>
      <c r="S141">
        <v>19.1160390355139</v>
      </c>
      <c r="AA141">
        <v>0.356593381347872</v>
      </c>
      <c r="AB141">
        <v>4.9925775384338298</v>
      </c>
      <c r="AC141">
        <v>9.4742043939944605</v>
      </c>
      <c r="AJ141">
        <v>0.43706498714481401</v>
      </c>
      <c r="AK141">
        <v>1.7250642176402198E-2</v>
      </c>
      <c r="AL141">
        <v>0.54568437067878295</v>
      </c>
    </row>
    <row r="142" spans="1:38" x14ac:dyDescent="0.2">
      <c r="A142">
        <v>133</v>
      </c>
      <c r="B142">
        <v>764</v>
      </c>
      <c r="C142">
        <v>140</v>
      </c>
      <c r="D142">
        <v>0.45100564045702202</v>
      </c>
      <c r="E142">
        <v>15.738836097073801</v>
      </c>
      <c r="F142">
        <v>2.5708502149979799</v>
      </c>
      <c r="G142">
        <v>-255.75331284320973</v>
      </c>
      <c r="H142">
        <v>-221.26297384292727</v>
      </c>
      <c r="I142">
        <v>33.2549187680494</v>
      </c>
      <c r="J142">
        <v>19.1316515570098</v>
      </c>
      <c r="K142">
        <v>6.12203542830136</v>
      </c>
      <c r="L142">
        <v>3.0618967251206895E-5</v>
      </c>
      <c r="M142">
        <v>1.802134393893884E-6</v>
      </c>
      <c r="N142" s="1">
        <v>-1.59436525043371E-7</v>
      </c>
      <c r="O142" s="1">
        <v>5.4256650008892302E-11</v>
      </c>
      <c r="P142" s="1">
        <v>5.9628528448962605E-10</v>
      </c>
      <c r="Q142">
        <v>64.702823826720405</v>
      </c>
      <c r="S142">
        <v>21.7012826707649</v>
      </c>
      <c r="AA142">
        <v>2.80626101104215</v>
      </c>
      <c r="AB142">
        <v>8.7444304083660001</v>
      </c>
      <c r="AC142">
        <v>2.0452020831064299</v>
      </c>
      <c r="AJ142">
        <v>0.75119047572488695</v>
      </c>
      <c r="AK142">
        <v>0.13321631000228401</v>
      </c>
      <c r="AL142">
        <v>0.115593214272828</v>
      </c>
    </row>
    <row r="143" spans="1:38" x14ac:dyDescent="0.2">
      <c r="A143">
        <v>133</v>
      </c>
      <c r="B143">
        <v>764</v>
      </c>
      <c r="C143">
        <v>140</v>
      </c>
      <c r="D143">
        <v>0.45100564045702202</v>
      </c>
      <c r="E143">
        <v>26.315247273408001</v>
      </c>
      <c r="F143">
        <v>2.5199592304710401</v>
      </c>
      <c r="G143">
        <v>-417.58766905856879</v>
      </c>
      <c r="H143">
        <v>-360.72013343466858</v>
      </c>
      <c r="I143">
        <v>54.830579592055301</v>
      </c>
      <c r="J143">
        <v>31.283407331987299</v>
      </c>
      <c r="K143">
        <v>10.4427273882875</v>
      </c>
      <c r="L143">
        <v>2.8400987927045569E-5</v>
      </c>
      <c r="M143">
        <v>1.800271313791599E-6</v>
      </c>
      <c r="N143" s="1">
        <v>-1.15521138024844E-7</v>
      </c>
      <c r="O143" s="1">
        <v>9.9836601202365404E-11</v>
      </c>
      <c r="P143" s="1">
        <v>5.4487163880731699E-10</v>
      </c>
      <c r="Q143">
        <v>65.995327734979398</v>
      </c>
      <c r="S143">
        <v>19.090041328452099</v>
      </c>
      <c r="AA143">
        <v>0.35037204932954602</v>
      </c>
      <c r="AB143">
        <v>4.7789974032233902</v>
      </c>
      <c r="AC143">
        <v>9.7852614840154004</v>
      </c>
      <c r="AJ143">
        <v>0.41882092087169198</v>
      </c>
      <c r="AK143">
        <v>1.6968045360390399E-2</v>
      </c>
      <c r="AL143">
        <v>0.56421103376791604</v>
      </c>
    </row>
    <row r="144" spans="1:38" x14ac:dyDescent="0.2">
      <c r="A144">
        <v>134</v>
      </c>
      <c r="B144">
        <v>762</v>
      </c>
      <c r="C144">
        <v>140</v>
      </c>
      <c r="D144">
        <v>0.44980968941699401</v>
      </c>
      <c r="E144">
        <v>17.191503118582801</v>
      </c>
      <c r="F144">
        <v>2.5721802356741099</v>
      </c>
      <c r="G144">
        <v>-279.34663642820914</v>
      </c>
      <c r="H144">
        <v>-241.79297394003561</v>
      </c>
      <c r="I144">
        <v>36.278474122758503</v>
      </c>
      <c r="J144">
        <v>20.905604336817699</v>
      </c>
      <c r="K144">
        <v>6.6836308281007</v>
      </c>
      <c r="L144">
        <v>3.063471378597071E-5</v>
      </c>
      <c r="M144">
        <v>1.8002288020539528E-6</v>
      </c>
      <c r="N144" s="1">
        <v>-1.84990843260372E-7</v>
      </c>
      <c r="O144" s="1">
        <v>5.9038409186842306E-11</v>
      </c>
      <c r="P144" s="1">
        <v>6.8279583229476497E-10</v>
      </c>
      <c r="Q144">
        <v>64.597779396368196</v>
      </c>
      <c r="S144">
        <v>21.786448163970402</v>
      </c>
      <c r="AA144">
        <v>2.9010340967349402</v>
      </c>
      <c r="AB144">
        <v>8.7336169402909807</v>
      </c>
      <c r="AC144">
        <v>1.98112140263544</v>
      </c>
      <c r="AJ144">
        <v>0.750300363437854</v>
      </c>
      <c r="AK144">
        <v>0.13772241852591099</v>
      </c>
      <c r="AL144">
        <v>0.11197721803623401</v>
      </c>
    </row>
    <row r="145" spans="1:38" x14ac:dyDescent="0.2">
      <c r="A145">
        <v>134</v>
      </c>
      <c r="B145">
        <v>762</v>
      </c>
      <c r="C145">
        <v>140</v>
      </c>
      <c r="D145">
        <v>0.44980968941699401</v>
      </c>
      <c r="E145">
        <v>31.267300931013501</v>
      </c>
      <c r="F145">
        <v>2.51988281084137</v>
      </c>
      <c r="G145">
        <v>-495.86133510065901</v>
      </c>
      <c r="H145">
        <v>-428.52636013040535</v>
      </c>
      <c r="I145">
        <v>65.048519509494895</v>
      </c>
      <c r="J145">
        <v>37.160331622937399</v>
      </c>
      <c r="K145">
        <v>12.408236127684599</v>
      </c>
      <c r="L145">
        <v>2.8369486447134519E-5</v>
      </c>
      <c r="M145">
        <v>1.7996884798483754E-6</v>
      </c>
      <c r="N145" s="1">
        <v>-1.4448498914032599E-7</v>
      </c>
      <c r="O145" s="1">
        <v>1.1863401312908499E-10</v>
      </c>
      <c r="P145" s="1">
        <v>6.68202683047563E-10</v>
      </c>
      <c r="Q145">
        <v>65.974841370695003</v>
      </c>
      <c r="S145">
        <v>19.077062613924902</v>
      </c>
      <c r="AA145">
        <v>0.34444468999241101</v>
      </c>
      <c r="AB145">
        <v>4.6993192513694497</v>
      </c>
      <c r="AC145">
        <v>9.9043320740181002</v>
      </c>
      <c r="AJ145">
        <v>0.412004695475784</v>
      </c>
      <c r="AK145">
        <v>1.6687739042623301E-2</v>
      </c>
      <c r="AL145">
        <v>0.57130756548159201</v>
      </c>
    </row>
    <row r="146" spans="1:38" x14ac:dyDescent="0.2">
      <c r="A146">
        <v>135</v>
      </c>
      <c r="B146">
        <v>760</v>
      </c>
      <c r="C146">
        <v>140</v>
      </c>
      <c r="D146">
        <v>0.44860910806756099</v>
      </c>
      <c r="E146">
        <v>17.903933274503</v>
      </c>
      <c r="F146">
        <v>2.57291403993342</v>
      </c>
      <c r="G146">
        <v>-290.88356107769761</v>
      </c>
      <c r="H146">
        <v>-251.89525294740773</v>
      </c>
      <c r="I146">
        <v>37.7373161015243</v>
      </c>
      <c r="J146">
        <v>21.7823230667722</v>
      </c>
      <c r="K146">
        <v>6.9586208464882402</v>
      </c>
      <c r="L146">
        <v>3.0679093826061079E-5</v>
      </c>
      <c r="M146">
        <v>1.7995778888087893E-6</v>
      </c>
      <c r="N146" s="1">
        <v>-2.0500653240128501E-7</v>
      </c>
      <c r="O146" s="1">
        <v>6.1311914563142699E-11</v>
      </c>
      <c r="P146" s="1">
        <v>7.46855595216244E-10</v>
      </c>
      <c r="Q146">
        <v>64.550151176031093</v>
      </c>
      <c r="S146">
        <v>21.8270289900431</v>
      </c>
      <c r="AA146">
        <v>2.94562708785553</v>
      </c>
      <c r="AB146">
        <v>8.7338679164099293</v>
      </c>
      <c r="AC146">
        <v>1.9433248296602501</v>
      </c>
      <c r="AJ146">
        <v>0.75032026932703799</v>
      </c>
      <c r="AK146">
        <v>0.13983909809137901</v>
      </c>
      <c r="AL146">
        <v>0.109840632581581</v>
      </c>
    </row>
    <row r="147" spans="1:38" x14ac:dyDescent="0.2">
      <c r="A147">
        <v>135</v>
      </c>
      <c r="B147">
        <v>760</v>
      </c>
      <c r="C147">
        <v>140</v>
      </c>
      <c r="D147">
        <v>0.44860910806756099</v>
      </c>
      <c r="E147">
        <v>33.495859316525497</v>
      </c>
      <c r="F147">
        <v>2.5198642091563501</v>
      </c>
      <c r="G147">
        <v>-530.94665976781869</v>
      </c>
      <c r="H147">
        <v>-459.05051132751879</v>
      </c>
      <c r="I147">
        <v>69.589264327831998</v>
      </c>
      <c r="J147">
        <v>39.805773656683201</v>
      </c>
      <c r="K147">
        <v>13.292723947112901</v>
      </c>
      <c r="L147">
        <v>2.8362210011310236E-5</v>
      </c>
      <c r="M147">
        <v>1.7994757375321104E-6</v>
      </c>
      <c r="N147" s="1">
        <v>-1.6460611933326701E-7</v>
      </c>
      <c r="O147" s="1">
        <v>1.2705791632375501E-10</v>
      </c>
      <c r="P147" s="1">
        <v>7.4420383091818896E-10</v>
      </c>
      <c r="Q147">
        <v>65.965103939876499</v>
      </c>
      <c r="S147">
        <v>19.067206355900201</v>
      </c>
      <c r="AA147">
        <v>0.33858527256426102</v>
      </c>
      <c r="AB147">
        <v>4.6517804470778801</v>
      </c>
      <c r="AC147">
        <v>9.9773239845810302</v>
      </c>
      <c r="AJ147">
        <v>0.40793528781476701</v>
      </c>
      <c r="AK147">
        <v>1.6407821399538901E-2</v>
      </c>
      <c r="AL147">
        <v>0.57565689078569304</v>
      </c>
    </row>
    <row r="148" spans="1:38" x14ac:dyDescent="0.2">
      <c r="A148">
        <v>136</v>
      </c>
      <c r="B148">
        <v>758</v>
      </c>
      <c r="C148">
        <v>140</v>
      </c>
      <c r="D148">
        <v>0.44740386946613198</v>
      </c>
      <c r="E148">
        <v>18.354769883907899</v>
      </c>
      <c r="F148">
        <v>2.5734282298976399</v>
      </c>
      <c r="G148">
        <v>-298.15800301734407</v>
      </c>
      <c r="H148">
        <v>-258.31122762780933</v>
      </c>
      <c r="I148">
        <v>38.6430445517476</v>
      </c>
      <c r="J148">
        <v>22.342787808110799</v>
      </c>
      <c r="K148">
        <v>7.1324195758270701</v>
      </c>
      <c r="L148">
        <v>3.0736833870309769E-5</v>
      </c>
      <c r="M148">
        <v>1.7994058108780079E-6</v>
      </c>
      <c r="N148" s="1">
        <v>-2.23802063470733E-7</v>
      </c>
      <c r="O148" s="1">
        <v>6.26974383347261E-11</v>
      </c>
      <c r="P148" s="1">
        <v>8.05070797796525E-10</v>
      </c>
      <c r="Q148">
        <v>64.523975100190796</v>
      </c>
      <c r="S148">
        <v>21.851031485821402</v>
      </c>
      <c r="AA148">
        <v>2.9715372220859599</v>
      </c>
      <c r="AB148">
        <v>8.7384615981251592</v>
      </c>
      <c r="AC148">
        <v>1.91499459377655</v>
      </c>
      <c r="AJ148">
        <v>0.75069734174666702</v>
      </c>
      <c r="AK148">
        <v>0.14106584055643401</v>
      </c>
      <c r="AL148">
        <v>0.108236817696898</v>
      </c>
    </row>
    <row r="149" spans="1:38" x14ac:dyDescent="0.2">
      <c r="A149">
        <v>136</v>
      </c>
      <c r="B149">
        <v>758</v>
      </c>
      <c r="C149">
        <v>140</v>
      </c>
      <c r="D149">
        <v>0.44740386946613198</v>
      </c>
      <c r="E149">
        <v>34.767803890992603</v>
      </c>
      <c r="F149">
        <v>2.5198669142274599</v>
      </c>
      <c r="G149">
        <v>-550.869776071096</v>
      </c>
      <c r="H149">
        <v>-476.48574266266201</v>
      </c>
      <c r="I149">
        <v>72.136966889815994</v>
      </c>
      <c r="J149">
        <v>41.317400563495099</v>
      </c>
      <c r="K149">
        <v>13.797476245546701</v>
      </c>
      <c r="L149">
        <v>2.8364724024920406E-5</v>
      </c>
      <c r="M149">
        <v>1.7993989565699679E-6</v>
      </c>
      <c r="N149" s="1">
        <v>-1.8230599646757201E-7</v>
      </c>
      <c r="O149" s="1">
        <v>1.3182998921754699E-10</v>
      </c>
      <c r="P149" s="1">
        <v>8.0553434153621399E-10</v>
      </c>
      <c r="Q149">
        <v>65.959213710428401</v>
      </c>
      <c r="S149">
        <v>19.058527934907499</v>
      </c>
      <c r="AA149">
        <v>0.33279989090249201</v>
      </c>
      <c r="AB149">
        <v>4.6159027776701604</v>
      </c>
      <c r="AC149">
        <v>10.033555686091301</v>
      </c>
      <c r="AJ149">
        <v>0.40486280505099698</v>
      </c>
      <c r="AK149">
        <v>1.6130402053447498E-2</v>
      </c>
      <c r="AL149">
        <v>0.57900679289555401</v>
      </c>
    </row>
    <row r="150" spans="1:38" x14ac:dyDescent="0.2">
      <c r="A150">
        <v>137</v>
      </c>
      <c r="B150">
        <v>756</v>
      </c>
      <c r="C150">
        <v>140</v>
      </c>
      <c r="D150">
        <v>0.44619394646067401</v>
      </c>
      <c r="E150">
        <v>18.683022466758</v>
      </c>
      <c r="F150">
        <v>2.57383552096876</v>
      </c>
      <c r="G150">
        <v>-303.43422603317225</v>
      </c>
      <c r="H150">
        <v>-262.99961641748712</v>
      </c>
      <c r="I150">
        <v>39.289325769504103</v>
      </c>
      <c r="J150">
        <v>22.7557364158083</v>
      </c>
      <c r="K150">
        <v>7.25882532685148</v>
      </c>
      <c r="L150">
        <v>3.0803378526568898E-5</v>
      </c>
      <c r="M150">
        <v>1.7994757919582539E-6</v>
      </c>
      <c r="N150" s="1">
        <v>-2.4268153811474599E-7</v>
      </c>
      <c r="O150" s="1">
        <v>6.3662862388181697E-11</v>
      </c>
      <c r="P150" s="1">
        <v>8.6240272639285002E-10</v>
      </c>
      <c r="Q150">
        <v>64.5083231111076</v>
      </c>
      <c r="S150">
        <v>21.866914643238399</v>
      </c>
      <c r="AA150">
        <v>2.9882931672617499</v>
      </c>
      <c r="AB150">
        <v>8.7452217417995097</v>
      </c>
      <c r="AC150">
        <v>1.8912473365925799</v>
      </c>
      <c r="AJ150">
        <v>0.75125256108143001</v>
      </c>
      <c r="AK150">
        <v>0.14185646455765</v>
      </c>
      <c r="AL150">
        <v>0.106890974360918</v>
      </c>
    </row>
    <row r="151" spans="1:38" x14ac:dyDescent="0.2">
      <c r="A151">
        <v>137</v>
      </c>
      <c r="B151">
        <v>756</v>
      </c>
      <c r="C151">
        <v>140</v>
      </c>
      <c r="D151">
        <v>0.44619394646067401</v>
      </c>
      <c r="E151">
        <v>35.589455001569199</v>
      </c>
      <c r="F151">
        <v>2.5198806392928601</v>
      </c>
      <c r="G151">
        <v>-563.65795207472183</v>
      </c>
      <c r="H151">
        <v>-487.76149103102802</v>
      </c>
      <c r="I151">
        <v>73.746743471499499</v>
      </c>
      <c r="J151">
        <v>42.295973624607697</v>
      </c>
      <c r="K151">
        <v>14.123468566970001</v>
      </c>
      <c r="L151">
        <v>2.8372847038822443E-5</v>
      </c>
      <c r="M151">
        <v>1.7993895184494206E-6</v>
      </c>
      <c r="N151" s="1">
        <v>-1.99381974819998E-7</v>
      </c>
      <c r="O151" s="1">
        <v>1.3487814500941599E-10</v>
      </c>
      <c r="P151" s="1">
        <v>8.6141731362204298E-10</v>
      </c>
      <c r="Q151">
        <v>65.955130819109499</v>
      </c>
      <c r="S151">
        <v>19.050455566150099</v>
      </c>
      <c r="AA151">
        <v>0.32709279089577198</v>
      </c>
      <c r="AB151">
        <v>4.5856415091049199</v>
      </c>
      <c r="AC151">
        <v>10.0816793147395</v>
      </c>
      <c r="AJ151">
        <v>0.40227043450269601</v>
      </c>
      <c r="AK151">
        <v>1.5856224179991499E-2</v>
      </c>
      <c r="AL151">
        <v>0.58187334131731105</v>
      </c>
    </row>
    <row r="152" spans="1:38" x14ac:dyDescent="0.2">
      <c r="A152">
        <v>138</v>
      </c>
      <c r="B152">
        <v>754</v>
      </c>
      <c r="C152">
        <v>140</v>
      </c>
      <c r="D152">
        <v>0.44497931168767801</v>
      </c>
      <c r="E152">
        <v>18.944642673941399</v>
      </c>
      <c r="F152">
        <v>2.5741924394750302</v>
      </c>
      <c r="G152">
        <v>-307.62419337935387</v>
      </c>
      <c r="H152">
        <v>-266.74952783301654</v>
      </c>
      <c r="I152">
        <v>39.794251614990301</v>
      </c>
      <c r="J152">
        <v>23.089100135330501</v>
      </c>
      <c r="K152">
        <v>7.3594508255975102</v>
      </c>
      <c r="L152">
        <v>3.0876489707159603E-5</v>
      </c>
      <c r="M152">
        <v>1.7996668449529893E-6</v>
      </c>
      <c r="N152" s="1">
        <v>-2.6221907529621002E-7</v>
      </c>
      <c r="O152" s="1">
        <v>6.4394271175476105E-11</v>
      </c>
      <c r="P152" s="1">
        <v>9.2098463058327804E-10</v>
      </c>
      <c r="Q152">
        <v>64.497629855000696</v>
      </c>
      <c r="S152">
        <v>21.8789601523839</v>
      </c>
      <c r="AA152">
        <v>3.00072596076927</v>
      </c>
      <c r="AB152">
        <v>8.7529712621626903</v>
      </c>
      <c r="AC152">
        <v>1.86971276968328</v>
      </c>
      <c r="AJ152">
        <v>0.75188910222512195</v>
      </c>
      <c r="AK152">
        <v>0.142441131075741</v>
      </c>
      <c r="AL152">
        <v>0.105669766699136</v>
      </c>
    </row>
    <row r="153" spans="1:38" x14ac:dyDescent="0.2">
      <c r="A153">
        <v>138</v>
      </c>
      <c r="B153">
        <v>754</v>
      </c>
      <c r="C153">
        <v>140</v>
      </c>
      <c r="D153">
        <v>0.44497931168767801</v>
      </c>
      <c r="E153">
        <v>36.183711806998303</v>
      </c>
      <c r="F153">
        <v>2.5199006616141002</v>
      </c>
      <c r="G153">
        <v>-572.8424008534754</v>
      </c>
      <c r="H153">
        <v>-495.92691279590974</v>
      </c>
      <c r="I153">
        <v>74.882430080870094</v>
      </c>
      <c r="J153">
        <v>43.005822170324997</v>
      </c>
      <c r="K153">
        <v>14.3591818352954</v>
      </c>
      <c r="L153">
        <v>2.8384546421838896E-5</v>
      </c>
      <c r="M153">
        <v>1.7994137268522999E-6</v>
      </c>
      <c r="N153" s="1">
        <v>-2.16660734811126E-7</v>
      </c>
      <c r="O153" s="1">
        <v>1.3705158673454699E-10</v>
      </c>
      <c r="P153" s="1">
        <v>9.1600774558367199E-10</v>
      </c>
      <c r="Q153">
        <v>65.951842718327498</v>
      </c>
      <c r="S153">
        <v>19.042711887544399</v>
      </c>
      <c r="AA153">
        <v>0.32147141012341901</v>
      </c>
      <c r="AB153">
        <v>4.55801309260133</v>
      </c>
      <c r="AC153">
        <v>10.125960891403199</v>
      </c>
      <c r="AJ153">
        <v>0.399902917776295</v>
      </c>
      <c r="AK153">
        <v>1.5585909497358301E-2</v>
      </c>
      <c r="AL153">
        <v>0.58451117272634601</v>
      </c>
    </row>
    <row r="154" spans="1:38" x14ac:dyDescent="0.2">
      <c r="A154">
        <v>139</v>
      </c>
      <c r="B154">
        <v>752</v>
      </c>
      <c r="C154">
        <v>140</v>
      </c>
      <c r="D154">
        <v>0.443759937570114</v>
      </c>
      <c r="E154">
        <v>19.163315053298302</v>
      </c>
      <c r="F154">
        <v>2.5745060302436</v>
      </c>
      <c r="G154">
        <v>-311.11331049891317</v>
      </c>
      <c r="H154">
        <v>-269.89411831908211</v>
      </c>
      <c r="I154">
        <v>40.2079619371126</v>
      </c>
      <c r="J154">
        <v>23.371727158814402</v>
      </c>
      <c r="K154">
        <v>7.4434920051381903</v>
      </c>
      <c r="L154">
        <v>3.095622216315756E-5</v>
      </c>
      <c r="M154">
        <v>1.7999662832041442E-6</v>
      </c>
      <c r="N154" s="1">
        <v>-2.8271883514093102E-7</v>
      </c>
      <c r="O154" s="1">
        <v>6.4972067999008005E-11</v>
      </c>
      <c r="P154" s="1">
        <v>9.8188781395932003E-10</v>
      </c>
      <c r="Q154">
        <v>64.491254368569997</v>
      </c>
      <c r="S154">
        <v>21.887676560417798</v>
      </c>
      <c r="AA154">
        <v>3.0094047192462501</v>
      </c>
      <c r="AB154">
        <v>8.7616150293629307</v>
      </c>
      <c r="AC154">
        <v>1.8500493224029</v>
      </c>
      <c r="AJ154">
        <v>0.75259912189742895</v>
      </c>
      <c r="AK154">
        <v>0.14284693559894501</v>
      </c>
      <c r="AL154">
        <v>0.104553942503625</v>
      </c>
    </row>
    <row r="155" spans="1:38" x14ac:dyDescent="0.2">
      <c r="A155">
        <v>139</v>
      </c>
      <c r="B155">
        <v>752</v>
      </c>
      <c r="C155">
        <v>140</v>
      </c>
      <c r="D155">
        <v>0.443759937570114</v>
      </c>
      <c r="E155">
        <v>36.612093837037897</v>
      </c>
      <c r="F155">
        <v>2.5199260405314301</v>
      </c>
      <c r="G155">
        <v>-579.400300099476</v>
      </c>
      <c r="H155">
        <v>-501.82426054460893</v>
      </c>
      <c r="I155">
        <v>75.672866951048107</v>
      </c>
      <c r="J155">
        <v>43.520051332672502</v>
      </c>
      <c r="K155">
        <v>14.5290350780758</v>
      </c>
      <c r="L155">
        <v>2.8399690328599176E-5</v>
      </c>
      <c r="M155">
        <v>1.7994674996063202E-6</v>
      </c>
      <c r="N155" s="1">
        <v>-2.3437754057333099E-7</v>
      </c>
      <c r="O155" s="1">
        <v>1.38584088617977E-10</v>
      </c>
      <c r="P155" s="1">
        <v>9.7046684914484009E-10</v>
      </c>
      <c r="Q155">
        <v>65.949222691037406</v>
      </c>
      <c r="S155">
        <v>19.0352520368128</v>
      </c>
      <c r="AA155">
        <v>0.31592830443720199</v>
      </c>
      <c r="AB155">
        <v>4.5326175337260999</v>
      </c>
      <c r="AC155">
        <v>10.166979433986301</v>
      </c>
      <c r="AJ155">
        <v>0.397726154310651</v>
      </c>
      <c r="AK155">
        <v>1.5319140646989599E-2</v>
      </c>
      <c r="AL155">
        <v>0.58695470504235803</v>
      </c>
    </row>
    <row r="156" spans="1:38" x14ac:dyDescent="0.2">
      <c r="A156">
        <v>140</v>
      </c>
      <c r="B156">
        <v>750</v>
      </c>
      <c r="C156">
        <v>140</v>
      </c>
      <c r="D156">
        <v>0.44253579631530099</v>
      </c>
      <c r="E156">
        <v>19.353992097823301</v>
      </c>
      <c r="F156">
        <v>2.5747911128536498</v>
      </c>
      <c r="G156">
        <v>-314.14531315300621</v>
      </c>
      <c r="H156">
        <v>-272.64429281209357</v>
      </c>
      <c r="I156">
        <v>40.562009813724899</v>
      </c>
      <c r="J156">
        <v>23.621847811545098</v>
      </c>
      <c r="K156">
        <v>7.5167232018185599</v>
      </c>
      <c r="L156">
        <v>3.104223749918787E-5</v>
      </c>
      <c r="M156">
        <v>1.8003430419652909E-6</v>
      </c>
      <c r="N156" s="1">
        <v>-3.0441705856540999E-7</v>
      </c>
      <c r="O156" s="1">
        <v>6.5445281771118706E-11</v>
      </c>
      <c r="P156" s="1">
        <v>1.04591107189976E-9</v>
      </c>
      <c r="Q156">
        <v>64.487736250108298</v>
      </c>
      <c r="S156">
        <v>21.894186523404301</v>
      </c>
      <c r="AA156">
        <v>3.01559641021404</v>
      </c>
      <c r="AB156">
        <v>8.7708418053271195</v>
      </c>
      <c r="AC156">
        <v>1.8316390109460701</v>
      </c>
      <c r="AJ156">
        <v>0.75335701338333405</v>
      </c>
      <c r="AK156">
        <v>0.14313424967077401</v>
      </c>
      <c r="AL156">
        <v>0.10350873694589</v>
      </c>
    </row>
    <row r="157" spans="1:38" x14ac:dyDescent="0.2">
      <c r="A157">
        <v>140</v>
      </c>
      <c r="B157">
        <v>750</v>
      </c>
      <c r="C157">
        <v>140</v>
      </c>
      <c r="D157">
        <v>0.44253579631530099</v>
      </c>
      <c r="E157">
        <v>36.932532123840097</v>
      </c>
      <c r="F157">
        <v>2.5199555299147298</v>
      </c>
      <c r="G157">
        <v>-584.2493698140039</v>
      </c>
      <c r="H157">
        <v>-506.2457987754961</v>
      </c>
      <c r="I157">
        <v>76.238646374928194</v>
      </c>
      <c r="J157">
        <v>43.907386538682204</v>
      </c>
      <c r="K157">
        <v>14.6560253486258</v>
      </c>
      <c r="L157">
        <v>2.8417849159930471E-5</v>
      </c>
      <c r="M157">
        <v>1.799542355675094E-6</v>
      </c>
      <c r="N157" s="1">
        <v>-2.5278846557821102E-7</v>
      </c>
      <c r="O157" s="1">
        <v>1.3969610564807501E-10</v>
      </c>
      <c r="P157" s="1">
        <v>1.0259849084305999E-9</v>
      </c>
      <c r="Q157">
        <v>65.947007883962897</v>
      </c>
      <c r="S157">
        <v>19.028002120046999</v>
      </c>
      <c r="AA157">
        <v>0.31046384382462699</v>
      </c>
      <c r="AB157">
        <v>4.5086753555585197</v>
      </c>
      <c r="AC157">
        <v>10.2058507966068</v>
      </c>
      <c r="AJ157">
        <v>0.39567345362863798</v>
      </c>
      <c r="AK157">
        <v>1.5056005643644999E-2</v>
      </c>
      <c r="AL157">
        <v>0.58927054072771601</v>
      </c>
    </row>
    <row r="158" spans="1:38" x14ac:dyDescent="0.2">
      <c r="A158">
        <v>142</v>
      </c>
      <c r="B158">
        <v>790</v>
      </c>
      <c r="C158">
        <v>120</v>
      </c>
      <c r="D158">
        <v>0.486836758688802</v>
      </c>
      <c r="E158">
        <v>0.44420071861787302</v>
      </c>
      <c r="F158">
        <v>2.57371930824279</v>
      </c>
      <c r="G158">
        <v>-7.2598736774830055</v>
      </c>
      <c r="H158">
        <v>-6.2480761988854034</v>
      </c>
      <c r="I158">
        <v>0.95169776475342205</v>
      </c>
      <c r="J158">
        <v>0.53877469174464798</v>
      </c>
      <c r="K158">
        <v>0.172590972603439</v>
      </c>
      <c r="L158">
        <v>3.0127975391224408E-5</v>
      </c>
      <c r="M158">
        <v>1.7944890133724969E-6</v>
      </c>
      <c r="N158" s="1">
        <v>-1.9957896758463502E-9</v>
      </c>
      <c r="O158" s="1">
        <v>1.5372264457263199E-12</v>
      </c>
      <c r="P158" s="1">
        <v>9.5286779420781003E-12</v>
      </c>
      <c r="Q158">
        <v>64.369302174619307</v>
      </c>
      <c r="S158">
        <v>22.062775588665001</v>
      </c>
      <c r="AA158">
        <v>3.1823190876859302</v>
      </c>
      <c r="AB158">
        <v>8.9488959709358191</v>
      </c>
      <c r="AC158">
        <v>1.4367071780938601</v>
      </c>
      <c r="AJ158">
        <v>0.76796803676708902</v>
      </c>
      <c r="AK158">
        <v>0.15091353751323799</v>
      </c>
      <c r="AL158">
        <v>8.1118425719672593E-2</v>
      </c>
    </row>
    <row r="159" spans="1:38" x14ac:dyDescent="0.2">
      <c r="A159">
        <v>143</v>
      </c>
      <c r="B159">
        <v>788</v>
      </c>
      <c r="C159">
        <v>120</v>
      </c>
      <c r="D159">
        <v>0.48573764312303003</v>
      </c>
      <c r="E159">
        <v>1.08542443498324</v>
      </c>
      <c r="F159">
        <v>2.5729939289737298</v>
      </c>
      <c r="G159">
        <v>-17.732661444888588</v>
      </c>
      <c r="H159">
        <v>-15.267209764556821</v>
      </c>
      <c r="I159">
        <v>2.32337716659451</v>
      </c>
      <c r="J159">
        <v>1.3167532272707301</v>
      </c>
      <c r="K159">
        <v>0.42185269959660399</v>
      </c>
      <c r="L159">
        <v>3.0190535870708898E-5</v>
      </c>
      <c r="M159">
        <v>1.7966143926939472E-6</v>
      </c>
      <c r="N159" s="1">
        <v>-5.2274952078978296E-9</v>
      </c>
      <c r="O159" s="1">
        <v>3.75970864049284E-12</v>
      </c>
      <c r="P159" s="1">
        <v>2.4312458818725601E-11</v>
      </c>
      <c r="Q159">
        <v>64.456213657228304</v>
      </c>
      <c r="S159">
        <v>21.994931072282402</v>
      </c>
      <c r="AA159">
        <v>3.10606706068722</v>
      </c>
      <c r="AB159">
        <v>8.9647103298364907</v>
      </c>
      <c r="AC159">
        <v>1.4780778799655401</v>
      </c>
      <c r="AJ159">
        <v>0.76926600247492205</v>
      </c>
      <c r="AK159">
        <v>0.14728614543497601</v>
      </c>
      <c r="AL159">
        <v>8.3447852090099806E-2</v>
      </c>
    </row>
    <row r="160" spans="1:38" x14ac:dyDescent="0.2">
      <c r="A160">
        <v>144</v>
      </c>
      <c r="B160">
        <v>786</v>
      </c>
      <c r="C160">
        <v>120</v>
      </c>
      <c r="D160">
        <v>0.48463437662276798</v>
      </c>
      <c r="E160">
        <v>1.7271408179693599</v>
      </c>
      <c r="F160">
        <v>2.5722852594469101</v>
      </c>
      <c r="G160">
        <v>-28.204970868461846</v>
      </c>
      <c r="H160">
        <v>-24.292954045591298</v>
      </c>
      <c r="I160">
        <v>3.6935437122886698</v>
      </c>
      <c r="J160">
        <v>2.0956249554127599</v>
      </c>
      <c r="K160">
        <v>0.67144217836116904</v>
      </c>
      <c r="L160">
        <v>3.0252540345740846E-5</v>
      </c>
      <c r="M160">
        <v>1.798660184093475E-6</v>
      </c>
      <c r="N160" s="1">
        <v>-8.9042811268882504E-9</v>
      </c>
      <c r="O160" s="1">
        <v>5.9874434125914896E-12</v>
      </c>
      <c r="P160" s="1">
        <v>4.0404192677536402E-11</v>
      </c>
      <c r="Q160">
        <v>64.539870139827897</v>
      </c>
      <c r="S160">
        <v>21.9290679166464</v>
      </c>
      <c r="AA160">
        <v>3.0322091863455198</v>
      </c>
      <c r="AB160">
        <v>8.9784654905341093</v>
      </c>
      <c r="AC160">
        <v>1.5203872666460301</v>
      </c>
      <c r="AJ160">
        <v>0.77039492139980903</v>
      </c>
      <c r="AK160">
        <v>0.14377429374006501</v>
      </c>
      <c r="AL160">
        <v>8.5830784860124701E-2</v>
      </c>
    </row>
    <row r="161" spans="1:38" x14ac:dyDescent="0.2">
      <c r="A161">
        <v>145</v>
      </c>
      <c r="B161">
        <v>784</v>
      </c>
      <c r="C161">
        <v>120</v>
      </c>
      <c r="D161">
        <v>0.48352693562881199</v>
      </c>
      <c r="E161">
        <v>2.3688469117214099</v>
      </c>
      <c r="F161">
        <v>2.5715929791450098</v>
      </c>
      <c r="G161">
        <v>-38.668518649135848</v>
      </c>
      <c r="H161">
        <v>-33.318201096000095</v>
      </c>
      <c r="I161">
        <v>5.0610770024459599</v>
      </c>
      <c r="J161">
        <v>2.8748046715457698</v>
      </c>
      <c r="K161">
        <v>0.92115934789532605</v>
      </c>
      <c r="L161">
        <v>3.0314086949639869E-5</v>
      </c>
      <c r="M161">
        <v>1.8006278111231808E-6</v>
      </c>
      <c r="N161" s="1">
        <v>-1.3057755191836799E-8</v>
      </c>
      <c r="O161" s="1">
        <v>8.21811517053459E-12</v>
      </c>
      <c r="P161" s="1">
        <v>5.7890230356461798E-11</v>
      </c>
      <c r="Q161">
        <v>64.620317112654106</v>
      </c>
      <c r="S161">
        <v>21.865154173596299</v>
      </c>
      <c r="AA161">
        <v>2.9607084925763898</v>
      </c>
      <c r="AB161">
        <v>8.9901790693236805</v>
      </c>
      <c r="AC161">
        <v>1.56364115184946</v>
      </c>
      <c r="AJ161">
        <v>0.77135630644695896</v>
      </c>
      <c r="AK161">
        <v>0.140376086956426</v>
      </c>
      <c r="AL161">
        <v>8.8267606596614395E-2</v>
      </c>
    </row>
    <row r="162" spans="1:38" x14ac:dyDescent="0.2">
      <c r="A162">
        <v>146</v>
      </c>
      <c r="B162">
        <v>782</v>
      </c>
      <c r="C162">
        <v>120</v>
      </c>
      <c r="D162">
        <v>0.48241529640335601</v>
      </c>
      <c r="E162">
        <v>3.01005610243759</v>
      </c>
      <c r="F162">
        <v>2.5709166872430802</v>
      </c>
      <c r="G162">
        <v>-49.115300709681392</v>
      </c>
      <c r="H162">
        <v>-42.336071372030382</v>
      </c>
      <c r="I162">
        <v>6.4248963063554996</v>
      </c>
      <c r="J162">
        <v>3.6537294294996001</v>
      </c>
      <c r="K162">
        <v>1.1708104418060299</v>
      </c>
      <c r="L162">
        <v>3.0375283382355684E-5</v>
      </c>
      <c r="M162">
        <v>1.8025189312174053E-6</v>
      </c>
      <c r="N162" s="1">
        <v>-1.7721810974387399E-8</v>
      </c>
      <c r="O162" s="1">
        <v>1.0449445536579099E-11</v>
      </c>
      <c r="P162" s="1">
        <v>7.6863388258675803E-11</v>
      </c>
      <c r="Q162">
        <v>64.697609828866106</v>
      </c>
      <c r="S162">
        <v>21.803150766938401</v>
      </c>
      <c r="AA162">
        <v>2.8915198485505802</v>
      </c>
      <c r="AB162">
        <v>8.9998717515859603</v>
      </c>
      <c r="AC162">
        <v>1.60784780405882</v>
      </c>
      <c r="AJ162">
        <v>0.77215191132442196</v>
      </c>
      <c r="AK162">
        <v>0.137089249279404</v>
      </c>
      <c r="AL162">
        <v>9.0758839396173102E-2</v>
      </c>
    </row>
    <row r="163" spans="1:38" x14ac:dyDescent="0.2">
      <c r="A163">
        <v>147</v>
      </c>
      <c r="B163">
        <v>780</v>
      </c>
      <c r="C163">
        <v>120</v>
      </c>
      <c r="D163">
        <v>0.48129943502824801</v>
      </c>
      <c r="E163">
        <v>4.0939431355390301</v>
      </c>
      <c r="F163">
        <v>2.56974468701083</v>
      </c>
      <c r="G163">
        <v>-66.764122329821447</v>
      </c>
      <c r="H163">
        <v>-57.569732811692703</v>
      </c>
      <c r="I163">
        <v>8.7303703348323793</v>
      </c>
      <c r="J163">
        <v>4.9701855749905004</v>
      </c>
      <c r="K163">
        <v>1.5931322501540599</v>
      </c>
      <c r="L163">
        <v>3.0440317094483852E-5</v>
      </c>
      <c r="M163">
        <v>1.8049636286319553E-6</v>
      </c>
      <c r="N163" s="1">
        <v>-2.56802968110315E-8</v>
      </c>
      <c r="O163" s="1">
        <v>1.42337472911004E-11</v>
      </c>
      <c r="P163" s="1">
        <v>1.09134887932695E-10</v>
      </c>
      <c r="Q163">
        <v>64.806211429427805</v>
      </c>
      <c r="S163">
        <v>21.7097095208964</v>
      </c>
      <c r="AA163">
        <v>2.7890891649920699</v>
      </c>
      <c r="AB163">
        <v>8.9969162207626301</v>
      </c>
      <c r="AC163">
        <v>1.6980736639209699</v>
      </c>
      <c r="AJ163">
        <v>0.77191136610297395</v>
      </c>
      <c r="AK163">
        <v>0.132235160997975</v>
      </c>
      <c r="AL163">
        <v>9.5853472899050302E-2</v>
      </c>
    </row>
    <row r="164" spans="1:38" x14ac:dyDescent="0.2">
      <c r="A164">
        <v>148</v>
      </c>
      <c r="B164">
        <v>778</v>
      </c>
      <c r="C164">
        <v>120</v>
      </c>
      <c r="D164">
        <v>0.48017932740332298</v>
      </c>
      <c r="E164">
        <v>5.9270165383872797</v>
      </c>
      <c r="F164">
        <v>2.5676529876869001</v>
      </c>
      <c r="G164">
        <v>-96.576232939187449</v>
      </c>
      <c r="H164">
        <v>-83.302133212537839</v>
      </c>
      <c r="I164">
        <v>12.628168888027</v>
      </c>
      <c r="J164">
        <v>7.19565104884642</v>
      </c>
      <c r="K164">
        <v>2.3083401716704302</v>
      </c>
      <c r="L164">
        <v>3.0502671466719917E-5</v>
      </c>
      <c r="M164">
        <v>1.8081978489607434E-6</v>
      </c>
      <c r="N164" s="1">
        <v>-3.9404720289360998E-8</v>
      </c>
      <c r="O164" s="1">
        <v>2.0671492144186599E-11</v>
      </c>
      <c r="P164" s="1">
        <v>1.6443953507732301E-10</v>
      </c>
      <c r="Q164">
        <v>64.965132447753803</v>
      </c>
      <c r="S164">
        <v>21.561313101811098</v>
      </c>
      <c r="AA164">
        <v>2.6295785527520201</v>
      </c>
      <c r="AB164">
        <v>8.9620226836147392</v>
      </c>
      <c r="AC164">
        <v>1.88195321406822</v>
      </c>
      <c r="AJ164">
        <v>0.76905350525015204</v>
      </c>
      <c r="AK164">
        <v>0.124694545440799</v>
      </c>
      <c r="AL164">
        <v>0.10625194930904799</v>
      </c>
    </row>
    <row r="165" spans="1:38" x14ac:dyDescent="0.2">
      <c r="A165">
        <v>149</v>
      </c>
      <c r="B165">
        <v>776</v>
      </c>
      <c r="C165">
        <v>120</v>
      </c>
      <c r="D165">
        <v>0.47905494924462999</v>
      </c>
      <c r="E165">
        <v>7.8650836904185599</v>
      </c>
      <c r="F165">
        <v>2.5653028152838901</v>
      </c>
      <c r="G165">
        <v>-128.03017127029042</v>
      </c>
      <c r="H165">
        <v>-110.46575683240786</v>
      </c>
      <c r="I165">
        <v>16.741566447011898</v>
      </c>
      <c r="J165">
        <v>9.5474808733568892</v>
      </c>
      <c r="K165">
        <v>3.0659474755022802</v>
      </c>
      <c r="L165">
        <v>3.0548223900114703E-5</v>
      </c>
      <c r="M165">
        <v>1.8111596155189515E-6</v>
      </c>
      <c r="N165" s="1">
        <v>-5.5172946783110702E-8</v>
      </c>
      <c r="O165" s="1">
        <v>2.7526213118238501E-11</v>
      </c>
      <c r="P165" s="1">
        <v>2.2651838334739E-10</v>
      </c>
      <c r="Q165">
        <v>65.121539832191402</v>
      </c>
      <c r="S165">
        <v>21.404611664265801</v>
      </c>
      <c r="AA165">
        <v>2.4638027373501501</v>
      </c>
      <c r="AB165">
        <v>8.8997549625032608</v>
      </c>
      <c r="AC165">
        <v>2.11029080368928</v>
      </c>
      <c r="AJ165">
        <v>0.76394917557458897</v>
      </c>
      <c r="AK165">
        <v>0.116870026074058</v>
      </c>
      <c r="AL165">
        <v>0.11918079835135199</v>
      </c>
    </row>
    <row r="166" spans="1:38" x14ac:dyDescent="0.2">
      <c r="A166">
        <v>150</v>
      </c>
      <c r="B166">
        <v>774</v>
      </c>
      <c r="C166">
        <v>120</v>
      </c>
      <c r="D166">
        <v>0.47792627608270499</v>
      </c>
      <c r="E166">
        <v>10.006596210123</v>
      </c>
      <c r="F166">
        <v>2.5624595947956901</v>
      </c>
      <c r="G166">
        <v>-162.69329665356909</v>
      </c>
      <c r="H166">
        <v>-140.41209944046895</v>
      </c>
      <c r="I166">
        <v>21.277942236642399</v>
      </c>
      <c r="J166">
        <v>12.1431846206768</v>
      </c>
      <c r="K166">
        <v>3.9050747299377102</v>
      </c>
      <c r="L166">
        <v>3.0567561391321349E-5</v>
      </c>
      <c r="M166">
        <v>1.8138255105420012E-6</v>
      </c>
      <c r="N166" s="1">
        <v>-7.3561110427560998E-8</v>
      </c>
      <c r="O166" s="1">
        <v>3.5169005010368102E-11</v>
      </c>
      <c r="P166" s="1">
        <v>2.9782466954291398E-10</v>
      </c>
      <c r="Q166">
        <v>65.280793994900606</v>
      </c>
      <c r="S166">
        <v>21.228748697870401</v>
      </c>
      <c r="AA166">
        <v>2.2815542076569</v>
      </c>
      <c r="AB166">
        <v>8.7935966950828508</v>
      </c>
      <c r="AC166">
        <v>2.41530640448907</v>
      </c>
      <c r="AJ166">
        <v>0.75523796646894703</v>
      </c>
      <c r="AK166">
        <v>0.108282644266571</v>
      </c>
      <c r="AL166">
        <v>0.136479389264481</v>
      </c>
    </row>
    <row r="167" spans="1:38" x14ac:dyDescent="0.2">
      <c r="A167">
        <v>151</v>
      </c>
      <c r="B167">
        <v>772</v>
      </c>
      <c r="C167">
        <v>120</v>
      </c>
      <c r="D167">
        <v>0.47679328326077502</v>
      </c>
      <c r="E167">
        <v>14.4298894842271</v>
      </c>
      <c r="F167">
        <v>2.5672119886865099</v>
      </c>
      <c r="G167">
        <v>-234.72318815150336</v>
      </c>
      <c r="H167">
        <v>-202.70736495026762</v>
      </c>
      <c r="I167">
        <v>30.632754342664398</v>
      </c>
      <c r="J167">
        <v>17.511051410960999</v>
      </c>
      <c r="K167">
        <v>5.6208406426186901</v>
      </c>
      <c r="L167">
        <v>3.0436398064924377E-5</v>
      </c>
      <c r="M167">
        <v>1.8051583861970566E-6</v>
      </c>
      <c r="N167" s="1">
        <v>-1.11631868904658E-7</v>
      </c>
      <c r="O167" s="1">
        <v>5.0236206561048899E-11</v>
      </c>
      <c r="P167" s="1">
        <v>4.45962126356292E-10</v>
      </c>
      <c r="Q167">
        <v>64.8594015612438</v>
      </c>
      <c r="S167">
        <v>21.5611040555941</v>
      </c>
      <c r="AA167">
        <v>2.6540769444158201</v>
      </c>
      <c r="AB167">
        <v>8.7258590302551404</v>
      </c>
      <c r="AC167">
        <v>2.19955840849103</v>
      </c>
      <c r="AJ167">
        <v>0.74966678587251001</v>
      </c>
      <c r="AK167">
        <v>0.12600401303431999</v>
      </c>
      <c r="AL167">
        <v>0.124329201093169</v>
      </c>
    </row>
    <row r="168" spans="1:38" x14ac:dyDescent="0.2">
      <c r="A168">
        <v>151</v>
      </c>
      <c r="B168">
        <v>772</v>
      </c>
      <c r="C168">
        <v>120</v>
      </c>
      <c r="D168">
        <v>0.47679328326077502</v>
      </c>
      <c r="E168">
        <v>21.2531485500655</v>
      </c>
      <c r="F168">
        <v>2.51931885692865</v>
      </c>
      <c r="G168">
        <v>-338.12554044635402</v>
      </c>
      <c r="H168">
        <v>-291.58020178519308</v>
      </c>
      <c r="I168">
        <v>44.534601407607397</v>
      </c>
      <c r="J168">
        <v>25.279484176297199</v>
      </c>
      <c r="K168">
        <v>8.4360693334291206</v>
      </c>
      <c r="L168">
        <v>2.8441103203865488E-5</v>
      </c>
      <c r="M168">
        <v>1.8026490058407023E-6</v>
      </c>
      <c r="N168" s="1">
        <v>-7.1283631457622999E-8</v>
      </c>
      <c r="O168" s="1">
        <v>8.0667645490799301E-11</v>
      </c>
      <c r="P168" s="1">
        <v>3.7603998409567498E-10</v>
      </c>
      <c r="Q168">
        <v>66.036822601503999</v>
      </c>
      <c r="S168">
        <v>19.137374886591999</v>
      </c>
      <c r="AA168">
        <v>0.37974045961944602</v>
      </c>
      <c r="AB168">
        <v>4.9955575648534003</v>
      </c>
      <c r="AC168">
        <v>9.4505044874311093</v>
      </c>
      <c r="AJ168">
        <v>0.43731904154500001</v>
      </c>
      <c r="AK168">
        <v>1.8370123746150199E-2</v>
      </c>
      <c r="AL168">
        <v>0.544310834708849</v>
      </c>
    </row>
    <row r="169" spans="1:38" x14ac:dyDescent="0.2">
      <c r="A169">
        <v>152</v>
      </c>
      <c r="B169">
        <v>770</v>
      </c>
      <c r="C169">
        <v>120</v>
      </c>
      <c r="D169">
        <v>0.47565594593299199</v>
      </c>
      <c r="E169">
        <v>16.372011242753398</v>
      </c>
      <c r="F169">
        <v>2.5696265173724799</v>
      </c>
      <c r="G169">
        <v>-266.35144407040968</v>
      </c>
      <c r="H169">
        <v>-230.14610187898069</v>
      </c>
      <c r="I169">
        <v>34.707704732233097</v>
      </c>
      <c r="J169">
        <v>19.872028051714899</v>
      </c>
      <c r="K169">
        <v>6.3713583013201198</v>
      </c>
      <c r="L169">
        <v>3.0400671919380026E-5</v>
      </c>
      <c r="M169">
        <v>1.8011365218958534E-6</v>
      </c>
      <c r="N169" s="1">
        <v>-1.3425720076776E-7</v>
      </c>
      <c r="O169" s="1">
        <v>5.6689157371818401E-11</v>
      </c>
      <c r="P169" s="1">
        <v>5.2828897860879196E-10</v>
      </c>
      <c r="Q169">
        <v>64.656060946981498</v>
      </c>
      <c r="S169">
        <v>21.724585269812099</v>
      </c>
      <c r="AA169">
        <v>2.8363973725532401</v>
      </c>
      <c r="AB169">
        <v>8.70131263114021</v>
      </c>
      <c r="AC169">
        <v>2.08164377951279</v>
      </c>
      <c r="AJ169">
        <v>0.74764626737149198</v>
      </c>
      <c r="AK169">
        <v>0.134675706151065</v>
      </c>
      <c r="AL169">
        <v>0.11767802647744199</v>
      </c>
    </row>
    <row r="170" spans="1:38" x14ac:dyDescent="0.2">
      <c r="A170">
        <v>152</v>
      </c>
      <c r="B170">
        <v>770</v>
      </c>
      <c r="C170">
        <v>120</v>
      </c>
      <c r="D170">
        <v>0.47565594593299199</v>
      </c>
      <c r="E170">
        <v>29.456423200606</v>
      </c>
      <c r="F170">
        <v>2.5190845796315502</v>
      </c>
      <c r="G170">
        <v>-468.21671647542291</v>
      </c>
      <c r="H170">
        <v>-403.94761156776383</v>
      </c>
      <c r="I170">
        <v>61.610607206690403</v>
      </c>
      <c r="J170">
        <v>35.014449349932399</v>
      </c>
      <c r="K170">
        <v>11.6933045594341</v>
      </c>
      <c r="L170">
        <v>2.8363480877710887E-5</v>
      </c>
      <c r="M170">
        <v>1.8013623397795069E-6</v>
      </c>
      <c r="N170" s="1">
        <v>-1.0198218520294E-7</v>
      </c>
      <c r="O170" s="1">
        <v>1.11888354300931E-10</v>
      </c>
      <c r="P170" s="1">
        <v>5.3022472153258203E-10</v>
      </c>
      <c r="Q170">
        <v>65.997004049386206</v>
      </c>
      <c r="S170">
        <v>19.1172061564844</v>
      </c>
      <c r="AA170">
        <v>0.37239216555162602</v>
      </c>
      <c r="AB170">
        <v>4.8539491083536204</v>
      </c>
      <c r="AC170">
        <v>9.6594485202240694</v>
      </c>
      <c r="AJ170">
        <v>0.425227630228318</v>
      </c>
      <c r="AK170">
        <v>1.8027586309871401E-2</v>
      </c>
      <c r="AL170">
        <v>0.556744783461809</v>
      </c>
    </row>
    <row r="171" spans="1:38" x14ac:dyDescent="0.2">
      <c r="A171">
        <v>153</v>
      </c>
      <c r="B171">
        <v>768</v>
      </c>
      <c r="C171">
        <v>120</v>
      </c>
      <c r="D171">
        <v>0.474514239062578</v>
      </c>
      <c r="E171">
        <v>17.231142606591298</v>
      </c>
      <c r="F171">
        <v>2.5707540630469898</v>
      </c>
      <c r="G171">
        <v>-280.30805587096978</v>
      </c>
      <c r="H171">
        <v>-242.32214059904334</v>
      </c>
      <c r="I171">
        <v>36.484575010254503</v>
      </c>
      <c r="J171">
        <v>20.921329699149901</v>
      </c>
      <c r="K171">
        <v>6.7027580950968302</v>
      </c>
      <c r="L171">
        <v>3.0416008664516575E-5</v>
      </c>
      <c r="M171">
        <v>1.7996528482852491E-6</v>
      </c>
      <c r="N171" s="1">
        <v>-1.5024409847746799E-7</v>
      </c>
      <c r="O171" s="1">
        <v>5.9476636924026099E-11</v>
      </c>
      <c r="P171" s="1">
        <v>5.8209680195955303E-10</v>
      </c>
      <c r="Q171">
        <v>64.571530227081695</v>
      </c>
      <c r="S171">
        <v>21.7942167156178</v>
      </c>
      <c r="AA171">
        <v>2.9135681161915001</v>
      </c>
      <c r="AB171">
        <v>8.6954883420846407</v>
      </c>
      <c r="AC171">
        <v>2.02519659902427</v>
      </c>
      <c r="AJ171">
        <v>0.74716623083188205</v>
      </c>
      <c r="AK171">
        <v>0.138343648237919</v>
      </c>
      <c r="AL171">
        <v>0.114490120930198</v>
      </c>
    </row>
    <row r="172" spans="1:38" x14ac:dyDescent="0.2">
      <c r="A172">
        <v>153</v>
      </c>
      <c r="B172">
        <v>768</v>
      </c>
      <c r="C172">
        <v>120</v>
      </c>
      <c r="D172">
        <v>0.474514239062578</v>
      </c>
      <c r="E172">
        <v>32.6862993012763</v>
      </c>
      <c r="F172">
        <v>2.5190074840891201</v>
      </c>
      <c r="G172">
        <v>-519.25510847398107</v>
      </c>
      <c r="H172">
        <v>-448.18015549347786</v>
      </c>
      <c r="I172">
        <v>68.265814705376897</v>
      </c>
      <c r="J172">
        <v>38.8441013437279</v>
      </c>
      <c r="K172">
        <v>12.9758643067691</v>
      </c>
      <c r="L172">
        <v>2.8336454914947181E-5</v>
      </c>
      <c r="M172">
        <v>1.8008973441434292E-6</v>
      </c>
      <c r="N172" s="1">
        <v>-1.19796506549382E-7</v>
      </c>
      <c r="O172" s="1">
        <v>1.24168413304914E-10</v>
      </c>
      <c r="P172" s="1">
        <v>6.0757779496324101E-10</v>
      </c>
      <c r="Q172">
        <v>65.980731127835398</v>
      </c>
      <c r="S172">
        <v>19.104599906212901</v>
      </c>
      <c r="AA172">
        <v>0.36578894377877402</v>
      </c>
      <c r="AB172">
        <v>4.7846368511860602</v>
      </c>
      <c r="AC172">
        <v>9.7642431709866706</v>
      </c>
      <c r="AJ172">
        <v>0.41930301193305702</v>
      </c>
      <c r="AK172">
        <v>1.7714151961803801E-2</v>
      </c>
      <c r="AL172">
        <v>0.562982836105138</v>
      </c>
    </row>
    <row r="173" spans="1:38" x14ac:dyDescent="0.2">
      <c r="A173">
        <v>154</v>
      </c>
      <c r="B173">
        <v>766</v>
      </c>
      <c r="C173">
        <v>120</v>
      </c>
      <c r="D173">
        <v>0.47336813742000999</v>
      </c>
      <c r="E173">
        <v>17.739574538551501</v>
      </c>
      <c r="F173">
        <v>2.5714638862858701</v>
      </c>
      <c r="G173">
        <v>-288.53917707813872</v>
      </c>
      <c r="H173">
        <v>-249.55290191714838</v>
      </c>
      <c r="I173">
        <v>37.517466353260197</v>
      </c>
      <c r="J173">
        <v>21.5466280343813</v>
      </c>
      <c r="K173">
        <v>6.8986286889581603</v>
      </c>
      <c r="L173">
        <v>3.0451103186149113E-5</v>
      </c>
      <c r="M173">
        <v>1.7990342372041695E-6</v>
      </c>
      <c r="N173" s="1">
        <v>-1.64643219212306E-7</v>
      </c>
      <c r="O173" s="1">
        <v>6.1081547976654494E-11</v>
      </c>
      <c r="P173" s="1">
        <v>6.2826839865440498E-10</v>
      </c>
      <c r="Q173">
        <v>64.526706984366697</v>
      </c>
      <c r="S173">
        <v>21.832841564589899</v>
      </c>
      <c r="AA173">
        <v>2.9558929029949499</v>
      </c>
      <c r="AB173">
        <v>8.6968622121740307</v>
      </c>
      <c r="AC173">
        <v>1.9876963358742601</v>
      </c>
      <c r="AJ173">
        <v>0.74727849531203805</v>
      </c>
      <c r="AK173">
        <v>0.140352250334845</v>
      </c>
      <c r="AL173">
        <v>0.112369254353116</v>
      </c>
    </row>
    <row r="174" spans="1:38" x14ac:dyDescent="0.2">
      <c r="A174">
        <v>154</v>
      </c>
      <c r="B174">
        <v>766</v>
      </c>
      <c r="C174">
        <v>120</v>
      </c>
      <c r="D174">
        <v>0.47336813742000999</v>
      </c>
      <c r="E174">
        <v>34.395097400483898</v>
      </c>
      <c r="F174">
        <v>2.51897772175922</v>
      </c>
      <c r="G174">
        <v>-546.13849957909497</v>
      </c>
      <c r="H174">
        <v>-471.59241876722177</v>
      </c>
      <c r="I174">
        <v>71.737555513518899</v>
      </c>
      <c r="J174">
        <v>40.8700903456185</v>
      </c>
      <c r="K174">
        <v>13.6543872950423</v>
      </c>
      <c r="L174">
        <v>2.832623905900421E-5</v>
      </c>
      <c r="M174">
        <v>1.8006921905158075E-6</v>
      </c>
      <c r="N174" s="1">
        <v>-1.3443854156119801E-7</v>
      </c>
      <c r="O174" s="1">
        <v>1.30641487225832E-10</v>
      </c>
      <c r="P174" s="1">
        <v>6.6366341142291697E-10</v>
      </c>
      <c r="Q174">
        <v>65.9718780337532</v>
      </c>
      <c r="S174">
        <v>19.094406099008999</v>
      </c>
      <c r="AA174">
        <v>0.35944469693387199</v>
      </c>
      <c r="AB174">
        <v>4.7381838148373001</v>
      </c>
      <c r="AC174">
        <v>9.8360873554664892</v>
      </c>
      <c r="AJ174">
        <v>0.41533002009717501</v>
      </c>
      <c r="AK174">
        <v>1.7411022997653802E-2</v>
      </c>
      <c r="AL174">
        <v>0.56725895690517003</v>
      </c>
    </row>
    <row r="175" spans="1:38" x14ac:dyDescent="0.2">
      <c r="A175">
        <v>155</v>
      </c>
      <c r="B175">
        <v>764</v>
      </c>
      <c r="C175">
        <v>120</v>
      </c>
      <c r="D175">
        <v>0.47221761558116099</v>
      </c>
      <c r="E175">
        <v>18.0953501078172</v>
      </c>
      <c r="F175">
        <v>2.5719876099517198</v>
      </c>
      <c r="G175">
        <v>-294.2769703045052</v>
      </c>
      <c r="H175">
        <v>-254.63055300707666</v>
      </c>
      <c r="I175">
        <v>38.226309885193501</v>
      </c>
      <c r="J175">
        <v>21.987916635625101</v>
      </c>
      <c r="K175">
        <v>7.03555104145968</v>
      </c>
      <c r="L175">
        <v>3.0497037808779287E-5</v>
      </c>
      <c r="M175">
        <v>1.7988134504252619E-6</v>
      </c>
      <c r="N175" s="1">
        <v>-1.7885009877298999E-7</v>
      </c>
      <c r="O175" s="1">
        <v>6.2169902021788298E-11</v>
      </c>
      <c r="P175" s="1">
        <v>6.7253553505666197E-10</v>
      </c>
      <c r="Q175">
        <v>64.499805047230893</v>
      </c>
      <c r="S175">
        <v>21.857534081724399</v>
      </c>
      <c r="AA175">
        <v>2.98254168171959</v>
      </c>
      <c r="AB175">
        <v>8.70164733160534</v>
      </c>
      <c r="AC175">
        <v>1.95847185771965</v>
      </c>
      <c r="AJ175">
        <v>0.74767143336740705</v>
      </c>
      <c r="AK175">
        <v>0.14161414085766899</v>
      </c>
      <c r="AL175">
        <v>0.11071442577492201</v>
      </c>
    </row>
    <row r="176" spans="1:38" x14ac:dyDescent="0.2">
      <c r="A176">
        <v>155</v>
      </c>
      <c r="B176">
        <v>764</v>
      </c>
      <c r="C176">
        <v>120</v>
      </c>
      <c r="D176">
        <v>0.47221761558116099</v>
      </c>
      <c r="E176">
        <v>35.450495667777197</v>
      </c>
      <c r="F176">
        <v>2.5189690970790002</v>
      </c>
      <c r="G176">
        <v>-562.65065549609824</v>
      </c>
      <c r="H176">
        <v>-486.06493433369707</v>
      </c>
      <c r="I176">
        <v>73.842473280047301</v>
      </c>
      <c r="J176">
        <v>42.122097735853202</v>
      </c>
      <c r="K176">
        <v>14.0734142824084</v>
      </c>
      <c r="L176">
        <v>2.8324140617929707E-5</v>
      </c>
      <c r="M176">
        <v>1.8006022671747082E-6</v>
      </c>
      <c r="N176" s="1">
        <v>-1.4817485473313199E-7</v>
      </c>
      <c r="O176" s="1">
        <v>1.3461462427591501E-10</v>
      </c>
      <c r="P176" s="1">
        <v>7.1191891180360804E-10</v>
      </c>
      <c r="Q176">
        <v>65.966237290386104</v>
      </c>
      <c r="S176">
        <v>19.085311386553901</v>
      </c>
      <c r="AA176">
        <v>0.353257656386751</v>
      </c>
      <c r="AB176">
        <v>4.7017707495938099</v>
      </c>
      <c r="AC176">
        <v>9.8934229170793699</v>
      </c>
      <c r="AJ176">
        <v>0.41221441797109198</v>
      </c>
      <c r="AK176">
        <v>1.71144955109288E-2</v>
      </c>
      <c r="AL176">
        <v>0.57067108651797804</v>
      </c>
    </row>
    <row r="177" spans="1:38" x14ac:dyDescent="0.2">
      <c r="A177">
        <v>156</v>
      </c>
      <c r="B177">
        <v>762</v>
      </c>
      <c r="C177">
        <v>120</v>
      </c>
      <c r="D177">
        <v>0.47106264792542502</v>
      </c>
      <c r="E177">
        <v>18.371054438757</v>
      </c>
      <c r="F177">
        <v>2.5724111069431199</v>
      </c>
      <c r="G177">
        <v>-298.70636363930714</v>
      </c>
      <c r="H177">
        <v>-258.57882495400708</v>
      </c>
      <c r="I177">
        <v>38.764950669275002</v>
      </c>
      <c r="J177">
        <v>22.3331725983609</v>
      </c>
      <c r="K177">
        <v>7.1415701748341203</v>
      </c>
      <c r="L177">
        <v>3.0550521146724256E-5</v>
      </c>
      <c r="M177">
        <v>1.7988140546459285E-6</v>
      </c>
      <c r="N177" s="1">
        <v>-1.9341415126047301E-7</v>
      </c>
      <c r="O177" s="1">
        <v>6.2984446908124494E-11</v>
      </c>
      <c r="P177" s="1">
        <v>7.1710502241772295E-10</v>
      </c>
      <c r="Q177">
        <v>64.482631475299797</v>
      </c>
      <c r="S177">
        <v>21.874678265953001</v>
      </c>
      <c r="AA177">
        <v>3.0006930274829302</v>
      </c>
      <c r="AB177">
        <v>8.7083226552182804</v>
      </c>
      <c r="AC177">
        <v>1.93367457604587</v>
      </c>
      <c r="AJ177">
        <v>0.74821986253869299</v>
      </c>
      <c r="AK177">
        <v>0.142471199439273</v>
      </c>
      <c r="AL177">
        <v>0.10930893802203299</v>
      </c>
    </row>
    <row r="178" spans="1:38" x14ac:dyDescent="0.2">
      <c r="A178">
        <v>156</v>
      </c>
      <c r="B178">
        <v>762</v>
      </c>
      <c r="C178">
        <v>120</v>
      </c>
      <c r="D178">
        <v>0.47106264792542502</v>
      </c>
      <c r="E178">
        <v>36.163661803922203</v>
      </c>
      <c r="F178">
        <v>2.5189723836326299</v>
      </c>
      <c r="G178">
        <v>-573.73245705262264</v>
      </c>
      <c r="H178">
        <v>-495.85636272624276</v>
      </c>
      <c r="I178">
        <v>75.231700068956101</v>
      </c>
      <c r="J178">
        <v>42.969204459773799</v>
      </c>
      <c r="K178">
        <v>14.3565138065429</v>
      </c>
      <c r="L178">
        <v>2.8327034093649102E-5</v>
      </c>
      <c r="M178">
        <v>1.8005749722946646E-6</v>
      </c>
      <c r="N178" s="1">
        <v>-1.6180838240505301E-7</v>
      </c>
      <c r="O178" s="1">
        <v>1.3727469223245701E-10</v>
      </c>
      <c r="P178" s="1">
        <v>7.5712743605850901E-10</v>
      </c>
      <c r="Q178">
        <v>65.962265876942098</v>
      </c>
      <c r="S178">
        <v>19.076837307398002</v>
      </c>
      <c r="AA178">
        <v>0.34719312934999302</v>
      </c>
      <c r="AB178">
        <v>4.6707047674600704</v>
      </c>
      <c r="AC178">
        <v>9.9429989188496997</v>
      </c>
      <c r="AJ178">
        <v>0.40955542293918401</v>
      </c>
      <c r="AK178">
        <v>1.6823338243574099E-2</v>
      </c>
      <c r="AL178">
        <v>0.57362123881724103</v>
      </c>
    </row>
    <row r="179" spans="1:38" x14ac:dyDescent="0.2">
      <c r="A179">
        <v>157</v>
      </c>
      <c r="B179">
        <v>760</v>
      </c>
      <c r="C179">
        <v>120</v>
      </c>
      <c r="D179">
        <v>0.46990320863379098</v>
      </c>
      <c r="E179">
        <v>18.599346576911401</v>
      </c>
      <c r="F179">
        <v>2.57277367597773</v>
      </c>
      <c r="G179">
        <v>-302.36060684663829</v>
      </c>
      <c r="H179">
        <v>-261.85844876793294</v>
      </c>
      <c r="I179">
        <v>39.202592148967099</v>
      </c>
      <c r="J179">
        <v>22.622011500724899</v>
      </c>
      <c r="K179">
        <v>7.2292976061499399</v>
      </c>
      <c r="L179">
        <v>3.0610141052088148E-5</v>
      </c>
      <c r="M179">
        <v>1.7989547335994724E-6</v>
      </c>
      <c r="N179" s="1">
        <v>-2.0862158649627899E-7</v>
      </c>
      <c r="O179" s="1">
        <v>6.3633771021842896E-11</v>
      </c>
      <c r="P179" s="1">
        <v>7.6307855825074504E-10</v>
      </c>
      <c r="Q179">
        <v>64.4714070365536</v>
      </c>
      <c r="S179">
        <v>21.887209368715698</v>
      </c>
      <c r="AA179">
        <v>3.0136503849039702</v>
      </c>
      <c r="AB179">
        <v>8.7161615103497603</v>
      </c>
      <c r="AC179">
        <v>1.9115716994768299</v>
      </c>
      <c r="AJ179">
        <v>0.748863972213752</v>
      </c>
      <c r="AK179">
        <v>0.14308078908640201</v>
      </c>
      <c r="AL179">
        <v>0.108055238699844</v>
      </c>
    </row>
    <row r="180" spans="1:38" x14ac:dyDescent="0.2">
      <c r="A180">
        <v>157</v>
      </c>
      <c r="B180">
        <v>760</v>
      </c>
      <c r="C180">
        <v>120</v>
      </c>
      <c r="D180">
        <v>0.46990320863379098</v>
      </c>
      <c r="E180">
        <v>36.673675802174799</v>
      </c>
      <c r="F180">
        <v>2.5189834808017602</v>
      </c>
      <c r="G180">
        <v>-581.59169792336695</v>
      </c>
      <c r="H180">
        <v>-502.8696078194871</v>
      </c>
      <c r="I180">
        <v>76.196186520718001</v>
      </c>
      <c r="J180">
        <v>43.576341562964203</v>
      </c>
      <c r="K180">
        <v>14.5589187391185</v>
      </c>
      <c r="L180">
        <v>2.8333551383540908E-5</v>
      </c>
      <c r="M180">
        <v>1.8005866250290734E-6</v>
      </c>
      <c r="N180" s="1">
        <v>-1.7571358198599799E-7</v>
      </c>
      <c r="O180" s="1">
        <v>1.39152278980691E-10</v>
      </c>
      <c r="P180" s="1">
        <v>8.01467351294989E-10</v>
      </c>
      <c r="Q180">
        <v>65.959263077512105</v>
      </c>
      <c r="S180">
        <v>19.068766598905398</v>
      </c>
      <c r="AA180">
        <v>0.341235374402233</v>
      </c>
      <c r="AB180">
        <v>4.6428547783568597</v>
      </c>
      <c r="AC180">
        <v>9.9878801708232992</v>
      </c>
      <c r="AJ180">
        <v>0.407170981799861</v>
      </c>
      <c r="AK180">
        <v>1.6536993511773498E-2</v>
      </c>
      <c r="AL180">
        <v>0.57629202468836505</v>
      </c>
    </row>
    <row r="181" spans="1:38" x14ac:dyDescent="0.2">
      <c r="A181">
        <v>158</v>
      </c>
      <c r="B181">
        <v>758</v>
      </c>
      <c r="C181">
        <v>120</v>
      </c>
      <c r="D181">
        <v>0.46873927168695301</v>
      </c>
      <c r="E181">
        <v>18.797091685177701</v>
      </c>
      <c r="F181">
        <v>2.5730959995406102</v>
      </c>
      <c r="G181">
        <v>-305.51511539768632</v>
      </c>
      <c r="H181">
        <v>-264.70739077836561</v>
      </c>
      <c r="I181">
        <v>39.5749644758965</v>
      </c>
      <c r="J181">
        <v>22.874925047141598</v>
      </c>
      <c r="K181">
        <v>7.3052430568208999</v>
      </c>
      <c r="L181">
        <v>3.0675263403757167E-5</v>
      </c>
      <c r="M181">
        <v>1.7991927267347832E-6</v>
      </c>
      <c r="N181" s="1">
        <v>-2.2465901765499899E-7</v>
      </c>
      <c r="O181" s="1">
        <v>6.4173513801607705E-11</v>
      </c>
      <c r="P181" s="1">
        <v>8.1113307264391201E-10</v>
      </c>
      <c r="Q181">
        <v>64.464133119425796</v>
      </c>
      <c r="S181">
        <v>21.896676438065999</v>
      </c>
      <c r="AA181">
        <v>3.0231580831739699</v>
      </c>
      <c r="AB181">
        <v>8.7247711291472001</v>
      </c>
      <c r="AC181">
        <v>1.8912612301868501</v>
      </c>
      <c r="AJ181">
        <v>0.74957143243765101</v>
      </c>
      <c r="AK181">
        <v>0.143526016333828</v>
      </c>
      <c r="AL181">
        <v>0.10690255122852001</v>
      </c>
    </row>
    <row r="182" spans="1:38" x14ac:dyDescent="0.2">
      <c r="A182">
        <v>158</v>
      </c>
      <c r="B182">
        <v>758</v>
      </c>
      <c r="C182">
        <v>120</v>
      </c>
      <c r="D182">
        <v>0.46873927168695301</v>
      </c>
      <c r="E182">
        <v>37.052356331928003</v>
      </c>
      <c r="F182">
        <v>2.5190002699866398</v>
      </c>
      <c r="G182">
        <v>-587.36824706914877</v>
      </c>
      <c r="H182">
        <v>-508.08709058185201</v>
      </c>
      <c r="I182">
        <v>76.886152826743796</v>
      </c>
      <c r="J182">
        <v>44.028678669248798</v>
      </c>
      <c r="K182">
        <v>14.709151393669501</v>
      </c>
      <c r="L182">
        <v>2.8343024464840181E-5</v>
      </c>
      <c r="M182">
        <v>1.8006249979368543E-6</v>
      </c>
      <c r="N182" s="1">
        <v>-1.9010542478703699E-7</v>
      </c>
      <c r="O182" s="1">
        <v>1.4052128748249701E-10</v>
      </c>
      <c r="P182" s="1">
        <v>8.4612209490455204E-10</v>
      </c>
      <c r="Q182">
        <v>65.956862599797205</v>
      </c>
      <c r="S182">
        <v>19.0609851997894</v>
      </c>
      <c r="AA182">
        <v>0.33537575911454998</v>
      </c>
      <c r="AB182">
        <v>4.6171054930441802</v>
      </c>
      <c r="AC182">
        <v>10.0296709482545</v>
      </c>
      <c r="AJ182">
        <v>0.40496579987377301</v>
      </c>
      <c r="AK182">
        <v>1.6255151040073301E-2</v>
      </c>
      <c r="AL182">
        <v>0.57877904908615296</v>
      </c>
    </row>
    <row r="183" spans="1:38" x14ac:dyDescent="0.2">
      <c r="A183">
        <v>159</v>
      </c>
      <c r="B183">
        <v>756</v>
      </c>
      <c r="C183">
        <v>120</v>
      </c>
      <c r="D183">
        <v>0.46757081086333502</v>
      </c>
      <c r="E183">
        <v>18.973363850435</v>
      </c>
      <c r="F183">
        <v>2.5734043712638299</v>
      </c>
      <c r="G183">
        <v>-308.31875419356663</v>
      </c>
      <c r="H183">
        <v>-267.25443142565024</v>
      </c>
      <c r="I183">
        <v>39.9012027089504</v>
      </c>
      <c r="J183">
        <v>23.102930317292099</v>
      </c>
      <c r="K183">
        <v>7.3728653228007497</v>
      </c>
      <c r="L183">
        <v>3.0744937742752403E-5</v>
      </c>
      <c r="M183">
        <v>1.7994711571724724E-6</v>
      </c>
      <c r="N183" s="1">
        <v>-2.4165248423412002E-7</v>
      </c>
      <c r="O183" s="1">
        <v>6.4631448968233605E-11</v>
      </c>
      <c r="P183" s="1">
        <v>8.6170309188575905E-10</v>
      </c>
      <c r="Q183">
        <v>64.458192668656295</v>
      </c>
      <c r="S183">
        <v>21.905084236011302</v>
      </c>
      <c r="AA183">
        <v>3.0314807255436498</v>
      </c>
      <c r="AB183">
        <v>8.7335752885234097</v>
      </c>
      <c r="AC183">
        <v>1.8716670812651901</v>
      </c>
      <c r="AJ183">
        <v>0.75029483785385898</v>
      </c>
      <c r="AK183">
        <v>0.143914810973506</v>
      </c>
      <c r="AL183">
        <v>0.105790351172633</v>
      </c>
    </row>
    <row r="184" spans="1:38" x14ac:dyDescent="0.2">
      <c r="A184">
        <v>159</v>
      </c>
      <c r="B184">
        <v>756</v>
      </c>
      <c r="C184">
        <v>120</v>
      </c>
      <c r="D184">
        <v>0.46757081086333502</v>
      </c>
      <c r="E184">
        <v>37.367890114199596</v>
      </c>
      <c r="F184">
        <v>2.51902057990318</v>
      </c>
      <c r="G184">
        <v>-592.14171200208091</v>
      </c>
      <c r="H184">
        <v>-512.44085198142523</v>
      </c>
      <c r="I184">
        <v>77.443385338051399</v>
      </c>
      <c r="J184">
        <v>44.4069686832012</v>
      </c>
      <c r="K184">
        <v>14.834293301262299</v>
      </c>
      <c r="L184">
        <v>2.8354566108353642E-5</v>
      </c>
      <c r="M184">
        <v>1.8006748123167161E-6</v>
      </c>
      <c r="N184" s="1">
        <v>-2.0523112705687001E-7</v>
      </c>
      <c r="O184" s="1">
        <v>1.41642009646526E-10</v>
      </c>
      <c r="P184" s="1">
        <v>8.9233820507822503E-10</v>
      </c>
      <c r="Q184">
        <v>65.954601110354503</v>
      </c>
      <c r="S184">
        <v>19.053362618903702</v>
      </c>
      <c r="AA184">
        <v>0.32961473947974101</v>
      </c>
      <c r="AB184">
        <v>4.5920822982824703</v>
      </c>
      <c r="AC184">
        <v>10.0703392329794</v>
      </c>
      <c r="AJ184">
        <v>0.40282224824657298</v>
      </c>
      <c r="AK184">
        <v>1.59779552508711E-2</v>
      </c>
      <c r="AL184">
        <v>0.58119979650255504</v>
      </c>
    </row>
    <row r="185" spans="1:38" x14ac:dyDescent="0.2">
      <c r="A185">
        <v>161</v>
      </c>
      <c r="B185">
        <v>804</v>
      </c>
      <c r="C185">
        <v>100</v>
      </c>
      <c r="D185">
        <v>0.514840551455232</v>
      </c>
      <c r="E185">
        <v>0.226656563683996</v>
      </c>
      <c r="F185">
        <v>2.5715967488065701</v>
      </c>
      <c r="G185">
        <v>-3.7129666197458548</v>
      </c>
      <c r="H185">
        <v>-3.1859474097324187</v>
      </c>
      <c r="I185">
        <v>0.48927188415117301</v>
      </c>
      <c r="J185">
        <v>0.27478313404211302</v>
      </c>
      <c r="K185">
        <v>8.8138454751579207E-2</v>
      </c>
      <c r="L185">
        <v>2.9976217494380079E-5</v>
      </c>
      <c r="M185">
        <v>1.7945521059500253E-6</v>
      </c>
      <c r="N185" s="1">
        <v>-6.0605243436793101E-10</v>
      </c>
      <c r="O185" s="1">
        <v>7.8835135744632697E-13</v>
      </c>
      <c r="P185" s="1">
        <v>3.6382425514861002E-12</v>
      </c>
      <c r="Q185">
        <v>64.384014472915197</v>
      </c>
      <c r="S185">
        <v>22.0526688259019</v>
      </c>
      <c r="AA185">
        <v>3.17054799124401</v>
      </c>
      <c r="AB185">
        <v>8.9551853462940798</v>
      </c>
      <c r="AC185">
        <v>1.43758336364471</v>
      </c>
      <c r="AJ185">
        <v>0.76848395604458097</v>
      </c>
      <c r="AK185">
        <v>0.150350663056464</v>
      </c>
      <c r="AL185">
        <v>8.1165380898954406E-2</v>
      </c>
    </row>
    <row r="186" spans="1:38" x14ac:dyDescent="0.2">
      <c r="A186">
        <v>162</v>
      </c>
      <c r="B186">
        <v>802</v>
      </c>
      <c r="C186">
        <v>100</v>
      </c>
      <c r="D186">
        <v>0.51380784076640695</v>
      </c>
      <c r="E186">
        <v>0.84899657334385403</v>
      </c>
      <c r="F186">
        <v>2.5709120970574899</v>
      </c>
      <c r="G186">
        <v>-13.902283901497869</v>
      </c>
      <c r="H186">
        <v>-11.933655890897741</v>
      </c>
      <c r="I186">
        <v>1.8310263782729199</v>
      </c>
      <c r="J186">
        <v>1.02933857434766</v>
      </c>
      <c r="K186">
        <v>0.33023166148526101</v>
      </c>
      <c r="L186">
        <v>3.0026960373780589E-5</v>
      </c>
      <c r="M186">
        <v>1.7965557347646781E-6</v>
      </c>
      <c r="N186" s="1">
        <v>-2.4596391409602399E-9</v>
      </c>
      <c r="O186" s="1">
        <v>2.9561075064942198E-12</v>
      </c>
      <c r="P186" s="1">
        <v>1.41879418536076E-11</v>
      </c>
      <c r="Q186">
        <v>64.466749479697398</v>
      </c>
      <c r="S186">
        <v>21.988133011014099</v>
      </c>
      <c r="AA186">
        <v>3.0980002003950702</v>
      </c>
      <c r="AB186">
        <v>8.9703668438777395</v>
      </c>
      <c r="AC186">
        <v>1.4767504650155601</v>
      </c>
      <c r="AJ186">
        <v>0.76972989591772001</v>
      </c>
      <c r="AK186">
        <v>0.14689952198714901</v>
      </c>
      <c r="AL186">
        <v>8.337058209513E-2</v>
      </c>
    </row>
    <row r="187" spans="1:38" x14ac:dyDescent="0.2">
      <c r="A187">
        <v>163</v>
      </c>
      <c r="B187">
        <v>800</v>
      </c>
      <c r="C187">
        <v>100</v>
      </c>
      <c r="D187">
        <v>0.51277128080883805</v>
      </c>
      <c r="E187">
        <v>1.4713126471314999</v>
      </c>
      <c r="F187">
        <v>2.57024366787814</v>
      </c>
      <c r="G187">
        <v>-24.083072347090258</v>
      </c>
      <c r="H187">
        <v>-20.6809009781222</v>
      </c>
      <c r="I187">
        <v>3.1702663830480802</v>
      </c>
      <c r="J187">
        <v>1.7839801978854199</v>
      </c>
      <c r="K187">
        <v>0.57244091893674198</v>
      </c>
      <c r="L187">
        <v>3.0076848896952239E-5</v>
      </c>
      <c r="M187">
        <v>1.7984846106379205E-6</v>
      </c>
      <c r="N187" s="1">
        <v>-4.6061174953192201E-9</v>
      </c>
      <c r="O187" s="1">
        <v>5.1280500321807401E-12</v>
      </c>
      <c r="P187" s="1">
        <v>2.5602072718218399E-11</v>
      </c>
      <c r="Q187">
        <v>64.546449428997207</v>
      </c>
      <c r="S187">
        <v>21.925464619457198</v>
      </c>
      <c r="AA187">
        <v>3.0277012420866201</v>
      </c>
      <c r="AB187">
        <v>8.9836805716386401</v>
      </c>
      <c r="AC187">
        <v>1.5167041378202</v>
      </c>
      <c r="AJ187">
        <v>0.77082250759080095</v>
      </c>
      <c r="AK187">
        <v>0.14355684169817801</v>
      </c>
      <c r="AL187">
        <v>8.5620650711019694E-2</v>
      </c>
    </row>
    <row r="188" spans="1:38" x14ac:dyDescent="0.2">
      <c r="A188">
        <v>164</v>
      </c>
      <c r="B188">
        <v>798</v>
      </c>
      <c r="C188">
        <v>100</v>
      </c>
      <c r="D188">
        <v>0.51173085002101004</v>
      </c>
      <c r="E188">
        <v>2.0931542795296898</v>
      </c>
      <c r="F188">
        <v>2.5695911812315799</v>
      </c>
      <c r="G188">
        <v>-34.24791270490546</v>
      </c>
      <c r="H188">
        <v>-29.421328275744077</v>
      </c>
      <c r="I188">
        <v>4.5059836896432701</v>
      </c>
      <c r="J188">
        <v>2.53817469475409</v>
      </c>
      <c r="K188">
        <v>0.814586497189978</v>
      </c>
      <c r="L188">
        <v>3.0125955148000413E-5</v>
      </c>
      <c r="M188">
        <v>1.8003400737159088E-6</v>
      </c>
      <c r="N188" s="1">
        <v>-7.0643866754149899E-9</v>
      </c>
      <c r="O188" s="1">
        <v>7.3021634881919096E-12</v>
      </c>
      <c r="P188" s="1">
        <v>3.7931564744662202E-11</v>
      </c>
      <c r="Q188">
        <v>64.623159002895093</v>
      </c>
      <c r="S188">
        <v>21.864633717174801</v>
      </c>
      <c r="AA188">
        <v>2.95961599446303</v>
      </c>
      <c r="AB188">
        <v>8.9951476251770597</v>
      </c>
      <c r="AC188">
        <v>1.5574436602898201</v>
      </c>
      <c r="AJ188">
        <v>0.77176358071124895</v>
      </c>
      <c r="AK188">
        <v>0.14032082883458999</v>
      </c>
      <c r="AL188">
        <v>8.7915590454160294E-2</v>
      </c>
    </row>
    <row r="189" spans="1:38" x14ac:dyDescent="0.2">
      <c r="A189">
        <v>165</v>
      </c>
      <c r="B189">
        <v>796</v>
      </c>
      <c r="C189">
        <v>100</v>
      </c>
      <c r="D189">
        <v>0.51068652668007097</v>
      </c>
      <c r="E189">
        <v>2.7140855067571801</v>
      </c>
      <c r="F189">
        <v>2.5689542921677102</v>
      </c>
      <c r="G189">
        <v>-44.389635524649094</v>
      </c>
      <c r="H189">
        <v>-38.148786996250806</v>
      </c>
      <c r="I189">
        <v>5.8372057507349604</v>
      </c>
      <c r="J189">
        <v>3.2914080473622702</v>
      </c>
      <c r="K189">
        <v>1.05649427669147</v>
      </c>
      <c r="L189">
        <v>3.0174358062227742E-5</v>
      </c>
      <c r="M189">
        <v>1.8021236561342318E-6</v>
      </c>
      <c r="N189" s="1">
        <v>-9.8545552693899003E-9</v>
      </c>
      <c r="O189" s="1">
        <v>9.4764724022506794E-12</v>
      </c>
      <c r="P189" s="1">
        <v>5.1230822490399303E-11</v>
      </c>
      <c r="Q189">
        <v>64.696930994939805</v>
      </c>
      <c r="S189">
        <v>21.8056045271383</v>
      </c>
      <c r="AA189">
        <v>2.89370262245642</v>
      </c>
      <c r="AB189">
        <v>9.0047918579533306</v>
      </c>
      <c r="AC189">
        <v>1.5989699975120399</v>
      </c>
      <c r="AJ189">
        <v>0.77255512191453202</v>
      </c>
      <c r="AK189">
        <v>0.13718937755025101</v>
      </c>
      <c r="AL189">
        <v>9.0255500535216804E-2</v>
      </c>
    </row>
    <row r="190" spans="1:38" x14ac:dyDescent="0.2">
      <c r="A190">
        <v>166</v>
      </c>
      <c r="B190">
        <v>794</v>
      </c>
      <c r="C190">
        <v>100</v>
      </c>
      <c r="D190">
        <v>0.50963828890034402</v>
      </c>
      <c r="E190">
        <v>3.3336891646018998</v>
      </c>
      <c r="F190">
        <v>2.5683325944309301</v>
      </c>
      <c r="G190">
        <v>-54.501389982552389</v>
      </c>
      <c r="H190">
        <v>-46.857389390035557</v>
      </c>
      <c r="I190">
        <v>7.1630048189259599</v>
      </c>
      <c r="J190">
        <v>4.0431908202141802</v>
      </c>
      <c r="K190">
        <v>1.29799745244464</v>
      </c>
      <c r="L190">
        <v>3.0222143055175419E-5</v>
      </c>
      <c r="M190">
        <v>1.8038370600939768E-6</v>
      </c>
      <c r="N190" s="1">
        <v>-1.2998071976224801E-8</v>
      </c>
      <c r="O190" s="1">
        <v>1.1649057694261499E-11</v>
      </c>
      <c r="P190" s="1">
        <v>6.5558125496497496E-11</v>
      </c>
      <c r="Q190">
        <v>64.767825460137601</v>
      </c>
      <c r="S190">
        <v>21.748335935667701</v>
      </c>
      <c r="AA190">
        <v>2.8299131938452899</v>
      </c>
      <c r="AB190">
        <v>9.0126393144724002</v>
      </c>
      <c r="AC190">
        <v>1.64128609587685</v>
      </c>
      <c r="AJ190">
        <v>0.77319930859767405</v>
      </c>
      <c r="AK190">
        <v>0.13416009908099399</v>
      </c>
      <c r="AL190">
        <v>9.2640592321330803E-2</v>
      </c>
    </row>
    <row r="191" spans="1:38" x14ac:dyDescent="0.2">
      <c r="A191">
        <v>167</v>
      </c>
      <c r="B191">
        <v>792</v>
      </c>
      <c r="C191">
        <v>100</v>
      </c>
      <c r="D191">
        <v>0.50858611463174297</v>
      </c>
      <c r="E191">
        <v>3.9515706805272002</v>
      </c>
      <c r="F191">
        <v>2.56772562466938</v>
      </c>
      <c r="G191">
        <v>-64.576704883346252</v>
      </c>
      <c r="H191">
        <v>-55.541563610467328</v>
      </c>
      <c r="I191">
        <v>8.4825060065520503</v>
      </c>
      <c r="J191">
        <v>4.7930628840905696</v>
      </c>
      <c r="K191">
        <v>1.5389380557496299</v>
      </c>
      <c r="L191">
        <v>3.0269401637725032E-5</v>
      </c>
      <c r="M191">
        <v>1.8054821348088236E-6</v>
      </c>
      <c r="N191" s="1">
        <v>-1.6517871249700401E-8</v>
      </c>
      <c r="O191" s="1">
        <v>1.3818071230424101E-11</v>
      </c>
      <c r="P191" s="1">
        <v>8.0976066593573297E-11</v>
      </c>
      <c r="Q191">
        <v>64.835908807089098</v>
      </c>
      <c r="S191">
        <v>21.692782043343598</v>
      </c>
      <c r="AA191">
        <v>2.7681943455993299</v>
      </c>
      <c r="AB191">
        <v>9.01871765144395</v>
      </c>
      <c r="AC191">
        <v>1.68439715252397</v>
      </c>
      <c r="AJ191">
        <v>0.773698441777396</v>
      </c>
      <c r="AK191">
        <v>0.13123035359718799</v>
      </c>
      <c r="AL191">
        <v>9.5071204625414005E-2</v>
      </c>
    </row>
    <row r="192" spans="1:38" x14ac:dyDescent="0.2">
      <c r="A192">
        <v>168</v>
      </c>
      <c r="B192">
        <v>790</v>
      </c>
      <c r="C192">
        <v>100</v>
      </c>
      <c r="D192">
        <v>0.507529981658283</v>
      </c>
      <c r="E192">
        <v>5.0861855444231097</v>
      </c>
      <c r="F192">
        <v>2.5665423407154102</v>
      </c>
      <c r="G192">
        <v>-83.070558753922668</v>
      </c>
      <c r="H192">
        <v>-71.473748535508719</v>
      </c>
      <c r="I192">
        <v>10.9079717992888</v>
      </c>
      <c r="J192">
        <v>6.1694631793275798</v>
      </c>
      <c r="K192">
        <v>1.9817267238246099</v>
      </c>
      <c r="L192">
        <v>3.0318810372420369E-5</v>
      </c>
      <c r="M192">
        <v>1.8077146238894522E-6</v>
      </c>
      <c r="N192" s="1">
        <v>-2.2705297136866799E-8</v>
      </c>
      <c r="O192" s="1">
        <v>1.7816300538429099E-11</v>
      </c>
      <c r="P192" s="1">
        <v>1.08453397436034E-10</v>
      </c>
      <c r="Q192">
        <v>64.938527080409202</v>
      </c>
      <c r="S192">
        <v>21.601507722094102</v>
      </c>
      <c r="AA192">
        <v>2.6689475247966299</v>
      </c>
      <c r="AB192">
        <v>9.0081094717391501</v>
      </c>
      <c r="AC192">
        <v>1.78290820096078</v>
      </c>
      <c r="AJ192">
        <v>0.77283074557642695</v>
      </c>
      <c r="AK192">
        <v>0.126532346322279</v>
      </c>
      <c r="AL192">
        <v>0.100636908101292</v>
      </c>
    </row>
    <row r="193" spans="1:38" x14ac:dyDescent="0.2">
      <c r="A193">
        <v>169</v>
      </c>
      <c r="B193">
        <v>788</v>
      </c>
      <c r="C193">
        <v>100</v>
      </c>
      <c r="D193">
        <v>0.50646986759647905</v>
      </c>
      <c r="E193">
        <v>6.8938323686938503</v>
      </c>
      <c r="F193">
        <v>2.5645318272303199</v>
      </c>
      <c r="G193">
        <v>-112.49816263492379</v>
      </c>
      <c r="H193">
        <v>-96.823731122287285</v>
      </c>
      <c r="I193">
        <v>14.7711742097125</v>
      </c>
      <c r="J193">
        <v>8.3610108586727492</v>
      </c>
      <c r="K193">
        <v>2.6881445944615598</v>
      </c>
      <c r="L193">
        <v>3.036190095506864E-5</v>
      </c>
      <c r="M193">
        <v>1.8105311507375065E-6</v>
      </c>
      <c r="N193" s="1">
        <v>-3.2655484738177797E-8</v>
      </c>
      <c r="O193" s="1">
        <v>2.42240459171337E-11</v>
      </c>
      <c r="P193" s="1">
        <v>1.52456148584886E-10</v>
      </c>
      <c r="Q193">
        <v>65.082089946213898</v>
      </c>
      <c r="S193">
        <v>21.462668327076099</v>
      </c>
      <c r="AA193">
        <v>2.5209051701996898</v>
      </c>
      <c r="AB193">
        <v>8.9640460962592492</v>
      </c>
      <c r="AC193">
        <v>1.97029046025087</v>
      </c>
      <c r="AJ193">
        <v>0.76922120156426699</v>
      </c>
      <c r="AK193">
        <v>0.119540333758533</v>
      </c>
      <c r="AL193">
        <v>0.111238464677199</v>
      </c>
    </row>
    <row r="194" spans="1:38" x14ac:dyDescent="0.2">
      <c r="A194">
        <v>170</v>
      </c>
      <c r="B194">
        <v>786</v>
      </c>
      <c r="C194">
        <v>100</v>
      </c>
      <c r="D194">
        <v>0.50540574989378495</v>
      </c>
      <c r="E194">
        <v>8.8081418943313601</v>
      </c>
      <c r="F194">
        <v>2.56226468765909</v>
      </c>
      <c r="G194">
        <v>-143.59562837235529</v>
      </c>
      <c r="H194">
        <v>-123.62586307236126</v>
      </c>
      <c r="I194">
        <v>18.854520417310098</v>
      </c>
      <c r="J194">
        <v>10.6800632674602</v>
      </c>
      <c r="K194">
        <v>3.4376393417725102</v>
      </c>
      <c r="L194">
        <v>3.0388546764695187E-5</v>
      </c>
      <c r="M194">
        <v>1.8130803642398911E-6</v>
      </c>
      <c r="N194" s="1">
        <v>-4.4042227068550503E-8</v>
      </c>
      <c r="O194" s="1">
        <v>3.1058370224639697E-11</v>
      </c>
      <c r="P194" s="1">
        <v>2.0149140520724801E-10</v>
      </c>
      <c r="Q194">
        <v>65.223204640665301</v>
      </c>
      <c r="S194">
        <v>21.315523888401302</v>
      </c>
      <c r="AA194">
        <v>2.3665823168656099</v>
      </c>
      <c r="AB194">
        <v>8.8927543505081204</v>
      </c>
      <c r="AC194">
        <v>2.20193480355961</v>
      </c>
      <c r="AJ194">
        <v>0.76337639589100903</v>
      </c>
      <c r="AK194">
        <v>0.11226253295543701</v>
      </c>
      <c r="AL194">
        <v>0.12436107115355199</v>
      </c>
    </row>
    <row r="195" spans="1:38" x14ac:dyDescent="0.2">
      <c r="A195">
        <v>171</v>
      </c>
      <c r="B195">
        <v>784</v>
      </c>
      <c r="C195">
        <v>100</v>
      </c>
      <c r="D195">
        <v>0.50433760582698905</v>
      </c>
      <c r="E195">
        <v>10.9282622536997</v>
      </c>
      <c r="F195">
        <v>2.5595214504105099</v>
      </c>
      <c r="G195">
        <v>-177.94344339257219</v>
      </c>
      <c r="H195">
        <v>-153.2400707566581</v>
      </c>
      <c r="I195">
        <v>23.3678973049369</v>
      </c>
      <c r="J195">
        <v>13.2447671643097</v>
      </c>
      <c r="K195">
        <v>4.2696505832943599</v>
      </c>
      <c r="L195">
        <v>3.0389885321659113E-5</v>
      </c>
      <c r="M195">
        <v>1.8153273899091043E-6</v>
      </c>
      <c r="N195" s="1">
        <v>-5.7236710212538597E-8</v>
      </c>
      <c r="O195" s="1">
        <v>3.8695308171733803E-11</v>
      </c>
      <c r="P195" s="1">
        <v>2.57421086537969E-10</v>
      </c>
      <c r="Q195">
        <v>65.366391682288096</v>
      </c>
      <c r="S195">
        <v>21.1500965163963</v>
      </c>
      <c r="AA195">
        <v>2.19669230245032</v>
      </c>
      <c r="AB195">
        <v>8.7781496326455102</v>
      </c>
      <c r="AC195">
        <v>2.5086698662196798</v>
      </c>
      <c r="AJ195">
        <v>0.75397057342090701</v>
      </c>
      <c r="AK195">
        <v>0.10426329247341801</v>
      </c>
      <c r="AL195">
        <v>0.14176613410567299</v>
      </c>
    </row>
    <row r="196" spans="1:38" x14ac:dyDescent="0.2">
      <c r="A196">
        <v>172</v>
      </c>
      <c r="B196">
        <v>782</v>
      </c>
      <c r="C196">
        <v>100</v>
      </c>
      <c r="D196">
        <v>0.50326541250059598</v>
      </c>
      <c r="E196">
        <v>13.411830369310101</v>
      </c>
      <c r="F196">
        <v>2.5621397852095198</v>
      </c>
      <c r="G196">
        <v>-218.37742216510412</v>
      </c>
      <c r="H196">
        <v>-188.16168370773056</v>
      </c>
      <c r="I196">
        <v>28.6364388545453</v>
      </c>
      <c r="J196">
        <v>16.251473534034499</v>
      </c>
      <c r="K196">
        <v>5.2346208613334202</v>
      </c>
      <c r="L196">
        <v>3.0287541610435428E-5</v>
      </c>
      <c r="M196">
        <v>1.8097435884910584E-6</v>
      </c>
      <c r="N196" s="1">
        <v>-7.3791512200274806E-8</v>
      </c>
      <c r="O196" s="1">
        <v>4.7238737830470902E-11</v>
      </c>
      <c r="P196" s="1">
        <v>3.2647934939401301E-10</v>
      </c>
      <c r="Q196">
        <v>65.105262544838993</v>
      </c>
      <c r="S196">
        <v>21.3392015306861</v>
      </c>
      <c r="AA196">
        <v>2.4136367898795701</v>
      </c>
      <c r="AB196">
        <v>8.6920007313150602</v>
      </c>
      <c r="AC196">
        <v>2.4498984032801401</v>
      </c>
      <c r="AJ196">
        <v>0.74688753550153497</v>
      </c>
      <c r="AK196">
        <v>0.114608852651561</v>
      </c>
      <c r="AL196">
        <v>0.13850361184690299</v>
      </c>
    </row>
    <row r="197" spans="1:38" x14ac:dyDescent="0.2">
      <c r="A197">
        <v>172</v>
      </c>
      <c r="B197">
        <v>782</v>
      </c>
      <c r="C197">
        <v>100</v>
      </c>
      <c r="D197">
        <v>0.50326541250059598</v>
      </c>
      <c r="E197">
        <v>14.3591506003643</v>
      </c>
      <c r="F197">
        <v>2.5190296104860299</v>
      </c>
      <c r="G197">
        <v>-229.19806666219867</v>
      </c>
      <c r="H197">
        <v>-197.22241027204797</v>
      </c>
      <c r="I197">
        <v>30.3043703645459</v>
      </c>
      <c r="J197">
        <v>17.099165308311001</v>
      </c>
      <c r="K197">
        <v>5.7002706679552704</v>
      </c>
      <c r="L197">
        <v>2.8544003324102014E-5</v>
      </c>
      <c r="M197">
        <v>1.805799080100852E-6</v>
      </c>
      <c r="N197" s="1">
        <v>-3.4293616673720701E-8</v>
      </c>
      <c r="O197" s="1">
        <v>5.44709309467653E-11</v>
      </c>
      <c r="P197" s="1">
        <v>2.1352388388406099E-10</v>
      </c>
      <c r="Q197">
        <v>66.096570772689503</v>
      </c>
      <c r="S197">
        <v>19.206413838082302</v>
      </c>
      <c r="AA197">
        <v>0.42275688256500898</v>
      </c>
      <c r="AB197">
        <v>5.3096977477793699</v>
      </c>
      <c r="AC197">
        <v>8.9645607588836906</v>
      </c>
      <c r="AJ197">
        <v>0.464080149440598</v>
      </c>
      <c r="AK197">
        <v>2.0418539265572501E-2</v>
      </c>
      <c r="AL197">
        <v>0.51550131129382804</v>
      </c>
    </row>
    <row r="198" spans="1:38" x14ac:dyDescent="0.2">
      <c r="A198">
        <v>173</v>
      </c>
      <c r="B198">
        <v>780</v>
      </c>
      <c r="C198">
        <v>100</v>
      </c>
      <c r="D198">
        <v>0.50218914684517901</v>
      </c>
      <c r="E198">
        <v>15.437180324881499</v>
      </c>
      <c r="F198">
        <v>2.5662455296477602</v>
      </c>
      <c r="G198">
        <v>-251.4714384565566</v>
      </c>
      <c r="H198">
        <v>-216.81105596810917</v>
      </c>
      <c r="I198">
        <v>32.911154620374397</v>
      </c>
      <c r="J198">
        <v>18.707619395126301</v>
      </c>
      <c r="K198">
        <v>6.0154728557872401</v>
      </c>
      <c r="L198">
        <v>3.0195524438028426E-5</v>
      </c>
      <c r="M198">
        <v>1.8029022827763772E-6</v>
      </c>
      <c r="N198" s="1">
        <v>-9.0024133838689599E-8</v>
      </c>
      <c r="O198" s="1">
        <v>5.39354106953301E-11</v>
      </c>
      <c r="P198" s="1">
        <v>3.91011789499374E-10</v>
      </c>
      <c r="Q198">
        <v>64.763778209760204</v>
      </c>
      <c r="S198">
        <v>21.617940888211699</v>
      </c>
      <c r="AA198">
        <v>2.72328031510167</v>
      </c>
      <c r="AB198">
        <v>8.6617726645926698</v>
      </c>
      <c r="AC198">
        <v>2.23322792233362</v>
      </c>
      <c r="AJ198">
        <v>0.74439706836490105</v>
      </c>
      <c r="AK198">
        <v>0.12933051594280201</v>
      </c>
      <c r="AL198">
        <v>0.126272415692296</v>
      </c>
    </row>
    <row r="199" spans="1:38" x14ac:dyDescent="0.2">
      <c r="A199">
        <v>173</v>
      </c>
      <c r="B199">
        <v>780</v>
      </c>
      <c r="C199">
        <v>100</v>
      </c>
      <c r="D199">
        <v>0.50218914684517901</v>
      </c>
      <c r="E199">
        <v>26.786621521736802</v>
      </c>
      <c r="F199">
        <v>2.5184448787546199</v>
      </c>
      <c r="G199">
        <v>-426.98487730918526</v>
      </c>
      <c r="H199">
        <v>-367.58649083295086</v>
      </c>
      <c r="I199">
        <v>56.400689812689798</v>
      </c>
      <c r="J199">
        <v>31.860144381046599</v>
      </c>
      <c r="K199">
        <v>10.636175422264101</v>
      </c>
      <c r="L199">
        <v>2.8396039267890887E-5</v>
      </c>
      <c r="M199">
        <v>1.8033556435592174E-6</v>
      </c>
      <c r="N199" s="1">
        <v>-6.3513662167749105E-8</v>
      </c>
      <c r="O199" s="1">
        <v>1.017932000968E-10</v>
      </c>
      <c r="P199" s="1">
        <v>3.96644131715998E-10</v>
      </c>
      <c r="Q199">
        <v>66.026555585343601</v>
      </c>
      <c r="S199">
        <v>19.172094615644301</v>
      </c>
      <c r="AA199">
        <v>0.410780259451129</v>
      </c>
      <c r="AB199">
        <v>5.0637003534188203</v>
      </c>
      <c r="AC199">
        <v>9.3268691861420603</v>
      </c>
      <c r="AJ199">
        <v>0.44313104630811501</v>
      </c>
      <c r="AK199">
        <v>1.9864815477815101E-2</v>
      </c>
      <c r="AL199">
        <v>0.537004138214069</v>
      </c>
    </row>
    <row r="200" spans="1:38" x14ac:dyDescent="0.2">
      <c r="A200">
        <v>174</v>
      </c>
      <c r="B200">
        <v>778</v>
      </c>
      <c r="C200">
        <v>100</v>
      </c>
      <c r="D200">
        <v>0.501108785615755</v>
      </c>
      <c r="E200">
        <v>16.4338126285692</v>
      </c>
      <c r="F200">
        <v>2.56806589516603</v>
      </c>
      <c r="G200">
        <v>-267.71905613041861</v>
      </c>
      <c r="H200">
        <v>-230.93814183499833</v>
      </c>
      <c r="I200">
        <v>34.991118580050703</v>
      </c>
      <c r="J200">
        <v>19.918639607961399</v>
      </c>
      <c r="K200">
        <v>6.3992955396912699</v>
      </c>
      <c r="L200">
        <v>3.0175000439082518E-5</v>
      </c>
      <c r="M200">
        <v>1.8000880558081536E-6</v>
      </c>
      <c r="N200" s="1">
        <v>-1.01913474752866E-7</v>
      </c>
      <c r="O200" s="1">
        <v>5.7185500094852703E-11</v>
      </c>
      <c r="P200" s="1">
        <v>4.3419145325715702E-10</v>
      </c>
      <c r="Q200">
        <v>64.617663457236105</v>
      </c>
      <c r="S200">
        <v>21.737116901217998</v>
      </c>
      <c r="AA200">
        <v>2.8556956260814998</v>
      </c>
      <c r="AB200">
        <v>8.6485991849873507</v>
      </c>
      <c r="AC200">
        <v>2.1409248304769699</v>
      </c>
      <c r="AJ200">
        <v>0.74331153192581301</v>
      </c>
      <c r="AK200">
        <v>0.13562751571896001</v>
      </c>
      <c r="AL200">
        <v>0.121060952355226</v>
      </c>
    </row>
    <row r="201" spans="1:38" x14ac:dyDescent="0.2">
      <c r="A201">
        <v>174</v>
      </c>
      <c r="B201">
        <v>778</v>
      </c>
      <c r="C201">
        <v>100</v>
      </c>
      <c r="D201">
        <v>0.501108785615755</v>
      </c>
      <c r="E201">
        <v>31.560993897812502</v>
      </c>
      <c r="F201">
        <v>2.5182433710227299</v>
      </c>
      <c r="G201">
        <v>-502.70835261129702</v>
      </c>
      <c r="H201">
        <v>-432.97111035501422</v>
      </c>
      <c r="I201">
        <v>66.343758984239003</v>
      </c>
      <c r="J201">
        <v>37.520148304852</v>
      </c>
      <c r="K201">
        <v>12.532940326968699</v>
      </c>
      <c r="L201">
        <v>2.8338702249559605E-5</v>
      </c>
      <c r="M201">
        <v>1.8024445506505725E-6</v>
      </c>
      <c r="N201" s="1">
        <v>-7.8404049446716002E-8</v>
      </c>
      <c r="O201" s="1">
        <v>1.20004787602967E-10</v>
      </c>
      <c r="P201" s="1">
        <v>4.7766773678037E-10</v>
      </c>
      <c r="Q201">
        <v>65.998696810705795</v>
      </c>
      <c r="S201">
        <v>19.1540269047088</v>
      </c>
      <c r="AA201">
        <v>0.40237467713867903</v>
      </c>
      <c r="AB201">
        <v>4.9542517146863396</v>
      </c>
      <c r="AC201">
        <v>9.4906498927602403</v>
      </c>
      <c r="AJ201">
        <v>0.43379364913693802</v>
      </c>
      <c r="AK201">
        <v>1.9469130345197701E-2</v>
      </c>
      <c r="AL201">
        <v>0.546737220517863</v>
      </c>
    </row>
    <row r="202" spans="1:38" x14ac:dyDescent="0.2">
      <c r="A202">
        <v>175</v>
      </c>
      <c r="B202">
        <v>776</v>
      </c>
      <c r="C202">
        <v>100</v>
      </c>
      <c r="D202">
        <v>0.50002430539008103</v>
      </c>
      <c r="E202">
        <v>17.0003062617129</v>
      </c>
      <c r="F202">
        <v>2.56909926253992</v>
      </c>
      <c r="G202">
        <v>-276.92426880578819</v>
      </c>
      <c r="H202">
        <v>-238.99281974730476</v>
      </c>
      <c r="I202">
        <v>36.154457473653302</v>
      </c>
      <c r="J202">
        <v>20.609781195774499</v>
      </c>
      <c r="K202">
        <v>6.6172243749374102</v>
      </c>
      <c r="L202">
        <v>3.0184921374245838E-5</v>
      </c>
      <c r="M202">
        <v>1.7988001629313076E-6</v>
      </c>
      <c r="N202" s="1">
        <v>-1.12291464272825E-7</v>
      </c>
      <c r="O202" s="1">
        <v>5.8999065378207306E-11</v>
      </c>
      <c r="P202" s="1">
        <v>4.6931354572693095E-10</v>
      </c>
      <c r="Q202">
        <v>64.543255632987893</v>
      </c>
      <c r="S202">
        <v>21.7993081251178</v>
      </c>
      <c r="AA202">
        <v>2.9243660711542301</v>
      </c>
      <c r="AB202">
        <v>8.6458277171025397</v>
      </c>
      <c r="AC202">
        <v>2.0872424536374101</v>
      </c>
      <c r="AJ202">
        <v>0.74308248502989005</v>
      </c>
      <c r="AK202">
        <v>0.138890638501494</v>
      </c>
      <c r="AL202">
        <v>0.118026876468615</v>
      </c>
    </row>
    <row r="203" spans="1:38" x14ac:dyDescent="0.2">
      <c r="A203">
        <v>175</v>
      </c>
      <c r="B203">
        <v>776</v>
      </c>
      <c r="C203">
        <v>100</v>
      </c>
      <c r="D203">
        <v>0.50002430539008103</v>
      </c>
      <c r="E203">
        <v>33.903347213167102</v>
      </c>
      <c r="F203">
        <v>2.5181533080027898</v>
      </c>
      <c r="G203">
        <v>-539.71403307078947</v>
      </c>
      <c r="H203">
        <v>-465.05019513124449</v>
      </c>
      <c r="I203">
        <v>71.166027679116297</v>
      </c>
      <c r="J203">
        <v>40.294181144929297</v>
      </c>
      <c r="K203">
        <v>13.4635755120313</v>
      </c>
      <c r="L203">
        <v>2.8311705159458732E-5</v>
      </c>
      <c r="M203">
        <v>1.8020335074453913E-6</v>
      </c>
      <c r="N203" s="1">
        <v>-8.97764536084109E-8</v>
      </c>
      <c r="O203" s="1">
        <v>1.2893243637424199E-10</v>
      </c>
      <c r="P203" s="1">
        <v>5.29318641753269E-10</v>
      </c>
      <c r="Q203">
        <v>65.984870147392996</v>
      </c>
      <c r="S203">
        <v>19.1411255011494</v>
      </c>
      <c r="AA203">
        <v>0.39495714996377601</v>
      </c>
      <c r="AB203">
        <v>4.8896170301217303</v>
      </c>
      <c r="AC203">
        <v>9.5894301713720491</v>
      </c>
      <c r="AJ203">
        <v>0.42827462134087102</v>
      </c>
      <c r="AK203">
        <v>1.9116494898698499E-2</v>
      </c>
      <c r="AL203">
        <v>0.55260888376042905</v>
      </c>
    </row>
    <row r="204" spans="1:38" x14ac:dyDescent="0.2">
      <c r="A204">
        <v>176</v>
      </c>
      <c r="B204">
        <v>774</v>
      </c>
      <c r="C204">
        <v>100</v>
      </c>
      <c r="D204">
        <v>0.49893568256697302</v>
      </c>
      <c r="E204">
        <v>17.383851228033599</v>
      </c>
      <c r="F204">
        <v>2.56980631490016</v>
      </c>
      <c r="G204">
        <v>-283.13322414687815</v>
      </c>
      <c r="H204">
        <v>-244.46421522748156</v>
      </c>
      <c r="I204">
        <v>36.9278603059701</v>
      </c>
      <c r="J204">
        <v>21.080247092739299</v>
      </c>
      <c r="K204">
        <v>6.76465425710846</v>
      </c>
      <c r="L204">
        <v>3.0209559953553121E-5</v>
      </c>
      <c r="M204">
        <v>1.798171588828401E-6</v>
      </c>
      <c r="N204" s="1">
        <v>-1.22369397527866E-7</v>
      </c>
      <c r="O204" s="1">
        <v>6.0201866535649505E-11</v>
      </c>
      <c r="P204" s="1">
        <v>5.0198937029746296E-10</v>
      </c>
      <c r="Q204">
        <v>64.499308643465696</v>
      </c>
      <c r="S204">
        <v>21.8375253601099</v>
      </c>
      <c r="AA204">
        <v>2.9661501105470598</v>
      </c>
      <c r="AB204">
        <v>8.6480856574070408</v>
      </c>
      <c r="AC204">
        <v>2.04893022847018</v>
      </c>
      <c r="AJ204">
        <v>0.74326753079777497</v>
      </c>
      <c r="AK204">
        <v>0.14087343197312699</v>
      </c>
      <c r="AL204">
        <v>0.115859037229097</v>
      </c>
    </row>
    <row r="205" spans="1:38" x14ac:dyDescent="0.2">
      <c r="A205">
        <v>176</v>
      </c>
      <c r="B205">
        <v>774</v>
      </c>
      <c r="C205">
        <v>100</v>
      </c>
      <c r="D205">
        <v>0.49893568256697302</v>
      </c>
      <c r="E205">
        <v>35.280333452939999</v>
      </c>
      <c r="F205">
        <v>2.5181070978809998</v>
      </c>
      <c r="G205">
        <v>-561.36332610965144</v>
      </c>
      <c r="H205">
        <v>-483.91862960525748</v>
      </c>
      <c r="I205">
        <v>73.957595859613093</v>
      </c>
      <c r="J205">
        <v>41.923970101282201</v>
      </c>
      <c r="K205">
        <v>14.010656450088399</v>
      </c>
      <c r="L205">
        <v>2.8297579818051662E-5</v>
      </c>
      <c r="M205">
        <v>1.8018253847010989E-6</v>
      </c>
      <c r="N205" s="1">
        <v>-1.00178128301239E-7</v>
      </c>
      <c r="O205" s="1">
        <v>1.34167095873966E-10</v>
      </c>
      <c r="P205" s="1">
        <v>5.7054563745323598E-10</v>
      </c>
      <c r="Q205">
        <v>65.976712493310799</v>
      </c>
      <c r="S205">
        <v>19.1303405157466</v>
      </c>
      <c r="AA205">
        <v>0.38796290363486802</v>
      </c>
      <c r="AB205">
        <v>4.84316389401845</v>
      </c>
      <c r="AC205">
        <v>9.6618201932891701</v>
      </c>
      <c r="AJ205">
        <v>0.42430585965661199</v>
      </c>
      <c r="AK205">
        <v>1.8782390034960201E-2</v>
      </c>
      <c r="AL205">
        <v>0.55691175030842699</v>
      </c>
    </row>
    <row r="206" spans="1:38" x14ac:dyDescent="0.2">
      <c r="A206">
        <v>177</v>
      </c>
      <c r="B206">
        <v>772</v>
      </c>
      <c r="C206">
        <v>100</v>
      </c>
      <c r="D206">
        <v>0.49784289336458698</v>
      </c>
      <c r="E206">
        <v>17.6748270849336</v>
      </c>
      <c r="F206">
        <v>2.5703475173041399</v>
      </c>
      <c r="G206">
        <v>-287.82548570428412</v>
      </c>
      <c r="H206">
        <v>-248.62843569314839</v>
      </c>
      <c r="I206">
        <v>37.503755452457199</v>
      </c>
      <c r="J206">
        <v>21.439414228745299</v>
      </c>
      <c r="K206">
        <v>6.8764347878809602</v>
      </c>
      <c r="L206">
        <v>3.0243123038002955E-5</v>
      </c>
      <c r="M206">
        <v>1.7978879432528624E-6</v>
      </c>
      <c r="N206" s="1">
        <v>-1.3261353970252401E-7</v>
      </c>
      <c r="O206" s="1">
        <v>6.1094174663693494E-11</v>
      </c>
      <c r="P206" s="1">
        <v>5.3433675926871596E-10</v>
      </c>
      <c r="Q206">
        <v>64.471043100755693</v>
      </c>
      <c r="S206">
        <v>21.863456866448701</v>
      </c>
      <c r="AA206">
        <v>2.99413924677066</v>
      </c>
      <c r="AB206">
        <v>8.6530802262086404</v>
      </c>
      <c r="AC206">
        <v>2.0182805598161799</v>
      </c>
      <c r="AJ206">
        <v>0.74367786642074596</v>
      </c>
      <c r="AK206">
        <v>0.14219912043997099</v>
      </c>
      <c r="AL206">
        <v>0.114123013139282</v>
      </c>
    </row>
    <row r="207" spans="1:38" x14ac:dyDescent="0.2">
      <c r="A207">
        <v>177</v>
      </c>
      <c r="B207">
        <v>772</v>
      </c>
      <c r="C207">
        <v>100</v>
      </c>
      <c r="D207">
        <v>0.49784289336458698</v>
      </c>
      <c r="E207">
        <v>36.181244199832797</v>
      </c>
      <c r="F207">
        <v>2.5180831422274199</v>
      </c>
      <c r="G207">
        <v>-575.44321057302216</v>
      </c>
      <c r="H207">
        <v>-496.27493808285294</v>
      </c>
      <c r="I207">
        <v>75.748239477748697</v>
      </c>
      <c r="J207">
        <v>42.990032306399399</v>
      </c>
      <c r="K207">
        <v>14.3685661498166</v>
      </c>
      <c r="L207">
        <v>2.8290420290050462E-5</v>
      </c>
      <c r="M207">
        <v>1.8017195364412457E-6</v>
      </c>
      <c r="N207" s="1">
        <v>-1.10400871025679E-7</v>
      </c>
      <c r="O207" s="1">
        <v>1.3757675242045E-10</v>
      </c>
      <c r="P207" s="1">
        <v>6.0749157860991103E-10</v>
      </c>
      <c r="Q207">
        <v>65.971354917507199</v>
      </c>
      <c r="S207">
        <v>19.120650536529698</v>
      </c>
      <c r="AA207">
        <v>0.381218688634539</v>
      </c>
      <c r="AB207">
        <v>4.8058212833015501</v>
      </c>
      <c r="AC207">
        <v>9.7209545740268997</v>
      </c>
      <c r="AJ207">
        <v>0.42111411654766101</v>
      </c>
      <c r="AK207">
        <v>1.8459381991518999E-2</v>
      </c>
      <c r="AL207">
        <v>0.56042650146081896</v>
      </c>
    </row>
    <row r="208" spans="1:38" x14ac:dyDescent="0.2">
      <c r="A208">
        <v>178</v>
      </c>
      <c r="B208">
        <v>770</v>
      </c>
      <c r="C208">
        <v>100</v>
      </c>
      <c r="D208">
        <v>0.49674591381872402</v>
      </c>
      <c r="E208">
        <v>17.9126282816305</v>
      </c>
      <c r="F208">
        <v>2.5707921673199601</v>
      </c>
      <c r="G208">
        <v>-291.64605816902497</v>
      </c>
      <c r="H208">
        <v>-252.04184359873898</v>
      </c>
      <c r="I208">
        <v>37.965982428496297</v>
      </c>
      <c r="J208">
        <v>21.7349713425088</v>
      </c>
      <c r="K208">
        <v>6.9677465605103102</v>
      </c>
      <c r="L208">
        <v>3.0283104316260119E-5</v>
      </c>
      <c r="M208">
        <v>1.7978108176364694E-6</v>
      </c>
      <c r="N208" s="1">
        <v>-1.43252230835687E-7</v>
      </c>
      <c r="O208" s="1">
        <v>6.1806209015903303E-11</v>
      </c>
      <c r="P208" s="1">
        <v>5.6734946458205604E-10</v>
      </c>
      <c r="Q208">
        <v>64.451982605202005</v>
      </c>
      <c r="S208">
        <v>21.8821935107568</v>
      </c>
      <c r="AA208">
        <v>3.0140446762364701</v>
      </c>
      <c r="AB208">
        <v>8.6597254828335704</v>
      </c>
      <c r="AC208">
        <v>1.9920537249711301</v>
      </c>
      <c r="AJ208">
        <v>0.74422406143088904</v>
      </c>
      <c r="AK208">
        <v>0.143139685247691</v>
      </c>
      <c r="AL208">
        <v>0.11263625332141899</v>
      </c>
    </row>
    <row r="209" spans="1:38" x14ac:dyDescent="0.2">
      <c r="A209">
        <v>178</v>
      </c>
      <c r="B209">
        <v>770</v>
      </c>
      <c r="C209">
        <v>100</v>
      </c>
      <c r="D209">
        <v>0.49674591381872402</v>
      </c>
      <c r="E209">
        <v>36.811660539204901</v>
      </c>
      <c r="F209">
        <v>2.5180725425774799</v>
      </c>
      <c r="G209">
        <v>-585.22394914408369</v>
      </c>
      <c r="H209">
        <v>-504.93228633419585</v>
      </c>
      <c r="I209">
        <v>76.970390461475006</v>
      </c>
      <c r="J209">
        <v>43.736163161398203</v>
      </c>
      <c r="K209">
        <v>14.618983336169</v>
      </c>
      <c r="L209">
        <v>2.8287745938677386E-5</v>
      </c>
      <c r="M209">
        <v>1.80167326693821E-6</v>
      </c>
      <c r="N209" s="1">
        <v>-1.2077676847383301E-7</v>
      </c>
      <c r="O209" s="1">
        <v>1.39946811809438E-10</v>
      </c>
      <c r="P209" s="1">
        <v>6.4273147070852005E-10</v>
      </c>
      <c r="Q209">
        <v>65.967570257240595</v>
      </c>
      <c r="S209">
        <v>19.111622821358399</v>
      </c>
      <c r="AA209">
        <v>0.37465382991533602</v>
      </c>
      <c r="AB209">
        <v>4.7737200418181098</v>
      </c>
      <c r="AC209">
        <v>9.7724330496674803</v>
      </c>
      <c r="AJ209">
        <v>0.41836940274713402</v>
      </c>
      <c r="AK209">
        <v>1.8144455339025901E-2</v>
      </c>
      <c r="AL209">
        <v>0.56348614191383894</v>
      </c>
    </row>
    <row r="210" spans="1:38" x14ac:dyDescent="0.2">
      <c r="A210">
        <v>179</v>
      </c>
      <c r="B210">
        <v>768</v>
      </c>
      <c r="C210">
        <v>100</v>
      </c>
      <c r="D210">
        <v>0.49564471978101199</v>
      </c>
      <c r="E210">
        <v>18.1169820994267</v>
      </c>
      <c r="F210">
        <v>2.5711750921611198</v>
      </c>
      <c r="G210">
        <v>-294.91798325096926</v>
      </c>
      <c r="H210">
        <v>-254.98309972140359</v>
      </c>
      <c r="I210">
        <v>38.356513018840403</v>
      </c>
      <c r="J210">
        <v>21.990820197813701</v>
      </c>
      <c r="K210">
        <v>7.0461876185176502</v>
      </c>
      <c r="L210">
        <v>3.0328299674051621E-5</v>
      </c>
      <c r="M210">
        <v>1.7978699934567029E-6</v>
      </c>
      <c r="N210" s="1">
        <v>-1.5442523308495601E-7</v>
      </c>
      <c r="O210" s="1">
        <v>6.2402794113406096E-11</v>
      </c>
      <c r="P210" s="1">
        <v>6.0159646646224702E-10</v>
      </c>
      <c r="Q210">
        <v>64.438843212417197</v>
      </c>
      <c r="S210">
        <v>21.896307128817899</v>
      </c>
      <c r="AA210">
        <v>3.0287544533281401</v>
      </c>
      <c r="AB210">
        <v>8.6674457351618006</v>
      </c>
      <c r="AC210">
        <v>1.9686494702747801</v>
      </c>
      <c r="AJ210">
        <v>0.74485870257711195</v>
      </c>
      <c r="AK210">
        <v>0.14383269599889401</v>
      </c>
      <c r="AL210">
        <v>0.111308601423992</v>
      </c>
    </row>
    <row r="211" spans="1:38" x14ac:dyDescent="0.2">
      <c r="A211">
        <v>179</v>
      </c>
      <c r="B211">
        <v>768</v>
      </c>
      <c r="C211">
        <v>100</v>
      </c>
      <c r="D211">
        <v>0.49564471978101199</v>
      </c>
      <c r="E211">
        <v>37.272820022818401</v>
      </c>
      <c r="F211">
        <v>2.5180709560891898</v>
      </c>
      <c r="G211">
        <v>-592.31549428573544</v>
      </c>
      <c r="H211">
        <v>-511.27557399482481</v>
      </c>
      <c r="I211">
        <v>77.836930596850095</v>
      </c>
      <c r="J211">
        <v>44.282392229085502</v>
      </c>
      <c r="K211">
        <v>14.8021325343058</v>
      </c>
      <c r="L211">
        <v>2.8288355640836083E-5</v>
      </c>
      <c r="M211">
        <v>1.8016654453451083E-6</v>
      </c>
      <c r="N211" s="1">
        <v>-1.3148100547953701E-7</v>
      </c>
      <c r="O211" s="1">
        <v>1.4166413118283599E-10</v>
      </c>
      <c r="P211" s="1">
        <v>6.7756425107399E-10</v>
      </c>
      <c r="Q211">
        <v>65.964746315840401</v>
      </c>
      <c r="S211">
        <v>19.1030420532425</v>
      </c>
      <c r="AA211">
        <v>0.368233536479674</v>
      </c>
      <c r="AB211">
        <v>4.7449314406295304</v>
      </c>
      <c r="AC211">
        <v>9.8190466538078809</v>
      </c>
      <c r="AJ211">
        <v>0.41590716933573901</v>
      </c>
      <c r="AK211">
        <v>1.7836128568829102E-2</v>
      </c>
      <c r="AL211">
        <v>0.566256702095431</v>
      </c>
    </row>
    <row r="212" spans="1:38" x14ac:dyDescent="0.2">
      <c r="A212">
        <v>180</v>
      </c>
      <c r="B212">
        <v>766</v>
      </c>
      <c r="C212">
        <v>100</v>
      </c>
      <c r="D212">
        <v>0.49453928691719501</v>
      </c>
      <c r="E212">
        <v>18.298833323600999</v>
      </c>
      <c r="F212">
        <v>2.5715157978966499</v>
      </c>
      <c r="G212">
        <v>-297.82051198765748</v>
      </c>
      <c r="H212">
        <v>-257.60683222327674</v>
      </c>
      <c r="I212">
        <v>38.698628460165203</v>
      </c>
      <c r="J212">
        <v>22.220244566326201</v>
      </c>
      <c r="K212">
        <v>7.1159715754297101</v>
      </c>
      <c r="L212">
        <v>3.0378105384182764E-5</v>
      </c>
      <c r="M212">
        <v>1.7980260397306463E-6</v>
      </c>
      <c r="N212" s="1">
        <v>-1.6623551957381901E-7</v>
      </c>
      <c r="O212" s="1">
        <v>6.2919608009550906E-11</v>
      </c>
      <c r="P212" s="1">
        <v>6.3746469582119298E-10</v>
      </c>
      <c r="Q212">
        <v>64.429774866614295</v>
      </c>
      <c r="S212">
        <v>21.907242980253098</v>
      </c>
      <c r="AA212">
        <v>3.0398926172571898</v>
      </c>
      <c r="AB212">
        <v>8.6759071690602703</v>
      </c>
      <c r="AC212">
        <v>1.9471823668149999</v>
      </c>
      <c r="AJ212">
        <v>0.745554295743036</v>
      </c>
      <c r="AK212">
        <v>0.14435552594012199</v>
      </c>
      <c r="AL212">
        <v>0.11009017831684099</v>
      </c>
    </row>
    <row r="213" spans="1:38" x14ac:dyDescent="0.2">
      <c r="A213">
        <v>180</v>
      </c>
      <c r="B213">
        <v>766</v>
      </c>
      <c r="C213">
        <v>100</v>
      </c>
      <c r="D213">
        <v>0.49453928691719501</v>
      </c>
      <c r="E213">
        <v>37.620487835647602</v>
      </c>
      <c r="F213">
        <v>2.51807599772832</v>
      </c>
      <c r="G213">
        <v>-597.60448224155482</v>
      </c>
      <c r="H213">
        <v>-516.06747337341142</v>
      </c>
      <c r="I213">
        <v>78.465100195489896</v>
      </c>
      <c r="J213">
        <v>44.694834785028299</v>
      </c>
      <c r="K213">
        <v>14.940171730156999</v>
      </c>
      <c r="L213">
        <v>2.829161431565311E-5</v>
      </c>
      <c r="M213">
        <v>1.8016844316990046E-6</v>
      </c>
      <c r="N213" s="1">
        <v>-1.4262525168307001E-7</v>
      </c>
      <c r="O213" s="1">
        <v>1.4294175912570699E-10</v>
      </c>
      <c r="P213" s="1">
        <v>7.1274690703371495E-10</v>
      </c>
      <c r="Q213">
        <v>65.962542492425101</v>
      </c>
      <c r="S213">
        <v>19.094788198818701</v>
      </c>
      <c r="AA213">
        <v>0.36193825413307601</v>
      </c>
      <c r="AB213">
        <v>4.7183817858667298</v>
      </c>
      <c r="AC213">
        <v>9.8623492687563008</v>
      </c>
      <c r="AJ213">
        <v>0.41363579378021897</v>
      </c>
      <c r="AK213">
        <v>1.7533568401788699E-2</v>
      </c>
      <c r="AL213">
        <v>0.56883063781799104</v>
      </c>
    </row>
    <row r="214" spans="1:38" x14ac:dyDescent="0.2">
      <c r="A214">
        <v>181</v>
      </c>
      <c r="B214">
        <v>764</v>
      </c>
      <c r="C214">
        <v>100</v>
      </c>
      <c r="D214">
        <v>0.49342959070530001</v>
      </c>
      <c r="E214">
        <v>18.464741023475099</v>
      </c>
      <c r="F214">
        <v>2.5718261241183602</v>
      </c>
      <c r="G214">
        <v>-300.46108312142485</v>
      </c>
      <c r="H214">
        <v>-260.00572134595399</v>
      </c>
      <c r="I214">
        <v>39.006278528149998</v>
      </c>
      <c r="J214">
        <v>22.431228843862002</v>
      </c>
      <c r="K214">
        <v>7.1796226231292897</v>
      </c>
      <c r="L214">
        <v>3.0432230106569262E-5</v>
      </c>
      <c r="M214">
        <v>1.7982551116020307E-6</v>
      </c>
      <c r="N214" s="1">
        <v>-1.78770293121513E-7</v>
      </c>
      <c r="O214" s="1">
        <v>6.3377785591617397E-11</v>
      </c>
      <c r="P214" s="1">
        <v>6.7525733618519299E-10</v>
      </c>
      <c r="Q214">
        <v>64.423650244825595</v>
      </c>
      <c r="S214">
        <v>21.9158801551099</v>
      </c>
      <c r="AA214">
        <v>3.0484474717171399</v>
      </c>
      <c r="AB214">
        <v>8.6849022545897991</v>
      </c>
      <c r="AC214">
        <v>1.92711987375739</v>
      </c>
      <c r="AJ214">
        <v>0.74629374718438202</v>
      </c>
      <c r="AK214">
        <v>0.14475526684732901</v>
      </c>
      <c r="AL214">
        <v>0.10895098596828801</v>
      </c>
    </row>
    <row r="215" spans="1:38" x14ac:dyDescent="0.2">
      <c r="A215">
        <v>181</v>
      </c>
      <c r="B215">
        <v>764</v>
      </c>
      <c r="C215">
        <v>100</v>
      </c>
      <c r="D215">
        <v>0.49342959070530001</v>
      </c>
      <c r="E215">
        <v>37.888021391438301</v>
      </c>
      <c r="F215">
        <v>2.5180862396405801</v>
      </c>
      <c r="G215">
        <v>-601.62119716703796</v>
      </c>
      <c r="H215">
        <v>-519.76411125568995</v>
      </c>
      <c r="I215">
        <v>78.925021367543806</v>
      </c>
      <c r="J215">
        <v>45.013047088513297</v>
      </c>
      <c r="K215">
        <v>15.046355758191201</v>
      </c>
      <c r="L215">
        <v>2.8297170811689808E-5</v>
      </c>
      <c r="M215">
        <v>1.8017233062581897E-6</v>
      </c>
      <c r="N215" s="1">
        <v>-1.5429271385382701E-7</v>
      </c>
      <c r="O215" s="1">
        <v>1.4390704325402301E-10</v>
      </c>
      <c r="P215" s="1">
        <v>7.4877743051858703E-10</v>
      </c>
      <c r="Q215">
        <v>65.960753439578298</v>
      </c>
      <c r="S215">
        <v>19.086788468130599</v>
      </c>
      <c r="AA215">
        <v>0.35575584542862898</v>
      </c>
      <c r="AB215">
        <v>4.6934226434882396</v>
      </c>
      <c r="AC215">
        <v>9.9032796033740595</v>
      </c>
      <c r="AJ215">
        <v>0.411499933297929</v>
      </c>
      <c r="AK215">
        <v>1.7236256164459E-2</v>
      </c>
      <c r="AL215">
        <v>0.57126381053761099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9E2DC-84C2-4978-8A63-B4029494F471}">
  <sheetPr codeName="Sheet12"/>
  <dimension ref="A1:AJ15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758</v>
      </c>
      <c r="C2">
        <v>300</v>
      </c>
      <c r="D2">
        <v>0.27672065169955901</v>
      </c>
      <c r="E2">
        <v>0.17308128004543</v>
      </c>
      <c r="F2">
        <v>2.5446339321928</v>
      </c>
      <c r="G2">
        <v>-2.8209854713343314</v>
      </c>
      <c r="H2">
        <v>-2.4693798072022766</v>
      </c>
      <c r="I2">
        <v>0.34098401215347401</v>
      </c>
      <c r="J2">
        <v>0.200606106851236</v>
      </c>
      <c r="K2">
        <v>6.8018145107528002E-2</v>
      </c>
      <c r="L2">
        <v>0</v>
      </c>
      <c r="M2">
        <v>1.2383389820830548E-6</v>
      </c>
      <c r="N2">
        <v>0</v>
      </c>
      <c r="O2" s="1">
        <v>9.6767577057109795E-14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756</v>
      </c>
      <c r="C3">
        <v>300</v>
      </c>
      <c r="D3">
        <v>0.27517903123937498</v>
      </c>
      <c r="E3">
        <v>0.61225690270263</v>
      </c>
      <c r="F3">
        <v>2.5446339321928</v>
      </c>
      <c r="G3">
        <v>-9.9765296716263681</v>
      </c>
      <c r="H3">
        <v>-8.7365915357220363</v>
      </c>
      <c r="I3">
        <v>1.20481769995076</v>
      </c>
      <c r="J3">
        <v>0.70944348585122796</v>
      </c>
      <c r="K3">
        <v>0.24060706530586301</v>
      </c>
      <c r="L3">
        <v>0</v>
      </c>
      <c r="M3">
        <v>1.2383389820830548E-6</v>
      </c>
      <c r="N3">
        <v>0</v>
      </c>
      <c r="O3" s="1">
        <v>3.4230517012280702E-13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300</v>
      </c>
      <c r="D4">
        <v>0.27363140729202201</v>
      </c>
      <c r="E4">
        <v>1.0470437843795699</v>
      </c>
      <c r="F4">
        <v>2.5446339321928</v>
      </c>
      <c r="G4">
        <v>-17.05712387538366</v>
      </c>
      <c r="H4">
        <v>-14.943203207345837</v>
      </c>
      <c r="I4">
        <v>2.05804475299403</v>
      </c>
      <c r="J4">
        <v>1.21293775920821</v>
      </c>
      <c r="K4">
        <v>0.41147128124527399</v>
      </c>
      <c r="L4">
        <v>0</v>
      </c>
      <c r="M4">
        <v>1.2383389820830548E-6</v>
      </c>
      <c r="N4">
        <v>0</v>
      </c>
      <c r="O4" s="1">
        <v>5.8538907304431801E-13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752</v>
      </c>
      <c r="C5">
        <v>300</v>
      </c>
      <c r="D5">
        <v>0.27207774472028401</v>
      </c>
      <c r="E5">
        <v>1.4775158129182899</v>
      </c>
      <c r="F5">
        <v>2.5446339321928</v>
      </c>
      <c r="G5">
        <v>-24.064029154121467</v>
      </c>
      <c r="H5">
        <v>-21.09023822682984</v>
      </c>
      <c r="I5">
        <v>2.9008349288315101</v>
      </c>
      <c r="J5">
        <v>1.7111767025356099</v>
      </c>
      <c r="K5">
        <v>0.58063982965324301</v>
      </c>
      <c r="L5">
        <v>0</v>
      </c>
      <c r="M5">
        <v>1.2383389820830548E-6</v>
      </c>
      <c r="N5">
        <v>0</v>
      </c>
      <c r="O5" s="1">
        <v>8.2606059558920101E-13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750</v>
      </c>
      <c r="C6">
        <v>300</v>
      </c>
      <c r="D6">
        <v>0.270518008112205</v>
      </c>
      <c r="E6">
        <v>1.90374528529792</v>
      </c>
      <c r="F6">
        <v>2.5446339321928</v>
      </c>
      <c r="G6">
        <v>-30.99847941009352</v>
      </c>
      <c r="H6">
        <v>-27.178697982661628</v>
      </c>
      <c r="I6">
        <v>3.7333542759437899</v>
      </c>
      <c r="J6">
        <v>2.2042461810165301</v>
      </c>
      <c r="K6">
        <v>0.74814112207385397</v>
      </c>
      <c r="L6">
        <v>0</v>
      </c>
      <c r="M6">
        <v>1.238338982083055E-6</v>
      </c>
      <c r="N6">
        <v>0</v>
      </c>
      <c r="O6" s="1">
        <v>1.06436015809348E-12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748</v>
      </c>
      <c r="C7">
        <v>300</v>
      </c>
      <c r="D7">
        <v>0.26895216177838999</v>
      </c>
      <c r="E7">
        <v>2.32580294979685</v>
      </c>
      <c r="F7">
        <v>2.5446339321928</v>
      </c>
      <c r="G7">
        <v>-37.861682096890306</v>
      </c>
      <c r="H7">
        <v>-33.209562430302213</v>
      </c>
      <c r="I7">
        <v>4.5557652319327104</v>
      </c>
      <c r="J7">
        <v>2.6922301998367599</v>
      </c>
      <c r="K7">
        <v>0.91400296143682402</v>
      </c>
      <c r="L7">
        <v>0</v>
      </c>
      <c r="M7">
        <v>1.238338982083055E-6</v>
      </c>
      <c r="N7">
        <v>0</v>
      </c>
      <c r="O7" s="1">
        <v>1.3003273150339901E-12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746</v>
      </c>
      <c r="C8">
        <v>300</v>
      </c>
      <c r="D8">
        <v>0.26738016974930101</v>
      </c>
      <c r="E8">
        <v>2.74375805057119</v>
      </c>
      <c r="F8">
        <v>2.5446339321928</v>
      </c>
      <c r="G8">
        <v>-44.654818978275543</v>
      </c>
      <c r="H8">
        <v>-39.183790710533351</v>
      </c>
      <c r="I8">
        <v>5.3682267259404304</v>
      </c>
      <c r="J8">
        <v>3.17521095735979</v>
      </c>
      <c r="K8">
        <v>1.0782525595761401</v>
      </c>
      <c r="L8">
        <v>0</v>
      </c>
      <c r="M8">
        <v>1.238338982083055E-6</v>
      </c>
      <c r="N8">
        <v>0</v>
      </c>
      <c r="O8" s="1">
        <v>1.5340007799516099E-12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300</v>
      </c>
      <c r="D9">
        <v>0.26580199577250502</v>
      </c>
      <c r="E9">
        <v>3.1576783705265501</v>
      </c>
      <c r="F9">
        <v>2.5446339321928</v>
      </c>
      <c r="G9">
        <v>-51.379046858109952</v>
      </c>
      <c r="H9">
        <v>-45.102321744056361</v>
      </c>
      <c r="I9">
        <v>6.1708942771996096</v>
      </c>
      <c r="J9">
        <v>3.6532688962677602</v>
      </c>
      <c r="K9">
        <v>1.2409165540779601</v>
      </c>
      <c r="L9">
        <v>0</v>
      </c>
      <c r="M9">
        <v>1.2383389820830546E-6</v>
      </c>
      <c r="N9">
        <v>0</v>
      </c>
      <c r="O9" s="1">
        <v>1.7654184494203799E-12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742</v>
      </c>
      <c r="C10">
        <v>300</v>
      </c>
      <c r="D10">
        <v>0.264217603309855</v>
      </c>
      <c r="E10">
        <v>3.5676302703856502</v>
      </c>
      <c r="F10">
        <v>2.5446339321928</v>
      </c>
      <c r="G10">
        <v>-58.035498247294115</v>
      </c>
      <c r="H10">
        <v>-50.966074772351682</v>
      </c>
      <c r="I10">
        <v>6.9639200856449097</v>
      </c>
      <c r="J10">
        <v>4.1264827502447998</v>
      </c>
      <c r="K10">
        <v>1.40202102363356</v>
      </c>
      <c r="L10">
        <v>0</v>
      </c>
      <c r="M10">
        <v>1.2383389820830548E-6</v>
      </c>
      <c r="N10">
        <v>0</v>
      </c>
      <c r="O10" s="1">
        <v>1.9946174248896501E-12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740</v>
      </c>
      <c r="C11">
        <v>300</v>
      </c>
      <c r="D11">
        <v>0.26262695553471999</v>
      </c>
      <c r="E11">
        <v>3.9736787280891401</v>
      </c>
      <c r="F11">
        <v>2.5446339321928</v>
      </c>
      <c r="G11">
        <v>-64.625282035126816</v>
      </c>
      <c r="H11">
        <v>-56.775949903853011</v>
      </c>
      <c r="I11">
        <v>7.7474531227101604</v>
      </c>
      <c r="J11">
        <v>4.5949295909946004</v>
      </c>
      <c r="K11">
        <v>1.56159150352321</v>
      </c>
      <c r="L11">
        <v>0</v>
      </c>
      <c r="M11">
        <v>1.2383389820830548E-6</v>
      </c>
      <c r="N11">
        <v>0</v>
      </c>
      <c r="O11" s="1">
        <v>2.22163403471268E-12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738</v>
      </c>
      <c r="C12">
        <v>300</v>
      </c>
      <c r="D12">
        <v>0.26103001532908299</v>
      </c>
      <c r="E12">
        <v>4.3758873776576896</v>
      </c>
      <c r="F12">
        <v>2.5446339321928</v>
      </c>
      <c r="G12">
        <v>-71.149484150892121</v>
      </c>
      <c r="H12">
        <v>-62.532828652977393</v>
      </c>
      <c r="I12">
        <v>8.5216392206049694</v>
      </c>
      <c r="J12">
        <v>5.0586848745822701</v>
      </c>
      <c r="K12">
        <v>1.7196530008883499</v>
      </c>
      <c r="L12">
        <v>0</v>
      </c>
      <c r="M12">
        <v>1.238338982083055E-6</v>
      </c>
      <c r="N12">
        <v>0</v>
      </c>
      <c r="O12" s="1">
        <v>2.4465038558738402E-12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736</v>
      </c>
      <c r="C13">
        <v>300</v>
      </c>
      <c r="D13">
        <v>0.25942674528068399</v>
      </c>
      <c r="E13">
        <v>4.9201964412425996</v>
      </c>
      <c r="F13">
        <v>2.5446339321928</v>
      </c>
      <c r="G13">
        <v>-79.980493438462034</v>
      </c>
      <c r="H13">
        <v>-70.32255341464851</v>
      </c>
      <c r="I13">
        <v>9.5703711279923898</v>
      </c>
      <c r="J13">
        <v>5.6864179242024298</v>
      </c>
      <c r="K13">
        <v>1.93355766383367</v>
      </c>
      <c r="L13">
        <v>0</v>
      </c>
      <c r="M13">
        <v>1.2383389820830548E-6</v>
      </c>
      <c r="N13">
        <v>0</v>
      </c>
      <c r="O13" s="1">
        <v>2.7508202397110202E-12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734</v>
      </c>
      <c r="C14">
        <v>300</v>
      </c>
      <c r="D14">
        <v>0.25781710768008598</v>
      </c>
      <c r="E14">
        <v>24.0190546217598</v>
      </c>
      <c r="F14">
        <v>2.5446339321928</v>
      </c>
      <c r="G14">
        <v>-390.34953010897806</v>
      </c>
      <c r="H14">
        <v>-343.35100238229268</v>
      </c>
      <c r="I14">
        <v>46.664873878454401</v>
      </c>
      <c r="J14">
        <v>27.7521441203824</v>
      </c>
      <c r="K14">
        <v>9.4391001856450796</v>
      </c>
      <c r="L14">
        <v>0</v>
      </c>
      <c r="M14">
        <v>1.2383389820830548E-6</v>
      </c>
      <c r="N14">
        <v>0</v>
      </c>
      <c r="O14" s="1">
        <v>1.3428752770605801E-11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732</v>
      </c>
      <c r="C15">
        <v>300</v>
      </c>
      <c r="D15">
        <v>0.256201064517732</v>
      </c>
      <c r="E15">
        <v>28.879426413999202</v>
      </c>
      <c r="F15">
        <v>2.5446339321928</v>
      </c>
      <c r="G15">
        <v>-469.22649500091143</v>
      </c>
      <c r="H15">
        <v>-412.89646413299442</v>
      </c>
      <c r="I15">
        <v>56.041417567444597</v>
      </c>
      <c r="J15">
        <v>33.358994318647198</v>
      </c>
      <c r="K15">
        <v>11.349147729517499</v>
      </c>
      <c r="L15">
        <v>0</v>
      </c>
      <c r="M15">
        <v>1.2383389820830548E-6</v>
      </c>
      <c r="N15">
        <v>0</v>
      </c>
      <c r="O15" s="1">
        <v>1.6146125797938899E-11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730</v>
      </c>
      <c r="C16">
        <v>300</v>
      </c>
      <c r="D16">
        <v>0.25457857748093798</v>
      </c>
      <c r="E16">
        <v>30.5228364061315</v>
      </c>
      <c r="F16">
        <v>2.5446339321928</v>
      </c>
      <c r="G16">
        <v>-495.80986409430523</v>
      </c>
      <c r="H16">
        <v>-436.4632176334735</v>
      </c>
      <c r="I16">
        <v>59.160291542472898</v>
      </c>
      <c r="J16">
        <v>35.247837595084597</v>
      </c>
      <c r="K16">
        <v>11.994981289834801</v>
      </c>
      <c r="L16">
        <v>0</v>
      </c>
      <c r="M16">
        <v>1.238338982083055E-6</v>
      </c>
      <c r="N16">
        <v>0</v>
      </c>
      <c r="O16" s="1">
        <v>1.7064935752477802E-11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728</v>
      </c>
      <c r="C17">
        <v>300</v>
      </c>
      <c r="D17">
        <v>0.25294960795086002</v>
      </c>
      <c r="E17">
        <v>31.4038436971158</v>
      </c>
      <c r="F17">
        <v>2.5446339321928</v>
      </c>
      <c r="G17">
        <v>-509.99919389648346</v>
      </c>
      <c r="H17">
        <v>-449.13375742750969</v>
      </c>
      <c r="I17">
        <v>60.795521619111703</v>
      </c>
      <c r="J17">
        <v>36.255428864762301</v>
      </c>
      <c r="K17">
        <v>12.341202913243301</v>
      </c>
      <c r="L17">
        <v>0</v>
      </c>
      <c r="M17">
        <v>1.238338982083055E-6</v>
      </c>
      <c r="N17">
        <v>0</v>
      </c>
      <c r="O17" s="1">
        <v>1.7557495900495101E-11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726</v>
      </c>
      <c r="C18">
        <v>300</v>
      </c>
      <c r="D18">
        <v>0.251314116999449</v>
      </c>
      <c r="E18">
        <v>31.970198511968999</v>
      </c>
      <c r="F18">
        <v>2.5446339321928</v>
      </c>
      <c r="G18">
        <v>-519.07309990782687</v>
      </c>
      <c r="H18">
        <v>-457.30750012650441</v>
      </c>
      <c r="I18">
        <v>61.8181452047465</v>
      </c>
      <c r="J18">
        <v>36.899260676562399</v>
      </c>
      <c r="K18">
        <v>12.5637712000559</v>
      </c>
      <c r="L18">
        <v>0</v>
      </c>
      <c r="M18">
        <v>1.2383389820830546E-6</v>
      </c>
      <c r="N18">
        <v>0</v>
      </c>
      <c r="O18" s="1">
        <v>1.7874137787899601E-11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724</v>
      </c>
      <c r="C19">
        <v>300</v>
      </c>
      <c r="D19">
        <v>0.249672065386352</v>
      </c>
      <c r="E19">
        <v>32.372753805852497</v>
      </c>
      <c r="F19">
        <v>2.5446339321928</v>
      </c>
      <c r="G19">
        <v>-525.4839318420178</v>
      </c>
      <c r="H19">
        <v>-463.14044141518144</v>
      </c>
      <c r="I19">
        <v>62.5216772068759</v>
      </c>
      <c r="J19">
        <v>37.353689674608802</v>
      </c>
      <c r="K19">
        <v>12.721968923033099</v>
      </c>
      <c r="L19">
        <v>0</v>
      </c>
      <c r="M19">
        <v>1.238338982083055E-6</v>
      </c>
      <c r="N19">
        <v>0</v>
      </c>
      <c r="O19" s="1">
        <v>1.8099201413557999E-11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758</v>
      </c>
      <c r="C20">
        <v>280</v>
      </c>
      <c r="D20">
        <v>0.29805605392037998</v>
      </c>
      <c r="E20">
        <v>0.150978557413709</v>
      </c>
      <c r="F20">
        <v>2.5440037919938501</v>
      </c>
      <c r="G20">
        <v>-2.4619284529177401</v>
      </c>
      <c r="H20">
        <v>-2.1552233260824565</v>
      </c>
      <c r="I20">
        <v>0.297439874737219</v>
      </c>
      <c r="J20">
        <v>0.174988425165508</v>
      </c>
      <c r="K20">
        <v>5.9346828762146003E-2</v>
      </c>
      <c r="L20">
        <v>0</v>
      </c>
      <c r="M20">
        <v>1.238316790253547E-6</v>
      </c>
      <c r="N20">
        <v>0</v>
      </c>
      <c r="O20" s="1">
        <v>8.4410221513659099E-14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756</v>
      </c>
      <c r="C21">
        <v>280</v>
      </c>
      <c r="D21">
        <v>0.29655589564203599</v>
      </c>
      <c r="E21">
        <v>0.58084547778573703</v>
      </c>
      <c r="F21">
        <v>2.5440037919938501</v>
      </c>
      <c r="G21">
        <v>-9.4692564099148147</v>
      </c>
      <c r="H21">
        <v>-8.2929324586536044</v>
      </c>
      <c r="I21">
        <v>1.1430053454415801</v>
      </c>
      <c r="J21">
        <v>0.67304596923651006</v>
      </c>
      <c r="K21">
        <v>0.22831942295593</v>
      </c>
      <c r="L21">
        <v>0</v>
      </c>
      <c r="M21">
        <v>1.238316790253547E-6</v>
      </c>
      <c r="N21">
        <v>0</v>
      </c>
      <c r="O21" s="1">
        <v>3.2474343565723501E-13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754</v>
      </c>
      <c r="C22">
        <v>280</v>
      </c>
      <c r="D22">
        <v>0.29504989534147702</v>
      </c>
      <c r="E22">
        <v>1.00646292620472</v>
      </c>
      <c r="F22">
        <v>2.5440037919938501</v>
      </c>
      <c r="G22">
        <v>-16.403942893347622</v>
      </c>
      <c r="H22">
        <v>-14.371952624116734</v>
      </c>
      <c r="I22">
        <v>1.97827996809705</v>
      </c>
      <c r="J22">
        <v>1.1659272560031999</v>
      </c>
      <c r="K22">
        <v>0.39562162972088399</v>
      </c>
      <c r="L22">
        <v>0</v>
      </c>
      <c r="M22">
        <v>1.2383167902535472E-6</v>
      </c>
      <c r="N22">
        <v>0</v>
      </c>
      <c r="O22" s="1">
        <v>5.6270082322638198E-13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752</v>
      </c>
      <c r="C23">
        <v>280</v>
      </c>
      <c r="D23">
        <v>0.29353801882651298</v>
      </c>
      <c r="E23">
        <v>1.42790056516897</v>
      </c>
      <c r="F23">
        <v>2.5440037919938501</v>
      </c>
      <c r="G23">
        <v>-23.267178937253806</v>
      </c>
      <c r="H23">
        <v>-20.393248446190501</v>
      </c>
      <c r="I23">
        <v>2.80342436820299</v>
      </c>
      <c r="J23">
        <v>1.6537150799276701</v>
      </c>
      <c r="K23">
        <v>0.56128083207370405</v>
      </c>
      <c r="L23">
        <v>0</v>
      </c>
      <c r="M23">
        <v>1.2383167902535468E-6</v>
      </c>
      <c r="N23">
        <v>0</v>
      </c>
      <c r="O23" s="1">
        <v>7.9832133165187602E-13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750</v>
      </c>
      <c r="C24">
        <v>280</v>
      </c>
      <c r="D24">
        <v>0.292020231637589</v>
      </c>
      <c r="E24">
        <v>1.8452265598090201</v>
      </c>
      <c r="F24">
        <v>2.5440037919938501</v>
      </c>
      <c r="G24">
        <v>-30.060129986828183</v>
      </c>
      <c r="H24">
        <v>-26.357763815788925</v>
      </c>
      <c r="I24">
        <v>3.6185956810235602</v>
      </c>
      <c r="J24">
        <v>2.1364904375496798</v>
      </c>
      <c r="K24">
        <v>0.72532382444399901</v>
      </c>
      <c r="L24">
        <v>0</v>
      </c>
      <c r="M24">
        <v>1.238316790253547E-6</v>
      </c>
      <c r="N24">
        <v>0</v>
      </c>
      <c r="O24" s="1">
        <v>1.0316430712049101E-12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748</v>
      </c>
      <c r="C25">
        <v>280</v>
      </c>
      <c r="D25">
        <v>0.29049649904519698</v>
      </c>
      <c r="E25">
        <v>2.2585076178213699</v>
      </c>
      <c r="F25">
        <v>2.5440037919938501</v>
      </c>
      <c r="G25">
        <v>-36.783936581045062</v>
      </c>
      <c r="H25">
        <v>-32.266422443863519</v>
      </c>
      <c r="I25">
        <v>4.4239476445003598</v>
      </c>
      <c r="J25">
        <v>2.6143325752472499</v>
      </c>
      <c r="K25">
        <v>0.88777682837149796</v>
      </c>
      <c r="L25">
        <v>0</v>
      </c>
      <c r="M25">
        <v>1.2383167902535472E-6</v>
      </c>
      <c r="N25">
        <v>0</v>
      </c>
      <c r="O25" s="1">
        <v>1.2627033373235601E-12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746</v>
      </c>
      <c r="C26">
        <v>280</v>
      </c>
      <c r="D26">
        <v>0.288966786047197</v>
      </c>
      <c r="E26">
        <v>2.6678090295846202</v>
      </c>
      <c r="F26">
        <v>2.5440037919938501</v>
      </c>
      <c r="G26">
        <v>-43.43971503721982</v>
      </c>
      <c r="H26">
        <v>-38.120128417416801</v>
      </c>
      <c r="I26">
        <v>5.2196306920502504</v>
      </c>
      <c r="J26">
        <v>3.0873190371567301</v>
      </c>
      <c r="K26">
        <v>1.0486655082749401</v>
      </c>
      <c r="L26">
        <v>0</v>
      </c>
      <c r="M26">
        <v>1.2383167902535468E-6</v>
      </c>
      <c r="N26">
        <v>0</v>
      </c>
      <c r="O26" s="1">
        <v>1.4915386330412E-12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744</v>
      </c>
      <c r="C27">
        <v>280</v>
      </c>
      <c r="D27">
        <v>0.28743105736617303</v>
      </c>
      <c r="E27">
        <v>3.0731947048925301</v>
      </c>
      <c r="F27">
        <v>2.5440037919938501</v>
      </c>
      <c r="G27">
        <v>-50.028558079466045</v>
      </c>
      <c r="H27">
        <v>-43.919766707734638</v>
      </c>
      <c r="I27">
        <v>6.0057920382749801</v>
      </c>
      <c r="J27">
        <v>3.5555257091261301</v>
      </c>
      <c r="K27">
        <v>1.20801498589116</v>
      </c>
      <c r="L27">
        <v>0</v>
      </c>
      <c r="M27">
        <v>1.238316790253547E-6</v>
      </c>
      <c r="N27">
        <v>0</v>
      </c>
      <c r="O27" s="1">
        <v>1.7181846895235101E-12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742</v>
      </c>
      <c r="C28">
        <v>280</v>
      </c>
      <c r="D28">
        <v>0.28588927744668102</v>
      </c>
      <c r="E28">
        <v>3.4747272120787098</v>
      </c>
      <c r="F28">
        <v>2.5440037919938501</v>
      </c>
      <c r="G28">
        <v>-56.551535505127774</v>
      </c>
      <c r="H28">
        <v>-49.666203713323242</v>
      </c>
      <c r="I28">
        <v>6.7825757689056001</v>
      </c>
      <c r="J28">
        <v>4.01902686538733</v>
      </c>
      <c r="K28">
        <v>1.36584985565426</v>
      </c>
      <c r="L28">
        <v>0</v>
      </c>
      <c r="M28">
        <v>1.2383167902535468E-6</v>
      </c>
      <c r="N28">
        <v>0</v>
      </c>
      <c r="O28" s="1">
        <v>1.9426764879425799E-12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740</v>
      </c>
      <c r="C29">
        <v>280</v>
      </c>
      <c r="D29">
        <v>0.28434141045255101</v>
      </c>
      <c r="E29">
        <v>3.8724678108325499</v>
      </c>
      <c r="F29">
        <v>2.5440037919938501</v>
      </c>
      <c r="G29">
        <v>-63.009694747560374</v>
      </c>
      <c r="H29">
        <v>-55.360287713210518</v>
      </c>
      <c r="I29">
        <v>7.5501229179784302</v>
      </c>
      <c r="J29">
        <v>4.4778952078808798</v>
      </c>
      <c r="K29">
        <v>1.52219419759493</v>
      </c>
      <c r="L29">
        <v>0</v>
      </c>
      <c r="M29">
        <v>1.238316790253547E-6</v>
      </c>
      <c r="N29">
        <v>0</v>
      </c>
      <c r="O29" s="1">
        <v>2.16504827782391E-12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738</v>
      </c>
      <c r="C30">
        <v>280</v>
      </c>
      <c r="D30">
        <v>0.28278742026405701</v>
      </c>
      <c r="E30">
        <v>4.2664764891282303</v>
      </c>
      <c r="F30">
        <v>2.5440037919938501</v>
      </c>
      <c r="G30">
        <v>-69.404061504967871</v>
      </c>
      <c r="H30">
        <v>-61.002849379520327</v>
      </c>
      <c r="I30">
        <v>8.3085715526356605</v>
      </c>
      <c r="J30">
        <v>4.9322019102938102</v>
      </c>
      <c r="K30">
        <v>1.67707159185654</v>
      </c>
      <c r="L30">
        <v>0</v>
      </c>
      <c r="M30">
        <v>1.238316790253547E-6</v>
      </c>
      <c r="N30">
        <v>0</v>
      </c>
      <c r="O30" s="1">
        <v>2.3853335976929298E-12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736</v>
      </c>
      <c r="C31">
        <v>280</v>
      </c>
      <c r="D31">
        <v>0.281227270475152</v>
      </c>
      <c r="E31">
        <v>27.0105891360556</v>
      </c>
      <c r="F31">
        <v>2.5440037919938501</v>
      </c>
      <c r="G31">
        <v>-439.28427105853768</v>
      </c>
      <c r="H31">
        <v>-386.26471116917452</v>
      </c>
      <c r="I31">
        <v>52.538829598536601</v>
      </c>
      <c r="J31">
        <v>31.2169442908957</v>
      </c>
      <c r="K31">
        <v>10.6173541175762</v>
      </c>
      <c r="L31">
        <v>0</v>
      </c>
      <c r="M31">
        <v>1.2383167902535468E-6</v>
      </c>
      <c r="N31">
        <v>0</v>
      </c>
      <c r="O31" s="1">
        <v>1.5101282269781802E-11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734</v>
      </c>
      <c r="C32">
        <v>280</v>
      </c>
      <c r="D32">
        <v>0.27966092439060802</v>
      </c>
      <c r="E32">
        <v>29.655044591931802</v>
      </c>
      <c r="F32">
        <v>2.5440037919938501</v>
      </c>
      <c r="G32">
        <v>-482.17683569380625</v>
      </c>
      <c r="H32">
        <v>-424.15026231537905</v>
      </c>
      <c r="I32">
        <v>57.614628782631399</v>
      </c>
      <c r="J32">
        <v>34.264090921633503</v>
      </c>
      <c r="K32">
        <v>11.6568397756552</v>
      </c>
      <c r="L32">
        <v>0</v>
      </c>
      <c r="M32">
        <v>1.2383167902535468E-6</v>
      </c>
      <c r="N32">
        <v>0</v>
      </c>
      <c r="O32" s="1">
        <v>1.6579764212100601E-11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732</v>
      </c>
      <c r="C33">
        <v>280</v>
      </c>
      <c r="D33">
        <v>0.27808834502313201</v>
      </c>
      <c r="E33">
        <v>30.8591085979097</v>
      </c>
      <c r="F33">
        <v>2.5440037919938501</v>
      </c>
      <c r="G33">
        <v>-501.63450332007613</v>
      </c>
      <c r="H33">
        <v>-441.44305370617303</v>
      </c>
      <c r="I33">
        <v>59.883051896635401</v>
      </c>
      <c r="J33">
        <v>35.645750495140597</v>
      </c>
      <c r="K33">
        <v>12.1301346700132</v>
      </c>
      <c r="L33">
        <v>0</v>
      </c>
      <c r="M33">
        <v>1.238316790253547E-6</v>
      </c>
      <c r="N33">
        <v>0</v>
      </c>
      <c r="O33" s="1">
        <v>1.7252941325475198E-11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730</v>
      </c>
      <c r="C34">
        <v>280</v>
      </c>
      <c r="D34">
        <v>0.27650949509046802</v>
      </c>
      <c r="E34">
        <v>31.576990188634898</v>
      </c>
      <c r="F34">
        <v>2.5440037919938501</v>
      </c>
      <c r="G34">
        <v>-513.18164707227425</v>
      </c>
      <c r="H34">
        <v>-451.78537157260871</v>
      </c>
      <c r="I34">
        <v>61.203484523416698</v>
      </c>
      <c r="J34">
        <v>36.465176666445103</v>
      </c>
      <c r="K34">
        <v>12.412320409273599</v>
      </c>
      <c r="L34">
        <v>0</v>
      </c>
      <c r="M34">
        <v>1.2383167902535468E-6</v>
      </c>
      <c r="N34">
        <v>0</v>
      </c>
      <c r="O34" s="1">
        <v>1.7654299936470799E-11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728</v>
      </c>
      <c r="C35">
        <v>280</v>
      </c>
      <c r="D35">
        <v>0.27492433701243602</v>
      </c>
      <c r="E35">
        <v>32.065466454840603</v>
      </c>
      <c r="F35">
        <v>2.5440037919938501</v>
      </c>
      <c r="G35">
        <v>-520.99601916273173</v>
      </c>
      <c r="H35">
        <v>-458.84825692767902</v>
      </c>
      <c r="I35">
        <v>62.076374404487503</v>
      </c>
      <c r="J35">
        <v>37.019265835145802</v>
      </c>
      <c r="K35">
        <v>12.604331233999201</v>
      </c>
      <c r="L35">
        <v>0</v>
      </c>
      <c r="M35">
        <v>1.238316790253547E-6</v>
      </c>
      <c r="N35">
        <v>0</v>
      </c>
      <c r="O35" s="1">
        <v>1.7927400902203301E-11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726</v>
      </c>
      <c r="C36">
        <v>280</v>
      </c>
      <c r="D36">
        <v>0.273332832907971</v>
      </c>
      <c r="E36">
        <v>32.425155958260497</v>
      </c>
      <c r="F36">
        <v>2.5440037919938501</v>
      </c>
      <c r="G36">
        <v>-526.71474234945367</v>
      </c>
      <c r="H36">
        <v>-464.07017650432482</v>
      </c>
      <c r="I36">
        <v>62.697859025300303</v>
      </c>
      <c r="J36">
        <v>37.4243619955664</v>
      </c>
      <c r="K36">
        <v>12.745718406672401</v>
      </c>
      <c r="L36">
        <v>0</v>
      </c>
      <c r="M36">
        <v>1.238316790253547E-6</v>
      </c>
      <c r="N36">
        <v>0</v>
      </c>
      <c r="O36" s="1">
        <v>1.8128498801003799E-11</v>
      </c>
      <c r="P36">
        <v>0</v>
      </c>
      <c r="Q36">
        <v>100</v>
      </c>
      <c r="AJ36">
        <v>1</v>
      </c>
    </row>
    <row r="37" spans="1:36" x14ac:dyDescent="0.2">
      <c r="A37">
        <v>39</v>
      </c>
      <c r="B37">
        <v>758</v>
      </c>
      <c r="C37">
        <v>260</v>
      </c>
      <c r="D37">
        <v>0.31939145614120401</v>
      </c>
      <c r="E37">
        <v>0.14631260368615601</v>
      </c>
      <c r="F37">
        <v>2.5433738191431599</v>
      </c>
      <c r="G37">
        <v>-2.3869935803887761</v>
      </c>
      <c r="H37">
        <v>-2.0897670971061353</v>
      </c>
      <c r="I37">
        <v>0.288247571432517</v>
      </c>
      <c r="J37">
        <v>0.16958045261188001</v>
      </c>
      <c r="K37">
        <v>5.7526975619905898E-2</v>
      </c>
      <c r="L37">
        <v>0</v>
      </c>
      <c r="M37">
        <v>1.2382945389796266E-6</v>
      </c>
      <c r="N37">
        <v>0</v>
      </c>
      <c r="O37" s="1">
        <v>8.1801545192583599E-14</v>
      </c>
      <c r="P37">
        <v>0</v>
      </c>
      <c r="Q37">
        <v>100</v>
      </c>
      <c r="AJ37">
        <v>1</v>
      </c>
    </row>
    <row r="38" spans="1:36" x14ac:dyDescent="0.2">
      <c r="A38">
        <v>40</v>
      </c>
      <c r="B38">
        <v>756</v>
      </c>
      <c r="C38">
        <v>260</v>
      </c>
      <c r="D38">
        <v>0.317932760044698</v>
      </c>
      <c r="E38">
        <v>0.56652015526445498</v>
      </c>
      <c r="F38">
        <v>2.5433738191431599</v>
      </c>
      <c r="G38">
        <v>-9.2401715917870781</v>
      </c>
      <c r="H38">
        <v>-8.0928591773903111</v>
      </c>
      <c r="I38">
        <v>1.11481554136595</v>
      </c>
      <c r="J38">
        <v>0.65644671702623703</v>
      </c>
      <c r="K38">
        <v>0.22274356643936399</v>
      </c>
      <c r="L38">
        <v>0</v>
      </c>
      <c r="M38">
        <v>1.2382945389796266E-6</v>
      </c>
      <c r="N38">
        <v>0</v>
      </c>
      <c r="O38" s="1">
        <v>3.1673432715871802E-13</v>
      </c>
      <c r="P38">
        <v>0</v>
      </c>
      <c r="Q38">
        <v>100</v>
      </c>
      <c r="AJ38">
        <v>1</v>
      </c>
    </row>
    <row r="39" spans="1:36" x14ac:dyDescent="0.2">
      <c r="A39">
        <v>41</v>
      </c>
      <c r="B39">
        <v>754</v>
      </c>
      <c r="C39">
        <v>260</v>
      </c>
      <c r="D39">
        <v>0.31646838339093702</v>
      </c>
      <c r="E39">
        <v>0.98263355026899502</v>
      </c>
      <c r="F39">
        <v>2.5433738191431599</v>
      </c>
      <c r="G39">
        <v>-16.02328333057643</v>
      </c>
      <c r="H39">
        <v>-14.039403189162989</v>
      </c>
      <c r="I39">
        <v>1.9314415045645099</v>
      </c>
      <c r="J39">
        <v>1.13832234560499</v>
      </c>
      <c r="K39">
        <v>0.38635042276248299</v>
      </c>
      <c r="L39">
        <v>0</v>
      </c>
      <c r="M39">
        <v>1.2382945389796266E-6</v>
      </c>
      <c r="N39">
        <v>0</v>
      </c>
      <c r="O39" s="1">
        <v>5.4937811743475703E-13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752</v>
      </c>
      <c r="C40">
        <v>260</v>
      </c>
      <c r="D40">
        <v>0.31499829293274201</v>
      </c>
      <c r="E40">
        <v>1.3947181817227601</v>
      </c>
      <c r="F40">
        <v>2.5433738191431599</v>
      </c>
      <c r="G40">
        <v>-22.737448813812808</v>
      </c>
      <c r="H40">
        <v>-19.930304390265981</v>
      </c>
      <c r="I40">
        <v>2.7382767629584199</v>
      </c>
      <c r="J40">
        <v>1.6152850875097899</v>
      </c>
      <c r="K40">
        <v>0.548373255722445</v>
      </c>
      <c r="L40">
        <v>0</v>
      </c>
      <c r="M40">
        <v>1.238294538979627E-6</v>
      </c>
      <c r="N40">
        <v>0</v>
      </c>
      <c r="O40" s="1">
        <v>7.7976947644127096E-13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750</v>
      </c>
      <c r="C41">
        <v>260</v>
      </c>
      <c r="D41">
        <v>0.313522455162978</v>
      </c>
      <c r="E41">
        <v>1.80283804688754</v>
      </c>
      <c r="F41">
        <v>2.5433738191431599</v>
      </c>
      <c r="G41">
        <v>-29.383764184918103</v>
      </c>
      <c r="H41">
        <v>-25.766448706134966</v>
      </c>
      <c r="I41">
        <v>3.5354693630290099</v>
      </c>
      <c r="J41">
        <v>2.0874110158183599</v>
      </c>
      <c r="K41">
        <v>0.70883722766907098</v>
      </c>
      <c r="L41">
        <v>0</v>
      </c>
      <c r="M41">
        <v>1.2382945389796266E-6</v>
      </c>
      <c r="N41">
        <v>0</v>
      </c>
      <c r="O41" s="1">
        <v>1.0079441842462001E-12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748</v>
      </c>
      <c r="C42">
        <v>260</v>
      </c>
      <c r="D42">
        <v>0.31204083631200402</v>
      </c>
      <c r="E42">
        <v>2.2070557847416699</v>
      </c>
      <c r="F42">
        <v>2.5433738191431599</v>
      </c>
      <c r="G42">
        <v>-35.96330235442376</v>
      </c>
      <c r="H42">
        <v>-31.548703249047886</v>
      </c>
      <c r="I42">
        <v>4.3231641829073801</v>
      </c>
      <c r="J42">
        <v>2.5547745723363802</v>
      </c>
      <c r="K42">
        <v>0.867766966904301</v>
      </c>
      <c r="L42">
        <v>0</v>
      </c>
      <c r="M42">
        <v>1.2382945389796268E-6</v>
      </c>
      <c r="N42">
        <v>0</v>
      </c>
      <c r="O42" s="1">
        <v>1.2339372615182399E-12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746</v>
      </c>
      <c r="C43">
        <v>260</v>
      </c>
      <c r="D43">
        <v>0.31055340234509199</v>
      </c>
      <c r="E43">
        <v>2.6074327105263202</v>
      </c>
      <c r="F43">
        <v>2.5433738191431599</v>
      </c>
      <c r="G43">
        <v>-42.477113591989699</v>
      </c>
      <c r="H43">
        <v>-37.277916795991075</v>
      </c>
      <c r="I43">
        <v>5.1015030132940398</v>
      </c>
      <c r="J43">
        <v>3.0174486089682699</v>
      </c>
      <c r="K43">
        <v>1.0251865812650101</v>
      </c>
      <c r="L43">
        <v>0</v>
      </c>
      <c r="M43">
        <v>1.2382945389796266E-6</v>
      </c>
      <c r="N43">
        <v>0</v>
      </c>
      <c r="O43" s="1">
        <v>1.45778298884118E-12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744</v>
      </c>
      <c r="C44">
        <v>260</v>
      </c>
      <c r="D44">
        <v>0.30906011895984098</v>
      </c>
      <c r="E44">
        <v>3.0040288516520701</v>
      </c>
      <c r="F44">
        <v>2.5433738191431599</v>
      </c>
      <c r="G44">
        <v>-48.926226139685888</v>
      </c>
      <c r="H44">
        <v>-42.954920286467562</v>
      </c>
      <c r="I44">
        <v>5.8706246406314904</v>
      </c>
      <c r="J44">
        <v>3.4755044306179399</v>
      </c>
      <c r="K44">
        <v>1.18111967224074</v>
      </c>
      <c r="L44">
        <v>0</v>
      </c>
      <c r="M44">
        <v>1.2382945389796266E-6</v>
      </c>
      <c r="N44">
        <v>0</v>
      </c>
      <c r="O44" s="1">
        <v>1.6795149267888601E-12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742</v>
      </c>
      <c r="C45">
        <v>260</v>
      </c>
      <c r="D45">
        <v>0.30756095158350699</v>
      </c>
      <c r="E45">
        <v>3.9943927246041002</v>
      </c>
      <c r="F45">
        <v>2.5433738191431599</v>
      </c>
      <c r="G45">
        <v>-65.040550385854331</v>
      </c>
      <c r="H45">
        <v>-57.125477478817075</v>
      </c>
      <c r="I45">
        <v>7.7969491277518097</v>
      </c>
      <c r="J45">
        <v>4.6200955330498399</v>
      </c>
      <c r="K45">
        <v>1.5705094919746201</v>
      </c>
      <c r="L45">
        <v>0</v>
      </c>
      <c r="M45">
        <v>1.2382945389796266E-6</v>
      </c>
      <c r="N45">
        <v>0</v>
      </c>
      <c r="O45" s="1">
        <v>2.2332149708682001E-12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740</v>
      </c>
      <c r="C46">
        <v>260</v>
      </c>
      <c r="D46">
        <v>0.30605586537038199</v>
      </c>
      <c r="E46">
        <v>23.576165049286999</v>
      </c>
      <c r="F46">
        <v>2.5433738191431599</v>
      </c>
      <c r="G46">
        <v>-383.79784535224735</v>
      </c>
      <c r="H46">
        <v>-337.22710762615714</v>
      </c>
      <c r="I46">
        <v>45.966281129240599</v>
      </c>
      <c r="J46">
        <v>27.2620978795726</v>
      </c>
      <c r="K46">
        <v>9.2696421075961304</v>
      </c>
      <c r="L46">
        <v>0</v>
      </c>
      <c r="M46">
        <v>1.2382945389796266E-6</v>
      </c>
      <c r="N46">
        <v>0</v>
      </c>
      <c r="O46" s="1">
        <v>1.3181138754689099E-11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738</v>
      </c>
      <c r="C47">
        <v>260</v>
      </c>
      <c r="D47">
        <v>0.30454482519902998</v>
      </c>
      <c r="E47">
        <v>28.448099397630202</v>
      </c>
      <c r="F47">
        <v>2.5433738191431599</v>
      </c>
      <c r="G47">
        <v>-462.99750004037526</v>
      </c>
      <c r="H47">
        <v>-406.97972560418162</v>
      </c>
      <c r="I47">
        <v>55.400063725652601</v>
      </c>
      <c r="J47">
        <v>32.887037008351101</v>
      </c>
      <c r="K47">
        <v>11.1851821322962</v>
      </c>
      <c r="L47">
        <v>0</v>
      </c>
      <c r="M47">
        <v>1.2382945389796266E-6</v>
      </c>
      <c r="N47">
        <v>0</v>
      </c>
      <c r="O47" s="1">
        <v>1.5904976262400701E-11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736</v>
      </c>
      <c r="C48">
        <v>260</v>
      </c>
      <c r="D48">
        <v>0.30302779566962401</v>
      </c>
      <c r="E48">
        <v>30.183752218881502</v>
      </c>
      <c r="F48">
        <v>2.5433738191431599</v>
      </c>
      <c r="G48">
        <v>-491.12804426189132</v>
      </c>
      <c r="H48">
        <v>-431.87982681673901</v>
      </c>
      <c r="I48">
        <v>58.711011688205197</v>
      </c>
      <c r="J48">
        <v>34.884263603464099</v>
      </c>
      <c r="K48">
        <v>11.8676035711691</v>
      </c>
      <c r="L48">
        <v>0</v>
      </c>
      <c r="M48">
        <v>1.2382945389796268E-6</v>
      </c>
      <c r="N48">
        <v>0</v>
      </c>
      <c r="O48" s="1">
        <v>1.68753580280125E-11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734</v>
      </c>
      <c r="C49">
        <v>260</v>
      </c>
      <c r="D49">
        <v>0.30150474110112602</v>
      </c>
      <c r="E49">
        <v>31.117026751614301</v>
      </c>
      <c r="F49">
        <v>2.5433738191431599</v>
      </c>
      <c r="G49">
        <v>-506.19262672389863</v>
      </c>
      <c r="H49">
        <v>-445.30536585590198</v>
      </c>
      <c r="I49">
        <v>60.455007563914698</v>
      </c>
      <c r="J49">
        <v>35.953297272002402</v>
      </c>
      <c r="K49">
        <v>12.234547087575701</v>
      </c>
      <c r="L49">
        <v>0</v>
      </c>
      <c r="M49">
        <v>1.2382945389796268E-6</v>
      </c>
      <c r="N49">
        <v>0</v>
      </c>
      <c r="O49" s="1">
        <v>1.73971401366146E-11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732</v>
      </c>
      <c r="C50">
        <v>260</v>
      </c>
      <c r="D50">
        <v>0.29997562552852802</v>
      </c>
      <c r="E50">
        <v>31.718316924254101</v>
      </c>
      <c r="F50">
        <v>2.5433738191431599</v>
      </c>
      <c r="G50">
        <v>-515.85087132402214</v>
      </c>
      <c r="H50">
        <v>-453.98351475645848</v>
      </c>
      <c r="I50">
        <v>61.550372150986099</v>
      </c>
      <c r="J50">
        <v>36.638233007298901</v>
      </c>
      <c r="K50">
        <v>12.470961478615701</v>
      </c>
      <c r="L50">
        <v>0</v>
      </c>
      <c r="M50">
        <v>1.2382945389796268E-6</v>
      </c>
      <c r="N50">
        <v>0</v>
      </c>
      <c r="O50" s="1">
        <v>1.77333139452398E-11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730</v>
      </c>
      <c r="C51">
        <v>260</v>
      </c>
      <c r="D51">
        <v>0.29844041269999899</v>
      </c>
      <c r="E51">
        <v>32.146296877868998</v>
      </c>
      <c r="F51">
        <v>2.5433738191431599</v>
      </c>
      <c r="G51">
        <v>-522.68663579005226</v>
      </c>
      <c r="H51">
        <v>-460.18343685888766</v>
      </c>
      <c r="I51">
        <v>62.3069320950651</v>
      </c>
      <c r="J51">
        <v>37.122613264306203</v>
      </c>
      <c r="K51">
        <v>12.6392340111052</v>
      </c>
      <c r="L51">
        <v>0</v>
      </c>
      <c r="M51">
        <v>1.2382945389796266E-6</v>
      </c>
      <c r="N51">
        <v>0</v>
      </c>
      <c r="O51" s="1">
        <v>1.79725921798904E-11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728</v>
      </c>
      <c r="C52">
        <v>260</v>
      </c>
      <c r="D52">
        <v>0.29689906607401501</v>
      </c>
      <c r="E52">
        <v>32.470832160007802</v>
      </c>
      <c r="F52">
        <v>2.5433738191431599</v>
      </c>
      <c r="G52">
        <v>-527.83765969158935</v>
      </c>
      <c r="H52">
        <v>-464.90423692362469</v>
      </c>
      <c r="I52">
        <v>62.861132465628998</v>
      </c>
      <c r="J52">
        <v>37.487256557225898</v>
      </c>
      <c r="K52">
        <v>12.7668343188917</v>
      </c>
      <c r="L52">
        <v>0</v>
      </c>
      <c r="M52">
        <v>1.2382945389796268E-6</v>
      </c>
      <c r="N52">
        <v>0</v>
      </c>
      <c r="O52" s="1">
        <v>1.8154035793629998E-11</v>
      </c>
      <c r="P52">
        <v>0</v>
      </c>
      <c r="Q52">
        <v>100</v>
      </c>
      <c r="AJ52">
        <v>1</v>
      </c>
    </row>
    <row r="53" spans="1:36" x14ac:dyDescent="0.2">
      <c r="A53">
        <v>56</v>
      </c>
      <c r="B53">
        <v>758</v>
      </c>
      <c r="C53">
        <v>240</v>
      </c>
      <c r="D53">
        <v>0.34072685836202499</v>
      </c>
      <c r="E53">
        <v>0.16832344086948201</v>
      </c>
      <c r="F53">
        <v>2.5427440136239099</v>
      </c>
      <c r="G53">
        <v>-2.7474096517292286</v>
      </c>
      <c r="H53">
        <v>-2.4054692916835161</v>
      </c>
      <c r="I53">
        <v>0.33161068714126102</v>
      </c>
      <c r="J53">
        <v>0.19509163645986499</v>
      </c>
      <c r="K53">
        <v>6.6197556642592706E-2</v>
      </c>
      <c r="L53">
        <v>0</v>
      </c>
      <c r="M53">
        <v>1.2382722283092387E-6</v>
      </c>
      <c r="N53">
        <v>0</v>
      </c>
      <c r="O53" s="1">
        <v>9.41075287320512E-14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756</v>
      </c>
      <c r="C54">
        <v>240</v>
      </c>
      <c r="D54">
        <v>0.33930962444735902</v>
      </c>
      <c r="E54">
        <v>0.57830891768416504</v>
      </c>
      <c r="F54">
        <v>2.5427440136239099</v>
      </c>
      <c r="G54">
        <v>-9.4369991846600687</v>
      </c>
      <c r="H54">
        <v>-8.2658122560932021</v>
      </c>
      <c r="I54">
        <v>1.13801382555202</v>
      </c>
      <c r="J54">
        <v>0.67010676833475302</v>
      </c>
      <c r="K54">
        <v>0.22743497362912299</v>
      </c>
      <c r="L54">
        <v>0</v>
      </c>
      <c r="M54">
        <v>1.2382722283092387E-6</v>
      </c>
      <c r="N54">
        <v>0</v>
      </c>
      <c r="O54" s="1">
        <v>3.23325276656883E-13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754</v>
      </c>
      <c r="C55">
        <v>240</v>
      </c>
      <c r="D55">
        <v>0.33788687144039198</v>
      </c>
      <c r="E55">
        <v>0.98437300362414604</v>
      </c>
      <c r="F55">
        <v>2.5427440136239099</v>
      </c>
      <c r="G55">
        <v>-16.059389317811711</v>
      </c>
      <c r="H55">
        <v>-14.071997320969306</v>
      </c>
      <c r="I55">
        <v>1.93486053336163</v>
      </c>
      <c r="J55">
        <v>1.1403373985438601</v>
      </c>
      <c r="K55">
        <v>0.38713020199828102</v>
      </c>
      <c r="L55">
        <v>0</v>
      </c>
      <c r="M55">
        <v>1.2382722283092387E-6</v>
      </c>
      <c r="N55">
        <v>0</v>
      </c>
      <c r="O55" s="1">
        <v>5.5035062403129701E-13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752</v>
      </c>
      <c r="C56">
        <v>240</v>
      </c>
      <c r="D56">
        <v>0.33645856703896998</v>
      </c>
      <c r="E56">
        <v>1.38657671622444</v>
      </c>
      <c r="F56">
        <v>2.5427440136239099</v>
      </c>
      <c r="G56">
        <v>-22.615627042036174</v>
      </c>
      <c r="H56">
        <v>-19.82486891772357</v>
      </c>
      <c r="I56">
        <v>2.7222924687241798</v>
      </c>
      <c r="J56">
        <v>1.6058560946263101</v>
      </c>
      <c r="K56">
        <v>0.54530723847749596</v>
      </c>
      <c r="L56">
        <v>0</v>
      </c>
      <c r="M56">
        <v>1.2382722283092387E-6</v>
      </c>
      <c r="N56">
        <v>0</v>
      </c>
      <c r="O56" s="1">
        <v>7.7521768499530799E-13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750</v>
      </c>
      <c r="C57">
        <v>240</v>
      </c>
      <c r="D57">
        <v>0.335024678688366</v>
      </c>
      <c r="E57">
        <v>1.78497978603702</v>
      </c>
      <c r="F57">
        <v>2.5427440136239099</v>
      </c>
      <c r="G57">
        <v>-29.106737310420016</v>
      </c>
      <c r="H57">
        <v>-25.525253648870962</v>
      </c>
      <c r="I57">
        <v>3.5004482837795501</v>
      </c>
      <c r="J57">
        <v>2.0667338781868998</v>
      </c>
      <c r="K57">
        <v>0.70198957365475201</v>
      </c>
      <c r="L57">
        <v>0</v>
      </c>
      <c r="M57">
        <v>1.2382722283092387E-6</v>
      </c>
      <c r="N57">
        <v>0</v>
      </c>
      <c r="O57" s="1">
        <v>9.9795985415282193E-13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748</v>
      </c>
      <c r="C58">
        <v>240</v>
      </c>
      <c r="D58">
        <v>0.33358517357881101</v>
      </c>
      <c r="E58">
        <v>2.1796406901625698</v>
      </c>
      <c r="F58">
        <v>2.5427440136239099</v>
      </c>
      <c r="G58">
        <v>-35.533723612673853</v>
      </c>
      <c r="H58">
        <v>-31.173960752416651</v>
      </c>
      <c r="I58">
        <v>4.26946370294002</v>
      </c>
      <c r="J58">
        <v>2.5230402650238601</v>
      </c>
      <c r="K58">
        <v>0.85720020516581896</v>
      </c>
      <c r="L58">
        <v>0</v>
      </c>
      <c r="M58">
        <v>1.2382722283092385E-6</v>
      </c>
      <c r="N58">
        <v>0</v>
      </c>
      <c r="O58" s="1">
        <v>1.21860982531881E-12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746</v>
      </c>
      <c r="C59">
        <v>240</v>
      </c>
      <c r="D59">
        <v>0.33214001864298798</v>
      </c>
      <c r="E59">
        <v>3.3152264378990601</v>
      </c>
      <c r="F59">
        <v>2.5427440136239099</v>
      </c>
      <c r="G59">
        <v>-54.033698491271039</v>
      </c>
      <c r="H59">
        <v>-47.423167525562832</v>
      </c>
      <c r="I59">
        <v>6.4863179764590102</v>
      </c>
      <c r="J59">
        <v>3.8365421140375702</v>
      </c>
      <c r="K59">
        <v>1.30379873873902</v>
      </c>
      <c r="L59">
        <v>0</v>
      </c>
      <c r="M59">
        <v>1.2382722283092387E-6</v>
      </c>
      <c r="N59">
        <v>0</v>
      </c>
      <c r="O59" s="1">
        <v>1.8535016017154501E-12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744</v>
      </c>
      <c r="C60">
        <v>240</v>
      </c>
      <c r="D60">
        <v>0.33068918055350899</v>
      </c>
      <c r="E60">
        <v>16.3164062098671</v>
      </c>
      <c r="F60">
        <v>2.5427440136239099</v>
      </c>
      <c r="G60">
        <v>-265.87150115763632</v>
      </c>
      <c r="H60">
        <v>-233.43830669917253</v>
      </c>
      <c r="I60">
        <v>31.886343664615602</v>
      </c>
      <c r="J60">
        <v>18.8772295056249</v>
      </c>
      <c r="K60">
        <v>6.4168497192184999</v>
      </c>
      <c r="L60">
        <v>0</v>
      </c>
      <c r="M60">
        <v>1.2382722283092389E-6</v>
      </c>
      <c r="N60">
        <v>0</v>
      </c>
      <c r="O60" s="1">
        <v>9.1222984645941805E-12</v>
      </c>
      <c r="P60">
        <v>0</v>
      </c>
      <c r="Q60">
        <v>100</v>
      </c>
      <c r="AJ60">
        <v>1</v>
      </c>
    </row>
    <row r="61" spans="1:36" x14ac:dyDescent="0.2">
      <c r="A61">
        <v>64</v>
      </c>
      <c r="B61">
        <v>742</v>
      </c>
      <c r="C61">
        <v>240</v>
      </c>
      <c r="D61">
        <v>0.32923262572033701</v>
      </c>
      <c r="E61">
        <v>26.753199320340201</v>
      </c>
      <c r="F61">
        <v>2.5427440136239099</v>
      </c>
      <c r="G61">
        <v>-435.83176606254068</v>
      </c>
      <c r="H61">
        <v>-382.81907108824277</v>
      </c>
      <c r="I61">
        <v>52.221538663545203</v>
      </c>
      <c r="J61">
        <v>30.943961997864498</v>
      </c>
      <c r="K61">
        <v>10.521389167371</v>
      </c>
      <c r="L61">
        <v>0</v>
      </c>
      <c r="M61">
        <v>1.2382722283092387E-6</v>
      </c>
      <c r="N61">
        <v>0</v>
      </c>
      <c r="O61" s="1">
        <v>1.4957378845798401E-11</v>
      </c>
      <c r="P61">
        <v>0</v>
      </c>
      <c r="Q61">
        <v>100</v>
      </c>
      <c r="AJ61">
        <v>1</v>
      </c>
    </row>
    <row r="62" spans="1:36" x14ac:dyDescent="0.2">
      <c r="A62">
        <v>65</v>
      </c>
      <c r="B62">
        <v>740</v>
      </c>
      <c r="C62">
        <v>240</v>
      </c>
      <c r="D62">
        <v>0.32777032028821201</v>
      </c>
      <c r="E62">
        <v>29.368827337139599</v>
      </c>
      <c r="F62">
        <v>2.5427440136239099</v>
      </c>
      <c r="G62">
        <v>-478.32792456221154</v>
      </c>
      <c r="H62">
        <v>-420.31475947020186</v>
      </c>
      <c r="I62">
        <v>57.260193546868301</v>
      </c>
      <c r="J62">
        <v>33.960393634824001</v>
      </c>
      <c r="K62">
        <v>11.550052691023</v>
      </c>
      <c r="L62">
        <v>0</v>
      </c>
      <c r="M62">
        <v>1.2382722283092387E-6</v>
      </c>
      <c r="N62">
        <v>0</v>
      </c>
      <c r="O62" s="1">
        <v>1.64197437277888E-11</v>
      </c>
      <c r="P62">
        <v>0</v>
      </c>
      <c r="Q62">
        <v>100</v>
      </c>
      <c r="AJ62">
        <v>1</v>
      </c>
    </row>
    <row r="63" spans="1:36" x14ac:dyDescent="0.2">
      <c r="A63">
        <v>66</v>
      </c>
      <c r="B63">
        <v>738</v>
      </c>
      <c r="C63">
        <v>240</v>
      </c>
      <c r="D63">
        <v>0.326302230134007</v>
      </c>
      <c r="E63">
        <v>30.597842382751502</v>
      </c>
      <c r="F63">
        <v>2.5427440136239099</v>
      </c>
      <c r="G63">
        <v>-498.22555905021147</v>
      </c>
      <c r="H63">
        <v>-437.97467870584785</v>
      </c>
      <c r="I63">
        <v>59.5864909700475</v>
      </c>
      <c r="J63">
        <v>35.372218043538901</v>
      </c>
      <c r="K63">
        <v>12.033394717993501</v>
      </c>
      <c r="L63">
        <v>0</v>
      </c>
      <c r="M63">
        <v>1.2382722283092387E-6</v>
      </c>
      <c r="N63">
        <v>0</v>
      </c>
      <c r="O63" s="1">
        <v>1.7106870655087802E-11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736</v>
      </c>
      <c r="C64">
        <v>240</v>
      </c>
      <c r="D64">
        <v>0.32482832086409602</v>
      </c>
      <c r="E64">
        <v>31.340310202712001</v>
      </c>
      <c r="F64">
        <v>2.5427440136239099</v>
      </c>
      <c r="G64">
        <v>-510.19319114110993</v>
      </c>
      <c r="H64">
        <v>-448.6747457131342</v>
      </c>
      <c r="I64">
        <v>60.960655430784001</v>
      </c>
      <c r="J64">
        <v>36.220932195495301</v>
      </c>
      <c r="K64">
        <v>12.325389435504301</v>
      </c>
      <c r="L64">
        <v>0</v>
      </c>
      <c r="M64">
        <v>1.2382722283092385E-6</v>
      </c>
      <c r="N64">
        <v>0</v>
      </c>
      <c r="O64" s="1">
        <v>1.7521975119080599E-11</v>
      </c>
      <c r="P64">
        <v>0</v>
      </c>
      <c r="Q64">
        <v>100</v>
      </c>
      <c r="AJ64">
        <v>1</v>
      </c>
    </row>
    <row r="65" spans="1:36" x14ac:dyDescent="0.2">
      <c r="A65">
        <v>68</v>
      </c>
      <c r="B65">
        <v>734</v>
      </c>
      <c r="C65">
        <v>240</v>
      </c>
      <c r="D65">
        <v>0.32334855781164801</v>
      </c>
      <c r="E65">
        <v>31.849233876580499</v>
      </c>
      <c r="F65">
        <v>2.5427440136239099</v>
      </c>
      <c r="G65">
        <v>-518.35420099796488</v>
      </c>
      <c r="H65">
        <v>-456.03421692723123</v>
      </c>
      <c r="I65">
        <v>61.877559520164397</v>
      </c>
      <c r="J65">
        <v>36.799305492476797</v>
      </c>
      <c r="K65">
        <v>12.5255368632995</v>
      </c>
      <c r="L65">
        <v>0</v>
      </c>
      <c r="M65">
        <v>1.2382722283092387E-6</v>
      </c>
      <c r="N65">
        <v>0</v>
      </c>
      <c r="O65" s="1">
        <v>1.7806507974478601E-11</v>
      </c>
      <c r="P65">
        <v>0</v>
      </c>
      <c r="Q65">
        <v>100</v>
      </c>
      <c r="AJ65">
        <v>1</v>
      </c>
    </row>
    <row r="66" spans="1:36" x14ac:dyDescent="0.2">
      <c r="A66">
        <v>69</v>
      </c>
      <c r="B66">
        <v>732</v>
      </c>
      <c r="C66">
        <v>240</v>
      </c>
      <c r="D66">
        <v>0.32186290603392398</v>
      </c>
      <c r="E66">
        <v>32.2256805217704</v>
      </c>
      <c r="F66">
        <v>2.5427440136239099</v>
      </c>
      <c r="G66">
        <v>-524.3558198775662</v>
      </c>
      <c r="H66">
        <v>-461.49883814571962</v>
      </c>
      <c r="I66">
        <v>62.534926858525097</v>
      </c>
      <c r="J66">
        <v>37.224295179185702</v>
      </c>
      <c r="K66">
        <v>12.673584265308101</v>
      </c>
      <c r="L66">
        <v>0</v>
      </c>
      <c r="M66">
        <v>1.2382722283092385E-6</v>
      </c>
      <c r="N66">
        <v>0</v>
      </c>
      <c r="O66" s="1">
        <v>1.8016974581478099E-11</v>
      </c>
      <c r="P66">
        <v>0</v>
      </c>
      <c r="Q66">
        <v>100</v>
      </c>
      <c r="AJ66">
        <v>1</v>
      </c>
    </row>
    <row r="67" spans="1:36" x14ac:dyDescent="0.2">
      <c r="A67">
        <v>71</v>
      </c>
      <c r="B67">
        <v>758</v>
      </c>
      <c r="C67">
        <v>220</v>
      </c>
      <c r="D67">
        <v>0.36206226058284502</v>
      </c>
      <c r="E67">
        <v>0.22877978203687399</v>
      </c>
      <c r="F67">
        <v>2.5421143754192301</v>
      </c>
      <c r="G67">
        <v>-3.7359901199805701</v>
      </c>
      <c r="H67">
        <v>-3.2712358312328305</v>
      </c>
      <c r="I67">
        <v>0.45071453110385301</v>
      </c>
      <c r="J67">
        <v>0.26516224856116999</v>
      </c>
      <c r="K67">
        <v>8.9995864957549507E-2</v>
      </c>
      <c r="L67">
        <v>0</v>
      </c>
      <c r="M67">
        <v>1.2382498582903022E-6</v>
      </c>
      <c r="N67">
        <v>0</v>
      </c>
      <c r="O67" s="1">
        <v>1.27907912291561E-13</v>
      </c>
      <c r="P67">
        <v>0</v>
      </c>
      <c r="Q67">
        <v>100</v>
      </c>
      <c r="AJ67">
        <v>1</v>
      </c>
    </row>
    <row r="68" spans="1:36" x14ac:dyDescent="0.2">
      <c r="A68">
        <v>72</v>
      </c>
      <c r="B68">
        <v>756</v>
      </c>
      <c r="C68">
        <v>220</v>
      </c>
      <c r="D68">
        <v>0.36068648885002402</v>
      </c>
      <c r="E68">
        <v>0.62774065473110396</v>
      </c>
      <c r="F68">
        <v>2.5421143754192301</v>
      </c>
      <c r="G68">
        <v>-10.248577573035311</v>
      </c>
      <c r="H68">
        <v>-8.9772818574250692</v>
      </c>
      <c r="I68">
        <v>1.23528709674026</v>
      </c>
      <c r="J68">
        <v>0.72738505084567195</v>
      </c>
      <c r="K68">
        <v>0.24693643244418501</v>
      </c>
      <c r="L68">
        <v>0</v>
      </c>
      <c r="M68">
        <v>1.2382498582903022E-6</v>
      </c>
      <c r="N68">
        <v>0</v>
      </c>
      <c r="O68" s="1">
        <v>3.5096194205767602E-13</v>
      </c>
      <c r="P68">
        <v>0</v>
      </c>
      <c r="Q68">
        <v>100</v>
      </c>
      <c r="AJ68">
        <v>1</v>
      </c>
    </row>
    <row r="69" spans="1:36" x14ac:dyDescent="0.2">
      <c r="A69">
        <v>73</v>
      </c>
      <c r="B69">
        <v>754</v>
      </c>
      <c r="C69">
        <v>220</v>
      </c>
      <c r="D69">
        <v>0.35930535948985198</v>
      </c>
      <c r="E69">
        <v>1.0229720060418499</v>
      </c>
      <c r="F69">
        <v>2.5421143754192301</v>
      </c>
      <c r="G69">
        <v>-16.697153511694538</v>
      </c>
      <c r="H69">
        <v>-14.631832367863517</v>
      </c>
      <c r="I69">
        <v>2.0107298289743598</v>
      </c>
      <c r="J69">
        <v>1.18505204008862</v>
      </c>
      <c r="K69">
        <v>0.40240990568064</v>
      </c>
      <c r="L69">
        <v>0</v>
      </c>
      <c r="M69">
        <v>1.2382498582903022E-6</v>
      </c>
      <c r="N69">
        <v>0</v>
      </c>
      <c r="O69" s="1">
        <v>5.7193084310410901E-13</v>
      </c>
      <c r="P69">
        <v>0</v>
      </c>
      <c r="Q69">
        <v>100</v>
      </c>
      <c r="AJ69">
        <v>1</v>
      </c>
    </row>
    <row r="70" spans="1:36" x14ac:dyDescent="0.2">
      <c r="A70">
        <v>74</v>
      </c>
      <c r="B70">
        <v>752</v>
      </c>
      <c r="C70">
        <v>220</v>
      </c>
      <c r="D70">
        <v>0.35791884114519901</v>
      </c>
      <c r="E70">
        <v>1.4145303324041101</v>
      </c>
      <c r="F70">
        <v>2.5421143754192301</v>
      </c>
      <c r="G70">
        <v>-23.0826892200187</v>
      </c>
      <c r="H70">
        <v>-20.235668949843905</v>
      </c>
      <c r="I70">
        <v>2.7771743356336001</v>
      </c>
      <c r="J70">
        <v>1.6382304193814601</v>
      </c>
      <c r="K70">
        <v>0.55643850885774504</v>
      </c>
      <c r="L70">
        <v>0</v>
      </c>
      <c r="M70">
        <v>1.2382498582903022E-6</v>
      </c>
      <c r="N70">
        <v>0</v>
      </c>
      <c r="O70" s="1">
        <v>7.9084620188044804E-13</v>
      </c>
      <c r="P70">
        <v>0</v>
      </c>
      <c r="Q70">
        <v>100</v>
      </c>
      <c r="AJ70">
        <v>1</v>
      </c>
    </row>
    <row r="71" spans="1:36" x14ac:dyDescent="0.2">
      <c r="A71">
        <v>75</v>
      </c>
      <c r="B71">
        <v>750</v>
      </c>
      <c r="C71">
        <v>220</v>
      </c>
      <c r="D71">
        <v>0.356526902213751</v>
      </c>
      <c r="E71">
        <v>2.8100892077149999</v>
      </c>
      <c r="F71">
        <v>2.5421143754192301</v>
      </c>
      <c r="G71">
        <v>-45.844769212610224</v>
      </c>
      <c r="H71">
        <v>-40.206448451975085</v>
      </c>
      <c r="I71">
        <v>5.5107469683185597</v>
      </c>
      <c r="J71">
        <v>3.2536539694974098</v>
      </c>
      <c r="K71">
        <v>1.1054141524421299</v>
      </c>
      <c r="L71">
        <v>0</v>
      </c>
      <c r="M71">
        <v>1.2382498582903022E-6</v>
      </c>
      <c r="N71">
        <v>0</v>
      </c>
      <c r="O71" s="1">
        <v>1.5710856995831099E-12</v>
      </c>
      <c r="P71">
        <v>0</v>
      </c>
      <c r="Q71">
        <v>100</v>
      </c>
      <c r="AJ71">
        <v>1</v>
      </c>
    </row>
    <row r="72" spans="1:36" x14ac:dyDescent="0.2">
      <c r="A72">
        <v>76</v>
      </c>
      <c r="B72">
        <v>748</v>
      </c>
      <c r="C72">
        <v>220</v>
      </c>
      <c r="D72">
        <v>0.355129510845618</v>
      </c>
      <c r="E72">
        <v>4.22150408798207</v>
      </c>
      <c r="F72">
        <v>2.5421143754192301</v>
      </c>
      <c r="G72">
        <v>-68.854533050047635</v>
      </c>
      <c r="H72">
        <v>-60.41059234905282</v>
      </c>
      <c r="I72">
        <v>8.2690502874159595</v>
      </c>
      <c r="J72">
        <v>4.8865966032902204</v>
      </c>
      <c r="K72">
        <v>1.66062712551471</v>
      </c>
      <c r="L72">
        <v>0</v>
      </c>
      <c r="M72">
        <v>1.2382498582903022E-6</v>
      </c>
      <c r="N72">
        <v>0</v>
      </c>
      <c r="O72" s="1">
        <v>2.3601900911726899E-12</v>
      </c>
      <c r="P72">
        <v>0</v>
      </c>
      <c r="Q72">
        <v>100</v>
      </c>
      <c r="AJ72">
        <v>1</v>
      </c>
    </row>
    <row r="73" spans="1:36" x14ac:dyDescent="0.2">
      <c r="A73">
        <v>77</v>
      </c>
      <c r="B73">
        <v>746</v>
      </c>
      <c r="C73">
        <v>220</v>
      </c>
      <c r="D73">
        <v>0.35372663494088302</v>
      </c>
      <c r="E73">
        <v>24.756823465457501</v>
      </c>
      <c r="F73">
        <v>2.5421143754192301</v>
      </c>
      <c r="G73">
        <v>-403.69742400772412</v>
      </c>
      <c r="H73">
        <v>-354.33254616405833</v>
      </c>
      <c r="I73">
        <v>48.437303481985701</v>
      </c>
      <c r="J73">
        <v>28.649806465471102</v>
      </c>
      <c r="K73">
        <v>9.7386741150758702</v>
      </c>
      <c r="L73">
        <v>0</v>
      </c>
      <c r="M73">
        <v>1.2382498582903022E-6</v>
      </c>
      <c r="N73">
        <v>0</v>
      </c>
      <c r="O73" s="1">
        <v>1.3841230095791501E-11</v>
      </c>
      <c r="P73">
        <v>0</v>
      </c>
      <c r="Q73">
        <v>100</v>
      </c>
      <c r="AJ73">
        <v>1</v>
      </c>
    </row>
    <row r="74" spans="1:36" x14ac:dyDescent="0.2">
      <c r="A74">
        <v>78</v>
      </c>
      <c r="B74">
        <v>744</v>
      </c>
      <c r="C74">
        <v>220</v>
      </c>
      <c r="D74">
        <v>0.352318242147177</v>
      </c>
      <c r="E74">
        <v>28.448649046535898</v>
      </c>
      <c r="F74">
        <v>2.5421143754192301</v>
      </c>
      <c r="G74">
        <v>-463.78696367435919</v>
      </c>
      <c r="H74">
        <v>-407.2377116675716</v>
      </c>
      <c r="I74">
        <v>55.595784305940697</v>
      </c>
      <c r="J74">
        <v>32.913600597395899</v>
      </c>
      <c r="K74">
        <v>11.1909398418961</v>
      </c>
      <c r="L74">
        <v>0</v>
      </c>
      <c r="M74">
        <v>1.2382498582903022E-6</v>
      </c>
      <c r="N74">
        <v>0</v>
      </c>
      <c r="O74" s="1">
        <v>1.5905283564223399E-11</v>
      </c>
      <c r="P74">
        <v>0</v>
      </c>
      <c r="Q74">
        <v>100</v>
      </c>
      <c r="AJ74">
        <v>1</v>
      </c>
    </row>
    <row r="75" spans="1:36" x14ac:dyDescent="0.2">
      <c r="A75">
        <v>79</v>
      </c>
      <c r="B75">
        <v>742</v>
      </c>
      <c r="C75">
        <v>220</v>
      </c>
      <c r="D75">
        <v>0.35090429985716198</v>
      </c>
      <c r="E75">
        <v>30.0598788823498</v>
      </c>
      <c r="F75">
        <v>2.5421143754192301</v>
      </c>
      <c r="G75">
        <v>-489.93677955955496</v>
      </c>
      <c r="H75">
        <v>-430.37174694146393</v>
      </c>
      <c r="I75">
        <v>58.676089856761003</v>
      </c>
      <c r="J75">
        <v>34.768617340231302</v>
      </c>
      <c r="K75">
        <v>11.8247546896439</v>
      </c>
      <c r="L75">
        <v>0</v>
      </c>
      <c r="M75">
        <v>1.2382498582903022E-6</v>
      </c>
      <c r="N75">
        <v>0</v>
      </c>
      <c r="O75" s="1">
        <v>1.6806101996193198E-11</v>
      </c>
      <c r="P75">
        <v>0</v>
      </c>
      <c r="Q75">
        <v>100</v>
      </c>
      <c r="AJ75">
        <v>1</v>
      </c>
    </row>
    <row r="76" spans="1:36" x14ac:dyDescent="0.2">
      <c r="A76">
        <v>80</v>
      </c>
      <c r="B76">
        <v>740</v>
      </c>
      <c r="C76">
        <v>220</v>
      </c>
      <c r="D76">
        <v>0.34948477520604299</v>
      </c>
      <c r="E76">
        <v>30.959759418556601</v>
      </c>
      <c r="F76">
        <v>2.5421143754192301</v>
      </c>
      <c r="G76">
        <v>-504.4828627388361</v>
      </c>
      <c r="H76">
        <v>-443.32707964475514</v>
      </c>
      <c r="I76">
        <v>60.362022498229102</v>
      </c>
      <c r="J76">
        <v>35.800054412252003</v>
      </c>
      <c r="K76">
        <v>12.1787436938005</v>
      </c>
      <c r="L76">
        <v>0</v>
      </c>
      <c r="M76">
        <v>1.2382498582903024E-6</v>
      </c>
      <c r="N76">
        <v>0</v>
      </c>
      <c r="O76" s="1">
        <v>1.7309213939360699E-11</v>
      </c>
      <c r="P76">
        <v>0</v>
      </c>
      <c r="Q76">
        <v>100</v>
      </c>
      <c r="AJ76">
        <v>1</v>
      </c>
    </row>
    <row r="77" spans="1:36" x14ac:dyDescent="0.2">
      <c r="A77">
        <v>81</v>
      </c>
      <c r="B77">
        <v>738</v>
      </c>
      <c r="C77">
        <v>220</v>
      </c>
      <c r="D77">
        <v>0.34805963506898102</v>
      </c>
      <c r="E77">
        <v>31.5545435707838</v>
      </c>
      <c r="F77">
        <v>2.5421143754192301</v>
      </c>
      <c r="G77">
        <v>-514.05177595102919</v>
      </c>
      <c r="H77">
        <v>-451.91703438258338</v>
      </c>
      <c r="I77">
        <v>61.449578765213602</v>
      </c>
      <c r="J77">
        <v>36.478199393539803</v>
      </c>
      <c r="K77">
        <v>12.412715917071999</v>
      </c>
      <c r="L77">
        <v>0</v>
      </c>
      <c r="M77">
        <v>1.2382498582903022E-6</v>
      </c>
      <c r="N77">
        <v>0</v>
      </c>
      <c r="O77" s="1">
        <v>1.7641750313415101E-11</v>
      </c>
      <c r="P77">
        <v>0</v>
      </c>
      <c r="Q77">
        <v>100</v>
      </c>
      <c r="AJ77">
        <v>1</v>
      </c>
    </row>
    <row r="78" spans="1:36" x14ac:dyDescent="0.2">
      <c r="A78">
        <v>82</v>
      </c>
      <c r="B78">
        <v>736</v>
      </c>
      <c r="C78">
        <v>220</v>
      </c>
      <c r="D78">
        <v>0.34662884605856398</v>
      </c>
      <c r="E78">
        <v>31.984430694355101</v>
      </c>
      <c r="F78">
        <v>2.5421143754192301</v>
      </c>
      <c r="G78">
        <v>-520.93052190131345</v>
      </c>
      <c r="H78">
        <v>-458.14772104552316</v>
      </c>
      <c r="I78">
        <v>62.2135469016402</v>
      </c>
      <c r="J78">
        <v>36.965361478505898</v>
      </c>
      <c r="K78">
        <v>12.581822046885801</v>
      </c>
      <c r="L78">
        <v>0</v>
      </c>
      <c r="M78">
        <v>1.2382498582903022E-6</v>
      </c>
      <c r="N78">
        <v>0</v>
      </c>
      <c r="O78" s="1">
        <v>1.7882094822914501E-11</v>
      </c>
      <c r="P78">
        <v>0</v>
      </c>
      <c r="Q78">
        <v>100</v>
      </c>
      <c r="AJ78">
        <v>1</v>
      </c>
    </row>
    <row r="79" spans="1:36" x14ac:dyDescent="0.2">
      <c r="A79">
        <v>83</v>
      </c>
      <c r="B79">
        <v>734</v>
      </c>
      <c r="C79">
        <v>220</v>
      </c>
      <c r="D79">
        <v>0.345192374522167</v>
      </c>
      <c r="E79">
        <v>32.3137188794759</v>
      </c>
      <c r="F79">
        <v>2.5421143754192301</v>
      </c>
      <c r="G79">
        <v>-526.16800554679332</v>
      </c>
      <c r="H79">
        <v>-462.93915509347403</v>
      </c>
      <c r="I79">
        <v>62.7799736417806</v>
      </c>
      <c r="J79">
        <v>37.335981683321997</v>
      </c>
      <c r="K79">
        <v>12.7113552371721</v>
      </c>
      <c r="L79">
        <v>0</v>
      </c>
      <c r="M79">
        <v>1.238249858290302E-6</v>
      </c>
      <c r="N79">
        <v>0</v>
      </c>
      <c r="O79" s="1">
        <v>1.8066195725214801E-11</v>
      </c>
      <c r="P79">
        <v>0</v>
      </c>
      <c r="Q79">
        <v>100</v>
      </c>
      <c r="AJ79">
        <v>1</v>
      </c>
    </row>
    <row r="80" spans="1:36" x14ac:dyDescent="0.2">
      <c r="A80">
        <v>85</v>
      </c>
      <c r="B80">
        <v>758</v>
      </c>
      <c r="C80">
        <v>200</v>
      </c>
      <c r="D80">
        <v>0.383397662803666</v>
      </c>
      <c r="E80">
        <v>0.34288118081862901</v>
      </c>
      <c r="F80">
        <v>2.5414849045122199</v>
      </c>
      <c r="G80">
        <v>-5.601972021519841</v>
      </c>
      <c r="H80">
        <v>-4.9054266454487072</v>
      </c>
      <c r="I80">
        <v>0.675503443796862</v>
      </c>
      <c r="J80">
        <v>0.39740900216664499</v>
      </c>
      <c r="K80">
        <v>0.13491371922369799</v>
      </c>
      <c r="L80">
        <v>0</v>
      </c>
      <c r="M80">
        <v>1.2382274289707083E-6</v>
      </c>
      <c r="N80">
        <v>0</v>
      </c>
      <c r="O80" s="1">
        <v>1.9170057603913301E-13</v>
      </c>
      <c r="P80">
        <v>0</v>
      </c>
      <c r="Q80">
        <v>100</v>
      </c>
      <c r="AJ80">
        <v>1</v>
      </c>
    </row>
    <row r="81" spans="1:36" x14ac:dyDescent="0.2">
      <c r="A81">
        <v>86</v>
      </c>
      <c r="B81">
        <v>756</v>
      </c>
      <c r="C81">
        <v>200</v>
      </c>
      <c r="D81">
        <v>0.38206335325268598</v>
      </c>
      <c r="E81">
        <v>1.1696014152715299</v>
      </c>
      <c r="F81">
        <v>2.5414849045122199</v>
      </c>
      <c r="G81">
        <v>-19.104271489962873</v>
      </c>
      <c r="H81">
        <v>-16.735603383157994</v>
      </c>
      <c r="I81">
        <v>2.3015771333672199</v>
      </c>
      <c r="J81">
        <v>1.35525806478295</v>
      </c>
      <c r="K81">
        <v>0.46020395918739998</v>
      </c>
      <c r="L81">
        <v>0</v>
      </c>
      <c r="M81">
        <v>1.2382274289707085E-6</v>
      </c>
      <c r="N81">
        <v>0</v>
      </c>
      <c r="O81" s="1">
        <v>6.5390951031033499E-13</v>
      </c>
      <c r="P81">
        <v>0</v>
      </c>
      <c r="Q81">
        <v>100</v>
      </c>
      <c r="AJ81">
        <v>1</v>
      </c>
    </row>
    <row r="82" spans="1:36" x14ac:dyDescent="0.2">
      <c r="A82">
        <v>87</v>
      </c>
      <c r="B82">
        <v>754</v>
      </c>
      <c r="C82">
        <v>200</v>
      </c>
      <c r="D82">
        <v>0.38072384753930699</v>
      </c>
      <c r="E82">
        <v>2.5681065486836601</v>
      </c>
      <c r="F82">
        <v>2.5414849045122199</v>
      </c>
      <c r="G82">
        <v>-41.937355288462733</v>
      </c>
      <c r="H82">
        <v>-36.752497126869713</v>
      </c>
      <c r="I82">
        <v>5.0478101169186802</v>
      </c>
      <c r="J82">
        <v>2.9749982274275699</v>
      </c>
      <c r="K82">
        <v>1.01047483859698</v>
      </c>
      <c r="L82">
        <v>0</v>
      </c>
      <c r="M82">
        <v>1.2382274289707083E-6</v>
      </c>
      <c r="N82">
        <v>0</v>
      </c>
      <c r="O82" s="1">
        <v>1.4357962240364001E-12</v>
      </c>
      <c r="P82">
        <v>0</v>
      </c>
      <c r="Q82">
        <v>100</v>
      </c>
      <c r="AJ82">
        <v>1</v>
      </c>
    </row>
    <row r="83" spans="1:36" x14ac:dyDescent="0.2">
      <c r="A83">
        <v>88</v>
      </c>
      <c r="B83">
        <v>752</v>
      </c>
      <c r="C83">
        <v>200</v>
      </c>
      <c r="D83">
        <v>0.37937911525142798</v>
      </c>
      <c r="E83">
        <v>3.9855908403523301</v>
      </c>
      <c r="F83">
        <v>2.5414849045122199</v>
      </c>
      <c r="G83">
        <v>-65.069311583229009</v>
      </c>
      <c r="H83">
        <v>-57.047526789246696</v>
      </c>
      <c r="I83">
        <v>7.8249863863652198</v>
      </c>
      <c r="J83">
        <v>4.6158898146610898</v>
      </c>
      <c r="K83">
        <v>1.5682134618530299</v>
      </c>
      <c r="L83">
        <v>0</v>
      </c>
      <c r="M83">
        <v>1.2382274289707083E-6</v>
      </c>
      <c r="N83">
        <v>0</v>
      </c>
      <c r="O83" s="1">
        <v>2.2282939475642498E-12</v>
      </c>
      <c r="P83">
        <v>0</v>
      </c>
      <c r="Q83">
        <v>100</v>
      </c>
      <c r="AJ83">
        <v>1</v>
      </c>
    </row>
    <row r="84" spans="1:36" x14ac:dyDescent="0.2">
      <c r="A84">
        <v>89</v>
      </c>
      <c r="B84">
        <v>750</v>
      </c>
      <c r="C84">
        <v>200</v>
      </c>
      <c r="D84">
        <v>0.37802912573913899</v>
      </c>
      <c r="E84">
        <v>23.037686079798899</v>
      </c>
      <c r="F84">
        <v>2.5414849045122199</v>
      </c>
      <c r="G84">
        <v>-376.02606542752108</v>
      </c>
      <c r="H84">
        <v>-329.80195861122979</v>
      </c>
      <c r="I84">
        <v>45.178230773876003</v>
      </c>
      <c r="J84">
        <v>26.674120720360801</v>
      </c>
      <c r="K84">
        <v>9.0646558784973408</v>
      </c>
      <c r="L84">
        <v>0</v>
      </c>
      <c r="M84">
        <v>1.2382274289707085E-6</v>
      </c>
      <c r="N84">
        <v>0</v>
      </c>
      <c r="O84" s="1">
        <v>1.2880081903480899E-11</v>
      </c>
      <c r="P84">
        <v>0</v>
      </c>
      <c r="Q84">
        <v>100</v>
      </c>
      <c r="AJ84">
        <v>1</v>
      </c>
    </row>
    <row r="85" spans="1:36" x14ac:dyDescent="0.2">
      <c r="A85">
        <v>90</v>
      </c>
      <c r="B85">
        <v>748</v>
      </c>
      <c r="C85">
        <v>200</v>
      </c>
      <c r="D85">
        <v>0.37667384811242399</v>
      </c>
      <c r="E85">
        <v>27.7478315638932</v>
      </c>
      <c r="F85">
        <v>2.5414849045122199</v>
      </c>
      <c r="G85">
        <v>-452.79730536876264</v>
      </c>
      <c r="H85">
        <v>-397.29551277931017</v>
      </c>
      <c r="I85">
        <v>54.352242657251601</v>
      </c>
      <c r="J85">
        <v>32.119466579411601</v>
      </c>
      <c r="K85">
        <v>10.917960407566801</v>
      </c>
      <c r="L85">
        <v>0</v>
      </c>
      <c r="M85">
        <v>1.2382274289707085E-6</v>
      </c>
      <c r="N85">
        <v>0</v>
      </c>
      <c r="O85" s="1">
        <v>1.5513465282449699E-11</v>
      </c>
      <c r="P85">
        <v>0</v>
      </c>
      <c r="Q85">
        <v>100</v>
      </c>
      <c r="AJ85">
        <v>1</v>
      </c>
    </row>
    <row r="86" spans="1:36" x14ac:dyDescent="0.2">
      <c r="A86">
        <v>91</v>
      </c>
      <c r="B86">
        <v>746</v>
      </c>
      <c r="C86">
        <v>200</v>
      </c>
      <c r="D86">
        <v>0.37531325123877901</v>
      </c>
      <c r="E86">
        <v>29.581072595517</v>
      </c>
      <c r="F86">
        <v>2.5414849045122199</v>
      </c>
      <c r="G86">
        <v>-482.59685435294767</v>
      </c>
      <c r="H86">
        <v>-423.61246820180128</v>
      </c>
      <c r="I86">
        <v>57.876059609622097</v>
      </c>
      <c r="J86">
        <v>34.232663414395397</v>
      </c>
      <c r="K86">
        <v>11.6392871517741</v>
      </c>
      <c r="L86">
        <v>0</v>
      </c>
      <c r="M86">
        <v>1.2382274289707085E-6</v>
      </c>
      <c r="N86">
        <v>0</v>
      </c>
      <c r="O86" s="1">
        <v>1.6538407394880101E-11</v>
      </c>
      <c r="P86">
        <v>0</v>
      </c>
      <c r="Q86">
        <v>100</v>
      </c>
      <c r="AJ86">
        <v>1</v>
      </c>
    </row>
    <row r="87" spans="1:36" x14ac:dyDescent="0.2">
      <c r="A87">
        <v>92</v>
      </c>
      <c r="B87">
        <v>744</v>
      </c>
      <c r="C87">
        <v>200</v>
      </c>
      <c r="D87">
        <v>0.373947303740848</v>
      </c>
      <c r="E87">
        <v>30.636704096192801</v>
      </c>
      <c r="F87">
        <v>2.5414849045122199</v>
      </c>
      <c r="G87">
        <v>-499.69901438555513</v>
      </c>
      <c r="H87">
        <v>-438.80042135363232</v>
      </c>
      <c r="I87">
        <v>59.871791802509698</v>
      </c>
      <c r="J87">
        <v>35.445065971084503</v>
      </c>
      <c r="K87">
        <v>12.0546472819097</v>
      </c>
      <c r="L87">
        <v>0</v>
      </c>
      <c r="M87">
        <v>1.2382274289707085E-6</v>
      </c>
      <c r="N87">
        <v>0</v>
      </c>
      <c r="O87" s="1">
        <v>1.7128597752605299E-11</v>
      </c>
      <c r="P87">
        <v>0</v>
      </c>
      <c r="Q87">
        <v>100</v>
      </c>
      <c r="AJ87">
        <v>1</v>
      </c>
    </row>
    <row r="88" spans="1:36" x14ac:dyDescent="0.2">
      <c r="A88">
        <v>93</v>
      </c>
      <c r="B88">
        <v>742</v>
      </c>
      <c r="C88">
        <v>200</v>
      </c>
      <c r="D88">
        <v>0.37257597399398801</v>
      </c>
      <c r="E88">
        <v>31.302054006311799</v>
      </c>
      <c r="F88">
        <v>2.5414849045122199</v>
      </c>
      <c r="G88">
        <v>-510.42891065600827</v>
      </c>
      <c r="H88">
        <v>-448.40245089558687</v>
      </c>
      <c r="I88">
        <v>61.100782899494</v>
      </c>
      <c r="J88">
        <v>36.205373347253897</v>
      </c>
      <c r="K88">
        <v>12.3164430175199</v>
      </c>
      <c r="L88">
        <v>0</v>
      </c>
      <c r="M88">
        <v>1.2382274289707083E-6</v>
      </c>
      <c r="N88">
        <v>0</v>
      </c>
      <c r="O88" s="1">
        <v>1.7500586558561001E-11</v>
      </c>
      <c r="P88">
        <v>0</v>
      </c>
      <c r="Q88">
        <v>100</v>
      </c>
      <c r="AJ88">
        <v>1</v>
      </c>
    </row>
    <row r="89" spans="1:36" x14ac:dyDescent="0.2">
      <c r="A89">
        <v>94</v>
      </c>
      <c r="B89">
        <v>740</v>
      </c>
      <c r="C89">
        <v>200</v>
      </c>
      <c r="D89">
        <v>0.37119923012387401</v>
      </c>
      <c r="E89">
        <v>31.7755892339772</v>
      </c>
      <c r="F89">
        <v>2.5414849045122199</v>
      </c>
      <c r="G89">
        <v>-518.02666483071187</v>
      </c>
      <c r="H89">
        <v>-455.25934753318228</v>
      </c>
      <c r="I89">
        <v>61.952640080471298</v>
      </c>
      <c r="J89">
        <v>36.743432278608701</v>
      </c>
      <c r="K89">
        <v>12.502765284012501</v>
      </c>
      <c r="L89">
        <v>0</v>
      </c>
      <c r="M89">
        <v>1.2382274289707085E-6</v>
      </c>
      <c r="N89">
        <v>0</v>
      </c>
      <c r="O89" s="1">
        <v>1.77653341766763E-11</v>
      </c>
      <c r="P89">
        <v>0</v>
      </c>
      <c r="Q89">
        <v>100</v>
      </c>
      <c r="AJ89">
        <v>1</v>
      </c>
    </row>
    <row r="90" spans="1:36" x14ac:dyDescent="0.2">
      <c r="A90">
        <v>95</v>
      </c>
      <c r="B90">
        <v>738</v>
      </c>
      <c r="C90">
        <v>200</v>
      </c>
      <c r="D90">
        <v>0.36981704000395799</v>
      </c>
      <c r="E90">
        <v>32.134486975634303</v>
      </c>
      <c r="F90">
        <v>2.5414849045122199</v>
      </c>
      <c r="G90">
        <v>-523.75242174169728</v>
      </c>
      <c r="H90">
        <v>-460.47570093644595</v>
      </c>
      <c r="I90">
        <v>62.578965341691301</v>
      </c>
      <c r="J90">
        <v>37.148635050821603</v>
      </c>
      <c r="K90">
        <v>12.643981051621299</v>
      </c>
      <c r="L90">
        <v>0</v>
      </c>
      <c r="M90">
        <v>1.2382274289707083E-6</v>
      </c>
      <c r="N90">
        <v>0</v>
      </c>
      <c r="O90" s="1">
        <v>1.7965989411386301E-11</v>
      </c>
      <c r="P90">
        <v>0</v>
      </c>
      <c r="Q90">
        <v>100</v>
      </c>
      <c r="AJ90">
        <v>1</v>
      </c>
    </row>
    <row r="91" spans="1:36" x14ac:dyDescent="0.2">
      <c r="A91">
        <v>98</v>
      </c>
      <c r="B91">
        <v>760</v>
      </c>
      <c r="C91">
        <v>180</v>
      </c>
      <c r="D91">
        <v>0.40602090693510101</v>
      </c>
      <c r="E91">
        <v>1.3097723576167299</v>
      </c>
      <c r="F91">
        <v>2.5408556008859402</v>
      </c>
      <c r="G91">
        <v>-21.414453740885804</v>
      </c>
      <c r="H91">
        <v>-18.745518806539625</v>
      </c>
      <c r="I91">
        <v>2.5832985862132101</v>
      </c>
      <c r="J91">
        <v>1.5184458366673901</v>
      </c>
      <c r="K91">
        <v>0.51548476708398605</v>
      </c>
      <c r="L91">
        <v>0</v>
      </c>
      <c r="M91">
        <v>1.2382049403983212E-6</v>
      </c>
      <c r="N91">
        <v>0</v>
      </c>
      <c r="O91" s="1">
        <v>7.3227732952796603E-13</v>
      </c>
      <c r="P91">
        <v>0</v>
      </c>
      <c r="Q91">
        <v>100</v>
      </c>
      <c r="AJ91">
        <v>1</v>
      </c>
    </row>
    <row r="92" spans="1:36" x14ac:dyDescent="0.2">
      <c r="A92">
        <v>99</v>
      </c>
      <c r="B92">
        <v>758</v>
      </c>
      <c r="C92">
        <v>180</v>
      </c>
      <c r="D92">
        <v>0.40473306502448703</v>
      </c>
      <c r="E92">
        <v>2.7095516275048102</v>
      </c>
      <c r="F92">
        <v>2.5408556008859402</v>
      </c>
      <c r="G92">
        <v>-44.289816055199964</v>
      </c>
      <c r="H92">
        <v>-38.785502132637916</v>
      </c>
      <c r="I92">
        <v>5.3380341585240201</v>
      </c>
      <c r="J92">
        <v>3.1404470960897699</v>
      </c>
      <c r="K92">
        <v>1.06639339384735</v>
      </c>
      <c r="L92">
        <v>0</v>
      </c>
      <c r="M92">
        <v>1.2382049403983215E-6</v>
      </c>
      <c r="N92">
        <v>0</v>
      </c>
      <c r="O92" s="1">
        <v>1.5148763970082001E-12</v>
      </c>
      <c r="P92">
        <v>0</v>
      </c>
      <c r="Q92">
        <v>100</v>
      </c>
      <c r="AJ92">
        <v>1</v>
      </c>
    </row>
    <row r="93" spans="1:36" x14ac:dyDescent="0.2">
      <c r="A93">
        <v>100</v>
      </c>
      <c r="B93">
        <v>756</v>
      </c>
      <c r="C93">
        <v>180</v>
      </c>
      <c r="D93">
        <v>0.40344021765534699</v>
      </c>
      <c r="E93">
        <v>4.1400801969348997</v>
      </c>
      <c r="F93">
        <v>2.5408556008859402</v>
      </c>
      <c r="G93">
        <v>-67.656660964928705</v>
      </c>
      <c r="H93">
        <v>-59.27220127289123</v>
      </c>
      <c r="I93">
        <v>8.1469753602851505</v>
      </c>
      <c r="J93">
        <v>4.7972557167619199</v>
      </c>
      <c r="K93">
        <v>1.6294039675026499</v>
      </c>
      <c r="L93">
        <v>0</v>
      </c>
      <c r="M93">
        <v>1.238204940398321E-6</v>
      </c>
      <c r="N93">
        <v>0</v>
      </c>
      <c r="O93" s="1">
        <v>2.31466701294534E-12</v>
      </c>
      <c r="P93">
        <v>0</v>
      </c>
      <c r="Q93">
        <v>100</v>
      </c>
      <c r="AJ93">
        <v>1</v>
      </c>
    </row>
    <row r="94" spans="1:36" x14ac:dyDescent="0.2">
      <c r="A94">
        <v>101</v>
      </c>
      <c r="B94">
        <v>754</v>
      </c>
      <c r="C94">
        <v>180</v>
      </c>
      <c r="D94">
        <v>0.402142335588766</v>
      </c>
      <c r="E94">
        <v>23.0033937270181</v>
      </c>
      <c r="F94">
        <v>2.5408556008859402</v>
      </c>
      <c r="G94">
        <v>-375.82803589061626</v>
      </c>
      <c r="H94">
        <v>-329.38551824235066</v>
      </c>
      <c r="I94">
        <v>45.214932238003698</v>
      </c>
      <c r="J94">
        <v>26.648059286237601</v>
      </c>
      <c r="K94">
        <v>9.0534045771815208</v>
      </c>
      <c r="L94">
        <v>0</v>
      </c>
      <c r="M94">
        <v>1.238204940398321E-6</v>
      </c>
      <c r="N94">
        <v>0</v>
      </c>
      <c r="O94" s="1">
        <v>1.28609094783097E-11</v>
      </c>
      <c r="P94">
        <v>0</v>
      </c>
      <c r="Q94">
        <v>100</v>
      </c>
      <c r="AJ94">
        <v>1</v>
      </c>
    </row>
    <row r="95" spans="1:36" x14ac:dyDescent="0.2">
      <c r="A95">
        <v>102</v>
      </c>
      <c r="B95">
        <v>752</v>
      </c>
      <c r="C95">
        <v>180</v>
      </c>
      <c r="D95">
        <v>0.40083938935765601</v>
      </c>
      <c r="E95">
        <v>27.560660946339901</v>
      </c>
      <c r="F95">
        <v>2.5408556008859402</v>
      </c>
      <c r="G95">
        <v>-450.17610524010274</v>
      </c>
      <c r="H95">
        <v>-394.70485900653102</v>
      </c>
      <c r="I95">
        <v>54.110370417569698</v>
      </c>
      <c r="J95">
        <v>31.919225842131901</v>
      </c>
      <c r="K95">
        <v>10.847000095845701</v>
      </c>
      <c r="L95">
        <v>0</v>
      </c>
      <c r="M95">
        <v>1.2382049403983212E-6</v>
      </c>
      <c r="N95">
        <v>0</v>
      </c>
      <c r="O95" s="1">
        <v>1.5408820533161101E-11</v>
      </c>
      <c r="P95">
        <v>0</v>
      </c>
      <c r="Q95">
        <v>100</v>
      </c>
      <c r="AJ95">
        <v>1</v>
      </c>
    </row>
    <row r="96" spans="1:36" x14ac:dyDescent="0.2">
      <c r="A96">
        <v>103</v>
      </c>
      <c r="B96">
        <v>750</v>
      </c>
      <c r="C96">
        <v>180</v>
      </c>
      <c r="D96">
        <v>0.39953134926452799</v>
      </c>
      <c r="E96">
        <v>29.405869306659199</v>
      </c>
      <c r="F96">
        <v>2.5408556008859402</v>
      </c>
      <c r="G96">
        <v>-480.20035690305855</v>
      </c>
      <c r="H96">
        <v>-421.19876971462952</v>
      </c>
      <c r="I96">
        <v>57.666605276283001</v>
      </c>
      <c r="J96">
        <v>34.0475039487918</v>
      </c>
      <c r="K96">
        <v>11.5732154540407</v>
      </c>
      <c r="L96">
        <v>0</v>
      </c>
      <c r="M96">
        <v>1.2382049403983212E-6</v>
      </c>
      <c r="N96">
        <v>0</v>
      </c>
      <c r="O96" s="1">
        <v>1.6440453429259101E-11</v>
      </c>
      <c r="P96">
        <v>0</v>
      </c>
      <c r="Q96">
        <v>100</v>
      </c>
      <c r="AJ96">
        <v>1</v>
      </c>
    </row>
    <row r="97" spans="1:36" x14ac:dyDescent="0.2">
      <c r="A97">
        <v>104</v>
      </c>
      <c r="B97">
        <v>748</v>
      </c>
      <c r="C97">
        <v>180</v>
      </c>
      <c r="D97">
        <v>0.39821818537923098</v>
      </c>
      <c r="E97">
        <v>30.464512666215601</v>
      </c>
      <c r="F97">
        <v>2.5408556008859402</v>
      </c>
      <c r="G97">
        <v>-497.36867702532021</v>
      </c>
      <c r="H97">
        <v>-436.43292211972818</v>
      </c>
      <c r="I97">
        <v>59.673657058798398</v>
      </c>
      <c r="J97">
        <v>35.264157279729602</v>
      </c>
      <c r="K97">
        <v>11.989863829960701</v>
      </c>
      <c r="L97">
        <v>0</v>
      </c>
      <c r="M97">
        <v>1.2382049403983212E-6</v>
      </c>
      <c r="N97">
        <v>0</v>
      </c>
      <c r="O97" s="1">
        <v>1.7032327679582301E-11</v>
      </c>
      <c r="P97">
        <v>0</v>
      </c>
      <c r="Q97">
        <v>100</v>
      </c>
      <c r="AJ97">
        <v>1</v>
      </c>
    </row>
    <row r="98" spans="1:36" x14ac:dyDescent="0.2">
      <c r="A98">
        <v>105</v>
      </c>
      <c r="B98">
        <v>746</v>
      </c>
      <c r="C98">
        <v>180</v>
      </c>
      <c r="D98">
        <v>0.396899867536674</v>
      </c>
      <c r="E98">
        <v>31.152100403081299</v>
      </c>
      <c r="F98">
        <v>2.5408556008859402</v>
      </c>
      <c r="G98">
        <v>-508.47237791286966</v>
      </c>
      <c r="H98">
        <v>-446.35537679124371</v>
      </c>
      <c r="I98">
        <v>60.949812217657701</v>
      </c>
      <c r="J98">
        <v>36.050733600232903</v>
      </c>
      <c r="K98">
        <v>12.2604765072911</v>
      </c>
      <c r="L98">
        <v>0</v>
      </c>
      <c r="M98">
        <v>1.238204940398321E-6</v>
      </c>
      <c r="N98">
        <v>0</v>
      </c>
      <c r="O98" s="1">
        <v>1.7416749376100901E-11</v>
      </c>
      <c r="P98">
        <v>0</v>
      </c>
      <c r="Q98">
        <v>100</v>
      </c>
      <c r="AJ98">
        <v>1</v>
      </c>
    </row>
    <row r="99" spans="1:36" x14ac:dyDescent="0.2">
      <c r="A99">
        <v>106</v>
      </c>
      <c r="B99">
        <v>744</v>
      </c>
      <c r="C99">
        <v>180</v>
      </c>
      <c r="D99">
        <v>0.39557636533451601</v>
      </c>
      <c r="E99">
        <v>31.6417533201647</v>
      </c>
      <c r="F99">
        <v>2.5408556008859402</v>
      </c>
      <c r="G99">
        <v>-516.3408715907849</v>
      </c>
      <c r="H99">
        <v>-453.44447607085488</v>
      </c>
      <c r="I99">
        <v>61.835909669104801</v>
      </c>
      <c r="J99">
        <v>36.607855412664698</v>
      </c>
      <c r="K99">
        <v>12.453188331179399</v>
      </c>
      <c r="L99">
        <v>0</v>
      </c>
      <c r="M99">
        <v>1.238204940398321E-6</v>
      </c>
      <c r="N99">
        <v>0</v>
      </c>
      <c r="O99" s="1">
        <v>1.7690508192609899E-11</v>
      </c>
      <c r="P99">
        <v>0</v>
      </c>
      <c r="Q99">
        <v>100</v>
      </c>
      <c r="AJ99">
        <v>1</v>
      </c>
    </row>
    <row r="100" spans="1:36" x14ac:dyDescent="0.2">
      <c r="A100">
        <v>107</v>
      </c>
      <c r="B100">
        <v>742</v>
      </c>
      <c r="C100">
        <v>180</v>
      </c>
      <c r="D100">
        <v>0.39424764813081797</v>
      </c>
      <c r="E100">
        <v>32.0129228954602</v>
      </c>
      <c r="F100">
        <v>2.5408556008859402</v>
      </c>
      <c r="G100">
        <v>-522.27269304646506</v>
      </c>
      <c r="H100">
        <v>-458.83761388557878</v>
      </c>
      <c r="I100">
        <v>62.488380200843501</v>
      </c>
      <c r="J100">
        <v>37.027596500001998</v>
      </c>
      <c r="K100">
        <v>12.599268877892101</v>
      </c>
      <c r="L100">
        <v>0</v>
      </c>
      <c r="M100">
        <v>1.238204940398321E-6</v>
      </c>
      <c r="N100">
        <v>0</v>
      </c>
      <c r="O100" s="1">
        <v>1.7898024455889399E-11</v>
      </c>
      <c r="P100">
        <v>0</v>
      </c>
      <c r="Q100">
        <v>100</v>
      </c>
      <c r="AJ100">
        <v>1</v>
      </c>
    </row>
    <row r="101" spans="1:36" x14ac:dyDescent="0.2">
      <c r="A101">
        <v>108</v>
      </c>
      <c r="B101">
        <v>740</v>
      </c>
      <c r="C101">
        <v>180</v>
      </c>
      <c r="D101">
        <v>0.39291368504170499</v>
      </c>
      <c r="E101">
        <v>32.306763382611102</v>
      </c>
      <c r="F101">
        <v>2.5408556008859402</v>
      </c>
      <c r="G101">
        <v>-526.94048381749587</v>
      </c>
      <c r="H101">
        <v>-463.12392157655859</v>
      </c>
      <c r="I101">
        <v>62.988266535988998</v>
      </c>
      <c r="J101">
        <v>37.357650986396102</v>
      </c>
      <c r="K101">
        <v>12.714915153520099</v>
      </c>
      <c r="L101">
        <v>0</v>
      </c>
      <c r="M101">
        <v>1.238204940398321E-6</v>
      </c>
      <c r="N101">
        <v>0</v>
      </c>
      <c r="O101" s="1">
        <v>1.80623069939861E-11</v>
      </c>
      <c r="P101">
        <v>0</v>
      </c>
      <c r="Q101">
        <v>100</v>
      </c>
      <c r="AJ101">
        <v>1</v>
      </c>
    </row>
    <row r="102" spans="1:36" x14ac:dyDescent="0.2">
      <c r="A102">
        <v>112</v>
      </c>
      <c r="B102">
        <v>766</v>
      </c>
      <c r="C102">
        <v>160</v>
      </c>
      <c r="D102">
        <v>0.43102583842564002</v>
      </c>
      <c r="E102">
        <v>0.60667636527748803</v>
      </c>
      <c r="F102">
        <v>2.5402264645234101</v>
      </c>
      <c r="G102">
        <v>-9.9309759342153843</v>
      </c>
      <c r="H102">
        <v>-8.6833328441187234</v>
      </c>
      <c r="I102">
        <v>1.20063810816211</v>
      </c>
      <c r="J102">
        <v>0.70385934117680404</v>
      </c>
      <c r="K102">
        <v>0.238827669009153</v>
      </c>
      <c r="L102">
        <v>0</v>
      </c>
      <c r="M102">
        <v>1.2381823926209778E-6</v>
      </c>
      <c r="N102">
        <v>0</v>
      </c>
      <c r="O102" s="1">
        <v>3.39185161505088E-13</v>
      </c>
      <c r="P102">
        <v>0</v>
      </c>
      <c r="Q102">
        <v>100</v>
      </c>
      <c r="AJ102">
        <v>1</v>
      </c>
    </row>
    <row r="103" spans="1:36" x14ac:dyDescent="0.2">
      <c r="A103">
        <v>113</v>
      </c>
      <c r="B103">
        <v>764</v>
      </c>
      <c r="C103">
        <v>160</v>
      </c>
      <c r="D103">
        <v>0.42979366533288699</v>
      </c>
      <c r="E103">
        <v>1.99733745249146</v>
      </c>
      <c r="F103">
        <v>2.5402264645234101</v>
      </c>
      <c r="G103">
        <v>-32.687472030463823</v>
      </c>
      <c r="H103">
        <v>-28.59243945358859</v>
      </c>
      <c r="I103">
        <v>3.9483513251460498</v>
      </c>
      <c r="J103">
        <v>2.3167133564901099</v>
      </c>
      <c r="K103">
        <v>0.78628322332126999</v>
      </c>
      <c r="L103">
        <v>0</v>
      </c>
      <c r="M103">
        <v>1.238182392620978E-6</v>
      </c>
      <c r="N103">
        <v>0</v>
      </c>
      <c r="O103" s="1">
        <v>1.1166863671928401E-12</v>
      </c>
      <c r="P103">
        <v>0</v>
      </c>
      <c r="Q103">
        <v>100</v>
      </c>
      <c r="AJ103">
        <v>1</v>
      </c>
    </row>
    <row r="104" spans="1:36" x14ac:dyDescent="0.2">
      <c r="A104">
        <v>114</v>
      </c>
      <c r="B104">
        <v>762</v>
      </c>
      <c r="C104">
        <v>160</v>
      </c>
      <c r="D104">
        <v>0.428556730908567</v>
      </c>
      <c r="E104">
        <v>3.4065752515295902</v>
      </c>
      <c r="F104">
        <v>2.5402264645234101</v>
      </c>
      <c r="G104">
        <v>-55.736924990129438</v>
      </c>
      <c r="H104">
        <v>-48.773970893006741</v>
      </c>
      <c r="I104">
        <v>6.7265170237382899</v>
      </c>
      <c r="J104">
        <v>3.9503029735409099</v>
      </c>
      <c r="K104">
        <v>1.3410517916829601</v>
      </c>
      <c r="L104">
        <v>0</v>
      </c>
      <c r="M104">
        <v>1.238182392620978E-6</v>
      </c>
      <c r="N104">
        <v>0</v>
      </c>
      <c r="O104" s="1">
        <v>1.9045735799198399E-12</v>
      </c>
      <c r="P104">
        <v>0</v>
      </c>
      <c r="Q104">
        <v>100</v>
      </c>
      <c r="AJ104">
        <v>1</v>
      </c>
    </row>
    <row r="105" spans="1:36" x14ac:dyDescent="0.2">
      <c r="A105">
        <v>115</v>
      </c>
      <c r="B105">
        <v>760</v>
      </c>
      <c r="C105">
        <v>160</v>
      </c>
      <c r="D105">
        <v>0.427315007501331</v>
      </c>
      <c r="E105">
        <v>13.1822731726875</v>
      </c>
      <c r="F105">
        <v>2.5402264645234101</v>
      </c>
      <c r="G105">
        <v>-215.6306777000564</v>
      </c>
      <c r="H105">
        <v>-188.76904088196181</v>
      </c>
      <c r="I105">
        <v>25.9997452626381</v>
      </c>
      <c r="J105">
        <v>15.2824784402244</v>
      </c>
      <c r="K105">
        <v>5.1894086439890401</v>
      </c>
      <c r="L105">
        <v>0</v>
      </c>
      <c r="M105">
        <v>1.2381823926209776E-6</v>
      </c>
      <c r="N105">
        <v>0</v>
      </c>
      <c r="O105" s="1">
        <v>7.3700439163096694E-12</v>
      </c>
      <c r="P105">
        <v>0</v>
      </c>
      <c r="Q105">
        <v>100</v>
      </c>
      <c r="AJ105">
        <v>1</v>
      </c>
    </row>
    <row r="106" spans="1:36" x14ac:dyDescent="0.2">
      <c r="A106">
        <v>116</v>
      </c>
      <c r="B106">
        <v>758</v>
      </c>
      <c r="C106">
        <v>160</v>
      </c>
      <c r="D106">
        <v>0.426068467245311</v>
      </c>
      <c r="E106">
        <v>24.9440577449827</v>
      </c>
      <c r="F106">
        <v>2.5402264645234101</v>
      </c>
      <c r="G106">
        <v>-407.92719630122201</v>
      </c>
      <c r="H106">
        <v>-357.25463374985355</v>
      </c>
      <c r="I106">
        <v>49.141795617871701</v>
      </c>
      <c r="J106">
        <v>28.9108695751498</v>
      </c>
      <c r="K106">
        <v>9.8196196651555603</v>
      </c>
      <c r="L106">
        <v>0</v>
      </c>
      <c r="M106">
        <v>1.238182392620978E-6</v>
      </c>
      <c r="N106">
        <v>0</v>
      </c>
      <c r="O106" s="1">
        <v>1.39459104376917E-11</v>
      </c>
      <c r="P106">
        <v>0</v>
      </c>
      <c r="Q106">
        <v>100</v>
      </c>
      <c r="AJ106">
        <v>1</v>
      </c>
    </row>
    <row r="107" spans="1:36" x14ac:dyDescent="0.2">
      <c r="A107">
        <v>117</v>
      </c>
      <c r="B107">
        <v>756</v>
      </c>
      <c r="C107">
        <v>160</v>
      </c>
      <c r="D107">
        <v>0.424817082058009</v>
      </c>
      <c r="E107">
        <v>28.104128742645401</v>
      </c>
      <c r="F107">
        <v>2.5402264645234101</v>
      </c>
      <c r="G107">
        <v>-459.49532196324463</v>
      </c>
      <c r="H107">
        <v>-402.57904898935487</v>
      </c>
      <c r="I107">
        <v>55.304156803079898</v>
      </c>
      <c r="J107">
        <v>32.565236870310898</v>
      </c>
      <c r="K107">
        <v>11.0636311900317</v>
      </c>
      <c r="L107">
        <v>0</v>
      </c>
      <c r="M107">
        <v>1.238182392620978E-6</v>
      </c>
      <c r="N107">
        <v>0</v>
      </c>
      <c r="O107" s="1">
        <v>1.57126665749932E-11</v>
      </c>
      <c r="P107">
        <v>0</v>
      </c>
      <c r="Q107">
        <v>100</v>
      </c>
      <c r="AJ107">
        <v>1</v>
      </c>
    </row>
    <row r="108" spans="1:36" x14ac:dyDescent="0.2">
      <c r="A108">
        <v>118</v>
      </c>
      <c r="B108">
        <v>754</v>
      </c>
      <c r="C108">
        <v>160</v>
      </c>
      <c r="D108">
        <v>0.42356082363822201</v>
      </c>
      <c r="E108">
        <v>29.616252983992698</v>
      </c>
      <c r="F108">
        <v>2.5402264645234101</v>
      </c>
      <c r="G108">
        <v>-484.10167404064305</v>
      </c>
      <c r="H108">
        <v>-424.30817712418263</v>
      </c>
      <c r="I108">
        <v>58.213013597293802</v>
      </c>
      <c r="J108">
        <v>34.308662222596098</v>
      </c>
      <c r="K108">
        <v>11.6589026205382</v>
      </c>
      <c r="L108">
        <v>0</v>
      </c>
      <c r="M108">
        <v>1.2381823926209778E-6</v>
      </c>
      <c r="N108">
        <v>0</v>
      </c>
      <c r="O108" s="1">
        <v>1.6558076309691801E-11</v>
      </c>
      <c r="P108">
        <v>0</v>
      </c>
      <c r="Q108">
        <v>100</v>
      </c>
      <c r="AJ108">
        <v>1</v>
      </c>
    </row>
    <row r="109" spans="1:36" x14ac:dyDescent="0.2">
      <c r="A109">
        <v>119</v>
      </c>
      <c r="B109">
        <v>752</v>
      </c>
      <c r="C109">
        <v>160</v>
      </c>
      <c r="D109">
        <v>0.42229966346388498</v>
      </c>
      <c r="E109">
        <v>30.527402577475399</v>
      </c>
      <c r="F109">
        <v>2.5402264645234101</v>
      </c>
      <c r="G109">
        <v>-498.87521409758813</v>
      </c>
      <c r="H109">
        <v>-437.43281732257935</v>
      </c>
      <c r="I109">
        <v>59.9350307516059</v>
      </c>
      <c r="J109">
        <v>35.355141124564298</v>
      </c>
      <c r="K109">
        <v>12.0175909525463</v>
      </c>
      <c r="L109">
        <v>0</v>
      </c>
      <c r="M109">
        <v>1.2381823926209778E-6</v>
      </c>
      <c r="N109">
        <v>0</v>
      </c>
      <c r="O109" s="1">
        <v>1.70674886417173E-11</v>
      </c>
      <c r="P109">
        <v>0</v>
      </c>
      <c r="Q109">
        <v>100</v>
      </c>
      <c r="AJ109">
        <v>1</v>
      </c>
    </row>
    <row r="110" spans="1:36" x14ac:dyDescent="0.2">
      <c r="A110">
        <v>120</v>
      </c>
      <c r="B110">
        <v>750</v>
      </c>
      <c r="C110">
        <v>160</v>
      </c>
      <c r="D110">
        <v>0.42103357278991599</v>
      </c>
      <c r="E110">
        <v>31.1694295040597</v>
      </c>
      <c r="F110">
        <v>2.5402264645234101</v>
      </c>
      <c r="G110">
        <v>-509.24482184148906</v>
      </c>
      <c r="H110">
        <v>-446.70472845676784</v>
      </c>
      <c r="I110">
        <v>61.125048511675899</v>
      </c>
      <c r="J110">
        <v>36.089437215880402</v>
      </c>
      <c r="K110">
        <v>12.2703349246098</v>
      </c>
      <c r="L110">
        <v>0</v>
      </c>
      <c r="M110">
        <v>1.2381823926209778E-6</v>
      </c>
      <c r="N110">
        <v>0</v>
      </c>
      <c r="O110" s="1">
        <v>1.7426437859533801E-11</v>
      </c>
      <c r="P110">
        <v>0</v>
      </c>
      <c r="Q110">
        <v>100</v>
      </c>
      <c r="AJ110">
        <v>1</v>
      </c>
    </row>
    <row r="111" spans="1:36" x14ac:dyDescent="0.2">
      <c r="A111">
        <v>121</v>
      </c>
      <c r="B111">
        <v>748</v>
      </c>
      <c r="C111">
        <v>160</v>
      </c>
      <c r="D111">
        <v>0.41976252264603803</v>
      </c>
      <c r="E111">
        <v>31.6311323607164</v>
      </c>
      <c r="F111">
        <v>2.5402264645234101</v>
      </c>
      <c r="G111">
        <v>-516.66411428176093</v>
      </c>
      <c r="H111">
        <v>-453.3948622823201</v>
      </c>
      <c r="I111">
        <v>61.958822895207099</v>
      </c>
      <c r="J111">
        <v>36.614576399945101</v>
      </c>
      <c r="K111">
        <v>12.4520914975393</v>
      </c>
      <c r="L111">
        <v>0</v>
      </c>
      <c r="M111">
        <v>1.2381823926209782E-6</v>
      </c>
      <c r="N111">
        <v>0</v>
      </c>
      <c r="O111" s="1">
        <v>1.7684570147134598E-11</v>
      </c>
      <c r="P111">
        <v>0</v>
      </c>
      <c r="Q111">
        <v>100</v>
      </c>
      <c r="AJ111">
        <v>1</v>
      </c>
    </row>
    <row r="112" spans="1:36" x14ac:dyDescent="0.2">
      <c r="A112">
        <v>122</v>
      </c>
      <c r="B112">
        <v>746</v>
      </c>
      <c r="C112">
        <v>160</v>
      </c>
      <c r="D112">
        <v>0.41848648383456999</v>
      </c>
      <c r="E112">
        <v>31.986583527293501</v>
      </c>
      <c r="F112">
        <v>2.5402264645234101</v>
      </c>
      <c r="G112">
        <v>-522.34482950592894</v>
      </c>
      <c r="H112">
        <v>-458.56387672480139</v>
      </c>
      <c r="I112">
        <v>62.582497945471701</v>
      </c>
      <c r="J112">
        <v>37.016438269119</v>
      </c>
      <c r="K112">
        <v>12.5920204257437</v>
      </c>
      <c r="L112">
        <v>0</v>
      </c>
      <c r="M112">
        <v>1.238182392620978E-6</v>
      </c>
      <c r="N112">
        <v>0</v>
      </c>
      <c r="O112" s="1">
        <v>1.7883298444861299E-11</v>
      </c>
      <c r="P112">
        <v>0</v>
      </c>
      <c r="Q112">
        <v>100</v>
      </c>
      <c r="AJ112">
        <v>1</v>
      </c>
    </row>
    <row r="113" spans="1:36" x14ac:dyDescent="0.2">
      <c r="A113">
        <v>123</v>
      </c>
      <c r="B113">
        <v>744</v>
      </c>
      <c r="C113">
        <v>160</v>
      </c>
      <c r="D113">
        <v>0.41720542692818402</v>
      </c>
      <c r="E113">
        <v>32.271105327645799</v>
      </c>
      <c r="F113">
        <v>2.5402264645234101</v>
      </c>
      <c r="G113">
        <v>-526.86490036529426</v>
      </c>
      <c r="H113">
        <v>-462.71750044041676</v>
      </c>
      <c r="I113">
        <v>63.065821093130403</v>
      </c>
      <c r="J113">
        <v>37.335982803723503</v>
      </c>
      <c r="K113">
        <v>12.7040268961611</v>
      </c>
      <c r="L113">
        <v>0</v>
      </c>
      <c r="M113">
        <v>1.2381823926209778E-6</v>
      </c>
      <c r="N113">
        <v>0</v>
      </c>
      <c r="O113" s="1">
        <v>1.8042371021819301E-11</v>
      </c>
      <c r="P113">
        <v>0</v>
      </c>
      <c r="Q113">
        <v>100</v>
      </c>
      <c r="AJ113">
        <v>1</v>
      </c>
    </row>
    <row r="114" spans="1:36" x14ac:dyDescent="0.2">
      <c r="A114">
        <v>129</v>
      </c>
      <c r="B114">
        <v>772</v>
      </c>
      <c r="C114">
        <v>140</v>
      </c>
      <c r="D114">
        <v>0.45574367315696301</v>
      </c>
      <c r="E114">
        <v>0.69298282192277005</v>
      </c>
      <c r="F114">
        <v>2.5395974954075999</v>
      </c>
      <c r="G114">
        <v>-11.357466954936097</v>
      </c>
      <c r="H114">
        <v>-9.919264476367708</v>
      </c>
      <c r="I114">
        <v>1.37607279200917</v>
      </c>
      <c r="J114">
        <v>0.80458547207197795</v>
      </c>
      <c r="K114">
        <v>0.27287112354453902</v>
      </c>
      <c r="L114">
        <v>0</v>
      </c>
      <c r="M114">
        <v>1.2381597856864878E-6</v>
      </c>
      <c r="N114">
        <v>0</v>
      </c>
      <c r="O114" s="1">
        <v>3.8743802103880702E-13</v>
      </c>
      <c r="P114">
        <v>0</v>
      </c>
      <c r="Q114">
        <v>100</v>
      </c>
      <c r="AJ114">
        <v>1</v>
      </c>
    </row>
    <row r="115" spans="1:36" x14ac:dyDescent="0.2">
      <c r="A115">
        <v>130</v>
      </c>
      <c r="B115">
        <v>770</v>
      </c>
      <c r="C115">
        <v>140</v>
      </c>
      <c r="D115">
        <v>0.45456597804726301</v>
      </c>
      <c r="E115">
        <v>2.0734109040848501</v>
      </c>
      <c r="F115">
        <v>2.5395974954075999</v>
      </c>
      <c r="G115">
        <v>-33.973414560662775</v>
      </c>
      <c r="H115">
        <v>-29.683343567744419</v>
      </c>
      <c r="I115">
        <v>4.1126117940069502</v>
      </c>
      <c r="J115">
        <v>2.4067368501751001</v>
      </c>
      <c r="K115">
        <v>0.81643288270453596</v>
      </c>
      <c r="L115">
        <v>0</v>
      </c>
      <c r="M115">
        <v>1.238159785686488E-6</v>
      </c>
      <c r="N115">
        <v>0</v>
      </c>
      <c r="O115" s="1">
        <v>1.1592180816979099E-12</v>
      </c>
      <c r="P115">
        <v>0</v>
      </c>
      <c r="Q115">
        <v>100</v>
      </c>
      <c r="AJ115">
        <v>1</v>
      </c>
    </row>
    <row r="116" spans="1:36" x14ac:dyDescent="0.2">
      <c r="A116">
        <v>131</v>
      </c>
      <c r="B116">
        <v>768</v>
      </c>
      <c r="C116">
        <v>140</v>
      </c>
      <c r="D116">
        <v>0.45338375834414102</v>
      </c>
      <c r="E116">
        <v>3.4795063875198999</v>
      </c>
      <c r="F116">
        <v>2.5395974954075999</v>
      </c>
      <c r="G116">
        <v>-56.998884824761021</v>
      </c>
      <c r="H116">
        <v>-49.821349832279481</v>
      </c>
      <c r="I116">
        <v>6.8938529438424103</v>
      </c>
      <c r="J116">
        <v>4.0378845450130898</v>
      </c>
      <c r="K116">
        <v>1.37010151955652</v>
      </c>
      <c r="L116">
        <v>0</v>
      </c>
      <c r="M116">
        <v>1.2381597856864878E-6</v>
      </c>
      <c r="N116">
        <v>0</v>
      </c>
      <c r="O116" s="1">
        <v>1.9453484651064501E-12</v>
      </c>
      <c r="P116">
        <v>0</v>
      </c>
      <c r="Q116">
        <v>100</v>
      </c>
      <c r="AJ116">
        <v>1</v>
      </c>
    </row>
    <row r="117" spans="1:36" x14ac:dyDescent="0.2">
      <c r="A117">
        <v>132</v>
      </c>
      <c r="B117">
        <v>766</v>
      </c>
      <c r="C117">
        <v>140</v>
      </c>
      <c r="D117">
        <v>0.45219698792282498</v>
      </c>
      <c r="E117">
        <v>11.3911930227613</v>
      </c>
      <c r="F117">
        <v>2.5395974954075999</v>
      </c>
      <c r="G117">
        <v>-186.55759088020383</v>
      </c>
      <c r="H117">
        <v>-163.13135561503915</v>
      </c>
      <c r="I117">
        <v>22.543651316137801</v>
      </c>
      <c r="J117">
        <v>13.2159386373182</v>
      </c>
      <c r="K117">
        <v>4.48543245272535</v>
      </c>
      <c r="L117">
        <v>0</v>
      </c>
      <c r="M117">
        <v>1.2381597856864878E-6</v>
      </c>
      <c r="N117">
        <v>0</v>
      </c>
      <c r="O117" s="1">
        <v>6.3686734250702099E-12</v>
      </c>
      <c r="P117">
        <v>0</v>
      </c>
      <c r="Q117">
        <v>100</v>
      </c>
      <c r="AJ117">
        <v>1</v>
      </c>
    </row>
    <row r="118" spans="1:36" x14ac:dyDescent="0.2">
      <c r="A118">
        <v>133</v>
      </c>
      <c r="B118">
        <v>764</v>
      </c>
      <c r="C118">
        <v>140</v>
      </c>
      <c r="D118">
        <v>0.45100564045702202</v>
      </c>
      <c r="E118">
        <v>23.714941059256901</v>
      </c>
      <c r="F118">
        <v>2.5395974954075999</v>
      </c>
      <c r="G118">
        <v>-388.29415179520265</v>
      </c>
      <c r="H118">
        <v>-339.67269522801377</v>
      </c>
      <c r="I118">
        <v>46.879869418299002</v>
      </c>
      <c r="J118">
        <v>27.506979670272401</v>
      </c>
      <c r="K118">
        <v>9.3380707384304298</v>
      </c>
      <c r="L118">
        <v>0</v>
      </c>
      <c r="M118">
        <v>1.238159785686488E-6</v>
      </c>
      <c r="N118">
        <v>0</v>
      </c>
      <c r="O118" s="1">
        <v>1.32587266846774E-11</v>
      </c>
      <c r="P118">
        <v>0</v>
      </c>
      <c r="Q118">
        <v>100</v>
      </c>
      <c r="AJ118">
        <v>1</v>
      </c>
    </row>
    <row r="119" spans="1:36" x14ac:dyDescent="0.2">
      <c r="A119">
        <v>134</v>
      </c>
      <c r="B119">
        <v>762</v>
      </c>
      <c r="C119">
        <v>140</v>
      </c>
      <c r="D119">
        <v>0.44980968941699401</v>
      </c>
      <c r="E119">
        <v>27.445378425100799</v>
      </c>
      <c r="F119">
        <v>2.5395974954075999</v>
      </c>
      <c r="G119">
        <v>-449.26563784194076</v>
      </c>
      <c r="H119">
        <v>-393.16797492774799</v>
      </c>
      <c r="I119">
        <v>54.192786469779897</v>
      </c>
      <c r="J119">
        <v>31.825969484734099</v>
      </c>
      <c r="K119">
        <v>10.806979639384</v>
      </c>
      <c r="L119">
        <v>0</v>
      </c>
      <c r="M119">
        <v>1.238159785686488E-6</v>
      </c>
      <c r="N119">
        <v>0</v>
      </c>
      <c r="O119" s="1">
        <v>1.5344367518632799E-11</v>
      </c>
      <c r="P119">
        <v>0</v>
      </c>
      <c r="Q119">
        <v>100</v>
      </c>
      <c r="AJ119">
        <v>1</v>
      </c>
    </row>
    <row r="120" spans="1:36" x14ac:dyDescent="0.2">
      <c r="A120">
        <v>135</v>
      </c>
      <c r="B120">
        <v>760</v>
      </c>
      <c r="C120">
        <v>140</v>
      </c>
      <c r="D120">
        <v>0.44860910806756099</v>
      </c>
      <c r="E120">
        <v>29.172532503494999</v>
      </c>
      <c r="F120">
        <v>2.5395974954075999</v>
      </c>
      <c r="G120">
        <v>-477.42305217608731</v>
      </c>
      <c r="H120">
        <v>-417.97791984515243</v>
      </c>
      <c r="I120">
        <v>57.537755728534002</v>
      </c>
      <c r="J120">
        <v>33.820312566054703</v>
      </c>
      <c r="K120">
        <v>11.4870693313598</v>
      </c>
      <c r="L120">
        <v>0</v>
      </c>
      <c r="M120">
        <v>1.2381597856864878E-6</v>
      </c>
      <c r="N120">
        <v>0</v>
      </c>
      <c r="O120" s="1">
        <v>1.6309997743499601E-11</v>
      </c>
      <c r="P120">
        <v>0</v>
      </c>
      <c r="Q120">
        <v>100</v>
      </c>
      <c r="AJ120">
        <v>1</v>
      </c>
    </row>
    <row r="121" spans="1:36" x14ac:dyDescent="0.2">
      <c r="A121">
        <v>136</v>
      </c>
      <c r="B121">
        <v>758</v>
      </c>
      <c r="C121">
        <v>140</v>
      </c>
      <c r="D121">
        <v>0.44740386946613198</v>
      </c>
      <c r="E121">
        <v>30.1913903437347</v>
      </c>
      <c r="F121">
        <v>2.5395974954075999</v>
      </c>
      <c r="G121">
        <v>-493.97814240787176</v>
      </c>
      <c r="H121">
        <v>-432.64589521110594</v>
      </c>
      <c r="I121">
        <v>59.4794619568111</v>
      </c>
      <c r="J121">
        <v>34.9926767105773</v>
      </c>
      <c r="K121">
        <v>11.888258040232801</v>
      </c>
      <c r="L121">
        <v>0</v>
      </c>
      <c r="M121">
        <v>1.238159785686488E-6</v>
      </c>
      <c r="N121">
        <v>0</v>
      </c>
      <c r="O121" s="1">
        <v>1.68796284080045E-11</v>
      </c>
      <c r="P121">
        <v>0</v>
      </c>
      <c r="Q121">
        <v>100</v>
      </c>
      <c r="AJ121">
        <v>1</v>
      </c>
    </row>
    <row r="122" spans="1:36" x14ac:dyDescent="0.2">
      <c r="A122">
        <v>137</v>
      </c>
      <c r="B122">
        <v>756</v>
      </c>
      <c r="C122">
        <v>140</v>
      </c>
      <c r="D122">
        <v>0.44619394646067401</v>
      </c>
      <c r="E122">
        <v>30.8758764220728</v>
      </c>
      <c r="F122">
        <v>2.5395974954075999</v>
      </c>
      <c r="G122">
        <v>-505.05581367112921</v>
      </c>
      <c r="H122">
        <v>-442.52621786550719</v>
      </c>
      <c r="I122">
        <v>60.758485940457597</v>
      </c>
      <c r="J122">
        <v>35.776957843831902</v>
      </c>
      <c r="K122">
        <v>12.157783458956001</v>
      </c>
      <c r="L122">
        <v>0</v>
      </c>
      <c r="M122">
        <v>1.2381597856864878E-6</v>
      </c>
      <c r="N122">
        <v>0</v>
      </c>
      <c r="O122" s="1">
        <v>1.72623160060666E-11</v>
      </c>
      <c r="P122">
        <v>0</v>
      </c>
      <c r="Q122">
        <v>100</v>
      </c>
      <c r="AJ122">
        <v>1</v>
      </c>
    </row>
    <row r="123" spans="1:36" x14ac:dyDescent="0.2">
      <c r="A123">
        <v>138</v>
      </c>
      <c r="B123">
        <v>754</v>
      </c>
      <c r="C123">
        <v>140</v>
      </c>
      <c r="D123">
        <v>0.44497931168767801</v>
      </c>
      <c r="E123">
        <v>31.387249918847601</v>
      </c>
      <c r="F123">
        <v>2.5395974954075999</v>
      </c>
      <c r="G123">
        <v>-513.29720750095203</v>
      </c>
      <c r="H123">
        <v>-449.92817049775147</v>
      </c>
      <c r="I123">
        <v>61.6940437163029</v>
      </c>
      <c r="J123">
        <v>36.360256516716603</v>
      </c>
      <c r="K123">
        <v>12.359143516090899</v>
      </c>
      <c r="L123">
        <v>0</v>
      </c>
      <c r="M123">
        <v>1.238159785686488E-6</v>
      </c>
      <c r="N123">
        <v>0</v>
      </c>
      <c r="O123" s="1">
        <v>1.7548218526784799E-11</v>
      </c>
      <c r="P123">
        <v>0</v>
      </c>
      <c r="Q123">
        <v>100</v>
      </c>
      <c r="AJ123">
        <v>1</v>
      </c>
    </row>
    <row r="124" spans="1:36" x14ac:dyDescent="0.2">
      <c r="A124">
        <v>139</v>
      </c>
      <c r="B124">
        <v>752</v>
      </c>
      <c r="C124">
        <v>140</v>
      </c>
      <c r="D124">
        <v>0.443759937570114</v>
      </c>
      <c r="E124">
        <v>31.776200306909999</v>
      </c>
      <c r="F124">
        <v>2.5395974954075999</v>
      </c>
      <c r="G124">
        <v>-519.53313434848906</v>
      </c>
      <c r="H124">
        <v>-455.57728673569875</v>
      </c>
      <c r="I124">
        <v>62.386819112120399</v>
      </c>
      <c r="J124">
        <v>36.801429253668701</v>
      </c>
      <c r="K124">
        <v>12.5122978599448</v>
      </c>
      <c r="L124">
        <v>0</v>
      </c>
      <c r="M124">
        <v>1.238159785686488E-6</v>
      </c>
      <c r="N124">
        <v>0</v>
      </c>
      <c r="O124" s="1">
        <v>1.7765675819903599E-11</v>
      </c>
      <c r="P124">
        <v>0</v>
      </c>
      <c r="Q124">
        <v>100</v>
      </c>
      <c r="AJ124">
        <v>1</v>
      </c>
    </row>
    <row r="125" spans="1:36" x14ac:dyDescent="0.2">
      <c r="A125">
        <v>140</v>
      </c>
      <c r="B125">
        <v>750</v>
      </c>
      <c r="C125">
        <v>140</v>
      </c>
      <c r="D125">
        <v>0.44253579631530099</v>
      </c>
      <c r="E125">
        <v>32.085193374195597</v>
      </c>
      <c r="F125">
        <v>2.5395974954075999</v>
      </c>
      <c r="G125">
        <v>-524.45918132216309</v>
      </c>
      <c r="H125">
        <v>-460.08164789224651</v>
      </c>
      <c r="I125">
        <v>62.920914264688903</v>
      </c>
      <c r="J125">
        <v>37.149751864614501</v>
      </c>
      <c r="K125">
        <v>12.6339679544557</v>
      </c>
      <c r="L125">
        <v>0</v>
      </c>
      <c r="M125">
        <v>1.238159785686488E-6</v>
      </c>
      <c r="N125">
        <v>0</v>
      </c>
      <c r="O125" s="1">
        <v>1.7938429975874899E-11</v>
      </c>
      <c r="P125">
        <v>0</v>
      </c>
      <c r="Q125">
        <v>100</v>
      </c>
      <c r="AJ125">
        <v>1</v>
      </c>
    </row>
    <row r="126" spans="1:36" x14ac:dyDescent="0.2">
      <c r="A126">
        <v>147</v>
      </c>
      <c r="B126">
        <v>780</v>
      </c>
      <c r="C126">
        <v>120</v>
      </c>
      <c r="D126">
        <v>0.48129943502824801</v>
      </c>
      <c r="E126">
        <v>0.52638992757918301</v>
      </c>
      <c r="F126">
        <v>2.5389686935214599</v>
      </c>
      <c r="G126">
        <v>-8.6396615498452984</v>
      </c>
      <c r="H126">
        <v>-7.5339301035793618</v>
      </c>
      <c r="I126">
        <v>1.04992778451876</v>
      </c>
      <c r="J126">
        <v>0.61175633757107095</v>
      </c>
      <c r="K126">
        <v>0.20732430806348301</v>
      </c>
      <c r="L126">
        <v>0</v>
      </c>
      <c r="M126">
        <v>1.2381371196426334E-6</v>
      </c>
      <c r="N126">
        <v>0</v>
      </c>
      <c r="O126" s="1">
        <v>2.94298019206554E-13</v>
      </c>
      <c r="P126">
        <v>0</v>
      </c>
      <c r="Q126">
        <v>100</v>
      </c>
      <c r="AJ126">
        <v>1</v>
      </c>
    </row>
    <row r="127" spans="1:36" x14ac:dyDescent="0.2">
      <c r="A127">
        <v>148</v>
      </c>
      <c r="B127">
        <v>778</v>
      </c>
      <c r="C127">
        <v>120</v>
      </c>
      <c r="D127">
        <v>0.48017932740332298</v>
      </c>
      <c r="E127">
        <v>1.8901626834265099</v>
      </c>
      <c r="F127">
        <v>2.5389686935214599</v>
      </c>
      <c r="G127">
        <v>-31.015789117657732</v>
      </c>
      <c r="H127">
        <v>-27.057253862340726</v>
      </c>
      <c r="I127">
        <v>3.76590900948199</v>
      </c>
      <c r="J127">
        <v>2.19616771129003</v>
      </c>
      <c r="K127">
        <v>0.74446080735439302</v>
      </c>
      <c r="L127">
        <v>0</v>
      </c>
      <c r="M127">
        <v>1.2381371196426334E-6</v>
      </c>
      <c r="N127">
        <v>0</v>
      </c>
      <c r="O127" s="1">
        <v>1.0567662954129899E-12</v>
      </c>
      <c r="P127">
        <v>0</v>
      </c>
      <c r="Q127">
        <v>100</v>
      </c>
      <c r="AJ127">
        <v>1</v>
      </c>
    </row>
    <row r="128" spans="1:36" x14ac:dyDescent="0.2">
      <c r="A128">
        <v>149</v>
      </c>
      <c r="B128">
        <v>776</v>
      </c>
      <c r="C128">
        <v>120</v>
      </c>
      <c r="D128">
        <v>0.47905494924462999</v>
      </c>
      <c r="E128">
        <v>3.2791971982366599</v>
      </c>
      <c r="F128">
        <v>2.5389686935214599</v>
      </c>
      <c r="G128">
        <v>-53.795477532597154</v>
      </c>
      <c r="H128">
        <v>-46.948589890585836</v>
      </c>
      <c r="I128">
        <v>6.5261284296919602</v>
      </c>
      <c r="J128">
        <v>3.8091562909804</v>
      </c>
      <c r="K128">
        <v>1.2915469208438799</v>
      </c>
      <c r="L128">
        <v>0</v>
      </c>
      <c r="M128">
        <v>1.2381371196426337E-6</v>
      </c>
      <c r="N128">
        <v>0</v>
      </c>
      <c r="O128" s="1">
        <v>1.8333581048310699E-12</v>
      </c>
      <c r="P128">
        <v>0</v>
      </c>
      <c r="Q128">
        <v>100</v>
      </c>
      <c r="AJ128">
        <v>1</v>
      </c>
    </row>
    <row r="129" spans="1:36" x14ac:dyDescent="0.2">
      <c r="A129">
        <v>150</v>
      </c>
      <c r="B129">
        <v>774</v>
      </c>
      <c r="C129">
        <v>120</v>
      </c>
      <c r="D129">
        <v>0.47792627608270499</v>
      </c>
      <c r="E129">
        <v>4.7460224408407603</v>
      </c>
      <c r="F129">
        <v>2.5389686935214599</v>
      </c>
      <c r="G129">
        <v>-77.839976168775024</v>
      </c>
      <c r="H129">
        <v>-67.960296379713682</v>
      </c>
      <c r="I129">
        <v>9.4348276646720493</v>
      </c>
      <c r="J129">
        <v>5.5116992653527603</v>
      </c>
      <c r="K129">
        <v>1.8692717452369101</v>
      </c>
      <c r="L129">
        <v>0</v>
      </c>
      <c r="M129">
        <v>1.2381371196426337E-6</v>
      </c>
      <c r="N129">
        <v>0</v>
      </c>
      <c r="O129" s="1">
        <v>2.6534417363812199E-12</v>
      </c>
      <c r="P129">
        <v>0</v>
      </c>
      <c r="Q129">
        <v>100</v>
      </c>
      <c r="AJ129">
        <v>1</v>
      </c>
    </row>
    <row r="130" spans="1:36" x14ac:dyDescent="0.2">
      <c r="A130">
        <v>151</v>
      </c>
      <c r="B130">
        <v>772</v>
      </c>
      <c r="C130">
        <v>120</v>
      </c>
      <c r="D130">
        <v>0.47679328326077502</v>
      </c>
      <c r="E130">
        <v>19.778533779696701</v>
      </c>
      <c r="F130">
        <v>2.5389686935214599</v>
      </c>
      <c r="G130">
        <v>-324.31106499408378</v>
      </c>
      <c r="H130">
        <v>-283.26309756325679</v>
      </c>
      <c r="I130">
        <v>39.274714089678</v>
      </c>
      <c r="J130">
        <v>22.963802903331299</v>
      </c>
      <c r="K130">
        <v>7.7899872614280303</v>
      </c>
      <c r="L130">
        <v>0</v>
      </c>
      <c r="M130">
        <v>1.2381371196426334E-6</v>
      </c>
      <c r="N130">
        <v>0</v>
      </c>
      <c r="O130" s="1">
        <v>1.1057930650276501E-11</v>
      </c>
      <c r="P130">
        <v>0</v>
      </c>
      <c r="Q130">
        <v>100</v>
      </c>
      <c r="AJ130">
        <v>1</v>
      </c>
    </row>
    <row r="131" spans="1:36" x14ac:dyDescent="0.2">
      <c r="A131">
        <v>152</v>
      </c>
      <c r="B131">
        <v>770</v>
      </c>
      <c r="C131">
        <v>120</v>
      </c>
      <c r="D131">
        <v>0.47565594593299199</v>
      </c>
      <c r="E131">
        <v>25.755812763453701</v>
      </c>
      <c r="F131">
        <v>2.5389686935214599</v>
      </c>
      <c r="G131">
        <v>-422.21901725311625</v>
      </c>
      <c r="H131">
        <v>-368.92795708851366</v>
      </c>
      <c r="I131">
        <v>51.086670339455097</v>
      </c>
      <c r="J131">
        <v>29.8963719935551</v>
      </c>
      <c r="K131">
        <v>10.1442025768861</v>
      </c>
      <c r="L131">
        <v>0</v>
      </c>
      <c r="M131">
        <v>1.2381371196426337E-6</v>
      </c>
      <c r="N131">
        <v>0</v>
      </c>
      <c r="O131" s="1">
        <v>1.4399752507040701E-11</v>
      </c>
      <c r="P131">
        <v>0</v>
      </c>
      <c r="Q131">
        <v>100</v>
      </c>
      <c r="AJ131">
        <v>1</v>
      </c>
    </row>
    <row r="132" spans="1:36" x14ac:dyDescent="0.2">
      <c r="A132">
        <v>153</v>
      </c>
      <c r="B132">
        <v>768</v>
      </c>
      <c r="C132">
        <v>120</v>
      </c>
      <c r="D132">
        <v>0.474514239062578</v>
      </c>
      <c r="E132">
        <v>28.187662589888401</v>
      </c>
      <c r="F132">
        <v>2.5389686935214599</v>
      </c>
      <c r="G132">
        <v>-461.97294939171832</v>
      </c>
      <c r="H132">
        <v>-403.82736433952539</v>
      </c>
      <c r="I132">
        <v>55.8474619912528</v>
      </c>
      <c r="J132">
        <v>32.711113145241498</v>
      </c>
      <c r="K132">
        <v>11.102012664359799</v>
      </c>
      <c r="L132">
        <v>0</v>
      </c>
      <c r="M132">
        <v>1.2381371196426337E-6</v>
      </c>
      <c r="N132">
        <v>0</v>
      </c>
      <c r="O132" s="1">
        <v>1.5759369303317402E-11</v>
      </c>
      <c r="P132">
        <v>0</v>
      </c>
      <c r="Q132">
        <v>100</v>
      </c>
      <c r="AJ132">
        <v>1</v>
      </c>
    </row>
    <row r="133" spans="1:36" x14ac:dyDescent="0.2">
      <c r="A133">
        <v>154</v>
      </c>
      <c r="B133">
        <v>766</v>
      </c>
      <c r="C133">
        <v>120</v>
      </c>
      <c r="D133">
        <v>0.47336813742000999</v>
      </c>
      <c r="E133">
        <v>29.5158679540951</v>
      </c>
      <c r="F133">
        <v>2.5389686935214599</v>
      </c>
      <c r="G133">
        <v>-483.62426690116365</v>
      </c>
      <c r="H133">
        <v>-422.92424493098417</v>
      </c>
      <c r="I133">
        <v>58.4131472551407</v>
      </c>
      <c r="J133">
        <v>34.243989977965498</v>
      </c>
      <c r="K133">
        <v>11.6251405656985</v>
      </c>
      <c r="L133">
        <v>0</v>
      </c>
      <c r="M133">
        <v>1.2381371196426339E-6</v>
      </c>
      <c r="N133">
        <v>0</v>
      </c>
      <c r="O133" s="1">
        <v>1.6501952296087E-11</v>
      </c>
      <c r="P133">
        <v>0</v>
      </c>
      <c r="Q133">
        <v>100</v>
      </c>
      <c r="AJ133">
        <v>1</v>
      </c>
    </row>
    <row r="134" spans="1:36" x14ac:dyDescent="0.2">
      <c r="A134">
        <v>155</v>
      </c>
      <c r="B134">
        <v>764</v>
      </c>
      <c r="C134">
        <v>120</v>
      </c>
      <c r="D134">
        <v>0.47221761558116099</v>
      </c>
      <c r="E134">
        <v>30.366660119986999</v>
      </c>
      <c r="F134">
        <v>2.5389686935214599</v>
      </c>
      <c r="G134">
        <v>-497.44456574132164</v>
      </c>
      <c r="H134">
        <v>-435.18545059424008</v>
      </c>
      <c r="I134">
        <v>60.029036443216</v>
      </c>
      <c r="J134">
        <v>35.2223140882951</v>
      </c>
      <c r="K134">
        <v>11.960234168098101</v>
      </c>
      <c r="L134">
        <v>0</v>
      </c>
      <c r="M134">
        <v>1.2381371196426337E-6</v>
      </c>
      <c r="N134">
        <v>0</v>
      </c>
      <c r="O134" s="1">
        <v>1.6977619545895501E-11</v>
      </c>
      <c r="P134">
        <v>0</v>
      </c>
      <c r="Q134">
        <v>100</v>
      </c>
      <c r="AJ134">
        <v>1</v>
      </c>
    </row>
    <row r="135" spans="1:36" x14ac:dyDescent="0.2">
      <c r="A135">
        <v>156</v>
      </c>
      <c r="B135">
        <v>762</v>
      </c>
      <c r="C135">
        <v>120</v>
      </c>
      <c r="D135">
        <v>0.47106264792542502</v>
      </c>
      <c r="E135">
        <v>30.966441510728401</v>
      </c>
      <c r="F135">
        <v>2.5389686935214599</v>
      </c>
      <c r="G135">
        <v>-507.14738868799208</v>
      </c>
      <c r="H135">
        <v>-443.85276142454865</v>
      </c>
      <c r="I135">
        <v>61.145367592564703</v>
      </c>
      <c r="J135">
        <v>35.909033838276301</v>
      </c>
      <c r="K135">
        <v>12.196464489595201</v>
      </c>
      <c r="L135">
        <v>0</v>
      </c>
      <c r="M135">
        <v>1.2381371196426337E-6</v>
      </c>
      <c r="N135">
        <v>0</v>
      </c>
      <c r="O135" s="1">
        <v>1.7312949813448102E-11</v>
      </c>
      <c r="P135">
        <v>0</v>
      </c>
      <c r="Q135">
        <v>100</v>
      </c>
      <c r="AJ135">
        <v>1</v>
      </c>
    </row>
    <row r="136" spans="1:36" x14ac:dyDescent="0.2">
      <c r="A136">
        <v>157</v>
      </c>
      <c r="B136">
        <v>760</v>
      </c>
      <c r="C136">
        <v>120</v>
      </c>
      <c r="D136">
        <v>0.46990320863379098</v>
      </c>
      <c r="E136">
        <v>31.416829770803002</v>
      </c>
      <c r="F136">
        <v>2.5389686935214599</v>
      </c>
      <c r="G136">
        <v>-514.39954336673009</v>
      </c>
      <c r="H136">
        <v>-450.38118627277197</v>
      </c>
      <c r="I136">
        <v>61.964242456524197</v>
      </c>
      <c r="J136">
        <v>36.422172211335898</v>
      </c>
      <c r="K136">
        <v>12.3738547273023</v>
      </c>
      <c r="L136">
        <v>0</v>
      </c>
      <c r="M136">
        <v>1.2381371196426337E-6</v>
      </c>
      <c r="N136">
        <v>0</v>
      </c>
      <c r="O136" s="1">
        <v>1.7564756251735101E-11</v>
      </c>
      <c r="P136">
        <v>0</v>
      </c>
      <c r="Q136">
        <v>100</v>
      </c>
      <c r="AJ136">
        <v>1</v>
      </c>
    </row>
    <row r="137" spans="1:36" x14ac:dyDescent="0.2">
      <c r="A137">
        <v>158</v>
      </c>
      <c r="B137">
        <v>758</v>
      </c>
      <c r="C137">
        <v>120</v>
      </c>
      <c r="D137">
        <v>0.46873927168695301</v>
      </c>
      <c r="E137">
        <v>31.770425532016699</v>
      </c>
      <c r="F137">
        <v>2.5389686935214599</v>
      </c>
      <c r="G137">
        <v>-520.06384749922961</v>
      </c>
      <c r="H137">
        <v>-455.52387202637254</v>
      </c>
      <c r="I137">
        <v>62.590288001606901</v>
      </c>
      <c r="J137">
        <v>36.822823226822301</v>
      </c>
      <c r="K137">
        <v>12.513122203154101</v>
      </c>
      <c r="L137">
        <v>0</v>
      </c>
      <c r="M137">
        <v>1.2381371196426337E-6</v>
      </c>
      <c r="N137">
        <v>0</v>
      </c>
      <c r="O137" s="1">
        <v>1.7762447215548901E-11</v>
      </c>
      <c r="P137">
        <v>0</v>
      </c>
      <c r="Q137">
        <v>100</v>
      </c>
      <c r="AJ137">
        <v>1</v>
      </c>
    </row>
    <row r="138" spans="1:36" x14ac:dyDescent="0.2">
      <c r="A138">
        <v>159</v>
      </c>
      <c r="B138">
        <v>756</v>
      </c>
      <c r="C138">
        <v>120</v>
      </c>
      <c r="D138">
        <v>0.46757081086333502</v>
      </c>
      <c r="E138">
        <v>32.071824339473501</v>
      </c>
      <c r="F138">
        <v>2.5389686935214599</v>
      </c>
      <c r="G138">
        <v>-524.87127904359795</v>
      </c>
      <c r="H138">
        <v>-459.91965839057173</v>
      </c>
      <c r="I138">
        <v>63.111908519677598</v>
      </c>
      <c r="J138">
        <v>37.162744522057999</v>
      </c>
      <c r="K138">
        <v>12.6318313499923</v>
      </c>
      <c r="L138">
        <v>0</v>
      </c>
      <c r="M138">
        <v>1.2381371196426334E-6</v>
      </c>
      <c r="N138">
        <v>0</v>
      </c>
      <c r="O138" s="1">
        <v>1.7930955515914201E-11</v>
      </c>
      <c r="P138">
        <v>0</v>
      </c>
      <c r="Q138">
        <v>100</v>
      </c>
      <c r="AJ138">
        <v>1</v>
      </c>
    </row>
    <row r="139" spans="1:36" x14ac:dyDescent="0.2">
      <c r="A139">
        <v>168</v>
      </c>
      <c r="B139">
        <v>790</v>
      </c>
      <c r="C139">
        <v>100</v>
      </c>
      <c r="D139">
        <v>0.507529981658283</v>
      </c>
      <c r="E139">
        <v>0.60759247290234397</v>
      </c>
      <c r="F139">
        <v>2.53834005884787</v>
      </c>
      <c r="G139">
        <v>-9.9893816673414371</v>
      </c>
      <c r="H139">
        <v>-8.6938588023435113</v>
      </c>
      <c r="I139">
        <v>1.2185701594299201</v>
      </c>
      <c r="J139">
        <v>0.70696725598482202</v>
      </c>
      <c r="K139">
        <v>0.23936606554526099</v>
      </c>
      <c r="L139">
        <v>0</v>
      </c>
      <c r="M139">
        <v>1.2381143945371709E-6</v>
      </c>
      <c r="N139">
        <v>0</v>
      </c>
      <c r="O139" s="1">
        <v>3.3969734581039002E-13</v>
      </c>
      <c r="P139">
        <v>0</v>
      </c>
      <c r="Q139">
        <v>100</v>
      </c>
      <c r="AJ139">
        <v>1</v>
      </c>
    </row>
    <row r="140" spans="1:36" x14ac:dyDescent="0.2">
      <c r="A140">
        <v>169</v>
      </c>
      <c r="B140">
        <v>788</v>
      </c>
      <c r="C140">
        <v>100</v>
      </c>
      <c r="D140">
        <v>0.50646986759647905</v>
      </c>
      <c r="E140">
        <v>1.9527845504145001</v>
      </c>
      <c r="F140">
        <v>2.53834005884787</v>
      </c>
      <c r="G140">
        <v>-32.097753751929126</v>
      </c>
      <c r="H140">
        <v>-27.946353344659549</v>
      </c>
      <c r="I140">
        <v>3.9121711419399401</v>
      </c>
      <c r="J140">
        <v>2.2716371285424302</v>
      </c>
      <c r="K140">
        <v>0.76931557834723496</v>
      </c>
      <c r="L140">
        <v>0</v>
      </c>
      <c r="M140">
        <v>1.2381143945371709E-6</v>
      </c>
      <c r="N140">
        <v>0</v>
      </c>
      <c r="O140" s="1">
        <v>1.0917773973509401E-12</v>
      </c>
      <c r="P140">
        <v>0</v>
      </c>
      <c r="Q140">
        <v>100</v>
      </c>
      <c r="AJ140">
        <v>1</v>
      </c>
    </row>
    <row r="141" spans="1:36" x14ac:dyDescent="0.2">
      <c r="A141">
        <v>170</v>
      </c>
      <c r="B141">
        <v>786</v>
      </c>
      <c r="C141">
        <v>100</v>
      </c>
      <c r="D141">
        <v>0.50540574989378495</v>
      </c>
      <c r="E141">
        <v>3.3276151446875302</v>
      </c>
      <c r="F141">
        <v>2.53834005884787</v>
      </c>
      <c r="G141">
        <v>-54.682401767117348</v>
      </c>
      <c r="H141">
        <v>-47.629332734202521</v>
      </c>
      <c r="I141">
        <v>6.6591786176790997</v>
      </c>
      <c r="J141">
        <v>3.8700357694906899</v>
      </c>
      <c r="K141">
        <v>1.3109414292574699</v>
      </c>
      <c r="L141">
        <v>0</v>
      </c>
      <c r="M141">
        <v>1.2381143945371709E-6</v>
      </c>
      <c r="N141">
        <v>0</v>
      </c>
      <c r="O141" s="1">
        <v>1.8604279726001302E-12</v>
      </c>
      <c r="P141">
        <v>0</v>
      </c>
      <c r="Q141">
        <v>100</v>
      </c>
      <c r="AJ141">
        <v>1</v>
      </c>
    </row>
    <row r="142" spans="1:36" x14ac:dyDescent="0.2">
      <c r="A142">
        <v>171</v>
      </c>
      <c r="B142">
        <v>784</v>
      </c>
      <c r="C142">
        <v>100</v>
      </c>
      <c r="D142">
        <v>0.50433760582698905</v>
      </c>
      <c r="E142">
        <v>4.7857532772320903</v>
      </c>
      <c r="F142">
        <v>2.53834005884787</v>
      </c>
      <c r="G142">
        <v>-78.624711304872534</v>
      </c>
      <c r="H142">
        <v>-68.511310048689467</v>
      </c>
      <c r="I142">
        <v>9.5666662783739707</v>
      </c>
      <c r="J142">
        <v>5.5645364786781704</v>
      </c>
      <c r="K142">
        <v>1.8853869719112</v>
      </c>
      <c r="L142">
        <v>0</v>
      </c>
      <c r="M142">
        <v>1.2381143945371709E-6</v>
      </c>
      <c r="N142">
        <v>0</v>
      </c>
      <c r="O142" s="1">
        <v>2.6756547496604901E-12</v>
      </c>
      <c r="P142">
        <v>0</v>
      </c>
      <c r="Q142">
        <v>100</v>
      </c>
      <c r="AJ142">
        <v>1</v>
      </c>
    </row>
    <row r="143" spans="1:36" x14ac:dyDescent="0.2">
      <c r="A143">
        <v>172</v>
      </c>
      <c r="B143">
        <v>782</v>
      </c>
      <c r="C143">
        <v>100</v>
      </c>
      <c r="D143">
        <v>0.50326541250059598</v>
      </c>
      <c r="E143">
        <v>14.8505674910735</v>
      </c>
      <c r="F143">
        <v>2.53834005884787</v>
      </c>
      <c r="G143">
        <v>-243.91930165535618</v>
      </c>
      <c r="H143">
        <v>-212.63049475667114</v>
      </c>
      <c r="I143">
        <v>29.6534207446193</v>
      </c>
      <c r="J143">
        <v>17.263071893550698</v>
      </c>
      <c r="K143">
        <v>5.8505035364781204</v>
      </c>
      <c r="L143">
        <v>0</v>
      </c>
      <c r="M143">
        <v>1.2381143945371709E-6</v>
      </c>
      <c r="N143">
        <v>0</v>
      </c>
      <c r="O143" s="1">
        <v>8.3027663861572897E-12</v>
      </c>
      <c r="P143">
        <v>0</v>
      </c>
      <c r="Q143">
        <v>100</v>
      </c>
      <c r="AJ143">
        <v>1</v>
      </c>
    </row>
    <row r="144" spans="1:36" x14ac:dyDescent="0.2">
      <c r="A144">
        <v>173</v>
      </c>
      <c r="B144">
        <v>780</v>
      </c>
      <c r="C144">
        <v>100</v>
      </c>
      <c r="D144">
        <v>0.50218914684517901</v>
      </c>
      <c r="E144">
        <v>23.453084204329802</v>
      </c>
      <c r="F144">
        <v>2.53834005884787</v>
      </c>
      <c r="G144">
        <v>-385.12129342667299</v>
      </c>
      <c r="H144">
        <v>-335.85588890817655</v>
      </c>
      <c r="I144">
        <v>46.779095587994497</v>
      </c>
      <c r="J144">
        <v>27.2565490824832</v>
      </c>
      <c r="K144">
        <v>9.2395359410491995</v>
      </c>
      <c r="L144">
        <v>0</v>
      </c>
      <c r="M144">
        <v>1.2381143945371711E-6</v>
      </c>
      <c r="N144">
        <v>0</v>
      </c>
      <c r="O144" s="1">
        <v>1.31123257949888E-11</v>
      </c>
      <c r="P144">
        <v>0</v>
      </c>
      <c r="Q144">
        <v>100</v>
      </c>
      <c r="AJ144">
        <v>1</v>
      </c>
    </row>
    <row r="145" spans="1:36" x14ac:dyDescent="0.2">
      <c r="A145">
        <v>174</v>
      </c>
      <c r="B145">
        <v>778</v>
      </c>
      <c r="C145">
        <v>100</v>
      </c>
      <c r="D145">
        <v>0.501108785615755</v>
      </c>
      <c r="E145">
        <v>26.922988871673098</v>
      </c>
      <c r="F145">
        <v>2.53834005884787</v>
      </c>
      <c r="G145">
        <v>-441.99299056260588</v>
      </c>
      <c r="H145">
        <v>-385.60863721486999</v>
      </c>
      <c r="I145">
        <v>53.640634873934196</v>
      </c>
      <c r="J145">
        <v>31.281645421230301</v>
      </c>
      <c r="K145">
        <v>10.6065335012256</v>
      </c>
      <c r="L145">
        <v>0</v>
      </c>
      <c r="M145">
        <v>1.2381143945371709E-6</v>
      </c>
      <c r="N145">
        <v>0</v>
      </c>
      <c r="O145" s="1">
        <v>1.5052306058538001E-11</v>
      </c>
      <c r="P145">
        <v>0</v>
      </c>
      <c r="Q145">
        <v>100</v>
      </c>
      <c r="AJ145">
        <v>1</v>
      </c>
    </row>
    <row r="146" spans="1:36" x14ac:dyDescent="0.2">
      <c r="A146">
        <v>175</v>
      </c>
      <c r="B146">
        <v>776</v>
      </c>
      <c r="C146">
        <v>100</v>
      </c>
      <c r="D146">
        <v>0.50002430539008103</v>
      </c>
      <c r="E146">
        <v>28.6853658541478</v>
      </c>
      <c r="F146">
        <v>2.53834005884787</v>
      </c>
      <c r="G146">
        <v>-470.81158059644247</v>
      </c>
      <c r="H146">
        <v>-410.9172024605524</v>
      </c>
      <c r="I146">
        <v>57.088479374627099</v>
      </c>
      <c r="J146">
        <v>33.321278104640299</v>
      </c>
      <c r="K146">
        <v>11.3008364478823</v>
      </c>
      <c r="L146">
        <v>0</v>
      </c>
      <c r="M146">
        <v>1.2381143945371709E-6</v>
      </c>
      <c r="N146">
        <v>0</v>
      </c>
      <c r="O146" s="1">
        <v>1.6037628968158999E-11</v>
      </c>
      <c r="P146">
        <v>0</v>
      </c>
      <c r="Q146">
        <v>100</v>
      </c>
      <c r="AJ146">
        <v>1</v>
      </c>
    </row>
    <row r="147" spans="1:36" x14ac:dyDescent="0.2">
      <c r="A147">
        <v>176</v>
      </c>
      <c r="B147">
        <v>774</v>
      </c>
      <c r="C147">
        <v>100</v>
      </c>
      <c r="D147">
        <v>0.49893568256697302</v>
      </c>
      <c r="E147">
        <v>29.758876514547101</v>
      </c>
      <c r="F147">
        <v>2.53834005884787</v>
      </c>
      <c r="G147">
        <v>-488.31267738198483</v>
      </c>
      <c r="H147">
        <v>-426.36434601382132</v>
      </c>
      <c r="I147">
        <v>59.158985215263797</v>
      </c>
      <c r="J147">
        <v>34.559882484225298</v>
      </c>
      <c r="K147">
        <v>11.7237548258425</v>
      </c>
      <c r="L147">
        <v>0</v>
      </c>
      <c r="M147">
        <v>1.2381143945371709E-6</v>
      </c>
      <c r="N147">
        <v>0</v>
      </c>
      <c r="O147" s="1">
        <v>1.6637815340275901E-11</v>
      </c>
      <c r="P147">
        <v>0</v>
      </c>
      <c r="Q147">
        <v>100</v>
      </c>
      <c r="AJ147">
        <v>1</v>
      </c>
    </row>
    <row r="148" spans="1:36" x14ac:dyDescent="0.2">
      <c r="A148">
        <v>177</v>
      </c>
      <c r="B148">
        <v>772</v>
      </c>
      <c r="C148">
        <v>100</v>
      </c>
      <c r="D148">
        <v>0.49784289336458698</v>
      </c>
      <c r="E148">
        <v>30.489910147113701</v>
      </c>
      <c r="F148">
        <v>2.53834005884787</v>
      </c>
      <c r="G148">
        <v>-500.18703357943053</v>
      </c>
      <c r="H148">
        <v>-436.90889311523102</v>
      </c>
      <c r="I148">
        <v>60.544553857531902</v>
      </c>
      <c r="J148">
        <v>35.4002119144616</v>
      </c>
      <c r="K148">
        <v>12.011751554262901</v>
      </c>
      <c r="L148">
        <v>0</v>
      </c>
      <c r="M148">
        <v>1.2381143945371709E-6</v>
      </c>
      <c r="N148">
        <v>0</v>
      </c>
      <c r="O148" s="1">
        <v>1.7046527093229E-11</v>
      </c>
      <c r="P148">
        <v>0</v>
      </c>
      <c r="Q148">
        <v>100</v>
      </c>
      <c r="AJ148">
        <v>1</v>
      </c>
    </row>
    <row r="149" spans="1:36" x14ac:dyDescent="0.2">
      <c r="A149">
        <v>178</v>
      </c>
      <c r="B149">
        <v>770</v>
      </c>
      <c r="C149">
        <v>100</v>
      </c>
      <c r="D149">
        <v>0.49674591381872402</v>
      </c>
      <c r="E149">
        <v>31.025371488000101</v>
      </c>
      <c r="F149">
        <v>2.53834005884787</v>
      </c>
      <c r="G149">
        <v>-508.84813119360308</v>
      </c>
      <c r="H149">
        <v>-444.65388681929147</v>
      </c>
      <c r="I149">
        <v>61.538843286499102</v>
      </c>
      <c r="J149">
        <v>36.0130761844811</v>
      </c>
      <c r="K149">
        <v>12.222700965481399</v>
      </c>
      <c r="L149">
        <v>0</v>
      </c>
      <c r="M149">
        <v>1.2381143945371709E-6</v>
      </c>
      <c r="N149">
        <v>0</v>
      </c>
      <c r="O149" s="1">
        <v>1.73458968260604E-11</v>
      </c>
      <c r="P149">
        <v>0</v>
      </c>
      <c r="Q149">
        <v>100</v>
      </c>
      <c r="AJ149">
        <v>1</v>
      </c>
    </row>
    <row r="150" spans="1:36" x14ac:dyDescent="0.2">
      <c r="A150">
        <v>179</v>
      </c>
      <c r="B150">
        <v>768</v>
      </c>
      <c r="C150">
        <v>100</v>
      </c>
      <c r="D150">
        <v>0.49564471978101199</v>
      </c>
      <c r="E150">
        <v>31.4379968342881</v>
      </c>
      <c r="F150">
        <v>2.53834005884787</v>
      </c>
      <c r="G150">
        <v>-515.49096840841617</v>
      </c>
      <c r="H150">
        <v>-450.64058526758737</v>
      </c>
      <c r="I150">
        <v>62.287262297295001</v>
      </c>
      <c r="J150">
        <v>36.483048859646999</v>
      </c>
      <c r="K150">
        <v>12.385258123593299</v>
      </c>
      <c r="L150">
        <v>0</v>
      </c>
      <c r="M150">
        <v>1.2381143945371707E-6</v>
      </c>
      <c r="N150">
        <v>0</v>
      </c>
      <c r="O150" s="1">
        <v>1.75765904919621E-11</v>
      </c>
      <c r="P150">
        <v>0</v>
      </c>
      <c r="Q150">
        <v>100</v>
      </c>
      <c r="AJ150">
        <v>1</v>
      </c>
    </row>
    <row r="151" spans="1:36" x14ac:dyDescent="0.2">
      <c r="A151">
        <v>180</v>
      </c>
      <c r="B151">
        <v>766</v>
      </c>
      <c r="C151">
        <v>100</v>
      </c>
      <c r="D151">
        <v>0.49453928691719501</v>
      </c>
      <c r="E151">
        <v>31.767990627359001</v>
      </c>
      <c r="F151">
        <v>2.53834005884787</v>
      </c>
      <c r="G151">
        <v>-520.77608775363035</v>
      </c>
      <c r="H151">
        <v>-455.44452670896823</v>
      </c>
      <c r="I151">
        <v>62.870192989137401</v>
      </c>
      <c r="J151">
        <v>36.856878285107399</v>
      </c>
      <c r="K151">
        <v>12.5152618998489</v>
      </c>
      <c r="L151">
        <v>0</v>
      </c>
      <c r="M151">
        <v>1.2381143945371711E-6</v>
      </c>
      <c r="N151">
        <v>0</v>
      </c>
      <c r="O151" s="1">
        <v>1.7761085890834699E-11</v>
      </c>
      <c r="P151">
        <v>0</v>
      </c>
      <c r="Q151">
        <v>100</v>
      </c>
      <c r="AJ151">
        <v>1</v>
      </c>
    </row>
    <row r="152" spans="1:36" x14ac:dyDescent="0.2">
      <c r="A152">
        <v>181</v>
      </c>
      <c r="B152">
        <v>764</v>
      </c>
      <c r="C152">
        <v>100</v>
      </c>
      <c r="D152">
        <v>0.49342959070530001</v>
      </c>
      <c r="E152">
        <v>32.039458232205199</v>
      </c>
      <c r="F152">
        <v>2.53834005884787</v>
      </c>
      <c r="G152">
        <v>-525.09954210776993</v>
      </c>
      <c r="H152">
        <v>-459.41077977937493</v>
      </c>
      <c r="I152">
        <v>63.335836020242901</v>
      </c>
      <c r="J152">
        <v>37.162593996656703</v>
      </c>
      <c r="K152">
        <v>12.6222088015849</v>
      </c>
      <c r="L152">
        <v>0</v>
      </c>
      <c r="M152">
        <v>1.2381143945371711E-6</v>
      </c>
      <c r="N152">
        <v>0</v>
      </c>
      <c r="O152" s="1">
        <v>1.7912860030496501E-11</v>
      </c>
      <c r="P152">
        <v>0</v>
      </c>
      <c r="Q152">
        <v>100</v>
      </c>
      <c r="AJ15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9A0A6-4F28-4A6A-802E-7B6AEF7EDD79}">
  <sheetPr codeName="Sheet13"/>
  <dimension ref="A1:AJ18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760</v>
      </c>
      <c r="C2">
        <v>300</v>
      </c>
      <c r="D2">
        <v>0.27825630353772701</v>
      </c>
      <c r="E2">
        <v>3.8692925733162502</v>
      </c>
      <c r="F2">
        <v>0.57755233730724798</v>
      </c>
      <c r="G2">
        <v>-83.774936899819068</v>
      </c>
      <c r="H2">
        <v>-49.244392244761336</v>
      </c>
      <c r="I2">
        <v>33.424729131171603</v>
      </c>
      <c r="J2">
        <v>14.7881423401564</v>
      </c>
      <c r="K2">
        <v>6.6994665649804901</v>
      </c>
      <c r="L2">
        <v>1.1159856656337461E-3</v>
      </c>
      <c r="M2">
        <v>1.6872488244912802E-4</v>
      </c>
      <c r="N2" s="1">
        <v>4.8352050419734703E-6</v>
      </c>
      <c r="O2" s="1">
        <v>8.1607293310886605E-7</v>
      </c>
      <c r="P2" s="1">
        <v>-3.2817022494353401E-6</v>
      </c>
      <c r="AE2">
        <v>100</v>
      </c>
      <c r="AJ2">
        <v>1</v>
      </c>
    </row>
    <row r="3" spans="1:36" x14ac:dyDescent="0.2">
      <c r="A3">
        <v>2</v>
      </c>
      <c r="B3">
        <v>758</v>
      </c>
      <c r="C3">
        <v>300</v>
      </c>
      <c r="D3">
        <v>0.27672065169955901</v>
      </c>
      <c r="E3">
        <v>3.88069018983269</v>
      </c>
      <c r="F3">
        <v>0.57884346008014098</v>
      </c>
      <c r="G3">
        <v>-83.954691660591806</v>
      </c>
      <c r="H3">
        <v>-49.419123990559562</v>
      </c>
      <c r="I3">
        <v>33.4944367349663</v>
      </c>
      <c r="J3">
        <v>14.8428493443053</v>
      </c>
      <c r="K3">
        <v>6.70421358702992</v>
      </c>
      <c r="L3">
        <v>1.1170241678359536E-3</v>
      </c>
      <c r="M3">
        <v>1.6812079328550449E-4</v>
      </c>
      <c r="N3" s="1">
        <v>4.9138661746535096E-6</v>
      </c>
      <c r="O3" s="1">
        <v>8.1284593694284101E-7</v>
      </c>
      <c r="P3" s="1">
        <v>-3.2872864610869202E-6</v>
      </c>
      <c r="AE3">
        <v>100</v>
      </c>
      <c r="AJ3">
        <v>1</v>
      </c>
    </row>
    <row r="4" spans="1:36" x14ac:dyDescent="0.2">
      <c r="A4">
        <v>3</v>
      </c>
      <c r="B4">
        <v>756</v>
      </c>
      <c r="C4">
        <v>300</v>
      </c>
      <c r="D4">
        <v>0.27517903123937498</v>
      </c>
      <c r="E4">
        <v>3.9068925600346298</v>
      </c>
      <c r="F4">
        <v>0.58013866374805401</v>
      </c>
      <c r="G4">
        <v>-84.454140485682245</v>
      </c>
      <c r="H4">
        <v>-49.782698607688275</v>
      </c>
      <c r="I4">
        <v>33.691568422316898</v>
      </c>
      <c r="J4">
        <v>14.954254089070201</v>
      </c>
      <c r="K4">
        <v>6.7344116228932203</v>
      </c>
      <c r="L4">
        <v>1.118044762222764E-3</v>
      </c>
      <c r="M4">
        <v>1.6751474484224941E-4</v>
      </c>
      <c r="N4" s="1">
        <v>5.0120028077533801E-6</v>
      </c>
      <c r="O4" s="1">
        <v>8.1266531701196004E-7</v>
      </c>
      <c r="P4" s="1">
        <v>-3.3052423447498101E-6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300</v>
      </c>
      <c r="D5">
        <v>0.27363140729202201</v>
      </c>
      <c r="E5">
        <v>3.9327653043181701</v>
      </c>
      <c r="F5">
        <v>0.58143794183976405</v>
      </c>
      <c r="G5">
        <v>-84.94562385319125</v>
      </c>
      <c r="H5">
        <v>-50.142494026903471</v>
      </c>
      <c r="I5">
        <v>33.885392003207201</v>
      </c>
      <c r="J5">
        <v>15.064509380982599</v>
      </c>
      <c r="K5">
        <v>6.76386080322564</v>
      </c>
      <c r="L5">
        <v>1.1190472461558231E-3</v>
      </c>
      <c r="M5">
        <v>1.6690676151603708E-4</v>
      </c>
      <c r="N5" s="1">
        <v>5.1106786806924704E-6</v>
      </c>
      <c r="O5" s="1">
        <v>8.1234089199752797E-7</v>
      </c>
      <c r="P5" s="1">
        <v>-3.3227318058658702E-6</v>
      </c>
      <c r="AE5">
        <v>100</v>
      </c>
      <c r="AJ5">
        <v>1</v>
      </c>
    </row>
    <row r="6" spans="1:36" x14ac:dyDescent="0.2">
      <c r="A6">
        <v>5</v>
      </c>
      <c r="B6">
        <v>752</v>
      </c>
      <c r="C6">
        <v>300</v>
      </c>
      <c r="D6">
        <v>0.27207774472028401</v>
      </c>
      <c r="E6">
        <v>3.9583133165484301</v>
      </c>
      <c r="F6">
        <v>0.58274128751843002</v>
      </c>
      <c r="G6">
        <v>-85.42926574512056</v>
      </c>
      <c r="H6">
        <v>-50.498565477504926</v>
      </c>
      <c r="I6">
        <v>34.075955184669198</v>
      </c>
      <c r="J6">
        <v>15.1736292186479</v>
      </c>
      <c r="K6">
        <v>6.7925739969526999</v>
      </c>
      <c r="L6">
        <v>1.1200314181014448E-3</v>
      </c>
      <c r="M6">
        <v>1.6629686818048778E-4</v>
      </c>
      <c r="N6" s="1">
        <v>5.2098760444014604E-6</v>
      </c>
      <c r="O6" s="1">
        <v>8.11875491763594E-7</v>
      </c>
      <c r="P6" s="1">
        <v>-3.3397570397854798E-6</v>
      </c>
      <c r="AE6">
        <v>100</v>
      </c>
      <c r="AJ6">
        <v>1</v>
      </c>
    </row>
    <row r="7" spans="1:36" x14ac:dyDescent="0.2">
      <c r="A7">
        <v>6</v>
      </c>
      <c r="B7">
        <v>750</v>
      </c>
      <c r="C7">
        <v>300</v>
      </c>
      <c r="D7">
        <v>0.270518008112205</v>
      </c>
      <c r="E7">
        <v>3.9835413691648598</v>
      </c>
      <c r="F7">
        <v>0.58404869357908595</v>
      </c>
      <c r="G7">
        <v>-85.905187163123529</v>
      </c>
      <c r="H7">
        <v>-50.850966773225679</v>
      </c>
      <c r="I7">
        <v>34.2633045173109</v>
      </c>
      <c r="J7">
        <v>15.281627174213501</v>
      </c>
      <c r="K7">
        <v>6.8205637868196796</v>
      </c>
      <c r="L7">
        <v>1.1209970776875702E-3</v>
      </c>
      <c r="M7">
        <v>1.6568509018277563E-4</v>
      </c>
      <c r="N7" s="1">
        <v>5.3095769368872799E-6</v>
      </c>
      <c r="O7" s="1">
        <v>8.1127190643514096E-7</v>
      </c>
      <c r="P7" s="1">
        <v>-3.35632020460451E-6</v>
      </c>
      <c r="AE7">
        <v>100</v>
      </c>
      <c r="AJ7">
        <v>1</v>
      </c>
    </row>
    <row r="8" spans="1:36" x14ac:dyDescent="0.2">
      <c r="A8">
        <v>7</v>
      </c>
      <c r="B8">
        <v>748</v>
      </c>
      <c r="C8">
        <v>300</v>
      </c>
      <c r="D8">
        <v>0.26895216177838999</v>
      </c>
      <c r="E8">
        <v>4.0084541157879103</v>
      </c>
      <c r="F8">
        <v>0.58536015244613604</v>
      </c>
      <c r="G8">
        <v>-86.373506195726577</v>
      </c>
      <c r="H8">
        <v>-51.199750341122524</v>
      </c>
      <c r="I8">
        <v>34.447485421530999</v>
      </c>
      <c r="J8">
        <v>15.3885164022839</v>
      </c>
      <c r="K8">
        <v>6.8478424761869299</v>
      </c>
      <c r="L8">
        <v>1.1219440257605906E-3</v>
      </c>
      <c r="M8">
        <v>1.6507145334001015E-4</v>
      </c>
      <c r="N8" s="1">
        <v>5.4097631864128696E-6</v>
      </c>
      <c r="O8" s="1">
        <v>8.1053288748416603E-7</v>
      </c>
      <c r="P8" s="1">
        <v>-3.3724234243336399E-6</v>
      </c>
      <c r="AE8">
        <v>100</v>
      </c>
      <c r="AJ8">
        <v>1</v>
      </c>
    </row>
    <row r="9" spans="1:36" x14ac:dyDescent="0.2">
      <c r="A9">
        <v>8</v>
      </c>
      <c r="B9">
        <v>746</v>
      </c>
      <c r="C9">
        <v>300</v>
      </c>
      <c r="D9">
        <v>0.26738016974930101</v>
      </c>
      <c r="E9">
        <v>4.0330560941400897</v>
      </c>
      <c r="F9">
        <v>0.58667565617094397</v>
      </c>
      <c r="G9">
        <v>-86.834338092028815</v>
      </c>
      <c r="H9">
        <v>-51.544967254596578</v>
      </c>
      <c r="I9">
        <v>34.6285422163443</v>
      </c>
      <c r="J9">
        <v>15.4943096500979</v>
      </c>
      <c r="K9">
        <v>6.8744220962953104</v>
      </c>
      <c r="L9">
        <v>1.1228720644420381E-3</v>
      </c>
      <c r="M9">
        <v>1.644559839353467E-4</v>
      </c>
      <c r="N9" s="1">
        <v>5.5104164153777104E-6</v>
      </c>
      <c r="O9" s="1">
        <v>8.0966114885143704E-7</v>
      </c>
      <c r="P9" s="1">
        <v>-3.38806879231746E-6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300</v>
      </c>
      <c r="D10">
        <v>0.26580199577250502</v>
      </c>
      <c r="E10">
        <v>4.05735172857844</v>
      </c>
      <c r="F10">
        <v>0.58799519642945897</v>
      </c>
      <c r="G10">
        <v>-87.287795326715312</v>
      </c>
      <c r="H10">
        <v>-51.886667261570011</v>
      </c>
      <c r="I10">
        <v>34.806518144771502</v>
      </c>
      <c r="J10">
        <v>15.5990192662623</v>
      </c>
      <c r="K10">
        <v>6.9003144127984397</v>
      </c>
      <c r="L10">
        <v>1.1237809971851975E-3</v>
      </c>
      <c r="M10">
        <v>1.6383870871392441E-4</v>
      </c>
      <c r="N10" s="1">
        <v>5.6115180439812799E-6</v>
      </c>
      <c r="O10" s="1">
        <v>8.0865936796150095E-7</v>
      </c>
      <c r="P10" s="1">
        <v>-3.4032583743113901E-6</v>
      </c>
      <c r="AE10">
        <v>100</v>
      </c>
      <c r="AJ10">
        <v>1</v>
      </c>
    </row>
    <row r="11" spans="1:36" x14ac:dyDescent="0.2">
      <c r="A11">
        <v>10</v>
      </c>
      <c r="B11">
        <v>742</v>
      </c>
      <c r="C11">
        <v>300</v>
      </c>
      <c r="D11">
        <v>0.264217603309855</v>
      </c>
      <c r="E11">
        <v>4.0813453326257303</v>
      </c>
      <c r="F11">
        <v>0.58931876451991005</v>
      </c>
      <c r="G11">
        <v>-87.733987664759425</v>
      </c>
      <c r="H11">
        <v>-52.224898812753679</v>
      </c>
      <c r="I11">
        <v>34.981455399131498</v>
      </c>
      <c r="J11">
        <v>15.7026572095319</v>
      </c>
      <c r="K11">
        <v>6.9255309322291998</v>
      </c>
      <c r="L11">
        <v>1.12467062883161E-3</v>
      </c>
      <c r="M11">
        <v>1.6321965487853319E-4</v>
      </c>
      <c r="N11" s="1">
        <v>5.7130492941394899E-6</v>
      </c>
      <c r="O11" s="1">
        <v>8.0753018671036695E-7</v>
      </c>
      <c r="P11" s="1">
        <v>-3.4179942115379502E-6</v>
      </c>
      <c r="AE11">
        <v>100</v>
      </c>
      <c r="AJ11">
        <v>1</v>
      </c>
    </row>
    <row r="12" spans="1:36" x14ac:dyDescent="0.2">
      <c r="A12">
        <v>11</v>
      </c>
      <c r="B12">
        <v>740</v>
      </c>
      <c r="C12">
        <v>300</v>
      </c>
      <c r="D12">
        <v>0.26262695553471999</v>
      </c>
      <c r="E12">
        <v>4.1050411112872904</v>
      </c>
      <c r="F12">
        <v>0.59064635136056898</v>
      </c>
      <c r="G12">
        <v>-88.173022221239506</v>
      </c>
      <c r="H12">
        <v>-52.559709087281277</v>
      </c>
      <c r="I12">
        <v>35.153395144411398</v>
      </c>
      <c r="J12">
        <v>15.805235056810099</v>
      </c>
      <c r="K12">
        <v>6.9500829080400202</v>
      </c>
      <c r="L12">
        <v>1.1255407656673808E-3</v>
      </c>
      <c r="M12">
        <v>1.6259885008507538E-4</v>
      </c>
      <c r="N12" s="1">
        <v>5.8149911933894098E-6</v>
      </c>
      <c r="O12" s="1">
        <v>8.0627621238481703E-7</v>
      </c>
      <c r="P12" s="1">
        <v>-3.43227832354644E-6</v>
      </c>
      <c r="AE12">
        <v>100</v>
      </c>
      <c r="AJ12">
        <v>1</v>
      </c>
    </row>
    <row r="13" spans="1:36" x14ac:dyDescent="0.2">
      <c r="A13">
        <v>12</v>
      </c>
      <c r="B13">
        <v>738</v>
      </c>
      <c r="C13">
        <v>300</v>
      </c>
      <c r="D13">
        <v>0.26103001532908299</v>
      </c>
      <c r="E13">
        <v>4.1284431634321104</v>
      </c>
      <c r="F13">
        <v>0.59197794748758203</v>
      </c>
      <c r="G13">
        <v>-88.605003522272654</v>
      </c>
      <c r="H13">
        <v>-52.891144019263436</v>
      </c>
      <c r="I13">
        <v>35.3223775421082</v>
      </c>
      <c r="J13">
        <v>15.9067640114451</v>
      </c>
      <c r="K13">
        <v>6.9739813466931899</v>
      </c>
      <c r="L13">
        <v>1.1263912154793017E-3</v>
      </c>
      <c r="M13">
        <v>1.6197632243779078E-4</v>
      </c>
      <c r="N13" s="1">
        <v>5.9173245791227702E-6</v>
      </c>
      <c r="O13" s="1">
        <v>8.0490001856930596E-7</v>
      </c>
      <c r="P13" s="1">
        <v>-3.4461127111050299E-6</v>
      </c>
      <c r="AE13">
        <v>100</v>
      </c>
      <c r="AJ13">
        <v>1</v>
      </c>
    </row>
    <row r="14" spans="1:36" x14ac:dyDescent="0.2">
      <c r="A14">
        <v>13</v>
      </c>
      <c r="B14">
        <v>736</v>
      </c>
      <c r="C14">
        <v>300</v>
      </c>
      <c r="D14">
        <v>0.25942674528068399</v>
      </c>
      <c r="E14">
        <v>4.17824489392628</v>
      </c>
      <c r="F14">
        <v>0.59331354305285799</v>
      </c>
      <c r="G14">
        <v>-89.602387483427137</v>
      </c>
      <c r="H14">
        <v>-53.561382816120783</v>
      </c>
      <c r="I14">
        <v>35.716588926926903</v>
      </c>
      <c r="J14">
        <v>16.110161927259799</v>
      </c>
      <c r="K14">
        <v>7.0422206653624997</v>
      </c>
      <c r="L14">
        <v>1.1272217876108106E-3</v>
      </c>
      <c r="M14">
        <v>1.6135210048428211E-4</v>
      </c>
      <c r="N14" s="1">
        <v>6.0587315128888299E-6</v>
      </c>
      <c r="O14" s="1">
        <v>8.0856904928676897E-7</v>
      </c>
      <c r="P14" s="1">
        <v>-3.4817396967674E-6</v>
      </c>
      <c r="AE14">
        <v>100</v>
      </c>
      <c r="AJ14">
        <v>1</v>
      </c>
    </row>
    <row r="15" spans="1:36" x14ac:dyDescent="0.2">
      <c r="A15">
        <v>14</v>
      </c>
      <c r="B15">
        <v>734</v>
      </c>
      <c r="C15">
        <v>300</v>
      </c>
      <c r="D15">
        <v>0.25781710768008598</v>
      </c>
      <c r="E15">
        <v>8.3892161950844706</v>
      </c>
      <c r="F15">
        <v>0.59465312782199797</v>
      </c>
      <c r="G15">
        <v>-179.76323049103883</v>
      </c>
      <c r="H15">
        <v>-107.60700510718614</v>
      </c>
      <c r="I15">
        <v>71.648737733720296</v>
      </c>
      <c r="J15">
        <v>32.369520220248397</v>
      </c>
      <c r="K15">
        <v>14.1077475297425</v>
      </c>
      <c r="L15">
        <v>1.1280322930175455E-3</v>
      </c>
      <c r="M15">
        <v>1.6072621321029814E-4</v>
      </c>
      <c r="N15" s="1">
        <v>1.230551286324E-5</v>
      </c>
      <c r="O15" s="1">
        <v>1.6113520429679399E-6</v>
      </c>
      <c r="P15" s="1">
        <v>-6.9785305034381502E-6</v>
      </c>
      <c r="AE15">
        <v>100</v>
      </c>
      <c r="AJ15">
        <v>1</v>
      </c>
    </row>
    <row r="16" spans="1:36" x14ac:dyDescent="0.2">
      <c r="A16">
        <v>15</v>
      </c>
      <c r="B16">
        <v>732</v>
      </c>
      <c r="C16">
        <v>300</v>
      </c>
      <c r="D16">
        <v>0.256201064517732</v>
      </c>
      <c r="E16">
        <v>9.4817596767697392</v>
      </c>
      <c r="F16">
        <v>0.59599669117238396</v>
      </c>
      <c r="G16">
        <v>-203.01224911084958</v>
      </c>
      <c r="H16">
        <v>-121.69406480870295</v>
      </c>
      <c r="I16">
        <v>80.906939608297606</v>
      </c>
      <c r="J16">
        <v>36.610952120955403</v>
      </c>
      <c r="K16">
        <v>15.909081069088099</v>
      </c>
      <c r="L16">
        <v>1.1288225443230099E-3</v>
      </c>
      <c r="M16">
        <v>1.6009869003430548E-4</v>
      </c>
      <c r="N16" s="1">
        <v>1.4066956236177799E-5</v>
      </c>
      <c r="O16" s="1">
        <v>1.80751527500168E-6</v>
      </c>
      <c r="P16" s="1">
        <v>-7.8732231362255703E-6</v>
      </c>
      <c r="AE16">
        <v>100</v>
      </c>
      <c r="AJ16">
        <v>1</v>
      </c>
    </row>
    <row r="17" spans="1:36" x14ac:dyDescent="0.2">
      <c r="A17">
        <v>16</v>
      </c>
      <c r="B17">
        <v>730</v>
      </c>
      <c r="C17">
        <v>300</v>
      </c>
      <c r="D17">
        <v>0.25457857748093798</v>
      </c>
      <c r="E17">
        <v>9.8499609002286093</v>
      </c>
      <c r="F17">
        <v>0.59734422209120597</v>
      </c>
      <c r="G17">
        <v>-210.72771741977874</v>
      </c>
      <c r="H17">
        <v>-126.49585181620091</v>
      </c>
      <c r="I17">
        <v>83.972987445608098</v>
      </c>
      <c r="J17">
        <v>38.059414391633503</v>
      </c>
      <c r="K17">
        <v>16.4895893120812</v>
      </c>
      <c r="L17">
        <v>1.1295923558735388E-3</v>
      </c>
      <c r="M17">
        <v>1.5946956080186586E-4</v>
      </c>
      <c r="N17" s="1">
        <v>1.4778197091470401E-5</v>
      </c>
      <c r="O17" s="1">
        <v>1.8635009348158899E-6</v>
      </c>
      <c r="P17" s="1">
        <v>-8.1639412551870801E-6</v>
      </c>
      <c r="AE17">
        <v>100</v>
      </c>
      <c r="AJ17">
        <v>1</v>
      </c>
    </row>
    <row r="18" spans="1:36" x14ac:dyDescent="0.2">
      <c r="A18">
        <v>17</v>
      </c>
      <c r="B18">
        <v>728</v>
      </c>
      <c r="C18">
        <v>300</v>
      </c>
      <c r="D18">
        <v>0.25294960795086002</v>
      </c>
      <c r="E18">
        <v>10.045798900508499</v>
      </c>
      <c r="F18">
        <v>0.59869570917367299</v>
      </c>
      <c r="G18">
        <v>-214.74622131564675</v>
      </c>
      <c r="H18">
        <v>-129.08851559786351</v>
      </c>
      <c r="I18">
        <v>85.565054727859803</v>
      </c>
      <c r="J18">
        <v>38.843277687662102</v>
      </c>
      <c r="K18">
        <v>16.779473690188698</v>
      </c>
      <c r="L18">
        <v>1.1303415437932047E-3</v>
      </c>
      <c r="M18">
        <v>1.5883885577976824E-4</v>
      </c>
      <c r="N18" s="1">
        <v>1.52401981310131E-5</v>
      </c>
      <c r="O18" s="1">
        <v>1.8860781677572099E-6</v>
      </c>
      <c r="P18" s="1">
        <v>-8.3105967830581094E-6</v>
      </c>
      <c r="AE18">
        <v>100</v>
      </c>
      <c r="AJ18">
        <v>1</v>
      </c>
    </row>
    <row r="19" spans="1:36" x14ac:dyDescent="0.2">
      <c r="A19">
        <v>18</v>
      </c>
      <c r="B19">
        <v>726</v>
      </c>
      <c r="C19">
        <v>300</v>
      </c>
      <c r="D19">
        <v>0.251314116999449</v>
      </c>
      <c r="E19">
        <v>10.170586370467101</v>
      </c>
      <c r="F19">
        <v>0.60005114062123599</v>
      </c>
      <c r="G19">
        <v>-217.24059077797116</v>
      </c>
      <c r="H19">
        <v>-130.77071353325286</v>
      </c>
      <c r="I19">
        <v>86.549264353485398</v>
      </c>
      <c r="J19">
        <v>39.353142994822399</v>
      </c>
      <c r="K19">
        <v>16.949532601400399</v>
      </c>
      <c r="L19">
        <v>1.1310699260382569E-3</v>
      </c>
      <c r="M19">
        <v>1.5820660564996687E-4</v>
      </c>
      <c r="N19" s="1">
        <v>1.5599664703028998E-5</v>
      </c>
      <c r="O19" s="1">
        <v>1.89486929327079E-6</v>
      </c>
      <c r="P19" s="1">
        <v>-8.3976274631554907E-6</v>
      </c>
      <c r="AE19">
        <v>100</v>
      </c>
      <c r="AJ19">
        <v>1</v>
      </c>
    </row>
    <row r="20" spans="1:36" x14ac:dyDescent="0.2">
      <c r="A20">
        <v>19</v>
      </c>
      <c r="B20">
        <v>724</v>
      </c>
      <c r="C20">
        <v>300</v>
      </c>
      <c r="D20">
        <v>0.249672065386352</v>
      </c>
      <c r="E20">
        <v>10.2584763003587</v>
      </c>
      <c r="F20">
        <v>0.60141050423989995</v>
      </c>
      <c r="G20">
        <v>-218.94337774892838</v>
      </c>
      <c r="H20">
        <v>-131.98019294937632</v>
      </c>
      <c r="I20">
        <v>87.217625562486802</v>
      </c>
      <c r="J20">
        <v>39.7206684453786</v>
      </c>
      <c r="K20">
        <v>17.057361366383301</v>
      </c>
      <c r="L20">
        <v>1.1317773224516824E-3</v>
      </c>
      <c r="M20">
        <v>1.5757284150336493E-4</v>
      </c>
      <c r="N20" s="1">
        <v>1.5905954401195499E-5</v>
      </c>
      <c r="O20" s="1">
        <v>1.8964966432191401E-6</v>
      </c>
      <c r="P20" s="1">
        <v>-8.4535040109310099E-6</v>
      </c>
      <c r="AE20">
        <v>100</v>
      </c>
      <c r="AJ20">
        <v>1</v>
      </c>
    </row>
    <row r="21" spans="1:36" x14ac:dyDescent="0.2">
      <c r="A21">
        <v>20</v>
      </c>
      <c r="B21">
        <v>760</v>
      </c>
      <c r="C21">
        <v>280</v>
      </c>
      <c r="D21">
        <v>0.29955040410395301</v>
      </c>
      <c r="E21">
        <v>4.2028285577680302</v>
      </c>
      <c r="F21">
        <v>0.55727281173612397</v>
      </c>
      <c r="G21">
        <v>-91.144521255851359</v>
      </c>
      <c r="H21">
        <v>-53.461800980722465</v>
      </c>
      <c r="I21">
        <v>36.475947724641003</v>
      </c>
      <c r="J21">
        <v>16.175854208502901</v>
      </c>
      <c r="K21">
        <v>7.5417793031649403</v>
      </c>
      <c r="L21">
        <v>1.1801103374306891E-3</v>
      </c>
      <c r="M21">
        <v>1.8942560748166481E-4</v>
      </c>
      <c r="N21" s="1">
        <v>5.6768920220664098E-6</v>
      </c>
      <c r="O21" s="1">
        <v>1.1352285761007E-6</v>
      </c>
      <c r="P21" s="1">
        <v>-4.2550470311854502E-6</v>
      </c>
      <c r="AE21">
        <v>100</v>
      </c>
      <c r="AJ21">
        <v>1</v>
      </c>
    </row>
    <row r="22" spans="1:36" x14ac:dyDescent="0.2">
      <c r="A22">
        <v>21</v>
      </c>
      <c r="B22">
        <v>758</v>
      </c>
      <c r="C22">
        <v>280</v>
      </c>
      <c r="D22">
        <v>0.29805605392037998</v>
      </c>
      <c r="E22">
        <v>4.2130554175166601</v>
      </c>
      <c r="F22">
        <v>0.55859036308921095</v>
      </c>
      <c r="G22">
        <v>-91.293207764671891</v>
      </c>
      <c r="H22">
        <v>-53.62433498983124</v>
      </c>
      <c r="I22">
        <v>36.533272311362801</v>
      </c>
      <c r="J22">
        <v>16.2286981222619</v>
      </c>
      <c r="K22">
        <v>7.5422987862105497</v>
      </c>
      <c r="L22">
        <v>1.181380028165392E-3</v>
      </c>
      <c r="M22">
        <v>1.8874294876228292E-4</v>
      </c>
      <c r="N22" s="1">
        <v>5.7768318889565797E-6</v>
      </c>
      <c r="O22" s="1">
        <v>1.1301755754847301E-6</v>
      </c>
      <c r="P22" s="1">
        <v>-4.2612476483226899E-6</v>
      </c>
      <c r="AE22">
        <v>100</v>
      </c>
      <c r="AJ22">
        <v>1</v>
      </c>
    </row>
    <row r="23" spans="1:36" x14ac:dyDescent="0.2">
      <c r="A23">
        <v>22</v>
      </c>
      <c r="B23">
        <v>756</v>
      </c>
      <c r="C23">
        <v>280</v>
      </c>
      <c r="D23">
        <v>0.29655589564203599</v>
      </c>
      <c r="E23">
        <v>4.23830432544709</v>
      </c>
      <c r="F23">
        <v>0.55991243986604</v>
      </c>
      <c r="G23">
        <v>-91.766856667789199</v>
      </c>
      <c r="H23">
        <v>-53.978371922792888</v>
      </c>
      <c r="I23">
        <v>36.720507373068003</v>
      </c>
      <c r="J23">
        <v>16.339478929290301</v>
      </c>
      <c r="K23">
        <v>7.5695841415152501</v>
      </c>
      <c r="L23">
        <v>1.1826291867375704E-3</v>
      </c>
      <c r="M23">
        <v>1.8805760567189728E-4</v>
      </c>
      <c r="N23" s="1">
        <v>5.8982900354405997E-6</v>
      </c>
      <c r="O23" s="1">
        <v>1.12908076770971E-6</v>
      </c>
      <c r="P23" s="1">
        <v>-4.2824188853898101E-6</v>
      </c>
      <c r="AE23">
        <v>100</v>
      </c>
      <c r="AJ23">
        <v>1</v>
      </c>
    </row>
    <row r="24" spans="1:36" x14ac:dyDescent="0.2">
      <c r="A24">
        <v>23</v>
      </c>
      <c r="B24">
        <v>754</v>
      </c>
      <c r="C24">
        <v>280</v>
      </c>
      <c r="D24">
        <v>0.29504989534147702</v>
      </c>
      <c r="E24">
        <v>4.2632561629618699</v>
      </c>
      <c r="F24">
        <v>0.56123903625165195</v>
      </c>
      <c r="G24">
        <v>-92.233267096115853</v>
      </c>
      <c r="H24">
        <v>-54.329039481019976</v>
      </c>
      <c r="I24">
        <v>36.904704582647298</v>
      </c>
      <c r="J24">
        <v>16.449231219674601</v>
      </c>
      <c r="K24">
        <v>7.5961504592319304</v>
      </c>
      <c r="L24">
        <v>1.1838575512406082E-3</v>
      </c>
      <c r="M24">
        <v>1.8736960683395947E-4</v>
      </c>
      <c r="N24" s="1">
        <v>6.0205450955054898E-6</v>
      </c>
      <c r="O24" s="1">
        <v>1.12780840666784E-6</v>
      </c>
      <c r="P24" s="1">
        <v>-4.3030477029448701E-6</v>
      </c>
      <c r="AE24">
        <v>100</v>
      </c>
      <c r="AJ24">
        <v>1</v>
      </c>
    </row>
    <row r="25" spans="1:36" x14ac:dyDescent="0.2">
      <c r="A25">
        <v>24</v>
      </c>
      <c r="B25">
        <v>752</v>
      </c>
      <c r="C25">
        <v>280</v>
      </c>
      <c r="D25">
        <v>0.29353801882651298</v>
      </c>
      <c r="E25">
        <v>4.2879155797580397</v>
      </c>
      <c r="F25">
        <v>0.56257014599264399</v>
      </c>
      <c r="G25">
        <v>-92.692556298895198</v>
      </c>
      <c r="H25">
        <v>-54.676390467626888</v>
      </c>
      <c r="I25">
        <v>37.085909027821501</v>
      </c>
      <c r="J25">
        <v>16.557967766228899</v>
      </c>
      <c r="K25">
        <v>7.6220105355788101</v>
      </c>
      <c r="L25">
        <v>1.1850648611981401E-3</v>
      </c>
      <c r="M25">
        <v>1.8667898159666923E-4</v>
      </c>
      <c r="N25" s="1">
        <v>6.1435737861228201E-6</v>
      </c>
      <c r="O25" s="1">
        <v>1.12636184797009E-6</v>
      </c>
      <c r="P25" s="1">
        <v>-4.3231353070088697E-6</v>
      </c>
      <c r="AE25">
        <v>100</v>
      </c>
      <c r="AJ25">
        <v>1</v>
      </c>
    </row>
    <row r="26" spans="1:36" x14ac:dyDescent="0.2">
      <c r="A26">
        <v>25</v>
      </c>
      <c r="B26">
        <v>750</v>
      </c>
      <c r="C26">
        <v>280</v>
      </c>
      <c r="D26">
        <v>0.292020231637589</v>
      </c>
      <c r="E26">
        <v>4.3122871212782199</v>
      </c>
      <c r="F26">
        <v>0.56390576239388301</v>
      </c>
      <c r="G26">
        <v>-93.144838929773201</v>
      </c>
      <c r="H26">
        <v>-55.020476482675676</v>
      </c>
      <c r="I26">
        <v>37.264164787756499</v>
      </c>
      <c r="J26">
        <v>16.665700975106699</v>
      </c>
      <c r="K26">
        <v>7.6471769023458203</v>
      </c>
      <c r="L26">
        <v>1.1862508576521245E-3</v>
      </c>
      <c r="M26">
        <v>1.8598576002979914E-4</v>
      </c>
      <c r="N26" s="1">
        <v>6.2673524759739498E-6</v>
      </c>
      <c r="O26" s="1">
        <v>1.1247444090018599E-6</v>
      </c>
      <c r="P26" s="1">
        <v>-4.3426828853617301E-6</v>
      </c>
      <c r="AE26">
        <v>100</v>
      </c>
      <c r="AJ26">
        <v>1</v>
      </c>
    </row>
    <row r="27" spans="1:36" x14ac:dyDescent="0.2">
      <c r="A27">
        <v>26</v>
      </c>
      <c r="B27">
        <v>748</v>
      </c>
      <c r="C27">
        <v>280</v>
      </c>
      <c r="D27">
        <v>0.29049649904519698</v>
      </c>
      <c r="E27">
        <v>4.3363752312620703</v>
      </c>
      <c r="F27">
        <v>0.56524587831520201</v>
      </c>
      <c r="G27">
        <v>-93.590227111461004</v>
      </c>
      <c r="H27">
        <v>-55.36134795197534</v>
      </c>
      <c r="I27">
        <v>37.439514958308699</v>
      </c>
      <c r="J27">
        <v>16.772442894857502</v>
      </c>
      <c r="K27">
        <v>7.6716618335851798</v>
      </c>
      <c r="L27">
        <v>1.1874152832506907E-3</v>
      </c>
      <c r="M27">
        <v>1.8528997292108904E-4</v>
      </c>
      <c r="N27" s="1">
        <v>6.3918571921756597E-6</v>
      </c>
      <c r="O27" s="1">
        <v>1.1229593701570099E-6</v>
      </c>
      <c r="P27" s="1">
        <v>-4.3616916119741898E-6</v>
      </c>
      <c r="AE27">
        <v>100</v>
      </c>
      <c r="AJ27">
        <v>1</v>
      </c>
    </row>
    <row r="28" spans="1:36" x14ac:dyDescent="0.2">
      <c r="A28">
        <v>27</v>
      </c>
      <c r="B28">
        <v>746</v>
      </c>
      <c r="C28">
        <v>280</v>
      </c>
      <c r="D28">
        <v>0.288966786047197</v>
      </c>
      <c r="E28">
        <v>4.3601842544678702</v>
      </c>
      <c r="F28">
        <v>0.56659048616824004</v>
      </c>
      <c r="G28">
        <v>-94.028830503779986</v>
      </c>
      <c r="H28">
        <v>-55.699054158164245</v>
      </c>
      <c r="I28">
        <v>37.612001678646003</v>
      </c>
      <c r="J28">
        <v>16.8782052262004</v>
      </c>
      <c r="K28">
        <v>7.6954773525321301</v>
      </c>
      <c r="L28">
        <v>1.188557882336316E-3</v>
      </c>
      <c r="M28">
        <v>1.8459165177229229E-4</v>
      </c>
      <c r="N28" s="1">
        <v>6.5170636277498699E-6</v>
      </c>
      <c r="O28" s="1">
        <v>1.12100997607765E-6</v>
      </c>
      <c r="P28" s="1">
        <v>-4.3801626515920101E-6</v>
      </c>
      <c r="AE28">
        <v>100</v>
      </c>
      <c r="AJ28">
        <v>1</v>
      </c>
    </row>
    <row r="29" spans="1:36" x14ac:dyDescent="0.2">
      <c r="A29">
        <v>28</v>
      </c>
      <c r="B29">
        <v>744</v>
      </c>
      <c r="C29">
        <v>280</v>
      </c>
      <c r="D29">
        <v>0.28743105736617303</v>
      </c>
      <c r="E29">
        <v>4.3837184390336601</v>
      </c>
      <c r="F29">
        <v>0.56793957791337202</v>
      </c>
      <c r="G29">
        <v>-94.460756363642119</v>
      </c>
      <c r="H29">
        <v>-56.033643267306438</v>
      </c>
      <c r="I29">
        <v>37.781666154665103</v>
      </c>
      <c r="J29">
        <v>16.9829993304532</v>
      </c>
      <c r="K29">
        <v>7.7186352378180398</v>
      </c>
      <c r="L29">
        <v>1.189678401033136E-3</v>
      </c>
      <c r="M29">
        <v>1.8389082879471361E-4</v>
      </c>
      <c r="N29" s="1">
        <v>6.6429471490585497E-6</v>
      </c>
      <c r="O29" s="1">
        <v>1.1188994367602299E-6</v>
      </c>
      <c r="P29" s="1">
        <v>-4.3980971639284797E-6</v>
      </c>
      <c r="AE29">
        <v>100</v>
      </c>
      <c r="AJ29">
        <v>1</v>
      </c>
    </row>
    <row r="30" spans="1:36" x14ac:dyDescent="0.2">
      <c r="A30">
        <v>29</v>
      </c>
      <c r="B30">
        <v>742</v>
      </c>
      <c r="C30">
        <v>280</v>
      </c>
      <c r="D30">
        <v>0.28588927744668102</v>
      </c>
      <c r="E30">
        <v>4.4069819390239102</v>
      </c>
      <c r="F30">
        <v>0.56929314505667195</v>
      </c>
      <c r="G30">
        <v>-94.886109608757721</v>
      </c>
      <c r="H30">
        <v>-56.365162357959839</v>
      </c>
      <c r="I30">
        <v>37.948548683921601</v>
      </c>
      <c r="J30">
        <v>17.086836238732399</v>
      </c>
      <c r="K30">
        <v>7.7411470299457203</v>
      </c>
      <c r="L30">
        <v>1.1907765873347598E-3</v>
      </c>
      <c r="M30">
        <v>1.8318753690447324E-4</v>
      </c>
      <c r="N30" s="1">
        <v>6.7694828039734599E-6</v>
      </c>
      <c r="O30" s="1">
        <v>1.1166309286735801E-6</v>
      </c>
      <c r="P30" s="1">
        <v>-4.4154963080195403E-6</v>
      </c>
      <c r="AE30">
        <v>100</v>
      </c>
      <c r="AJ30">
        <v>1</v>
      </c>
    </row>
    <row r="31" spans="1:36" x14ac:dyDescent="0.2">
      <c r="A31">
        <v>30</v>
      </c>
      <c r="B31">
        <v>740</v>
      </c>
      <c r="C31">
        <v>280</v>
      </c>
      <c r="D31">
        <v>0.28434141045255101</v>
      </c>
      <c r="E31">
        <v>4.4299788165347902</v>
      </c>
      <c r="F31">
        <v>0.57065117864704296</v>
      </c>
      <c r="G31">
        <v>-95.304992871565929</v>
      </c>
      <c r="H31">
        <v>-56.693657444708954</v>
      </c>
      <c r="I31">
        <v>38.1126886766694</v>
      </c>
      <c r="J31">
        <v>17.189726659489398</v>
      </c>
      <c r="K31">
        <v>7.7630240369218502</v>
      </c>
      <c r="L31">
        <v>1.191852191190932E-3</v>
      </c>
      <c r="M31">
        <v>1.8248180971718918E-4</v>
      </c>
      <c r="N31" s="1">
        <v>6.8966453298448702E-6</v>
      </c>
      <c r="O31" s="1">
        <v>1.1142075957248499E-6</v>
      </c>
      <c r="P31" s="1">
        <v>-4.4323612460983697E-6</v>
      </c>
      <c r="AE31">
        <v>100</v>
      </c>
      <c r="AJ31">
        <v>1</v>
      </c>
    </row>
    <row r="32" spans="1:36" x14ac:dyDescent="0.2">
      <c r="A32">
        <v>31</v>
      </c>
      <c r="B32">
        <v>738</v>
      </c>
      <c r="C32">
        <v>280</v>
      </c>
      <c r="D32">
        <v>0.28278742026405701</v>
      </c>
      <c r="E32">
        <v>4.4527130441416398</v>
      </c>
      <c r="F32">
        <v>0.57201366927340502</v>
      </c>
      <c r="G32">
        <v>-95.717506560287646</v>
      </c>
      <c r="H32">
        <v>-57.019173506170262</v>
      </c>
      <c r="I32">
        <v>38.274124679769699</v>
      </c>
      <c r="J32">
        <v>17.291680987425899</v>
      </c>
      <c r="K32">
        <v>7.7842773404307799</v>
      </c>
      <c r="L32">
        <v>1.1929049645947557E-3</v>
      </c>
      <c r="M32">
        <v>1.8177368154242027E-4</v>
      </c>
      <c r="N32" s="1">
        <v>7.0244091624338901E-6</v>
      </c>
      <c r="O32" s="1">
        <v>1.1116325502789099E-6</v>
      </c>
      <c r="P32" s="1">
        <v>-4.4486931477850904E-6</v>
      </c>
      <c r="AE32">
        <v>100</v>
      </c>
      <c r="AJ32">
        <v>1</v>
      </c>
    </row>
    <row r="33" spans="1:36" x14ac:dyDescent="0.2">
      <c r="A33">
        <v>32</v>
      </c>
      <c r="B33">
        <v>736</v>
      </c>
      <c r="C33">
        <v>280</v>
      </c>
      <c r="D33">
        <v>0.281227270475152</v>
      </c>
      <c r="E33">
        <v>9.2048365223938706</v>
      </c>
      <c r="F33">
        <v>0.57338060706197302</v>
      </c>
      <c r="G33">
        <v>-197.71310041421168</v>
      </c>
      <c r="H33">
        <v>-117.9439648930739</v>
      </c>
      <c r="I33">
        <v>79.051085660048102</v>
      </c>
      <c r="J33">
        <v>35.774369200276297</v>
      </c>
      <c r="K33">
        <v>16.053623734433302</v>
      </c>
      <c r="L33">
        <v>1.193934661668567E-3</v>
      </c>
      <c r="M33">
        <v>1.8106318737758537E-4</v>
      </c>
      <c r="N33" s="1">
        <v>1.47122026293752E-5</v>
      </c>
      <c r="O33" s="1">
        <v>2.2808703785145399E-6</v>
      </c>
      <c r="P33" s="1">
        <v>-9.1828377599672005E-6</v>
      </c>
      <c r="AE33">
        <v>100</v>
      </c>
      <c r="AJ33">
        <v>1</v>
      </c>
    </row>
    <row r="34" spans="1:36" x14ac:dyDescent="0.2">
      <c r="A34">
        <v>33</v>
      </c>
      <c r="B34">
        <v>734</v>
      </c>
      <c r="C34">
        <v>280</v>
      </c>
      <c r="D34">
        <v>0.27966092439060802</v>
      </c>
      <c r="E34">
        <v>9.7547238605378794</v>
      </c>
      <c r="F34">
        <v>0.57475198167363295</v>
      </c>
      <c r="G34">
        <v>-209.35680309902534</v>
      </c>
      <c r="H34">
        <v>-125.06566724103398</v>
      </c>
      <c r="I34">
        <v>83.698275440592795</v>
      </c>
      <c r="J34">
        <v>37.941321839341697</v>
      </c>
      <c r="K34">
        <v>16.972057812019798</v>
      </c>
      <c r="L34">
        <v>1.1949410387499444E-3</v>
      </c>
      <c r="M34">
        <v>1.8035036290151807E-4</v>
      </c>
      <c r="N34" s="1">
        <v>1.57936177170249E-5</v>
      </c>
      <c r="O34" s="1">
        <v>2.3989615020665401E-6</v>
      </c>
      <c r="P34" s="1">
        <v>-9.71644937831146E-6</v>
      </c>
      <c r="AE34">
        <v>100</v>
      </c>
      <c r="AJ34">
        <v>1</v>
      </c>
    </row>
    <row r="35" spans="1:36" x14ac:dyDescent="0.2">
      <c r="A35">
        <v>34</v>
      </c>
      <c r="B35">
        <v>732</v>
      </c>
      <c r="C35">
        <v>280</v>
      </c>
      <c r="D35">
        <v>0.27808834502313201</v>
      </c>
      <c r="E35">
        <v>10.0032333160412</v>
      </c>
      <c r="F35">
        <v>0.576127782301464</v>
      </c>
      <c r="G35">
        <v>-214.51875268248492</v>
      </c>
      <c r="H35">
        <v>-128.32966223884836</v>
      </c>
      <c r="I35">
        <v>85.7531860001083</v>
      </c>
      <c r="J35">
        <v>38.938353645464503</v>
      </c>
      <c r="K35">
        <v>17.3628726531486</v>
      </c>
      <c r="L35">
        <v>1.1959238544771412E-3</v>
      </c>
      <c r="M35">
        <v>1.796352444676363E-4</v>
      </c>
      <c r="N35" s="1">
        <v>1.6403682832286399E-5</v>
      </c>
      <c r="O35" s="1">
        <v>2.44145187591183E-6</v>
      </c>
      <c r="P35" s="1">
        <v>-9.9481731389131698E-6</v>
      </c>
      <c r="AE35">
        <v>100</v>
      </c>
      <c r="AJ35">
        <v>1</v>
      </c>
    </row>
    <row r="36" spans="1:36" x14ac:dyDescent="0.2">
      <c r="A36">
        <v>35</v>
      </c>
      <c r="B36">
        <v>730</v>
      </c>
      <c r="C36">
        <v>280</v>
      </c>
      <c r="D36">
        <v>0.27650949509046802</v>
      </c>
      <c r="E36">
        <v>10.150150719447501</v>
      </c>
      <c r="F36">
        <v>0.57750799766829697</v>
      </c>
      <c r="G36">
        <v>-217.49544119878828</v>
      </c>
      <c r="H36">
        <v>-130.29349015785425</v>
      </c>
      <c r="I36">
        <v>86.933917739586605</v>
      </c>
      <c r="J36">
        <v>39.540985199499801</v>
      </c>
      <c r="K36">
        <v>17.575775158835999</v>
      </c>
      <c r="L36">
        <v>1.1968828698734376E-3</v>
      </c>
      <c r="M36">
        <v>1.7891786909665164E-4</v>
      </c>
      <c r="N36" s="1">
        <v>1.6855353127298599E-5</v>
      </c>
      <c r="O36" s="1">
        <v>2.4584157725434501E-6</v>
      </c>
      <c r="P36" s="1">
        <v>-1.00777631662364E-5</v>
      </c>
      <c r="AE36">
        <v>100</v>
      </c>
      <c r="AJ36">
        <v>1</v>
      </c>
    </row>
    <row r="37" spans="1:36" x14ac:dyDescent="0.2">
      <c r="A37">
        <v>36</v>
      </c>
      <c r="B37">
        <v>728</v>
      </c>
      <c r="C37">
        <v>280</v>
      </c>
      <c r="D37">
        <v>0.27492433701243602</v>
      </c>
      <c r="E37">
        <v>10.2492520636692</v>
      </c>
      <c r="F37">
        <v>0.578892616024408</v>
      </c>
      <c r="G37">
        <v>-219.44347966560994</v>
      </c>
      <c r="H37">
        <v>-131.64550011811821</v>
      </c>
      <c r="I37">
        <v>87.702986364579502</v>
      </c>
      <c r="J37">
        <v>39.957935185146397</v>
      </c>
      <c r="K37">
        <v>17.704927960658299</v>
      </c>
      <c r="L37">
        <v>1.1978178484315137E-3</v>
      </c>
      <c r="M37">
        <v>1.7819827446896854E-4</v>
      </c>
      <c r="N37" s="1">
        <v>1.72326778557187E-5</v>
      </c>
      <c r="O37" s="1">
        <v>2.4633470248882802E-6</v>
      </c>
      <c r="P37" s="1">
        <v>-1.01589963065019E-5</v>
      </c>
      <c r="AE37">
        <v>100</v>
      </c>
      <c r="AJ37">
        <v>1</v>
      </c>
    </row>
    <row r="38" spans="1:36" x14ac:dyDescent="0.2">
      <c r="A38">
        <v>37</v>
      </c>
      <c r="B38">
        <v>726</v>
      </c>
      <c r="C38">
        <v>280</v>
      </c>
      <c r="D38">
        <v>0.273332832907971</v>
      </c>
      <c r="E38">
        <v>10.321590711191799</v>
      </c>
      <c r="F38">
        <v>0.58028162514532799</v>
      </c>
      <c r="G38">
        <v>-220.81573594858557</v>
      </c>
      <c r="H38">
        <v>-132.65515757914434</v>
      </c>
      <c r="I38">
        <v>88.241490284205994</v>
      </c>
      <c r="J38">
        <v>40.270905091402</v>
      </c>
      <c r="K38">
        <v>17.787209285847698</v>
      </c>
      <c r="L38">
        <v>1.1987285561967252E-3</v>
      </c>
      <c r="M38">
        <v>1.7747649891661942E-4</v>
      </c>
      <c r="N38" s="1">
        <v>1.7568473430371598E-5</v>
      </c>
      <c r="O38" s="1">
        <v>2.4615352300416501E-6</v>
      </c>
      <c r="P38" s="1">
        <v>-1.02129297207415E-5</v>
      </c>
      <c r="AE38">
        <v>100</v>
      </c>
      <c r="AJ38">
        <v>1</v>
      </c>
    </row>
    <row r="39" spans="1:36" x14ac:dyDescent="0.2">
      <c r="A39">
        <v>38</v>
      </c>
      <c r="B39">
        <v>760</v>
      </c>
      <c r="C39">
        <v>260</v>
      </c>
      <c r="D39">
        <v>0.320844504670183</v>
      </c>
      <c r="E39">
        <v>4.52751121176472</v>
      </c>
      <c r="F39">
        <v>0.53523282891560098</v>
      </c>
      <c r="G39">
        <v>-98.351482759001669</v>
      </c>
      <c r="H39">
        <v>-57.549446713660515</v>
      </c>
      <c r="I39">
        <v>39.495355916640897</v>
      </c>
      <c r="J39">
        <v>17.556047902708499</v>
      </c>
      <c r="K39">
        <v>8.4589564899028993</v>
      </c>
      <c r="L39">
        <v>1.2526337723695736E-3</v>
      </c>
      <c r="M39">
        <v>2.150466120372842E-4</v>
      </c>
      <c r="N39" s="1">
        <v>6.5010434459630401E-6</v>
      </c>
      <c r="O39" s="1">
        <v>1.6002933648822901E-6</v>
      </c>
      <c r="P39" s="1">
        <v>-5.5397824455160799E-6</v>
      </c>
      <c r="AE39">
        <v>100</v>
      </c>
      <c r="AJ39">
        <v>1</v>
      </c>
    </row>
    <row r="40" spans="1:36" x14ac:dyDescent="0.2">
      <c r="A40">
        <v>39</v>
      </c>
      <c r="B40">
        <v>758</v>
      </c>
      <c r="C40">
        <v>260</v>
      </c>
      <c r="D40">
        <v>0.31939145614120401</v>
      </c>
      <c r="E40">
        <v>4.5373738489709803</v>
      </c>
      <c r="F40">
        <v>0.53657626636747402</v>
      </c>
      <c r="G40">
        <v>-98.486600912616112</v>
      </c>
      <c r="H40">
        <v>-57.710016243481626</v>
      </c>
      <c r="I40">
        <v>39.547283356521802</v>
      </c>
      <c r="J40">
        <v>17.610700715883201</v>
      </c>
      <c r="K40">
        <v>8.4561583010150603</v>
      </c>
      <c r="L40">
        <v>1.2542232354384919E-3</v>
      </c>
      <c r="M40">
        <v>2.142736733401142E-4</v>
      </c>
      <c r="N40" s="1">
        <v>6.6312693682118203E-6</v>
      </c>
      <c r="O40" s="1">
        <v>1.59290130565397E-6</v>
      </c>
      <c r="P40" s="1">
        <v>-5.5485626353575697E-6</v>
      </c>
      <c r="AE40">
        <v>100</v>
      </c>
      <c r="AJ40">
        <v>1</v>
      </c>
    </row>
    <row r="41" spans="1:36" x14ac:dyDescent="0.2">
      <c r="A41">
        <v>40</v>
      </c>
      <c r="B41">
        <v>756</v>
      </c>
      <c r="C41">
        <v>260</v>
      </c>
      <c r="D41">
        <v>0.317932760044698</v>
      </c>
      <c r="E41">
        <v>4.5614864066754697</v>
      </c>
      <c r="F41">
        <v>0.53792477325695998</v>
      </c>
      <c r="G41">
        <v>-98.930498876821588</v>
      </c>
      <c r="H41">
        <v>-58.052124424269358</v>
      </c>
      <c r="I41">
        <v>39.723057683701498</v>
      </c>
      <c r="J41">
        <v>17.720736827366299</v>
      </c>
      <c r="K41">
        <v>8.4797849689225995</v>
      </c>
      <c r="L41">
        <v>1.2557891818809426E-3</v>
      </c>
      <c r="M41">
        <v>2.1349698473430834E-4</v>
      </c>
      <c r="N41" s="1">
        <v>6.7835842183979402E-6</v>
      </c>
      <c r="O41" s="1">
        <v>1.5904121177934899E-6</v>
      </c>
      <c r="P41" s="1">
        <v>-5.5744730120451499E-6</v>
      </c>
      <c r="AE41">
        <v>100</v>
      </c>
      <c r="AJ41">
        <v>1</v>
      </c>
    </row>
    <row r="42" spans="1:36" x14ac:dyDescent="0.2">
      <c r="A42">
        <v>41</v>
      </c>
      <c r="B42">
        <v>754</v>
      </c>
      <c r="C42">
        <v>260</v>
      </c>
      <c r="D42">
        <v>0.31646838339093702</v>
      </c>
      <c r="E42">
        <v>4.5853319916549902</v>
      </c>
      <c r="F42">
        <v>0.53927834529111296</v>
      </c>
      <c r="G42">
        <v>-99.367840279352606</v>
      </c>
      <c r="H42">
        <v>-58.391240424792329</v>
      </c>
      <c r="I42">
        <v>39.8960462085358</v>
      </c>
      <c r="J42">
        <v>17.829859238906899</v>
      </c>
      <c r="K42">
        <v>8.5027185528462805</v>
      </c>
      <c r="L42">
        <v>1.2573312589863942E-3</v>
      </c>
      <c r="M42">
        <v>2.1271657778253823E-4</v>
      </c>
      <c r="N42" s="1">
        <v>6.9371067295376696E-6</v>
      </c>
      <c r="O42" s="1">
        <v>1.58769708003685E-6</v>
      </c>
      <c r="P42" s="1">
        <v>-5.5997447411885397E-6</v>
      </c>
      <c r="AE42">
        <v>100</v>
      </c>
      <c r="AJ42">
        <v>1</v>
      </c>
    </row>
    <row r="43" spans="1:36" x14ac:dyDescent="0.2">
      <c r="A43">
        <v>42</v>
      </c>
      <c r="B43">
        <v>752</v>
      </c>
      <c r="C43">
        <v>260</v>
      </c>
      <c r="D43">
        <v>0.31499829293274201</v>
      </c>
      <c r="E43">
        <v>4.6089149450937903</v>
      </c>
      <c r="F43">
        <v>0.54063697764063301</v>
      </c>
      <c r="G43">
        <v>-99.798734345160852</v>
      </c>
      <c r="H43">
        <v>-58.727413748764974</v>
      </c>
      <c r="I43">
        <v>40.066290884794597</v>
      </c>
      <c r="J43">
        <v>17.938079065297401</v>
      </c>
      <c r="K43">
        <v>8.52497171985409</v>
      </c>
      <c r="L43">
        <v>1.2588491156507507E-3</v>
      </c>
      <c r="M43">
        <v>2.1193248516678911E-4</v>
      </c>
      <c r="N43" s="1">
        <v>7.0918061268578098E-6</v>
      </c>
      <c r="O43" s="1">
        <v>1.5847601433118E-6</v>
      </c>
      <c r="P43" s="1">
        <v>-5.6243770181009699E-6</v>
      </c>
      <c r="AE43">
        <v>100</v>
      </c>
      <c r="AJ43">
        <v>1</v>
      </c>
    </row>
    <row r="44" spans="1:36" x14ac:dyDescent="0.2">
      <c r="A44">
        <v>43</v>
      </c>
      <c r="B44">
        <v>750</v>
      </c>
      <c r="C44">
        <v>260</v>
      </c>
      <c r="D44">
        <v>0.313522455162978</v>
      </c>
      <c r="E44">
        <v>4.6322395184779399</v>
      </c>
      <c r="F44">
        <v>0.54200066493503596</v>
      </c>
      <c r="G44">
        <v>-100.223288037148</v>
      </c>
      <c r="H44">
        <v>-59.060692873608495</v>
      </c>
      <c r="I44">
        <v>40.233832786438001</v>
      </c>
      <c r="J44">
        <v>18.045407100976501</v>
      </c>
      <c r="K44">
        <v>8.5465568922007797</v>
      </c>
      <c r="L44">
        <v>1.26034240251949E-3</v>
      </c>
      <c r="M44">
        <v>2.1114474068828666E-4</v>
      </c>
      <c r="N44" s="1">
        <v>7.24765099616216E-6</v>
      </c>
      <c r="O44" s="1">
        <v>1.5816052266427201E-6</v>
      </c>
      <c r="P44" s="1">
        <v>-5.6483690368759201E-6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260</v>
      </c>
      <c r="D45">
        <v>0.31204083631200402</v>
      </c>
      <c r="E45">
        <v>4.6553098760730602</v>
      </c>
      <c r="F45">
        <v>0.54336940125788002</v>
      </c>
      <c r="G45">
        <v>-100.64160611807311</v>
      </c>
      <c r="H45">
        <v>-59.391125278812702</v>
      </c>
      <c r="I45">
        <v>40.398712131851603</v>
      </c>
      <c r="J45">
        <v>18.151853829266098</v>
      </c>
      <c r="K45">
        <v>8.5674862539115892</v>
      </c>
      <c r="L45">
        <v>1.2618107721300393E-3</v>
      </c>
      <c r="M45">
        <v>2.10353379266537E-4</v>
      </c>
      <c r="N45" s="1">
        <v>7.4046092941889699E-6</v>
      </c>
      <c r="O45" s="1">
        <v>1.5782362186908899E-6</v>
      </c>
      <c r="P45" s="1">
        <v>-5.6717199971939797E-6</v>
      </c>
      <c r="AE45">
        <v>100</v>
      </c>
      <c r="AJ45">
        <v>1</v>
      </c>
    </row>
    <row r="46" spans="1:36" x14ac:dyDescent="0.2">
      <c r="A46">
        <v>45</v>
      </c>
      <c r="B46">
        <v>746</v>
      </c>
      <c r="C46">
        <v>260</v>
      </c>
      <c r="D46">
        <v>0.31055340234509199</v>
      </c>
      <c r="E46">
        <v>4.6781300971800297</v>
      </c>
      <c r="F46">
        <v>0.54474318014216805</v>
      </c>
      <c r="G46">
        <v>-101.0537912073884</v>
      </c>
      <c r="H46">
        <v>-59.718757471572992</v>
      </c>
      <c r="I46">
        <v>40.560968306065902</v>
      </c>
      <c r="J46">
        <v>18.257429430814302</v>
      </c>
      <c r="K46">
        <v>8.5877717568838907</v>
      </c>
      <c r="L46">
        <v>1.263253879055466E-3</v>
      </c>
      <c r="M46">
        <v>2.0955843693781811E-4</v>
      </c>
      <c r="N46" s="1">
        <v>7.5626483595579203E-6</v>
      </c>
      <c r="O46" s="1">
        <v>1.5746569791645201E-6</v>
      </c>
      <c r="P46" s="1">
        <v>-5.69442911085839E-6</v>
      </c>
      <c r="AE46">
        <v>100</v>
      </c>
      <c r="AJ46">
        <v>1</v>
      </c>
    </row>
    <row r="47" spans="1:36" x14ac:dyDescent="0.2">
      <c r="A47">
        <v>46</v>
      </c>
      <c r="B47">
        <v>744</v>
      </c>
      <c r="C47">
        <v>260</v>
      </c>
      <c r="D47">
        <v>0.30906011895984098</v>
      </c>
      <c r="E47">
        <v>4.7007041784461503</v>
      </c>
      <c r="F47">
        <v>0.54612199456586497</v>
      </c>
      <c r="G47">
        <v>-101.45994383902068</v>
      </c>
      <c r="H47">
        <v>-60.043635013234884</v>
      </c>
      <c r="I47">
        <v>40.720639883373103</v>
      </c>
      <c r="J47">
        <v>18.362143792304</v>
      </c>
      <c r="K47">
        <v>8.6074251270229993</v>
      </c>
      <c r="L47">
        <v>1.2646713800474484E-3</v>
      </c>
      <c r="M47">
        <v>2.0875995085283889E-4</v>
      </c>
      <c r="N47" s="1">
        <v>7.7217349246968906E-6</v>
      </c>
      <c r="O47" s="1">
        <v>1.5708713401906001E-6</v>
      </c>
      <c r="P47" s="1">
        <v>-5.7164956083755799E-6</v>
      </c>
      <c r="AE47">
        <v>100</v>
      </c>
      <c r="AJ47">
        <v>1</v>
      </c>
    </row>
    <row r="48" spans="1:36" x14ac:dyDescent="0.2">
      <c r="A48">
        <v>47</v>
      </c>
      <c r="B48">
        <v>742</v>
      </c>
      <c r="C48">
        <v>260</v>
      </c>
      <c r="D48">
        <v>0.30756095158350699</v>
      </c>
      <c r="E48">
        <v>4.86979434097419</v>
      </c>
      <c r="F48">
        <v>0.54750583694753097</v>
      </c>
      <c r="G48">
        <v>-105.02525053923058</v>
      </c>
      <c r="H48">
        <v>-62.241541536931898</v>
      </c>
      <c r="I48">
        <v>42.147954290164201</v>
      </c>
      <c r="J48">
        <v>19.039798413443901</v>
      </c>
      <c r="K48">
        <v>8.8945067108770903</v>
      </c>
      <c r="L48">
        <v>1.2660629341795029E-3</v>
      </c>
      <c r="M48">
        <v>2.0795795927368931E-4</v>
      </c>
      <c r="N48" s="1">
        <v>8.1267464004261798E-6</v>
      </c>
      <c r="O48" s="1">
        <v>1.61557066938751E-6</v>
      </c>
      <c r="P48" s="1">
        <v>-5.9162123731090302E-6</v>
      </c>
      <c r="AE48">
        <v>100</v>
      </c>
      <c r="AJ48">
        <v>1</v>
      </c>
    </row>
    <row r="49" spans="1:36" x14ac:dyDescent="0.2">
      <c r="A49">
        <v>48</v>
      </c>
      <c r="B49">
        <v>740</v>
      </c>
      <c r="C49">
        <v>260</v>
      </c>
      <c r="D49">
        <v>0.30605586537038199</v>
      </c>
      <c r="E49">
        <v>8.6672832258794692</v>
      </c>
      <c r="F49">
        <v>0.54889469914212896</v>
      </c>
      <c r="G49">
        <v>-186.7744790693246</v>
      </c>
      <c r="H49">
        <v>-110.84559755169522</v>
      </c>
      <c r="I49">
        <v>74.948271696514198</v>
      </c>
      <c r="J49">
        <v>33.917518013386498</v>
      </c>
      <c r="K49">
        <v>15.790429820921201</v>
      </c>
      <c r="L49">
        <v>1.26742820299016E-3</v>
      </c>
      <c r="M49">
        <v>2.0715250157008234E-4</v>
      </c>
      <c r="N49" s="1">
        <v>1.4690898967874901E-5</v>
      </c>
      <c r="O49" s="1">
        <v>2.85436453179667E-6</v>
      </c>
      <c r="P49" s="1">
        <v>-1.05186307010339E-5</v>
      </c>
      <c r="AE49">
        <v>100</v>
      </c>
      <c r="AJ49">
        <v>1</v>
      </c>
    </row>
    <row r="50" spans="1:36" x14ac:dyDescent="0.2">
      <c r="A50">
        <v>49</v>
      </c>
      <c r="B50">
        <v>738</v>
      </c>
      <c r="C50">
        <v>260</v>
      </c>
      <c r="D50">
        <v>0.30454482519902998</v>
      </c>
      <c r="E50">
        <v>9.6110055123279903</v>
      </c>
      <c r="F50">
        <v>0.55028857243694096</v>
      </c>
      <c r="G50">
        <v>-206.9449548104698</v>
      </c>
      <c r="H50">
        <v>-122.99008528064147</v>
      </c>
      <c r="I50">
        <v>83.034534477936802</v>
      </c>
      <c r="J50">
        <v>37.644132508212302</v>
      </c>
      <c r="K50">
        <v>17.465391784833599</v>
      </c>
      <c r="L50">
        <v>1.2687668506256554E-3</v>
      </c>
      <c r="M50">
        <v>2.0634361821482219E-4</v>
      </c>
      <c r="N50" s="1">
        <v>1.6542458178446801E-5</v>
      </c>
      <c r="O50" s="1">
        <v>3.14180840114888E-6</v>
      </c>
      <c r="P50" s="1">
        <v>-1.16510432275132E-5</v>
      </c>
      <c r="AE50">
        <v>100</v>
      </c>
      <c r="AJ50">
        <v>1</v>
      </c>
    </row>
    <row r="51" spans="1:36" x14ac:dyDescent="0.2">
      <c r="A51">
        <v>50</v>
      </c>
      <c r="B51">
        <v>736</v>
      </c>
      <c r="C51">
        <v>260</v>
      </c>
      <c r="D51">
        <v>0.30302779566962401</v>
      </c>
      <c r="E51">
        <v>9.9444385858933604</v>
      </c>
      <c r="F51">
        <v>0.55168744754765597</v>
      </c>
      <c r="G51">
        <v>-213.95270959216086</v>
      </c>
      <c r="H51">
        <v>-127.33489542650825</v>
      </c>
      <c r="I51">
        <v>85.8380864926621</v>
      </c>
      <c r="J51">
        <v>38.984693309208303</v>
      </c>
      <c r="K51">
        <v>18.0254936560512</v>
      </c>
      <c r="L51">
        <v>1.2700785439824051E-3</v>
      </c>
      <c r="M51">
        <v>2.0553135077854793E-4</v>
      </c>
      <c r="N51" s="1">
        <v>1.7377415124299298E-5</v>
      </c>
      <c r="O51" s="1">
        <v>3.2266267504870401E-6</v>
      </c>
      <c r="P51" s="1">
        <v>-1.20412754866342E-5</v>
      </c>
      <c r="AE51">
        <v>100</v>
      </c>
      <c r="AJ51">
        <v>1</v>
      </c>
    </row>
    <row r="52" spans="1:36" x14ac:dyDescent="0.2">
      <c r="A52">
        <v>51</v>
      </c>
      <c r="B52">
        <v>734</v>
      </c>
      <c r="C52">
        <v>260</v>
      </c>
      <c r="D52">
        <v>0.30150474110112602</v>
      </c>
      <c r="E52">
        <v>10.122244278164199</v>
      </c>
      <c r="F52">
        <v>0.55309131461457395</v>
      </c>
      <c r="G52">
        <v>-217.60349832056389</v>
      </c>
      <c r="H52">
        <v>-129.69103076083462</v>
      </c>
      <c r="I52">
        <v>87.294107262555002</v>
      </c>
      <c r="J52">
        <v>39.716776878498798</v>
      </c>
      <c r="K52">
        <v>18.3012171963287</v>
      </c>
      <c r="L52">
        <v>1.2713629528488131E-3</v>
      </c>
      <c r="M52">
        <v>2.0471574192372239E-4</v>
      </c>
      <c r="N52" s="1">
        <v>1.79541365684444E-5</v>
      </c>
      <c r="O52" s="1">
        <v>3.2596868933801201E-6</v>
      </c>
      <c r="P52" s="1">
        <v>-1.2241694174593299E-5</v>
      </c>
      <c r="AE52">
        <v>100</v>
      </c>
      <c r="AJ52">
        <v>1</v>
      </c>
    </row>
    <row r="53" spans="1:36" x14ac:dyDescent="0.2">
      <c r="A53">
        <v>52</v>
      </c>
      <c r="B53">
        <v>732</v>
      </c>
      <c r="C53">
        <v>260</v>
      </c>
      <c r="D53">
        <v>0.29997562552852802</v>
      </c>
      <c r="E53">
        <v>10.235836953596101</v>
      </c>
      <c r="F53">
        <v>0.55450016319901196</v>
      </c>
      <c r="G53">
        <v>-219.86899542752519</v>
      </c>
      <c r="H53">
        <v>-131.22679466258089</v>
      </c>
      <c r="I53">
        <v>88.193859960604399</v>
      </c>
      <c r="J53">
        <v>40.197752644457999</v>
      </c>
      <c r="K53">
        <v>18.459574284962699</v>
      </c>
      <c r="L53">
        <v>1.2726197500464867E-3</v>
      </c>
      <c r="M53">
        <v>2.0389683539786114E-4</v>
      </c>
      <c r="N53" s="1">
        <v>1.8424860743183399E-5</v>
      </c>
      <c r="O53" s="1">
        <v>3.2713418195271201E-6</v>
      </c>
      <c r="P53" s="1">
        <v>-1.23633625336509E-5</v>
      </c>
      <c r="AE53">
        <v>100</v>
      </c>
      <c r="AJ53">
        <v>1</v>
      </c>
    </row>
    <row r="54" spans="1:36" x14ac:dyDescent="0.2">
      <c r="A54">
        <v>53</v>
      </c>
      <c r="B54">
        <v>730</v>
      </c>
      <c r="C54">
        <v>260</v>
      </c>
      <c r="D54">
        <v>0.29844041269999899</v>
      </c>
      <c r="E54">
        <v>10.316012057953399</v>
      </c>
      <c r="F54">
        <v>0.55591398227980604</v>
      </c>
      <c r="G54">
        <v>-221.41349323260042</v>
      </c>
      <c r="H54">
        <v>-132.33572648944158</v>
      </c>
      <c r="I54">
        <v>88.803937794680806</v>
      </c>
      <c r="J54">
        <v>40.547990734612199</v>
      </c>
      <c r="K54">
        <v>18.556849416967999</v>
      </c>
      <c r="L54">
        <v>1.273848611570689E-3</v>
      </c>
      <c r="M54">
        <v>2.0307467602601856E-4</v>
      </c>
      <c r="N54" s="1">
        <v>1.88407141287663E-5</v>
      </c>
      <c r="O54" s="1">
        <v>3.2718293483845499E-6</v>
      </c>
      <c r="P54" s="1">
        <v>-1.2443697815222201E-5</v>
      </c>
      <c r="AE54">
        <v>100</v>
      </c>
      <c r="AJ54">
        <v>1</v>
      </c>
    </row>
    <row r="55" spans="1:36" x14ac:dyDescent="0.2">
      <c r="A55">
        <v>54</v>
      </c>
      <c r="B55">
        <v>728</v>
      </c>
      <c r="C55">
        <v>260</v>
      </c>
      <c r="D55">
        <v>0.29689906607401501</v>
      </c>
      <c r="E55">
        <v>10.3763070585302</v>
      </c>
      <c r="F55">
        <v>0.55733276024999701</v>
      </c>
      <c r="G55">
        <v>-222.52904567866369</v>
      </c>
      <c r="H55">
        <v>-133.19080741116016</v>
      </c>
      <c r="I55">
        <v>89.241548446866702</v>
      </c>
      <c r="J55">
        <v>40.820394913867403</v>
      </c>
      <c r="K55">
        <v>18.617794966647701</v>
      </c>
      <c r="L55">
        <v>1.2750492167298792E-3</v>
      </c>
      <c r="M55">
        <v>2.0224930970251989E-4</v>
      </c>
      <c r="N55" s="1">
        <v>1.92240841550404E-5</v>
      </c>
      <c r="O55" s="1">
        <v>3.2656562005064298E-6</v>
      </c>
      <c r="P55" s="1">
        <v>-1.2499148655641301E-5</v>
      </c>
      <c r="AE55">
        <v>100</v>
      </c>
      <c r="AJ55">
        <v>1</v>
      </c>
    </row>
    <row r="56" spans="1:36" x14ac:dyDescent="0.2">
      <c r="A56">
        <v>55</v>
      </c>
      <c r="B56">
        <v>760</v>
      </c>
      <c r="C56">
        <v>240</v>
      </c>
      <c r="D56">
        <v>0.34213860523641398</v>
      </c>
      <c r="E56">
        <v>4.8462765843111004</v>
      </c>
      <c r="F56">
        <v>0.51111706220977304</v>
      </c>
      <c r="G56">
        <v>-105.46127844356636</v>
      </c>
      <c r="H56">
        <v>-61.5390540634465</v>
      </c>
      <c r="I56">
        <v>42.515605398225702</v>
      </c>
      <c r="J56">
        <v>18.938503613761</v>
      </c>
      <c r="K56">
        <v>9.48173509089799</v>
      </c>
      <c r="L56">
        <v>1.3346634856921684E-3</v>
      </c>
      <c r="M56">
        <v>2.472544059161152E-4</v>
      </c>
      <c r="N56" s="1">
        <v>7.1598492948756702E-6</v>
      </c>
      <c r="O56" s="1">
        <v>2.2965857098922699E-6</v>
      </c>
      <c r="P56" s="1">
        <v>-7.2579855456983501E-6</v>
      </c>
      <c r="AE56">
        <v>100</v>
      </c>
      <c r="AJ56">
        <v>1</v>
      </c>
    </row>
    <row r="57" spans="1:36" x14ac:dyDescent="0.2">
      <c r="A57">
        <v>56</v>
      </c>
      <c r="B57">
        <v>758</v>
      </c>
      <c r="C57">
        <v>240</v>
      </c>
      <c r="D57">
        <v>0.34072685836202499</v>
      </c>
      <c r="E57">
        <v>4.8569664526445502</v>
      </c>
      <c r="F57">
        <v>0.51248427067487601</v>
      </c>
      <c r="G57">
        <v>-105.60872188242863</v>
      </c>
      <c r="H57">
        <v>-61.712777024464309</v>
      </c>
      <c r="I57">
        <v>42.572588190292798</v>
      </c>
      <c r="J57">
        <v>19.000446215794501</v>
      </c>
      <c r="K57">
        <v>9.4772985837176105</v>
      </c>
      <c r="L57">
        <v>1.336702774164914E-3</v>
      </c>
      <c r="M57">
        <v>2.4638080121033759E-4</v>
      </c>
      <c r="N57" s="1">
        <v>7.3329026767932596E-6</v>
      </c>
      <c r="O57" s="1">
        <v>2.2864711377956399E-6</v>
      </c>
      <c r="P57" s="1">
        <v>-7.2735565839258899E-6</v>
      </c>
      <c r="AE57">
        <v>100</v>
      </c>
      <c r="AJ57">
        <v>1</v>
      </c>
    </row>
    <row r="58" spans="1:36" x14ac:dyDescent="0.2">
      <c r="A58">
        <v>57</v>
      </c>
      <c r="B58">
        <v>756</v>
      </c>
      <c r="C58">
        <v>240</v>
      </c>
      <c r="D58">
        <v>0.33930962444735902</v>
      </c>
      <c r="E58">
        <v>4.8797680451695404</v>
      </c>
      <c r="F58">
        <v>0.513857218530266</v>
      </c>
      <c r="G58">
        <v>-106.01900644289451</v>
      </c>
      <c r="H58">
        <v>-62.040694330273588</v>
      </c>
      <c r="I58">
        <v>42.7353686202676</v>
      </c>
      <c r="J58">
        <v>19.1098595691195</v>
      </c>
      <c r="K58">
        <v>9.4963500933715501</v>
      </c>
      <c r="L58">
        <v>1.3387154848615219E-3</v>
      </c>
      <c r="M58">
        <v>2.4550188116323523E-4</v>
      </c>
      <c r="N58" s="1">
        <v>7.5261460123800902E-6</v>
      </c>
      <c r="O58" s="1">
        <v>2.2819097304590801E-6</v>
      </c>
      <c r="P58" s="1">
        <v>-7.3068823441815003E-6</v>
      </c>
      <c r="AE58">
        <v>100</v>
      </c>
      <c r="AJ58">
        <v>1</v>
      </c>
    </row>
    <row r="59" spans="1:36" x14ac:dyDescent="0.2">
      <c r="A59">
        <v>58</v>
      </c>
      <c r="B59">
        <v>754</v>
      </c>
      <c r="C59">
        <v>240</v>
      </c>
      <c r="D59">
        <v>0.33788687144039198</v>
      </c>
      <c r="E59">
        <v>4.9023309882134596</v>
      </c>
      <c r="F59">
        <v>0.51523590465179603</v>
      </c>
      <c r="G59">
        <v>-106.42338574592723</v>
      </c>
      <c r="H59">
        <v>-62.365973161686341</v>
      </c>
      <c r="I59">
        <v>42.895602394070899</v>
      </c>
      <c r="J59">
        <v>19.218473751314999</v>
      </c>
      <c r="K59">
        <v>9.5147309105457794</v>
      </c>
      <c r="L59">
        <v>1.3407011251952076E-3</v>
      </c>
      <c r="M59">
        <v>2.4461767559829566E-4</v>
      </c>
      <c r="N59" s="1">
        <v>7.7212887339210592E-6</v>
      </c>
      <c r="O59" s="1">
        <v>2.2770514269326701E-6</v>
      </c>
      <c r="P59" s="1">
        <v>-7.3394557112979004E-6</v>
      </c>
      <c r="AE59">
        <v>100</v>
      </c>
      <c r="AJ59">
        <v>1</v>
      </c>
    </row>
    <row r="60" spans="1:36" x14ac:dyDescent="0.2">
      <c r="A60">
        <v>59</v>
      </c>
      <c r="B60">
        <v>752</v>
      </c>
      <c r="C60">
        <v>240</v>
      </c>
      <c r="D60">
        <v>0.33645856703896998</v>
      </c>
      <c r="E60">
        <v>4.9246592728531802</v>
      </c>
      <c r="F60">
        <v>0.51662032725108598</v>
      </c>
      <c r="G60">
        <v>-106.82196015301682</v>
      </c>
      <c r="H60">
        <v>-62.688659164465122</v>
      </c>
      <c r="I60">
        <v>43.053327982242898</v>
      </c>
      <c r="J60">
        <v>19.326297809553001</v>
      </c>
      <c r="K60">
        <v>9.5324535506705104</v>
      </c>
      <c r="L60">
        <v>1.3426592037241709E-3</v>
      </c>
      <c r="M60">
        <v>2.4372821606076148E-4</v>
      </c>
      <c r="N60" s="1">
        <v>7.9182913961844302E-6</v>
      </c>
      <c r="O60" s="1">
        <v>2.2719007524233801E-6</v>
      </c>
      <c r="P60" s="1">
        <v>-7.3712720831926404E-6</v>
      </c>
      <c r="AE60">
        <v>100</v>
      </c>
      <c r="AJ60">
        <v>1</v>
      </c>
    </row>
    <row r="61" spans="1:36" x14ac:dyDescent="0.2">
      <c r="A61">
        <v>60</v>
      </c>
      <c r="B61">
        <v>750</v>
      </c>
      <c r="C61">
        <v>240</v>
      </c>
      <c r="D61">
        <v>0.335024678688366</v>
      </c>
      <c r="E61">
        <v>4.9467568133264699</v>
      </c>
      <c r="F61">
        <v>0.51801048386774795</v>
      </c>
      <c r="G61">
        <v>-107.21482806416056</v>
      </c>
      <c r="H61">
        <v>-63.008797111310813</v>
      </c>
      <c r="I61">
        <v>43.208583092277699</v>
      </c>
      <c r="J61">
        <v>19.433340502870099</v>
      </c>
      <c r="K61">
        <v>9.5495303036944001</v>
      </c>
      <c r="L61">
        <v>1.3445892303850034E-3</v>
      </c>
      <c r="M61">
        <v>2.4283353582802005E-4</v>
      </c>
      <c r="N61" s="1">
        <v>8.1171133306785298E-6</v>
      </c>
      <c r="O61" s="1">
        <v>2.2664622147472802E-6</v>
      </c>
      <c r="P61" s="1">
        <v>-7.4023268522885899E-6</v>
      </c>
      <c r="AE61">
        <v>100</v>
      </c>
      <c r="AJ61">
        <v>1</v>
      </c>
    </row>
    <row r="62" spans="1:36" x14ac:dyDescent="0.2">
      <c r="A62">
        <v>61</v>
      </c>
      <c r="B62">
        <v>748</v>
      </c>
      <c r="C62">
        <v>240</v>
      </c>
      <c r="D62">
        <v>0.33358517357881101</v>
      </c>
      <c r="E62">
        <v>4.9686274493143996</v>
      </c>
      <c r="F62">
        <v>0.51940637136170698</v>
      </c>
      <c r="G62">
        <v>-107.60208597451044</v>
      </c>
      <c r="H62">
        <v>-63.326430928153215</v>
      </c>
      <c r="I62">
        <v>43.3614046908802</v>
      </c>
      <c r="J62">
        <v>19.5396103112516</v>
      </c>
      <c r="K62">
        <v>9.5659732403519495</v>
      </c>
      <c r="L62">
        <v>1.3464907167278107E-3</v>
      </c>
      <c r="M62">
        <v>2.4193366991879213E-4</v>
      </c>
      <c r="N62" s="1">
        <v>8.3177126557878997E-6</v>
      </c>
      <c r="O62" s="1">
        <v>2.2607403065496601E-6</v>
      </c>
      <c r="P62" s="1">
        <v>-7.4326154164312099E-6</v>
      </c>
      <c r="AE62">
        <v>100</v>
      </c>
      <c r="AJ62">
        <v>1</v>
      </c>
    </row>
    <row r="63" spans="1:36" x14ac:dyDescent="0.2">
      <c r="A63">
        <v>62</v>
      </c>
      <c r="B63">
        <v>746</v>
      </c>
      <c r="C63">
        <v>240</v>
      </c>
      <c r="D63">
        <v>0.33214001864298798</v>
      </c>
      <c r="E63">
        <v>5.1591076784664702</v>
      </c>
      <c r="F63">
        <v>0.52080798590573996</v>
      </c>
      <c r="G63">
        <v>-111.63717524654247</v>
      </c>
      <c r="H63">
        <v>-65.79474875255994</v>
      </c>
      <c r="I63">
        <v>44.9839364688236</v>
      </c>
      <c r="J63">
        <v>20.309755872616201</v>
      </c>
      <c r="K63">
        <v>9.9059688370450694</v>
      </c>
      <c r="L63">
        <v>1.3483631761540098E-3</v>
      </c>
      <c r="M63">
        <v>2.4102865510126123E-4</v>
      </c>
      <c r="N63" s="1">
        <v>8.8082994794925297E-6</v>
      </c>
      <c r="O63" s="1">
        <v>2.3310226443389099E-6</v>
      </c>
      <c r="P63" s="1">
        <v>-7.7145946941027707E-6</v>
      </c>
      <c r="AE63">
        <v>100</v>
      </c>
      <c r="AJ63">
        <v>1</v>
      </c>
    </row>
    <row r="64" spans="1:36" x14ac:dyDescent="0.2">
      <c r="A64">
        <v>63</v>
      </c>
      <c r="B64">
        <v>744</v>
      </c>
      <c r="C64">
        <v>240</v>
      </c>
      <c r="D64">
        <v>0.33068918055350899</v>
      </c>
      <c r="E64">
        <v>7.5144693234218698</v>
      </c>
      <c r="F64">
        <v>0.52221532297820195</v>
      </c>
      <c r="G64">
        <v>-162.47351673219021</v>
      </c>
      <c r="H64">
        <v>-95.892166609257416</v>
      </c>
      <c r="I64">
        <v>65.462960589609096</v>
      </c>
      <c r="J64">
        <v>29.612637828701502</v>
      </c>
      <c r="K64">
        <v>14.3895994483017</v>
      </c>
      <c r="L64">
        <v>1.3502061241548516E-3</v>
      </c>
      <c r="M64">
        <v>2.4011852989985869E-4</v>
      </c>
      <c r="N64" s="1">
        <v>1.3080734430242E-5</v>
      </c>
      <c r="O64" s="1">
        <v>3.3713122819043599E-6</v>
      </c>
      <c r="P64" s="1">
        <v>-1.12317020633523E-5</v>
      </c>
      <c r="AE64">
        <v>100</v>
      </c>
      <c r="AJ64">
        <v>1</v>
      </c>
    </row>
    <row r="65" spans="1:36" x14ac:dyDescent="0.2">
      <c r="A65">
        <v>64</v>
      </c>
      <c r="B65">
        <v>742</v>
      </c>
      <c r="C65">
        <v>240</v>
      </c>
      <c r="D65">
        <v>0.32923262572033701</v>
      </c>
      <c r="E65">
        <v>9.4044273074617593</v>
      </c>
      <c r="F65">
        <v>0.52362837735591505</v>
      </c>
      <c r="G65">
        <v>-203.17331492252396</v>
      </c>
      <c r="H65">
        <v>-120.08408550390055</v>
      </c>
      <c r="I65">
        <v>81.854515302592404</v>
      </c>
      <c r="J65">
        <v>37.098620586989597</v>
      </c>
      <c r="K65">
        <v>17.960117736456201</v>
      </c>
      <c r="L65">
        <v>1.3520190785521603E-3</v>
      </c>
      <c r="M65">
        <v>2.392033346009271E-4</v>
      </c>
      <c r="N65" s="1">
        <v>1.66859702041691E-5</v>
      </c>
      <c r="O65" s="1">
        <v>4.1892152257970302E-6</v>
      </c>
      <c r="P65" s="1">
        <v>-1.40495842670494E-5</v>
      </c>
      <c r="AE65">
        <v>100</v>
      </c>
      <c r="AJ65">
        <v>1</v>
      </c>
    </row>
    <row r="66" spans="1:36" x14ac:dyDescent="0.2">
      <c r="A66">
        <v>65</v>
      </c>
      <c r="B66">
        <v>740</v>
      </c>
      <c r="C66">
        <v>240</v>
      </c>
      <c r="D66">
        <v>0.32777032028821201</v>
      </c>
      <c r="E66">
        <v>9.8727450580578093</v>
      </c>
      <c r="F66">
        <v>0.52504714310728295</v>
      </c>
      <c r="G66">
        <v>-213.11907042301769</v>
      </c>
      <c r="H66">
        <v>-126.14191472755454</v>
      </c>
      <c r="I66">
        <v>85.853827652806899</v>
      </c>
      <c r="J66">
        <v>38.985926358430902</v>
      </c>
      <c r="K66">
        <v>18.803540191895699</v>
      </c>
      <c r="L66">
        <v>1.3538015597400594E-3</v>
      </c>
      <c r="M66">
        <v>2.3828311125710029E-4</v>
      </c>
      <c r="N66" s="1">
        <v>1.7848996526789099E-5</v>
      </c>
      <c r="O66" s="1">
        <v>4.3662496003996701E-6</v>
      </c>
      <c r="P66" s="1">
        <v>-1.47410259491211E-5</v>
      </c>
      <c r="AE66">
        <v>100</v>
      </c>
      <c r="AJ66">
        <v>1</v>
      </c>
    </row>
    <row r="67" spans="1:36" x14ac:dyDescent="0.2">
      <c r="A67">
        <v>66</v>
      </c>
      <c r="B67">
        <v>738</v>
      </c>
      <c r="C67">
        <v>240</v>
      </c>
      <c r="D67">
        <v>0.326302230134007</v>
      </c>
      <c r="E67">
        <v>10.0909147418553</v>
      </c>
      <c r="F67">
        <v>0.52647161358561101</v>
      </c>
      <c r="G67">
        <v>-217.65319036664948</v>
      </c>
      <c r="H67">
        <v>-129.00915681507064</v>
      </c>
      <c r="I67">
        <v>87.672262466149704</v>
      </c>
      <c r="J67">
        <v>39.888052974348298</v>
      </c>
      <c r="K67">
        <v>19.1670632973536</v>
      </c>
      <c r="L67">
        <v>1.3555530909276615E-3</v>
      </c>
      <c r="M67">
        <v>2.3735790369039085E-4</v>
      </c>
      <c r="N67" s="1">
        <v>1.8583908799149699E-5</v>
      </c>
      <c r="O67" s="1">
        <v>4.4303897757926499E-6</v>
      </c>
      <c r="P67" s="1">
        <v>-1.5057521376107299E-5</v>
      </c>
      <c r="AE67">
        <v>100</v>
      </c>
      <c r="AJ67">
        <v>1</v>
      </c>
    </row>
    <row r="68" spans="1:36" x14ac:dyDescent="0.2">
      <c r="A68">
        <v>67</v>
      </c>
      <c r="B68">
        <v>736</v>
      </c>
      <c r="C68">
        <v>240</v>
      </c>
      <c r="D68">
        <v>0.32482832086409602</v>
      </c>
      <c r="E68">
        <v>10.2216175954105</v>
      </c>
      <c r="F68">
        <v>0.52790178142262401</v>
      </c>
      <c r="G68">
        <v>-220.2948136804155</v>
      </c>
      <c r="H68">
        <v>-130.76100190876957</v>
      </c>
      <c r="I68">
        <v>88.727801822239698</v>
      </c>
      <c r="J68">
        <v>40.445673586172497</v>
      </c>
      <c r="K68">
        <v>19.362726088676201</v>
      </c>
      <c r="L68">
        <v>1.3572731983825816E-3</v>
      </c>
      <c r="M68">
        <v>2.3642775749401155E-4</v>
      </c>
      <c r="N68" s="1">
        <v>1.91704791867879E-5</v>
      </c>
      <c r="O68" s="1">
        <v>4.4549416685525004E-6</v>
      </c>
      <c r="P68" s="1">
        <v>-1.52422797702776E-5</v>
      </c>
      <c r="AE68">
        <v>100</v>
      </c>
      <c r="AJ68">
        <v>1</v>
      </c>
    </row>
    <row r="69" spans="1:36" x14ac:dyDescent="0.2">
      <c r="A69">
        <v>68</v>
      </c>
      <c r="B69">
        <v>734</v>
      </c>
      <c r="C69">
        <v>240</v>
      </c>
      <c r="D69">
        <v>0.32334855781164801</v>
      </c>
      <c r="E69">
        <v>10.310476740290101</v>
      </c>
      <c r="F69">
        <v>0.52933763852220495</v>
      </c>
      <c r="G69">
        <v>-222.03097569359738</v>
      </c>
      <c r="H69">
        <v>-131.97937659341591</v>
      </c>
      <c r="I69">
        <v>89.418159547344501</v>
      </c>
      <c r="J69">
        <v>40.8384309586624</v>
      </c>
      <c r="K69">
        <v>19.478072198067601</v>
      </c>
      <c r="L69">
        <v>1.3589614116746496E-3</v>
      </c>
      <c r="M69">
        <v>2.3549272003279656E-4</v>
      </c>
      <c r="N69" s="1">
        <v>1.96868962370614E-5</v>
      </c>
      <c r="O69" s="1">
        <v>4.4604856898854501E-6</v>
      </c>
      <c r="P69" s="1">
        <v>-1.53635037853529E-5</v>
      </c>
      <c r="AE69">
        <v>100</v>
      </c>
      <c r="AJ69">
        <v>1</v>
      </c>
    </row>
    <row r="70" spans="1:36" x14ac:dyDescent="0.2">
      <c r="A70">
        <v>69</v>
      </c>
      <c r="B70">
        <v>732</v>
      </c>
      <c r="C70">
        <v>240</v>
      </c>
      <c r="D70">
        <v>0.32186290603392398</v>
      </c>
      <c r="E70">
        <v>10.375680762163199</v>
      </c>
      <c r="F70">
        <v>0.53077917605439895</v>
      </c>
      <c r="G70">
        <v>-223.25522619473949</v>
      </c>
      <c r="H70">
        <v>-132.89625608257441</v>
      </c>
      <c r="I70">
        <v>89.9019128625946</v>
      </c>
      <c r="J70">
        <v>41.137928072257701</v>
      </c>
      <c r="K70">
        <v>19.548017763793698</v>
      </c>
      <c r="L70">
        <v>1.3606172639205796E-3</v>
      </c>
      <c r="M70">
        <v>2.3455284044239131E-4</v>
      </c>
      <c r="N70" s="1">
        <v>2.0164187384932399E-5</v>
      </c>
      <c r="O70" s="1">
        <v>4.4552371275407601E-6</v>
      </c>
      <c r="P70" s="1">
        <v>-1.54483793506651E-5</v>
      </c>
      <c r="AE70">
        <v>100</v>
      </c>
      <c r="AJ70">
        <v>1</v>
      </c>
    </row>
    <row r="71" spans="1:36" x14ac:dyDescent="0.2">
      <c r="A71">
        <v>70</v>
      </c>
      <c r="B71">
        <v>760</v>
      </c>
      <c r="C71">
        <v>220</v>
      </c>
      <c r="D71">
        <v>0.36343270580264397</v>
      </c>
      <c r="E71">
        <v>5.1622053920119004</v>
      </c>
      <c r="F71">
        <v>0.48454301462163601</v>
      </c>
      <c r="G71">
        <v>-112.54364473624302</v>
      </c>
      <c r="H71">
        <v>-65.462431861996365</v>
      </c>
      <c r="I71">
        <v>45.573408512962899</v>
      </c>
      <c r="J71">
        <v>20.329004028662801</v>
      </c>
      <c r="K71">
        <v>10.6537608349237</v>
      </c>
      <c r="L71">
        <v>1.4269782495503747E-3</v>
      </c>
      <c r="M71">
        <v>2.8840259609752344E-4</v>
      </c>
      <c r="N71" s="1">
        <v>7.3500485432724299E-6</v>
      </c>
      <c r="O71" s="1">
        <v>3.3700666089216999E-6</v>
      </c>
      <c r="P71" s="1">
        <v>-9.5795583521413396E-6</v>
      </c>
      <c r="AE71">
        <v>100</v>
      </c>
      <c r="AJ71">
        <v>1</v>
      </c>
    </row>
    <row r="72" spans="1:36" x14ac:dyDescent="0.2">
      <c r="A72">
        <v>71</v>
      </c>
      <c r="B72">
        <v>758</v>
      </c>
      <c r="C72">
        <v>220</v>
      </c>
      <c r="D72">
        <v>0.36206226058284502</v>
      </c>
      <c r="E72">
        <v>5.1753368093593402</v>
      </c>
      <c r="F72">
        <v>0.48592915838059703</v>
      </c>
      <c r="G72">
        <v>-112.73858970602996</v>
      </c>
      <c r="H72">
        <v>-65.669739180281951</v>
      </c>
      <c r="I72">
        <v>45.649820269865998</v>
      </c>
      <c r="J72">
        <v>20.4058067392418</v>
      </c>
      <c r="K72">
        <v>10.6503936224091</v>
      </c>
      <c r="L72">
        <v>1.4296567585604465E-3</v>
      </c>
      <c r="M72">
        <v>2.8742354693515431E-4</v>
      </c>
      <c r="N72" s="1">
        <v>7.5813023458198704E-6</v>
      </c>
      <c r="O72" s="1">
        <v>3.3574530638664899E-6</v>
      </c>
      <c r="P72" s="1">
        <v>-9.6102523747839294E-6</v>
      </c>
      <c r="AE72">
        <v>100</v>
      </c>
      <c r="AJ72">
        <v>1</v>
      </c>
    </row>
    <row r="73" spans="1:36" x14ac:dyDescent="0.2">
      <c r="A73">
        <v>72</v>
      </c>
      <c r="B73">
        <v>756</v>
      </c>
      <c r="C73">
        <v>220</v>
      </c>
      <c r="D73">
        <v>0.36068648885002402</v>
      </c>
      <c r="E73">
        <v>5.1966556083480704</v>
      </c>
      <c r="F73">
        <v>0.48732186406740702</v>
      </c>
      <c r="G73">
        <v>-113.11135857280517</v>
      </c>
      <c r="H73">
        <v>-65.98125785730214</v>
      </c>
      <c r="I73">
        <v>45.798061080457899</v>
      </c>
      <c r="J73">
        <v>20.5150162159036</v>
      </c>
      <c r="K73">
        <v>10.6637029682486</v>
      </c>
      <c r="L73">
        <v>1.432306356884843E-3</v>
      </c>
      <c r="M73">
        <v>2.8643691801319589E-4</v>
      </c>
      <c r="N73" s="1">
        <v>7.8276609253288801E-6</v>
      </c>
      <c r="O73" s="1">
        <v>3.3499170917951299E-6</v>
      </c>
      <c r="P73" s="1">
        <v>-9.6556872292519397E-6</v>
      </c>
      <c r="AE73">
        <v>100</v>
      </c>
      <c r="AJ73">
        <v>1</v>
      </c>
    </row>
    <row r="74" spans="1:36" x14ac:dyDescent="0.2">
      <c r="A74">
        <v>73</v>
      </c>
      <c r="B74">
        <v>754</v>
      </c>
      <c r="C74">
        <v>220</v>
      </c>
      <c r="D74">
        <v>0.35930535948985198</v>
      </c>
      <c r="E74">
        <v>5.2177627502493404</v>
      </c>
      <c r="F74">
        <v>0.48872113674949802</v>
      </c>
      <c r="G74">
        <v>-113.47885240859391</v>
      </c>
      <c r="H74">
        <v>-66.290474381280333</v>
      </c>
      <c r="I74">
        <v>45.943984765191601</v>
      </c>
      <c r="J74">
        <v>20.623549021602098</v>
      </c>
      <c r="K74">
        <v>10.676359907314099</v>
      </c>
      <c r="L74">
        <v>1.4349263412698737E-3</v>
      </c>
      <c r="M74">
        <v>2.8544272531886314E-4</v>
      </c>
      <c r="N74" s="1">
        <v>8.0771174369750995E-6</v>
      </c>
      <c r="O74" s="1">
        <v>3.3419779030356299E-6</v>
      </c>
      <c r="P74" s="1">
        <v>-9.7002586924821496E-6</v>
      </c>
      <c r="AE74">
        <v>100</v>
      </c>
      <c r="AJ74">
        <v>1</v>
      </c>
    </row>
    <row r="75" spans="1:36" x14ac:dyDescent="0.2">
      <c r="A75">
        <v>74</v>
      </c>
      <c r="B75">
        <v>752</v>
      </c>
      <c r="C75">
        <v>220</v>
      </c>
      <c r="D75">
        <v>0.35791884114519901</v>
      </c>
      <c r="E75">
        <v>5.2386618508020799</v>
      </c>
      <c r="F75">
        <v>0.49012698067737198</v>
      </c>
      <c r="G75">
        <v>-113.84116220064432</v>
      </c>
      <c r="H75">
        <v>-66.597430216526107</v>
      </c>
      <c r="I75">
        <v>46.087626072399097</v>
      </c>
      <c r="J75">
        <v>20.731411741756101</v>
      </c>
      <c r="K75">
        <v>10.688376803011399</v>
      </c>
      <c r="L75">
        <v>1.4375160073153933E-3</v>
      </c>
      <c r="M75">
        <v>2.8444098738428795E-4</v>
      </c>
      <c r="N75" s="1">
        <v>8.32962669482761E-6</v>
      </c>
      <c r="O75" s="1">
        <v>3.3336402989184399E-6</v>
      </c>
      <c r="P75" s="1">
        <v>-9.7439554542357096E-6</v>
      </c>
      <c r="AE75">
        <v>100</v>
      </c>
      <c r="AJ75">
        <v>1</v>
      </c>
    </row>
    <row r="76" spans="1:36" x14ac:dyDescent="0.2">
      <c r="A76">
        <v>75</v>
      </c>
      <c r="B76">
        <v>750</v>
      </c>
      <c r="C76">
        <v>220</v>
      </c>
      <c r="D76">
        <v>0.356526902213751</v>
      </c>
      <c r="E76">
        <v>5.4705152113802402</v>
      </c>
      <c r="F76">
        <v>0.49153939927118501</v>
      </c>
      <c r="G76">
        <v>-118.78334631920721</v>
      </c>
      <c r="H76">
        <v>-69.588231947693359</v>
      </c>
      <c r="I76">
        <v>48.085075439814197</v>
      </c>
      <c r="J76">
        <v>21.6752634270299</v>
      </c>
      <c r="K76">
        <v>11.1293524374474</v>
      </c>
      <c r="L76">
        <v>1.4400746498396122E-3</v>
      </c>
      <c r="M76">
        <v>2.8343172532471452E-4</v>
      </c>
      <c r="N76" s="1">
        <v>8.9298274220647804E-6</v>
      </c>
      <c r="O76" s="1">
        <v>3.45840139901982E-6</v>
      </c>
      <c r="P76" s="1">
        <v>-1.0179696566998099E-5</v>
      </c>
      <c r="AE76">
        <v>100</v>
      </c>
      <c r="AJ76">
        <v>1</v>
      </c>
    </row>
    <row r="77" spans="1:36" x14ac:dyDescent="0.2">
      <c r="A77">
        <v>76</v>
      </c>
      <c r="B77">
        <v>748</v>
      </c>
      <c r="C77">
        <v>220</v>
      </c>
      <c r="D77">
        <v>0.355129510845618</v>
      </c>
      <c r="E77">
        <v>5.7104535795500997</v>
      </c>
      <c r="F77">
        <v>0.49295839510744699</v>
      </c>
      <c r="G77">
        <v>-123.8928740738848</v>
      </c>
      <c r="H77">
        <v>-72.685671097712898</v>
      </c>
      <c r="I77">
        <v>50.149802524968997</v>
      </c>
      <c r="J77">
        <v>22.653354942844999</v>
      </c>
      <c r="K77">
        <v>11.5840477334916</v>
      </c>
      <c r="L77">
        <v>1.4426015632516061E-3</v>
      </c>
      <c r="M77">
        <v>2.8241496287524951E-4</v>
      </c>
      <c r="N77" s="1">
        <v>9.5648608022382801E-6</v>
      </c>
      <c r="O77" s="1">
        <v>3.58621162178331E-6</v>
      </c>
      <c r="P77" s="1">
        <v>-1.06302670808596E-5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220</v>
      </c>
      <c r="D78">
        <v>0.35372663494088302</v>
      </c>
      <c r="E78">
        <v>9.1817125967208604</v>
      </c>
      <c r="F78">
        <v>0.49438396990598499</v>
      </c>
      <c r="G78">
        <v>-199.04342664809616</v>
      </c>
      <c r="H78">
        <v>-116.94258204466945</v>
      </c>
      <c r="I78">
        <v>80.563311527445705</v>
      </c>
      <c r="J78">
        <v>36.467789040858797</v>
      </c>
      <c r="K78">
        <v>18.5720273221376</v>
      </c>
      <c r="L78">
        <v>1.4450960419308679E-3</v>
      </c>
      <c r="M78">
        <v>2.8139072642592399E-4</v>
      </c>
      <c r="N78" s="1">
        <v>1.5773027472237301E-5</v>
      </c>
      <c r="O78" s="1">
        <v>5.7276458666498896E-6</v>
      </c>
      <c r="P78" s="1">
        <v>-1.7097754090103701E-5</v>
      </c>
      <c r="AE78">
        <v>100</v>
      </c>
      <c r="AJ78">
        <v>1</v>
      </c>
    </row>
    <row r="79" spans="1:36" x14ac:dyDescent="0.2">
      <c r="A79">
        <v>78</v>
      </c>
      <c r="B79">
        <v>744</v>
      </c>
      <c r="C79">
        <v>220</v>
      </c>
      <c r="D79">
        <v>0.352318242147177</v>
      </c>
      <c r="E79">
        <v>9.7987615172897797</v>
      </c>
      <c r="F79">
        <v>0.49581612451711099</v>
      </c>
      <c r="G79">
        <v>-212.24808655429882</v>
      </c>
      <c r="H79">
        <v>-124.87948938801523</v>
      </c>
      <c r="I79">
        <v>85.901002427701599</v>
      </c>
      <c r="J79">
        <v>38.965361148270503</v>
      </c>
      <c r="K79">
        <v>19.7628940100184</v>
      </c>
      <c r="L79">
        <v>1.4475573806144201E-3</v>
      </c>
      <c r="M79">
        <v>2.8035904505525352E-4</v>
      </c>
      <c r="N79" s="1">
        <v>1.7256079349113999E-5</v>
      </c>
      <c r="O79" s="1">
        <v>6.0712693036666598E-6</v>
      </c>
      <c r="P79" s="1">
        <v>-1.8251675601844798E-5</v>
      </c>
      <c r="AE79">
        <v>100</v>
      </c>
      <c r="AJ79">
        <v>1</v>
      </c>
    </row>
    <row r="80" spans="1:36" x14ac:dyDescent="0.2">
      <c r="A80">
        <v>79</v>
      </c>
      <c r="B80">
        <v>742</v>
      </c>
      <c r="C80">
        <v>220</v>
      </c>
      <c r="D80">
        <v>0.35090429985716198</v>
      </c>
      <c r="E80">
        <v>10.06503045034</v>
      </c>
      <c r="F80">
        <v>0.497254858909007</v>
      </c>
      <c r="G80">
        <v>-217.83926774652301</v>
      </c>
      <c r="H80">
        <v>-128.35302767356049</v>
      </c>
      <c r="I80">
        <v>88.156429987144605</v>
      </c>
      <c r="J80">
        <v>40.072115576035003</v>
      </c>
      <c r="K80">
        <v>20.241190749594601</v>
      </c>
      <c r="L80">
        <v>1.4499848747899571E-3</v>
      </c>
      <c r="M80">
        <v>2.793199505618992E-4</v>
      </c>
      <c r="N80" s="1">
        <v>1.8162166662898898E-5</v>
      </c>
      <c r="O80" s="1">
        <v>6.1936636119499702E-6</v>
      </c>
      <c r="P80" s="1">
        <v>-1.87515319784976E-5</v>
      </c>
      <c r="AE80">
        <v>100</v>
      </c>
      <c r="AJ80">
        <v>1</v>
      </c>
    </row>
    <row r="81" spans="1:36" x14ac:dyDescent="0.2">
      <c r="A81">
        <v>80</v>
      </c>
      <c r="B81">
        <v>740</v>
      </c>
      <c r="C81">
        <v>220</v>
      </c>
      <c r="D81">
        <v>0.34948477520604299</v>
      </c>
      <c r="E81">
        <v>10.212544619984399</v>
      </c>
      <c r="F81">
        <v>0.49870017215539097</v>
      </c>
      <c r="G81">
        <v>-220.85312677162298</v>
      </c>
      <c r="H81">
        <v>-130.31555079599363</v>
      </c>
      <c r="I81">
        <v>89.368228022289799</v>
      </c>
      <c r="J81">
        <v>40.7078912018738</v>
      </c>
      <c r="K81">
        <v>20.4783258362345</v>
      </c>
      <c r="L81">
        <v>1.4523778210955665E-3</v>
      </c>
      <c r="M81">
        <v>2.7827347749457551E-4</v>
      </c>
      <c r="N81" s="1">
        <v>1.8874508256920199E-5</v>
      </c>
      <c r="O81" s="1">
        <v>6.2410655585880103E-6</v>
      </c>
      <c r="P81" s="1">
        <v>-1.90291422820224E-5</v>
      </c>
      <c r="AE81">
        <v>100</v>
      </c>
      <c r="AJ81">
        <v>1</v>
      </c>
    </row>
    <row r="82" spans="1:36" x14ac:dyDescent="0.2">
      <c r="A82">
        <v>81</v>
      </c>
      <c r="B82">
        <v>738</v>
      </c>
      <c r="C82">
        <v>220</v>
      </c>
      <c r="D82">
        <v>0.34805963506898102</v>
      </c>
      <c r="E82">
        <v>10.3092609859865</v>
      </c>
      <c r="F82">
        <v>0.50015206242344501</v>
      </c>
      <c r="G82">
        <v>-222.76433510523063</v>
      </c>
      <c r="H82">
        <v>-131.63192021758934</v>
      </c>
      <c r="I82">
        <v>90.133327874043005</v>
      </c>
      <c r="J82">
        <v>41.142184732057402</v>
      </c>
      <c r="K82">
        <v>20.612253273602199</v>
      </c>
      <c r="L82">
        <v>1.4547355177254905E-3</v>
      </c>
      <c r="M82">
        <v>2.7721966318006559E-4</v>
      </c>
      <c r="N82" s="1">
        <v>1.9506122726871501E-5</v>
      </c>
      <c r="O82" s="1">
        <v>6.2562240417547798E-6</v>
      </c>
      <c r="P82" s="1">
        <v>-1.9210974340029601E-5</v>
      </c>
      <c r="AE82">
        <v>100</v>
      </c>
      <c r="AJ82">
        <v>1</v>
      </c>
    </row>
    <row r="83" spans="1:36" x14ac:dyDescent="0.2">
      <c r="A83">
        <v>82</v>
      </c>
      <c r="B83">
        <v>736</v>
      </c>
      <c r="C83">
        <v>220</v>
      </c>
      <c r="D83">
        <v>0.34662884605856398</v>
      </c>
      <c r="E83">
        <v>10.3786201572015</v>
      </c>
      <c r="F83">
        <v>0.50161052696200803</v>
      </c>
      <c r="G83">
        <v>-224.08166289452407</v>
      </c>
      <c r="H83">
        <v>-132.60040708706214</v>
      </c>
      <c r="I83">
        <v>90.657677343542701</v>
      </c>
      <c r="J83">
        <v>41.467919458346898</v>
      </c>
      <c r="K83">
        <v>20.6905947928553</v>
      </c>
      <c r="L83">
        <v>1.4570572648409826E-3</v>
      </c>
      <c r="M83">
        <v>2.7615854774918605E-4</v>
      </c>
      <c r="N83" s="1">
        <v>2.0095658387886598E-5</v>
      </c>
      <c r="O83" s="1">
        <v>6.2539119864796303E-6</v>
      </c>
      <c r="P83" s="1">
        <v>-1.9340632205274901E-5</v>
      </c>
      <c r="AE83">
        <v>100</v>
      </c>
      <c r="AJ83">
        <v>1</v>
      </c>
    </row>
    <row r="84" spans="1:36" x14ac:dyDescent="0.2">
      <c r="A84">
        <v>83</v>
      </c>
      <c r="B84">
        <v>734</v>
      </c>
      <c r="C84">
        <v>220</v>
      </c>
      <c r="D84">
        <v>0.345192374522167</v>
      </c>
      <c r="E84">
        <v>10.431347836660899</v>
      </c>
      <c r="F84">
        <v>0.50307556209006399</v>
      </c>
      <c r="G84">
        <v>-225.03793652267291</v>
      </c>
      <c r="H84">
        <v>-133.35747817876094</v>
      </c>
      <c r="I84">
        <v>91.035523806485799</v>
      </c>
      <c r="J84">
        <v>41.727601509353697</v>
      </c>
      <c r="K84">
        <v>20.735151183498299</v>
      </c>
      <c r="L84">
        <v>1.4593423649863293E-3</v>
      </c>
      <c r="M84">
        <v>2.7509017416070747E-4</v>
      </c>
      <c r="N84" s="1">
        <v>2.0660664524253599E-5</v>
      </c>
      <c r="O84" s="1">
        <v>6.2408975930508498E-6</v>
      </c>
      <c r="P84" s="1">
        <v>-1.9438054749817899E-5</v>
      </c>
      <c r="AE84">
        <v>100</v>
      </c>
      <c r="AJ84">
        <v>1</v>
      </c>
    </row>
    <row r="85" spans="1:36" x14ac:dyDescent="0.2">
      <c r="A85">
        <v>84</v>
      </c>
      <c r="B85">
        <v>760</v>
      </c>
      <c r="C85">
        <v>200</v>
      </c>
      <c r="D85">
        <v>0.38472680636887402</v>
      </c>
      <c r="E85">
        <v>5.47868949350599</v>
      </c>
      <c r="F85">
        <v>0.45505687206717499</v>
      </c>
      <c r="G85">
        <v>-119.6766429044423</v>
      </c>
      <c r="H85">
        <v>-69.352928042595636</v>
      </c>
      <c r="I85">
        <v>48.7120457865798</v>
      </c>
      <c r="J85">
        <v>21.7253317155198</v>
      </c>
      <c r="K85">
        <v>12.0395709411399</v>
      </c>
      <c r="L85">
        <v>1.5294024524042341E-3</v>
      </c>
      <c r="M85">
        <v>3.4182390521239164E-4</v>
      </c>
      <c r="N85" s="1">
        <v>6.4929348432022702E-6</v>
      </c>
      <c r="O85" s="1">
        <v>5.0780362515893298E-6</v>
      </c>
      <c r="P85" s="1">
        <v>-1.27335724504664E-5</v>
      </c>
      <c r="AE85">
        <v>100</v>
      </c>
      <c r="AJ85">
        <v>1</v>
      </c>
    </row>
    <row r="86" spans="1:36" x14ac:dyDescent="0.2">
      <c r="A86">
        <v>85</v>
      </c>
      <c r="B86">
        <v>758</v>
      </c>
      <c r="C86">
        <v>200</v>
      </c>
      <c r="D86">
        <v>0.383397662803666</v>
      </c>
      <c r="E86">
        <v>5.4963441262296504</v>
      </c>
      <c r="F86">
        <v>0.45645257202433998</v>
      </c>
      <c r="G86">
        <v>-119.96459539061472</v>
      </c>
      <c r="H86">
        <v>-69.620034492808756</v>
      </c>
      <c r="I86">
        <v>48.826752890878304</v>
      </c>
      <c r="J86">
        <v>21.8269206055121</v>
      </c>
      <c r="K86">
        <v>12.0414353277793</v>
      </c>
      <c r="L86">
        <v>1.5329879985900398E-3</v>
      </c>
      <c r="M86">
        <v>3.4074884165332135E-4</v>
      </c>
      <c r="N86" s="1">
        <v>6.7957144559902099E-6</v>
      </c>
      <c r="O86" s="1">
        <v>5.0649805569151301E-6</v>
      </c>
      <c r="P86" s="1">
        <v>-1.27949000533047E-5</v>
      </c>
      <c r="AE86">
        <v>100</v>
      </c>
      <c r="AJ86">
        <v>1</v>
      </c>
    </row>
    <row r="87" spans="1:36" x14ac:dyDescent="0.2">
      <c r="A87">
        <v>86</v>
      </c>
      <c r="B87">
        <v>756</v>
      </c>
      <c r="C87">
        <v>200</v>
      </c>
      <c r="D87">
        <v>0.38206335325268598</v>
      </c>
      <c r="E87">
        <v>5.6003166974136098</v>
      </c>
      <c r="F87">
        <v>0.45785582298683303</v>
      </c>
      <c r="G87">
        <v>-122.1344693939071</v>
      </c>
      <c r="H87">
        <v>-70.981526051452406</v>
      </c>
      <c r="I87">
        <v>49.707183780370002</v>
      </c>
      <c r="J87">
        <v>22.2719781619579</v>
      </c>
      <c r="K87">
        <v>12.231616190616</v>
      </c>
      <c r="L87">
        <v>1.5365448866216137E-3</v>
      </c>
      <c r="M87">
        <v>3.396630615042569E-4</v>
      </c>
      <c r="N87" s="1">
        <v>7.2149005635208598E-6</v>
      </c>
      <c r="O87" s="1">
        <v>5.1306351946954903E-6</v>
      </c>
      <c r="P87" s="1">
        <v>-1.3057016837495899E-5</v>
      </c>
      <c r="AE87">
        <v>100</v>
      </c>
      <c r="AJ87">
        <v>1</v>
      </c>
    </row>
    <row r="88" spans="1:36" x14ac:dyDescent="0.2">
      <c r="A88">
        <v>87</v>
      </c>
      <c r="B88">
        <v>754</v>
      </c>
      <c r="C88">
        <v>200</v>
      </c>
      <c r="D88">
        <v>0.38072384753930699</v>
      </c>
      <c r="E88">
        <v>5.8173977682070701</v>
      </c>
      <c r="F88">
        <v>0.45926664146385499</v>
      </c>
      <c r="G88">
        <v>-126.76545759562624</v>
      </c>
      <c r="H88">
        <v>-73.779236157141369</v>
      </c>
      <c r="I88">
        <v>51.588911561813703</v>
      </c>
      <c r="J88">
        <v>23.168682661572898</v>
      </c>
      <c r="K88">
        <v>12.666710888613199</v>
      </c>
      <c r="L88">
        <v>1.5400721186903533E-3</v>
      </c>
      <c r="M88">
        <v>3.3856654068413548E-4</v>
      </c>
      <c r="N88" s="1">
        <v>7.8000005048029593E-6</v>
      </c>
      <c r="O88" s="1">
        <v>5.2979940912849298E-6</v>
      </c>
      <c r="P88" s="1">
        <v>-1.35833508801366E-5</v>
      </c>
      <c r="AE88">
        <v>100</v>
      </c>
      <c r="AJ88">
        <v>1</v>
      </c>
    </row>
    <row r="89" spans="1:36" x14ac:dyDescent="0.2">
      <c r="A89">
        <v>88</v>
      </c>
      <c r="B89">
        <v>752</v>
      </c>
      <c r="C89">
        <v>200</v>
      </c>
      <c r="D89">
        <v>0.37937911525142798</v>
      </c>
      <c r="E89">
        <v>6.0420745917197403</v>
      </c>
      <c r="F89">
        <v>0.46068504300701602</v>
      </c>
      <c r="G89">
        <v>-131.55421817754424</v>
      </c>
      <c r="H89">
        <v>-76.676865052302105</v>
      </c>
      <c r="I89">
        <v>53.534420105691197</v>
      </c>
      <c r="J89">
        <v>24.098147442855499</v>
      </c>
      <c r="K89">
        <v>13.115412977772101</v>
      </c>
      <c r="L89">
        <v>1.5435686892833393E-3</v>
      </c>
      <c r="M89">
        <v>3.3745925847954796E-4</v>
      </c>
      <c r="N89" s="1">
        <v>8.4221000939699692E-6</v>
      </c>
      <c r="O89" s="1">
        <v>5.4696807902631201E-6</v>
      </c>
      <c r="P89" s="1">
        <v>-1.4128264058771E-5</v>
      </c>
      <c r="AE89">
        <v>100</v>
      </c>
      <c r="AJ89">
        <v>1</v>
      </c>
    </row>
    <row r="90" spans="1:36" x14ac:dyDescent="0.2">
      <c r="A90">
        <v>89</v>
      </c>
      <c r="B90">
        <v>750</v>
      </c>
      <c r="C90">
        <v>200</v>
      </c>
      <c r="D90">
        <v>0.37802912573913899</v>
      </c>
      <c r="E90">
        <v>9.0429432251956996</v>
      </c>
      <c r="F90">
        <v>0.46211104218689197</v>
      </c>
      <c r="G90">
        <v>-196.7320191354309</v>
      </c>
      <c r="H90">
        <v>-114.83153283160375</v>
      </c>
      <c r="I90">
        <v>80.0524470813086</v>
      </c>
      <c r="J90">
        <v>36.1185979063902</v>
      </c>
      <c r="K90">
        <v>19.568766810680199</v>
      </c>
      <c r="L90">
        <v>1.5470335856745735E-3</v>
      </c>
      <c r="M90">
        <v>3.3634119764314386E-4</v>
      </c>
      <c r="N90" s="1">
        <v>1.3090583476596799E-5</v>
      </c>
      <c r="O90" s="1">
        <v>8.1366843933499296E-6</v>
      </c>
      <c r="P90" s="1">
        <v>-2.1174553137255099E-5</v>
      </c>
      <c r="AE90">
        <v>100</v>
      </c>
      <c r="AJ90">
        <v>1</v>
      </c>
    </row>
    <row r="91" spans="1:36" x14ac:dyDescent="0.2">
      <c r="A91">
        <v>90</v>
      </c>
      <c r="B91">
        <v>748</v>
      </c>
      <c r="C91">
        <v>200</v>
      </c>
      <c r="D91">
        <v>0.37667384811242399</v>
      </c>
      <c r="E91">
        <v>9.7754842336230308</v>
      </c>
      <c r="F91">
        <v>0.46354465256962502</v>
      </c>
      <c r="G91">
        <v>-212.49567663334213</v>
      </c>
      <c r="H91">
        <v>-124.21182687801047</v>
      </c>
      <c r="I91">
        <v>86.4607980097866</v>
      </c>
      <c r="J91">
        <v>39.100405829031203</v>
      </c>
      <c r="K91">
        <v>21.0885492464067</v>
      </c>
      <c r="L91">
        <v>1.5504657884356865E-3</v>
      </c>
      <c r="M91">
        <v>3.3521234449100618E-4</v>
      </c>
      <c r="N91" s="1">
        <v>1.46815712547971E-5</v>
      </c>
      <c r="O91" s="1">
        <v>8.7419000982281799E-6</v>
      </c>
      <c r="P91" s="1">
        <v>-2.2920337592684301E-5</v>
      </c>
      <c r="AE91">
        <v>100</v>
      </c>
      <c r="AJ91">
        <v>1</v>
      </c>
    </row>
    <row r="92" spans="1:36" x14ac:dyDescent="0.2">
      <c r="A92">
        <v>91</v>
      </c>
      <c r="B92">
        <v>746</v>
      </c>
      <c r="C92">
        <v>200</v>
      </c>
      <c r="D92">
        <v>0.37531325123877901</v>
      </c>
      <c r="E92">
        <v>10.0574228089403</v>
      </c>
      <c r="F92">
        <v>0.46498588669365498</v>
      </c>
      <c r="G92">
        <v>-218.44651778006244</v>
      </c>
      <c r="H92">
        <v>-127.87478263520804</v>
      </c>
      <c r="I92">
        <v>88.875524328883998</v>
      </c>
      <c r="J92">
        <v>40.285605334098797</v>
      </c>
      <c r="K92">
        <v>21.629522737679199</v>
      </c>
      <c r="L92">
        <v>1.5538642719682024E-3</v>
      </c>
      <c r="M92">
        <v>3.3407268899913393E-4</v>
      </c>
      <c r="N92" s="1">
        <v>1.5656613654670698E-5</v>
      </c>
      <c r="O92" s="1">
        <v>8.9382363022890305E-6</v>
      </c>
      <c r="P92" s="1">
        <v>-2.361150404288E-5</v>
      </c>
      <c r="AE92">
        <v>100</v>
      </c>
      <c r="AJ92">
        <v>1</v>
      </c>
    </row>
    <row r="93" spans="1:36" x14ac:dyDescent="0.2">
      <c r="A93">
        <v>92</v>
      </c>
      <c r="B93">
        <v>744</v>
      </c>
      <c r="C93">
        <v>200</v>
      </c>
      <c r="D93">
        <v>0.373947303740848</v>
      </c>
      <c r="E93">
        <v>10.218100958959599</v>
      </c>
      <c r="F93">
        <v>0.46643475604659801</v>
      </c>
      <c r="G93">
        <v>-221.75592552346464</v>
      </c>
      <c r="H93">
        <v>-129.99963662448945</v>
      </c>
      <c r="I93">
        <v>90.214949932465302</v>
      </c>
      <c r="J93">
        <v>40.987531127349698</v>
      </c>
      <c r="K93">
        <v>21.906817248281602</v>
      </c>
      <c r="L93">
        <v>1.5572280050555394E-3</v>
      </c>
      <c r="M93">
        <v>3.3292222489867735E-4</v>
      </c>
      <c r="N93" s="1">
        <v>1.6472889112288301E-5</v>
      </c>
      <c r="O93" s="1">
        <v>9.0240209484861203E-6</v>
      </c>
      <c r="P93" s="1">
        <v>-2.40179899436238E-5</v>
      </c>
      <c r="AE93">
        <v>100</v>
      </c>
      <c r="AJ93">
        <v>1</v>
      </c>
    </row>
    <row r="94" spans="1:36" x14ac:dyDescent="0.2">
      <c r="A94">
        <v>93</v>
      </c>
      <c r="B94">
        <v>742</v>
      </c>
      <c r="C94">
        <v>200</v>
      </c>
      <c r="D94">
        <v>0.37257597399398801</v>
      </c>
      <c r="E94">
        <v>10.318621030709901</v>
      </c>
      <c r="F94">
        <v>0.46789127104226602</v>
      </c>
      <c r="G94">
        <v>-223.75531527454027</v>
      </c>
      <c r="H94">
        <v>-131.36134203314666</v>
      </c>
      <c r="I94">
        <v>91.020911382537804</v>
      </c>
      <c r="J94">
        <v>41.449537666330897</v>
      </c>
      <c r="K94">
        <v>22.0534591460199</v>
      </c>
      <c r="L94">
        <v>1.5605559514349362E-3</v>
      </c>
      <c r="M94">
        <v>3.3176094976969698E-4</v>
      </c>
      <c r="N94" s="1">
        <v>1.7212320119595098E-5</v>
      </c>
      <c r="O94" s="1">
        <v>9.0548885852497704E-6</v>
      </c>
      <c r="P94" s="1">
        <v>-2.4282441058042199E-5</v>
      </c>
      <c r="AE94">
        <v>100</v>
      </c>
      <c r="AJ94">
        <v>1</v>
      </c>
    </row>
    <row r="95" spans="1:36" x14ac:dyDescent="0.2">
      <c r="A95">
        <v>94</v>
      </c>
      <c r="B95">
        <v>740</v>
      </c>
      <c r="C95">
        <v>200</v>
      </c>
      <c r="D95">
        <v>0.37119923012387401</v>
      </c>
      <c r="E95">
        <v>10.3896175446827</v>
      </c>
      <c r="F95">
        <v>0.46935544099792598</v>
      </c>
      <c r="G95">
        <v>-225.11163525224416</v>
      </c>
      <c r="H95">
        <v>-132.34869265909384</v>
      </c>
      <c r="I95">
        <v>91.564810906879501</v>
      </c>
      <c r="J95">
        <v>41.793814405271299</v>
      </c>
      <c r="K95">
        <v>22.135926500804299</v>
      </c>
      <c r="L95">
        <v>1.5638470703897313E-3</v>
      </c>
      <c r="M95">
        <v>3.3058886513345049E-4</v>
      </c>
      <c r="N95" s="1">
        <v>1.7917681924135901E-5</v>
      </c>
      <c r="O95" s="1">
        <v>9.05855359094354E-6</v>
      </c>
      <c r="P95" s="1">
        <v>-2.44764546976542E-5</v>
      </c>
      <c r="AE95">
        <v>100</v>
      </c>
      <c r="AJ95">
        <v>1</v>
      </c>
    </row>
    <row r="96" spans="1:36" x14ac:dyDescent="0.2">
      <c r="A96">
        <v>95</v>
      </c>
      <c r="B96">
        <v>738</v>
      </c>
      <c r="C96">
        <v>200</v>
      </c>
      <c r="D96">
        <v>0.36981704000395799</v>
      </c>
      <c r="E96">
        <v>10.443032584625699</v>
      </c>
      <c r="F96">
        <v>0.47082727411173603</v>
      </c>
      <c r="G96">
        <v>-226.0849897466903</v>
      </c>
      <c r="H96">
        <v>-133.11319962743485</v>
      </c>
      <c r="I96">
        <v>91.952495934110601</v>
      </c>
      <c r="J96">
        <v>42.067950433983</v>
      </c>
      <c r="K96">
        <v>22.180177655017101</v>
      </c>
      <c r="L96">
        <v>1.567100317360472E-3</v>
      </c>
      <c r="M96">
        <v>3.2940597654279011E-4</v>
      </c>
      <c r="N96" s="1">
        <v>1.86052304337948E-5</v>
      </c>
      <c r="O96" s="1">
        <v>9.0458551342606695E-6</v>
      </c>
      <c r="P96" s="1">
        <v>-2.46278945825866E-5</v>
      </c>
      <c r="AE96">
        <v>100</v>
      </c>
      <c r="AJ96">
        <v>1</v>
      </c>
    </row>
    <row r="97" spans="1:36" x14ac:dyDescent="0.2">
      <c r="A97">
        <v>96</v>
      </c>
      <c r="B97">
        <v>764</v>
      </c>
      <c r="C97">
        <v>180</v>
      </c>
      <c r="D97">
        <v>0.40858169020874802</v>
      </c>
      <c r="E97">
        <v>5.79692993706258</v>
      </c>
      <c r="F97">
        <v>0.41939386807347301</v>
      </c>
      <c r="G97">
        <v>-127.10059165558442</v>
      </c>
      <c r="H97">
        <v>-73.120773640868663</v>
      </c>
      <c r="I97">
        <v>52.049496576192396</v>
      </c>
      <c r="J97">
        <v>23.019935461685499</v>
      </c>
      <c r="K97">
        <v>13.8221618825552</v>
      </c>
      <c r="L97">
        <v>1.6298838109191597E-3</v>
      </c>
      <c r="M97">
        <v>4.1443282257927374E-4</v>
      </c>
      <c r="N97" s="1">
        <v>2.88219213367142E-6</v>
      </c>
      <c r="O97" s="1">
        <v>7.9650387343994405E-6</v>
      </c>
      <c r="P97" s="1">
        <v>-1.6911429852817899E-5</v>
      </c>
      <c r="AE97">
        <v>100</v>
      </c>
      <c r="AJ97">
        <v>1</v>
      </c>
    </row>
    <row r="98" spans="1:36" x14ac:dyDescent="0.2">
      <c r="A98">
        <v>97</v>
      </c>
      <c r="B98">
        <v>762</v>
      </c>
      <c r="C98">
        <v>180</v>
      </c>
      <c r="D98">
        <v>0.40730377240013699</v>
      </c>
      <c r="E98">
        <v>5.8214842924071002</v>
      </c>
      <c r="F98">
        <v>0.42076528275571701</v>
      </c>
      <c r="G98">
        <v>-127.53446289445569</v>
      </c>
      <c r="H98">
        <v>-73.476769801748716</v>
      </c>
      <c r="I98">
        <v>52.225305031637099</v>
      </c>
      <c r="J98">
        <v>23.157296378056099</v>
      </c>
      <c r="K98">
        <v>13.8354672569002</v>
      </c>
      <c r="L98">
        <v>1.63477044451666E-3</v>
      </c>
      <c r="M98">
        <v>4.1332959918505074E-4</v>
      </c>
      <c r="N98" s="1">
        <v>3.2367837411920299E-6</v>
      </c>
      <c r="O98" s="1">
        <v>7.9590673570469093E-6</v>
      </c>
      <c r="P98" s="1">
        <v>-1.7030197150726301E-5</v>
      </c>
      <c r="AE98">
        <v>100</v>
      </c>
      <c r="AJ98">
        <v>1</v>
      </c>
    </row>
    <row r="99" spans="1:36" x14ac:dyDescent="0.2">
      <c r="A99">
        <v>98</v>
      </c>
      <c r="B99">
        <v>760</v>
      </c>
      <c r="C99">
        <v>180</v>
      </c>
      <c r="D99">
        <v>0.40602090693510101</v>
      </c>
      <c r="E99">
        <v>6.0113418089873596</v>
      </c>
      <c r="F99">
        <v>0.42214529949238699</v>
      </c>
      <c r="G99">
        <v>-131.58596525821505</v>
      </c>
      <c r="H99">
        <v>-75.920952268154096</v>
      </c>
      <c r="I99">
        <v>53.882256254157397</v>
      </c>
      <c r="J99">
        <v>23.953760627032899</v>
      </c>
      <c r="K99">
        <v>14.2399828121164</v>
      </c>
      <c r="L99">
        <v>1.6396374881098249E-3</v>
      </c>
      <c r="M99">
        <v>4.1221194414539734E-4</v>
      </c>
      <c r="N99" s="1">
        <v>3.70241572263202E-6</v>
      </c>
      <c r="O99" s="1">
        <v>8.1773172201202395E-6</v>
      </c>
      <c r="P99" s="1">
        <v>-1.76338448198675E-5</v>
      </c>
      <c r="AE99">
        <v>100</v>
      </c>
      <c r="AJ99">
        <v>1</v>
      </c>
    </row>
    <row r="100" spans="1:36" x14ac:dyDescent="0.2">
      <c r="A100">
        <v>99</v>
      </c>
      <c r="B100">
        <v>758</v>
      </c>
      <c r="C100">
        <v>180</v>
      </c>
      <c r="D100">
        <v>0.40473306502448703</v>
      </c>
      <c r="E100">
        <v>6.2144005958337596</v>
      </c>
      <c r="F100">
        <v>0.42353395632138902</v>
      </c>
      <c r="G100">
        <v>-135.91948745077786</v>
      </c>
      <c r="H100">
        <v>-78.535075714901012</v>
      </c>
      <c r="I100">
        <v>55.654335448291398</v>
      </c>
      <c r="J100">
        <v>24.8055947479087</v>
      </c>
      <c r="K100">
        <v>14.6727328543124</v>
      </c>
      <c r="L100">
        <v>1.6444836482412848E-3</v>
      </c>
      <c r="M100">
        <v>4.1107973994203729E-4</v>
      </c>
      <c r="N100" s="1">
        <v>4.2064627386692903E-6</v>
      </c>
      <c r="O100" s="1">
        <v>8.4104931416909305E-6</v>
      </c>
      <c r="P100" s="1">
        <v>-1.82788874712606E-5</v>
      </c>
      <c r="AE100">
        <v>100</v>
      </c>
      <c r="AJ100">
        <v>1</v>
      </c>
    </row>
    <row r="101" spans="1:36" x14ac:dyDescent="0.2">
      <c r="A101">
        <v>100</v>
      </c>
      <c r="B101">
        <v>756</v>
      </c>
      <c r="C101">
        <v>180</v>
      </c>
      <c r="D101">
        <v>0.40344021765534699</v>
      </c>
      <c r="E101">
        <v>6.4258428186884098</v>
      </c>
      <c r="F101">
        <v>0.42493129038043198</v>
      </c>
      <c r="G101">
        <v>-140.42904161312069</v>
      </c>
      <c r="H101">
        <v>-81.258540208814878</v>
      </c>
      <c r="I101">
        <v>57.498108794790397</v>
      </c>
      <c r="J101">
        <v>25.693806117419399</v>
      </c>
      <c r="K101">
        <v>15.1220749428348</v>
      </c>
      <c r="L101">
        <v>1.6493076086517139E-3</v>
      </c>
      <c r="M101">
        <v>4.0993287200160016E-4</v>
      </c>
      <c r="N101" s="1">
        <v>4.74844506314644E-6</v>
      </c>
      <c r="O101" s="1">
        <v>8.6517981182402601E-6</v>
      </c>
      <c r="P101" s="1">
        <v>-1.8951347520500399E-5</v>
      </c>
      <c r="AE101">
        <v>100</v>
      </c>
      <c r="AJ101">
        <v>1</v>
      </c>
    </row>
    <row r="102" spans="1:36" x14ac:dyDescent="0.2">
      <c r="A102">
        <v>101</v>
      </c>
      <c r="B102">
        <v>754</v>
      </c>
      <c r="C102">
        <v>180</v>
      </c>
      <c r="D102">
        <v>0.402142335588766</v>
      </c>
      <c r="E102">
        <v>9.1822936206683305</v>
      </c>
      <c r="F102">
        <v>0.42633733786946298</v>
      </c>
      <c r="G102">
        <v>-200.50369411937351</v>
      </c>
      <c r="H102">
        <v>-116.18896680397948</v>
      </c>
      <c r="I102">
        <v>82.091205751507701</v>
      </c>
      <c r="J102">
        <v>36.778766909868203</v>
      </c>
      <c r="K102">
        <v>21.537624798604298</v>
      </c>
      <c r="L102">
        <v>1.6541080306075968E-3</v>
      </c>
      <c r="M102">
        <v>4.0877122888368126E-4</v>
      </c>
      <c r="N102" s="1">
        <v>7.3652841878454701E-6</v>
      </c>
      <c r="O102" s="1">
        <v>1.22985024365908E-5</v>
      </c>
      <c r="P102" s="1">
        <v>-2.7152166731079E-5</v>
      </c>
      <c r="AE102">
        <v>100</v>
      </c>
      <c r="AJ102">
        <v>1</v>
      </c>
    </row>
    <row r="103" spans="1:36" x14ac:dyDescent="0.2">
      <c r="A103">
        <v>102</v>
      </c>
      <c r="B103">
        <v>752</v>
      </c>
      <c r="C103">
        <v>180</v>
      </c>
      <c r="D103">
        <v>0.40083938935765601</v>
      </c>
      <c r="E103">
        <v>9.8382510821571394</v>
      </c>
      <c r="F103">
        <v>0.42775213401262102</v>
      </c>
      <c r="G103">
        <v>-214.6512848199184</v>
      </c>
      <c r="H103">
        <v>-124.56806285097289</v>
      </c>
      <c r="I103">
        <v>87.878702648736805</v>
      </c>
      <c r="J103">
        <v>39.473996581628299</v>
      </c>
      <c r="K103">
        <v>22.999887785169602</v>
      </c>
      <c r="L103">
        <v>1.6588835532679212E-3</v>
      </c>
      <c r="M103">
        <v>4.0759470247218323E-4</v>
      </c>
      <c r="N103" s="1">
        <v>8.5234747582411206E-6</v>
      </c>
      <c r="O103" s="1">
        <v>1.31073194145811E-5</v>
      </c>
      <c r="P103" s="1">
        <v>-2.9167394216835699E-5</v>
      </c>
      <c r="AE103">
        <v>100</v>
      </c>
      <c r="AJ103">
        <v>1</v>
      </c>
    </row>
    <row r="104" spans="1:36" x14ac:dyDescent="0.2">
      <c r="A104">
        <v>103</v>
      </c>
      <c r="B104">
        <v>750</v>
      </c>
      <c r="C104">
        <v>180</v>
      </c>
      <c r="D104">
        <v>0.39953134926452799</v>
      </c>
      <c r="E104">
        <v>10.1008055174005</v>
      </c>
      <c r="F104">
        <v>0.42917571301981799</v>
      </c>
      <c r="G104">
        <v>-220.19933740190854</v>
      </c>
      <c r="H104">
        <v>-127.97354837925977</v>
      </c>
      <c r="I104">
        <v>90.144719077189293</v>
      </c>
      <c r="J104">
        <v>40.597177852884997</v>
      </c>
      <c r="K104">
        <v>23.5353614171873</v>
      </c>
      <c r="L104">
        <v>1.6636327940927867E-3</v>
      </c>
      <c r="M104">
        <v>4.0640318817016419E-4</v>
      </c>
      <c r="N104" s="1">
        <v>9.4107839861812006E-6</v>
      </c>
      <c r="O104" s="1">
        <v>1.3384941983409201E-5</v>
      </c>
      <c r="P104" s="1">
        <v>-3.00223370256114E-5</v>
      </c>
      <c r="AE104">
        <v>100</v>
      </c>
      <c r="AJ104">
        <v>1</v>
      </c>
    </row>
    <row r="105" spans="1:36" x14ac:dyDescent="0.2">
      <c r="A105">
        <v>104</v>
      </c>
      <c r="B105">
        <v>748</v>
      </c>
      <c r="C105">
        <v>180</v>
      </c>
      <c r="D105">
        <v>0.39821818537923098</v>
      </c>
      <c r="E105">
        <v>10.249953412221799</v>
      </c>
      <c r="F105">
        <v>0.43060810804793997</v>
      </c>
      <c r="G105">
        <v>-223.26791679632609</v>
      </c>
      <c r="H105">
        <v>-129.94566227733588</v>
      </c>
      <c r="I105">
        <v>91.395113520787206</v>
      </c>
      <c r="J105">
        <v>41.2674520906154</v>
      </c>
      <c r="K105">
        <v>23.803438023235501</v>
      </c>
      <c r="L105">
        <v>1.6683543492933236E-3</v>
      </c>
      <c r="M105">
        <v>4.05196585097596E-4</v>
      </c>
      <c r="N105" s="1">
        <v>1.0230399004940399E-5</v>
      </c>
      <c r="O105" s="1">
        <v>1.3508772181022E-5</v>
      </c>
      <c r="P105" s="1">
        <v>-3.0542228048878203E-5</v>
      </c>
      <c r="AE105">
        <v>100</v>
      </c>
      <c r="AJ105">
        <v>1</v>
      </c>
    </row>
    <row r="106" spans="1:36" x14ac:dyDescent="0.2">
      <c r="A106">
        <v>105</v>
      </c>
      <c r="B106">
        <v>746</v>
      </c>
      <c r="C106">
        <v>180</v>
      </c>
      <c r="D106">
        <v>0.396899867536674</v>
      </c>
      <c r="E106">
        <v>10.346051225774699</v>
      </c>
      <c r="F106">
        <v>0.43204935116170301</v>
      </c>
      <c r="G106">
        <v>-225.17672926121713</v>
      </c>
      <c r="H106">
        <v>-131.24734013815691</v>
      </c>
      <c r="I106">
        <v>92.170249491136602</v>
      </c>
      <c r="J106">
        <v>41.725876595212199</v>
      </c>
      <c r="K106">
        <v>23.946457037734401</v>
      </c>
      <c r="L106">
        <v>1.6730467943248191E-3</v>
      </c>
      <c r="M106">
        <v>4.0397479629204904E-4</v>
      </c>
      <c r="N106" s="1">
        <v>1.10244834959251E-5</v>
      </c>
      <c r="O106" s="1">
        <v>1.35603383927426E-5</v>
      </c>
      <c r="P106" s="1">
        <v>-3.09047041640079E-5</v>
      </c>
      <c r="AE106">
        <v>100</v>
      </c>
      <c r="AJ106">
        <v>1</v>
      </c>
    </row>
    <row r="107" spans="1:36" x14ac:dyDescent="0.2">
      <c r="A107">
        <v>106</v>
      </c>
      <c r="B107">
        <v>744</v>
      </c>
      <c r="C107">
        <v>180</v>
      </c>
      <c r="D107">
        <v>0.39557636533451601</v>
      </c>
      <c r="E107">
        <v>10.413978072540401</v>
      </c>
      <c r="F107">
        <v>0.43349947329421301</v>
      </c>
      <c r="G107">
        <v>-226.4696554954499</v>
      </c>
      <c r="H107">
        <v>-132.19311428680851</v>
      </c>
      <c r="I107">
        <v>92.692818882550299</v>
      </c>
      <c r="J107">
        <v>42.071848479340098</v>
      </c>
      <c r="K107">
        <v>24.023046656558499</v>
      </c>
      <c r="L107">
        <v>1.677708684423718E-3</v>
      </c>
      <c r="M107">
        <v>4.0273772891197962E-4</v>
      </c>
      <c r="N107" s="1">
        <v>1.18107717940728E-5</v>
      </c>
      <c r="O107" s="1">
        <v>1.3573201677535E-5</v>
      </c>
      <c r="P107" s="1">
        <v>-3.1182992161259597E-5</v>
      </c>
      <c r="AE107">
        <v>100</v>
      </c>
      <c r="AJ107">
        <v>1</v>
      </c>
    </row>
    <row r="108" spans="1:36" x14ac:dyDescent="0.2">
      <c r="A108">
        <v>107</v>
      </c>
      <c r="B108">
        <v>742</v>
      </c>
      <c r="C108">
        <v>180</v>
      </c>
      <c r="D108">
        <v>0.39424764813081797</v>
      </c>
      <c r="E108">
        <v>10.465103419907701</v>
      </c>
      <c r="F108">
        <v>0.43495850420724302</v>
      </c>
      <c r="G108">
        <v>-227.39525056145405</v>
      </c>
      <c r="H108">
        <v>-132.9267191747978</v>
      </c>
      <c r="I108">
        <v>93.064591598743107</v>
      </c>
      <c r="J108">
        <v>42.350780096522897</v>
      </c>
      <c r="K108">
        <v>24.060004158285</v>
      </c>
      <c r="L108">
        <v>1.6823385551888914E-3</v>
      </c>
      <c r="M108">
        <v>4.0148529444228705E-4</v>
      </c>
      <c r="N108" s="1">
        <v>1.2597311105549E-5</v>
      </c>
      <c r="O108" s="1">
        <v>1.3562699336684401E-5</v>
      </c>
      <c r="P108" s="1">
        <v>-3.1410513193665798E-5</v>
      </c>
      <c r="AE108">
        <v>100</v>
      </c>
      <c r="AJ108">
        <v>1</v>
      </c>
    </row>
    <row r="109" spans="1:36" x14ac:dyDescent="0.2">
      <c r="A109">
        <v>108</v>
      </c>
      <c r="B109">
        <v>740</v>
      </c>
      <c r="C109">
        <v>180</v>
      </c>
      <c r="D109">
        <v>0.39291368504170499</v>
      </c>
      <c r="E109">
        <v>10.505301517307601</v>
      </c>
      <c r="F109">
        <v>0.436426472451306</v>
      </c>
      <c r="G109">
        <v>-228.08195097552283</v>
      </c>
      <c r="H109">
        <v>-133.52241105153408</v>
      </c>
      <c r="I109">
        <v>93.338154964828803</v>
      </c>
      <c r="J109">
        <v>42.5861211930903</v>
      </c>
      <c r="K109">
        <v>24.071183075356998</v>
      </c>
      <c r="L109">
        <v>1.6869349232087711E-3</v>
      </c>
      <c r="M109">
        <v>4.0021740890200245E-4</v>
      </c>
      <c r="N109" s="1">
        <v>1.33881671192679E-5</v>
      </c>
      <c r="O109" s="1">
        <v>1.35367597474721E-5</v>
      </c>
      <c r="P109" s="1">
        <v>-3.1604492608642297E-5</v>
      </c>
      <c r="AE109">
        <v>100</v>
      </c>
      <c r="AJ109">
        <v>1</v>
      </c>
    </row>
    <row r="110" spans="1:36" x14ac:dyDescent="0.2">
      <c r="A110">
        <v>109</v>
      </c>
      <c r="B110">
        <v>772</v>
      </c>
      <c r="C110">
        <v>160</v>
      </c>
      <c r="D110">
        <v>0.43469406305315</v>
      </c>
      <c r="E110">
        <v>6.1252054628292401</v>
      </c>
      <c r="F110">
        <v>0.37735824299307802</v>
      </c>
      <c r="G110">
        <v>-135.04848773647277</v>
      </c>
      <c r="H110">
        <v>-76.839300423369394</v>
      </c>
      <c r="I110">
        <v>55.697930949433001</v>
      </c>
      <c r="J110">
        <v>24.126489886244901</v>
      </c>
      <c r="K110">
        <v>16.231805125670899</v>
      </c>
      <c r="L110">
        <v>1.7123299107978333E-3</v>
      </c>
      <c r="M110">
        <v>5.1229886688659951E-4</v>
      </c>
      <c r="N110" s="1">
        <v>-5.1655171242519904E-6</v>
      </c>
      <c r="O110" s="1">
        <v>1.29984794111924E-5</v>
      </c>
      <c r="P110" s="1">
        <v>-2.22220139196376E-5</v>
      </c>
      <c r="AE110">
        <v>100</v>
      </c>
      <c r="AJ110">
        <v>1</v>
      </c>
    </row>
    <row r="111" spans="1:36" x14ac:dyDescent="0.2">
      <c r="A111">
        <v>110</v>
      </c>
      <c r="B111">
        <v>770</v>
      </c>
      <c r="C111">
        <v>160</v>
      </c>
      <c r="D111">
        <v>0.43347601016152998</v>
      </c>
      <c r="E111">
        <v>6.1496321155483802</v>
      </c>
      <c r="F111">
        <v>0.37865524418014701</v>
      </c>
      <c r="G111">
        <v>-135.47525272381242</v>
      </c>
      <c r="H111">
        <v>-77.194221478832105</v>
      </c>
      <c r="I111">
        <v>55.8736044117408</v>
      </c>
      <c r="J111">
        <v>24.271626228999398</v>
      </c>
      <c r="K111">
        <v>16.2407155587224</v>
      </c>
      <c r="L111">
        <v>1.7188331566194311E-3</v>
      </c>
      <c r="M111">
        <v>5.1130676348498639E-4</v>
      </c>
      <c r="N111" s="1">
        <v>-4.8469841687317599E-6</v>
      </c>
      <c r="O111" s="1">
        <v>1.29988595605612E-5</v>
      </c>
      <c r="P111" s="1">
        <v>-2.2398532439615599E-5</v>
      </c>
      <c r="AE111">
        <v>100</v>
      </c>
      <c r="AJ111">
        <v>1</v>
      </c>
    </row>
    <row r="112" spans="1:36" x14ac:dyDescent="0.2">
      <c r="A112">
        <v>111</v>
      </c>
      <c r="B112">
        <v>768</v>
      </c>
      <c r="C112">
        <v>160</v>
      </c>
      <c r="D112">
        <v>0.43225327762570398</v>
      </c>
      <c r="E112">
        <v>6.1966810483506203</v>
      </c>
      <c r="F112">
        <v>0.37996164692817702</v>
      </c>
      <c r="G112">
        <v>-136.39917677116338</v>
      </c>
      <c r="H112">
        <v>-77.833774731107411</v>
      </c>
      <c r="I112">
        <v>56.254092264776098</v>
      </c>
      <c r="J112">
        <v>24.506865193363499</v>
      </c>
      <c r="K112">
        <v>16.3087014135454</v>
      </c>
      <c r="L112">
        <v>1.7253408236971132E-3</v>
      </c>
      <c r="M112">
        <v>5.1029754770829468E-4</v>
      </c>
      <c r="N112" s="1">
        <v>-4.53259277868623E-6</v>
      </c>
      <c r="O112" s="1">
        <v>1.30460303659007E-5</v>
      </c>
      <c r="P112" s="1">
        <v>-2.2658762072983401E-5</v>
      </c>
      <c r="AE112">
        <v>100</v>
      </c>
      <c r="AJ112">
        <v>1</v>
      </c>
    </row>
    <row r="113" spans="1:36" x14ac:dyDescent="0.2">
      <c r="A113">
        <v>112</v>
      </c>
      <c r="B113">
        <v>766</v>
      </c>
      <c r="C113">
        <v>160</v>
      </c>
      <c r="D113">
        <v>0.43102583842564002</v>
      </c>
      <c r="E113">
        <v>6.3030115970349803</v>
      </c>
      <c r="F113">
        <v>0.38127752061064002</v>
      </c>
      <c r="G113">
        <v>-138.62529683796592</v>
      </c>
      <c r="H113">
        <v>-79.219251177083819</v>
      </c>
      <c r="I113">
        <v>57.171392610467301</v>
      </c>
      <c r="J113">
        <v>24.9780256030548</v>
      </c>
      <c r="K113">
        <v>16.531296119793002</v>
      </c>
      <c r="L113">
        <v>1.7318516229207948E-3</v>
      </c>
      <c r="M113">
        <v>5.0927095986845353E-4</v>
      </c>
      <c r="N113" s="1">
        <v>-4.2427973420131698E-6</v>
      </c>
      <c r="O113" s="1">
        <v>1.32162685442708E-5</v>
      </c>
      <c r="P113" s="1">
        <v>-2.3138227973927501E-5</v>
      </c>
      <c r="AE113">
        <v>100</v>
      </c>
      <c r="AJ113">
        <v>1</v>
      </c>
    </row>
    <row r="114" spans="1:36" x14ac:dyDescent="0.2">
      <c r="A114">
        <v>113</v>
      </c>
      <c r="B114">
        <v>764</v>
      </c>
      <c r="C114">
        <v>160</v>
      </c>
      <c r="D114">
        <v>0.42979366533288699</v>
      </c>
      <c r="E114">
        <v>6.4881357862752003</v>
      </c>
      <c r="F114">
        <v>0.38260293423840902</v>
      </c>
      <c r="G114">
        <v>-142.57917445779123</v>
      </c>
      <c r="H114">
        <v>-81.597455773714756</v>
      </c>
      <c r="I114">
        <v>58.8009753591964</v>
      </c>
      <c r="J114">
        <v>25.764023789021799</v>
      </c>
      <c r="K114">
        <v>16.9578829790999</v>
      </c>
      <c r="L114">
        <v>1.7383642224943902E-3</v>
      </c>
      <c r="M114">
        <v>5.0822673948264869E-4</v>
      </c>
      <c r="N114" s="1">
        <v>-3.9785287087921796E-6</v>
      </c>
      <c r="O114" s="1">
        <v>1.3548775027843501E-5</v>
      </c>
      <c r="P114" s="1">
        <v>-2.3911378173901599E-5</v>
      </c>
      <c r="AE114">
        <v>100</v>
      </c>
      <c r="AJ114">
        <v>1</v>
      </c>
    </row>
    <row r="115" spans="1:36" x14ac:dyDescent="0.2">
      <c r="A115">
        <v>114</v>
      </c>
      <c r="B115">
        <v>762</v>
      </c>
      <c r="C115">
        <v>160</v>
      </c>
      <c r="D115">
        <v>0.428556730908567</v>
      </c>
      <c r="E115">
        <v>6.6789684311629101</v>
      </c>
      <c r="F115">
        <v>0.383937956415563</v>
      </c>
      <c r="G115">
        <v>-146.65178242840074</v>
      </c>
      <c r="H115">
        <v>-84.050543098219322</v>
      </c>
      <c r="I115">
        <v>60.479216969572803</v>
      </c>
      <c r="J115">
        <v>26.575972489793401</v>
      </c>
      <c r="K115">
        <v>17.3959576529438</v>
      </c>
      <c r="L115">
        <v>1.7448772473763734E-3</v>
      </c>
      <c r="M115">
        <v>5.0716462546834622E-4</v>
      </c>
      <c r="N115" s="1">
        <v>-3.6842468540446401E-6</v>
      </c>
      <c r="O115" s="1">
        <v>1.3889485047043201E-5</v>
      </c>
      <c r="P115" s="1">
        <v>-2.47112013587784E-5</v>
      </c>
      <c r="AE115">
        <v>100</v>
      </c>
      <c r="AJ115">
        <v>1</v>
      </c>
    </row>
    <row r="116" spans="1:36" x14ac:dyDescent="0.2">
      <c r="A116">
        <v>115</v>
      </c>
      <c r="B116">
        <v>760</v>
      </c>
      <c r="C116">
        <v>160</v>
      </c>
      <c r="D116">
        <v>0.427315007501331</v>
      </c>
      <c r="E116">
        <v>8.0019326581215893</v>
      </c>
      <c r="F116">
        <v>0.38528265529379602</v>
      </c>
      <c r="G116">
        <v>-175.55558308871838</v>
      </c>
      <c r="H116">
        <v>-100.76294655222824</v>
      </c>
      <c r="I116">
        <v>72.397246995820595</v>
      </c>
      <c r="J116">
        <v>31.905297816732599</v>
      </c>
      <c r="K116">
        <v>20.7689927074961</v>
      </c>
      <c r="L116">
        <v>1.7513892787528224E-3</v>
      </c>
      <c r="M116">
        <v>5.0608435634918406E-4</v>
      </c>
      <c r="N116" s="1">
        <v>-3.9079126871749998E-6</v>
      </c>
      <c r="O116" s="1">
        <v>1.6570859643911101E-5</v>
      </c>
      <c r="P116" s="1">
        <v>-2.9721833768769001E-5</v>
      </c>
      <c r="AE116">
        <v>100</v>
      </c>
      <c r="AJ116">
        <v>1</v>
      </c>
    </row>
    <row r="117" spans="1:36" x14ac:dyDescent="0.2">
      <c r="A117">
        <v>116</v>
      </c>
      <c r="B117">
        <v>758</v>
      </c>
      <c r="C117">
        <v>160</v>
      </c>
      <c r="D117">
        <v>0.426068467245311</v>
      </c>
      <c r="E117">
        <v>9.5820116659592802</v>
      </c>
      <c r="F117">
        <v>0.38663709852535999</v>
      </c>
      <c r="G117">
        <v>-210.04785806914055</v>
      </c>
      <c r="H117">
        <v>-120.73630600311836</v>
      </c>
      <c r="I117">
        <v>86.618858053144905</v>
      </c>
      <c r="J117">
        <v>38.283772712026398</v>
      </c>
      <c r="K117">
        <v>24.782959789697401</v>
      </c>
      <c r="L117">
        <v>1.7578988535455801E-3</v>
      </c>
      <c r="M117">
        <v>5.0498567047195736E-4</v>
      </c>
      <c r="N117" s="1">
        <v>-4.0573533087279299E-6</v>
      </c>
      <c r="O117" s="1">
        <v>1.9758610578465401E-5</v>
      </c>
      <c r="P117" s="1">
        <v>-3.5729703850390199E-5</v>
      </c>
      <c r="AE117">
        <v>100</v>
      </c>
      <c r="AJ117">
        <v>1</v>
      </c>
    </row>
    <row r="118" spans="1:36" x14ac:dyDescent="0.2">
      <c r="A118">
        <v>117</v>
      </c>
      <c r="B118">
        <v>756</v>
      </c>
      <c r="C118">
        <v>160</v>
      </c>
      <c r="D118">
        <v>0.424817082058009</v>
      </c>
      <c r="E118">
        <v>9.9992375410186298</v>
      </c>
      <c r="F118">
        <v>0.38800135321459001</v>
      </c>
      <c r="G118">
        <v>-219.01318839699803</v>
      </c>
      <c r="H118">
        <v>-126.07346445020414</v>
      </c>
      <c r="I118">
        <v>90.312827211328099</v>
      </c>
      <c r="J118">
        <v>40.032885196267799</v>
      </c>
      <c r="K118">
        <v>25.771140894677199</v>
      </c>
      <c r="L118">
        <v>1.7644044639589748E-3</v>
      </c>
      <c r="M118">
        <v>5.0386830623493344E-4</v>
      </c>
      <c r="N118" s="1">
        <v>-3.56760388749161E-6</v>
      </c>
      <c r="O118" s="1">
        <v>2.0530131561461302E-5</v>
      </c>
      <c r="P118" s="1">
        <v>-3.7430591773872098E-5</v>
      </c>
      <c r="AE118">
        <v>100</v>
      </c>
      <c r="AJ118">
        <v>1</v>
      </c>
    </row>
    <row r="119" spans="1:36" x14ac:dyDescent="0.2">
      <c r="A119">
        <v>118</v>
      </c>
      <c r="B119">
        <v>754</v>
      </c>
      <c r="C119">
        <v>160</v>
      </c>
      <c r="D119">
        <v>0.42356082363822201</v>
      </c>
      <c r="E119">
        <v>10.196779950654699</v>
      </c>
      <c r="F119">
        <v>0.38937548586800802</v>
      </c>
      <c r="G119">
        <v>-223.15584298483597</v>
      </c>
      <c r="H119">
        <v>-128.64587151722927</v>
      </c>
      <c r="I119">
        <v>92.017530731877898</v>
      </c>
      <c r="J119">
        <v>40.9078570507506</v>
      </c>
      <c r="K119">
        <v>26.187524178425601</v>
      </c>
      <c r="L119">
        <v>1.7709045570686976E-3</v>
      </c>
      <c r="M119">
        <v>5.0273200232789285E-4</v>
      </c>
      <c r="N119" s="1">
        <v>-2.9408531880988099E-6</v>
      </c>
      <c r="O119" s="1">
        <v>2.0844333571119202E-5</v>
      </c>
      <c r="P119" s="1">
        <v>-3.8318128906161097E-5</v>
      </c>
      <c r="AE119">
        <v>100</v>
      </c>
      <c r="AJ119">
        <v>1</v>
      </c>
    </row>
    <row r="120" spans="1:36" x14ac:dyDescent="0.2">
      <c r="A120">
        <v>119</v>
      </c>
      <c r="B120">
        <v>752</v>
      </c>
      <c r="C120">
        <v>160</v>
      </c>
      <c r="D120">
        <v>0.42229966346388498</v>
      </c>
      <c r="E120">
        <v>10.314750364205899</v>
      </c>
      <c r="F120">
        <v>0.39075956234294801</v>
      </c>
      <c r="G120">
        <v>-225.55153399565933</v>
      </c>
      <c r="H120">
        <v>-130.21707199070352</v>
      </c>
      <c r="I120">
        <v>93.001380030739298</v>
      </c>
      <c r="J120">
        <v>41.466524724484103</v>
      </c>
      <c r="K120">
        <v>26.3966678188497</v>
      </c>
      <c r="L120">
        <v>1.7773975344548157E-3</v>
      </c>
      <c r="M120">
        <v>5.015764979837276E-4</v>
      </c>
      <c r="N120" s="1">
        <v>-2.2515207737805398E-6</v>
      </c>
      <c r="O120" s="1">
        <v>2.0992210648866499E-5</v>
      </c>
      <c r="P120" s="1">
        <v>-3.89112350985102E-5</v>
      </c>
      <c r="AE120">
        <v>100</v>
      </c>
      <c r="AJ120">
        <v>1</v>
      </c>
    </row>
    <row r="121" spans="1:36" x14ac:dyDescent="0.2">
      <c r="A121">
        <v>120</v>
      </c>
      <c r="B121">
        <v>750</v>
      </c>
      <c r="C121">
        <v>160</v>
      </c>
      <c r="D121">
        <v>0.42103357278991599</v>
      </c>
      <c r="E121">
        <v>10.3971794695148</v>
      </c>
      <c r="F121">
        <v>0.392153647794793</v>
      </c>
      <c r="G121">
        <v>-227.16659482841652</v>
      </c>
      <c r="H121">
        <v>-131.34136842449468</v>
      </c>
      <c r="I121">
        <v>93.662880622073303</v>
      </c>
      <c r="J121">
        <v>41.884284325863597</v>
      </c>
      <c r="K121">
        <v>26.5130250043103</v>
      </c>
      <c r="L121">
        <v>1.7838817518834598E-3</v>
      </c>
      <c r="M121">
        <v>5.0040153324205114E-4</v>
      </c>
      <c r="N121" s="1">
        <v>-1.5219756122343899E-6</v>
      </c>
      <c r="O121" s="1">
        <v>2.1065085175376899E-5</v>
      </c>
      <c r="P121" s="1">
        <v>-3.9373110315772397E-5</v>
      </c>
      <c r="AE121">
        <v>100</v>
      </c>
      <c r="AJ121">
        <v>1</v>
      </c>
    </row>
    <row r="122" spans="1:36" x14ac:dyDescent="0.2">
      <c r="A122">
        <v>121</v>
      </c>
      <c r="B122">
        <v>748</v>
      </c>
      <c r="C122">
        <v>160</v>
      </c>
      <c r="D122">
        <v>0.41976252264603803</v>
      </c>
      <c r="E122">
        <v>10.456044079723901</v>
      </c>
      <c r="F122">
        <v>0.39355780662275103</v>
      </c>
      <c r="G122">
        <v>-228.26441601084014</v>
      </c>
      <c r="H122">
        <v>-132.16929990267596</v>
      </c>
      <c r="I122">
        <v>94.110659255409303</v>
      </c>
      <c r="J122">
        <v>42.208591088229902</v>
      </c>
      <c r="K122">
        <v>26.568000694613801</v>
      </c>
      <c r="L122">
        <v>1.7903555190399935E-3</v>
      </c>
      <c r="M122">
        <v>4.9920684922487876E-4</v>
      </c>
      <c r="N122" s="1">
        <v>-7.60127086347679E-7</v>
      </c>
      <c r="O122" s="1">
        <v>2.1088049190974199E-5</v>
      </c>
      <c r="P122" s="1">
        <v>-3.97476564832792E-5</v>
      </c>
      <c r="AE122">
        <v>100</v>
      </c>
      <c r="AJ122">
        <v>1</v>
      </c>
    </row>
    <row r="123" spans="1:36" x14ac:dyDescent="0.2">
      <c r="A123">
        <v>122</v>
      </c>
      <c r="B123">
        <v>746</v>
      </c>
      <c r="C123">
        <v>160</v>
      </c>
      <c r="D123">
        <v>0.41848648383456999</v>
      </c>
      <c r="E123">
        <v>10.501054776431999</v>
      </c>
      <c r="F123">
        <v>0.39497210241423403</v>
      </c>
      <c r="G123">
        <v>-229.05808972101539</v>
      </c>
      <c r="H123">
        <v>-132.8231245828369</v>
      </c>
      <c r="I123">
        <v>94.432590380768502</v>
      </c>
      <c r="J123">
        <v>42.478126754906498</v>
      </c>
      <c r="K123">
        <v>26.5868265435588</v>
      </c>
      <c r="L123">
        <v>1.7968170993169952E-3</v>
      </c>
      <c r="M123">
        <v>4.9799218842436449E-4</v>
      </c>
      <c r="N123" s="1">
        <v>2.9338755266898401E-8</v>
      </c>
      <c r="O123" s="1">
        <v>2.1081217397342099E-5</v>
      </c>
      <c r="P123" s="1">
        <v>-4.0070819305102597E-5</v>
      </c>
      <c r="AE123">
        <v>100</v>
      </c>
      <c r="AJ123">
        <v>1</v>
      </c>
    </row>
    <row r="124" spans="1:36" x14ac:dyDescent="0.2">
      <c r="A124">
        <v>123</v>
      </c>
      <c r="B124">
        <v>744</v>
      </c>
      <c r="C124">
        <v>160</v>
      </c>
      <c r="D124">
        <v>0.41720542692818402</v>
      </c>
      <c r="E124">
        <v>10.536849182860299</v>
      </c>
      <c r="F124">
        <v>0.39639659788782899</v>
      </c>
      <c r="G124">
        <v>-229.64944307543379</v>
      </c>
      <c r="H124">
        <v>-133.361206156582</v>
      </c>
      <c r="I124">
        <v>94.670664848833397</v>
      </c>
      <c r="J124">
        <v>42.711330964235501</v>
      </c>
      <c r="K124">
        <v>26.581583290586099</v>
      </c>
      <c r="L124">
        <v>1.803264709661345E-3</v>
      </c>
      <c r="M124">
        <v>4.9675729500296326E-4</v>
      </c>
      <c r="N124" s="1">
        <v>8.4406935180983601E-7</v>
      </c>
      <c r="O124" s="1">
        <v>2.1054215340625199E-5</v>
      </c>
      <c r="P124" s="1">
        <v>-4.03596729082018E-5</v>
      </c>
      <c r="AE124">
        <v>100</v>
      </c>
      <c r="AJ124">
        <v>1</v>
      </c>
    </row>
    <row r="125" spans="1:36" x14ac:dyDescent="0.2">
      <c r="A125">
        <v>124</v>
      </c>
      <c r="B125">
        <v>782</v>
      </c>
      <c r="C125">
        <v>140</v>
      </c>
      <c r="D125">
        <v>0.46156518030611998</v>
      </c>
      <c r="E125">
        <v>6.4736141239582299</v>
      </c>
      <c r="F125">
        <v>0.33063959163802797</v>
      </c>
      <c r="G125">
        <v>-143.68917704078333</v>
      </c>
      <c r="H125">
        <v>-80.654357080990195</v>
      </c>
      <c r="I125">
        <v>59.743661620926197</v>
      </c>
      <c r="J125">
        <v>24.985802823322899</v>
      </c>
      <c r="K125">
        <v>19.579065204766099</v>
      </c>
      <c r="L125">
        <v>1.7609878585723542E-3</v>
      </c>
      <c r="M125">
        <v>6.4098309329064379E-4</v>
      </c>
      <c r="N125" s="1">
        <v>-1.8211875247744499E-5</v>
      </c>
      <c r="O125" s="1">
        <v>2.2020975506162E-5</v>
      </c>
      <c r="P125" s="1">
        <v>-2.8857104094492E-5</v>
      </c>
      <c r="AE125">
        <v>100</v>
      </c>
      <c r="AJ125">
        <v>1</v>
      </c>
    </row>
    <row r="126" spans="1:36" x14ac:dyDescent="0.2">
      <c r="A126">
        <v>125</v>
      </c>
      <c r="B126">
        <v>780</v>
      </c>
      <c r="C126">
        <v>140</v>
      </c>
      <c r="D126">
        <v>0.46040972321132001</v>
      </c>
      <c r="E126">
        <v>6.4810308128865497</v>
      </c>
      <c r="F126">
        <v>0.33180882916433002</v>
      </c>
      <c r="G126">
        <v>-143.73422209033777</v>
      </c>
      <c r="H126">
        <v>-80.796846300315224</v>
      </c>
      <c r="I126">
        <v>59.764596338446097</v>
      </c>
      <c r="J126">
        <v>25.0708027545048</v>
      </c>
      <c r="K126">
        <v>19.532424225145501</v>
      </c>
      <c r="L126">
        <v>1.7690712532639141E-3</v>
      </c>
      <c r="M126">
        <v>6.4028479784950952E-4</v>
      </c>
      <c r="N126" s="1">
        <v>-1.80182906263314E-5</v>
      </c>
      <c r="O126" s="1">
        <v>2.1980635571652399E-5</v>
      </c>
      <c r="P126" s="1">
        <v>-2.9023675650870701E-5</v>
      </c>
      <c r="AE126">
        <v>100</v>
      </c>
      <c r="AJ126">
        <v>1</v>
      </c>
    </row>
    <row r="127" spans="1:36" x14ac:dyDescent="0.2">
      <c r="A127">
        <v>126</v>
      </c>
      <c r="B127">
        <v>778</v>
      </c>
      <c r="C127">
        <v>140</v>
      </c>
      <c r="D127">
        <v>0.45924986919088701</v>
      </c>
      <c r="E127">
        <v>6.5220080281679502</v>
      </c>
      <c r="F127">
        <v>0.33298759856284099</v>
      </c>
      <c r="G127">
        <v>-144.52276467040443</v>
      </c>
      <c r="H127">
        <v>-81.358211319383145</v>
      </c>
      <c r="I127">
        <v>60.0944543067232</v>
      </c>
      <c r="J127">
        <v>25.286527296216398</v>
      </c>
      <c r="K127">
        <v>19.586339119885</v>
      </c>
      <c r="L127">
        <v>1.7771960215623654E-3</v>
      </c>
      <c r="M127">
        <v>6.3957011832434349E-4</v>
      </c>
      <c r="N127" s="1">
        <v>-1.7905698384955199E-5</v>
      </c>
      <c r="O127" s="1">
        <v>2.2053177109607999E-5</v>
      </c>
      <c r="P127" s="1">
        <v>-2.93430422225114E-5</v>
      </c>
      <c r="AE127">
        <v>100</v>
      </c>
      <c r="AJ127">
        <v>1</v>
      </c>
    </row>
    <row r="128" spans="1:36" x14ac:dyDescent="0.2">
      <c r="A128">
        <v>127</v>
      </c>
      <c r="B128">
        <v>776</v>
      </c>
      <c r="C128">
        <v>140</v>
      </c>
      <c r="D128">
        <v>0.45808559309917701</v>
      </c>
      <c r="E128">
        <v>6.5630606035139101</v>
      </c>
      <c r="F128">
        <v>0.33417599940890202</v>
      </c>
      <c r="G128">
        <v>-145.31156173652215</v>
      </c>
      <c r="H128">
        <v>-81.921267391767543</v>
      </c>
      <c r="I128">
        <v>60.424200668207597</v>
      </c>
      <c r="J128">
        <v>25.503746155480101</v>
      </c>
      <c r="K128">
        <v>19.639533105677199</v>
      </c>
      <c r="L128">
        <v>1.7853615001566007E-3</v>
      </c>
      <c r="M128">
        <v>6.3883868747357706E-4</v>
      </c>
      <c r="N128" s="1">
        <v>-1.77793715530717E-5</v>
      </c>
      <c r="O128" s="1">
        <v>2.2124671983608502E-5</v>
      </c>
      <c r="P128" s="1">
        <v>-2.9665973072034399E-5</v>
      </c>
      <c r="AE128">
        <v>100</v>
      </c>
      <c r="AJ128">
        <v>1</v>
      </c>
    </row>
    <row r="129" spans="1:36" x14ac:dyDescent="0.2">
      <c r="A129">
        <v>128</v>
      </c>
      <c r="B129">
        <v>774</v>
      </c>
      <c r="C129">
        <v>140</v>
      </c>
      <c r="D129">
        <v>0.45691686959843703</v>
      </c>
      <c r="E129">
        <v>6.6041434384423603</v>
      </c>
      <c r="F129">
        <v>0.33537413193549298</v>
      </c>
      <c r="G129">
        <v>-146.09961361796218</v>
      </c>
      <c r="H129">
        <v>-82.485456109514402</v>
      </c>
      <c r="I129">
        <v>60.753413364717602</v>
      </c>
      <c r="J129">
        <v>25.722293730601301</v>
      </c>
      <c r="K129">
        <v>19.691868899753398</v>
      </c>
      <c r="L129">
        <v>1.793566979045882E-3</v>
      </c>
      <c r="M129">
        <v>6.380901310484797E-4</v>
      </c>
      <c r="N129" s="1">
        <v>-1.7638650376235898E-5</v>
      </c>
      <c r="O129" s="1">
        <v>2.2194944602935901E-5</v>
      </c>
      <c r="P129" s="1">
        <v>-2.99922965657338E-5</v>
      </c>
      <c r="AE129">
        <v>100</v>
      </c>
      <c r="AJ129">
        <v>1</v>
      </c>
    </row>
    <row r="130" spans="1:36" x14ac:dyDescent="0.2">
      <c r="A130">
        <v>129</v>
      </c>
      <c r="B130">
        <v>772</v>
      </c>
      <c r="C130">
        <v>140</v>
      </c>
      <c r="D130">
        <v>0.45574367315696301</v>
      </c>
      <c r="E130">
        <v>6.7083015027425104</v>
      </c>
      <c r="F130">
        <v>0.33658209700830199</v>
      </c>
      <c r="G130">
        <v>-148.28046851390036</v>
      </c>
      <c r="H130">
        <v>-83.838701865063229</v>
      </c>
      <c r="I130">
        <v>61.661584988656003</v>
      </c>
      <c r="J130">
        <v>26.188297593692699</v>
      </c>
      <c r="K130">
        <v>19.9306545486792</v>
      </c>
      <c r="L130">
        <v>1.8018116998655886E-3</v>
      </c>
      <c r="M130">
        <v>6.3732406777066515E-4</v>
      </c>
      <c r="N130" s="1">
        <v>-1.7648851330830699E-5</v>
      </c>
      <c r="O130" s="1">
        <v>2.2475194665146399E-5</v>
      </c>
      <c r="P130" s="1">
        <v>-3.0609713323251003E-5</v>
      </c>
      <c r="AE130">
        <v>100</v>
      </c>
      <c r="AJ130">
        <v>1</v>
      </c>
    </row>
    <row r="131" spans="1:36" x14ac:dyDescent="0.2">
      <c r="A131">
        <v>130</v>
      </c>
      <c r="B131">
        <v>770</v>
      </c>
      <c r="C131">
        <v>140</v>
      </c>
      <c r="D131">
        <v>0.45456597804726301</v>
      </c>
      <c r="E131">
        <v>6.8770882688320301</v>
      </c>
      <c r="F131">
        <v>0.33779999609899802</v>
      </c>
      <c r="G131">
        <v>-151.88496087964577</v>
      </c>
      <c r="H131">
        <v>-86.001914038128419</v>
      </c>
      <c r="I131">
        <v>63.1615609775453</v>
      </c>
      <c r="J131">
        <v>26.909559154162</v>
      </c>
      <c r="K131">
        <v>20.358461658526899</v>
      </c>
      <c r="L131">
        <v>1.8100948541817014E-3</v>
      </c>
      <c r="M131">
        <v>6.3654010931861818E-4</v>
      </c>
      <c r="N131" s="1">
        <v>-1.7805530522790198E-5</v>
      </c>
      <c r="O131" s="1">
        <v>2.296860392385E-5</v>
      </c>
      <c r="P131" s="1">
        <v>-3.15294874628425E-5</v>
      </c>
      <c r="AE131">
        <v>100</v>
      </c>
      <c r="AJ131">
        <v>1</v>
      </c>
    </row>
    <row r="132" spans="1:36" x14ac:dyDescent="0.2">
      <c r="A132">
        <v>131</v>
      </c>
      <c r="B132">
        <v>768</v>
      </c>
      <c r="C132">
        <v>140</v>
      </c>
      <c r="D132">
        <v>0.45338375834414102</v>
      </c>
      <c r="E132">
        <v>7.0516676518377004</v>
      </c>
      <c r="F132">
        <v>0.33902793125660502</v>
      </c>
      <c r="G132">
        <v>-155.61118299796624</v>
      </c>
      <c r="H132">
        <v>-88.240378569874764</v>
      </c>
      <c r="I132">
        <v>64.711943356234798</v>
      </c>
      <c r="J132">
        <v>27.657111883151799</v>
      </c>
      <c r="K132">
        <v>20.799665755269</v>
      </c>
      <c r="L132">
        <v>1.8184155817550466E-3</v>
      </c>
      <c r="M132">
        <v>6.3573786032382991E-4</v>
      </c>
      <c r="N132" s="1">
        <v>-1.7949525999270101E-5</v>
      </c>
      <c r="O132" s="1">
        <v>2.3477202092682601E-5</v>
      </c>
      <c r="P132" s="1">
        <v>-3.2484908395283002E-5</v>
      </c>
      <c r="AE132">
        <v>100</v>
      </c>
      <c r="AJ132">
        <v>1</v>
      </c>
    </row>
    <row r="133" spans="1:36" x14ac:dyDescent="0.2">
      <c r="A133">
        <v>132</v>
      </c>
      <c r="B133">
        <v>766</v>
      </c>
      <c r="C133">
        <v>140</v>
      </c>
      <c r="D133">
        <v>0.45219698792282498</v>
      </c>
      <c r="E133">
        <v>8.0353662017835106</v>
      </c>
      <c r="F133">
        <v>0.340266005076931</v>
      </c>
      <c r="G133">
        <v>-177.17132476333526</v>
      </c>
      <c r="H133">
        <v>-100.61290206104471</v>
      </c>
      <c r="I133">
        <v>73.678507465004301</v>
      </c>
      <c r="J133">
        <v>31.589249361962199</v>
      </c>
      <c r="K133">
        <v>23.614954423574499</v>
      </c>
      <c r="L133">
        <v>1.8267729687772159E-3</v>
      </c>
      <c r="M133">
        <v>6.3491691837736311E-4</v>
      </c>
      <c r="N133" s="1">
        <v>-2.0086873563647899E-5</v>
      </c>
      <c r="O133" s="1">
        <v>2.66667233805334E-5</v>
      </c>
      <c r="P133" s="1">
        <v>-3.7194998964884599E-5</v>
      </c>
      <c r="AE133">
        <v>100</v>
      </c>
      <c r="AJ133">
        <v>1</v>
      </c>
    </row>
    <row r="134" spans="1:36" x14ac:dyDescent="0.2">
      <c r="A134">
        <v>133</v>
      </c>
      <c r="B134">
        <v>764</v>
      </c>
      <c r="C134">
        <v>140</v>
      </c>
      <c r="D134">
        <v>0.45100564045702202</v>
      </c>
      <c r="E134">
        <v>9.5517273081980001</v>
      </c>
      <c r="F134">
        <v>0.341514320669979</v>
      </c>
      <c r="G134">
        <v>-210.43039060628078</v>
      </c>
      <c r="H134">
        <v>-119.67484185630985</v>
      </c>
      <c r="I134">
        <v>87.510017678137103</v>
      </c>
      <c r="J134">
        <v>37.639143889136797</v>
      </c>
      <c r="K134">
        <v>27.968746052755598</v>
      </c>
      <c r="L134">
        <v>1.8351660460795294E-3</v>
      </c>
      <c r="M134">
        <v>6.3407687404750204E-4</v>
      </c>
      <c r="N134" s="1">
        <v>-2.34226550311392E-5</v>
      </c>
      <c r="O134" s="1">
        <v>3.15965688465972E-5</v>
      </c>
      <c r="P134" s="1">
        <v>-4.4428443285852797E-5</v>
      </c>
      <c r="AE134">
        <v>100</v>
      </c>
      <c r="AJ134">
        <v>1</v>
      </c>
    </row>
    <row r="135" spans="1:36" x14ac:dyDescent="0.2">
      <c r="A135">
        <v>134</v>
      </c>
      <c r="B135">
        <v>762</v>
      </c>
      <c r="C135">
        <v>140</v>
      </c>
      <c r="D135">
        <v>0.44980968941699401</v>
      </c>
      <c r="E135">
        <v>10.003340922653299</v>
      </c>
      <c r="F135">
        <v>0.342772981625238</v>
      </c>
      <c r="G135">
        <v>-220.19649555289152</v>
      </c>
      <c r="H135">
        <v>-125.41209890800317</v>
      </c>
      <c r="I135">
        <v>91.571386920581304</v>
      </c>
      <c r="J135">
        <v>39.512320631921597</v>
      </c>
      <c r="K135">
        <v>29.183574724072599</v>
      </c>
      <c r="L135">
        <v>1.8435937873172853E-3</v>
      </c>
      <c r="M135">
        <v>6.3321731090934454E-4</v>
      </c>
      <c r="N135" s="1">
        <v>-2.40332621898148E-5</v>
      </c>
      <c r="O135" s="1">
        <v>3.2982320648540899E-5</v>
      </c>
      <c r="P135" s="1">
        <v>-4.6755794360242198E-5</v>
      </c>
      <c r="AE135">
        <v>100</v>
      </c>
      <c r="AJ135">
        <v>1</v>
      </c>
    </row>
    <row r="136" spans="1:36" x14ac:dyDescent="0.2">
      <c r="A136">
        <v>135</v>
      </c>
      <c r="B136">
        <v>760</v>
      </c>
      <c r="C136">
        <v>140</v>
      </c>
      <c r="D136">
        <v>0.44860910806756099</v>
      </c>
      <c r="E136">
        <v>10.2101017533289</v>
      </c>
      <c r="F136">
        <v>0.344042091974819</v>
      </c>
      <c r="G136">
        <v>-224.56092588545664</v>
      </c>
      <c r="H136">
        <v>-128.08501798177207</v>
      </c>
      <c r="I136">
        <v>93.386004695232899</v>
      </c>
      <c r="J136">
        <v>40.425234013214599</v>
      </c>
      <c r="K136">
        <v>29.676897075943401</v>
      </c>
      <c r="L136">
        <v>1.8520551071315229E-3</v>
      </c>
      <c r="M136">
        <v>6.3233780558711867E-4</v>
      </c>
      <c r="N136" s="1">
        <v>-2.40014272102854E-5</v>
      </c>
      <c r="O136" s="1">
        <v>3.3552739489913599E-5</v>
      </c>
      <c r="P136" s="1">
        <v>-4.7955909834627198E-5</v>
      </c>
      <c r="AE136">
        <v>100</v>
      </c>
      <c r="AJ136">
        <v>1</v>
      </c>
    </row>
    <row r="137" spans="1:36" x14ac:dyDescent="0.2">
      <c r="A137">
        <v>136</v>
      </c>
      <c r="B137">
        <v>758</v>
      </c>
      <c r="C137">
        <v>140</v>
      </c>
      <c r="D137">
        <v>0.44740386946613198</v>
      </c>
      <c r="E137">
        <v>10.3309699339455</v>
      </c>
      <c r="F137">
        <v>0.34532175615432897</v>
      </c>
      <c r="G137">
        <v>-227.03039629584677</v>
      </c>
      <c r="H137">
        <v>-129.68320647693398</v>
      </c>
      <c r="I137">
        <v>94.4121629581566</v>
      </c>
      <c r="J137">
        <v>41.001885854313699</v>
      </c>
      <c r="K137">
        <v>29.916939057058499</v>
      </c>
      <c r="L137">
        <v>1.8605488592906101E-3</v>
      </c>
      <c r="M137">
        <v>6.3143792781009957E-4</v>
      </c>
      <c r="N137" s="1">
        <v>-2.3728418959695601E-5</v>
      </c>
      <c r="O137" s="1">
        <v>3.3836384967868299E-5</v>
      </c>
      <c r="P137" s="1">
        <v>-4.8762387397019498E-5</v>
      </c>
      <c r="AE137">
        <v>100</v>
      </c>
      <c r="AJ137">
        <v>1</v>
      </c>
    </row>
    <row r="138" spans="1:36" x14ac:dyDescent="0.2">
      <c r="A138">
        <v>137</v>
      </c>
      <c r="B138">
        <v>756</v>
      </c>
      <c r="C138">
        <v>140</v>
      </c>
      <c r="D138">
        <v>0.44619394646067401</v>
      </c>
      <c r="E138">
        <v>10.4115127911243</v>
      </c>
      <c r="F138">
        <v>0.346612078961408</v>
      </c>
      <c r="G138">
        <v>-228.61016655901892</v>
      </c>
      <c r="H138">
        <v>-130.77699214752698</v>
      </c>
      <c r="I138">
        <v>95.067903141865699</v>
      </c>
      <c r="J138">
        <v>41.421133852097697</v>
      </c>
      <c r="K138">
        <v>30.037939884615199</v>
      </c>
      <c r="L138">
        <v>1.8690738348144736E-3</v>
      </c>
      <c r="M138">
        <v>6.3051724048297775E-4</v>
      </c>
      <c r="N138" s="1">
        <v>-2.3328878124573101E-5</v>
      </c>
      <c r="O138" s="1">
        <v>3.3984768865086797E-5</v>
      </c>
      <c r="P138" s="1">
        <v>-4.9385467728487603E-5</v>
      </c>
      <c r="AE138">
        <v>100</v>
      </c>
      <c r="AJ138">
        <v>1</v>
      </c>
    </row>
    <row r="139" spans="1:36" x14ac:dyDescent="0.2">
      <c r="A139">
        <v>138</v>
      </c>
      <c r="B139">
        <v>754</v>
      </c>
      <c r="C139">
        <v>140</v>
      </c>
      <c r="D139">
        <v>0.44497931168767801</v>
      </c>
      <c r="E139">
        <v>10.471234814096301</v>
      </c>
      <c r="F139">
        <v>0.34791316551189</v>
      </c>
      <c r="G139">
        <v>-229.7303639112823</v>
      </c>
      <c r="H139">
        <v>-131.6105671178837</v>
      </c>
      <c r="I139">
        <v>95.532092758571395</v>
      </c>
      <c r="J139">
        <v>41.759615500029703</v>
      </c>
      <c r="K139">
        <v>30.097265214697501</v>
      </c>
      <c r="L139">
        <v>1.8776287600847992E-3</v>
      </c>
      <c r="M139">
        <v>6.2957529977162772E-4</v>
      </c>
      <c r="N139" s="1">
        <v>-2.28510407671535E-5</v>
      </c>
      <c r="O139" s="1">
        <v>3.4062629958075003E-5</v>
      </c>
      <c r="P139" s="1">
        <v>-4.9915327048223802E-5</v>
      </c>
      <c r="AE139">
        <v>100</v>
      </c>
      <c r="AJ139">
        <v>1</v>
      </c>
    </row>
    <row r="140" spans="1:36" x14ac:dyDescent="0.2">
      <c r="A140">
        <v>139</v>
      </c>
      <c r="B140">
        <v>752</v>
      </c>
      <c r="C140">
        <v>140</v>
      </c>
      <c r="D140">
        <v>0.443759937570114</v>
      </c>
      <c r="E140">
        <v>10.516357028404499</v>
      </c>
      <c r="F140">
        <v>0.34922512119344901</v>
      </c>
      <c r="G140">
        <v>-230.52850281487454</v>
      </c>
      <c r="H140">
        <v>-132.26167900842208</v>
      </c>
      <c r="I140">
        <v>95.861914755618599</v>
      </c>
      <c r="J140">
        <v>42.0416039763359</v>
      </c>
      <c r="K140">
        <v>30.113403619034202</v>
      </c>
      <c r="L140">
        <v>1.8862122949438809E-3</v>
      </c>
      <c r="M140">
        <v>6.2861165520513998E-4</v>
      </c>
      <c r="N140" s="1">
        <v>-2.23107538570889E-5</v>
      </c>
      <c r="O140" s="1">
        <v>3.4090787978980101E-5</v>
      </c>
      <c r="P140" s="1">
        <v>-5.0380301717388902E-5</v>
      </c>
      <c r="AE140">
        <v>100</v>
      </c>
      <c r="AJ140">
        <v>1</v>
      </c>
    </row>
    <row r="141" spans="1:36" x14ac:dyDescent="0.2">
      <c r="A141">
        <v>140</v>
      </c>
      <c r="B141">
        <v>750</v>
      </c>
      <c r="C141">
        <v>140</v>
      </c>
      <c r="D141">
        <v>0.44253579631530099</v>
      </c>
      <c r="E141">
        <v>10.5519751478299</v>
      </c>
      <c r="F141">
        <v>0.35054805161672498</v>
      </c>
      <c r="G141">
        <v>-231.1169949503518</v>
      </c>
      <c r="H141">
        <v>-132.79411045609888</v>
      </c>
      <c r="I141">
        <v>96.104112771732403</v>
      </c>
      <c r="J141">
        <v>42.287096532483197</v>
      </c>
      <c r="K141">
        <v>30.1013658446089</v>
      </c>
      <c r="L141">
        <v>1.8948230307865028E-3</v>
      </c>
      <c r="M141">
        <v>6.2762584979517068E-4</v>
      </c>
      <c r="N141" s="1">
        <v>-2.1720252623062499E-5</v>
      </c>
      <c r="O141" s="1">
        <v>3.4086155410756298E-5</v>
      </c>
      <c r="P141" s="1">
        <v>-5.0803875098909198E-5</v>
      </c>
      <c r="AE141">
        <v>100</v>
      </c>
      <c r="AJ141">
        <v>1</v>
      </c>
    </row>
    <row r="142" spans="1:36" x14ac:dyDescent="0.2">
      <c r="A142">
        <v>141</v>
      </c>
      <c r="B142">
        <v>792</v>
      </c>
      <c r="C142">
        <v>120</v>
      </c>
      <c r="D142">
        <v>0.48793174670234402</v>
      </c>
      <c r="E142">
        <v>6.8503732843800202</v>
      </c>
      <c r="F142">
        <v>0.28122827198497002</v>
      </c>
      <c r="G142">
        <v>-153.13760998903999</v>
      </c>
      <c r="H142">
        <v>-84.696134257244836</v>
      </c>
      <c r="I142">
        <v>64.258926851663603</v>
      </c>
      <c r="J142">
        <v>25.5631500175915</v>
      </c>
      <c r="K142">
        <v>24.358764629276401</v>
      </c>
      <c r="L142">
        <v>1.7647498461571473E-3</v>
      </c>
      <c r="M142">
        <v>8.0830698742375686E-4</v>
      </c>
      <c r="N142" s="1">
        <v>-3.5442030306735397E-5</v>
      </c>
      <c r="O142" s="1">
        <v>3.90016359888221E-5</v>
      </c>
      <c r="P142" s="1">
        <v>-3.74745389125457E-5</v>
      </c>
      <c r="AE142">
        <v>100</v>
      </c>
      <c r="AJ142">
        <v>1</v>
      </c>
    </row>
    <row r="143" spans="1:36" x14ac:dyDescent="0.2">
      <c r="A143">
        <v>142</v>
      </c>
      <c r="B143">
        <v>790</v>
      </c>
      <c r="C143">
        <v>120</v>
      </c>
      <c r="D143">
        <v>0.486836758688802</v>
      </c>
      <c r="E143">
        <v>6.8745290534920303</v>
      </c>
      <c r="F143">
        <v>0.28222520732211198</v>
      </c>
      <c r="G143">
        <v>-153.54868064877149</v>
      </c>
      <c r="H143">
        <v>-85.046156082652615</v>
      </c>
      <c r="I143">
        <v>64.437246478660299</v>
      </c>
      <c r="J143">
        <v>25.713351902502701</v>
      </c>
      <c r="K143">
        <v>24.3583098714705</v>
      </c>
      <c r="L143">
        <v>1.7739275471855152E-3</v>
      </c>
      <c r="M143">
        <v>8.0807754322329884E-4</v>
      </c>
      <c r="N143" s="1">
        <v>-3.5601503092201003E-5</v>
      </c>
      <c r="O143" s="1">
        <v>3.9051793615058397E-5</v>
      </c>
      <c r="P143" s="1">
        <v>-3.7778784296001397E-5</v>
      </c>
      <c r="AE143">
        <v>100</v>
      </c>
      <c r="AJ143">
        <v>1</v>
      </c>
    </row>
    <row r="144" spans="1:36" x14ac:dyDescent="0.2">
      <c r="A144">
        <v>143</v>
      </c>
      <c r="B144">
        <v>788</v>
      </c>
      <c r="C144">
        <v>120</v>
      </c>
      <c r="D144">
        <v>0.48573764312303003</v>
      </c>
      <c r="E144">
        <v>6.9097282877059598</v>
      </c>
      <c r="F144">
        <v>0.283230897658583</v>
      </c>
      <c r="G144">
        <v>-154.20540097370781</v>
      </c>
      <c r="H144">
        <v>-85.533363720891558</v>
      </c>
      <c r="I144">
        <v>64.718457733259498</v>
      </c>
      <c r="J144">
        <v>25.9060676526104</v>
      </c>
      <c r="K144">
        <v>24.396096417542601</v>
      </c>
      <c r="L144">
        <v>1.7831835650669375E-3</v>
      </c>
      <c r="M144">
        <v>8.0783691589447076E-4</v>
      </c>
      <c r="N144" s="1">
        <v>-3.5811389580787497E-5</v>
      </c>
      <c r="O144" s="1">
        <v>3.9163588448036701E-5</v>
      </c>
      <c r="P144" s="1">
        <v>-3.8147871652377703E-5</v>
      </c>
      <c r="AE144">
        <v>100</v>
      </c>
      <c r="AJ144">
        <v>1</v>
      </c>
    </row>
    <row r="145" spans="1:36" x14ac:dyDescent="0.2">
      <c r="A145">
        <v>144</v>
      </c>
      <c r="B145">
        <v>786</v>
      </c>
      <c r="C145">
        <v>120</v>
      </c>
      <c r="D145">
        <v>0.48463437662276798</v>
      </c>
      <c r="E145">
        <v>6.9449489849645296</v>
      </c>
      <c r="F145">
        <v>0.28424545597738199</v>
      </c>
      <c r="G145">
        <v>-154.86137880075756</v>
      </c>
      <c r="H145">
        <v>-86.021487893435719</v>
      </c>
      <c r="I145">
        <v>64.999164644856407</v>
      </c>
      <c r="J145">
        <v>26.100184555877298</v>
      </c>
      <c r="K145">
        <v>24.432928790661599</v>
      </c>
      <c r="L145">
        <v>1.7925183159377028E-3</v>
      </c>
      <c r="M145">
        <v>8.0758476349095457E-4</v>
      </c>
      <c r="N145" s="1">
        <v>-3.6014222837773398E-5</v>
      </c>
      <c r="O145" s="1">
        <v>3.9274251887555299E-5</v>
      </c>
      <c r="P145" s="1">
        <v>-3.85215961241697E-5</v>
      </c>
      <c r="AE145">
        <v>100</v>
      </c>
      <c r="AJ145">
        <v>1</v>
      </c>
    </row>
    <row r="146" spans="1:36" x14ac:dyDescent="0.2">
      <c r="A146">
        <v>145</v>
      </c>
      <c r="B146">
        <v>784</v>
      </c>
      <c r="C146">
        <v>120</v>
      </c>
      <c r="D146">
        <v>0.48352693562881199</v>
      </c>
      <c r="E146">
        <v>6.9801560092406802</v>
      </c>
      <c r="F146">
        <v>0.28526899686889101</v>
      </c>
      <c r="G146">
        <v>-155.51583201897438</v>
      </c>
      <c r="H146">
        <v>-86.510096905855505</v>
      </c>
      <c r="I146">
        <v>65.279032859119297</v>
      </c>
      <c r="J146">
        <v>26.295587792936701</v>
      </c>
      <c r="K146">
        <v>24.468680739424101</v>
      </c>
      <c r="L146">
        <v>1.801932194714001E-3</v>
      </c>
      <c r="M146">
        <v>8.0732073379517842E-4</v>
      </c>
      <c r="N146" s="1">
        <v>-3.62093591686735E-5</v>
      </c>
      <c r="O146" s="1">
        <v>3.9383568658863398E-5</v>
      </c>
      <c r="P146" s="1">
        <v>-3.8899853726604799E-5</v>
      </c>
      <c r="AE146">
        <v>100</v>
      </c>
      <c r="AJ146">
        <v>1</v>
      </c>
    </row>
    <row r="147" spans="1:36" x14ac:dyDescent="0.2">
      <c r="A147">
        <v>146</v>
      </c>
      <c r="B147">
        <v>782</v>
      </c>
      <c r="C147">
        <v>120</v>
      </c>
      <c r="D147">
        <v>0.48241529640335601</v>
      </c>
      <c r="E147">
        <v>7.0153152199933997</v>
      </c>
      <c r="F147">
        <v>0.28630163654437002</v>
      </c>
      <c r="G147">
        <v>-156.16800332033856</v>
      </c>
      <c r="H147">
        <v>-86.998770392276484</v>
      </c>
      <c r="I147">
        <v>65.557738257328893</v>
      </c>
      <c r="J147">
        <v>26.492165084395001</v>
      </c>
      <c r="K147">
        <v>24.503231293636599</v>
      </c>
      <c r="L147">
        <v>1.811425573531809E-3</v>
      </c>
      <c r="M147">
        <v>8.0704446402858306E-4</v>
      </c>
      <c r="N147" s="1">
        <v>-3.6396139818377703E-5</v>
      </c>
      <c r="O147" s="1">
        <v>3.9491330228920901E-5</v>
      </c>
      <c r="P147" s="1">
        <v>-3.9282543794928501E-5</v>
      </c>
      <c r="AE147">
        <v>100</v>
      </c>
      <c r="AJ147">
        <v>1</v>
      </c>
    </row>
    <row r="148" spans="1:36" x14ac:dyDescent="0.2">
      <c r="A148">
        <v>147</v>
      </c>
      <c r="B148">
        <v>780</v>
      </c>
      <c r="C148">
        <v>120</v>
      </c>
      <c r="D148">
        <v>0.48129943502824801</v>
      </c>
      <c r="E148">
        <v>7.0944600833037397</v>
      </c>
      <c r="F148">
        <v>0.28734349284878202</v>
      </c>
      <c r="G148">
        <v>-157.79730409542026</v>
      </c>
      <c r="H148">
        <v>-88.033914216244085</v>
      </c>
      <c r="I148">
        <v>66.246450899573205</v>
      </c>
      <c r="J148">
        <v>26.856624234517</v>
      </c>
      <c r="K148">
        <v>24.689823364252302</v>
      </c>
      <c r="L148">
        <v>1.8209988001114381E-3</v>
      </c>
      <c r="M148">
        <v>8.0675558055645928E-4</v>
      </c>
      <c r="N148" s="1">
        <v>-3.6802486065573503E-5</v>
      </c>
      <c r="O148" s="1">
        <v>3.9844827348914903E-5</v>
      </c>
      <c r="P148" s="1">
        <v>-3.99175130464261E-5</v>
      </c>
      <c r="AE148">
        <v>100</v>
      </c>
      <c r="AJ148">
        <v>1</v>
      </c>
    </row>
    <row r="149" spans="1:36" x14ac:dyDescent="0.2">
      <c r="A149">
        <v>148</v>
      </c>
      <c r="B149">
        <v>778</v>
      </c>
      <c r="C149">
        <v>120</v>
      </c>
      <c r="D149">
        <v>0.48017932740332298</v>
      </c>
      <c r="E149">
        <v>7.2452249587774498</v>
      </c>
      <c r="F149">
        <v>0.28839468527284501</v>
      </c>
      <c r="G149">
        <v>-161.0154094645498</v>
      </c>
      <c r="H149">
        <v>-89.959651500526888</v>
      </c>
      <c r="I149">
        <v>67.602058818105903</v>
      </c>
      <c r="J149">
        <v>27.495086202461199</v>
      </c>
      <c r="K149">
        <v>25.1226022141249</v>
      </c>
      <c r="L149">
        <v>1.8306521960434056E-3</v>
      </c>
      <c r="M149">
        <v>8.0645369858738602E-4</v>
      </c>
      <c r="N149" s="1">
        <v>-3.7570926859177402E-5</v>
      </c>
      <c r="O149" s="1">
        <v>4.0597165884842E-5</v>
      </c>
      <c r="P149" s="1">
        <v>-4.0964724240749E-5</v>
      </c>
      <c r="AE149">
        <v>100</v>
      </c>
      <c r="AJ149">
        <v>1</v>
      </c>
    </row>
    <row r="150" spans="1:36" x14ac:dyDescent="0.2">
      <c r="A150">
        <v>149</v>
      </c>
      <c r="B150">
        <v>776</v>
      </c>
      <c r="C150">
        <v>120</v>
      </c>
      <c r="D150">
        <v>0.47905494924462999</v>
      </c>
      <c r="E150">
        <v>7.4009175700130001</v>
      </c>
      <c r="F150">
        <v>0.289455334964271</v>
      </c>
      <c r="G150">
        <v>-164.33741297670616</v>
      </c>
      <c r="H150">
        <v>-91.949035793533568</v>
      </c>
      <c r="I150">
        <v>69.001203300457107</v>
      </c>
      <c r="J150">
        <v>28.155890393344901</v>
      </c>
      <c r="K150">
        <v>25.5684268902023</v>
      </c>
      <c r="L150">
        <v>1.8403860549930135E-3</v>
      </c>
      <c r="M150">
        <v>8.0613842186747875E-4</v>
      </c>
      <c r="N150" s="1">
        <v>-3.8354421555736498E-5</v>
      </c>
      <c r="O150" s="1">
        <v>4.1372682643065599E-5</v>
      </c>
      <c r="P150" s="1">
        <v>-4.2051380827086E-5</v>
      </c>
      <c r="AE150">
        <v>100</v>
      </c>
      <c r="AJ150">
        <v>1</v>
      </c>
    </row>
    <row r="151" spans="1:36" x14ac:dyDescent="0.2">
      <c r="A151">
        <v>150</v>
      </c>
      <c r="B151">
        <v>774</v>
      </c>
      <c r="C151">
        <v>120</v>
      </c>
      <c r="D151">
        <v>0.47792627608270499</v>
      </c>
      <c r="E151">
        <v>7.5675498422700702</v>
      </c>
      <c r="F151">
        <v>0.29052556473809499</v>
      </c>
      <c r="G151">
        <v>-167.89642886603704</v>
      </c>
      <c r="H151">
        <v>-94.076927802082821</v>
      </c>
      <c r="I151">
        <v>70.499767636608595</v>
      </c>
      <c r="J151">
        <v>28.862161053348899</v>
      </c>
      <c r="K151">
        <v>26.047793243572599</v>
      </c>
      <c r="L151">
        <v>1.8502006408207328E-3</v>
      </c>
      <c r="M151">
        <v>8.0580934236973141E-4</v>
      </c>
      <c r="N151" s="1">
        <v>-3.9182973280042801E-5</v>
      </c>
      <c r="O151" s="1">
        <v>4.2204670818020203E-5</v>
      </c>
      <c r="P151" s="1">
        <v>-4.3212479232299798E-5</v>
      </c>
      <c r="AE151">
        <v>100</v>
      </c>
      <c r="AJ151">
        <v>1</v>
      </c>
    </row>
    <row r="152" spans="1:36" x14ac:dyDescent="0.2">
      <c r="A152">
        <v>151</v>
      </c>
      <c r="B152">
        <v>772</v>
      </c>
      <c r="C152">
        <v>120</v>
      </c>
      <c r="D152">
        <v>0.47679328326077502</v>
      </c>
      <c r="E152">
        <v>9.2517930434713396</v>
      </c>
      <c r="F152">
        <v>0.291605499086037</v>
      </c>
      <c r="G152">
        <v>-205.09135152033093</v>
      </c>
      <c r="H152">
        <v>-115.08546534911585</v>
      </c>
      <c r="I152">
        <v>86.122738951652593</v>
      </c>
      <c r="J152">
        <v>35.375184009164599</v>
      </c>
      <c r="K152">
        <v>31.7270870147123</v>
      </c>
      <c r="L152">
        <v>1.8600961856152847E-3</v>
      </c>
      <c r="M152">
        <v>8.0546603997860443E-4</v>
      </c>
      <c r="N152" s="1">
        <v>-4.7847265379561802E-5</v>
      </c>
      <c r="O152" s="1">
        <v>5.1475537337326697E-5</v>
      </c>
      <c r="P152" s="1">
        <v>-5.3096003171149298E-5</v>
      </c>
      <c r="AE152">
        <v>100</v>
      </c>
      <c r="AJ152">
        <v>1</v>
      </c>
    </row>
    <row r="153" spans="1:36" x14ac:dyDescent="0.2">
      <c r="A153">
        <v>152</v>
      </c>
      <c r="B153">
        <v>770</v>
      </c>
      <c r="C153">
        <v>120</v>
      </c>
      <c r="D153">
        <v>0.47565594593299199</v>
      </c>
      <c r="E153">
        <v>9.9115495985285005</v>
      </c>
      <c r="F153">
        <v>0.29269526418479702</v>
      </c>
      <c r="G153">
        <v>-219.53220804157428</v>
      </c>
      <c r="H153">
        <v>-123.36824146849014</v>
      </c>
      <c r="I153">
        <v>92.191572228733406</v>
      </c>
      <c r="J153">
        <v>37.994698074484198</v>
      </c>
      <c r="K153">
        <v>33.863033712327798</v>
      </c>
      <c r="L153">
        <v>1.8700728876367518E-3</v>
      </c>
      <c r="M153">
        <v>8.05108082170286E-4</v>
      </c>
      <c r="N153" s="1">
        <v>-5.1183850627027597E-5</v>
      </c>
      <c r="O153" s="1">
        <v>5.5014696513833302E-5</v>
      </c>
      <c r="P153" s="1">
        <v>-5.7171881744449697E-5</v>
      </c>
      <c r="AE153">
        <v>100</v>
      </c>
      <c r="AJ153">
        <v>1</v>
      </c>
    </row>
    <row r="154" spans="1:36" x14ac:dyDescent="0.2">
      <c r="A154">
        <v>153</v>
      </c>
      <c r="B154">
        <v>768</v>
      </c>
      <c r="C154">
        <v>120</v>
      </c>
      <c r="D154">
        <v>0.474514239062578</v>
      </c>
      <c r="E154">
        <v>10.1763569630197</v>
      </c>
      <c r="F154">
        <v>0.29379498790320202</v>
      </c>
      <c r="G154">
        <v>-225.20822656875276</v>
      </c>
      <c r="H154">
        <v>-126.74239690363565</v>
      </c>
      <c r="I154">
        <v>94.579698603919894</v>
      </c>
      <c r="J154">
        <v>39.110360603906003</v>
      </c>
      <c r="K154">
        <v>34.637612559859498</v>
      </c>
      <c r="L154">
        <v>1.8801309091662601E-3</v>
      </c>
      <c r="M154">
        <v>8.0473502368881621E-4</v>
      </c>
      <c r="N154" s="1">
        <v>-5.2457650471542897E-5</v>
      </c>
      <c r="O154" s="1">
        <v>5.6348698946453601E-5</v>
      </c>
      <c r="P154" s="1">
        <v>-5.9001273988242799E-5</v>
      </c>
      <c r="AE154">
        <v>100</v>
      </c>
      <c r="AJ154">
        <v>1</v>
      </c>
    </row>
    <row r="155" spans="1:36" x14ac:dyDescent="0.2">
      <c r="A155">
        <v>154</v>
      </c>
      <c r="B155">
        <v>766</v>
      </c>
      <c r="C155">
        <v>120</v>
      </c>
      <c r="D155">
        <v>0.47336813742000999</v>
      </c>
      <c r="E155">
        <v>10.319576509027501</v>
      </c>
      <c r="F155">
        <v>0.29490479980812401</v>
      </c>
      <c r="G155">
        <v>-228.18600650249573</v>
      </c>
      <c r="H155">
        <v>-128.60556272614215</v>
      </c>
      <c r="I155">
        <v>95.834431286846495</v>
      </c>
      <c r="J155">
        <v>39.763886387363002</v>
      </c>
      <c r="K155">
        <v>34.992907934159703</v>
      </c>
      <c r="L155">
        <v>1.8902703742597713E-3</v>
      </c>
      <c r="M155">
        <v>8.0434640621856806E-4</v>
      </c>
      <c r="N155" s="1">
        <v>-5.3083786950897398E-5</v>
      </c>
      <c r="O155" s="1">
        <v>5.7003276574404298E-5</v>
      </c>
      <c r="P155" s="1">
        <v>-6.0142615866661801E-5</v>
      </c>
      <c r="AE155">
        <v>100</v>
      </c>
      <c r="AJ155">
        <v>1</v>
      </c>
    </row>
    <row r="156" spans="1:36" x14ac:dyDescent="0.2">
      <c r="A156">
        <v>155</v>
      </c>
      <c r="B156">
        <v>764</v>
      </c>
      <c r="C156">
        <v>120</v>
      </c>
      <c r="D156">
        <v>0.47221761558116099</v>
      </c>
      <c r="E156">
        <v>10.410551356661101</v>
      </c>
      <c r="F156">
        <v>0.29602483116904899</v>
      </c>
      <c r="G156">
        <v>-230.00435695149761</v>
      </c>
      <c r="H156">
        <v>-129.81965155332412</v>
      </c>
      <c r="I156">
        <v>96.601902285051096</v>
      </c>
      <c r="J156">
        <v>40.219582280604698</v>
      </c>
      <c r="K156">
        <v>35.167831413156101</v>
      </c>
      <c r="L156">
        <v>1.9004913664025886E-3</v>
      </c>
      <c r="M156">
        <v>8.0394175805349592E-4</v>
      </c>
      <c r="N156" s="1">
        <v>-5.3420604098603497E-5</v>
      </c>
      <c r="O156" s="1">
        <v>5.7365371431580497E-5</v>
      </c>
      <c r="P156" s="1">
        <v>-6.09914452202358E-5</v>
      </c>
      <c r="AE156">
        <v>100</v>
      </c>
      <c r="AJ156">
        <v>1</v>
      </c>
    </row>
    <row r="157" spans="1:36" x14ac:dyDescent="0.2">
      <c r="A157">
        <v>156</v>
      </c>
      <c r="B157">
        <v>762</v>
      </c>
      <c r="C157">
        <v>120</v>
      </c>
      <c r="D157">
        <v>0.47106264792542502</v>
      </c>
      <c r="E157">
        <v>10.4741968786904</v>
      </c>
      <c r="F157">
        <v>0.29715521496122199</v>
      </c>
      <c r="G157">
        <v>-231.21619538751213</v>
      </c>
      <c r="H157">
        <v>-130.69434936589946</v>
      </c>
      <c r="I157">
        <v>97.1142732939729</v>
      </c>
      <c r="J157">
        <v>40.572413681078999</v>
      </c>
      <c r="K157">
        <v>35.248235101838297</v>
      </c>
      <c r="L157">
        <v>1.9107939260616976E-3</v>
      </c>
      <c r="M157">
        <v>8.0352059376355368E-4</v>
      </c>
      <c r="N157" s="1">
        <v>-5.3596330059708798E-5</v>
      </c>
      <c r="O157" s="1">
        <v>5.75740060562554E-5</v>
      </c>
      <c r="P157" s="1">
        <v>-6.1689913686776898E-5</v>
      </c>
      <c r="AE157">
        <v>100</v>
      </c>
      <c r="AJ157">
        <v>1</v>
      </c>
    </row>
    <row r="158" spans="1:36" x14ac:dyDescent="0.2">
      <c r="A158">
        <v>157</v>
      </c>
      <c r="B158">
        <v>760</v>
      </c>
      <c r="C158">
        <v>120</v>
      </c>
      <c r="D158">
        <v>0.46990320863379098</v>
      </c>
      <c r="E158">
        <v>10.5216468885332</v>
      </c>
      <c r="F158">
        <v>0.29829608586723999</v>
      </c>
      <c r="G158">
        <v>-232.06861707830907</v>
      </c>
      <c r="H158">
        <v>-131.36803928373536</v>
      </c>
      <c r="I158">
        <v>97.475292965229102</v>
      </c>
      <c r="J158">
        <v>40.8648139773697</v>
      </c>
      <c r="K158">
        <v>35.272493964992798</v>
      </c>
      <c r="L158">
        <v>1.9211780481333367E-3</v>
      </c>
      <c r="M158">
        <v>8.0308241385901975E-4</v>
      </c>
      <c r="N158" s="1">
        <v>-5.3667795673969399E-5</v>
      </c>
      <c r="O158" s="1">
        <v>5.7691299414618099E-5</v>
      </c>
      <c r="P158" s="1">
        <v>-6.2301566228137103E-5</v>
      </c>
      <c r="AE158">
        <v>100</v>
      </c>
      <c r="AJ158">
        <v>1</v>
      </c>
    </row>
    <row r="159" spans="1:36" x14ac:dyDescent="0.2">
      <c r="A159">
        <v>158</v>
      </c>
      <c r="B159">
        <v>758</v>
      </c>
      <c r="C159">
        <v>120</v>
      </c>
      <c r="D159">
        <v>0.46873927168695301</v>
      </c>
      <c r="E159">
        <v>10.558644316462599</v>
      </c>
      <c r="F159">
        <v>0.29944758027699497</v>
      </c>
      <c r="G159">
        <v>-232.68908692102949</v>
      </c>
      <c r="H159">
        <v>-131.91209770951352</v>
      </c>
      <c r="I159">
        <v>97.738477928690102</v>
      </c>
      <c r="J159">
        <v>41.1186689915912</v>
      </c>
      <c r="K159">
        <v>35.260409540446801</v>
      </c>
      <c r="L159">
        <v>1.9316436792822347E-3</v>
      </c>
      <c r="M159">
        <v>8.0262670445306345E-4</v>
      </c>
      <c r="N159" s="1">
        <v>-5.3663887314962897E-5</v>
      </c>
      <c r="O159" s="1">
        <v>5.7749285595911597E-5</v>
      </c>
      <c r="P159" s="1">
        <v>-6.2859203169445503E-5</v>
      </c>
      <c r="AE159">
        <v>100</v>
      </c>
      <c r="AJ159">
        <v>1</v>
      </c>
    </row>
    <row r="160" spans="1:36" x14ac:dyDescent="0.2">
      <c r="A160">
        <v>159</v>
      </c>
      <c r="B160">
        <v>756</v>
      </c>
      <c r="C160">
        <v>120</v>
      </c>
      <c r="D160">
        <v>0.46757081086333502</v>
      </c>
      <c r="E160">
        <v>10.590035034731599</v>
      </c>
      <c r="F160">
        <v>0.30060983628583199</v>
      </c>
      <c r="G160">
        <v>-233.18489069080607</v>
      </c>
      <c r="H160">
        <v>-132.38686404413386</v>
      </c>
      <c r="I160">
        <v>97.948877146209597</v>
      </c>
      <c r="J160">
        <v>41.352592781365303</v>
      </c>
      <c r="K160">
        <v>35.228504714204298</v>
      </c>
      <c r="L160">
        <v>1.9421907151702946E-3</v>
      </c>
      <c r="M160">
        <v>8.021529369234777E-4</v>
      </c>
      <c r="N160" s="1">
        <v>-5.3608635442658303E-5</v>
      </c>
      <c r="O160" s="1">
        <v>5.77747937694803E-5</v>
      </c>
      <c r="P160" s="1">
        <v>-6.3390955619321997E-5</v>
      </c>
      <c r="AE160">
        <v>100</v>
      </c>
      <c r="AJ160">
        <v>1</v>
      </c>
    </row>
    <row r="161" spans="1:36" x14ac:dyDescent="0.2">
      <c r="A161">
        <v>160</v>
      </c>
      <c r="B161">
        <v>806</v>
      </c>
      <c r="C161">
        <v>100</v>
      </c>
      <c r="D161">
        <v>0.51586943427697896</v>
      </c>
      <c r="E161">
        <v>7.2658536759361798</v>
      </c>
      <c r="F161">
        <v>0.22867453013667</v>
      </c>
      <c r="G161">
        <v>-163.96091187653514</v>
      </c>
      <c r="H161">
        <v>-88.972179370493805</v>
      </c>
      <c r="I161">
        <v>69.492554764109897</v>
      </c>
      <c r="J161">
        <v>25.702875787987701</v>
      </c>
      <c r="K161">
        <v>31.773777655052498</v>
      </c>
      <c r="L161">
        <v>1.6928269517603844E-3</v>
      </c>
      <c r="M161">
        <v>1.0276883640724125E-3</v>
      </c>
      <c r="N161" s="1">
        <v>-5.4542992372285997E-5</v>
      </c>
      <c r="O161" s="1">
        <v>7.3988483976995494E-5</v>
      </c>
      <c r="P161" s="1">
        <v>-4.9260123694002102E-5</v>
      </c>
      <c r="AE161">
        <v>100</v>
      </c>
      <c r="AJ161">
        <v>1</v>
      </c>
    </row>
    <row r="162" spans="1:36" x14ac:dyDescent="0.2">
      <c r="A162">
        <v>161</v>
      </c>
      <c r="B162">
        <v>804</v>
      </c>
      <c r="C162">
        <v>100</v>
      </c>
      <c r="D162">
        <v>0.514840551455232</v>
      </c>
      <c r="E162">
        <v>7.2758818316804099</v>
      </c>
      <c r="F162">
        <v>0.22945216523124601</v>
      </c>
      <c r="G162">
        <v>-164.04807759848197</v>
      </c>
      <c r="H162">
        <v>-89.146509104258101</v>
      </c>
      <c r="I162">
        <v>69.5406695451871</v>
      </c>
      <c r="J162">
        <v>25.794254580781299</v>
      </c>
      <c r="K162">
        <v>31.709798093853799</v>
      </c>
      <c r="L162">
        <v>1.7020397708502972E-3</v>
      </c>
      <c r="M162">
        <v>1.0280661530613887E-3</v>
      </c>
      <c r="N162" s="1">
        <v>-5.49759243074353E-5</v>
      </c>
      <c r="O162" s="1">
        <v>7.3961404943066104E-5</v>
      </c>
      <c r="P162" s="1">
        <v>-4.9511459424378302E-5</v>
      </c>
      <c r="AE162">
        <v>100</v>
      </c>
      <c r="AJ162">
        <v>1</v>
      </c>
    </row>
    <row r="163" spans="1:36" x14ac:dyDescent="0.2">
      <c r="A163">
        <v>162</v>
      </c>
      <c r="B163">
        <v>802</v>
      </c>
      <c r="C163">
        <v>100</v>
      </c>
      <c r="D163">
        <v>0.51380784076640695</v>
      </c>
      <c r="E163">
        <v>7.30553851612218</v>
      </c>
      <c r="F163">
        <v>0.23023670936889501</v>
      </c>
      <c r="G163">
        <v>-164.57714176422181</v>
      </c>
      <c r="H163">
        <v>-89.561728148296055</v>
      </c>
      <c r="I163">
        <v>69.775932933707907</v>
      </c>
      <c r="J163">
        <v>25.956277564775998</v>
      </c>
      <c r="K163">
        <v>31.730554767514899</v>
      </c>
      <c r="L163">
        <v>1.7113500245243777E-3</v>
      </c>
      <c r="M163">
        <v>1.0284419768289898E-3</v>
      </c>
      <c r="N163" s="1">
        <v>-5.5559693980519102E-5</v>
      </c>
      <c r="O163" s="1">
        <v>7.4133088214003E-5</v>
      </c>
      <c r="P163" s="1">
        <v>-4.9900432194054403E-5</v>
      </c>
      <c r="AE163">
        <v>100</v>
      </c>
      <c r="AJ163">
        <v>1</v>
      </c>
    </row>
    <row r="164" spans="1:36" x14ac:dyDescent="0.2">
      <c r="A164">
        <v>163</v>
      </c>
      <c r="B164">
        <v>800</v>
      </c>
      <c r="C164">
        <v>100</v>
      </c>
      <c r="D164">
        <v>0.51277128080883805</v>
      </c>
      <c r="E164">
        <v>7.3351940323131499</v>
      </c>
      <c r="F164">
        <v>0.23102826060898499</v>
      </c>
      <c r="G164">
        <v>-165.1051431872539</v>
      </c>
      <c r="H164">
        <v>-89.977468871867316</v>
      </c>
      <c r="I164">
        <v>70.010596807384204</v>
      </c>
      <c r="J164">
        <v>26.119525311937199</v>
      </c>
      <c r="K164">
        <v>31.750202390727999</v>
      </c>
      <c r="L164">
        <v>1.7207590212170441E-3</v>
      </c>
      <c r="M164">
        <v>1.0288156735918177E-3</v>
      </c>
      <c r="N164" s="1">
        <v>-5.6146819210855098E-5</v>
      </c>
      <c r="O164" s="1">
        <v>7.4303640161839699E-5</v>
      </c>
      <c r="P164" s="1">
        <v>-5.02940676032075E-5</v>
      </c>
      <c r="AE164">
        <v>100</v>
      </c>
      <c r="AJ164">
        <v>1</v>
      </c>
    </row>
    <row r="165" spans="1:36" x14ac:dyDescent="0.2">
      <c r="A165">
        <v>164</v>
      </c>
      <c r="B165">
        <v>798</v>
      </c>
      <c r="C165">
        <v>100</v>
      </c>
      <c r="D165">
        <v>0.51173085002101004</v>
      </c>
      <c r="E165">
        <v>7.3648211160987502</v>
      </c>
      <c r="F165">
        <v>0.231826918816084</v>
      </c>
      <c r="G165">
        <v>-165.63147035015845</v>
      </c>
      <c r="H165">
        <v>-90.393399565315377</v>
      </c>
      <c r="I165">
        <v>70.2443965716636</v>
      </c>
      <c r="J165">
        <v>26.2839212728022</v>
      </c>
      <c r="K165">
        <v>31.768619251423001</v>
      </c>
      <c r="L165">
        <v>1.7302680846730343E-3</v>
      </c>
      <c r="M165">
        <v>1.0291870748029342E-3</v>
      </c>
      <c r="N165" s="1">
        <v>-5.6736952560682297E-5</v>
      </c>
      <c r="O165" s="1">
        <v>7.4472781267941496E-5</v>
      </c>
      <c r="P165" s="1">
        <v>-5.0692289712209303E-5</v>
      </c>
      <c r="AE165">
        <v>100</v>
      </c>
      <c r="AJ165">
        <v>1</v>
      </c>
    </row>
    <row r="166" spans="1:36" x14ac:dyDescent="0.2">
      <c r="A166">
        <v>165</v>
      </c>
      <c r="B166">
        <v>796</v>
      </c>
      <c r="C166">
        <v>100</v>
      </c>
      <c r="D166">
        <v>0.51068652668007097</v>
      </c>
      <c r="E166">
        <v>7.3943933038412499</v>
      </c>
      <c r="F166">
        <v>0.23263278569757001</v>
      </c>
      <c r="G166">
        <v>-166.15553181384936</v>
      </c>
      <c r="H166">
        <v>-90.809197618784623</v>
      </c>
      <c r="I166">
        <v>70.477075921041006</v>
      </c>
      <c r="J166">
        <v>26.4493912289857</v>
      </c>
      <c r="K166">
        <v>31.7856886838563</v>
      </c>
      <c r="L166">
        <v>1.7398785537786597E-3</v>
      </c>
      <c r="M166">
        <v>1.0295560048744364E-3</v>
      </c>
      <c r="N166" s="1">
        <v>-5.7329736244856198E-5</v>
      </c>
      <c r="O166" s="1">
        <v>7.4640241821416695E-5</v>
      </c>
      <c r="P166" s="1">
        <v>-5.1095028435665197E-5</v>
      </c>
      <c r="AE166">
        <v>100</v>
      </c>
      <c r="AJ166">
        <v>1</v>
      </c>
    </row>
    <row r="167" spans="1:36" x14ac:dyDescent="0.2">
      <c r="A167">
        <v>166</v>
      </c>
      <c r="B167">
        <v>794</v>
      </c>
      <c r="C167">
        <v>100</v>
      </c>
      <c r="D167">
        <v>0.50963828890034402</v>
      </c>
      <c r="E167">
        <v>7.4238851501644403</v>
      </c>
      <c r="F167">
        <v>0.23344596484196101</v>
      </c>
      <c r="G167">
        <v>-166.676761026489</v>
      </c>
      <c r="H167">
        <v>-91.224552222880462</v>
      </c>
      <c r="I167">
        <v>70.708388892442699</v>
      </c>
      <c r="J167">
        <v>26.6158640806721</v>
      </c>
      <c r="K167">
        <v>31.801299950462798</v>
      </c>
      <c r="L167">
        <v>1.7495917823615174E-3</v>
      </c>
      <c r="M167">
        <v>1.029922280888413E-3</v>
      </c>
      <c r="N167" s="1">
        <v>-5.7924803395319397E-5</v>
      </c>
      <c r="O167" s="1">
        <v>7.48057640308319E-5</v>
      </c>
      <c r="P167" s="1">
        <v>-5.1502221138022501E-5</v>
      </c>
      <c r="AE167">
        <v>100</v>
      </c>
      <c r="AJ167">
        <v>1</v>
      </c>
    </row>
    <row r="168" spans="1:36" x14ac:dyDescent="0.2">
      <c r="A168">
        <v>167</v>
      </c>
      <c r="B168">
        <v>792</v>
      </c>
      <c r="C168">
        <v>100</v>
      </c>
      <c r="D168">
        <v>0.50858611463174297</v>
      </c>
      <c r="E168">
        <v>7.4532724178506902</v>
      </c>
      <c r="F168">
        <v>0.23426656175799099</v>
      </c>
      <c r="G168">
        <v>-167.19462048296893</v>
      </c>
      <c r="H168">
        <v>-91.639166736404178</v>
      </c>
      <c r="I168">
        <v>70.938101644581096</v>
      </c>
      <c r="J168">
        <v>26.783272545189</v>
      </c>
      <c r="K168">
        <v>31.8153489850176</v>
      </c>
      <c r="L168">
        <v>1.7594091389562807E-3</v>
      </c>
      <c r="M168">
        <v>1.0302857122958349E-3</v>
      </c>
      <c r="N168" s="1">
        <v>-5.8521779151031499E-5</v>
      </c>
      <c r="O168" s="1">
        <v>7.4969103831717902E-5</v>
      </c>
      <c r="P168" s="1">
        <v>-5.1913814073953799E-5</v>
      </c>
      <c r="AE168">
        <v>100</v>
      </c>
      <c r="AJ168">
        <v>1</v>
      </c>
    </row>
    <row r="169" spans="1:36" x14ac:dyDescent="0.2">
      <c r="A169">
        <v>168</v>
      </c>
      <c r="B169">
        <v>790</v>
      </c>
      <c r="C169">
        <v>100</v>
      </c>
      <c r="D169">
        <v>0.507529981658283</v>
      </c>
      <c r="E169">
        <v>7.5285426192124598</v>
      </c>
      <c r="F169">
        <v>0.23509468391441601</v>
      </c>
      <c r="G169">
        <v>-168.7398519203644</v>
      </c>
      <c r="H169">
        <v>-92.618796695704461</v>
      </c>
      <c r="I169">
        <v>71.6035964060124</v>
      </c>
      <c r="J169">
        <v>27.117279909079699</v>
      </c>
      <c r="K169">
        <v>32.023448994504399</v>
      </c>
      <c r="L169">
        <v>1.7693320065342221E-3</v>
      </c>
      <c r="M169">
        <v>1.0306461006029024E-3</v>
      </c>
      <c r="N169" s="1">
        <v>-5.9483814454063998E-5</v>
      </c>
      <c r="O169" s="1">
        <v>7.5592009859959302E-5</v>
      </c>
      <c r="P169" s="1">
        <v>-5.2651541405206197E-5</v>
      </c>
      <c r="AE169">
        <v>100</v>
      </c>
      <c r="AJ169">
        <v>1</v>
      </c>
    </row>
    <row r="170" spans="1:36" x14ac:dyDescent="0.2">
      <c r="A170">
        <v>169</v>
      </c>
      <c r="B170">
        <v>788</v>
      </c>
      <c r="C170">
        <v>100</v>
      </c>
      <c r="D170">
        <v>0.50646986759647905</v>
      </c>
      <c r="E170">
        <v>7.6609568067414298</v>
      </c>
      <c r="F170">
        <v>0.23593044078056399</v>
      </c>
      <c r="G170">
        <v>-171.56202331724268</v>
      </c>
      <c r="H170">
        <v>-94.303056733582437</v>
      </c>
      <c r="I170">
        <v>72.810960423674004</v>
      </c>
      <c r="J170">
        <v>27.659743665089</v>
      </c>
      <c r="K170">
        <v>32.4712520410487</v>
      </c>
      <c r="L170">
        <v>1.7793617821936858E-3</v>
      </c>
      <c r="M170">
        <v>1.0310032390443116E-3</v>
      </c>
      <c r="N170" s="1">
        <v>-6.0907011927664299E-5</v>
      </c>
      <c r="O170" s="1">
        <v>7.6784889915179703E-5</v>
      </c>
      <c r="P170" s="1">
        <v>-5.37985825879707E-5</v>
      </c>
      <c r="AE170">
        <v>100</v>
      </c>
      <c r="AJ170">
        <v>1</v>
      </c>
    </row>
    <row r="171" spans="1:36" x14ac:dyDescent="0.2">
      <c r="A171">
        <v>170</v>
      </c>
      <c r="B171">
        <v>786</v>
      </c>
      <c r="C171">
        <v>100</v>
      </c>
      <c r="D171">
        <v>0.50540574989378495</v>
      </c>
      <c r="E171">
        <v>7.7979704551083797</v>
      </c>
      <c r="F171">
        <v>0.23677394386762701</v>
      </c>
      <c r="G171">
        <v>-174.48217950203986</v>
      </c>
      <c r="H171">
        <v>-96.046011639248874</v>
      </c>
      <c r="I171">
        <v>74.059982382415697</v>
      </c>
      <c r="J171">
        <v>28.222022106971899</v>
      </c>
      <c r="K171">
        <v>32.934242373679297</v>
      </c>
      <c r="L171">
        <v>1.7894998768088178E-3</v>
      </c>
      <c r="M171">
        <v>1.0313569122429199E-3</v>
      </c>
      <c r="N171" s="1">
        <v>-6.2379235686080698E-5</v>
      </c>
      <c r="O171" s="1">
        <v>7.8018967002399796E-5</v>
      </c>
      <c r="P171" s="1">
        <v>-5.4989638780778101E-5</v>
      </c>
      <c r="AE171">
        <v>100</v>
      </c>
      <c r="AJ171">
        <v>1</v>
      </c>
    </row>
    <row r="172" spans="1:36" x14ac:dyDescent="0.2">
      <c r="A172">
        <v>171</v>
      </c>
      <c r="B172">
        <v>784</v>
      </c>
      <c r="C172">
        <v>100</v>
      </c>
      <c r="D172">
        <v>0.50433760582698905</v>
      </c>
      <c r="E172">
        <v>7.9450500444832404</v>
      </c>
      <c r="F172">
        <v>0.23762530677069199</v>
      </c>
      <c r="G172">
        <v>-177.6222748560206</v>
      </c>
      <c r="H172">
        <v>-97.915139239915717</v>
      </c>
      <c r="I172">
        <v>75.402433204012894</v>
      </c>
      <c r="J172">
        <v>28.824128173276499</v>
      </c>
      <c r="K172">
        <v>33.435201630902803</v>
      </c>
      <c r="L172">
        <v>1.799747714633534E-3</v>
      </c>
      <c r="M172">
        <v>1.0317068958552802E-3</v>
      </c>
      <c r="N172" s="1">
        <v>-6.3944886077715605E-5</v>
      </c>
      <c r="O172" s="1">
        <v>7.9348579562489702E-5</v>
      </c>
      <c r="P172" s="1">
        <v>-5.6264130942421499E-5</v>
      </c>
      <c r="AE172">
        <v>100</v>
      </c>
      <c r="AJ172">
        <v>1</v>
      </c>
    </row>
    <row r="173" spans="1:36" x14ac:dyDescent="0.2">
      <c r="A173">
        <v>172</v>
      </c>
      <c r="B173">
        <v>782</v>
      </c>
      <c r="C173">
        <v>100</v>
      </c>
      <c r="D173">
        <v>0.50326541250059598</v>
      </c>
      <c r="E173">
        <v>8.9518473004457402</v>
      </c>
      <c r="F173">
        <v>0.238484645211514</v>
      </c>
      <c r="G173">
        <v>-199.96072768634193</v>
      </c>
      <c r="H173">
        <v>-110.38798500807366</v>
      </c>
      <c r="I173">
        <v>84.895858858929998</v>
      </c>
      <c r="J173">
        <v>32.556441016925099</v>
      </c>
      <c r="K173">
        <v>37.536367561551998</v>
      </c>
      <c r="L173">
        <v>1.8101067328576419E-3</v>
      </c>
      <c r="M173">
        <v>1.0320529562025049E-3</v>
      </c>
      <c r="N173" s="1">
        <v>-7.2484937687690806E-5</v>
      </c>
      <c r="O173" s="1">
        <v>8.9243605847602595E-5</v>
      </c>
      <c r="P173" s="1">
        <v>-6.3666063593282804E-5</v>
      </c>
      <c r="AE173">
        <v>100</v>
      </c>
      <c r="AJ173">
        <v>1</v>
      </c>
    </row>
    <row r="174" spans="1:36" x14ac:dyDescent="0.2">
      <c r="A174">
        <v>173</v>
      </c>
      <c r="B174">
        <v>780</v>
      </c>
      <c r="C174">
        <v>100</v>
      </c>
      <c r="D174">
        <v>0.50218914684517901</v>
      </c>
      <c r="E174">
        <v>9.8035332886790201</v>
      </c>
      <c r="F174">
        <v>0.239352077082018</v>
      </c>
      <c r="G174">
        <v>-218.79927479339236</v>
      </c>
      <c r="H174">
        <v>-120.96178319655979</v>
      </c>
      <c r="I174">
        <v>92.905190885045997</v>
      </c>
      <c r="J174">
        <v>35.742376938863501</v>
      </c>
      <c r="K174">
        <v>40.958630517000501</v>
      </c>
      <c r="L174">
        <v>1.8205783811116158E-3</v>
      </c>
      <c r="M174">
        <v>1.0323948498857499E-3</v>
      </c>
      <c r="N174" s="1">
        <v>-7.9857824180565095E-5</v>
      </c>
      <c r="O174" s="1">
        <v>9.7558917650145002E-5</v>
      </c>
      <c r="P174" s="1">
        <v>-7.0026658902367194E-5</v>
      </c>
      <c r="AE174">
        <v>100</v>
      </c>
      <c r="AJ174">
        <v>1</v>
      </c>
    </row>
    <row r="175" spans="1:36" x14ac:dyDescent="0.2">
      <c r="A175">
        <v>174</v>
      </c>
      <c r="B175">
        <v>778</v>
      </c>
      <c r="C175">
        <v>100</v>
      </c>
      <c r="D175">
        <v>0.501108785615755</v>
      </c>
      <c r="E175">
        <v>10.141913864233301</v>
      </c>
      <c r="F175">
        <v>0.24022772248853699</v>
      </c>
      <c r="G175">
        <v>-226.15923766983656</v>
      </c>
      <c r="H175">
        <v>-125.21096728530118</v>
      </c>
      <c r="I175">
        <v>96.041548980101098</v>
      </c>
      <c r="J175">
        <v>37.068858661517801</v>
      </c>
      <c r="K175">
        <v>42.217916230368701</v>
      </c>
      <c r="L175">
        <v>1.8311641209167392E-3</v>
      </c>
      <c r="M175">
        <v>1.0327323233859486E-3</v>
      </c>
      <c r="N175" s="1">
        <v>-8.3104944991194395E-5</v>
      </c>
      <c r="O175">
        <v>1.0074467552175799E-4</v>
      </c>
      <c r="P175" s="1">
        <v>-7.27631794840983E-5</v>
      </c>
      <c r="AE175">
        <v>100</v>
      </c>
      <c r="AJ175">
        <v>1</v>
      </c>
    </row>
    <row r="176" spans="1:36" x14ac:dyDescent="0.2">
      <c r="A176">
        <v>175</v>
      </c>
      <c r="B176">
        <v>776</v>
      </c>
      <c r="C176">
        <v>100</v>
      </c>
      <c r="D176">
        <v>0.50002430539008103</v>
      </c>
      <c r="E176">
        <v>10.311905404283401</v>
      </c>
      <c r="F176">
        <v>0.24111170379677099</v>
      </c>
      <c r="G176">
        <v>-229.75472696656709</v>
      </c>
      <c r="H176">
        <v>-127.38514015790331</v>
      </c>
      <c r="I176">
        <v>97.579457574378907</v>
      </c>
      <c r="J176">
        <v>37.785813571755803</v>
      </c>
      <c r="K176">
        <v>42.7681661317242</v>
      </c>
      <c r="L176">
        <v>1.8418654250765901E-3</v>
      </c>
      <c r="M176">
        <v>1.0330651126469323E-3</v>
      </c>
      <c r="N176" s="1">
        <v>-8.4994106165028001E-5</v>
      </c>
      <c r="O176">
        <v>1.0224847508025101E-4</v>
      </c>
      <c r="P176" s="1">
        <v>-7.4313482692607298E-5</v>
      </c>
      <c r="AE176">
        <v>100</v>
      </c>
      <c r="AJ176">
        <v>1</v>
      </c>
    </row>
    <row r="177" spans="1:36" x14ac:dyDescent="0.2">
      <c r="A177">
        <v>176</v>
      </c>
      <c r="B177">
        <v>774</v>
      </c>
      <c r="C177">
        <v>100</v>
      </c>
      <c r="D177">
        <v>0.49893568256697302</v>
      </c>
      <c r="E177">
        <v>10.4145453349202</v>
      </c>
      <c r="F177">
        <v>0.24200414567745401</v>
      </c>
      <c r="G177">
        <v>-231.8445705323623</v>
      </c>
      <c r="H177">
        <v>-128.7294943612871</v>
      </c>
      <c r="I177">
        <v>98.477807394778296</v>
      </c>
      <c r="J177">
        <v>38.259819464056299</v>
      </c>
      <c r="K177">
        <v>43.0345740803997</v>
      </c>
      <c r="L177">
        <v>1.8526837770060922E-3</v>
      </c>
      <c r="M177">
        <v>1.0333929426414989E-3</v>
      </c>
      <c r="N177" s="1">
        <v>-8.6338080647617503E-5</v>
      </c>
      <c r="O177">
        <v>1.03079385346226E-4</v>
      </c>
      <c r="P177" s="1">
        <v>-7.5393234888992698E-5</v>
      </c>
      <c r="AE177">
        <v>100</v>
      </c>
      <c r="AJ177">
        <v>1</v>
      </c>
    </row>
    <row r="178" spans="1:36" x14ac:dyDescent="0.2">
      <c r="A178">
        <v>177</v>
      </c>
      <c r="B178">
        <v>772</v>
      </c>
      <c r="C178">
        <v>100</v>
      </c>
      <c r="D178">
        <v>0.49784289336458698</v>
      </c>
      <c r="E178">
        <v>10.483899329205499</v>
      </c>
      <c r="F178">
        <v>0.242905175152728</v>
      </c>
      <c r="G178">
        <v>-233.19030872665965</v>
      </c>
      <c r="H178">
        <v>-129.66387666735801</v>
      </c>
      <c r="I178">
        <v>99.059878094324205</v>
      </c>
      <c r="J178">
        <v>38.614506555949099</v>
      </c>
      <c r="K178">
        <v>43.1604609601821</v>
      </c>
      <c r="L178">
        <v>1.86362066999376E-3</v>
      </c>
      <c r="M178">
        <v>1.0337155269196274E-3</v>
      </c>
      <c r="N178" s="1">
        <v>-8.7410714613943695E-5</v>
      </c>
      <c r="O178">
        <v>1.03577574874618E-4</v>
      </c>
      <c r="P178" s="1">
        <v>-7.6243909389417904E-5</v>
      </c>
      <c r="AE178">
        <v>100</v>
      </c>
      <c r="AJ178">
        <v>1</v>
      </c>
    </row>
    <row r="179" spans="1:36" x14ac:dyDescent="0.2">
      <c r="A179">
        <v>178</v>
      </c>
      <c r="B179">
        <v>770</v>
      </c>
      <c r="C179">
        <v>100</v>
      </c>
      <c r="D179">
        <v>0.49674591381872402</v>
      </c>
      <c r="E179">
        <v>10.5343353422854</v>
      </c>
      <c r="F179">
        <v>0.24381492164320401</v>
      </c>
      <c r="G179">
        <v>-234.11314371338506</v>
      </c>
      <c r="H179">
        <v>-130.36536658514061</v>
      </c>
      <c r="I179">
        <v>99.462019385332397</v>
      </c>
      <c r="J179">
        <v>38.902028807319702</v>
      </c>
      <c r="K179">
        <v>43.206278234690203</v>
      </c>
      <c r="L179">
        <v>1.8746776063928959E-3</v>
      </c>
      <c r="M179">
        <v>1.0340325671383186E-3</v>
      </c>
      <c r="N179" s="1">
        <v>-8.8327215152403201E-5</v>
      </c>
      <c r="O179">
        <v>1.03886516160507E-4</v>
      </c>
      <c r="P179" s="1">
        <v>-7.6967442074133698E-5</v>
      </c>
      <c r="AE179">
        <v>100</v>
      </c>
      <c r="AJ179">
        <v>1</v>
      </c>
    </row>
    <row r="180" spans="1:36" x14ac:dyDescent="0.2">
      <c r="A180">
        <v>179</v>
      </c>
      <c r="B180">
        <v>768</v>
      </c>
      <c r="C180">
        <v>100</v>
      </c>
      <c r="D180">
        <v>0.49564471978101199</v>
      </c>
      <c r="E180">
        <v>10.5729378758063</v>
      </c>
      <c r="F180">
        <v>0.24473351701568</v>
      </c>
      <c r="G180">
        <v>-234.77146135167703</v>
      </c>
      <c r="H180">
        <v>-130.92127626680875</v>
      </c>
      <c r="I180">
        <v>99.751462871991095</v>
      </c>
      <c r="J180">
        <v>39.148109270463003</v>
      </c>
      <c r="K180">
        <v>43.2018384924732</v>
      </c>
      <c r="L180">
        <v>1.8858560967366686E-3</v>
      </c>
      <c r="M180">
        <v>1.0343437525722034E-3</v>
      </c>
      <c r="N180" s="1">
        <v>-8.9144104533277907E-5</v>
      </c>
      <c r="O180">
        <v>1.04076954254861E-4</v>
      </c>
      <c r="P180" s="1">
        <v>-7.7614169502587197E-5</v>
      </c>
      <c r="AE180">
        <v>100</v>
      </c>
      <c r="AJ180">
        <v>1</v>
      </c>
    </row>
    <row r="181" spans="1:36" x14ac:dyDescent="0.2">
      <c r="A181">
        <v>180</v>
      </c>
      <c r="B181">
        <v>766</v>
      </c>
      <c r="C181">
        <v>100</v>
      </c>
      <c r="D181">
        <v>0.49453928691719501</v>
      </c>
      <c r="E181">
        <v>10.603609533938601</v>
      </c>
      <c r="F181">
        <v>0.24566109563152799</v>
      </c>
      <c r="G181">
        <v>-235.25251756964468</v>
      </c>
      <c r="H181">
        <v>-131.37970186948533</v>
      </c>
      <c r="I181">
        <v>99.965244417717201</v>
      </c>
      <c r="J181">
        <v>39.366924683957798</v>
      </c>
      <c r="K181">
        <v>43.163568519791802</v>
      </c>
      <c r="L181">
        <v>1.8971576587724786E-3</v>
      </c>
      <c r="M181">
        <v>1.0346487596043657E-3</v>
      </c>
      <c r="N181" s="1">
        <v>-8.9892254196136998E-5</v>
      </c>
      <c r="O181">
        <v>1.04187860792193E-4</v>
      </c>
      <c r="P181" s="1">
        <v>-7.82118899057577E-5</v>
      </c>
      <c r="AE181">
        <v>100</v>
      </c>
      <c r="AJ181">
        <v>1</v>
      </c>
    </row>
    <row r="182" spans="1:36" x14ac:dyDescent="0.2">
      <c r="A182">
        <v>181</v>
      </c>
      <c r="B182">
        <v>764</v>
      </c>
      <c r="C182">
        <v>100</v>
      </c>
      <c r="D182">
        <v>0.49342959070530001</v>
      </c>
      <c r="E182">
        <v>10.6286833201238</v>
      </c>
      <c r="F182">
        <v>0.24659779439568899</v>
      </c>
      <c r="G182">
        <v>-235.60847937805576</v>
      </c>
      <c r="H182">
        <v>-131.76939512459805</v>
      </c>
      <c r="I182">
        <v>100.125504159214</v>
      </c>
      <c r="J182">
        <v>39.566956698618903</v>
      </c>
      <c r="K182">
        <v>43.101291096988199</v>
      </c>
      <c r="L182">
        <v>1.9085838164100259E-3</v>
      </c>
      <c r="M182">
        <v>1.03494725119661E-3</v>
      </c>
      <c r="N182" s="1">
        <v>-9.0589870260967696E-5</v>
      </c>
      <c r="O182">
        <v>1.04242532416067E-4</v>
      </c>
      <c r="P182" s="1">
        <v>-7.8777287606366804E-5</v>
      </c>
      <c r="AE182">
        <v>100</v>
      </c>
      <c r="AJ18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698ED-1304-42AA-9536-7F3A8A3FD57C}">
  <sheetPr codeName="Sheet14"/>
  <dimension ref="A1:AU182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760</v>
      </c>
      <c r="C2">
        <v>300</v>
      </c>
      <c r="D2">
        <v>0.27825630353772701</v>
      </c>
      <c r="E2">
        <v>215.6462531920815</v>
      </c>
      <c r="F2">
        <v>57.573473492488411</v>
      </c>
      <c r="G2">
        <v>70.859009341737888</v>
      </c>
      <c r="H2">
        <v>66.267640192716541</v>
      </c>
      <c r="J2">
        <v>45.82850139729053</v>
      </c>
      <c r="L2">
        <v>3.9906511159212643</v>
      </c>
      <c r="M2">
        <v>13.790051714320029</v>
      </c>
      <c r="N2">
        <v>2.6743146340428909</v>
      </c>
      <c r="O2">
        <v>16.11995049588193</v>
      </c>
      <c r="P2">
        <v>10.152095294191771</v>
      </c>
      <c r="Q2">
        <v>1.6333520549352616</v>
      </c>
      <c r="R2">
        <v>11.548936400321406</v>
      </c>
      <c r="S2">
        <v>37.338697231692976</v>
      </c>
      <c r="U2">
        <v>2.635026818697435</v>
      </c>
      <c r="V2">
        <v>47.601301584931804</v>
      </c>
      <c r="W2">
        <v>21.727335451024647</v>
      </c>
      <c r="X2">
        <v>51.722490408433558</v>
      </c>
      <c r="Y2">
        <v>6.293559839583768</v>
      </c>
      <c r="Z2">
        <v>28.12972523289336</v>
      </c>
      <c r="AA2">
        <v>2.882642823648661</v>
      </c>
      <c r="AB2">
        <v>33.514197082195047</v>
      </c>
      <c r="AC2">
        <v>1.1715670677815771E-2</v>
      </c>
      <c r="AD2">
        <v>5.9113773464426398</v>
      </c>
      <c r="AE2">
        <v>11.506537082941863</v>
      </c>
      <c r="AF2">
        <v>13.493288881254294</v>
      </c>
      <c r="AG2">
        <v>19.019898055630826</v>
      </c>
      <c r="AH2">
        <v>5.1503483765225742</v>
      </c>
      <c r="AI2">
        <v>2.6264084342857652</v>
      </c>
      <c r="AK2">
        <v>42.782587010367941</v>
      </c>
    </row>
    <row r="3" spans="1:47" x14ac:dyDescent="0.2">
      <c r="A3">
        <v>2</v>
      </c>
      <c r="B3">
        <v>758</v>
      </c>
      <c r="C3">
        <v>300</v>
      </c>
      <c r="D3">
        <v>0.27672065169955901</v>
      </c>
      <c r="E3">
        <v>215.42496959171365</v>
      </c>
      <c r="F3">
        <v>56.899451572707065</v>
      </c>
      <c r="G3">
        <v>70.746678661744753</v>
      </c>
      <c r="H3">
        <v>66.15047622215765</v>
      </c>
      <c r="J3">
        <v>45.732471947627609</v>
      </c>
      <c r="L3">
        <v>3.8404200375912514</v>
      </c>
      <c r="M3">
        <v>13.67315656185249</v>
      </c>
      <c r="N3">
        <v>2.6661650700989132</v>
      </c>
      <c r="O3">
        <v>15.409736497599239</v>
      </c>
      <c r="P3">
        <v>9.9622435310607003</v>
      </c>
      <c r="Q3">
        <v>1.5220736761979523</v>
      </c>
      <c r="R3">
        <v>11.168976431411908</v>
      </c>
      <c r="S3">
        <v>36.573350841292594</v>
      </c>
      <c r="U3">
        <v>2.4918480342244282</v>
      </c>
      <c r="V3">
        <v>47.410268315613813</v>
      </c>
      <c r="W3">
        <v>21.357410469500817</v>
      </c>
      <c r="X3">
        <v>51.36424815864153</v>
      </c>
      <c r="Y3">
        <v>6.1373456753421545</v>
      </c>
      <c r="Z3">
        <v>27.762578525587578</v>
      </c>
      <c r="AA3">
        <v>2.7269440083837546</v>
      </c>
      <c r="AB3">
        <v>33.252736477495255</v>
      </c>
      <c r="AD3">
        <v>5.7038792315874423</v>
      </c>
      <c r="AE3">
        <v>11.339749172104183</v>
      </c>
      <c r="AF3">
        <v>13.362066228839941</v>
      </c>
      <c r="AG3">
        <v>18.716279309972052</v>
      </c>
      <c r="AH3">
        <v>4.9169429559903177</v>
      </c>
      <c r="AI3">
        <v>2.6176865434181829</v>
      </c>
      <c r="AK3">
        <v>42.793942927471534</v>
      </c>
    </row>
    <row r="4" spans="1:47" x14ac:dyDescent="0.2">
      <c r="A4">
        <v>3</v>
      </c>
      <c r="B4">
        <v>756</v>
      </c>
      <c r="C4">
        <v>300</v>
      </c>
      <c r="D4">
        <v>0.27517903123937498</v>
      </c>
      <c r="E4">
        <v>215.17625162888928</v>
      </c>
      <c r="F4">
        <v>56.131008478553412</v>
      </c>
      <c r="G4">
        <v>70.620323825056147</v>
      </c>
      <c r="H4">
        <v>66.019340043334694</v>
      </c>
      <c r="J4">
        <v>45.586854841665804</v>
      </c>
      <c r="L4">
        <v>3.674965492364092</v>
      </c>
      <c r="M4">
        <v>13.51673043306643</v>
      </c>
      <c r="N4">
        <v>2.6701071648429697</v>
      </c>
      <c r="O4">
        <v>14.659309449363992</v>
      </c>
      <c r="P4">
        <v>9.7564659377511997</v>
      </c>
      <c r="Q4">
        <v>1.3805967034318227</v>
      </c>
      <c r="R4">
        <v>10.72595940174952</v>
      </c>
      <c r="S4">
        <v>35.612891785868221</v>
      </c>
      <c r="U4">
        <v>2.3150949806455605</v>
      </c>
      <c r="V4">
        <v>47.154969107367371</v>
      </c>
      <c r="W4">
        <v>20.913372188717595</v>
      </c>
      <c r="X4">
        <v>50.892076369530692</v>
      </c>
      <c r="Y4">
        <v>5.9598921903657249</v>
      </c>
      <c r="Z4">
        <v>27.339743243501346</v>
      </c>
      <c r="AA4">
        <v>2.5561821398194007</v>
      </c>
      <c r="AB4">
        <v>32.922466783711535</v>
      </c>
      <c r="AD4">
        <v>5.4602898674302711</v>
      </c>
      <c r="AE4">
        <v>11.151270855663121</v>
      </c>
      <c r="AF4">
        <v>13.203405376840054</v>
      </c>
      <c r="AG4">
        <v>18.355953172091958</v>
      </c>
      <c r="AH4">
        <v>4.6386709785742424</v>
      </c>
      <c r="AI4">
        <v>2.6210530023345111</v>
      </c>
      <c r="AK4">
        <v>42.787804325578911</v>
      </c>
    </row>
    <row r="5" spans="1:47" x14ac:dyDescent="0.2">
      <c r="A5">
        <v>4</v>
      </c>
      <c r="B5">
        <v>754</v>
      </c>
      <c r="C5">
        <v>300</v>
      </c>
      <c r="D5">
        <v>0.27363140729202201</v>
      </c>
      <c r="E5">
        <v>214.92819293120704</v>
      </c>
      <c r="F5">
        <v>55.365455452799239</v>
      </c>
      <c r="G5">
        <v>70.494316693624668</v>
      </c>
      <c r="H5">
        <v>65.888603684425078</v>
      </c>
      <c r="J5">
        <v>45.443726335022539</v>
      </c>
      <c r="L5">
        <v>3.5101516922406661</v>
      </c>
      <c r="M5">
        <v>13.360913776743512</v>
      </c>
      <c r="N5">
        <v>2.6740487446640135</v>
      </c>
      <c r="O5">
        <v>13.911420234723476</v>
      </c>
      <c r="P5">
        <v>9.5514142454768276</v>
      </c>
      <c r="Q5">
        <v>1.2396486620380092</v>
      </c>
      <c r="R5">
        <v>10.284433414069628</v>
      </c>
      <c r="S5">
        <v>34.656311046566593</v>
      </c>
      <c r="U5">
        <v>2.1386664266100488</v>
      </c>
      <c r="V5">
        <v>46.900553240452041</v>
      </c>
      <c r="W5">
        <v>20.470492641545317</v>
      </c>
      <c r="X5">
        <v>50.421731248953634</v>
      </c>
      <c r="Y5">
        <v>5.7830754452970776</v>
      </c>
      <c r="Z5">
        <v>26.91810635961901</v>
      </c>
      <c r="AA5">
        <v>2.3861111868438893</v>
      </c>
      <c r="AB5">
        <v>32.593317723969541</v>
      </c>
      <c r="AD5">
        <v>5.2172050320494616</v>
      </c>
      <c r="AE5">
        <v>10.963294633185269</v>
      </c>
      <c r="AF5">
        <v>13.045354645160392</v>
      </c>
      <c r="AG5">
        <v>17.996757238735778</v>
      </c>
      <c r="AH5">
        <v>4.3613530480555216</v>
      </c>
      <c r="AI5">
        <v>2.6244156227155573</v>
      </c>
      <c r="AK5">
        <v>42.782975984973085</v>
      </c>
    </row>
    <row r="6" spans="1:47" x14ac:dyDescent="0.2">
      <c r="A6">
        <v>5</v>
      </c>
      <c r="B6">
        <v>752</v>
      </c>
      <c r="C6">
        <v>300</v>
      </c>
      <c r="D6">
        <v>0.27207774472028401</v>
      </c>
      <c r="E6">
        <v>214.68079004403137</v>
      </c>
      <c r="F6">
        <v>54.602777235767014</v>
      </c>
      <c r="G6">
        <v>70.368655868710803</v>
      </c>
      <c r="H6">
        <v>65.758265913560379</v>
      </c>
      <c r="J6">
        <v>45.30308251843482</v>
      </c>
      <c r="L6">
        <v>3.3460650174953042</v>
      </c>
      <c r="M6">
        <v>13.205702453294352</v>
      </c>
      <c r="N6">
        <v>2.6779898140769802</v>
      </c>
      <c r="O6">
        <v>13.166056910928639</v>
      </c>
      <c r="P6">
        <v>9.3470858432067558</v>
      </c>
      <c r="Q6">
        <v>1.0991747016674771</v>
      </c>
      <c r="R6">
        <v>9.8443885174276478</v>
      </c>
      <c r="S6">
        <v>33.703584432246856</v>
      </c>
      <c r="U6">
        <v>1.9625592480726142</v>
      </c>
      <c r="V6">
        <v>46.647014605912972</v>
      </c>
      <c r="W6">
        <v>20.028763321045385</v>
      </c>
      <c r="X6">
        <v>49.953200349514297</v>
      </c>
      <c r="Y6">
        <v>5.6068918823179015</v>
      </c>
      <c r="Z6">
        <v>26.497658672200672</v>
      </c>
      <c r="AA6">
        <v>2.2167276201059867</v>
      </c>
      <c r="AB6">
        <v>32.265280818234743</v>
      </c>
      <c r="AD6">
        <v>4.9746225644121358</v>
      </c>
      <c r="AE6">
        <v>10.7758160903809</v>
      </c>
      <c r="AF6">
        <v>12.887909943664576</v>
      </c>
      <c r="AG6">
        <v>17.638683081916636</v>
      </c>
      <c r="AH6">
        <v>4.0849854732073094</v>
      </c>
      <c r="AI6">
        <v>2.6277743943648528</v>
      </c>
      <c r="AK6">
        <v>42.779457236286433</v>
      </c>
    </row>
    <row r="7" spans="1:47" x14ac:dyDescent="0.2">
      <c r="A7">
        <v>6</v>
      </c>
      <c r="B7">
        <v>750</v>
      </c>
      <c r="C7">
        <v>300</v>
      </c>
      <c r="D7">
        <v>0.270518008112205</v>
      </c>
      <c r="E7">
        <v>214.43403960207749</v>
      </c>
      <c r="F7">
        <v>53.842958940515203</v>
      </c>
      <c r="G7">
        <v>70.243339996103998</v>
      </c>
      <c r="H7">
        <v>65.628325544052629</v>
      </c>
      <c r="J7">
        <v>45.164919669709285</v>
      </c>
      <c r="L7">
        <v>3.1826635000107526</v>
      </c>
      <c r="M7">
        <v>13.051092398874742</v>
      </c>
      <c r="N7">
        <v>2.6819303776525674</v>
      </c>
      <c r="O7">
        <v>12.423207825518595</v>
      </c>
      <c r="P7">
        <v>9.1434782100293575</v>
      </c>
      <c r="Q7">
        <v>0.95926089122148184</v>
      </c>
      <c r="R7">
        <v>9.4058149766822474</v>
      </c>
      <c r="S7">
        <v>32.754688214986601</v>
      </c>
      <c r="U7">
        <v>1.7867704052310867</v>
      </c>
      <c r="V7">
        <v>46.394347117920994</v>
      </c>
      <c r="W7">
        <v>19.588175866914803</v>
      </c>
      <c r="X7">
        <v>49.486471470087565</v>
      </c>
      <c r="Y7">
        <v>5.4313380403240412</v>
      </c>
      <c r="Z7">
        <v>26.078391119458878</v>
      </c>
      <c r="AA7">
        <v>2.0480279798555276</v>
      </c>
      <c r="AB7">
        <v>31.938347720562096</v>
      </c>
      <c r="AD7">
        <v>4.732540354009922</v>
      </c>
      <c r="AE7">
        <v>10.588830871570169</v>
      </c>
      <c r="AF7">
        <v>12.731067258221922</v>
      </c>
      <c r="AG7">
        <v>17.281722408094549</v>
      </c>
      <c r="AH7">
        <v>3.8095646932708545</v>
      </c>
      <c r="AI7">
        <v>2.6311293071381998</v>
      </c>
      <c r="AK7">
        <v>42.777247507915085</v>
      </c>
    </row>
    <row r="8" spans="1:47" x14ac:dyDescent="0.2">
      <c r="A8">
        <v>7</v>
      </c>
      <c r="B8">
        <v>748</v>
      </c>
      <c r="C8">
        <v>300</v>
      </c>
      <c r="D8">
        <v>0.26895216177838999</v>
      </c>
      <c r="E8">
        <v>214.18793832859808</v>
      </c>
      <c r="F8">
        <v>53.08598604784104</v>
      </c>
      <c r="G8">
        <v>70.118367765681</v>
      </c>
      <c r="H8">
        <v>65.498781433955415</v>
      </c>
      <c r="J8">
        <v>45.029234252236726</v>
      </c>
      <c r="L8">
        <v>3.019890451082778</v>
      </c>
      <c r="M8">
        <v>12.897079624284801</v>
      </c>
      <c r="N8">
        <v>2.6858704399194484</v>
      </c>
      <c r="O8">
        <v>11.682861612027622</v>
      </c>
      <c r="P8">
        <v>8.9405889141892132</v>
      </c>
      <c r="Q8">
        <v>0.8198584884148068</v>
      </c>
      <c r="R8">
        <v>8.9687032699875413</v>
      </c>
      <c r="S8">
        <v>31.809599123667599</v>
      </c>
      <c r="U8">
        <v>1.611296941664363</v>
      </c>
      <c r="V8">
        <v>46.142544706862438</v>
      </c>
      <c r="W8">
        <v>19.148722062892812</v>
      </c>
      <c r="X8">
        <v>49.021532653058308</v>
      </c>
      <c r="Y8">
        <v>5.2564105541422155</v>
      </c>
      <c r="Z8">
        <v>25.660294776014332</v>
      </c>
      <c r="AA8">
        <v>1.8800088734218299</v>
      </c>
      <c r="AB8">
        <v>31.612510216195219</v>
      </c>
      <c r="AD8">
        <v>4.4909563401592401</v>
      </c>
      <c r="AE8">
        <v>10.402334677818825</v>
      </c>
      <c r="AF8">
        <v>12.574822649504412</v>
      </c>
      <c r="AG8">
        <v>16.92586705518222</v>
      </c>
      <c r="AH8">
        <v>3.5350872618211557</v>
      </c>
      <c r="AI8">
        <v>2.634480350845648</v>
      </c>
      <c r="AK8">
        <v>42.776346325412582</v>
      </c>
    </row>
    <row r="9" spans="1:47" x14ac:dyDescent="0.2">
      <c r="A9">
        <v>8</v>
      </c>
      <c r="B9">
        <v>746</v>
      </c>
      <c r="C9">
        <v>300</v>
      </c>
      <c r="D9">
        <v>0.26738016974930101</v>
      </c>
      <c r="E9">
        <v>213.94248303396105</v>
      </c>
      <c r="F9">
        <v>52.331844399444194</v>
      </c>
      <c r="G9">
        <v>69.993737910721237</v>
      </c>
      <c r="H9">
        <v>65.369632485385765</v>
      </c>
      <c r="J9">
        <v>44.896022912481214</v>
      </c>
      <c r="L9">
        <v>2.8578391665644305</v>
      </c>
      <c r="M9">
        <v>12.743660213223933</v>
      </c>
      <c r="N9">
        <v>2.6898100054080416</v>
      </c>
      <c r="O9">
        <v>10.945007184994374</v>
      </c>
      <c r="P9">
        <v>8.7384156117683585</v>
      </c>
      <c r="Q9">
        <v>0.68096205550904232</v>
      </c>
      <c r="R9">
        <v>8.5330440851332181</v>
      </c>
      <c r="S9">
        <v>30.8682943343332</v>
      </c>
      <c r="U9">
        <v>1.4361359829271487</v>
      </c>
      <c r="V9">
        <v>45.89160131080839</v>
      </c>
      <c r="W9">
        <v>18.710393833099815</v>
      </c>
      <c r="X9">
        <v>48.558372179402852</v>
      </c>
      <c r="Y9">
        <v>5.0821061533540739</v>
      </c>
      <c r="Z9">
        <v>25.24336084872488</v>
      </c>
      <c r="AA9">
        <v>1.7126669730359281</v>
      </c>
      <c r="AB9">
        <v>31.287760217775908</v>
      </c>
      <c r="AD9">
        <v>4.2498685107896614</v>
      </c>
      <c r="AE9">
        <v>10.216323264899325</v>
      </c>
      <c r="AF9">
        <v>12.419172251292622</v>
      </c>
      <c r="AG9">
        <v>16.571108988802063</v>
      </c>
      <c r="AH9">
        <v>3.2615498764130049</v>
      </c>
      <c r="AI9">
        <v>2.6378275152973645</v>
      </c>
      <c r="AK9">
        <v>42.776753310353683</v>
      </c>
    </row>
    <row r="10" spans="1:47" x14ac:dyDescent="0.2">
      <c r="A10">
        <v>9</v>
      </c>
      <c r="B10">
        <v>744</v>
      </c>
      <c r="C10">
        <v>300</v>
      </c>
      <c r="D10">
        <v>0.26580199577250502</v>
      </c>
      <c r="E10">
        <v>213.69767061463853</v>
      </c>
      <c r="F10">
        <v>51.580520192286599</v>
      </c>
      <c r="G10">
        <v>69.869449207362862</v>
      </c>
      <c r="H10">
        <v>65.240877643979758</v>
      </c>
      <c r="J10">
        <v>44.765282478171137</v>
      </c>
      <c r="L10">
        <v>2.696412599796211</v>
      </c>
      <c r="M10">
        <v>12.590830320783697</v>
      </c>
      <c r="N10">
        <v>2.6937490787110474</v>
      </c>
      <c r="O10">
        <v>10.209633735554505</v>
      </c>
      <c r="P10">
        <v>8.5369560456581031</v>
      </c>
      <c r="Q10">
        <v>0.54256625643365075</v>
      </c>
      <c r="R10">
        <v>8.0988283165303692</v>
      </c>
      <c r="S10">
        <v>29.9307514619526</v>
      </c>
      <c r="U10">
        <v>1.2612847353786818</v>
      </c>
      <c r="V10">
        <v>45.641510867031087</v>
      </c>
      <c r="W10">
        <v>18.273183238636825</v>
      </c>
      <c r="X10">
        <v>48.096978565263754</v>
      </c>
      <c r="Y10">
        <v>4.9084216613714329</v>
      </c>
      <c r="Z10">
        <v>24.827580672525986</v>
      </c>
      <c r="AA10">
        <v>1.5459990148460783</v>
      </c>
      <c r="AB10">
        <v>30.964089761691717</v>
      </c>
      <c r="AD10">
        <v>4.009274901246564</v>
      </c>
      <c r="AE10">
        <v>10.030792441172188</v>
      </c>
      <c r="AF10">
        <v>12.264112269025411</v>
      </c>
      <c r="AG10">
        <v>16.217440298694068</v>
      </c>
      <c r="AH10">
        <v>2.9889493267820795</v>
      </c>
      <c r="AI10">
        <v>2.6411707903633541</v>
      </c>
      <c r="AK10">
        <v>42.778468179691778</v>
      </c>
    </row>
    <row r="11" spans="1:47" x14ac:dyDescent="0.2">
      <c r="A11">
        <v>10</v>
      </c>
      <c r="B11">
        <v>742</v>
      </c>
      <c r="C11">
        <v>300</v>
      </c>
      <c r="D11">
        <v>0.264217603309855</v>
      </c>
      <c r="E11">
        <v>213.45349805221406</v>
      </c>
      <c r="F11">
        <v>50.831999973235774</v>
      </c>
      <c r="G11">
        <v>69.745500474116341</v>
      </c>
      <c r="H11">
        <v>65.112515898414003</v>
      </c>
      <c r="J11">
        <v>44.637009956592635</v>
      </c>
      <c r="L11">
        <v>2.535704145669337</v>
      </c>
      <c r="M11">
        <v>12.438586172216143</v>
      </c>
      <c r="N11">
        <v>2.6976876644046364</v>
      </c>
      <c r="O11">
        <v>9.4767307271989978</v>
      </c>
      <c r="P11">
        <v>8.3362080445243389</v>
      </c>
      <c r="Q11">
        <v>0.40462109491405773</v>
      </c>
      <c r="R11">
        <v>7.6660470624777419</v>
      </c>
      <c r="S11">
        <v>28.996948553495926</v>
      </c>
      <c r="U11">
        <v>1.0867404852435967</v>
      </c>
      <c r="V11">
        <v>45.392267303323038</v>
      </c>
      <c r="W11">
        <v>17.837082474892618</v>
      </c>
      <c r="X11">
        <v>47.637340558153014</v>
      </c>
      <c r="Y11">
        <v>4.7353539945909935</v>
      </c>
      <c r="Z11">
        <v>24.412945706929847</v>
      </c>
      <c r="AA11">
        <v>1.3800017991975693</v>
      </c>
      <c r="AB11">
        <v>30.641491005131591</v>
      </c>
      <c r="AD11">
        <v>3.7691735934037753</v>
      </c>
      <c r="AE11">
        <v>9.8457380658039018</v>
      </c>
      <c r="AF11">
        <v>12.109638978495141</v>
      </c>
      <c r="AG11">
        <v>15.86485319569835</v>
      </c>
      <c r="AH11">
        <v>2.7172825280533681</v>
      </c>
      <c r="AI11">
        <v>2.6445101658968575</v>
      </c>
      <c r="AK11">
        <v>42.781490744971869</v>
      </c>
    </row>
    <row r="12" spans="1:47" x14ac:dyDescent="0.2">
      <c r="A12">
        <v>11</v>
      </c>
      <c r="B12">
        <v>740</v>
      </c>
      <c r="C12">
        <v>300</v>
      </c>
      <c r="D12">
        <v>0.26262695553471999</v>
      </c>
      <c r="E12">
        <v>213.2099624125172</v>
      </c>
      <c r="F12">
        <v>50.086270633958868</v>
      </c>
      <c r="G12">
        <v>69.621890571403952</v>
      </c>
      <c r="H12">
        <v>64.984546279946045</v>
      </c>
      <c r="J12">
        <v>44.51120253311403</v>
      </c>
      <c r="L12">
        <v>2.3756091181514964</v>
      </c>
      <c r="M12">
        <v>12.286924061626696</v>
      </c>
      <c r="N12">
        <v>2.7016257670563633</v>
      </c>
      <c r="O12">
        <v>8.7462878917409572</v>
      </c>
      <c r="P12">
        <v>8.1361695218957646</v>
      </c>
      <c r="Q12">
        <v>0.26720314484116442</v>
      </c>
      <c r="R12">
        <v>7.2346916224948821</v>
      </c>
      <c r="S12">
        <v>28.066864080770252</v>
      </c>
      <c r="U12">
        <v>0.9125005976182563</v>
      </c>
      <c r="V12">
        <v>45.143864528777556</v>
      </c>
      <c r="W12">
        <v>17.402083868514115</v>
      </c>
      <c r="X12">
        <v>47.179447134054563</v>
      </c>
      <c r="Y12">
        <v>4.5629001616070912</v>
      </c>
      <c r="Z12">
        <v>23.999447532166574</v>
      </c>
      <c r="AA12">
        <v>1.2146721925292441</v>
      </c>
      <c r="AB12">
        <v>30.319956222792939</v>
      </c>
      <c r="AD12">
        <v>3.5295627145533457</v>
      </c>
      <c r="AE12">
        <v>9.6611560467749502</v>
      </c>
      <c r="AF12">
        <v>11.955748724541735</v>
      </c>
      <c r="AG12">
        <v>15.513340008464295</v>
      </c>
      <c r="AH12">
        <v>2.4465465091907639</v>
      </c>
      <c r="AI12">
        <v>2.6478456317406365</v>
      </c>
      <c r="AK12">
        <v>42.785820911806276</v>
      </c>
    </row>
    <row r="13" spans="1:47" x14ac:dyDescent="0.2">
      <c r="A13">
        <v>12</v>
      </c>
      <c r="B13">
        <v>738</v>
      </c>
      <c r="C13">
        <v>300</v>
      </c>
      <c r="D13">
        <v>0.26103001532908299</v>
      </c>
      <c r="E13">
        <v>212.96706084458427</v>
      </c>
      <c r="F13">
        <v>49.343319405407073</v>
      </c>
      <c r="G13">
        <v>69.498618401030598</v>
      </c>
      <c r="H13">
        <v>64.856967861892258</v>
      </c>
      <c r="J13">
        <v>44.387857569409128</v>
      </c>
      <c r="L13">
        <v>2.2161799973436063</v>
      </c>
      <c r="M13">
        <v>12.135840350515938</v>
      </c>
      <c r="N13">
        <v>2.7055633912600929</v>
      </c>
      <c r="O13">
        <v>8.0182952251420936</v>
      </c>
      <c r="P13">
        <v>7.9368384751482797</v>
      </c>
      <c r="Q13">
        <v>0.13026884582913409</v>
      </c>
      <c r="R13">
        <v>6.8047534943837045</v>
      </c>
      <c r="S13">
        <v>27.140476932546999</v>
      </c>
      <c r="U13">
        <v>0.73856251537097073</v>
      </c>
      <c r="V13">
        <v>44.896296423695212</v>
      </c>
      <c r="W13">
        <v>16.968179874216155</v>
      </c>
      <c r="X13">
        <v>46.723287493409195</v>
      </c>
      <c r="Y13">
        <v>4.3910572623249848</v>
      </c>
      <c r="Z13">
        <v>23.587077845249009</v>
      </c>
      <c r="AA13">
        <v>1.0500071310752392</v>
      </c>
      <c r="AB13">
        <v>29.999477803440382</v>
      </c>
      <c r="AD13">
        <v>3.2904404361652673</v>
      </c>
      <c r="AE13">
        <v>9.4770423389021428</v>
      </c>
      <c r="AF13">
        <v>11.802437919637292</v>
      </c>
      <c r="AG13">
        <v>15.162893180061021</v>
      </c>
      <c r="AH13">
        <v>2.1767384306621089</v>
      </c>
      <c r="AI13">
        <v>2.6511771777644642</v>
      </c>
      <c r="AK13">
        <v>42.791458679175207</v>
      </c>
    </row>
    <row r="14" spans="1:47" x14ac:dyDescent="0.2">
      <c r="A14">
        <v>13</v>
      </c>
      <c r="B14">
        <v>736</v>
      </c>
      <c r="C14">
        <v>300</v>
      </c>
      <c r="D14">
        <v>0.25942674528068399</v>
      </c>
      <c r="E14">
        <v>212.71252308523356</v>
      </c>
      <c r="F14">
        <v>48.492599379977563</v>
      </c>
      <c r="G14">
        <v>69.362509730373461</v>
      </c>
      <c r="H14">
        <v>64.716606583817835</v>
      </c>
      <c r="J14">
        <v>44.198305773401543</v>
      </c>
      <c r="L14">
        <v>2.0285579981988411</v>
      </c>
      <c r="M14">
        <v>11.969383256119473</v>
      </c>
      <c r="N14">
        <v>2.7095000987828031</v>
      </c>
      <c r="O14">
        <v>7.1910390966933022</v>
      </c>
      <c r="P14">
        <v>7.7118661910420014</v>
      </c>
      <c r="R14">
        <v>6.3158055987331254</v>
      </c>
      <c r="S14">
        <v>26.091385742397442</v>
      </c>
      <c r="U14">
        <v>0.5579936797203815</v>
      </c>
      <c r="V14">
        <v>44.620946028139052</v>
      </c>
      <c r="W14">
        <v>16.536499212823063</v>
      </c>
      <c r="X14">
        <v>46.247176368753365</v>
      </c>
      <c r="Y14">
        <v>4.1921913859736284</v>
      </c>
      <c r="Z14">
        <v>23.077593526847757</v>
      </c>
      <c r="AA14">
        <v>0.85719057960050848</v>
      </c>
      <c r="AB14">
        <v>29.610699353396047</v>
      </c>
      <c r="AD14">
        <v>2.9974108370484478</v>
      </c>
      <c r="AE14">
        <v>9.2469138699973854</v>
      </c>
      <c r="AF14">
        <v>11.633754389370193</v>
      </c>
      <c r="AG14">
        <v>14.744155928604197</v>
      </c>
      <c r="AH14">
        <v>1.8618425419844957</v>
      </c>
      <c r="AI14">
        <v>2.6545043510121547</v>
      </c>
      <c r="AK14">
        <v>42.760249674557912</v>
      </c>
    </row>
    <row r="15" spans="1:47" x14ac:dyDescent="0.2">
      <c r="A15">
        <v>14</v>
      </c>
      <c r="B15">
        <v>734</v>
      </c>
      <c r="C15">
        <v>300</v>
      </c>
      <c r="D15">
        <v>0.25781710768008598</v>
      </c>
      <c r="E15">
        <v>212.92806104963927</v>
      </c>
      <c r="F15">
        <v>45.788437530392201</v>
      </c>
      <c r="G15">
        <v>69.315014342087295</v>
      </c>
      <c r="H15">
        <v>64.664912401249595</v>
      </c>
      <c r="J15">
        <v>32.841521575248308</v>
      </c>
      <c r="L15">
        <v>1.6933042612882563</v>
      </c>
      <c r="M15">
        <v>10.919959719391562</v>
      </c>
      <c r="N15">
        <v>2.713489044433079</v>
      </c>
      <c r="O15">
        <v>5.1928089694855526</v>
      </c>
      <c r="P15">
        <v>7.6642055810027694</v>
      </c>
      <c r="R15">
        <v>5.3579157093792418</v>
      </c>
      <c r="S15">
        <v>26.792545005007817</v>
      </c>
      <c r="U15">
        <v>0.31869014490686814</v>
      </c>
      <c r="V15">
        <v>46.249964721637951</v>
      </c>
      <c r="W15">
        <v>15.44032567058947</v>
      </c>
      <c r="X15">
        <v>45.615293692921654</v>
      </c>
      <c r="Y15">
        <v>3.8451991808094439</v>
      </c>
      <c r="Z15">
        <v>17.157561415748749</v>
      </c>
      <c r="AB15">
        <v>27.800016457247168</v>
      </c>
      <c r="AD15">
        <v>3.2772204470877968E-2</v>
      </c>
      <c r="AE15">
        <v>5.9572178577416519</v>
      </c>
      <c r="AF15">
        <v>10.5821582763012</v>
      </c>
      <c r="AG15">
        <v>12.903577043840549</v>
      </c>
      <c r="AI15">
        <v>2.6578802915698301</v>
      </c>
      <c r="AK15">
        <v>34.738176911335664</v>
      </c>
    </row>
    <row r="16" spans="1:47" x14ac:dyDescent="0.2">
      <c r="A16">
        <v>15</v>
      </c>
      <c r="B16">
        <v>732</v>
      </c>
      <c r="C16">
        <v>300</v>
      </c>
      <c r="D16">
        <v>0.256201064517732</v>
      </c>
      <c r="E16">
        <v>213.2925721727278</v>
      </c>
      <c r="F16">
        <v>47.063314291066838</v>
      </c>
      <c r="G16">
        <v>69.237012068225283</v>
      </c>
      <c r="H16">
        <v>64.582765319798824</v>
      </c>
      <c r="J16">
        <v>26.709860675864011</v>
      </c>
      <c r="L16">
        <v>1.7323216066017266</v>
      </c>
      <c r="M16">
        <v>9.8378486732738235</v>
      </c>
      <c r="N16">
        <v>2.7174675067117957</v>
      </c>
      <c r="O16">
        <v>5.2910478238018772</v>
      </c>
      <c r="P16">
        <v>7.5555537800275889</v>
      </c>
      <c r="R16">
        <v>4.5730805979752605</v>
      </c>
      <c r="S16">
        <v>28.190742461700143</v>
      </c>
      <c r="U16">
        <v>0.24083098626047292</v>
      </c>
      <c r="V16">
        <v>47.835184245695089</v>
      </c>
      <c r="W16">
        <v>14.229266421453572</v>
      </c>
      <c r="X16">
        <v>45.459156335557104</v>
      </c>
      <c r="Y16">
        <v>3.7191325891409819</v>
      </c>
      <c r="Z16">
        <v>18.014090759903503</v>
      </c>
      <c r="AB16">
        <v>29.500493162013441</v>
      </c>
      <c r="AE16">
        <v>6.4401255445480512</v>
      </c>
      <c r="AF16">
        <v>9.4978658388784023</v>
      </c>
      <c r="AG16">
        <v>14.574157901967991</v>
      </c>
      <c r="AI16">
        <v>2.6612422632177646</v>
      </c>
      <c r="AK16">
        <v>30.286534727919154</v>
      </c>
    </row>
    <row r="17" spans="1:37" x14ac:dyDescent="0.2">
      <c r="A17">
        <v>16</v>
      </c>
      <c r="B17">
        <v>730</v>
      </c>
      <c r="C17">
        <v>300</v>
      </c>
      <c r="D17">
        <v>0.25457857748093798</v>
      </c>
      <c r="E17">
        <v>213.59307640709395</v>
      </c>
      <c r="F17">
        <v>47.896075137250008</v>
      </c>
      <c r="G17">
        <v>69.201238335784751</v>
      </c>
      <c r="H17">
        <v>64.542900940711363</v>
      </c>
      <c r="J17">
        <v>23.723797776520605</v>
      </c>
      <c r="L17">
        <v>1.7632424705644589</v>
      </c>
      <c r="M17">
        <v>9.0162016242558671</v>
      </c>
      <c r="N17">
        <v>2.7214370243318333</v>
      </c>
      <c r="O17">
        <v>5.2915921256052432</v>
      </c>
      <c r="P17">
        <v>7.5313833743009626</v>
      </c>
      <c r="R17">
        <v>3.9689009665025115</v>
      </c>
      <c r="S17">
        <v>29.079431430526885</v>
      </c>
      <c r="U17">
        <v>0.18648680396199913</v>
      </c>
      <c r="V17">
        <v>48.964140025254821</v>
      </c>
      <c r="W17">
        <v>13.267374273345409</v>
      </c>
      <c r="X17">
        <v>45.371377576919066</v>
      </c>
      <c r="Y17">
        <v>3.6562428106934575</v>
      </c>
      <c r="Z17">
        <v>18.113063452412185</v>
      </c>
      <c r="AB17">
        <v>30.382665049182801</v>
      </c>
      <c r="AE17">
        <v>6.482232871208474</v>
      </c>
      <c r="AF17">
        <v>8.6740301695217621</v>
      </c>
      <c r="AG17">
        <v>15.426435674193662</v>
      </c>
      <c r="AI17">
        <v>2.6645917899514973</v>
      </c>
      <c r="AK17">
        <v>28.057659762246786</v>
      </c>
    </row>
    <row r="18" spans="1:37" x14ac:dyDescent="0.2">
      <c r="A18">
        <v>17</v>
      </c>
      <c r="B18">
        <v>728</v>
      </c>
      <c r="C18">
        <v>300</v>
      </c>
      <c r="D18">
        <v>0.25294960795086002</v>
      </c>
      <c r="E18">
        <v>213.83610954022981</v>
      </c>
      <c r="F18">
        <v>48.601945838466634</v>
      </c>
      <c r="G18">
        <v>69.164937128227791</v>
      </c>
      <c r="H18">
        <v>64.50256342239318</v>
      </c>
      <c r="J18">
        <v>21.802001828579847</v>
      </c>
      <c r="L18">
        <v>1.7883625416762043</v>
      </c>
      <c r="M18">
        <v>8.3202759993884268</v>
      </c>
      <c r="N18">
        <v>2.7254000989046734</v>
      </c>
      <c r="O18">
        <v>5.2827229820611183</v>
      </c>
      <c r="P18">
        <v>7.5061850269271169</v>
      </c>
      <c r="R18">
        <v>3.4395986895604387</v>
      </c>
      <c r="S18">
        <v>29.785078458355311</v>
      </c>
      <c r="U18">
        <v>0.13772865650744989</v>
      </c>
      <c r="V18">
        <v>49.89027970805958</v>
      </c>
      <c r="W18">
        <v>12.428476901625411</v>
      </c>
      <c r="X18">
        <v>45.300440654649769</v>
      </c>
      <c r="Y18">
        <v>3.606262418670787</v>
      </c>
      <c r="Z18">
        <v>18.192407894428822</v>
      </c>
      <c r="AB18">
        <v>31.099858945382842</v>
      </c>
      <c r="AE18">
        <v>6.5139568059127955</v>
      </c>
      <c r="AF18">
        <v>7.9759112443256361</v>
      </c>
      <c r="AG18">
        <v>16.113739740091724</v>
      </c>
      <c r="AI18">
        <v>2.6679313586680773</v>
      </c>
      <c r="AK18">
        <v>26.589694423983129</v>
      </c>
    </row>
    <row r="19" spans="1:37" x14ac:dyDescent="0.2">
      <c r="A19">
        <v>18</v>
      </c>
      <c r="B19">
        <v>726</v>
      </c>
      <c r="C19">
        <v>300</v>
      </c>
      <c r="D19">
        <v>0.251314116999449</v>
      </c>
      <c r="E19">
        <v>214.0412547353944</v>
      </c>
      <c r="F19">
        <v>49.224280640749143</v>
      </c>
      <c r="G19">
        <v>69.128216947675583</v>
      </c>
      <c r="H19">
        <v>64.461861442608182</v>
      </c>
      <c r="J19">
        <v>20.416792547005116</v>
      </c>
      <c r="L19">
        <v>1.8101092084887169</v>
      </c>
      <c r="M19">
        <v>7.704232894712125</v>
      </c>
      <c r="N19">
        <v>2.7293587411679781</v>
      </c>
      <c r="O19">
        <v>5.2683124347022652</v>
      </c>
      <c r="P19">
        <v>7.4801779485598523</v>
      </c>
      <c r="R19">
        <v>2.960606416943754</v>
      </c>
      <c r="S19">
        <v>30.386473460451246</v>
      </c>
      <c r="U19">
        <v>9.1142658507637031E-2</v>
      </c>
      <c r="V19">
        <v>50.692218561808538</v>
      </c>
      <c r="W19">
        <v>11.668385413553693</v>
      </c>
      <c r="X19">
        <v>45.236527084520461</v>
      </c>
      <c r="Y19">
        <v>3.564333368228322</v>
      </c>
      <c r="Z19">
        <v>18.259310665951034</v>
      </c>
      <c r="AB19">
        <v>31.71891141923339</v>
      </c>
      <c r="AE19">
        <v>6.5391554656783288</v>
      </c>
      <c r="AF19">
        <v>7.3576722177118636</v>
      </c>
      <c r="AG19">
        <v>16.702908730693974</v>
      </c>
      <c r="AI19">
        <v>2.6712629653943458</v>
      </c>
      <c r="AK19">
        <v>25.509858929137032</v>
      </c>
    </row>
    <row r="20" spans="1:37" x14ac:dyDescent="0.2">
      <c r="A20">
        <v>19</v>
      </c>
      <c r="B20">
        <v>724</v>
      </c>
      <c r="C20">
        <v>300</v>
      </c>
      <c r="D20">
        <v>0.249672065386352</v>
      </c>
      <c r="E20">
        <v>214.21913694334347</v>
      </c>
      <c r="F20">
        <v>49.78660020420898</v>
      </c>
      <c r="G20">
        <v>69.091183037039386</v>
      </c>
      <c r="H20">
        <v>64.420900420612668</v>
      </c>
      <c r="J20">
        <v>19.352782677026674</v>
      </c>
      <c r="L20">
        <v>1.8296371629243295</v>
      </c>
      <c r="M20">
        <v>7.1447478571089373</v>
      </c>
      <c r="N20">
        <v>2.733313987681329</v>
      </c>
      <c r="O20">
        <v>5.2506288290870353</v>
      </c>
      <c r="P20">
        <v>7.4535738583647237</v>
      </c>
      <c r="R20">
        <v>2.5184706614135783</v>
      </c>
      <c r="S20">
        <v>30.918543628564205</v>
      </c>
      <c r="U20">
        <v>4.559760219141424E-2</v>
      </c>
      <c r="V20">
        <v>51.407700872741053</v>
      </c>
      <c r="W20">
        <v>10.964328836114914</v>
      </c>
      <c r="X20">
        <v>45.176380449471161</v>
      </c>
      <c r="Y20">
        <v>3.5280529467101598</v>
      </c>
      <c r="Z20">
        <v>18.317467996162545</v>
      </c>
      <c r="AB20">
        <v>32.270850233549801</v>
      </c>
      <c r="AE20">
        <v>6.5597815306870206</v>
      </c>
      <c r="AF20">
        <v>6.7959897209783593</v>
      </c>
      <c r="AG20">
        <v>17.224971497379123</v>
      </c>
      <c r="AI20">
        <v>2.6745876319841839</v>
      </c>
      <c r="AK20">
        <v>24.664870293244984</v>
      </c>
    </row>
    <row r="21" spans="1:37" x14ac:dyDescent="0.2">
      <c r="A21">
        <v>20</v>
      </c>
      <c r="B21">
        <v>760</v>
      </c>
      <c r="C21">
        <v>280</v>
      </c>
      <c r="D21">
        <v>0.29955040410395301</v>
      </c>
      <c r="E21">
        <v>203.98622565860782</v>
      </c>
      <c r="F21">
        <v>57.206344587390234</v>
      </c>
      <c r="G21">
        <v>70.864433479482344</v>
      </c>
      <c r="H21">
        <v>66.272145914858243</v>
      </c>
      <c r="J21">
        <v>45.455995327915936</v>
      </c>
      <c r="L21">
        <v>3.9267609215434129</v>
      </c>
      <c r="M21">
        <v>13.774090210300932</v>
      </c>
      <c r="N21">
        <v>2.6017313921774066</v>
      </c>
      <c r="O21">
        <v>16.219705010719938</v>
      </c>
      <c r="P21">
        <v>9.9774398783568898</v>
      </c>
      <c r="Q21">
        <v>1.4565248043420607</v>
      </c>
      <c r="R21">
        <v>11.597854101872013</v>
      </c>
      <c r="S21">
        <v>36.991515328200308</v>
      </c>
      <c r="U21">
        <v>2.5087001036990877</v>
      </c>
      <c r="V21">
        <v>47.191801567781205</v>
      </c>
      <c r="W21">
        <v>22.137670100792604</v>
      </c>
      <c r="X21">
        <v>50.554484202942518</v>
      </c>
      <c r="Y21">
        <v>6.1454731910715745</v>
      </c>
      <c r="Z21">
        <v>28.132285416232875</v>
      </c>
      <c r="AA21">
        <v>2.8394927173328832</v>
      </c>
      <c r="AB21">
        <v>33.549082722226004</v>
      </c>
      <c r="AC21">
        <v>1.2394819193056563E-2</v>
      </c>
      <c r="AD21">
        <v>5.9023336416595287</v>
      </c>
      <c r="AE21">
        <v>11.656119118301673</v>
      </c>
      <c r="AF21">
        <v>13.466405198187017</v>
      </c>
      <c r="AG21">
        <v>19.068573200809858</v>
      </c>
      <c r="AH21">
        <v>4.773820198963457</v>
      </c>
      <c r="AI21">
        <v>2.551203469865027</v>
      </c>
      <c r="AK21">
        <v>42.499045873158778</v>
      </c>
    </row>
    <row r="22" spans="1:37" x14ac:dyDescent="0.2">
      <c r="A22">
        <v>21</v>
      </c>
      <c r="B22">
        <v>758</v>
      </c>
      <c r="C22">
        <v>280</v>
      </c>
      <c r="D22">
        <v>0.29805605392037998</v>
      </c>
      <c r="E22">
        <v>203.76701085527873</v>
      </c>
      <c r="F22">
        <v>56.540248723525004</v>
      </c>
      <c r="G22">
        <v>70.753071006680528</v>
      </c>
      <c r="H22">
        <v>66.155933877165126</v>
      </c>
      <c r="J22">
        <v>45.362533001582342</v>
      </c>
      <c r="L22">
        <v>3.7779486723293485</v>
      </c>
      <c r="M22">
        <v>13.660347448197951</v>
      </c>
      <c r="N22">
        <v>2.5929173812786965</v>
      </c>
      <c r="O22">
        <v>15.512550243629907</v>
      </c>
      <c r="P22">
        <v>9.7888443195177643</v>
      </c>
      <c r="Q22">
        <v>1.3484490391401049</v>
      </c>
      <c r="R22">
        <v>11.22310097698929</v>
      </c>
      <c r="S22">
        <v>36.240359843018958</v>
      </c>
      <c r="U22">
        <v>2.3674903752275243</v>
      </c>
      <c r="V22">
        <v>47.005804053845686</v>
      </c>
      <c r="W22">
        <v>21.773000687565542</v>
      </c>
      <c r="X22">
        <v>50.205451682168025</v>
      </c>
      <c r="Y22">
        <v>5.9907523213641385</v>
      </c>
      <c r="Z22">
        <v>27.770943826421544</v>
      </c>
      <c r="AA22">
        <v>2.6852641209649883</v>
      </c>
      <c r="AB22">
        <v>33.293437829939727</v>
      </c>
      <c r="AD22">
        <v>5.6985206361351191</v>
      </c>
      <c r="AE22">
        <v>11.491683021310143</v>
      </c>
      <c r="AF22">
        <v>13.337664853621884</v>
      </c>
      <c r="AG22">
        <v>18.77015833342201</v>
      </c>
      <c r="AH22">
        <v>4.5435961301319692</v>
      </c>
      <c r="AI22">
        <v>2.5418189364438795</v>
      </c>
      <c r="AK22">
        <v>42.511436847139315</v>
      </c>
    </row>
    <row r="23" spans="1:37" x14ac:dyDescent="0.2">
      <c r="A23">
        <v>22</v>
      </c>
      <c r="B23">
        <v>756</v>
      </c>
      <c r="C23">
        <v>280</v>
      </c>
      <c r="D23">
        <v>0.29655589564203599</v>
      </c>
      <c r="E23">
        <v>203.51855321796671</v>
      </c>
      <c r="F23">
        <v>55.774478073258329</v>
      </c>
      <c r="G23">
        <v>70.626876177807745</v>
      </c>
      <c r="H23">
        <v>66.024941439410142</v>
      </c>
      <c r="J23">
        <v>45.215997268491776</v>
      </c>
      <c r="L23">
        <v>3.6131281071960255</v>
      </c>
      <c r="M23">
        <v>13.50488430349232</v>
      </c>
      <c r="N23">
        <v>2.5968632952397273</v>
      </c>
      <c r="O23">
        <v>14.76333805215091</v>
      </c>
      <c r="P23">
        <v>9.583374788087859</v>
      </c>
      <c r="Q23">
        <v>1.2087250754800971</v>
      </c>
      <c r="R23">
        <v>10.781767910172761</v>
      </c>
      <c r="S23">
        <v>35.283288834169348</v>
      </c>
      <c r="U23">
        <v>2.190607503850913</v>
      </c>
      <c r="V23">
        <v>46.751693958909939</v>
      </c>
      <c r="W23">
        <v>21.330280118479632</v>
      </c>
      <c r="X23">
        <v>49.735434814558012</v>
      </c>
      <c r="Y23">
        <v>5.8136537737532041</v>
      </c>
      <c r="Z23">
        <v>27.352028840646302</v>
      </c>
      <c r="AA23">
        <v>2.5152045562284404</v>
      </c>
      <c r="AB23">
        <v>32.965836144840893</v>
      </c>
      <c r="AD23">
        <v>5.4571952782738515</v>
      </c>
      <c r="AE23">
        <v>11.305007888149945</v>
      </c>
      <c r="AF23">
        <v>13.179965188667785</v>
      </c>
      <c r="AG23">
        <v>18.412556636255562</v>
      </c>
      <c r="AH23">
        <v>4.2661318130549395</v>
      </c>
      <c r="AI23">
        <v>2.5451910189783487</v>
      </c>
      <c r="AK23">
        <v>42.504875216936867</v>
      </c>
    </row>
    <row r="24" spans="1:37" x14ac:dyDescent="0.2">
      <c r="A24">
        <v>23</v>
      </c>
      <c r="B24">
        <v>754</v>
      </c>
      <c r="C24">
        <v>280</v>
      </c>
      <c r="D24">
        <v>0.29504989534147702</v>
      </c>
      <c r="E24">
        <v>203.2707313622453</v>
      </c>
      <c r="F24">
        <v>55.011528715804367</v>
      </c>
      <c r="G24">
        <v>70.501019794603877</v>
      </c>
      <c r="H24">
        <v>65.894339569556593</v>
      </c>
      <c r="J24">
        <v>45.071896268965936</v>
      </c>
      <c r="L24">
        <v>3.4489229166560325</v>
      </c>
      <c r="M24">
        <v>13.3500167230927</v>
      </c>
      <c r="N24">
        <v>2.6008086991614845</v>
      </c>
      <c r="O24">
        <v>14.016614154499312</v>
      </c>
      <c r="P24">
        <v>9.3786126335881157</v>
      </c>
      <c r="Q24">
        <v>1.0695709471976715</v>
      </c>
      <c r="R24">
        <v>10.341885197476943</v>
      </c>
      <c r="S24">
        <v>34.330000291251146</v>
      </c>
      <c r="U24">
        <v>2.0140246191106734</v>
      </c>
      <c r="V24">
        <v>46.498439004763483</v>
      </c>
      <c r="W24">
        <v>20.888700360345716</v>
      </c>
      <c r="X24">
        <v>49.267182071929952</v>
      </c>
      <c r="Y24">
        <v>5.6371728293188514</v>
      </c>
      <c r="Z24">
        <v>26.934314782241096</v>
      </c>
      <c r="AA24">
        <v>2.3458201791113313</v>
      </c>
      <c r="AB24">
        <v>32.639346932045498</v>
      </c>
      <c r="AD24">
        <v>5.2163675174214337</v>
      </c>
      <c r="AE24">
        <v>11.118840782094873</v>
      </c>
      <c r="AF24">
        <v>13.022861760070917</v>
      </c>
      <c r="AG24">
        <v>18.056076986758601</v>
      </c>
      <c r="AH24">
        <v>3.9895986832223165</v>
      </c>
      <c r="AI24">
        <v>2.5485592678613913</v>
      </c>
      <c r="AK24">
        <v>42.499591993110428</v>
      </c>
    </row>
    <row r="25" spans="1:37" x14ac:dyDescent="0.2">
      <c r="A25">
        <v>24</v>
      </c>
      <c r="B25">
        <v>752</v>
      </c>
      <c r="C25">
        <v>280</v>
      </c>
      <c r="D25">
        <v>0.29353801882651298</v>
      </c>
      <c r="E25">
        <v>203.02354179793682</v>
      </c>
      <c r="F25">
        <v>54.251385923716612</v>
      </c>
      <c r="G25">
        <v>70.375500475250277</v>
      </c>
      <c r="H25">
        <v>65.764127052657855</v>
      </c>
      <c r="J25">
        <v>44.93022583953195</v>
      </c>
      <c r="L25">
        <v>3.2854361058576651</v>
      </c>
      <c r="M25">
        <v>13.195740733738576</v>
      </c>
      <c r="N25">
        <v>2.6047535976346898</v>
      </c>
      <c r="O25">
        <v>13.272367116648812</v>
      </c>
      <c r="P25">
        <v>9.1745552789253431</v>
      </c>
      <c r="Q25">
        <v>0.93094136618440737</v>
      </c>
      <c r="R25">
        <v>9.9034431726391627</v>
      </c>
      <c r="S25">
        <v>33.380470725231888</v>
      </c>
      <c r="U25">
        <v>1.8377386589264362</v>
      </c>
      <c r="V25">
        <v>46.246033169345232</v>
      </c>
      <c r="W25">
        <v>20.448253452638166</v>
      </c>
      <c r="X25">
        <v>48.800681114309398</v>
      </c>
      <c r="Y25">
        <v>5.461305986612393</v>
      </c>
      <c r="Z25">
        <v>26.517793487844418</v>
      </c>
      <c r="AA25">
        <v>2.1771075801995905</v>
      </c>
      <c r="AB25">
        <v>32.313962420380754</v>
      </c>
      <c r="AD25">
        <v>4.9760358072556929</v>
      </c>
      <c r="AE25">
        <v>10.933177841258479</v>
      </c>
      <c r="AF25">
        <v>12.866350644099192</v>
      </c>
      <c r="AG25">
        <v>17.700711665881663</v>
      </c>
      <c r="AH25">
        <v>3.713993225161786</v>
      </c>
      <c r="AI25">
        <v>2.5519236729720922</v>
      </c>
      <c r="AK25">
        <v>42.495586275754668</v>
      </c>
    </row>
    <row r="26" spans="1:37" x14ac:dyDescent="0.2">
      <c r="A26">
        <v>25</v>
      </c>
      <c r="B26">
        <v>750</v>
      </c>
      <c r="C26">
        <v>280</v>
      </c>
      <c r="D26">
        <v>0.292020231637589</v>
      </c>
      <c r="E26">
        <v>202.77698111382443</v>
      </c>
      <c r="F26">
        <v>53.49403531503156</v>
      </c>
      <c r="G26">
        <v>70.250316878274518</v>
      </c>
      <c r="H26">
        <v>65.634302714764573</v>
      </c>
      <c r="J26">
        <v>44.790981977916559</v>
      </c>
      <c r="L26">
        <v>3.1225693519540982</v>
      </c>
      <c r="M26">
        <v>13.042052433246797</v>
      </c>
      <c r="N26">
        <v>2.6086979952774225</v>
      </c>
      <c r="O26">
        <v>12.530585775498068</v>
      </c>
      <c r="P26">
        <v>8.9712002287336201</v>
      </c>
      <c r="Q26">
        <v>0.79277223392089491</v>
      </c>
      <c r="R26">
        <v>9.4664323695434565</v>
      </c>
      <c r="S26">
        <v>32.434677073442494</v>
      </c>
      <c r="U26">
        <v>1.661746637000326</v>
      </c>
      <c r="V26">
        <v>45.994470445028362</v>
      </c>
      <c r="W26">
        <v>20.008931577216021</v>
      </c>
      <c r="X26">
        <v>48.33591982281613</v>
      </c>
      <c r="Y26">
        <v>5.2860498330563797</v>
      </c>
      <c r="Z26">
        <v>26.102456942469871</v>
      </c>
      <c r="AA26">
        <v>2.0090634157710592</v>
      </c>
      <c r="AB26">
        <v>31.989674973993409</v>
      </c>
      <c r="AD26">
        <v>4.7361986513323888</v>
      </c>
      <c r="AE26">
        <v>10.748015268490079</v>
      </c>
      <c r="AF26">
        <v>12.710427988329565</v>
      </c>
      <c r="AG26">
        <v>17.346453090224283</v>
      </c>
      <c r="AH26">
        <v>3.4393120377323365</v>
      </c>
      <c r="AI26">
        <v>2.5552842242137515</v>
      </c>
      <c r="AK26">
        <v>42.492857247100396</v>
      </c>
    </row>
    <row r="27" spans="1:37" x14ac:dyDescent="0.2">
      <c r="A27">
        <v>26</v>
      </c>
      <c r="B27">
        <v>748</v>
      </c>
      <c r="C27">
        <v>280</v>
      </c>
      <c r="D27">
        <v>0.29049649904519698</v>
      </c>
      <c r="E27">
        <v>202.53104597656232</v>
      </c>
      <c r="F27">
        <v>52.739462847894664</v>
      </c>
      <c r="G27">
        <v>70.125467702007256</v>
      </c>
      <c r="H27">
        <v>65.504865422383759</v>
      </c>
      <c r="J27">
        <v>44.654160840847005</v>
      </c>
      <c r="L27">
        <v>2.9604041301418618</v>
      </c>
      <c r="M27">
        <v>12.888947989257099</v>
      </c>
      <c r="N27">
        <v>2.612641896706831</v>
      </c>
      <c r="O27">
        <v>11.791259234585404</v>
      </c>
      <c r="P27">
        <v>8.7685450682755857</v>
      </c>
      <c r="Q27">
        <v>0.65516468789889859</v>
      </c>
      <c r="R27">
        <v>9.0308435194264263</v>
      </c>
      <c r="S27">
        <v>31.492596692221014</v>
      </c>
      <c r="U27">
        <v>1.486045641721083</v>
      </c>
      <c r="V27">
        <v>45.743744831405749</v>
      </c>
      <c r="W27">
        <v>19.570727055659059</v>
      </c>
      <c r="X27">
        <v>47.872886296050851</v>
      </c>
      <c r="Y27">
        <v>5.1114010440102424</v>
      </c>
      <c r="Z27">
        <v>25.688297276519954</v>
      </c>
      <c r="AA27">
        <v>1.8415987085372909</v>
      </c>
      <c r="AB27">
        <v>31.666477089601415</v>
      </c>
      <c r="AD27">
        <v>4.4968546028049978</v>
      </c>
      <c r="AE27">
        <v>10.563349329861824</v>
      </c>
      <c r="AF27">
        <v>12.555090010363269</v>
      </c>
      <c r="AG27">
        <v>16.993293809261512</v>
      </c>
      <c r="AH27">
        <v>3.1655518330701167</v>
      </c>
      <c r="AI27">
        <v>2.5586409114850102</v>
      </c>
      <c r="AK27">
        <v>42.491404170501227</v>
      </c>
    </row>
    <row r="28" spans="1:37" x14ac:dyDescent="0.2">
      <c r="A28">
        <v>27</v>
      </c>
      <c r="B28">
        <v>746</v>
      </c>
      <c r="C28">
        <v>280</v>
      </c>
      <c r="D28">
        <v>0.288966786047197</v>
      </c>
      <c r="E28">
        <v>202.28573312922001</v>
      </c>
      <c r="F28">
        <v>51.987654814159399</v>
      </c>
      <c r="G28">
        <v>70.000951683908113</v>
      </c>
      <c r="H28">
        <v>65.375814081812152</v>
      </c>
      <c r="J28">
        <v>44.519758741248225</v>
      </c>
      <c r="L28">
        <v>2.7989038976557823</v>
      </c>
      <c r="M28">
        <v>12.736423637663059</v>
      </c>
      <c r="N28">
        <v>2.6165853065695166</v>
      </c>
      <c r="O28">
        <v>11.054376859394342</v>
      </c>
      <c r="P28">
        <v>8.5665874621281013</v>
      </c>
      <c r="Q28">
        <v>0.5180099417250994</v>
      </c>
      <c r="R28">
        <v>8.5966675474489058</v>
      </c>
      <c r="S28">
        <v>30.554207347947138</v>
      </c>
      <c r="U28">
        <v>1.3106328348029126</v>
      </c>
      <c r="V28">
        <v>45.493850326981793</v>
      </c>
      <c r="W28">
        <v>19.133632346103266</v>
      </c>
      <c r="X28">
        <v>47.411568845319842</v>
      </c>
      <c r="Y28">
        <v>4.9373563816109396</v>
      </c>
      <c r="Z28">
        <v>25.27530676257139</v>
      </c>
      <c r="AA28">
        <v>1.6748811340137764</v>
      </c>
      <c r="AB28">
        <v>31.34436139337587</v>
      </c>
      <c r="AD28">
        <v>4.2580022638787236</v>
      </c>
      <c r="AE28">
        <v>10.379176353130152</v>
      </c>
      <c r="AF28">
        <v>12.400332996290532</v>
      </c>
      <c r="AG28">
        <v>16.641226502261002</v>
      </c>
      <c r="AH28">
        <v>2.8927094395214343</v>
      </c>
      <c r="AI28">
        <v>2.5619937247119862</v>
      </c>
      <c r="AK28">
        <v>42.491226389047881</v>
      </c>
    </row>
    <row r="29" spans="1:37" x14ac:dyDescent="0.2">
      <c r="A29">
        <v>28</v>
      </c>
      <c r="B29">
        <v>744</v>
      </c>
      <c r="C29">
        <v>280</v>
      </c>
      <c r="D29">
        <v>0.28743105736617303</v>
      </c>
      <c r="E29">
        <v>202.04103939030205</v>
      </c>
      <c r="F29">
        <v>51.238597834503175</v>
      </c>
      <c r="G29">
        <v>69.876767600085827</v>
      </c>
      <c r="H29">
        <v>65.247147638657381</v>
      </c>
      <c r="J29">
        <v>44.387772146318106</v>
      </c>
      <c r="L29">
        <v>2.6380035146370027</v>
      </c>
      <c r="M29">
        <v>12.584475681512892</v>
      </c>
      <c r="N29">
        <v>2.6205282294819279</v>
      </c>
      <c r="O29">
        <v>10.319928273380082</v>
      </c>
      <c r="P29">
        <v>8.3653251531722361</v>
      </c>
      <c r="Q29">
        <v>0.38140768359124289</v>
      </c>
      <c r="R29">
        <v>8.1638955701984361</v>
      </c>
      <c r="S29">
        <v>29.619487210509376</v>
      </c>
      <c r="U29">
        <v>1.1355054503310771</v>
      </c>
      <c r="V29">
        <v>45.244780921269047</v>
      </c>
      <c r="W29">
        <v>18.697640040859763</v>
      </c>
      <c r="X29">
        <v>46.951955991829699</v>
      </c>
      <c r="Y29">
        <v>4.7639126939421148</v>
      </c>
      <c r="Z29">
        <v>24.863477812647329</v>
      </c>
      <c r="AA29">
        <v>1.5088224373125414</v>
      </c>
      <c r="AB29">
        <v>31.023320638479284</v>
      </c>
      <c r="AD29">
        <v>4.0196402855416471</v>
      </c>
      <c r="AE29">
        <v>10.195492726336827</v>
      </c>
      <c r="AF29">
        <v>12.246153299530388</v>
      </c>
      <c r="AG29">
        <v>16.290243975762156</v>
      </c>
      <c r="AH29">
        <v>2.620781787372954</v>
      </c>
      <c r="AI29">
        <v>2.5653426537886643</v>
      </c>
      <c r="AK29">
        <v>42.492323324674928</v>
      </c>
    </row>
    <row r="30" spans="1:37" x14ac:dyDescent="0.2">
      <c r="A30">
        <v>29</v>
      </c>
      <c r="B30">
        <v>742</v>
      </c>
      <c r="C30">
        <v>280</v>
      </c>
      <c r="D30">
        <v>0.28588927744668102</v>
      </c>
      <c r="E30">
        <v>201.79696165233528</v>
      </c>
      <c r="F30">
        <v>50.492278852158591</v>
      </c>
      <c r="G30">
        <v>69.752914264621353</v>
      </c>
      <c r="H30">
        <v>65.118865077165566</v>
      </c>
      <c r="J30">
        <v>44.258197674762577</v>
      </c>
      <c r="L30">
        <v>2.4777612093402275</v>
      </c>
      <c r="M30">
        <v>12.433100489346115</v>
      </c>
      <c r="N30">
        <v>2.6244706701367679</v>
      </c>
      <c r="O30">
        <v>9.5879033534874729</v>
      </c>
      <c r="P30">
        <v>8.164755961348316</v>
      </c>
      <c r="Q30">
        <v>0.2452454920961418</v>
      </c>
      <c r="R30">
        <v>7.7325188922619814</v>
      </c>
      <c r="S30">
        <v>28.68841484297505</v>
      </c>
      <c r="U30">
        <v>0.96066079334387555</v>
      </c>
      <c r="V30">
        <v>44.996530585381599</v>
      </c>
      <c r="W30">
        <v>18.262742863083208</v>
      </c>
      <c r="X30">
        <v>46.494036461880931</v>
      </c>
      <c r="Y30">
        <v>4.5910669139008835</v>
      </c>
      <c r="Z30">
        <v>24.452802974835887</v>
      </c>
      <c r="AA30">
        <v>1.3434195391604153</v>
      </c>
      <c r="AB30">
        <v>30.703347701730056</v>
      </c>
      <c r="AD30">
        <v>3.7817673667794867</v>
      </c>
      <c r="AE30">
        <v>10.012294896192628</v>
      </c>
      <c r="AF30">
        <v>12.092547339279552</v>
      </c>
      <c r="AG30">
        <v>15.940339160350266</v>
      </c>
      <c r="AH30">
        <v>2.3497659199817642</v>
      </c>
      <c r="AI30">
        <v>2.5686876886845851</v>
      </c>
      <c r="AK30">
        <v>42.494694476875665</v>
      </c>
    </row>
    <row r="31" spans="1:37" x14ac:dyDescent="0.2">
      <c r="A31">
        <v>30</v>
      </c>
      <c r="B31">
        <v>740</v>
      </c>
      <c r="C31">
        <v>280</v>
      </c>
      <c r="D31">
        <v>0.28434141045255101</v>
      </c>
      <c r="E31">
        <v>201.5534968811389</v>
      </c>
      <c r="F31">
        <v>49.748685128903603</v>
      </c>
      <c r="G31">
        <v>69.629390529208393</v>
      </c>
      <c r="H31">
        <v>64.990965419867109</v>
      </c>
      <c r="J31">
        <v>44.131032095342057</v>
      </c>
      <c r="L31">
        <v>2.3182130284679587</v>
      </c>
      <c r="M31">
        <v>12.282294494404727</v>
      </c>
      <c r="N31">
        <v>2.6284126331714401</v>
      </c>
      <c r="O31">
        <v>8.8582922266689046</v>
      </c>
      <c r="P31">
        <v>7.9648777828207633</v>
      </c>
      <c r="Q31">
        <v>0.10957744114923752</v>
      </c>
      <c r="R31">
        <v>7.3025290042812374</v>
      </c>
      <c r="S31">
        <v>27.76096920120451</v>
      </c>
      <c r="U31">
        <v>0.78609623913987758</v>
      </c>
      <c r="V31">
        <v>44.749093263594226</v>
      </c>
      <c r="W31">
        <v>17.828933664922086</v>
      </c>
      <c r="X31">
        <v>46.037799183868437</v>
      </c>
      <c r="Y31">
        <v>4.4188160585675869</v>
      </c>
      <c r="Z31">
        <v>24.043274930990378</v>
      </c>
      <c r="AA31">
        <v>1.1786694263535973</v>
      </c>
      <c r="AB31">
        <v>30.384435581664871</v>
      </c>
      <c r="AD31">
        <v>3.5443822544591344</v>
      </c>
      <c r="AE31">
        <v>9.8295793668463727</v>
      </c>
      <c r="AF31">
        <v>11.939511599584593</v>
      </c>
      <c r="AG31">
        <v>15.591505108585231</v>
      </c>
      <c r="AH31">
        <v>2.0796589829944478</v>
      </c>
      <c r="AI31">
        <v>2.5720288193124765</v>
      </c>
      <c r="AK31">
        <v>42.498339421997045</v>
      </c>
    </row>
    <row r="32" spans="1:37" x14ac:dyDescent="0.2">
      <c r="A32">
        <v>31</v>
      </c>
      <c r="B32">
        <v>738</v>
      </c>
      <c r="C32">
        <v>280</v>
      </c>
      <c r="D32">
        <v>0.28278742026405701</v>
      </c>
      <c r="E32">
        <v>201.31064211440091</v>
      </c>
      <c r="F32">
        <v>49.007804238909749</v>
      </c>
      <c r="G32">
        <v>69.50619528248842</v>
      </c>
      <c r="H32">
        <v>64.863447726912625</v>
      </c>
      <c r="J32">
        <v>44.006272324148334</v>
      </c>
      <c r="L32">
        <v>2.1592623489218385</v>
      </c>
      <c r="M32">
        <v>12.132054192996153</v>
      </c>
      <c r="N32">
        <v>2.6323541232704968</v>
      </c>
      <c r="O32">
        <v>8.1310852655492081</v>
      </c>
      <c r="P32">
        <v>7.7656885887494491</v>
      </c>
      <c r="Q32">
        <v>9.9128775453920528E-2</v>
      </c>
      <c r="R32">
        <v>6.8739175795789755</v>
      </c>
      <c r="S32">
        <v>26.83712961782512</v>
      </c>
      <c r="U32">
        <v>0.6118092318870566</v>
      </c>
      <c r="V32">
        <v>44.502462862848233</v>
      </c>
      <c r="W32">
        <v>17.396205424276886</v>
      </c>
      <c r="X32">
        <v>45.583233284620967</v>
      </c>
      <c r="Y32">
        <v>4.2471572280932071</v>
      </c>
      <c r="Z32">
        <v>23.634886493483485</v>
      </c>
      <c r="AA32">
        <v>1.0145691558371182</v>
      </c>
      <c r="AB32">
        <v>30.066577395303259</v>
      </c>
      <c r="AD32">
        <v>3.307483742488921</v>
      </c>
      <c r="AE32">
        <v>9.6473426983482327</v>
      </c>
      <c r="AF32">
        <v>11.787042627815264</v>
      </c>
      <c r="AG32">
        <v>15.243734991880254</v>
      </c>
      <c r="AH32">
        <v>1.8104582299390763</v>
      </c>
      <c r="AI32">
        <v>2.5753660356327979</v>
      </c>
      <c r="AK32">
        <v>42.503257811966549</v>
      </c>
    </row>
    <row r="33" spans="1:37" x14ac:dyDescent="0.2">
      <c r="A33">
        <v>32</v>
      </c>
      <c r="B33">
        <v>736</v>
      </c>
      <c r="C33">
        <v>280</v>
      </c>
      <c r="D33">
        <v>0.281227270475152</v>
      </c>
      <c r="E33">
        <v>201.88738820584015</v>
      </c>
      <c r="F33">
        <v>47.090429476218887</v>
      </c>
      <c r="G33">
        <v>69.463046710433503</v>
      </c>
      <c r="H33">
        <v>64.816030356464509</v>
      </c>
      <c r="J33">
        <v>28.905149795176289</v>
      </c>
      <c r="L33">
        <v>1.6935106159980278</v>
      </c>
      <c r="M33">
        <v>10.66888850476921</v>
      </c>
      <c r="N33">
        <v>2.6363629523734549</v>
      </c>
      <c r="O33">
        <v>5.420970118754683</v>
      </c>
      <c r="P33">
        <v>7.7266927532768728</v>
      </c>
      <c r="R33">
        <v>5.5493518386714129</v>
      </c>
      <c r="S33">
        <v>28.251901262964736</v>
      </c>
      <c r="U33">
        <v>0.52099424522540672</v>
      </c>
      <c r="V33">
        <v>47.093965046811221</v>
      </c>
      <c r="W33">
        <v>15.84249112122402</v>
      </c>
      <c r="X33">
        <v>45.403083251904448</v>
      </c>
      <c r="Y33">
        <v>3.7450373369231134</v>
      </c>
      <c r="Z33">
        <v>17.844801517495711</v>
      </c>
      <c r="AB33">
        <v>28.983340595433106</v>
      </c>
      <c r="AE33">
        <v>6.4091060302206477</v>
      </c>
      <c r="AF33">
        <v>10.321717202145003</v>
      </c>
      <c r="AG33">
        <v>14.130664124989295</v>
      </c>
      <c r="AI33">
        <v>2.578767134861903</v>
      </c>
      <c r="AK33">
        <v>31.760233121034915</v>
      </c>
    </row>
    <row r="34" spans="1:37" x14ac:dyDescent="0.2">
      <c r="A34">
        <v>33</v>
      </c>
      <c r="B34">
        <v>734</v>
      </c>
      <c r="C34">
        <v>280</v>
      </c>
      <c r="D34">
        <v>0.27966092439060802</v>
      </c>
      <c r="E34">
        <v>202.2400935359494</v>
      </c>
      <c r="F34">
        <v>48.03887867330446</v>
      </c>
      <c r="G34">
        <v>69.427752874747341</v>
      </c>
      <c r="H34">
        <v>64.77652154309763</v>
      </c>
      <c r="J34">
        <v>24.852284378898219</v>
      </c>
      <c r="L34">
        <v>1.7283933888012579</v>
      </c>
      <c r="M34">
        <v>9.7434793275331799</v>
      </c>
      <c r="N34">
        <v>2.6403398836913872</v>
      </c>
      <c r="O34">
        <v>5.4181646630674223</v>
      </c>
      <c r="P34">
        <v>7.7034073543526356</v>
      </c>
      <c r="R34">
        <v>4.8749209980948285</v>
      </c>
      <c r="S34">
        <v>29.240222957470653</v>
      </c>
      <c r="U34">
        <v>0.4663397498539284</v>
      </c>
      <c r="V34">
        <v>48.374754155325697</v>
      </c>
      <c r="W34">
        <v>14.775275640151937</v>
      </c>
      <c r="X34">
        <v>45.315246847934382</v>
      </c>
      <c r="Y34">
        <v>3.6683838859900546</v>
      </c>
      <c r="Z34">
        <v>17.962585977839584</v>
      </c>
      <c r="AB34">
        <v>29.97754423807849</v>
      </c>
      <c r="AE34">
        <v>6.4612444553045956</v>
      </c>
      <c r="AF34">
        <v>9.3941180303928835</v>
      </c>
      <c r="AG34">
        <v>15.095012377499945</v>
      </c>
      <c r="AI34">
        <v>2.5821328654885178</v>
      </c>
      <c r="AK34">
        <v>28.786897578963316</v>
      </c>
    </row>
    <row r="35" spans="1:37" x14ac:dyDescent="0.2">
      <c r="A35">
        <v>34</v>
      </c>
      <c r="B35">
        <v>732</v>
      </c>
      <c r="C35">
        <v>280</v>
      </c>
      <c r="D35">
        <v>0.27808834502313201</v>
      </c>
      <c r="E35">
        <v>202.5132403584762</v>
      </c>
      <c r="F35">
        <v>48.811183567386479</v>
      </c>
      <c r="G35">
        <v>69.391660342199586</v>
      </c>
      <c r="H35">
        <v>64.736268027139218</v>
      </c>
      <c r="J35">
        <v>22.495585962454761</v>
      </c>
      <c r="L35">
        <v>1.7553146878797306</v>
      </c>
      <c r="M35">
        <v>8.9890780240837618</v>
      </c>
      <c r="N35">
        <v>2.6443088966883743</v>
      </c>
      <c r="O35">
        <v>5.4023332569288733</v>
      </c>
      <c r="P35">
        <v>7.6785496973878571</v>
      </c>
      <c r="R35">
        <v>4.3033434216880693</v>
      </c>
      <c r="S35">
        <v>29.99075849950788</v>
      </c>
      <c r="U35">
        <v>0.41808188225861442</v>
      </c>
      <c r="V35">
        <v>49.383894691250077</v>
      </c>
      <c r="W35">
        <v>13.875865019248517</v>
      </c>
      <c r="X35">
        <v>45.246597068454506</v>
      </c>
      <c r="Y35">
        <v>3.6099964535455364</v>
      </c>
      <c r="Z35">
        <v>18.052636392525677</v>
      </c>
      <c r="AB35">
        <v>30.75309731120252</v>
      </c>
      <c r="AE35">
        <v>6.4987372751024246</v>
      </c>
      <c r="AF35">
        <v>8.6375205018234755</v>
      </c>
      <c r="AG35">
        <v>15.84071276751544</v>
      </c>
      <c r="AI35">
        <v>2.5854871922558895</v>
      </c>
      <c r="AK35">
        <v>27.012207111703475</v>
      </c>
    </row>
    <row r="36" spans="1:37" x14ac:dyDescent="0.2">
      <c r="A36">
        <v>35</v>
      </c>
      <c r="B36">
        <v>730</v>
      </c>
      <c r="C36">
        <v>280</v>
      </c>
      <c r="D36">
        <v>0.27650949509046802</v>
      </c>
      <c r="E36">
        <v>202.73852815096328</v>
      </c>
      <c r="F36">
        <v>49.477690557178235</v>
      </c>
      <c r="G36">
        <v>69.354992241953838</v>
      </c>
      <c r="H36">
        <v>64.695493112002836</v>
      </c>
      <c r="J36">
        <v>20.875638642734387</v>
      </c>
      <c r="L36">
        <v>1.7779840496386714</v>
      </c>
      <c r="M36">
        <v>8.333825371655875</v>
      </c>
      <c r="N36">
        <v>2.6482729008056611</v>
      </c>
      <c r="O36">
        <v>5.3793496021192935</v>
      </c>
      <c r="P36">
        <v>7.6525691436498029</v>
      </c>
      <c r="R36">
        <v>3.7948031252543357</v>
      </c>
      <c r="S36">
        <v>30.618479279820473</v>
      </c>
      <c r="U36">
        <v>0.37180915417186211</v>
      </c>
      <c r="V36">
        <v>50.241446843650792</v>
      </c>
      <c r="W36">
        <v>13.074583181805686</v>
      </c>
      <c r="X36">
        <v>45.184448597901714</v>
      </c>
      <c r="Y36">
        <v>3.5619758023372068</v>
      </c>
      <c r="Z36">
        <v>18.126685671422429</v>
      </c>
      <c r="AB36">
        <v>31.410282185003943</v>
      </c>
      <c r="AE36">
        <v>6.5278564560212127</v>
      </c>
      <c r="AF36">
        <v>7.9800683503309964</v>
      </c>
      <c r="AG36">
        <v>16.468050625681748</v>
      </c>
      <c r="AI36">
        <v>2.5888330098881545</v>
      </c>
      <c r="AK36">
        <v>25.765213900835505</v>
      </c>
    </row>
    <row r="37" spans="1:37" x14ac:dyDescent="0.2">
      <c r="A37">
        <v>36</v>
      </c>
      <c r="B37">
        <v>728</v>
      </c>
      <c r="C37">
        <v>280</v>
      </c>
      <c r="D37">
        <v>0.27492433701243602</v>
      </c>
      <c r="E37">
        <v>202.93108790763972</v>
      </c>
      <c r="F37">
        <v>50.071973374740345</v>
      </c>
      <c r="G37">
        <v>69.317918366552206</v>
      </c>
      <c r="H37">
        <v>64.654366765172099</v>
      </c>
      <c r="J37">
        <v>19.664549069513601</v>
      </c>
      <c r="L37">
        <v>1.7980782903259351</v>
      </c>
      <c r="M37">
        <v>7.7454489732980747</v>
      </c>
      <c r="N37">
        <v>2.6522332184859141</v>
      </c>
      <c r="O37">
        <v>5.3522520424914388</v>
      </c>
      <c r="P37">
        <v>7.6258067952533528</v>
      </c>
      <c r="R37">
        <v>3.3301413220324378</v>
      </c>
      <c r="S37">
        <v>31.167993521256388</v>
      </c>
      <c r="U37">
        <v>0.32635891267384026</v>
      </c>
      <c r="V37">
        <v>50.998263151298083</v>
      </c>
      <c r="W37">
        <v>12.33974096198736</v>
      </c>
      <c r="X37">
        <v>45.125454312222587</v>
      </c>
      <c r="Y37">
        <v>3.5208743511762712</v>
      </c>
      <c r="Z37">
        <v>18.19005285422816</v>
      </c>
      <c r="AB37">
        <v>31.990079882916376</v>
      </c>
      <c r="AE37">
        <v>6.5514014464065129</v>
      </c>
      <c r="AF37">
        <v>7.3894905488382268</v>
      </c>
      <c r="AG37">
        <v>17.018008349212689</v>
      </c>
      <c r="AI37">
        <v>2.5921716261131977</v>
      </c>
      <c r="AK37">
        <v>24.814595299930566</v>
      </c>
    </row>
    <row r="38" spans="1:37" x14ac:dyDescent="0.2">
      <c r="A38">
        <v>37</v>
      </c>
      <c r="B38">
        <v>726</v>
      </c>
      <c r="C38">
        <v>280</v>
      </c>
      <c r="D38">
        <v>0.273332832907971</v>
      </c>
      <c r="E38">
        <v>203.09947440040091</v>
      </c>
      <c r="F38">
        <v>50.613002107084384</v>
      </c>
      <c r="G38">
        <v>69.280548976676187</v>
      </c>
      <c r="H38">
        <v>64.612999422973147</v>
      </c>
      <c r="J38">
        <v>18.712197784945808</v>
      </c>
      <c r="L38">
        <v>1.8163676663821133</v>
      </c>
      <c r="M38">
        <v>7.2061666881118409</v>
      </c>
      <c r="N38">
        <v>2.6561905965775439</v>
      </c>
      <c r="O38">
        <v>5.3228067960810677</v>
      </c>
      <c r="P38">
        <v>7.5984841161053183</v>
      </c>
      <c r="R38">
        <v>2.8984547028366228</v>
      </c>
      <c r="S38">
        <v>31.662157578776362</v>
      </c>
      <c r="U38">
        <v>0.28129020047613384</v>
      </c>
      <c r="V38">
        <v>51.681607022973651</v>
      </c>
      <c r="W38">
        <v>11.653781360790843</v>
      </c>
      <c r="X38">
        <v>45.068342299744437</v>
      </c>
      <c r="Y38">
        <v>3.4848203189919382</v>
      </c>
      <c r="Z38">
        <v>18.24566180175399</v>
      </c>
      <c r="AB38">
        <v>32.514070300963787</v>
      </c>
      <c r="AE38">
        <v>6.5709002390819542</v>
      </c>
      <c r="AF38">
        <v>6.8480057509390742</v>
      </c>
      <c r="AG38">
        <v>17.512166632651223</v>
      </c>
      <c r="AI38">
        <v>2.5955037730689581</v>
      </c>
      <c r="AK38">
        <v>24.053588005181659</v>
      </c>
    </row>
    <row r="39" spans="1:37" x14ac:dyDescent="0.2">
      <c r="A39">
        <v>38</v>
      </c>
      <c r="B39">
        <v>760</v>
      </c>
      <c r="C39">
        <v>260</v>
      </c>
      <c r="D39">
        <v>0.320844504670183</v>
      </c>
      <c r="E39">
        <v>192.32609448088161</v>
      </c>
      <c r="F39">
        <v>56.836889276085572</v>
      </c>
      <c r="G39">
        <v>70.870298457116832</v>
      </c>
      <c r="H39">
        <v>66.277099205145632</v>
      </c>
      <c r="J39">
        <v>45.096921115161472</v>
      </c>
      <c r="L39">
        <v>3.8610231838824585</v>
      </c>
      <c r="M39">
        <v>13.758676773655061</v>
      </c>
      <c r="N39">
        <v>2.5283514417041086</v>
      </c>
      <c r="O39">
        <v>16.336024081009189</v>
      </c>
      <c r="P39">
        <v>9.8028681200344501</v>
      </c>
      <c r="Q39">
        <v>1.342355055290136</v>
      </c>
      <c r="R39">
        <v>11.645344865142363</v>
      </c>
      <c r="S39">
        <v>36.66406123549983</v>
      </c>
      <c r="U39">
        <v>2.400441605487218</v>
      </c>
      <c r="V39">
        <v>46.780716248486392</v>
      </c>
      <c r="W39">
        <v>22.570412603206062</v>
      </c>
      <c r="X39">
        <v>49.384353929402643</v>
      </c>
      <c r="Y39">
        <v>5.996660849139186</v>
      </c>
      <c r="Z39">
        <v>28.127447080421561</v>
      </c>
      <c r="AA39">
        <v>2.7944771506119288</v>
      </c>
      <c r="AB39">
        <v>33.581699771872337</v>
      </c>
      <c r="AC39">
        <v>1.2277009246427816E-2</v>
      </c>
      <c r="AD39">
        <v>5.8899688662657868</v>
      </c>
      <c r="AE39">
        <v>11.803516578805873</v>
      </c>
      <c r="AF39">
        <v>13.439278700775152</v>
      </c>
      <c r="AG39">
        <v>19.114168449441756</v>
      </c>
      <c r="AH39">
        <v>4.395889810995607</v>
      </c>
      <c r="AI39">
        <v>2.4752398071479047</v>
      </c>
      <c r="AK39">
        <v>42.216305454513218</v>
      </c>
    </row>
    <row r="40" spans="1:37" x14ac:dyDescent="0.2">
      <c r="A40">
        <v>39</v>
      </c>
      <c r="B40">
        <v>758</v>
      </c>
      <c r="C40">
        <v>260</v>
      </c>
      <c r="D40">
        <v>0.31939145614120401</v>
      </c>
      <c r="E40">
        <v>192.10734693912897</v>
      </c>
      <c r="F40">
        <v>56.172956197794448</v>
      </c>
      <c r="G40">
        <v>70.759036525248106</v>
      </c>
      <c r="H40">
        <v>66.160971434059576</v>
      </c>
      <c r="J40">
        <v>45.003032996237863</v>
      </c>
      <c r="L40">
        <v>3.7127196554258406</v>
      </c>
      <c r="M40">
        <v>13.645590800786918</v>
      </c>
      <c r="N40">
        <v>2.5196706972161893</v>
      </c>
      <c r="O40">
        <v>15.629377048636572</v>
      </c>
      <c r="P40">
        <v>9.6145912127548545</v>
      </c>
      <c r="Q40">
        <v>1.1631757521908499</v>
      </c>
      <c r="R40">
        <v>11.271927744755821</v>
      </c>
      <c r="S40">
        <v>35.914753358377943</v>
      </c>
      <c r="U40">
        <v>2.2591449341306964</v>
      </c>
      <c r="V40">
        <v>46.595807884775631</v>
      </c>
      <c r="W40">
        <v>22.206140389467244</v>
      </c>
      <c r="X40">
        <v>49.037639503520893</v>
      </c>
      <c r="Y40">
        <v>5.8421380944995622</v>
      </c>
      <c r="Z40">
        <v>27.768100604648819</v>
      </c>
      <c r="AA40">
        <v>2.6408129413098504</v>
      </c>
      <c r="AB40">
        <v>33.327311218311394</v>
      </c>
      <c r="AD40">
        <v>5.6874627675825531</v>
      </c>
      <c r="AE40">
        <v>11.639879668287593</v>
      </c>
      <c r="AF40">
        <v>13.311322776295158</v>
      </c>
      <c r="AG40">
        <v>18.817195800002519</v>
      </c>
      <c r="AH40">
        <v>4.1660172124259027</v>
      </c>
      <c r="AI40">
        <v>2.4659903445388309</v>
      </c>
      <c r="AK40">
        <v>42.228787314058451</v>
      </c>
    </row>
    <row r="41" spans="1:37" x14ac:dyDescent="0.2">
      <c r="A41">
        <v>40</v>
      </c>
      <c r="B41">
        <v>756</v>
      </c>
      <c r="C41">
        <v>260</v>
      </c>
      <c r="D41">
        <v>0.317932760044698</v>
      </c>
      <c r="E41">
        <v>191.85942680354594</v>
      </c>
      <c r="F41">
        <v>55.410543732677965</v>
      </c>
      <c r="G41">
        <v>70.633088183974778</v>
      </c>
      <c r="H41">
        <v>66.030209217155274</v>
      </c>
      <c r="J41">
        <v>44.856081203839771</v>
      </c>
      <c r="L41">
        <v>3.5486169086460069</v>
      </c>
      <c r="M41">
        <v>13.49124757986289</v>
      </c>
      <c r="N41">
        <v>2.5236204429782245</v>
      </c>
      <c r="O41">
        <v>14.881644550249886</v>
      </c>
      <c r="P41">
        <v>9.4096027817165453</v>
      </c>
      <c r="Q41">
        <v>1.0253250765181665</v>
      </c>
      <c r="R41">
        <v>10.83267938655154</v>
      </c>
      <c r="S41">
        <v>34.96188585517752</v>
      </c>
      <c r="U41">
        <v>2.0823328082415506</v>
      </c>
      <c r="V41">
        <v>46.343264480290088</v>
      </c>
      <c r="W41">
        <v>21.764840454530439</v>
      </c>
      <c r="X41">
        <v>48.570584865427129</v>
      </c>
      <c r="Y41">
        <v>5.6655462154884511</v>
      </c>
      <c r="Z41">
        <v>27.352975205952337</v>
      </c>
      <c r="AA41">
        <v>2.4715899969286403</v>
      </c>
      <c r="AB41">
        <v>33.002396114820463</v>
      </c>
      <c r="AD41">
        <v>5.4484046289147452</v>
      </c>
      <c r="AE41">
        <v>11.454879642721275</v>
      </c>
      <c r="AF41">
        <v>13.154741250672521</v>
      </c>
      <c r="AG41">
        <v>18.462337129056543</v>
      </c>
      <c r="AH41">
        <v>3.8895514514664895</v>
      </c>
      <c r="AI41">
        <v>2.4693680632754713</v>
      </c>
      <c r="AK41">
        <v>42.222137567138468</v>
      </c>
    </row>
    <row r="42" spans="1:37" x14ac:dyDescent="0.2">
      <c r="A42">
        <v>41</v>
      </c>
      <c r="B42">
        <v>754</v>
      </c>
      <c r="C42">
        <v>260</v>
      </c>
      <c r="D42">
        <v>0.31646838339093702</v>
      </c>
      <c r="E42">
        <v>191.61212045450674</v>
      </c>
      <c r="F42">
        <v>54.650883010176386</v>
      </c>
      <c r="G42">
        <v>70.507469402605025</v>
      </c>
      <c r="H42">
        <v>65.899828689964778</v>
      </c>
      <c r="J42">
        <v>44.711515312024567</v>
      </c>
      <c r="L42">
        <v>3.3852169048829674</v>
      </c>
      <c r="M42">
        <v>13.337485302029702</v>
      </c>
      <c r="N42">
        <v>2.5275696833210448</v>
      </c>
      <c r="O42">
        <v>14.136348640550548</v>
      </c>
      <c r="P42">
        <v>9.2053039508327608</v>
      </c>
      <c r="Q42">
        <v>0.9557651635138168</v>
      </c>
      <c r="R42">
        <v>10.394840491415653</v>
      </c>
      <c r="S42">
        <v>34.012703016605805</v>
      </c>
      <c r="U42">
        <v>1.9057963787128416</v>
      </c>
      <c r="V42">
        <v>46.091548525172122</v>
      </c>
      <c r="W42">
        <v>21.324660155379974</v>
      </c>
      <c r="X42">
        <v>48.105233993930419</v>
      </c>
      <c r="Y42">
        <v>5.4895531714492405</v>
      </c>
      <c r="Z42">
        <v>26.93904464539818</v>
      </c>
      <c r="AA42">
        <v>2.3030261991594378</v>
      </c>
      <c r="AB42">
        <v>32.678579834896219</v>
      </c>
      <c r="AD42">
        <v>5.2098321190068457</v>
      </c>
      <c r="AE42">
        <v>11.270388704839172</v>
      </c>
      <c r="AF42">
        <v>12.998741364121576</v>
      </c>
      <c r="AG42">
        <v>18.108586861663824</v>
      </c>
      <c r="AH42">
        <v>3.6139934759099273</v>
      </c>
      <c r="AI42">
        <v>2.4727419529808605</v>
      </c>
      <c r="AK42">
        <v>42.216737881936304</v>
      </c>
    </row>
    <row r="43" spans="1:37" x14ac:dyDescent="0.2">
      <c r="A43">
        <v>42</v>
      </c>
      <c r="B43">
        <v>752</v>
      </c>
      <c r="C43">
        <v>260</v>
      </c>
      <c r="D43">
        <v>0.31499829293274201</v>
      </c>
      <c r="E43">
        <v>191.3654244417566</v>
      </c>
      <c r="F43">
        <v>53.893959972507233</v>
      </c>
      <c r="G43">
        <v>70.382178843382235</v>
      </c>
      <c r="H43">
        <v>65.76982868160303</v>
      </c>
      <c r="J43">
        <v>44.569331108223935</v>
      </c>
      <c r="L43">
        <v>3.2224707538575132</v>
      </c>
      <c r="M43">
        <v>13.184300177224035</v>
      </c>
      <c r="N43">
        <v>2.5315184229085972</v>
      </c>
      <c r="O43">
        <v>13.393478471339829</v>
      </c>
      <c r="P43">
        <v>9.0016922312233163</v>
      </c>
      <c r="Q43">
        <v>0.81774899806000234</v>
      </c>
      <c r="R43">
        <v>9.9584017612918174</v>
      </c>
      <c r="S43">
        <v>33.067182232662738</v>
      </c>
      <c r="U43">
        <v>1.7295327095333015</v>
      </c>
      <c r="V43">
        <v>45.840654151724806</v>
      </c>
      <c r="W43">
        <v>20.885592066597781</v>
      </c>
      <c r="X43">
        <v>47.641574823138441</v>
      </c>
      <c r="Y43">
        <v>5.3141555661639792</v>
      </c>
      <c r="Z43">
        <v>26.52630163444055</v>
      </c>
      <c r="AA43">
        <v>2.1351182998843869</v>
      </c>
      <c r="AB43">
        <v>32.355855240532279</v>
      </c>
      <c r="AD43">
        <v>4.9717442583978313</v>
      </c>
      <c r="AE43">
        <v>11.086403450242253</v>
      </c>
      <c r="AF43">
        <v>12.843319376181714</v>
      </c>
      <c r="AG43">
        <v>17.755937912014645</v>
      </c>
      <c r="AH43">
        <v>3.3393399835834554</v>
      </c>
      <c r="AI43">
        <v>2.4761120036070752</v>
      </c>
      <c r="AK43">
        <v>42.212587256185884</v>
      </c>
    </row>
    <row r="44" spans="1:37" x14ac:dyDescent="0.2">
      <c r="A44">
        <v>43</v>
      </c>
      <c r="B44">
        <v>750</v>
      </c>
      <c r="C44">
        <v>260</v>
      </c>
      <c r="D44">
        <v>0.313522455162978</v>
      </c>
      <c r="E44">
        <v>191.11933538575602</v>
      </c>
      <c r="F44">
        <v>53.139760882657392</v>
      </c>
      <c r="G44">
        <v>70.257215205413374</v>
      </c>
      <c r="H44">
        <v>65.640208058699585</v>
      </c>
      <c r="J44">
        <v>44.429524521278303</v>
      </c>
      <c r="L44">
        <v>3.0603193871722469</v>
      </c>
      <c r="M44">
        <v>13.031688481862941</v>
      </c>
      <c r="N44">
        <v>2.53546666640087</v>
      </c>
      <c r="O44">
        <v>12.653023446824438</v>
      </c>
      <c r="P44">
        <v>8.7987652087475929</v>
      </c>
      <c r="Q44">
        <v>0.68000294757881674</v>
      </c>
      <c r="R44">
        <v>9.5233540841515989</v>
      </c>
      <c r="S44">
        <v>32.125301286000081</v>
      </c>
      <c r="U44">
        <v>1.553538933525989</v>
      </c>
      <c r="V44">
        <v>45.590575499726278</v>
      </c>
      <c r="W44">
        <v>20.447628899270441</v>
      </c>
      <c r="X44">
        <v>47.179595487360231</v>
      </c>
      <c r="Y44">
        <v>5.139350085623712</v>
      </c>
      <c r="Z44">
        <v>26.114739034672425</v>
      </c>
      <c r="AA44">
        <v>1.9678631139793725</v>
      </c>
      <c r="AB44">
        <v>32.034215326595429</v>
      </c>
      <c r="AD44">
        <v>4.7341401127781904</v>
      </c>
      <c r="AE44">
        <v>10.902920541552021</v>
      </c>
      <c r="AF44">
        <v>12.688471613070362</v>
      </c>
      <c r="AG44">
        <v>17.404383327468864</v>
      </c>
      <c r="AH44">
        <v>3.0655877783156855</v>
      </c>
      <c r="AI44">
        <v>2.4794782050995572</v>
      </c>
      <c r="AK44">
        <v>42.20968475812132</v>
      </c>
    </row>
    <row r="45" spans="1:37" x14ac:dyDescent="0.2">
      <c r="A45">
        <v>44</v>
      </c>
      <c r="B45">
        <v>748</v>
      </c>
      <c r="C45">
        <v>260</v>
      </c>
      <c r="D45">
        <v>0.31204083631200402</v>
      </c>
      <c r="E45">
        <v>190.87384997630249</v>
      </c>
      <c r="F45">
        <v>52.388272318506054</v>
      </c>
      <c r="G45">
        <v>70.132577224033284</v>
      </c>
      <c r="H45">
        <v>65.510965724766592</v>
      </c>
      <c r="J45">
        <v>44.292091618643809</v>
      </c>
      <c r="L45">
        <v>2.898861169700456</v>
      </c>
      <c r="M45">
        <v>12.879646557415652</v>
      </c>
      <c r="N45">
        <v>2.5394144184863743</v>
      </c>
      <c r="O45">
        <v>11.914973219203524</v>
      </c>
      <c r="P45">
        <v>8.5965205427684435</v>
      </c>
      <c r="Q45">
        <v>0.54250654370527018</v>
      </c>
      <c r="R45">
        <v>9.0896885308443061</v>
      </c>
      <c r="S45">
        <v>31.187038343556868</v>
      </c>
      <c r="U45">
        <v>1.3778122510643309</v>
      </c>
      <c r="V45">
        <v>45.341306708855541</v>
      </c>
      <c r="W45">
        <v>20.010763498185206</v>
      </c>
      <c r="X45">
        <v>46.71928431660367</v>
      </c>
      <c r="Y45">
        <v>4.9651334969337393</v>
      </c>
      <c r="Z45">
        <v>25.70434985515702</v>
      </c>
      <c r="AA45">
        <v>1.8012575182454384</v>
      </c>
      <c r="AB45">
        <v>31.713653218091778</v>
      </c>
      <c r="AD45">
        <v>4.497018793085247</v>
      </c>
      <c r="AE45">
        <v>10.719936707132506</v>
      </c>
      <c r="AF45">
        <v>12.534194466290659</v>
      </c>
      <c r="AG45">
        <v>17.053916285862318</v>
      </c>
      <c r="AH45">
        <v>2.7927337698635073</v>
      </c>
      <c r="AI45">
        <v>2.4828405474280788</v>
      </c>
      <c r="AK45">
        <v>42.208029525107889</v>
      </c>
    </row>
    <row r="46" spans="1:37" x14ac:dyDescent="0.2">
      <c r="A46">
        <v>45</v>
      </c>
      <c r="B46">
        <v>746</v>
      </c>
      <c r="C46">
        <v>260</v>
      </c>
      <c r="D46">
        <v>0.31055340234509199</v>
      </c>
      <c r="E46">
        <v>190.62896497144763</v>
      </c>
      <c r="F46">
        <v>51.639481167908201</v>
      </c>
      <c r="G46">
        <v>70.008263670290347</v>
      </c>
      <c r="H46">
        <v>65.382100619689098</v>
      </c>
      <c r="J46">
        <v>44.157028604116931</v>
      </c>
      <c r="L46">
        <v>2.7379972575429927</v>
      </c>
      <c r="M46">
        <v>12.72817080930858</v>
      </c>
      <c r="N46">
        <v>2.5433616838397675</v>
      </c>
      <c r="O46">
        <v>11.179317684787927</v>
      </c>
      <c r="P46">
        <v>8.3949559650886201</v>
      </c>
      <c r="Q46">
        <v>0.20997886578878819</v>
      </c>
      <c r="R46">
        <v>8.6573963525756668</v>
      </c>
      <c r="S46">
        <v>30.252371949917553</v>
      </c>
      <c r="U46">
        <v>1.2023499290651991</v>
      </c>
      <c r="V46">
        <v>45.09284191126202</v>
      </c>
      <c r="W46">
        <v>19.574988839570437</v>
      </c>
      <c r="X46">
        <v>46.260629833344531</v>
      </c>
      <c r="Y46">
        <v>4.7915026474352889</v>
      </c>
      <c r="Z46">
        <v>25.295127250165383</v>
      </c>
      <c r="AA46">
        <v>1.6352984513502087</v>
      </c>
      <c r="AB46">
        <v>31.394162167962488</v>
      </c>
      <c r="AD46">
        <v>4.2603794557723749</v>
      </c>
      <c r="AE46">
        <v>10.53744873995335</v>
      </c>
      <c r="AF46">
        <v>12.38048439149315</v>
      </c>
      <c r="AG46">
        <v>16.704530093261145</v>
      </c>
      <c r="AH46">
        <v>2.5207749690397954</v>
      </c>
      <c r="AI46">
        <v>2.4861990205468127</v>
      </c>
      <c r="AK46">
        <v>42.207620762485263</v>
      </c>
    </row>
    <row r="47" spans="1:37" x14ac:dyDescent="0.2">
      <c r="A47">
        <v>46</v>
      </c>
      <c r="B47">
        <v>744</v>
      </c>
      <c r="C47">
        <v>260</v>
      </c>
      <c r="D47">
        <v>0.30906011895984098</v>
      </c>
      <c r="E47">
        <v>190.38467719617339</v>
      </c>
      <c r="F47">
        <v>50.893374623030091</v>
      </c>
      <c r="G47">
        <v>69.884273350314359</v>
      </c>
      <c r="H47">
        <v>65.253611719095275</v>
      </c>
      <c r="J47">
        <v>44.024331815159208</v>
      </c>
      <c r="L47">
        <v>2.5778176684374228</v>
      </c>
      <c r="M47">
        <v>12.577257705478972</v>
      </c>
      <c r="N47">
        <v>2.5473084672003172</v>
      </c>
      <c r="O47">
        <v>10.446046979829614</v>
      </c>
      <c r="P47">
        <v>8.1940692787731191</v>
      </c>
      <c r="Q47">
        <v>6.0248614176315128E-2</v>
      </c>
      <c r="R47">
        <v>8.2264689778302209</v>
      </c>
      <c r="S47">
        <v>29.321281018985559</v>
      </c>
      <c r="U47">
        <v>1.0271492996988234</v>
      </c>
      <c r="V47">
        <v>44.845175223092255</v>
      </c>
      <c r="W47">
        <v>19.140298028192664</v>
      </c>
      <c r="X47">
        <v>45.803620748413898</v>
      </c>
      <c r="Y47">
        <v>4.6184544636498863</v>
      </c>
      <c r="Z47">
        <v>24.887064516462335</v>
      </c>
      <c r="AA47">
        <v>1.46998291468346</v>
      </c>
      <c r="AB47">
        <v>31.075735554281472</v>
      </c>
      <c r="AD47">
        <v>4.0242213026901226</v>
      </c>
      <c r="AE47">
        <v>10.355453496289451</v>
      </c>
      <c r="AF47">
        <v>12.227337907110464</v>
      </c>
      <c r="AG47">
        <v>16.356218181238152</v>
      </c>
      <c r="AH47">
        <v>2.2497084896250223</v>
      </c>
      <c r="AI47">
        <v>2.4895536144727961</v>
      </c>
      <c r="AK47">
        <v>42.208457742306585</v>
      </c>
    </row>
    <row r="48" spans="1:37" x14ac:dyDescent="0.2">
      <c r="A48">
        <v>47</v>
      </c>
      <c r="B48">
        <v>742</v>
      </c>
      <c r="C48">
        <v>260</v>
      </c>
      <c r="D48">
        <v>0.30756095158350699</v>
      </c>
      <c r="E48">
        <v>190.04341800372211</v>
      </c>
      <c r="F48">
        <v>49.506116185244537</v>
      </c>
      <c r="G48">
        <v>69.646321014369732</v>
      </c>
      <c r="H48">
        <v>65.011213943415683</v>
      </c>
      <c r="J48">
        <v>43.788986321811159</v>
      </c>
      <c r="L48">
        <v>2.2285599483048646</v>
      </c>
      <c r="M48">
        <v>12.518469600832365</v>
      </c>
      <c r="N48">
        <v>2.5512451177288797</v>
      </c>
      <c r="O48">
        <v>8.9741966328106884</v>
      </c>
      <c r="P48">
        <v>7.7652805206228495</v>
      </c>
      <c r="R48">
        <v>7.6758042372999231</v>
      </c>
      <c r="S48">
        <v>28.624292320607026</v>
      </c>
      <c r="U48">
        <v>0.91371458289742957</v>
      </c>
      <c r="V48">
        <v>44.820658395133563</v>
      </c>
      <c r="W48">
        <v>18.695715805257503</v>
      </c>
      <c r="X48">
        <v>45.540845870766944</v>
      </c>
      <c r="Y48">
        <v>4.2244038085685034</v>
      </c>
      <c r="Z48">
        <v>24.152192763429237</v>
      </c>
      <c r="AA48">
        <v>1.1039349893215185</v>
      </c>
      <c r="AB48">
        <v>30.904219964168352</v>
      </c>
      <c r="AD48">
        <v>3.5806274805713953</v>
      </c>
      <c r="AE48">
        <v>10.068126562063243</v>
      </c>
      <c r="AF48">
        <v>12.16630776317127</v>
      </c>
      <c r="AG48">
        <v>16.154817535147878</v>
      </c>
      <c r="AH48">
        <v>1.6545283487015703</v>
      </c>
      <c r="AI48">
        <v>2.4928946636437228</v>
      </c>
      <c r="AK48">
        <v>42.056643948588707</v>
      </c>
    </row>
    <row r="49" spans="1:37" x14ac:dyDescent="0.2">
      <c r="A49">
        <v>48</v>
      </c>
      <c r="B49">
        <v>740</v>
      </c>
      <c r="C49">
        <v>260</v>
      </c>
      <c r="D49">
        <v>0.30605586537038199</v>
      </c>
      <c r="E49">
        <v>190.4014528066607</v>
      </c>
      <c r="F49">
        <v>47.297608130598803</v>
      </c>
      <c r="G49">
        <v>69.640488785797288</v>
      </c>
      <c r="H49">
        <v>65.000989586826918</v>
      </c>
      <c r="J49">
        <v>32.310843521561679</v>
      </c>
      <c r="L49">
        <v>1.6462717703562739</v>
      </c>
      <c r="M49">
        <v>11.559220163923257</v>
      </c>
      <c r="N49">
        <v>2.5552376257853271</v>
      </c>
      <c r="O49">
        <v>5.6856956782913866</v>
      </c>
      <c r="P49">
        <v>7.800820115835422</v>
      </c>
      <c r="R49">
        <v>6.5192077369177772</v>
      </c>
      <c r="S49">
        <v>28.359678329242655</v>
      </c>
      <c r="U49">
        <v>0.81807328019017633</v>
      </c>
      <c r="V49">
        <v>46.271379516456641</v>
      </c>
      <c r="W49">
        <v>17.546483708209482</v>
      </c>
      <c r="X49">
        <v>45.336473186603484</v>
      </c>
      <c r="Y49">
        <v>3.7411450738917713</v>
      </c>
      <c r="Z49">
        <v>18.504189005296311</v>
      </c>
      <c r="AB49">
        <v>28.915379645348608</v>
      </c>
      <c r="AD49">
        <v>0.73826666413949182</v>
      </c>
      <c r="AE49">
        <v>6.8644607758192722</v>
      </c>
      <c r="AF49">
        <v>11.204873664757578</v>
      </c>
      <c r="AG49">
        <v>14.136158442461737</v>
      </c>
      <c r="AI49">
        <v>2.4962881436946724</v>
      </c>
      <c r="AK49">
        <v>34.043135065476619</v>
      </c>
    </row>
    <row r="50" spans="1:37" x14ac:dyDescent="0.2">
      <c r="A50">
        <v>49</v>
      </c>
      <c r="B50">
        <v>738</v>
      </c>
      <c r="C50">
        <v>260</v>
      </c>
      <c r="D50">
        <v>0.30454482519902998</v>
      </c>
      <c r="E50">
        <v>190.86915218728703</v>
      </c>
      <c r="F50">
        <v>48.143413759502479</v>
      </c>
      <c r="G50">
        <v>69.654487029567406</v>
      </c>
      <c r="H50">
        <v>65.010649185809342</v>
      </c>
      <c r="J50">
        <v>26.389218483268433</v>
      </c>
      <c r="L50">
        <v>1.6920399655874534</v>
      </c>
      <c r="M50">
        <v>10.505576185591313</v>
      </c>
      <c r="N50">
        <v>2.5592261863177694</v>
      </c>
      <c r="O50">
        <v>5.5935482604775331</v>
      </c>
      <c r="P50">
        <v>7.8760491785144318</v>
      </c>
      <c r="R50">
        <v>5.8075457334312244</v>
      </c>
      <c r="S50">
        <v>29.422063072524544</v>
      </c>
      <c r="U50">
        <v>0.76478775290575807</v>
      </c>
      <c r="V50">
        <v>47.740851105452236</v>
      </c>
      <c r="W50">
        <v>16.348433738997155</v>
      </c>
      <c r="X50">
        <v>45.253538013637687</v>
      </c>
      <c r="Y50">
        <v>3.6849047920021407</v>
      </c>
      <c r="Z50">
        <v>17.805333371647411</v>
      </c>
      <c r="AB50">
        <v>29.547163374900897</v>
      </c>
      <c r="AE50">
        <v>6.4362665251103621</v>
      </c>
      <c r="AF50">
        <v>10.14904264403587</v>
      </c>
      <c r="AG50">
        <v>14.738129924915603</v>
      </c>
      <c r="AI50">
        <v>2.4996742348495458</v>
      </c>
      <c r="AK50">
        <v>29.785448827951441</v>
      </c>
    </row>
    <row r="51" spans="1:37" x14ac:dyDescent="0.2">
      <c r="A51">
        <v>50</v>
      </c>
      <c r="B51">
        <v>736</v>
      </c>
      <c r="C51">
        <v>260</v>
      </c>
      <c r="D51">
        <v>0.30302779566962401</v>
      </c>
      <c r="E51">
        <v>191.18097870728121</v>
      </c>
      <c r="F51">
        <v>49.001439734846485</v>
      </c>
      <c r="G51">
        <v>69.618789011661008</v>
      </c>
      <c r="H51">
        <v>64.970666178533861</v>
      </c>
      <c r="J51">
        <v>23.399247561598958</v>
      </c>
      <c r="L51">
        <v>1.7212405986821504</v>
      </c>
      <c r="M51">
        <v>9.6783200634422464</v>
      </c>
      <c r="N51">
        <v>2.5632014766574325</v>
      </c>
      <c r="O51">
        <v>5.572071816008731</v>
      </c>
      <c r="P51">
        <v>7.8519051082342015</v>
      </c>
      <c r="R51">
        <v>5.1829398981152597</v>
      </c>
      <c r="S51">
        <v>30.221955618853912</v>
      </c>
      <c r="U51">
        <v>0.71815588774374273</v>
      </c>
      <c r="V51">
        <v>48.84975435393158</v>
      </c>
      <c r="W51">
        <v>15.373377948196904</v>
      </c>
      <c r="X51">
        <v>45.190563752147433</v>
      </c>
      <c r="Y51">
        <v>3.6162310418220081</v>
      </c>
      <c r="Z51">
        <v>17.909218278530243</v>
      </c>
      <c r="AB51">
        <v>30.391275526657779</v>
      </c>
      <c r="AE51">
        <v>6.4811239315734861</v>
      </c>
      <c r="AF51">
        <v>9.3195878225272502</v>
      </c>
      <c r="AG51">
        <v>15.552427083701231</v>
      </c>
      <c r="AI51">
        <v>2.5030435997165226</v>
      </c>
      <c r="AK51">
        <v>27.56897171133966</v>
      </c>
    </row>
    <row r="52" spans="1:37" x14ac:dyDescent="0.2">
      <c r="A52">
        <v>51</v>
      </c>
      <c r="B52">
        <v>734</v>
      </c>
      <c r="C52">
        <v>260</v>
      </c>
      <c r="D52">
        <v>0.30150474110112602</v>
      </c>
      <c r="E52">
        <v>191.43025469359537</v>
      </c>
      <c r="F52">
        <v>49.720810283568589</v>
      </c>
      <c r="G52">
        <v>69.582257525958994</v>
      </c>
      <c r="H52">
        <v>64.929903531752004</v>
      </c>
      <c r="J52">
        <v>21.473781327502806</v>
      </c>
      <c r="L52">
        <v>1.7451267115191986</v>
      </c>
      <c r="M52">
        <v>8.9775522826982357</v>
      </c>
      <c r="N52">
        <v>2.5671709895671899</v>
      </c>
      <c r="O52">
        <v>5.5410274093046965</v>
      </c>
      <c r="P52">
        <v>7.8261211768696839</v>
      </c>
      <c r="R52">
        <v>4.6400473494208487</v>
      </c>
      <c r="S52">
        <v>30.877118946458722</v>
      </c>
      <c r="U52">
        <v>0.67274433809401624</v>
      </c>
      <c r="V52">
        <v>49.770098174793148</v>
      </c>
      <c r="W52">
        <v>14.524140609608214</v>
      </c>
      <c r="X52">
        <v>45.131912278938259</v>
      </c>
      <c r="Y52">
        <v>3.5612376229661664</v>
      </c>
      <c r="Z52">
        <v>17.991871469673988</v>
      </c>
      <c r="AB52">
        <v>31.090759326795428</v>
      </c>
      <c r="AE52">
        <v>6.5149089339610811</v>
      </c>
      <c r="AF52">
        <v>8.6166172250156201</v>
      </c>
      <c r="AG52">
        <v>16.22210068810811</v>
      </c>
      <c r="AI52">
        <v>2.5064037163361297</v>
      </c>
      <c r="AK52">
        <v>26.106546383300106</v>
      </c>
    </row>
    <row r="53" spans="1:37" x14ac:dyDescent="0.2">
      <c r="A53">
        <v>52</v>
      </c>
      <c r="B53">
        <v>732</v>
      </c>
      <c r="C53">
        <v>260</v>
      </c>
      <c r="D53">
        <v>0.29997562552852802</v>
      </c>
      <c r="E53">
        <v>191.63954758260576</v>
      </c>
      <c r="F53">
        <v>50.351725269914269</v>
      </c>
      <c r="G53">
        <v>69.545190371236373</v>
      </c>
      <c r="H53">
        <v>64.888659217797283</v>
      </c>
      <c r="J53">
        <v>20.082979479177947</v>
      </c>
      <c r="L53">
        <v>1.7658634551762915</v>
      </c>
      <c r="M53">
        <v>8.3569830231529298</v>
      </c>
      <c r="N53">
        <v>2.5711364619760997</v>
      </c>
      <c r="O53">
        <v>5.5047594800327433</v>
      </c>
      <c r="P53">
        <v>7.7992949113283343</v>
      </c>
      <c r="R53">
        <v>4.150319551518697</v>
      </c>
      <c r="S53">
        <v>31.44426267862578</v>
      </c>
      <c r="U53">
        <v>0.62768840597070408</v>
      </c>
      <c r="V53">
        <v>50.57196272589475</v>
      </c>
      <c r="W53">
        <v>13.754881244009312</v>
      </c>
      <c r="X53">
        <v>45.075091366002106</v>
      </c>
      <c r="Y53">
        <v>3.5148269997382697</v>
      </c>
      <c r="Z53">
        <v>18.061261706326718</v>
      </c>
      <c r="AB53">
        <v>31.700493487896711</v>
      </c>
      <c r="AE53">
        <v>6.5417893845974628</v>
      </c>
      <c r="AF53">
        <v>7.9938428152290468</v>
      </c>
      <c r="AG53">
        <v>16.802031238324574</v>
      </c>
      <c r="AI53">
        <v>2.509756306916707</v>
      </c>
      <c r="AK53">
        <v>25.028042322092933</v>
      </c>
    </row>
    <row r="54" spans="1:37" x14ac:dyDescent="0.2">
      <c r="A54">
        <v>53</v>
      </c>
      <c r="B54">
        <v>730</v>
      </c>
      <c r="C54">
        <v>260</v>
      </c>
      <c r="D54">
        <v>0.29844041269999899</v>
      </c>
      <c r="E54">
        <v>191.82045266651016</v>
      </c>
      <c r="F54">
        <v>50.919955441591462</v>
      </c>
      <c r="G54">
        <v>69.507752457190037</v>
      </c>
      <c r="H54">
        <v>64.847098320615672</v>
      </c>
      <c r="J54">
        <v>19.011921597804498</v>
      </c>
      <c r="L54">
        <v>1.7844317720746077</v>
      </c>
      <c r="M54">
        <v>7.7932007826219856</v>
      </c>
      <c r="N54">
        <v>2.5750987989235328</v>
      </c>
      <c r="O54">
        <v>5.4655338661142441</v>
      </c>
      <c r="P54">
        <v>7.7717572295629651</v>
      </c>
      <c r="R54">
        <v>3.6989960223790814</v>
      </c>
      <c r="S54">
        <v>31.950621794001261</v>
      </c>
      <c r="U54">
        <v>0.58271715324796103</v>
      </c>
      <c r="V54">
        <v>51.290164446017471</v>
      </c>
      <c r="W54">
        <v>13.042333554408406</v>
      </c>
      <c r="X54">
        <v>45.01931699304081</v>
      </c>
      <c r="Y54">
        <v>3.4744518256368302</v>
      </c>
      <c r="Z54">
        <v>18.121391081853158</v>
      </c>
      <c r="AB54">
        <v>32.247384033752688</v>
      </c>
      <c r="AE54">
        <v>6.5638486367775055</v>
      </c>
      <c r="AF54">
        <v>7.4278540432407292</v>
      </c>
      <c r="AG54">
        <v>17.319125714187841</v>
      </c>
      <c r="AI54">
        <v>2.5131022617801682</v>
      </c>
      <c r="AK54">
        <v>24.181905266907314</v>
      </c>
    </row>
    <row r="55" spans="1:37" x14ac:dyDescent="0.2">
      <c r="A55">
        <v>54</v>
      </c>
      <c r="B55">
        <v>728</v>
      </c>
      <c r="C55">
        <v>260</v>
      </c>
      <c r="D55">
        <v>0.29689906607401501</v>
      </c>
      <c r="E55">
        <v>191.97985961261872</v>
      </c>
      <c r="F55">
        <v>51.440799169330987</v>
      </c>
      <c r="G55">
        <v>69.470045107797574</v>
      </c>
      <c r="H55">
        <v>64.805322339127628</v>
      </c>
      <c r="J55">
        <v>18.152763477728879</v>
      </c>
      <c r="L55">
        <v>1.8015826485895559</v>
      </c>
      <c r="M55">
        <v>7.2724079289482937</v>
      </c>
      <c r="N55">
        <v>2.5790585516519866</v>
      </c>
      <c r="O55">
        <v>5.4247070428935453</v>
      </c>
      <c r="P55">
        <v>7.7437115253826114</v>
      </c>
      <c r="R55">
        <v>3.2772546603458301</v>
      </c>
      <c r="S55">
        <v>32.411805364893056</v>
      </c>
      <c r="U55">
        <v>0.53772274288532984</v>
      </c>
      <c r="V55">
        <v>51.945022108173774</v>
      </c>
      <c r="W55">
        <v>12.37276079540101</v>
      </c>
      <c r="X55">
        <v>44.964274792538596</v>
      </c>
      <c r="Y55">
        <v>3.4386227739727784</v>
      </c>
      <c r="Z55">
        <v>18.174597276371919</v>
      </c>
      <c r="AB55">
        <v>32.747022960447552</v>
      </c>
      <c r="AE55">
        <v>6.5823003794487027</v>
      </c>
      <c r="AF55">
        <v>6.9048538755663378</v>
      </c>
      <c r="AG55">
        <v>17.788976714360626</v>
      </c>
      <c r="AI55">
        <v>2.5164421174548126</v>
      </c>
      <c r="AK55">
        <v>23.491446669687772</v>
      </c>
    </row>
    <row r="56" spans="1:37" x14ac:dyDescent="0.2">
      <c r="A56">
        <v>55</v>
      </c>
      <c r="B56">
        <v>760</v>
      </c>
      <c r="C56">
        <v>240</v>
      </c>
      <c r="D56">
        <v>0.34213860523641398</v>
      </c>
      <c r="E56">
        <v>180.66244895986318</v>
      </c>
      <c r="F56">
        <v>56.45621562326761</v>
      </c>
      <c r="G56">
        <v>70.875749067068682</v>
      </c>
      <c r="H56">
        <v>66.281644869649895</v>
      </c>
      <c r="J56">
        <v>44.746999787537291</v>
      </c>
      <c r="L56">
        <v>3.791350990750507</v>
      </c>
      <c r="M56">
        <v>13.742276622182059</v>
      </c>
      <c r="N56">
        <v>2.4537241614738443</v>
      </c>
      <c r="O56">
        <v>16.466595839613362</v>
      </c>
      <c r="P56">
        <v>9.6262190754417976</v>
      </c>
      <c r="Q56">
        <v>0.91412539749092914</v>
      </c>
      <c r="R56">
        <v>11.686408747428604</v>
      </c>
      <c r="S56">
        <v>36.35004557941447</v>
      </c>
      <c r="U56">
        <v>2.3103377257928841</v>
      </c>
      <c r="V56">
        <v>46.363806288579774</v>
      </c>
      <c r="W56">
        <v>23.027111877844842</v>
      </c>
      <c r="X56">
        <v>48.202600203546986</v>
      </c>
      <c r="Y56">
        <v>5.8452983381435768</v>
      </c>
      <c r="Z56">
        <v>28.116296190459085</v>
      </c>
      <c r="AA56">
        <v>2.7457708748983789</v>
      </c>
      <c r="AB56">
        <v>33.612357451502312</v>
      </c>
      <c r="AC56">
        <v>1.0911834583543917E-2</v>
      </c>
      <c r="AD56">
        <v>5.8743365273906356</v>
      </c>
      <c r="AE56">
        <v>11.950125250187826</v>
      </c>
      <c r="AF56">
        <v>13.409924242786985</v>
      </c>
      <c r="AG56">
        <v>19.156542642514772</v>
      </c>
      <c r="AH56">
        <v>4.0145266988498811</v>
      </c>
      <c r="AI56">
        <v>2.3980669031910793</v>
      </c>
      <c r="AK56">
        <v>41.930377341041499</v>
      </c>
    </row>
    <row r="57" spans="1:37" x14ac:dyDescent="0.2">
      <c r="A57">
        <v>56</v>
      </c>
      <c r="B57">
        <v>758</v>
      </c>
      <c r="C57">
        <v>240</v>
      </c>
      <c r="D57">
        <v>0.34072685836202499</v>
      </c>
      <c r="E57">
        <v>180.44147257846504</v>
      </c>
      <c r="F57">
        <v>55.785192563342086</v>
      </c>
      <c r="G57">
        <v>70.763189474442754</v>
      </c>
      <c r="H57">
        <v>66.164203163481105</v>
      </c>
      <c r="J57">
        <v>44.647600840207829</v>
      </c>
      <c r="L57">
        <v>3.6420458815508754</v>
      </c>
      <c r="M57">
        <v>13.625891553793867</v>
      </c>
      <c r="N57">
        <v>2.4464247366414962</v>
      </c>
      <c r="O57">
        <v>15.75650808098322</v>
      </c>
      <c r="P57">
        <v>9.4367125361519832</v>
      </c>
      <c r="Q57">
        <v>0.79026312010517608</v>
      </c>
      <c r="R57">
        <v>11.308121736001217</v>
      </c>
      <c r="S57">
        <v>35.583004937726422</v>
      </c>
      <c r="U57">
        <v>2.1655874905574302</v>
      </c>
      <c r="V57">
        <v>46.173587580720984</v>
      </c>
      <c r="W57">
        <v>22.655668129653382</v>
      </c>
      <c r="X57">
        <v>47.846901275417565</v>
      </c>
      <c r="Y57">
        <v>5.6889030622728187</v>
      </c>
      <c r="Z57">
        <v>27.753430913889854</v>
      </c>
      <c r="AA57">
        <v>2.5912312465924696</v>
      </c>
      <c r="AB57">
        <v>33.352314509666371</v>
      </c>
      <c r="AD57">
        <v>5.6696079210318366</v>
      </c>
      <c r="AE57">
        <v>11.785125459961252</v>
      </c>
      <c r="AF57">
        <v>13.280044906881324</v>
      </c>
      <c r="AG57">
        <v>18.855349537268363</v>
      </c>
      <c r="AH57">
        <v>3.7805456814295191</v>
      </c>
      <c r="AI57">
        <v>2.3902005646388602</v>
      </c>
      <c r="AK57">
        <v>41.941202046251085</v>
      </c>
    </row>
    <row r="58" spans="1:37" x14ac:dyDescent="0.2">
      <c r="A58">
        <v>57</v>
      </c>
      <c r="B58">
        <v>756</v>
      </c>
      <c r="C58">
        <v>240</v>
      </c>
      <c r="D58">
        <v>0.33930962444735902</v>
      </c>
      <c r="E58">
        <v>180.19438147305607</v>
      </c>
      <c r="F58">
        <v>55.026902849410803</v>
      </c>
      <c r="G58">
        <v>70.637579179481634</v>
      </c>
      <c r="H58">
        <v>66.033762726140708</v>
      </c>
      <c r="J58">
        <v>44.500730325372686</v>
      </c>
      <c r="L58">
        <v>3.4789233288073156</v>
      </c>
      <c r="M58">
        <v>13.472848549715538</v>
      </c>
      <c r="N58">
        <v>2.4503783283919547</v>
      </c>
      <c r="O58">
        <v>15.010558318765529</v>
      </c>
      <c r="P58">
        <v>9.2323884036322337</v>
      </c>
      <c r="Q58">
        <v>0.63937791698171254</v>
      </c>
      <c r="R58">
        <v>10.871404674197519</v>
      </c>
      <c r="S58">
        <v>34.635250917776858</v>
      </c>
      <c r="U58">
        <v>1.9890536074196039</v>
      </c>
      <c r="V58">
        <v>45.923022492243035</v>
      </c>
      <c r="W58">
        <v>22.21592173040094</v>
      </c>
      <c r="X58">
        <v>47.383679707113977</v>
      </c>
      <c r="Y58">
        <v>5.5129836587837717</v>
      </c>
      <c r="Z58">
        <v>27.342038894475195</v>
      </c>
      <c r="AA58">
        <v>2.4229994940299147</v>
      </c>
      <c r="AB58">
        <v>33.030161012489891</v>
      </c>
      <c r="AD58">
        <v>5.4328664176881967</v>
      </c>
      <c r="AE58">
        <v>11.601707346618069</v>
      </c>
      <c r="AF58">
        <v>13.124761827841548</v>
      </c>
      <c r="AG58">
        <v>18.50330893143764</v>
      </c>
      <c r="AH58">
        <v>3.5052968202357118</v>
      </c>
      <c r="AI58">
        <v>2.3935839337649742</v>
      </c>
      <c r="AK58">
        <v>41.934798643563106</v>
      </c>
    </row>
    <row r="59" spans="1:37" x14ac:dyDescent="0.2">
      <c r="A59">
        <v>58</v>
      </c>
      <c r="B59">
        <v>754</v>
      </c>
      <c r="C59">
        <v>240</v>
      </c>
      <c r="D59">
        <v>0.33788687144039198</v>
      </c>
      <c r="E59">
        <v>179.94788304925794</v>
      </c>
      <c r="F59">
        <v>54.271293207609936</v>
      </c>
      <c r="G59">
        <v>70.512289711881934</v>
      </c>
      <c r="H59">
        <v>65.90369525354825</v>
      </c>
      <c r="J59">
        <v>44.356200406342978</v>
      </c>
      <c r="L59">
        <v>3.3164392246613459</v>
      </c>
      <c r="M59">
        <v>13.320370934616136</v>
      </c>
      <c r="N59">
        <v>2.454331419115316</v>
      </c>
      <c r="O59">
        <v>14.266990521118439</v>
      </c>
      <c r="P59">
        <v>9.028736400647837</v>
      </c>
      <c r="Q59">
        <v>0.48882804362949572</v>
      </c>
      <c r="R59">
        <v>10.436055242585377</v>
      </c>
      <c r="S59">
        <v>33.691080140905761</v>
      </c>
      <c r="U59">
        <v>1.812770676671065</v>
      </c>
      <c r="V59">
        <v>45.673257046082092</v>
      </c>
      <c r="W59">
        <v>21.777270374817718</v>
      </c>
      <c r="X59">
        <v>46.922102287098866</v>
      </c>
      <c r="Y59">
        <v>5.3376443245586476</v>
      </c>
      <c r="Z59">
        <v>26.931827879147168</v>
      </c>
      <c r="AA59">
        <v>2.2554101887087161</v>
      </c>
      <c r="AB59">
        <v>32.70908748561105</v>
      </c>
      <c r="AD59">
        <v>5.1965936698878838</v>
      </c>
      <c r="AE59">
        <v>11.418795021814187</v>
      </c>
      <c r="AF59">
        <v>12.970044857463943</v>
      </c>
      <c r="AG59">
        <v>18.15235788028254</v>
      </c>
      <c r="AH59">
        <v>3.2309314409426149</v>
      </c>
      <c r="AI59">
        <v>2.3969634782520708</v>
      </c>
      <c r="AK59">
        <v>41.929619554111902</v>
      </c>
    </row>
    <row r="60" spans="1:37" x14ac:dyDescent="0.2">
      <c r="A60">
        <v>59</v>
      </c>
      <c r="B60">
        <v>752</v>
      </c>
      <c r="C60">
        <v>240</v>
      </c>
      <c r="D60">
        <v>0.33645856703896998</v>
      </c>
      <c r="E60">
        <v>179.70197395291882</v>
      </c>
      <c r="F60">
        <v>53.518350359680745</v>
      </c>
      <c r="G60">
        <v>70.387319799097085</v>
      </c>
      <c r="H60">
        <v>65.77399964003061</v>
      </c>
      <c r="J60">
        <v>44.214006977330484</v>
      </c>
      <c r="L60">
        <v>3.1545383146913335</v>
      </c>
      <c r="M60">
        <v>13.168455115547461</v>
      </c>
      <c r="N60">
        <v>2.4582840135071908</v>
      </c>
      <c r="O60">
        <v>13.525794497340204</v>
      </c>
      <c r="P60">
        <v>8.8257541687980581</v>
      </c>
      <c r="Q60">
        <v>0.33861143425960938</v>
      </c>
      <c r="R60">
        <v>10.002064579256867</v>
      </c>
      <c r="S60">
        <v>32.750471024034908</v>
      </c>
      <c r="U60">
        <v>1.6367359399065986</v>
      </c>
      <c r="V60">
        <v>45.424285577868595</v>
      </c>
      <c r="W60">
        <v>21.339707170707701</v>
      </c>
      <c r="X60">
        <v>46.462157346603043</v>
      </c>
      <c r="Y60">
        <v>5.1628818084620383</v>
      </c>
      <c r="Z60">
        <v>26.522791338852002</v>
      </c>
      <c r="AA60">
        <v>2.088460259047606</v>
      </c>
      <c r="AB60">
        <v>32.389087374259795</v>
      </c>
      <c r="AD60">
        <v>4.9607892458339018</v>
      </c>
      <c r="AE60">
        <v>11.236385472768927</v>
      </c>
      <c r="AF60">
        <v>12.81589045243375</v>
      </c>
      <c r="AG60">
        <v>17.802489881261813</v>
      </c>
      <c r="AH60">
        <v>2.9574464929093258</v>
      </c>
      <c r="AI60">
        <v>2.4003391880840081</v>
      </c>
      <c r="AK60">
        <v>41.925663768951949</v>
      </c>
    </row>
    <row r="61" spans="1:37" x14ac:dyDescent="0.2">
      <c r="A61">
        <v>60</v>
      </c>
      <c r="B61">
        <v>750</v>
      </c>
      <c r="C61">
        <v>240</v>
      </c>
      <c r="D61">
        <v>0.335024678688366</v>
      </c>
      <c r="E61">
        <v>179.45665089361816</v>
      </c>
      <c r="F61">
        <v>52.768061324612376</v>
      </c>
      <c r="G61">
        <v>70.262668202369426</v>
      </c>
      <c r="H61">
        <v>65.644674814351788</v>
      </c>
      <c r="J61">
        <v>44.07414605792367</v>
      </c>
      <c r="L61">
        <v>2.9933126705827964</v>
      </c>
      <c r="M61">
        <v>13.017097561314058</v>
      </c>
      <c r="N61">
        <v>2.4622361162743682</v>
      </c>
      <c r="O61">
        <v>12.786960290995181</v>
      </c>
      <c r="P61">
        <v>8.6234394182759413</v>
      </c>
      <c r="Q61">
        <v>0.18872790736748823</v>
      </c>
      <c r="R61">
        <v>9.5694239949332385</v>
      </c>
      <c r="S61">
        <v>31.813402344308194</v>
      </c>
      <c r="U61">
        <v>1.4609467014397644</v>
      </c>
      <c r="V61">
        <v>45.176102424587675</v>
      </c>
      <c r="W61">
        <v>20.903225355061938</v>
      </c>
      <c r="X61">
        <v>46.003833398642932</v>
      </c>
      <c r="Y61">
        <v>4.9886929356094196</v>
      </c>
      <c r="Z61">
        <v>26.114922891745557</v>
      </c>
      <c r="AA61">
        <v>1.9221466941193066</v>
      </c>
      <c r="AB61">
        <v>32.070154251356691</v>
      </c>
      <c r="AD61">
        <v>4.7254527504555783</v>
      </c>
      <c r="AE61">
        <v>11.054475753373358</v>
      </c>
      <c r="AF61">
        <v>12.662295131403157</v>
      </c>
      <c r="AG61">
        <v>17.453698559836816</v>
      </c>
      <c r="AH61">
        <v>2.6848390222716687</v>
      </c>
      <c r="AI61">
        <v>2.4037110532524446</v>
      </c>
      <c r="AK61">
        <v>41.922930340536112</v>
      </c>
    </row>
    <row r="62" spans="1:37" x14ac:dyDescent="0.2">
      <c r="A62">
        <v>61</v>
      </c>
      <c r="B62">
        <v>748</v>
      </c>
      <c r="C62">
        <v>240</v>
      </c>
      <c r="D62">
        <v>0.33358517357881101</v>
      </c>
      <c r="E62">
        <v>179.21191064322568</v>
      </c>
      <c r="F62">
        <v>52.02041341287913</v>
      </c>
      <c r="G62">
        <v>70.138333716086663</v>
      </c>
      <c r="H62">
        <v>65.515719739076772</v>
      </c>
      <c r="J62">
        <v>43.936613790170583</v>
      </c>
      <c r="L62">
        <v>2.8327194770772621</v>
      </c>
      <c r="M62">
        <v>12.866294801113714</v>
      </c>
      <c r="N62">
        <v>2.4661877321492467</v>
      </c>
      <c r="O62">
        <v>12.050478175721498</v>
      </c>
      <c r="P62">
        <v>8.4217899266156699</v>
      </c>
      <c r="Q62">
        <v>3.9178230844354574E-2</v>
      </c>
      <c r="R62">
        <v>9.1381249698871638</v>
      </c>
      <c r="S62">
        <v>30.879853231059965</v>
      </c>
      <c r="U62">
        <v>1.2854003270915295</v>
      </c>
      <c r="V62">
        <v>44.92870191710071</v>
      </c>
      <c r="W62">
        <v>20.467818291555279</v>
      </c>
      <c r="X62">
        <v>45.547119133040987</v>
      </c>
      <c r="Y62">
        <v>4.8150746062745124</v>
      </c>
      <c r="Z62">
        <v>25.708216301032767</v>
      </c>
      <c r="AA62">
        <v>1.7564665434886628</v>
      </c>
      <c r="AB62">
        <v>31.752281815139888</v>
      </c>
      <c r="AD62">
        <v>4.4905838261491633</v>
      </c>
      <c r="AE62">
        <v>10.873062983193094</v>
      </c>
      <c r="AF62">
        <v>12.509255473648331</v>
      </c>
      <c r="AG62">
        <v>17.10597766711852</v>
      </c>
      <c r="AH62">
        <v>2.4131061730552825</v>
      </c>
      <c r="AI62">
        <v>2.4070790637715072</v>
      </c>
      <c r="AK62">
        <v>41.921418381202209</v>
      </c>
    </row>
    <row r="63" spans="1:37" x14ac:dyDescent="0.2">
      <c r="A63">
        <v>62</v>
      </c>
      <c r="B63">
        <v>746</v>
      </c>
      <c r="C63">
        <v>240</v>
      </c>
      <c r="D63">
        <v>0.33214001864298798</v>
      </c>
      <c r="E63">
        <v>178.8512979882361</v>
      </c>
      <c r="F63">
        <v>50.496889673603839</v>
      </c>
      <c r="G63">
        <v>69.875822527063875</v>
      </c>
      <c r="H63">
        <v>65.248640769856848</v>
      </c>
      <c r="J63">
        <v>43.676800020485246</v>
      </c>
      <c r="L63">
        <v>2.4420562010869764</v>
      </c>
      <c r="M63">
        <v>12.828007690240678</v>
      </c>
      <c r="N63">
        <v>2.470127309299861</v>
      </c>
      <c r="O63">
        <v>10.416231427533019</v>
      </c>
      <c r="P63">
        <v>7.9438067006696214</v>
      </c>
      <c r="R63">
        <v>8.5599612713611215</v>
      </c>
      <c r="S63">
        <v>30.228163504087707</v>
      </c>
      <c r="U63">
        <v>1.1868415299139878</v>
      </c>
      <c r="V63">
        <v>44.950955103855534</v>
      </c>
      <c r="W63">
        <v>20.019189309660991</v>
      </c>
      <c r="X63">
        <v>45.332171253298995</v>
      </c>
      <c r="Y63">
        <v>4.3732502411809779</v>
      </c>
      <c r="Z63">
        <v>24.901851861681422</v>
      </c>
      <c r="AA63">
        <v>1.3470033564716068</v>
      </c>
      <c r="AB63">
        <v>31.608767688805784</v>
      </c>
      <c r="AD63">
        <v>4.0028013747300157</v>
      </c>
      <c r="AE63">
        <v>10.56204492529413</v>
      </c>
      <c r="AF63">
        <v>12.4687208281801</v>
      </c>
      <c r="AG63">
        <v>16.932613322922364</v>
      </c>
      <c r="AH63">
        <v>1.7483180767067474</v>
      </c>
      <c r="AI63">
        <v>2.4104316530888616</v>
      </c>
      <c r="AK63">
        <v>41.736925562701373</v>
      </c>
    </row>
    <row r="64" spans="1:37" x14ac:dyDescent="0.2">
      <c r="A64">
        <v>63</v>
      </c>
      <c r="B64">
        <v>744</v>
      </c>
      <c r="C64">
        <v>240</v>
      </c>
      <c r="D64">
        <v>0.33068918055350899</v>
      </c>
      <c r="E64">
        <v>178.78457179514101</v>
      </c>
      <c r="F64">
        <v>48.262891108740725</v>
      </c>
      <c r="G64">
        <v>69.697487505074008</v>
      </c>
      <c r="H64">
        <v>65.06579094596475</v>
      </c>
      <c r="J64">
        <v>37.545484363572058</v>
      </c>
      <c r="L64">
        <v>1.5846571293416418</v>
      </c>
      <c r="M64">
        <v>12.448746759154879</v>
      </c>
      <c r="N64">
        <v>2.4740877552302178</v>
      </c>
      <c r="O64">
        <v>6.210947248427404</v>
      </c>
      <c r="P64">
        <v>7.634228573574406</v>
      </c>
      <c r="R64">
        <v>7.3772683605614269</v>
      </c>
      <c r="S64">
        <v>28.707033657142215</v>
      </c>
      <c r="U64">
        <v>1.1273972066081572</v>
      </c>
      <c r="V64">
        <v>45.472719228048767</v>
      </c>
      <c r="W64">
        <v>19.290750327808087</v>
      </c>
      <c r="X64">
        <v>45.235482699761789</v>
      </c>
      <c r="Y64">
        <v>3.6474390245434085</v>
      </c>
      <c r="Z64">
        <v>21.482902010135632</v>
      </c>
      <c r="AB64">
        <v>30.292509444718796</v>
      </c>
      <c r="AD64">
        <v>2.2053391626075793</v>
      </c>
      <c r="AE64">
        <v>8.7001801662584892</v>
      </c>
      <c r="AF64">
        <v>12.087234678718387</v>
      </c>
      <c r="AG64">
        <v>15.586536055874411</v>
      </c>
      <c r="AI64">
        <v>2.4138017139858188</v>
      </c>
      <c r="AK64">
        <v>37.511914872169683</v>
      </c>
    </row>
    <row r="65" spans="1:37" x14ac:dyDescent="0.2">
      <c r="A65">
        <v>64</v>
      </c>
      <c r="B65">
        <v>742</v>
      </c>
      <c r="C65">
        <v>240</v>
      </c>
      <c r="D65">
        <v>0.32923262572033701</v>
      </c>
      <c r="E65">
        <v>179.48632653264249</v>
      </c>
      <c r="F65">
        <v>48.247912574269947</v>
      </c>
      <c r="G65">
        <v>69.877859093685515</v>
      </c>
      <c r="H65">
        <v>65.241700881133212</v>
      </c>
      <c r="J65">
        <v>28.354969415483733</v>
      </c>
      <c r="L65">
        <v>1.6548017190385218</v>
      </c>
      <c r="M65">
        <v>11.278271290303014</v>
      </c>
      <c r="N65">
        <v>2.478096540685812</v>
      </c>
      <c r="O65">
        <v>5.8322819349460433</v>
      </c>
      <c r="P65">
        <v>8.0421440903422994</v>
      </c>
      <c r="R65">
        <v>6.7479909056535012</v>
      </c>
      <c r="S65">
        <v>29.681163536520224</v>
      </c>
      <c r="U65">
        <v>1.0830293402058673</v>
      </c>
      <c r="V65">
        <v>47.104474274807373</v>
      </c>
      <c r="W65">
        <v>17.969051195129754</v>
      </c>
      <c r="X65">
        <v>45.179273765590324</v>
      </c>
      <c r="Y65">
        <v>3.7010828098109303</v>
      </c>
      <c r="Z65">
        <v>17.704303797743453</v>
      </c>
      <c r="AB65">
        <v>29.164559988122512</v>
      </c>
      <c r="AD65">
        <v>0.36305847445483341</v>
      </c>
      <c r="AE65">
        <v>6.4441280926210016</v>
      </c>
      <c r="AF65">
        <v>10.914583824419065</v>
      </c>
      <c r="AG65">
        <v>14.42882629104038</v>
      </c>
      <c r="AI65">
        <v>2.4172167024848275</v>
      </c>
      <c r="AK65">
        <v>31.053114917089442</v>
      </c>
    </row>
    <row r="66" spans="1:37" x14ac:dyDescent="0.2">
      <c r="A66">
        <v>65</v>
      </c>
      <c r="B66">
        <v>740</v>
      </c>
      <c r="C66">
        <v>240</v>
      </c>
      <c r="D66">
        <v>0.32777032028821201</v>
      </c>
      <c r="E66">
        <v>179.84944771344391</v>
      </c>
      <c r="F66">
        <v>49.194627099371189</v>
      </c>
      <c r="G66">
        <v>69.846381040364861</v>
      </c>
      <c r="H66">
        <v>65.205814493665372</v>
      </c>
      <c r="J66">
        <v>24.464709108546089</v>
      </c>
      <c r="L66">
        <v>1.6869833464064394</v>
      </c>
      <c r="M66">
        <v>10.365889371407018</v>
      </c>
      <c r="N66">
        <v>2.4820784668739075</v>
      </c>
      <c r="O66">
        <v>5.8004079565055173</v>
      </c>
      <c r="P66">
        <v>8.0263657352928846</v>
      </c>
      <c r="R66">
        <v>6.0628890644955735</v>
      </c>
      <c r="S66">
        <v>30.517009771987748</v>
      </c>
      <c r="U66">
        <v>1.0405851541887938</v>
      </c>
      <c r="V66">
        <v>48.321877114536811</v>
      </c>
      <c r="W66">
        <v>16.904499661363143</v>
      </c>
      <c r="X66">
        <v>45.129518119602182</v>
      </c>
      <c r="Y66">
        <v>3.6229725664350729</v>
      </c>
      <c r="Z66">
        <v>17.764954496968159</v>
      </c>
      <c r="AB66">
        <v>30.042654327876015</v>
      </c>
      <c r="AE66">
        <v>6.4626096017089587</v>
      </c>
      <c r="AF66">
        <v>10.00000120037758</v>
      </c>
      <c r="AG66">
        <v>15.27714388787197</v>
      </c>
      <c r="AI66">
        <v>2.420601405068592</v>
      </c>
      <c r="AK66">
        <v>28.217182552747651</v>
      </c>
    </row>
    <row r="67" spans="1:37" x14ac:dyDescent="0.2">
      <c r="A67">
        <v>66</v>
      </c>
      <c r="B67">
        <v>738</v>
      </c>
      <c r="C67">
        <v>240</v>
      </c>
      <c r="D67">
        <v>0.326302230134007</v>
      </c>
      <c r="E67">
        <v>180.12594667249047</v>
      </c>
      <c r="F67">
        <v>49.974265132615947</v>
      </c>
      <c r="G67">
        <v>69.810080941829284</v>
      </c>
      <c r="H67">
        <v>65.16515955178896</v>
      </c>
      <c r="J67">
        <v>22.160829702809632</v>
      </c>
      <c r="L67">
        <v>1.7120855012790526</v>
      </c>
      <c r="M67">
        <v>9.615431091339353</v>
      </c>
      <c r="N67">
        <v>2.4860535001311703</v>
      </c>
      <c r="O67">
        <v>5.7617476081813406</v>
      </c>
      <c r="P67">
        <v>8.0009688574334188</v>
      </c>
      <c r="R67">
        <v>5.4817704454129359</v>
      </c>
      <c r="S67">
        <v>31.194604572158724</v>
      </c>
      <c r="U67">
        <v>0.9970096991379539</v>
      </c>
      <c r="V67">
        <v>49.307469307207676</v>
      </c>
      <c r="W67">
        <v>16.002390731512051</v>
      </c>
      <c r="X67">
        <v>45.077354554420154</v>
      </c>
      <c r="Y67">
        <v>3.5602887700695449</v>
      </c>
      <c r="Z67">
        <v>17.857504533482608</v>
      </c>
      <c r="AB67">
        <v>30.784170796147862</v>
      </c>
      <c r="AE67">
        <v>6.5017094859221398</v>
      </c>
      <c r="AF67">
        <v>9.2473369081822252</v>
      </c>
      <c r="AG67">
        <v>15.988887194581656</v>
      </c>
      <c r="AI67">
        <v>2.4239757733496856</v>
      </c>
      <c r="AK67">
        <v>26.491097986924686</v>
      </c>
    </row>
    <row r="68" spans="1:37" x14ac:dyDescent="0.2">
      <c r="A68">
        <v>67</v>
      </c>
      <c r="B68">
        <v>736</v>
      </c>
      <c r="C68">
        <v>240</v>
      </c>
      <c r="D68">
        <v>0.32482832086409602</v>
      </c>
      <c r="E68">
        <v>180.35324733429835</v>
      </c>
      <c r="F68">
        <v>50.644782149872412</v>
      </c>
      <c r="G68">
        <v>69.773059379011656</v>
      </c>
      <c r="H68">
        <v>65.123836808625867</v>
      </c>
      <c r="J68">
        <v>20.563178362397306</v>
      </c>
      <c r="L68">
        <v>1.7334376247212822</v>
      </c>
      <c r="M68">
        <v>8.9612764528056363</v>
      </c>
      <c r="N68">
        <v>2.4900241106116834</v>
      </c>
      <c r="O68">
        <v>5.7164505144439302</v>
      </c>
      <c r="P68">
        <v>7.9741572790837623</v>
      </c>
      <c r="R68">
        <v>4.9655456806617373</v>
      </c>
      <c r="S68">
        <v>31.775992382958428</v>
      </c>
      <c r="U68">
        <v>0.95281466473523646</v>
      </c>
      <c r="V68">
        <v>50.154673274165141</v>
      </c>
      <c r="W68">
        <v>15.196853852760286</v>
      </c>
      <c r="X68">
        <v>45.024241345599386</v>
      </c>
      <c r="Y68">
        <v>3.5082367866413846</v>
      </c>
      <c r="Z68">
        <v>17.933514285665908</v>
      </c>
      <c r="AB68">
        <v>31.423000548611242</v>
      </c>
      <c r="AE68">
        <v>6.5322284237079007</v>
      </c>
      <c r="AF68">
        <v>8.5909734672772196</v>
      </c>
      <c r="AG68">
        <v>16.597949887026196</v>
      </c>
      <c r="AI68">
        <v>2.4273422627586791</v>
      </c>
      <c r="AK68">
        <v>25.267062214214587</v>
      </c>
    </row>
    <row r="69" spans="1:37" x14ac:dyDescent="0.2">
      <c r="A69">
        <v>68</v>
      </c>
      <c r="B69">
        <v>734</v>
      </c>
      <c r="C69">
        <v>240</v>
      </c>
      <c r="D69">
        <v>0.32334855781164801</v>
      </c>
      <c r="E69">
        <v>180.54718654511046</v>
      </c>
      <c r="F69">
        <v>51.241461370103664</v>
      </c>
      <c r="G69">
        <v>69.735571562083251</v>
      </c>
      <c r="H69">
        <v>65.082101647218963</v>
      </c>
      <c r="J69">
        <v>19.361427610134012</v>
      </c>
      <c r="L69">
        <v>1.7523862231197744</v>
      </c>
      <c r="M69">
        <v>8.3726496471311123</v>
      </c>
      <c r="N69">
        <v>2.493991386383335</v>
      </c>
      <c r="O69">
        <v>5.6674984790087368</v>
      </c>
      <c r="P69">
        <v>7.9464427000270677</v>
      </c>
      <c r="R69">
        <v>4.4941006034770936</v>
      </c>
      <c r="S69">
        <v>32.291970656571451</v>
      </c>
      <c r="U69">
        <v>0.90819404077112065</v>
      </c>
      <c r="V69">
        <v>50.907265540004943</v>
      </c>
      <c r="W69">
        <v>14.457022359441623</v>
      </c>
      <c r="X69">
        <v>44.97072906457241</v>
      </c>
      <c r="Y69">
        <v>3.4633734504333487</v>
      </c>
      <c r="Z69">
        <v>17.998475718226754</v>
      </c>
      <c r="AB69">
        <v>31.99182520409332</v>
      </c>
      <c r="AE69">
        <v>6.5570078677757566</v>
      </c>
      <c r="AF69">
        <v>8.0001362038537298</v>
      </c>
      <c r="AG69">
        <v>17.137014722451195</v>
      </c>
      <c r="AI69">
        <v>2.4307019466412307</v>
      </c>
      <c r="AK69">
        <v>24.328243697954584</v>
      </c>
    </row>
    <row r="70" spans="1:37" x14ac:dyDescent="0.2">
      <c r="A70">
        <v>69</v>
      </c>
      <c r="B70">
        <v>732</v>
      </c>
      <c r="C70">
        <v>240</v>
      </c>
      <c r="D70">
        <v>0.32186290603392398</v>
      </c>
      <c r="E70">
        <v>180.71657520554683</v>
      </c>
      <c r="F70">
        <v>51.783909573195409</v>
      </c>
      <c r="G70">
        <v>69.697758103376202</v>
      </c>
      <c r="H70">
        <v>65.040094853458399</v>
      </c>
      <c r="J70">
        <v>18.41177356420641</v>
      </c>
      <c r="L70">
        <v>1.7695885092517747</v>
      </c>
      <c r="M70">
        <v>7.8323952431422779</v>
      </c>
      <c r="N70">
        <v>2.4979559590224136</v>
      </c>
      <c r="O70">
        <v>5.6165368739271244</v>
      </c>
      <c r="P70">
        <v>7.9181071689539317</v>
      </c>
      <c r="R70">
        <v>4.0561754796886973</v>
      </c>
      <c r="S70">
        <v>32.759849580108295</v>
      </c>
      <c r="U70">
        <v>0.86324124805330016</v>
      </c>
      <c r="V70">
        <v>51.589711022024588</v>
      </c>
      <c r="W70">
        <v>13.76569924632286</v>
      </c>
      <c r="X70">
        <v>44.917080917134697</v>
      </c>
      <c r="Y70">
        <v>3.4237888645137939</v>
      </c>
      <c r="Z70">
        <v>18.055407569917083</v>
      </c>
      <c r="AB70">
        <v>32.508925795705373</v>
      </c>
      <c r="AE70">
        <v>6.5776094276392989</v>
      </c>
      <c r="AF70">
        <v>7.4576703653210608</v>
      </c>
      <c r="AG70">
        <v>17.624363416220852</v>
      </c>
      <c r="AI70">
        <v>2.4340554418532601</v>
      </c>
      <c r="AK70">
        <v>23.573200362619257</v>
      </c>
    </row>
    <row r="71" spans="1:37" x14ac:dyDescent="0.2">
      <c r="A71">
        <v>70</v>
      </c>
      <c r="B71">
        <v>760</v>
      </c>
      <c r="C71">
        <v>220</v>
      </c>
      <c r="D71">
        <v>0.36343270580264397</v>
      </c>
      <c r="E71">
        <v>168.99124061860903</v>
      </c>
      <c r="F71">
        <v>56.053644326090499</v>
      </c>
      <c r="G71">
        <v>70.879805313702676</v>
      </c>
      <c r="H71">
        <v>66.284802926381118</v>
      </c>
      <c r="J71">
        <v>44.401630397886827</v>
      </c>
      <c r="L71">
        <v>3.7151323366587565</v>
      </c>
      <c r="M71">
        <v>13.723060929152952</v>
      </c>
      <c r="N71">
        <v>2.3772632671752403</v>
      </c>
      <c r="O71">
        <v>16.608972762100596</v>
      </c>
      <c r="P71">
        <v>9.444946561111319</v>
      </c>
      <c r="Q71">
        <v>0.57972204174825204</v>
      </c>
      <c r="R71">
        <v>11.715020043737024</v>
      </c>
      <c r="S71">
        <v>36.042505986944043</v>
      </c>
      <c r="U71">
        <v>2.2389054394699843</v>
      </c>
      <c r="V71">
        <v>45.936037131931108</v>
      </c>
      <c r="W71">
        <v>23.510074924237561</v>
      </c>
      <c r="X71">
        <v>46.997881601261987</v>
      </c>
      <c r="Y71">
        <v>5.6892036266848764</v>
      </c>
      <c r="Z71">
        <v>28.099847899973025</v>
      </c>
      <c r="AA71">
        <v>2.6908488869813225</v>
      </c>
      <c r="AB71">
        <v>33.641340122297244</v>
      </c>
      <c r="AC71">
        <v>7.7132257882664944E-3</v>
      </c>
      <c r="AD71">
        <v>5.8553734920600808</v>
      </c>
      <c r="AE71">
        <v>12.097474796962233</v>
      </c>
      <c r="AF71">
        <v>13.375926970298559</v>
      </c>
      <c r="AG71">
        <v>19.195394098668441</v>
      </c>
      <c r="AH71">
        <v>3.6273237761244697</v>
      </c>
      <c r="AI71">
        <v>2.3190985518888962</v>
      </c>
      <c r="AK71">
        <v>41.636621811371448</v>
      </c>
    </row>
    <row r="72" spans="1:37" x14ac:dyDescent="0.2">
      <c r="A72">
        <v>71</v>
      </c>
      <c r="B72">
        <v>758</v>
      </c>
      <c r="C72">
        <v>220</v>
      </c>
      <c r="D72">
        <v>0.36206226058284502</v>
      </c>
      <c r="E72">
        <v>168.76391301669941</v>
      </c>
      <c r="F72">
        <v>55.361800446219426</v>
      </c>
      <c r="G72">
        <v>70.763865825221302</v>
      </c>
      <c r="H72">
        <v>66.163965050030868</v>
      </c>
      <c r="J72">
        <v>44.288907143419635</v>
      </c>
      <c r="L72">
        <v>3.5627872128194942</v>
      </c>
      <c r="M72">
        <v>13.597532819528199</v>
      </c>
      <c r="N72">
        <v>2.3731792131404448</v>
      </c>
      <c r="O72">
        <v>15.889752872935214</v>
      </c>
      <c r="P72">
        <v>9.2518800374758179</v>
      </c>
      <c r="Q72">
        <v>0.44930914883853051</v>
      </c>
      <c r="R72">
        <v>11.322648340123319</v>
      </c>
      <c r="S72">
        <v>35.228816002593589</v>
      </c>
      <c r="U72">
        <v>2.0856283321064555</v>
      </c>
      <c r="V72">
        <v>45.73092001058486</v>
      </c>
      <c r="W72">
        <v>23.120394665302651</v>
      </c>
      <c r="X72">
        <v>46.616150011994854</v>
      </c>
      <c r="Y72">
        <v>5.5278735526859073</v>
      </c>
      <c r="Z72">
        <v>27.725822584543131</v>
      </c>
      <c r="AA72">
        <v>2.5333148900430968</v>
      </c>
      <c r="AB72">
        <v>33.365733101890271</v>
      </c>
      <c r="AD72">
        <v>5.6434432214267645</v>
      </c>
      <c r="AE72">
        <v>11.928204653455767</v>
      </c>
      <c r="AF72">
        <v>13.240114328392703</v>
      </c>
      <c r="AG72">
        <v>18.881904898459641</v>
      </c>
      <c r="AH72">
        <v>3.3826780796895659</v>
      </c>
      <c r="AI72">
        <v>2.3144493885352797</v>
      </c>
      <c r="AK72">
        <v>41.642986840939301</v>
      </c>
    </row>
    <row r="73" spans="1:37" x14ac:dyDescent="0.2">
      <c r="A73">
        <v>72</v>
      </c>
      <c r="B73">
        <v>756</v>
      </c>
      <c r="C73">
        <v>220</v>
      </c>
      <c r="D73">
        <v>0.36068648885002402</v>
      </c>
      <c r="E73">
        <v>168.51796586142834</v>
      </c>
      <c r="F73">
        <v>54.608503508857375</v>
      </c>
      <c r="G73">
        <v>70.638693179098212</v>
      </c>
      <c r="H73">
        <v>66.033945994779714</v>
      </c>
      <c r="J73">
        <v>44.142622561992319</v>
      </c>
      <c r="L73">
        <v>3.4007807689308756</v>
      </c>
      <c r="M73">
        <v>13.446000021362975</v>
      </c>
      <c r="N73">
        <v>2.3771366673463912</v>
      </c>
      <c r="O73">
        <v>15.145935303214443</v>
      </c>
      <c r="P73">
        <v>9.0484194916512344</v>
      </c>
      <c r="Q73">
        <v>0.29963684720807626</v>
      </c>
      <c r="R73">
        <v>10.888969868274312</v>
      </c>
      <c r="S73">
        <v>34.287208217495341</v>
      </c>
      <c r="U73">
        <v>1.909592974409402</v>
      </c>
      <c r="V73">
        <v>45.482792403103559</v>
      </c>
      <c r="W73">
        <v>22.682367600008611</v>
      </c>
      <c r="X73">
        <v>46.157723661069767</v>
      </c>
      <c r="Y73">
        <v>5.3528119014981712</v>
      </c>
      <c r="Z73">
        <v>27.318184781883772</v>
      </c>
      <c r="AA73">
        <v>2.3662522322338844</v>
      </c>
      <c r="AB73">
        <v>33.046478377201211</v>
      </c>
      <c r="AD73">
        <v>5.4091190451256654</v>
      </c>
      <c r="AE73">
        <v>11.746309797284084</v>
      </c>
      <c r="AF73">
        <v>13.086339701470605</v>
      </c>
      <c r="AG73">
        <v>18.532819540384075</v>
      </c>
      <c r="AH73">
        <v>3.1088991698797166</v>
      </c>
      <c r="AI73">
        <v>2.3178384245181647</v>
      </c>
      <c r="AK73">
        <v>41.637173219155677</v>
      </c>
    </row>
    <row r="74" spans="1:37" x14ac:dyDescent="0.2">
      <c r="A74">
        <v>73</v>
      </c>
      <c r="B74">
        <v>754</v>
      </c>
      <c r="C74">
        <v>220</v>
      </c>
      <c r="D74">
        <v>0.35930535948985198</v>
      </c>
      <c r="E74">
        <v>168.27259075096381</v>
      </c>
      <c r="F74">
        <v>53.857811823891389</v>
      </c>
      <c r="G74">
        <v>70.513832612351308</v>
      </c>
      <c r="H74">
        <v>65.904291163869459</v>
      </c>
      <c r="J74">
        <v>43.998635679251194</v>
      </c>
      <c r="L74">
        <v>3.2393428171140766</v>
      </c>
      <c r="M74">
        <v>13.295015962423353</v>
      </c>
      <c r="N74">
        <v>2.3810936247039671</v>
      </c>
      <c r="O74">
        <v>14.40444147038548</v>
      </c>
      <c r="P74">
        <v>8.8456135735928818</v>
      </c>
      <c r="Q74">
        <v>0.15025899665927089</v>
      </c>
      <c r="R74">
        <v>10.456615695587784</v>
      </c>
      <c r="S74">
        <v>33.349077307429283</v>
      </c>
      <c r="U74">
        <v>1.733782746129884</v>
      </c>
      <c r="V74">
        <v>45.235436095625495</v>
      </c>
      <c r="W74">
        <v>22.245407384741764</v>
      </c>
      <c r="X74">
        <v>45.700881592552214</v>
      </c>
      <c r="Y74">
        <v>5.1783112651003513</v>
      </c>
      <c r="Z74">
        <v>26.91170700380184</v>
      </c>
      <c r="AA74">
        <v>2.19981449193335</v>
      </c>
      <c r="AB74">
        <v>32.728279711704076</v>
      </c>
      <c r="AD74">
        <v>5.1752417837832114</v>
      </c>
      <c r="AE74">
        <v>11.564913391749151</v>
      </c>
      <c r="AF74">
        <v>12.933114556945542</v>
      </c>
      <c r="AG74">
        <v>18.184799830056814</v>
      </c>
      <c r="AH74">
        <v>2.8359782574228469</v>
      </c>
      <c r="AI74">
        <v>2.321223640040643</v>
      </c>
      <c r="AK74">
        <v>41.632560099691311</v>
      </c>
    </row>
    <row r="75" spans="1:37" x14ac:dyDescent="0.2">
      <c r="A75">
        <v>74</v>
      </c>
      <c r="B75">
        <v>752</v>
      </c>
      <c r="C75">
        <v>220</v>
      </c>
      <c r="D75">
        <v>0.35791884114519901</v>
      </c>
      <c r="E75">
        <v>168.02778446924469</v>
      </c>
      <c r="F75">
        <v>53.109712980506622</v>
      </c>
      <c r="G75">
        <v>70.389282934377249</v>
      </c>
      <c r="H75">
        <v>65.77499953356832</v>
      </c>
      <c r="J75">
        <v>43.856942617180991</v>
      </c>
      <c r="L75">
        <v>3.0785640019999265</v>
      </c>
      <c r="M75">
        <v>13.144577257959465</v>
      </c>
      <c r="N75">
        <v>2.385050089911696</v>
      </c>
      <c r="O75">
        <v>13.665261907861805</v>
      </c>
      <c r="P75">
        <v>8.6434600888062789</v>
      </c>
      <c r="Q75">
        <v>1.2455526237667414E-3</v>
      </c>
      <c r="R75">
        <v>10.025577451882466</v>
      </c>
      <c r="S75">
        <v>32.414402840177296</v>
      </c>
      <c r="U75">
        <v>1.5581951091550654</v>
      </c>
      <c r="V75">
        <v>44.988845661518752</v>
      </c>
      <c r="W75">
        <v>21.809507664493172</v>
      </c>
      <c r="X75">
        <v>45.245612625275996</v>
      </c>
      <c r="Y75">
        <v>5.0043685703621454</v>
      </c>
      <c r="Z75">
        <v>26.50638339751891</v>
      </c>
      <c r="AA75">
        <v>2.0339987967872148</v>
      </c>
      <c r="AB75">
        <v>32.411131100578544</v>
      </c>
      <c r="AD75">
        <v>4.9418115591113159</v>
      </c>
      <c r="AE75">
        <v>11.384012769502132</v>
      </c>
      <c r="AF75">
        <v>12.780435559704113</v>
      </c>
      <c r="AG75">
        <v>17.837839814889801</v>
      </c>
      <c r="AH75">
        <v>2.5639125682096986</v>
      </c>
      <c r="AI75">
        <v>2.3246050250894843</v>
      </c>
      <c r="AK75">
        <v>41.629146539480594</v>
      </c>
    </row>
    <row r="76" spans="1:37" x14ac:dyDescent="0.2">
      <c r="A76">
        <v>75</v>
      </c>
      <c r="B76">
        <v>750</v>
      </c>
      <c r="C76">
        <v>220</v>
      </c>
      <c r="D76">
        <v>0.356526902213751</v>
      </c>
      <c r="E76">
        <v>167.63229974669827</v>
      </c>
      <c r="F76">
        <v>51.338190593106816</v>
      </c>
      <c r="G76">
        <v>70.081926367749517</v>
      </c>
      <c r="H76">
        <v>65.462953493972364</v>
      </c>
      <c r="J76">
        <v>43.554263394257696</v>
      </c>
      <c r="L76">
        <v>2.6121507280487459</v>
      </c>
      <c r="M76">
        <v>13.143629063946253</v>
      </c>
      <c r="N76">
        <v>2.3889909178243371</v>
      </c>
      <c r="O76">
        <v>11.735859372270282</v>
      </c>
      <c r="P76">
        <v>8.0757085203166064</v>
      </c>
      <c r="R76">
        <v>9.3961761049643453</v>
      </c>
      <c r="S76">
        <v>31.843211489098479</v>
      </c>
      <c r="U76">
        <v>1.4873823572424645</v>
      </c>
      <c r="V76">
        <v>45.094820219767982</v>
      </c>
      <c r="W76">
        <v>21.354939207256134</v>
      </c>
      <c r="X76">
        <v>45.118802806042083</v>
      </c>
      <c r="Y76">
        <v>4.4753175716730933</v>
      </c>
      <c r="Z76">
        <v>25.568438018945052</v>
      </c>
      <c r="AA76">
        <v>1.5451573417050894</v>
      </c>
      <c r="AB76">
        <v>32.316627872501115</v>
      </c>
      <c r="AD76">
        <v>4.372151167870169</v>
      </c>
      <c r="AE76">
        <v>11.029469453862063</v>
      </c>
      <c r="AF76">
        <v>12.777232765717807</v>
      </c>
      <c r="AG76">
        <v>17.713519726248315</v>
      </c>
      <c r="AH76">
        <v>1.7717670869626838</v>
      </c>
      <c r="AI76">
        <v>2.3279674198046676</v>
      </c>
      <c r="AK76">
        <v>41.386173526845106</v>
      </c>
    </row>
    <row r="77" spans="1:37" x14ac:dyDescent="0.2">
      <c r="A77">
        <v>76</v>
      </c>
      <c r="B77">
        <v>748</v>
      </c>
      <c r="C77">
        <v>220</v>
      </c>
      <c r="D77">
        <v>0.355129510845618</v>
      </c>
      <c r="E77">
        <v>167.23453705762341</v>
      </c>
      <c r="F77">
        <v>49.514017640047847</v>
      </c>
      <c r="G77">
        <v>69.761557639972864</v>
      </c>
      <c r="H77">
        <v>65.137947940764107</v>
      </c>
      <c r="J77">
        <v>43.209882368052668</v>
      </c>
      <c r="L77">
        <v>2.1193987756860877</v>
      </c>
      <c r="M77">
        <v>13.146919228599231</v>
      </c>
      <c r="N77">
        <v>2.3929292154957098</v>
      </c>
      <c r="O77">
        <v>9.7272768613576908</v>
      </c>
      <c r="P77">
        <v>7.4819616142382239</v>
      </c>
      <c r="R77">
        <v>8.7201742254361161</v>
      </c>
      <c r="S77">
        <v>31.182117579572569</v>
      </c>
      <c r="U77">
        <v>1.429082107292545</v>
      </c>
      <c r="V77">
        <v>45.175752807818597</v>
      </c>
      <c r="W77">
        <v>20.907499172467393</v>
      </c>
      <c r="X77">
        <v>45.029095312750528</v>
      </c>
      <c r="Y77">
        <v>3.92122057599533</v>
      </c>
      <c r="Z77">
        <v>24.598118435171173</v>
      </c>
      <c r="AA77">
        <v>1.0328503566711733</v>
      </c>
      <c r="AB77">
        <v>32.182629115021172</v>
      </c>
      <c r="AD77">
        <v>3.7795095301823749</v>
      </c>
      <c r="AE77">
        <v>10.665844823422036</v>
      </c>
      <c r="AF77">
        <v>12.778267175601002</v>
      </c>
      <c r="AG77">
        <v>17.54971180687528</v>
      </c>
      <c r="AH77">
        <v>0.94120624960926735</v>
      </c>
      <c r="AI77">
        <v>2.3313239165216242</v>
      </c>
      <c r="AK77">
        <v>41.125394222246655</v>
      </c>
    </row>
    <row r="78" spans="1:37" x14ac:dyDescent="0.2">
      <c r="A78">
        <v>77</v>
      </c>
      <c r="B78">
        <v>746</v>
      </c>
      <c r="C78">
        <v>220</v>
      </c>
      <c r="D78">
        <v>0.35372663494088302</v>
      </c>
      <c r="E78">
        <v>168.05450251199017</v>
      </c>
      <c r="F78">
        <v>48.893582119379104</v>
      </c>
      <c r="G78">
        <v>70.015455754565977</v>
      </c>
      <c r="H78">
        <v>65.387262046297991</v>
      </c>
      <c r="J78">
        <v>30.315552900392184</v>
      </c>
      <c r="L78">
        <v>1.6112035830342502</v>
      </c>
      <c r="M78">
        <v>11.968569573952633</v>
      </c>
      <c r="N78">
        <v>2.3969478214789337</v>
      </c>
      <c r="O78">
        <v>6.2918945352180407</v>
      </c>
      <c r="P78">
        <v>8.0368604012316922</v>
      </c>
      <c r="R78">
        <v>7.5490632924461085</v>
      </c>
      <c r="S78">
        <v>30.197605559073164</v>
      </c>
      <c r="U78">
        <v>1.4246758815322784</v>
      </c>
      <c r="V78">
        <v>46.59137462662202</v>
      </c>
      <c r="W78">
        <v>19.551763872681772</v>
      </c>
      <c r="X78">
        <v>45.089084919936568</v>
      </c>
      <c r="Y78">
        <v>3.6480676317036065</v>
      </c>
      <c r="Z78">
        <v>19.126995334469477</v>
      </c>
      <c r="AB78">
        <v>29.791485578117275</v>
      </c>
      <c r="AD78">
        <v>1.088546776118771</v>
      </c>
      <c r="AE78">
        <v>7.3475117123498475</v>
      </c>
      <c r="AF78">
        <v>11.597743495490064</v>
      </c>
      <c r="AG78">
        <v>15.128849693753848</v>
      </c>
      <c r="AI78">
        <v>2.334757339072639</v>
      </c>
      <c r="AK78">
        <v>32.265291140945827</v>
      </c>
    </row>
    <row r="79" spans="1:37" x14ac:dyDescent="0.2">
      <c r="A79">
        <v>78</v>
      </c>
      <c r="B79">
        <v>744</v>
      </c>
      <c r="C79">
        <v>220</v>
      </c>
      <c r="D79">
        <v>0.352318242147177</v>
      </c>
      <c r="E79">
        <v>168.55138004486241</v>
      </c>
      <c r="F79">
        <v>49.3279340138211</v>
      </c>
      <c r="G79">
        <v>70.093550740721028</v>
      </c>
      <c r="H79">
        <v>65.460826009265475</v>
      </c>
      <c r="J79">
        <v>25.58752924504623</v>
      </c>
      <c r="L79">
        <v>1.6554545732867336</v>
      </c>
      <c r="M79">
        <v>11.02233892889325</v>
      </c>
      <c r="N79">
        <v>2.4009417909200823</v>
      </c>
      <c r="O79">
        <v>6.0638936550378251</v>
      </c>
      <c r="P79">
        <v>8.2401601809390392</v>
      </c>
      <c r="R79">
        <v>6.941336954748623</v>
      </c>
      <c r="S79">
        <v>30.90889208033845</v>
      </c>
      <c r="U79">
        <v>1.3890569484788784</v>
      </c>
      <c r="V79">
        <v>47.848153568204502</v>
      </c>
      <c r="W79">
        <v>18.447126109433423</v>
      </c>
      <c r="X79">
        <v>45.060321082483341</v>
      </c>
      <c r="Y79">
        <v>3.6403956329045579</v>
      </c>
      <c r="Z79">
        <v>17.30340889563405</v>
      </c>
      <c r="AB79">
        <v>29.556232361033402</v>
      </c>
      <c r="AD79">
        <v>0.17478425743166995</v>
      </c>
      <c r="AE79">
        <v>6.2575717772987121</v>
      </c>
      <c r="AF79">
        <v>10.649315655173387</v>
      </c>
      <c r="AG79">
        <v>14.863863590031951</v>
      </c>
      <c r="AI79">
        <v>2.3381627278815547</v>
      </c>
      <c r="AK79">
        <v>28.873424809753171</v>
      </c>
    </row>
    <row r="80" spans="1:37" x14ac:dyDescent="0.2">
      <c r="A80">
        <v>79</v>
      </c>
      <c r="B80">
        <v>742</v>
      </c>
      <c r="C80">
        <v>220</v>
      </c>
      <c r="D80">
        <v>0.35090429985716198</v>
      </c>
      <c r="E80">
        <v>168.84096603387027</v>
      </c>
      <c r="F80">
        <v>50.271710086913927</v>
      </c>
      <c r="G80">
        <v>70.038651232264229</v>
      </c>
      <c r="H80">
        <v>65.401448633657523</v>
      </c>
      <c r="J80">
        <v>22.835615483722794</v>
      </c>
      <c r="L80">
        <v>1.6798935180014452</v>
      </c>
      <c r="M80">
        <v>10.216427253187671</v>
      </c>
      <c r="N80">
        <v>2.4049211351135469</v>
      </c>
      <c r="O80">
        <v>6.05191068023995</v>
      </c>
      <c r="P80">
        <v>8.1774884194558748</v>
      </c>
      <c r="R80">
        <v>6.297108503382197</v>
      </c>
      <c r="S80">
        <v>31.614196443810499</v>
      </c>
      <c r="U80">
        <v>1.3490288702225701</v>
      </c>
      <c r="V80">
        <v>48.898192479245232</v>
      </c>
      <c r="W80">
        <v>17.485176106563134</v>
      </c>
      <c r="X80">
        <v>45.019795615813209</v>
      </c>
      <c r="Y80">
        <v>3.5560441513383441</v>
      </c>
      <c r="Z80">
        <v>17.728124333412389</v>
      </c>
      <c r="AB80">
        <v>30.525329426669824</v>
      </c>
      <c r="AE80">
        <v>6.4906228426423764</v>
      </c>
      <c r="AF80">
        <v>9.8411936716755104</v>
      </c>
      <c r="AG80">
        <v>15.803223518980522</v>
      </c>
      <c r="AI80">
        <v>2.3415500795197164</v>
      </c>
      <c r="AK80">
        <v>26.83837442151199</v>
      </c>
    </row>
    <row r="81" spans="1:37" x14ac:dyDescent="0.2">
      <c r="A81">
        <v>80</v>
      </c>
      <c r="B81">
        <v>740</v>
      </c>
      <c r="C81">
        <v>220</v>
      </c>
      <c r="D81">
        <v>0.34948477520604299</v>
      </c>
      <c r="E81">
        <v>169.08550431182704</v>
      </c>
      <c r="F81">
        <v>50.980283749897175</v>
      </c>
      <c r="G81">
        <v>70.001687080084935</v>
      </c>
      <c r="H81">
        <v>65.360059941200646</v>
      </c>
      <c r="J81">
        <v>21.028465831422071</v>
      </c>
      <c r="L81">
        <v>1.7016770349559374</v>
      </c>
      <c r="M81">
        <v>9.531617098008546</v>
      </c>
      <c r="N81">
        <v>2.4088967052547581</v>
      </c>
      <c r="O81">
        <v>5.9974507360237164</v>
      </c>
      <c r="P81">
        <v>8.150715857959538</v>
      </c>
      <c r="R81">
        <v>5.7557285462191201</v>
      </c>
      <c r="S81">
        <v>32.200709481573391</v>
      </c>
      <c r="U81">
        <v>1.3062878344039646</v>
      </c>
      <c r="V81">
        <v>49.784210907927253</v>
      </c>
      <c r="W81">
        <v>16.645686307831788</v>
      </c>
      <c r="X81">
        <v>44.972328164808822</v>
      </c>
      <c r="Y81">
        <v>3.4984809438542182</v>
      </c>
      <c r="Z81">
        <v>17.810690101334441</v>
      </c>
      <c r="AB81">
        <v>31.187047478078476</v>
      </c>
      <c r="AE81">
        <v>6.5247391372973942</v>
      </c>
      <c r="AF81">
        <v>9.1541709935319258</v>
      </c>
      <c r="AG81">
        <v>16.435211084231355</v>
      </c>
      <c r="AI81">
        <v>2.3449302304577637</v>
      </c>
      <c r="AK81">
        <v>25.469174197387172</v>
      </c>
    </row>
    <row r="82" spans="1:37" x14ac:dyDescent="0.2">
      <c r="A82">
        <v>81</v>
      </c>
      <c r="B82">
        <v>738</v>
      </c>
      <c r="C82">
        <v>220</v>
      </c>
      <c r="D82">
        <v>0.34805963506898102</v>
      </c>
      <c r="E82">
        <v>169.29149509835455</v>
      </c>
      <c r="F82">
        <v>51.603349777126134</v>
      </c>
      <c r="G82">
        <v>69.964144265668125</v>
      </c>
      <c r="H82">
        <v>65.318146084889904</v>
      </c>
      <c r="J82">
        <v>19.699694457151899</v>
      </c>
      <c r="L82">
        <v>1.7207766110143494</v>
      </c>
      <c r="M82">
        <v>8.9208612979373676</v>
      </c>
      <c r="N82">
        <v>2.4128687869148084</v>
      </c>
      <c r="O82">
        <v>5.9386405185535995</v>
      </c>
      <c r="P82">
        <v>8.1228149342445857</v>
      </c>
      <c r="R82">
        <v>5.2657260673798492</v>
      </c>
      <c r="S82">
        <v>32.720091980654416</v>
      </c>
      <c r="U82">
        <v>1.2623108936842935</v>
      </c>
      <c r="V82">
        <v>50.566072777283473</v>
      </c>
      <c r="W82">
        <v>15.880852214100253</v>
      </c>
      <c r="X82">
        <v>44.922158234298024</v>
      </c>
      <c r="Y82">
        <v>3.4492847161314968</v>
      </c>
      <c r="Z82">
        <v>17.880325317896261</v>
      </c>
      <c r="AB82">
        <v>31.773271909740831</v>
      </c>
      <c r="AE82">
        <v>6.5521562173273562</v>
      </c>
      <c r="AF82">
        <v>8.5412007872730999</v>
      </c>
      <c r="AG82">
        <v>16.99171201554741</v>
      </c>
      <c r="AI82">
        <v>2.3483034515426948</v>
      </c>
      <c r="AK82">
        <v>24.441684060009425</v>
      </c>
    </row>
    <row r="83" spans="1:37" x14ac:dyDescent="0.2">
      <c r="A83">
        <v>82</v>
      </c>
      <c r="B83">
        <v>736</v>
      </c>
      <c r="C83">
        <v>220</v>
      </c>
      <c r="D83">
        <v>0.34662884605856398</v>
      </c>
      <c r="E83">
        <v>169.46989653086339</v>
      </c>
      <c r="F83">
        <v>52.165347867481792</v>
      </c>
      <c r="G83">
        <v>69.926215374191429</v>
      </c>
      <c r="H83">
        <v>65.27589982209183</v>
      </c>
      <c r="J83">
        <v>18.664292150906057</v>
      </c>
      <c r="L83">
        <v>1.7379802811633127</v>
      </c>
      <c r="M83">
        <v>8.3635494636052954</v>
      </c>
      <c r="N83">
        <v>2.4168380773296234</v>
      </c>
      <c r="O83">
        <v>5.8774482081481825</v>
      </c>
      <c r="P83">
        <v>8.0941717062264154</v>
      </c>
      <c r="R83">
        <v>4.8131382337204709</v>
      </c>
      <c r="S83">
        <v>33.189993483925683</v>
      </c>
      <c r="U83">
        <v>1.2175554983184183</v>
      </c>
      <c r="V83">
        <v>51.271917157097953</v>
      </c>
      <c r="W83">
        <v>15.169828065834071</v>
      </c>
      <c r="X83">
        <v>44.870593980733915</v>
      </c>
      <c r="Y83">
        <v>3.4060983578691366</v>
      </c>
      <c r="Z83">
        <v>17.940807306531937</v>
      </c>
      <c r="AB83">
        <v>32.304282281695478</v>
      </c>
      <c r="AE83">
        <v>6.5748180915023111</v>
      </c>
      <c r="AF83">
        <v>7.9816734073509892</v>
      </c>
      <c r="AG83">
        <v>17.493006620229771</v>
      </c>
      <c r="AI83">
        <v>2.3516704252872738</v>
      </c>
      <c r="AK83">
        <v>23.626452969124774</v>
      </c>
    </row>
    <row r="84" spans="1:37" x14ac:dyDescent="0.2">
      <c r="A84">
        <v>83</v>
      </c>
      <c r="B84">
        <v>734</v>
      </c>
      <c r="C84">
        <v>220</v>
      </c>
      <c r="D84">
        <v>0.345192374522167</v>
      </c>
      <c r="E84">
        <v>169.62728485863298</v>
      </c>
      <c r="F84">
        <v>52.680925287919962</v>
      </c>
      <c r="G84">
        <v>69.888011606516343</v>
      </c>
      <c r="H84">
        <v>65.233432526539119</v>
      </c>
      <c r="J84">
        <v>17.82644330220635</v>
      </c>
      <c r="L84">
        <v>1.7539237873873208</v>
      </c>
      <c r="M84">
        <v>7.8471958883654027</v>
      </c>
      <c r="N84">
        <v>2.4208050197082827</v>
      </c>
      <c r="O84">
        <v>5.8150348420517437</v>
      </c>
      <c r="P84">
        <v>8.0650092102275384</v>
      </c>
      <c r="R84">
        <v>4.3895315838640672</v>
      </c>
      <c r="S84">
        <v>33.621614631588798</v>
      </c>
      <c r="U84">
        <v>1.172243189750162</v>
      </c>
      <c r="V84">
        <v>51.919009600396464</v>
      </c>
      <c r="W84">
        <v>14.500016435229982</v>
      </c>
      <c r="X84">
        <v>44.818266879891446</v>
      </c>
      <c r="Y84">
        <v>3.3674966101457109</v>
      </c>
      <c r="Z84">
        <v>17.994385741262452</v>
      </c>
      <c r="AB84">
        <v>32.792639287488846</v>
      </c>
      <c r="AE84">
        <v>6.5938847721009672</v>
      </c>
      <c r="AF84">
        <v>7.4631036371268227</v>
      </c>
      <c r="AG84">
        <v>17.951656085384627</v>
      </c>
      <c r="AI84">
        <v>2.355031580178232</v>
      </c>
      <c r="AK84">
        <v>22.955803990248828</v>
      </c>
    </row>
    <row r="85" spans="1:37" x14ac:dyDescent="0.2">
      <c r="A85">
        <v>84</v>
      </c>
      <c r="B85">
        <v>760</v>
      </c>
      <c r="C85">
        <v>200</v>
      </c>
      <c r="D85">
        <v>0.38472680636887402</v>
      </c>
      <c r="E85">
        <v>157.30748054804843</v>
      </c>
      <c r="F85">
        <v>55.615882646831842</v>
      </c>
      <c r="G85">
        <v>70.881296611933138</v>
      </c>
      <c r="H85">
        <v>66.285402803897497</v>
      </c>
      <c r="J85">
        <v>44.055704143473967</v>
      </c>
      <c r="L85">
        <v>3.6292530230947269</v>
      </c>
      <c r="M85">
        <v>13.698768714187507</v>
      </c>
      <c r="N85">
        <v>2.2981918636983849</v>
      </c>
      <c r="O85">
        <v>16.760561324508565</v>
      </c>
      <c r="P85">
        <v>9.2559326034818508</v>
      </c>
      <c r="Q85">
        <v>0.22820517396048917</v>
      </c>
      <c r="R85">
        <v>11.723657718899048</v>
      </c>
      <c r="S85">
        <v>35.733504557961851</v>
      </c>
      <c r="U85">
        <v>2.1872854670119546</v>
      </c>
      <c r="V85">
        <v>45.491202474681437</v>
      </c>
      <c r="W85">
        <v>24.022747998399137</v>
      </c>
      <c r="X85">
        <v>45.756153394868825</v>
      </c>
      <c r="Y85">
        <v>5.5256708634769556</v>
      </c>
      <c r="Z85">
        <v>28.079065317644037</v>
      </c>
      <c r="AA85">
        <v>2.6266204365180967</v>
      </c>
      <c r="AB85">
        <v>33.668910492252863</v>
      </c>
      <c r="AC85">
        <v>1.9045026451008093E-3</v>
      </c>
      <c r="AD85">
        <v>5.8328630305536189</v>
      </c>
      <c r="AE85">
        <v>12.24731530296617</v>
      </c>
      <c r="AF85">
        <v>13.334249264935659</v>
      </c>
      <c r="AG85">
        <v>19.230208872556066</v>
      </c>
      <c r="AH85">
        <v>3.231323817072552</v>
      </c>
      <c r="AI85">
        <v>2.237557936336811</v>
      </c>
      <c r="AK85">
        <v>41.329421983678046</v>
      </c>
    </row>
    <row r="86" spans="1:37" x14ac:dyDescent="0.2">
      <c r="A86">
        <v>85</v>
      </c>
      <c r="B86">
        <v>758</v>
      </c>
      <c r="C86">
        <v>200</v>
      </c>
      <c r="D86">
        <v>0.383397662803666</v>
      </c>
      <c r="E86">
        <v>157.06779311589875</v>
      </c>
      <c r="F86">
        <v>54.883653981133747</v>
      </c>
      <c r="G86">
        <v>70.758998455716181</v>
      </c>
      <c r="H86">
        <v>66.158189985485635</v>
      </c>
      <c r="J86">
        <v>43.91823023559828</v>
      </c>
      <c r="L86">
        <v>3.4707843741992073</v>
      </c>
      <c r="M86">
        <v>13.555772842063174</v>
      </c>
      <c r="N86">
        <v>2.299933832410213</v>
      </c>
      <c r="O86">
        <v>16.024319041936881</v>
      </c>
      <c r="P86">
        <v>9.0559592705536183</v>
      </c>
      <c r="Q86">
        <v>8.5264941487117135E-2</v>
      </c>
      <c r="R86">
        <v>11.304048689814065</v>
      </c>
      <c r="S86">
        <v>34.832012381893549</v>
      </c>
      <c r="U86">
        <v>2.0181531022267514</v>
      </c>
      <c r="V86">
        <v>45.257389242254582</v>
      </c>
      <c r="W86">
        <v>23.599185610894871</v>
      </c>
      <c r="X86">
        <v>45.323741140222566</v>
      </c>
      <c r="Y86">
        <v>5.355055512361214</v>
      </c>
      <c r="Z86">
        <v>27.683538759049831</v>
      </c>
      <c r="AA86">
        <v>2.4631013006542561</v>
      </c>
      <c r="AB86">
        <v>33.363941125436057</v>
      </c>
      <c r="AD86">
        <v>5.6068965975996186</v>
      </c>
      <c r="AE86">
        <v>12.069943071500639</v>
      </c>
      <c r="AF86">
        <v>13.186789247716003</v>
      </c>
      <c r="AG86">
        <v>18.893235961496444</v>
      </c>
      <c r="AH86">
        <v>2.9667161620322262</v>
      </c>
      <c r="AI86">
        <v>2.2387366001311015</v>
      </c>
      <c r="AK86">
        <v>41.327121717775391</v>
      </c>
    </row>
    <row r="87" spans="1:37" x14ac:dyDescent="0.2">
      <c r="A87">
        <v>86</v>
      </c>
      <c r="B87">
        <v>756</v>
      </c>
      <c r="C87">
        <v>200</v>
      </c>
      <c r="D87">
        <v>0.38206335325268598</v>
      </c>
      <c r="E87">
        <v>156.76000399779591</v>
      </c>
      <c r="F87">
        <v>53.705723715131327</v>
      </c>
      <c r="G87">
        <v>70.557870703789774</v>
      </c>
      <c r="H87">
        <v>65.95219955768286</v>
      </c>
      <c r="J87">
        <v>43.709348746479371</v>
      </c>
      <c r="L87">
        <v>3.1823415368607058</v>
      </c>
      <c r="M87">
        <v>13.469381886225261</v>
      </c>
      <c r="N87">
        <v>2.3038890392002109</v>
      </c>
      <c r="O87">
        <v>14.782900561845908</v>
      </c>
      <c r="P87">
        <v>8.7005707590828951</v>
      </c>
      <c r="R87">
        <v>10.793684666098484</v>
      </c>
      <c r="S87">
        <v>34.060276260088933</v>
      </c>
      <c r="U87">
        <v>1.8869002214378501</v>
      </c>
      <c r="V87">
        <v>45.164429426371399</v>
      </c>
      <c r="W87">
        <v>23.153265751225931</v>
      </c>
      <c r="X87">
        <v>45.009277153641378</v>
      </c>
      <c r="Y87">
        <v>5.0322989608880411</v>
      </c>
      <c r="Z87">
        <v>27.053832580300629</v>
      </c>
      <c r="AA87">
        <v>2.1620651190577993</v>
      </c>
      <c r="AB87">
        <v>33.144429083812597</v>
      </c>
      <c r="AD87">
        <v>5.2333915697891458</v>
      </c>
      <c r="AE87">
        <v>11.815107676893946</v>
      </c>
      <c r="AF87">
        <v>13.098148599454124</v>
      </c>
      <c r="AG87">
        <v>18.643943651882079</v>
      </c>
      <c r="AH87">
        <v>2.4772362390978362</v>
      </c>
      <c r="AI87">
        <v>2.2421251930993207</v>
      </c>
      <c r="AK87">
        <v>41.222765134317022</v>
      </c>
    </row>
    <row r="88" spans="1:37" x14ac:dyDescent="0.2">
      <c r="A88">
        <v>87</v>
      </c>
      <c r="B88">
        <v>754</v>
      </c>
      <c r="C88">
        <v>200</v>
      </c>
      <c r="D88">
        <v>0.38072384753930699</v>
      </c>
      <c r="E88">
        <v>156.36947702995295</v>
      </c>
      <c r="F88">
        <v>51.942151685611499</v>
      </c>
      <c r="G88">
        <v>70.250104254427512</v>
      </c>
      <c r="H88">
        <v>65.639622584985716</v>
      </c>
      <c r="J88">
        <v>43.39666646865173</v>
      </c>
      <c r="L88">
        <v>2.7131536150778266</v>
      </c>
      <c r="M88">
        <v>13.468736507839822</v>
      </c>
      <c r="N88">
        <v>2.3078345506543352</v>
      </c>
      <c r="O88">
        <v>12.84856609509019</v>
      </c>
      <c r="P88">
        <v>8.1319261132281007</v>
      </c>
      <c r="R88">
        <v>10.152956032491295</v>
      </c>
      <c r="S88">
        <v>33.453212666540296</v>
      </c>
      <c r="U88">
        <v>1.8210210486572198</v>
      </c>
      <c r="V88">
        <v>45.256159433429865</v>
      </c>
      <c r="W88">
        <v>22.699809303805115</v>
      </c>
      <c r="X88">
        <v>44.898757447408656</v>
      </c>
      <c r="Y88">
        <v>4.5023817794053134</v>
      </c>
      <c r="Z88">
        <v>26.115037880104921</v>
      </c>
      <c r="AA88">
        <v>1.672230719429048</v>
      </c>
      <c r="AB88">
        <v>33.03035007351226</v>
      </c>
      <c r="AD88">
        <v>4.6638573279251405</v>
      </c>
      <c r="AE88">
        <v>11.4600142061445</v>
      </c>
      <c r="AF88">
        <v>13.095245092638688</v>
      </c>
      <c r="AG88">
        <v>18.500084763660411</v>
      </c>
      <c r="AH88">
        <v>1.6839027043282766</v>
      </c>
      <c r="AI88">
        <v>2.245500767119514</v>
      </c>
      <c r="AK88">
        <v>40.980501281922841</v>
      </c>
    </row>
    <row r="89" spans="1:37" x14ac:dyDescent="0.2">
      <c r="A89">
        <v>88</v>
      </c>
      <c r="B89">
        <v>752</v>
      </c>
      <c r="C89">
        <v>200</v>
      </c>
      <c r="D89">
        <v>0.37937911525142798</v>
      </c>
      <c r="E89">
        <v>155.97677001250665</v>
      </c>
      <c r="F89">
        <v>50.125108371810668</v>
      </c>
      <c r="G89">
        <v>69.929328127872481</v>
      </c>
      <c r="H89">
        <v>65.31408825450977</v>
      </c>
      <c r="J89">
        <v>43.040834458791096</v>
      </c>
      <c r="L89">
        <v>2.2175757328550572</v>
      </c>
      <c r="M89">
        <v>13.471946698069404</v>
      </c>
      <c r="N89">
        <v>2.3117775423832194</v>
      </c>
      <c r="O89">
        <v>10.834343815340443</v>
      </c>
      <c r="P89">
        <v>7.5372907311241715</v>
      </c>
      <c r="R89">
        <v>9.4655734623891163</v>
      </c>
      <c r="S89">
        <v>32.751238938791936</v>
      </c>
      <c r="U89">
        <v>1.7675498883148975</v>
      </c>
      <c r="V89">
        <v>45.321557130732877</v>
      </c>
      <c r="W89">
        <v>22.253344161563728</v>
      </c>
      <c r="X89">
        <v>44.825079923317965</v>
      </c>
      <c r="Y89">
        <v>3.947335604704564</v>
      </c>
      <c r="Z89">
        <v>25.142077250410427</v>
      </c>
      <c r="AA89">
        <v>1.1587407050886176</v>
      </c>
      <c r="AB89">
        <v>32.873669652524022</v>
      </c>
      <c r="AD89">
        <v>4.0704492127547427</v>
      </c>
      <c r="AE89">
        <v>11.094815875193811</v>
      </c>
      <c r="AF89">
        <v>13.096195938980358</v>
      </c>
      <c r="AG89">
        <v>18.313632077963874</v>
      </c>
      <c r="AH89">
        <v>0.85193843473257891</v>
      </c>
      <c r="AI89">
        <v>2.2488704830907942</v>
      </c>
      <c r="AK89">
        <v>40.720158201260652</v>
      </c>
    </row>
    <row r="90" spans="1:37" x14ac:dyDescent="0.2">
      <c r="A90">
        <v>89</v>
      </c>
      <c r="B90">
        <v>750</v>
      </c>
      <c r="C90">
        <v>200</v>
      </c>
      <c r="D90">
        <v>0.37802912573913899</v>
      </c>
      <c r="E90">
        <v>156.69977789024861</v>
      </c>
      <c r="F90">
        <v>49.657353364144598</v>
      </c>
      <c r="G90">
        <v>70.167258807191573</v>
      </c>
      <c r="H90">
        <v>65.547313216844046</v>
      </c>
      <c r="J90">
        <v>31.706913138650705</v>
      </c>
      <c r="L90">
        <v>1.5743058158817693</v>
      </c>
      <c r="M90">
        <v>12.523996016134799</v>
      </c>
      <c r="N90">
        <v>2.3157880405718783</v>
      </c>
      <c r="O90">
        <v>6.8047080921287666</v>
      </c>
      <c r="P90">
        <v>8.0601677881349492</v>
      </c>
      <c r="R90">
        <v>8.2750803888600135</v>
      </c>
      <c r="S90">
        <v>30.960735241167555</v>
      </c>
      <c r="U90">
        <v>1.7961040699233148</v>
      </c>
      <c r="V90">
        <v>46.292088545227855</v>
      </c>
      <c r="W90">
        <v>21.053537328901353</v>
      </c>
      <c r="X90">
        <v>44.98264776359111</v>
      </c>
      <c r="Y90">
        <v>3.594110911978067</v>
      </c>
      <c r="Z90">
        <v>20.404699458251553</v>
      </c>
      <c r="AB90">
        <v>30.505760993299152</v>
      </c>
      <c r="AD90">
        <v>1.7364538168960992</v>
      </c>
      <c r="AE90">
        <v>8.1711926305040361</v>
      </c>
      <c r="AF90">
        <v>12.146054769026721</v>
      </c>
      <c r="AG90">
        <v>15.916028841262534</v>
      </c>
      <c r="AI90">
        <v>2.2523043524830459</v>
      </c>
      <c r="AK90">
        <v>33.025188929393138</v>
      </c>
    </row>
    <row r="91" spans="1:37" x14ac:dyDescent="0.2">
      <c r="A91">
        <v>90</v>
      </c>
      <c r="B91">
        <v>748</v>
      </c>
      <c r="C91">
        <v>200</v>
      </c>
      <c r="D91">
        <v>0.37667384811242399</v>
      </c>
      <c r="E91">
        <v>157.24509640499255</v>
      </c>
      <c r="F91">
        <v>50.000978858209599</v>
      </c>
      <c r="G91">
        <v>70.264640753053072</v>
      </c>
      <c r="H91">
        <v>65.640042100834606</v>
      </c>
      <c r="J91">
        <v>26.264031068215058</v>
      </c>
      <c r="L91">
        <v>1.6203449619394268</v>
      </c>
      <c r="M91">
        <v>11.544090980714936</v>
      </c>
      <c r="N91">
        <v>2.319787948138452</v>
      </c>
      <c r="O91">
        <v>6.5488455850788636</v>
      </c>
      <c r="P91">
        <v>8.3019682925833198</v>
      </c>
      <c r="R91">
        <v>7.6464151798383941</v>
      </c>
      <c r="S91">
        <v>31.574367366446129</v>
      </c>
      <c r="U91">
        <v>1.7722017668886774</v>
      </c>
      <c r="V91">
        <v>47.555633517968133</v>
      </c>
      <c r="W91">
        <v>19.905836388946689</v>
      </c>
      <c r="X91">
        <v>44.989224287287982</v>
      </c>
      <c r="Y91">
        <v>3.5915626827924676</v>
      </c>
      <c r="Z91">
        <v>18.180551167759901</v>
      </c>
      <c r="AB91">
        <v>29.994560932159967</v>
      </c>
      <c r="AD91">
        <v>0.63267178100424493</v>
      </c>
      <c r="AE91">
        <v>6.8359677416626488</v>
      </c>
      <c r="AF91">
        <v>11.163950049720835</v>
      </c>
      <c r="AG91">
        <v>15.375133840937949</v>
      </c>
      <c r="AI91">
        <v>2.2557242634963699</v>
      </c>
      <c r="AK91">
        <v>29.168001187499808</v>
      </c>
    </row>
    <row r="92" spans="1:37" x14ac:dyDescent="0.2">
      <c r="A92">
        <v>91</v>
      </c>
      <c r="B92">
        <v>746</v>
      </c>
      <c r="C92">
        <v>200</v>
      </c>
      <c r="D92">
        <v>0.37531325123877901</v>
      </c>
      <c r="E92">
        <v>157.62467521954972</v>
      </c>
      <c r="F92">
        <v>50.487974805848829</v>
      </c>
      <c r="G92">
        <v>70.301343888732333</v>
      </c>
      <c r="H92">
        <v>65.672144998592046</v>
      </c>
      <c r="J92">
        <v>23.366996793184079</v>
      </c>
      <c r="L92">
        <v>1.6525416479751693</v>
      </c>
      <c r="M92">
        <v>10.748343007577162</v>
      </c>
      <c r="N92">
        <v>2.3237763651784165</v>
      </c>
      <c r="O92">
        <v>6.3662364443325714</v>
      </c>
      <c r="P92">
        <v>8.4224313762105059</v>
      </c>
      <c r="R92">
        <v>7.0938936223925744</v>
      </c>
      <c r="S92">
        <v>32.152708222960321</v>
      </c>
      <c r="U92">
        <v>1.7351391778309981</v>
      </c>
      <c r="V92">
        <v>48.592319119900829</v>
      </c>
      <c r="W92">
        <v>18.949448287941635</v>
      </c>
      <c r="X92">
        <v>44.958915424250968</v>
      </c>
      <c r="Y92">
        <v>3.5665506976737467</v>
      </c>
      <c r="Z92">
        <v>17.051273728603682</v>
      </c>
      <c r="AB92">
        <v>30.022593728625992</v>
      </c>
      <c r="AD92">
        <v>5.3603596059350299E-2</v>
      </c>
      <c r="AE92">
        <v>6.1576236085870901</v>
      </c>
      <c r="AF92">
        <v>10.365992342473364</v>
      </c>
      <c r="AG92">
        <v>15.373470485054735</v>
      </c>
      <c r="AI92">
        <v>2.259129301505292</v>
      </c>
      <c r="AK92">
        <v>27.047120855074578</v>
      </c>
    </row>
    <row r="93" spans="1:37" x14ac:dyDescent="0.2">
      <c r="A93">
        <v>92</v>
      </c>
      <c r="B93">
        <v>744</v>
      </c>
      <c r="C93">
        <v>200</v>
      </c>
      <c r="D93">
        <v>0.373947303740848</v>
      </c>
      <c r="E93">
        <v>157.85599618681488</v>
      </c>
      <c r="F93">
        <v>51.401535289052561</v>
      </c>
      <c r="G93">
        <v>70.231359042056795</v>
      </c>
      <c r="H93">
        <v>65.597612907444088</v>
      </c>
      <c r="J93">
        <v>21.354840465151675</v>
      </c>
      <c r="L93">
        <v>1.6716103083174167</v>
      </c>
      <c r="M93">
        <v>10.029674516582435</v>
      </c>
      <c r="N93">
        <v>2.3277549747013278</v>
      </c>
      <c r="O93">
        <v>6.3607447829427324</v>
      </c>
      <c r="P93">
        <v>8.3295405638132927</v>
      </c>
      <c r="R93">
        <v>6.4915680327285639</v>
      </c>
      <c r="S93">
        <v>32.766393881937901</v>
      </c>
      <c r="U93">
        <v>1.6947614821531016</v>
      </c>
      <c r="V93">
        <v>49.513691681083031</v>
      </c>
      <c r="W93">
        <v>18.071961659842522</v>
      </c>
      <c r="X93">
        <v>44.919994155715592</v>
      </c>
      <c r="Y93">
        <v>3.4815421987134774</v>
      </c>
      <c r="Z93">
        <v>17.698763926778138</v>
      </c>
      <c r="AB93">
        <v>31.032651974992206</v>
      </c>
      <c r="AE93">
        <v>6.522414499911144</v>
      </c>
      <c r="AF93">
        <v>9.6451057959106965</v>
      </c>
      <c r="AG93">
        <v>16.353833097676826</v>
      </c>
      <c r="AI93">
        <v>2.2625211347972529</v>
      </c>
      <c r="AK93">
        <v>25.536388531249226</v>
      </c>
    </row>
    <row r="94" spans="1:37" x14ac:dyDescent="0.2">
      <c r="A94">
        <v>93</v>
      </c>
      <c r="B94">
        <v>742</v>
      </c>
      <c r="C94">
        <v>200</v>
      </c>
      <c r="D94">
        <v>0.37257597399398801</v>
      </c>
      <c r="E94">
        <v>158.07038505302339</v>
      </c>
      <c r="F94">
        <v>52.042989265872322</v>
      </c>
      <c r="G94">
        <v>70.193709935919358</v>
      </c>
      <c r="H94">
        <v>65.555469720447874</v>
      </c>
      <c r="J94">
        <v>19.934331394041045</v>
      </c>
      <c r="L94">
        <v>1.6905363398443405</v>
      </c>
      <c r="M94">
        <v>9.4045916814150168</v>
      </c>
      <c r="N94">
        <v>2.3317315777346881</v>
      </c>
      <c r="O94">
        <v>6.2916192627838612</v>
      </c>
      <c r="P94">
        <v>8.3013512893746562</v>
      </c>
      <c r="R94">
        <v>5.9881571170489822</v>
      </c>
      <c r="S94">
        <v>33.27844858685377</v>
      </c>
      <c r="U94">
        <v>1.6516230050375287</v>
      </c>
      <c r="V94">
        <v>50.31257440550737</v>
      </c>
      <c r="W94">
        <v>17.289466181696046</v>
      </c>
      <c r="X94">
        <v>44.874011889912993</v>
      </c>
      <c r="Y94">
        <v>3.4287669830721854</v>
      </c>
      <c r="Z94">
        <v>17.77202929585194</v>
      </c>
      <c r="AB94">
        <v>31.626620267223409</v>
      </c>
      <c r="AE94">
        <v>6.5519308506415825</v>
      </c>
      <c r="AF94">
        <v>9.017804430709095</v>
      </c>
      <c r="AG94">
        <v>16.91811412487187</v>
      </c>
      <c r="AI94">
        <v>2.2659075496765939</v>
      </c>
      <c r="AK94">
        <v>24.446883599849635</v>
      </c>
    </row>
    <row r="95" spans="1:37" x14ac:dyDescent="0.2">
      <c r="A95">
        <v>94</v>
      </c>
      <c r="B95">
        <v>740</v>
      </c>
      <c r="C95">
        <v>200</v>
      </c>
      <c r="D95">
        <v>0.37119923012387401</v>
      </c>
      <c r="E95">
        <v>158.25493067299206</v>
      </c>
      <c r="F95">
        <v>52.618266423842556</v>
      </c>
      <c r="G95">
        <v>70.15562337682546</v>
      </c>
      <c r="H95">
        <v>65.512942414946025</v>
      </c>
      <c r="J95">
        <v>18.837345580500465</v>
      </c>
      <c r="L95">
        <v>1.7075564615677068</v>
      </c>
      <c r="M95">
        <v>8.8362523923933338</v>
      </c>
      <c r="N95">
        <v>2.3357053735067423</v>
      </c>
      <c r="O95">
        <v>6.2198917532526181</v>
      </c>
      <c r="P95">
        <v>8.2723165533558163</v>
      </c>
      <c r="R95">
        <v>5.525013006811645</v>
      </c>
      <c r="S95">
        <v>33.742452241218274</v>
      </c>
      <c r="U95">
        <v>1.6071499000200458</v>
      </c>
      <c r="V95">
        <v>51.032526267000478</v>
      </c>
      <c r="W95">
        <v>16.564380498233952</v>
      </c>
      <c r="X95">
        <v>44.825066312716515</v>
      </c>
      <c r="Y95">
        <v>3.3825553867448912</v>
      </c>
      <c r="Z95">
        <v>17.835267649373097</v>
      </c>
      <c r="AB95">
        <v>32.164321286837414</v>
      </c>
      <c r="AE95">
        <v>6.5762455590692248</v>
      </c>
      <c r="AF95">
        <v>8.4472453825812401</v>
      </c>
      <c r="AG95">
        <v>17.426135496771739</v>
      </c>
      <c r="AI95">
        <v>2.269287730646651</v>
      </c>
      <c r="AK95">
        <v>23.589940896405128</v>
      </c>
    </row>
    <row r="96" spans="1:37" x14ac:dyDescent="0.2">
      <c r="A96">
        <v>95</v>
      </c>
      <c r="B96">
        <v>738</v>
      </c>
      <c r="C96">
        <v>200</v>
      </c>
      <c r="D96">
        <v>0.36981704000395799</v>
      </c>
      <c r="E96">
        <v>158.41703385501603</v>
      </c>
      <c r="F96">
        <v>53.143882712383444</v>
      </c>
      <c r="G96">
        <v>70.117233472636784</v>
      </c>
      <c r="H96">
        <v>65.470165270309309</v>
      </c>
      <c r="J96">
        <v>17.954728860123751</v>
      </c>
      <c r="L96">
        <v>1.7231399950265223</v>
      </c>
      <c r="M96">
        <v>8.3110133510865527</v>
      </c>
      <c r="N96">
        <v>2.3396768122127702</v>
      </c>
      <c r="O96">
        <v>6.1468108933940702</v>
      </c>
      <c r="P96">
        <v>8.2427052109531953</v>
      </c>
      <c r="R96">
        <v>5.0926721085895377</v>
      </c>
      <c r="S96">
        <v>34.168826128260505</v>
      </c>
      <c r="U96">
        <v>1.5617839605939488</v>
      </c>
      <c r="V96">
        <v>51.691696089109747</v>
      </c>
      <c r="W96">
        <v>15.882827086035981</v>
      </c>
      <c r="X96">
        <v>44.774421113287339</v>
      </c>
      <c r="Y96">
        <v>3.3413076909556545</v>
      </c>
      <c r="Z96">
        <v>17.891030404293232</v>
      </c>
      <c r="AB96">
        <v>32.65851623153322</v>
      </c>
      <c r="AE96">
        <v>6.5966694705990525</v>
      </c>
      <c r="AF96">
        <v>7.9197858496695783</v>
      </c>
      <c r="AG96">
        <v>17.890658910978431</v>
      </c>
      <c r="AI96">
        <v>2.2726621131788427</v>
      </c>
      <c r="AK96">
        <v>22.888974537760244</v>
      </c>
    </row>
    <row r="97" spans="1:37" x14ac:dyDescent="0.2">
      <c r="A97">
        <v>96</v>
      </c>
      <c r="B97">
        <v>764</v>
      </c>
      <c r="C97">
        <v>180</v>
      </c>
      <c r="D97">
        <v>0.40858169020874802</v>
      </c>
      <c r="E97">
        <v>146.00575662483814</v>
      </c>
      <c r="F97">
        <v>56.333045892080222</v>
      </c>
      <c r="G97">
        <v>71.085512449317676</v>
      </c>
      <c r="H97">
        <v>66.498751196445028</v>
      </c>
      <c r="J97">
        <v>43.838589109302994</v>
      </c>
      <c r="L97">
        <v>3.8049242683800659</v>
      </c>
      <c r="M97">
        <v>13.846323743127133</v>
      </c>
      <c r="N97">
        <v>2.2433068282181701</v>
      </c>
      <c r="O97">
        <v>18.28811219410742</v>
      </c>
      <c r="P97">
        <v>9.4109135585179047</v>
      </c>
      <c r="Q97">
        <v>5.7779740209269223E-2</v>
      </c>
      <c r="R97">
        <v>12.370228903287735</v>
      </c>
      <c r="S97">
        <v>36.696127484284062</v>
      </c>
      <c r="U97">
        <v>2.4034246463132281</v>
      </c>
      <c r="V97">
        <v>45.311893005365533</v>
      </c>
      <c r="W97">
        <v>25.224082528037655</v>
      </c>
      <c r="X97">
        <v>45.005410814503577</v>
      </c>
      <c r="Y97">
        <v>5.6356104620378558</v>
      </c>
      <c r="Z97">
        <v>28.710704546180832</v>
      </c>
      <c r="AA97">
        <v>2.8350466806692856</v>
      </c>
      <c r="AB97">
        <v>34.130046201442909</v>
      </c>
      <c r="AC97">
        <v>2.8213806344086965E-2</v>
      </c>
      <c r="AD97">
        <v>6.1672213091895607</v>
      </c>
      <c r="AE97">
        <v>12.706622495365451</v>
      </c>
      <c r="AF97">
        <v>13.501039049340353</v>
      </c>
      <c r="AG97">
        <v>19.790177450573374</v>
      </c>
      <c r="AH97">
        <v>3.2334230463072409</v>
      </c>
      <c r="AI97">
        <v>2.1813551450419544</v>
      </c>
      <c r="AK97">
        <v>40.952765554895763</v>
      </c>
    </row>
    <row r="98" spans="1:37" x14ac:dyDescent="0.2">
      <c r="A98">
        <v>97</v>
      </c>
      <c r="B98">
        <v>762</v>
      </c>
      <c r="C98">
        <v>180</v>
      </c>
      <c r="D98">
        <v>0.40730377240013699</v>
      </c>
      <c r="E98">
        <v>145.80085355935284</v>
      </c>
      <c r="F98">
        <v>55.627300423583875</v>
      </c>
      <c r="G98">
        <v>70.962201189741094</v>
      </c>
      <c r="H98">
        <v>66.370405508659388</v>
      </c>
      <c r="J98">
        <v>43.784189016057994</v>
      </c>
      <c r="L98">
        <v>3.62794618666697</v>
      </c>
      <c r="M98">
        <v>13.808687462411433</v>
      </c>
      <c r="N98">
        <v>2.2210696773881748</v>
      </c>
      <c r="O98">
        <v>17.435111056098901</v>
      </c>
      <c r="P98">
        <v>9.1848584795714121</v>
      </c>
      <c r="R98">
        <v>12.04942112387786</v>
      </c>
      <c r="S98">
        <v>36.255079739642063</v>
      </c>
      <c r="U98">
        <v>2.3220322031014771</v>
      </c>
      <c r="V98">
        <v>45.272016062697936</v>
      </c>
      <c r="W98">
        <v>24.943686631213346</v>
      </c>
      <c r="X98">
        <v>44.868577736663603</v>
      </c>
      <c r="Y98">
        <v>5.4501712539418143</v>
      </c>
      <c r="Z98">
        <v>28.32828749462286</v>
      </c>
      <c r="AA98">
        <v>2.6496973244689652</v>
      </c>
      <c r="AB98">
        <v>33.995644170794712</v>
      </c>
      <c r="AC98">
        <v>2.0108402750880516E-3</v>
      </c>
      <c r="AD98">
        <v>5.9542265115104023</v>
      </c>
      <c r="AE98">
        <v>12.537355161464079</v>
      </c>
      <c r="AF98">
        <v>13.434951534023911</v>
      </c>
      <c r="AG98">
        <v>19.599825433102737</v>
      </c>
      <c r="AH98">
        <v>2.9743102292681809</v>
      </c>
      <c r="AI98">
        <v>2.1585630674005909</v>
      </c>
      <c r="AK98">
        <v>40.952848938166312</v>
      </c>
    </row>
    <row r="99" spans="1:37" x14ac:dyDescent="0.2">
      <c r="A99">
        <v>98</v>
      </c>
      <c r="B99">
        <v>760</v>
      </c>
      <c r="C99">
        <v>180</v>
      </c>
      <c r="D99">
        <v>0.40602090693510101</v>
      </c>
      <c r="E99">
        <v>145.4269424490638</v>
      </c>
      <c r="F99">
        <v>53.954409543140017</v>
      </c>
      <c r="G99">
        <v>70.670754622721446</v>
      </c>
      <c r="H99">
        <v>66.073976176805203</v>
      </c>
      <c r="J99">
        <v>43.499795703314213</v>
      </c>
      <c r="L99">
        <v>3.1852574031283512</v>
      </c>
      <c r="M99">
        <v>13.807647202055511</v>
      </c>
      <c r="N99">
        <v>2.2227064410208119</v>
      </c>
      <c r="O99">
        <v>15.59054138860866</v>
      </c>
      <c r="P99">
        <v>8.6464371057745648</v>
      </c>
      <c r="R99">
        <v>11.444251934167854</v>
      </c>
      <c r="S99">
        <v>35.687436785159086</v>
      </c>
      <c r="U99">
        <v>2.2559638136065479</v>
      </c>
      <c r="V99">
        <v>45.364069884132547</v>
      </c>
      <c r="W99">
        <v>24.501501171779005</v>
      </c>
      <c r="X99">
        <v>44.761474519168601</v>
      </c>
      <c r="Y99">
        <v>4.9505217284172423</v>
      </c>
      <c r="Z99">
        <v>27.434155409968625</v>
      </c>
      <c r="AA99">
        <v>2.1867766014293886</v>
      </c>
      <c r="AB99">
        <v>33.888717012249707</v>
      </c>
      <c r="AD99">
        <v>5.4159089565994547</v>
      </c>
      <c r="AE99">
        <v>12.195589819188818</v>
      </c>
      <c r="AF99">
        <v>13.429335098563163</v>
      </c>
      <c r="AG99">
        <v>19.460832146804385</v>
      </c>
      <c r="AH99">
        <v>2.2290222554726373</v>
      </c>
      <c r="AI99">
        <v>2.1596416247183083</v>
      </c>
      <c r="AK99">
        <v>40.732803100145567</v>
      </c>
    </row>
    <row r="100" spans="1:37" x14ac:dyDescent="0.2">
      <c r="A100">
        <v>99</v>
      </c>
      <c r="B100">
        <v>758</v>
      </c>
      <c r="C100">
        <v>180</v>
      </c>
      <c r="D100">
        <v>0.40473306502448703</v>
      </c>
      <c r="E100">
        <v>145.04169373401524</v>
      </c>
      <c r="F100">
        <v>52.19067842149844</v>
      </c>
      <c r="G100">
        <v>70.360282839448544</v>
      </c>
      <c r="H100">
        <v>65.758573457011835</v>
      </c>
      <c r="J100">
        <v>43.167871712607798</v>
      </c>
      <c r="L100">
        <v>2.7085576311345938</v>
      </c>
      <c r="M100">
        <v>13.808054307085303</v>
      </c>
      <c r="N100">
        <v>2.2266562037673769</v>
      </c>
      <c r="O100">
        <v>13.636970785279292</v>
      </c>
      <c r="P100">
        <v>8.072308883219911</v>
      </c>
      <c r="R100">
        <v>10.783381067737871</v>
      </c>
      <c r="S100">
        <v>35.022448114920145</v>
      </c>
      <c r="U100">
        <v>2.1978632407819525</v>
      </c>
      <c r="V100">
        <v>45.435178689093156</v>
      </c>
      <c r="W100">
        <v>24.051039858396397</v>
      </c>
      <c r="X100">
        <v>44.675896661546901</v>
      </c>
      <c r="Y100">
        <v>4.4153333337615566</v>
      </c>
      <c r="Z100">
        <v>26.488353706347397</v>
      </c>
      <c r="AA100">
        <v>1.6918273583776027</v>
      </c>
      <c r="AB100">
        <v>33.744532096313151</v>
      </c>
      <c r="AD100">
        <v>4.8422960015787613</v>
      </c>
      <c r="AE100">
        <v>11.838082070346696</v>
      </c>
      <c r="AF100">
        <v>13.42748021697153</v>
      </c>
      <c r="AG100">
        <v>19.286904093472359</v>
      </c>
      <c r="AH100">
        <v>1.4276602908219969</v>
      </c>
      <c r="AI100">
        <v>2.163029886948503</v>
      </c>
      <c r="AK100">
        <v>40.488095224217666</v>
      </c>
    </row>
    <row r="101" spans="1:37" x14ac:dyDescent="0.2">
      <c r="A101">
        <v>100</v>
      </c>
      <c r="B101">
        <v>756</v>
      </c>
      <c r="C101">
        <v>180</v>
      </c>
      <c r="D101">
        <v>0.40344021765534699</v>
      </c>
      <c r="E101">
        <v>144.65359570326717</v>
      </c>
      <c r="F101">
        <v>50.36454860872022</v>
      </c>
      <c r="G101">
        <v>70.035438061371806</v>
      </c>
      <c r="H101">
        <v>65.42884973631044</v>
      </c>
      <c r="J101">
        <v>42.78567639551239</v>
      </c>
      <c r="L101">
        <v>2.2028907488200713</v>
      </c>
      <c r="M101">
        <v>13.811639190005211</v>
      </c>
      <c r="N101">
        <v>2.2306033385538853</v>
      </c>
      <c r="O101">
        <v>11.593558979351217</v>
      </c>
      <c r="P101">
        <v>7.469462807779891</v>
      </c>
      <c r="R101">
        <v>10.071301215473845</v>
      </c>
      <c r="S101">
        <v>34.24622234679228</v>
      </c>
      <c r="U101">
        <v>2.1525123812066687</v>
      </c>
      <c r="V101">
        <v>45.475953703133989</v>
      </c>
      <c r="W101">
        <v>23.607376060030191</v>
      </c>
      <c r="X101">
        <v>44.628194703206063</v>
      </c>
      <c r="Y101">
        <v>3.8522187739416096</v>
      </c>
      <c r="Z101">
        <v>25.50069158726053</v>
      </c>
      <c r="AA101">
        <v>1.1703069948365155</v>
      </c>
      <c r="AB101">
        <v>33.549083019503698</v>
      </c>
      <c r="AD101">
        <v>4.24040380025047</v>
      </c>
      <c r="AE101">
        <v>11.466971229013064</v>
      </c>
      <c r="AF101">
        <v>13.428801719212833</v>
      </c>
      <c r="AG101">
        <v>19.061719289480781</v>
      </c>
      <c r="AH101">
        <v>0.58327317318211103</v>
      </c>
      <c r="AI101">
        <v>2.1664122123143992</v>
      </c>
      <c r="AK101">
        <v>40.22228043762982</v>
      </c>
    </row>
    <row r="102" spans="1:37" x14ac:dyDescent="0.2">
      <c r="A102">
        <v>101</v>
      </c>
      <c r="B102">
        <v>754</v>
      </c>
      <c r="C102">
        <v>180</v>
      </c>
      <c r="D102">
        <v>0.402142335588766</v>
      </c>
      <c r="E102">
        <v>145.5102879786381</v>
      </c>
      <c r="F102">
        <v>50.480129928859334</v>
      </c>
      <c r="G102">
        <v>70.360924519268806</v>
      </c>
      <c r="H102">
        <v>65.749509411701482</v>
      </c>
      <c r="J102">
        <v>31.423106293343938</v>
      </c>
      <c r="L102">
        <v>1.5493894455929111</v>
      </c>
      <c r="M102">
        <v>12.845515276742233</v>
      </c>
      <c r="N102">
        <v>2.2346209913008637</v>
      </c>
      <c r="O102">
        <v>7.3565989348961613</v>
      </c>
      <c r="P102">
        <v>8.1673806679788896</v>
      </c>
      <c r="R102">
        <v>8.868436683654922</v>
      </c>
      <c r="S102">
        <v>31.970909223048103</v>
      </c>
      <c r="U102">
        <v>2.2171365784922008</v>
      </c>
      <c r="V102">
        <v>46.311626502127794</v>
      </c>
      <c r="W102">
        <v>22.382366806801642</v>
      </c>
      <c r="X102">
        <v>44.891116993723209</v>
      </c>
      <c r="Y102">
        <v>3.5458794694556355</v>
      </c>
      <c r="Z102">
        <v>21.01147518721675</v>
      </c>
      <c r="AB102">
        <v>31.032356172221323</v>
      </c>
      <c r="AD102">
        <v>2.0532732410271697</v>
      </c>
      <c r="AE102">
        <v>8.5968286420609914</v>
      </c>
      <c r="AF102">
        <v>12.460486221871491</v>
      </c>
      <c r="AG102">
        <v>16.515337318382297</v>
      </c>
      <c r="AI102">
        <v>2.1698617320287297</v>
      </c>
      <c r="AK102">
        <v>32.576794188297526</v>
      </c>
    </row>
    <row r="103" spans="1:37" x14ac:dyDescent="0.2">
      <c r="A103">
        <v>102</v>
      </c>
      <c r="B103">
        <v>752</v>
      </c>
      <c r="C103">
        <v>180</v>
      </c>
      <c r="D103">
        <v>0.40083938935765601</v>
      </c>
      <c r="E103">
        <v>146.04863129337903</v>
      </c>
      <c r="F103">
        <v>50.801606351714511</v>
      </c>
      <c r="G103">
        <v>70.455224227404827</v>
      </c>
      <c r="H103">
        <v>65.839034664322767</v>
      </c>
      <c r="J103">
        <v>26.191909069746327</v>
      </c>
      <c r="L103">
        <v>1.5923235476641895</v>
      </c>
      <c r="M103">
        <v>11.891162570991611</v>
      </c>
      <c r="N103">
        <v>2.2386233021827104</v>
      </c>
      <c r="O103">
        <v>7.1018379078351455</v>
      </c>
      <c r="P103">
        <v>8.4029408145793774</v>
      </c>
      <c r="R103">
        <v>8.239690413421668</v>
      </c>
      <c r="S103">
        <v>32.469884903198931</v>
      </c>
      <c r="U103">
        <v>2.2014208956734769</v>
      </c>
      <c r="V103">
        <v>47.505283432849893</v>
      </c>
      <c r="W103">
        <v>21.252021238436399</v>
      </c>
      <c r="X103">
        <v>44.923229292089516</v>
      </c>
      <c r="Y103">
        <v>3.5385390279028481</v>
      </c>
      <c r="Z103">
        <v>18.800067715684701</v>
      </c>
      <c r="AB103">
        <v>30.449859897861565</v>
      </c>
      <c r="AD103">
        <v>0.95717898903220588</v>
      </c>
      <c r="AE103">
        <v>7.2628422385729037</v>
      </c>
      <c r="AF103">
        <v>11.503927913754156</v>
      </c>
      <c r="AG103">
        <v>15.903180711278997</v>
      </c>
      <c r="AI103">
        <v>2.1732925715541391</v>
      </c>
      <c r="AK103">
        <v>28.886057214739917</v>
      </c>
    </row>
    <row r="104" spans="1:37" x14ac:dyDescent="0.2">
      <c r="A104">
        <v>103</v>
      </c>
      <c r="B104">
        <v>750</v>
      </c>
      <c r="C104">
        <v>180</v>
      </c>
      <c r="D104">
        <v>0.39953134926452799</v>
      </c>
      <c r="E104">
        <v>146.42766133732795</v>
      </c>
      <c r="F104">
        <v>51.268520245063975</v>
      </c>
      <c r="G104">
        <v>70.49238936822492</v>
      </c>
      <c r="H104">
        <v>65.871477844141452</v>
      </c>
      <c r="J104">
        <v>23.333188576660294</v>
      </c>
      <c r="L104">
        <v>1.6230206327376036</v>
      </c>
      <c r="M104">
        <v>11.104982144865261</v>
      </c>
      <c r="N104">
        <v>2.2426154389833624</v>
      </c>
      <c r="O104">
        <v>6.9116965378797355</v>
      </c>
      <c r="P104">
        <v>8.5242529633245656</v>
      </c>
      <c r="R104">
        <v>7.6873165410341935</v>
      </c>
      <c r="S104">
        <v>32.994665654025077</v>
      </c>
      <c r="U104">
        <v>2.1674999761584308</v>
      </c>
      <c r="V104">
        <v>48.515838320799148</v>
      </c>
      <c r="W104">
        <v>20.300063076672725</v>
      </c>
      <c r="X104">
        <v>44.903988062459376</v>
      </c>
      <c r="Y104">
        <v>3.5110526894547105</v>
      </c>
      <c r="Z104">
        <v>17.640796683498191</v>
      </c>
      <c r="AB104">
        <v>30.42756864863572</v>
      </c>
      <c r="AD104">
        <v>0.36430873786144635</v>
      </c>
      <c r="AE104">
        <v>6.5643158709424441</v>
      </c>
      <c r="AF104">
        <v>10.71553307989975</v>
      </c>
      <c r="AG104">
        <v>15.851229136000693</v>
      </c>
      <c r="AI104">
        <v>2.176709883959667</v>
      </c>
      <c r="AK104">
        <v>26.801913974047835</v>
      </c>
    </row>
    <row r="105" spans="1:37" x14ac:dyDescent="0.2">
      <c r="A105">
        <v>104</v>
      </c>
      <c r="B105">
        <v>748</v>
      </c>
      <c r="C105">
        <v>180</v>
      </c>
      <c r="D105">
        <v>0.39821818537923098</v>
      </c>
      <c r="E105">
        <v>146.69150771519625</v>
      </c>
      <c r="F105">
        <v>51.967693527090987</v>
      </c>
      <c r="G105">
        <v>70.462492579642031</v>
      </c>
      <c r="H105">
        <v>65.836911757247336</v>
      </c>
      <c r="J105">
        <v>21.373318277511686</v>
      </c>
      <c r="L105">
        <v>1.6444676096680706</v>
      </c>
      <c r="M105">
        <v>10.404717026377609</v>
      </c>
      <c r="N105">
        <v>2.2465997943889073</v>
      </c>
      <c r="O105">
        <v>6.8235386573728585</v>
      </c>
      <c r="P105">
        <v>8.5114649668126781</v>
      </c>
      <c r="R105">
        <v>7.133283983599604</v>
      </c>
      <c r="S105">
        <v>33.530556989840122</v>
      </c>
      <c r="U105">
        <v>2.128147954721971</v>
      </c>
      <c r="V105">
        <v>49.411385613754831</v>
      </c>
      <c r="W105">
        <v>19.437031729766808</v>
      </c>
      <c r="X105">
        <v>44.870081183330846</v>
      </c>
      <c r="Y105">
        <v>3.4518059131722354</v>
      </c>
      <c r="Z105">
        <v>17.606121829203467</v>
      </c>
      <c r="AB105">
        <v>31.009691264107662</v>
      </c>
      <c r="AE105">
        <v>6.5295892942854099</v>
      </c>
      <c r="AF105">
        <v>10.013047186352905</v>
      </c>
      <c r="AG105">
        <v>16.403693872937541</v>
      </c>
      <c r="AI105">
        <v>2.1801160472131293</v>
      </c>
      <c r="AK105">
        <v>25.336656758538648</v>
      </c>
    </row>
    <row r="106" spans="1:37" x14ac:dyDescent="0.2">
      <c r="A106">
        <v>105</v>
      </c>
      <c r="B106">
        <v>746</v>
      </c>
      <c r="C106">
        <v>180</v>
      </c>
      <c r="D106">
        <v>0.396899867536674</v>
      </c>
      <c r="E106">
        <v>146.90686951065638</v>
      </c>
      <c r="F106">
        <v>52.611114498554187</v>
      </c>
      <c r="G106">
        <v>70.424613070488149</v>
      </c>
      <c r="H106">
        <v>65.794415781309539</v>
      </c>
      <c r="J106">
        <v>19.941823285553284</v>
      </c>
      <c r="L106">
        <v>1.6626286397932999</v>
      </c>
      <c r="M106">
        <v>9.7797953134628894</v>
      </c>
      <c r="N106">
        <v>2.2505804711612032</v>
      </c>
      <c r="O106">
        <v>6.7432168475316745</v>
      </c>
      <c r="P106">
        <v>8.4827395305894946</v>
      </c>
      <c r="R106">
        <v>6.6266196827317714</v>
      </c>
      <c r="S106">
        <v>34.020805664158601</v>
      </c>
      <c r="U106">
        <v>2.0856736337934323</v>
      </c>
      <c r="V106">
        <v>50.206544367128686</v>
      </c>
      <c r="W106">
        <v>18.651012631331685</v>
      </c>
      <c r="X106">
        <v>44.82811908334989</v>
      </c>
      <c r="Y106">
        <v>3.3970557195735123</v>
      </c>
      <c r="Z106">
        <v>17.680685412836162</v>
      </c>
      <c r="AB106">
        <v>31.596177719990564</v>
      </c>
      <c r="AE106">
        <v>6.5600065537053291</v>
      </c>
      <c r="AF106">
        <v>9.3859024793586023</v>
      </c>
      <c r="AG106">
        <v>16.960529049015673</v>
      </c>
      <c r="AI106">
        <v>2.1835151493555491</v>
      </c>
      <c r="AK106">
        <v>24.243766106064637</v>
      </c>
    </row>
    <row r="107" spans="1:37" x14ac:dyDescent="0.2">
      <c r="A107">
        <v>106</v>
      </c>
      <c r="B107">
        <v>744</v>
      </c>
      <c r="C107">
        <v>180</v>
      </c>
      <c r="D107">
        <v>0.39557636533451601</v>
      </c>
      <c r="E107">
        <v>147.0920709874629</v>
      </c>
      <c r="F107">
        <v>53.187563416891194</v>
      </c>
      <c r="G107">
        <v>70.386279456899672</v>
      </c>
      <c r="H107">
        <v>65.751518701963306</v>
      </c>
      <c r="J107">
        <v>18.834605789255527</v>
      </c>
      <c r="L107">
        <v>1.6790153807380557</v>
      </c>
      <c r="M107">
        <v>9.211201008687766</v>
      </c>
      <c r="N107">
        <v>2.2545584385812041</v>
      </c>
      <c r="O107">
        <v>6.6603887766040195</v>
      </c>
      <c r="P107">
        <v>8.4531350423594382</v>
      </c>
      <c r="R107">
        <v>6.1605609141283963</v>
      </c>
      <c r="S107">
        <v>34.467891911659621</v>
      </c>
      <c r="U107">
        <v>2.0413509301593438</v>
      </c>
      <c r="V107">
        <v>50.925080250201681</v>
      </c>
      <c r="W107">
        <v>17.922278032268167</v>
      </c>
      <c r="X107">
        <v>44.781753329001241</v>
      </c>
      <c r="Y107">
        <v>3.3489960085090602</v>
      </c>
      <c r="Z107">
        <v>17.745001480457599</v>
      </c>
      <c r="AB107">
        <v>32.129154807527854</v>
      </c>
      <c r="AE107">
        <v>6.5851113340958385</v>
      </c>
      <c r="AF107">
        <v>8.8150839765208033</v>
      </c>
      <c r="AG107">
        <v>17.463862473518425</v>
      </c>
      <c r="AI107">
        <v>2.1869081449457668</v>
      </c>
      <c r="AK107">
        <v>23.382982587467158</v>
      </c>
    </row>
    <row r="108" spans="1:37" x14ac:dyDescent="0.2">
      <c r="A108">
        <v>107</v>
      </c>
      <c r="B108">
        <v>742</v>
      </c>
      <c r="C108">
        <v>180</v>
      </c>
      <c r="D108">
        <v>0.39424764813081797</v>
      </c>
      <c r="E108">
        <v>147.25460877977059</v>
      </c>
      <c r="F108">
        <v>53.713798978715367</v>
      </c>
      <c r="G108">
        <v>70.347635748504857</v>
      </c>
      <c r="H108">
        <v>65.708364699002075</v>
      </c>
      <c r="J108">
        <v>17.9425372575433</v>
      </c>
      <c r="L108">
        <v>1.6940840652811384</v>
      </c>
      <c r="M108">
        <v>8.6855144077651527</v>
      </c>
      <c r="N108">
        <v>2.2585341128354317</v>
      </c>
      <c r="O108">
        <v>6.5762667184481938</v>
      </c>
      <c r="P108">
        <v>8.4229401247567619</v>
      </c>
      <c r="R108">
        <v>5.725549746155413</v>
      </c>
      <c r="S108">
        <v>34.880240597958846</v>
      </c>
      <c r="U108">
        <v>1.9958165073894849</v>
      </c>
      <c r="V108">
        <v>51.584113070106866</v>
      </c>
      <c r="W108">
        <v>17.237058937722704</v>
      </c>
      <c r="X108">
        <v>44.732807293140695</v>
      </c>
      <c r="Y108">
        <v>3.306012956436942</v>
      </c>
      <c r="Z108">
        <v>17.801671741985267</v>
      </c>
      <c r="AB108">
        <v>32.620204721389641</v>
      </c>
      <c r="AE108">
        <v>6.606235942660728</v>
      </c>
      <c r="AF108">
        <v>8.2871724357023986</v>
      </c>
      <c r="AG108">
        <v>17.925276806376477</v>
      </c>
      <c r="AI108">
        <v>2.1902954354471418</v>
      </c>
      <c r="AK108">
        <v>22.678137549144431</v>
      </c>
    </row>
    <row r="109" spans="1:37" x14ac:dyDescent="0.2">
      <c r="A109">
        <v>108</v>
      </c>
      <c r="B109">
        <v>740</v>
      </c>
      <c r="C109">
        <v>180</v>
      </c>
      <c r="D109">
        <v>0.39291368504170499</v>
      </c>
      <c r="E109">
        <v>147.3993102023951</v>
      </c>
      <c r="F109">
        <v>54.200595475139949</v>
      </c>
      <c r="G109">
        <v>70.308768560212314</v>
      </c>
      <c r="H109">
        <v>65.66504055817073</v>
      </c>
      <c r="J109">
        <v>17.20317081968102</v>
      </c>
      <c r="L109">
        <v>1.7080886656135152</v>
      </c>
      <c r="M109">
        <v>8.1939370990973259</v>
      </c>
      <c r="N109">
        <v>2.2625077839294705</v>
      </c>
      <c r="O109">
        <v>6.49160699060449</v>
      </c>
      <c r="P109">
        <v>8.3923284858489726</v>
      </c>
      <c r="R109">
        <v>5.3153847070634557</v>
      </c>
      <c r="S109">
        <v>35.264091552571152</v>
      </c>
      <c r="U109">
        <v>1.9494093638012759</v>
      </c>
      <c r="V109">
        <v>52.195178786499355</v>
      </c>
      <c r="W109">
        <v>16.586373165038534</v>
      </c>
      <c r="X109">
        <v>44.68224972872553</v>
      </c>
      <c r="Y109">
        <v>3.2670474254032063</v>
      </c>
      <c r="Z109">
        <v>17.852366349015551</v>
      </c>
      <c r="AB109">
        <v>33.077316628802173</v>
      </c>
      <c r="AE109">
        <v>6.6242393545112712</v>
      </c>
      <c r="AF109">
        <v>7.7933697814777103</v>
      </c>
      <c r="AG109">
        <v>18.352761554208421</v>
      </c>
      <c r="AI109">
        <v>2.1936772961404665</v>
      </c>
      <c r="AK109">
        <v>22.085223382421059</v>
      </c>
    </row>
    <row r="110" spans="1:37" x14ac:dyDescent="0.2">
      <c r="A110">
        <v>109</v>
      </c>
      <c r="B110">
        <v>772</v>
      </c>
      <c r="C110">
        <v>160</v>
      </c>
      <c r="D110">
        <v>0.43469406305315</v>
      </c>
      <c r="E110">
        <v>135.07176180846886</v>
      </c>
      <c r="F110">
        <v>58.169928809988257</v>
      </c>
      <c r="G110">
        <v>71.490882508259261</v>
      </c>
      <c r="H110">
        <v>66.923992289009973</v>
      </c>
      <c r="J110">
        <v>43.758394501827048</v>
      </c>
      <c r="L110">
        <v>4.2325172901898584</v>
      </c>
      <c r="M110">
        <v>14.160094074996515</v>
      </c>
      <c r="N110">
        <v>2.208349676819588</v>
      </c>
      <c r="O110">
        <v>21.195169064822977</v>
      </c>
      <c r="P110">
        <v>9.9029436776307076</v>
      </c>
      <c r="Q110">
        <v>5.0268875179234784E-2</v>
      </c>
      <c r="R110">
        <v>13.633239285031619</v>
      </c>
      <c r="S110">
        <v>38.923936413304254</v>
      </c>
      <c r="U110">
        <v>2.8879340686819384</v>
      </c>
      <c r="V110">
        <v>45.379648878103268</v>
      </c>
      <c r="W110">
        <v>27.132393836167811</v>
      </c>
      <c r="X110">
        <v>44.701106154997895</v>
      </c>
      <c r="Y110">
        <v>6.0126270573291274</v>
      </c>
      <c r="Z110">
        <v>29.996969767749832</v>
      </c>
      <c r="AA110">
        <v>3.306984094919375</v>
      </c>
      <c r="AB110">
        <v>35.029144599600066</v>
      </c>
      <c r="AC110">
        <v>8.2410809069941832E-2</v>
      </c>
      <c r="AD110">
        <v>6.851168420474365</v>
      </c>
      <c r="AE110">
        <v>13.480881037433868</v>
      </c>
      <c r="AF110">
        <v>13.866453235301844</v>
      </c>
      <c r="AG110">
        <v>20.875241676226313</v>
      </c>
      <c r="AH110">
        <v>3.6292320136403777</v>
      </c>
      <c r="AI110">
        <v>2.1461818855889843</v>
      </c>
      <c r="AK110">
        <v>40.499126127600796</v>
      </c>
    </row>
    <row r="111" spans="1:37" x14ac:dyDescent="0.2">
      <c r="A111">
        <v>110</v>
      </c>
      <c r="B111">
        <v>770</v>
      </c>
      <c r="C111">
        <v>160</v>
      </c>
      <c r="D111">
        <v>0.43347601016152998</v>
      </c>
      <c r="E111">
        <v>134.86781347677987</v>
      </c>
      <c r="F111">
        <v>57.454199041501099</v>
      </c>
      <c r="G111">
        <v>71.365217831627021</v>
      </c>
      <c r="H111">
        <v>66.793071847623224</v>
      </c>
      <c r="J111">
        <v>43.702357965472942</v>
      </c>
      <c r="L111">
        <v>4.0517835692492739</v>
      </c>
      <c r="M111">
        <v>14.129051953500692</v>
      </c>
      <c r="N111">
        <v>2.1855273320832644</v>
      </c>
      <c r="O111">
        <v>20.320420438186662</v>
      </c>
      <c r="P111">
        <v>9.6714614184277536</v>
      </c>
      <c r="R111">
        <v>13.315726531821227</v>
      </c>
      <c r="S111">
        <v>38.506500479545586</v>
      </c>
      <c r="U111">
        <v>2.8131050179244133</v>
      </c>
      <c r="V111">
        <v>45.354101873571651</v>
      </c>
      <c r="W111">
        <v>26.855539145442421</v>
      </c>
      <c r="X111">
        <v>44.585480303601216</v>
      </c>
      <c r="Y111">
        <v>5.8227346353275031</v>
      </c>
      <c r="Z111">
        <v>29.606424088516764</v>
      </c>
      <c r="AA111">
        <v>3.1172840886962074</v>
      </c>
      <c r="AB111">
        <v>34.902981535411278</v>
      </c>
      <c r="AC111">
        <v>5.5616805993428456E-2</v>
      </c>
      <c r="AD111">
        <v>6.6354779907184422</v>
      </c>
      <c r="AE111">
        <v>13.308194509882368</v>
      </c>
      <c r="AF111">
        <v>13.806364793105004</v>
      </c>
      <c r="AG111">
        <v>20.692556726213137</v>
      </c>
      <c r="AH111">
        <v>3.3641854234752295</v>
      </c>
      <c r="AI111">
        <v>2.1228193896009473</v>
      </c>
      <c r="AK111">
        <v>40.495831745146894</v>
      </c>
    </row>
    <row r="112" spans="1:37" x14ac:dyDescent="0.2">
      <c r="A112">
        <v>111</v>
      </c>
      <c r="B112">
        <v>768</v>
      </c>
      <c r="C112">
        <v>160</v>
      </c>
      <c r="D112">
        <v>0.43225327762570398</v>
      </c>
      <c r="E112">
        <v>134.66123088430163</v>
      </c>
      <c r="F112">
        <v>56.635390369344904</v>
      </c>
      <c r="G112">
        <v>71.218762569649641</v>
      </c>
      <c r="H112">
        <v>66.641411838404395</v>
      </c>
      <c r="J112">
        <v>43.661690911885294</v>
      </c>
      <c r="L112">
        <v>3.8292148054278186</v>
      </c>
      <c r="M112">
        <v>14.154175383280352</v>
      </c>
      <c r="N112">
        <v>2.1537704439219554</v>
      </c>
      <c r="O112">
        <v>19.268977447442722</v>
      </c>
      <c r="P112">
        <v>9.3894931339426204</v>
      </c>
      <c r="R112">
        <v>13.01035567668773</v>
      </c>
      <c r="S112">
        <v>38.296312400147123</v>
      </c>
      <c r="U112">
        <v>2.7838293329937969</v>
      </c>
      <c r="V112">
        <v>45.437393455673373</v>
      </c>
      <c r="W112">
        <v>26.629824773658004</v>
      </c>
      <c r="X112">
        <v>44.620319231324331</v>
      </c>
      <c r="Y112">
        <v>5.5873265655032842</v>
      </c>
      <c r="Z112">
        <v>29.15880764659326</v>
      </c>
      <c r="AA112">
        <v>2.8830308859316354</v>
      </c>
      <c r="AB112">
        <v>34.860746716718964</v>
      </c>
      <c r="AC112">
        <v>1.9888854954671607E-2</v>
      </c>
      <c r="AD112">
        <v>6.3851509483074942</v>
      </c>
      <c r="AE112">
        <v>13.11791260370892</v>
      </c>
      <c r="AF112">
        <v>13.793508347754782</v>
      </c>
      <c r="AG112">
        <v>20.584875239249843</v>
      </c>
      <c r="AH112">
        <v>3.0428183791441286</v>
      </c>
      <c r="AI112">
        <v>2.0905191294134595</v>
      </c>
      <c r="AK112">
        <v>40.468792842011098</v>
      </c>
    </row>
    <row r="113" spans="1:37" x14ac:dyDescent="0.2">
      <c r="A113">
        <v>112</v>
      </c>
      <c r="B113">
        <v>766</v>
      </c>
      <c r="C113">
        <v>160</v>
      </c>
      <c r="D113">
        <v>0.43102583842564002</v>
      </c>
      <c r="E113">
        <v>134.38025819495371</v>
      </c>
      <c r="F113">
        <v>55.428577175518896</v>
      </c>
      <c r="G113">
        <v>71.005496306262373</v>
      </c>
      <c r="H113">
        <v>66.42299200770718</v>
      </c>
      <c r="J113">
        <v>43.504049316368359</v>
      </c>
      <c r="L113">
        <v>3.5043536916214979</v>
      </c>
      <c r="M113">
        <v>14.167303832847479</v>
      </c>
      <c r="N113">
        <v>2.1375436440657718</v>
      </c>
      <c r="O113">
        <v>17.851436963811388</v>
      </c>
      <c r="P113">
        <v>8.9894627989524132</v>
      </c>
      <c r="R113">
        <v>12.56193080574705</v>
      </c>
      <c r="S113">
        <v>37.903714839528583</v>
      </c>
      <c r="U113">
        <v>2.7399205982527386</v>
      </c>
      <c r="V113">
        <v>45.517548770464046</v>
      </c>
      <c r="W113">
        <v>26.304528425609398</v>
      </c>
      <c r="X113">
        <v>44.597624890539976</v>
      </c>
      <c r="Y113">
        <v>5.2301418687160073</v>
      </c>
      <c r="Z113">
        <v>28.505630180855853</v>
      </c>
      <c r="AA113">
        <v>2.5433613182970438</v>
      </c>
      <c r="AB113">
        <v>34.778894005111262</v>
      </c>
      <c r="AD113">
        <v>6.0025651002577893</v>
      </c>
      <c r="AE113">
        <v>12.857753118415136</v>
      </c>
      <c r="AF113">
        <v>13.78418804303109</v>
      </c>
      <c r="AG113">
        <v>20.453115754128032</v>
      </c>
      <c r="AH113">
        <v>2.5260642671890032</v>
      </c>
      <c r="AI113">
        <v>2.0737457220843423</v>
      </c>
      <c r="AK113">
        <v>40.353537162719427</v>
      </c>
    </row>
    <row r="114" spans="1:37" x14ac:dyDescent="0.2">
      <c r="A114">
        <v>113</v>
      </c>
      <c r="B114">
        <v>764</v>
      </c>
      <c r="C114">
        <v>160</v>
      </c>
      <c r="D114">
        <v>0.42979366533288699</v>
      </c>
      <c r="E114">
        <v>134.0014265818794</v>
      </c>
      <c r="F114">
        <v>53.693592665854545</v>
      </c>
      <c r="G114">
        <v>70.69956772828354</v>
      </c>
      <c r="H114">
        <v>66.111961205391864</v>
      </c>
      <c r="J114">
        <v>43.175537896096913</v>
      </c>
      <c r="L114">
        <v>3.0350776353753828</v>
      </c>
      <c r="M114">
        <v>14.16641670012692</v>
      </c>
      <c r="N114">
        <v>2.141499305111382</v>
      </c>
      <c r="O114">
        <v>15.92245418710368</v>
      </c>
      <c r="P114">
        <v>8.42432033583205</v>
      </c>
      <c r="R114">
        <v>11.907330509525146</v>
      </c>
      <c r="S114">
        <v>37.232356808994012</v>
      </c>
      <c r="U114">
        <v>2.6825118824200831</v>
      </c>
      <c r="V114">
        <v>45.582627284753293</v>
      </c>
      <c r="W114">
        <v>25.852869980469865</v>
      </c>
      <c r="X114">
        <v>44.515976171458775</v>
      </c>
      <c r="Y114">
        <v>4.7037138983163311</v>
      </c>
      <c r="Z114">
        <v>27.570747013355927</v>
      </c>
      <c r="AA114">
        <v>2.0564564211055694</v>
      </c>
      <c r="AB114">
        <v>34.627395116582584</v>
      </c>
      <c r="AD114">
        <v>5.4379989750924764</v>
      </c>
      <c r="AE114">
        <v>12.502735866882844</v>
      </c>
      <c r="AF114">
        <v>13.781035693196293</v>
      </c>
      <c r="AG114">
        <v>20.271902405201285</v>
      </c>
      <c r="AH114">
        <v>1.7383267533621782</v>
      </c>
      <c r="AI114">
        <v>2.0771515255316886</v>
      </c>
      <c r="AK114">
        <v>40.115818714487503</v>
      </c>
    </row>
    <row r="115" spans="1:37" x14ac:dyDescent="0.2">
      <c r="A115">
        <v>114</v>
      </c>
      <c r="B115">
        <v>762</v>
      </c>
      <c r="C115">
        <v>160</v>
      </c>
      <c r="D115">
        <v>0.428556730908567</v>
      </c>
      <c r="E115">
        <v>133.62118957777429</v>
      </c>
      <c r="F115">
        <v>51.9098456375079</v>
      </c>
      <c r="G115">
        <v>70.381820341465968</v>
      </c>
      <c r="H115">
        <v>65.789163100885659</v>
      </c>
      <c r="J115">
        <v>42.804739547039269</v>
      </c>
      <c r="L115">
        <v>2.5417055799747139</v>
      </c>
      <c r="M115">
        <v>14.168296776390019</v>
      </c>
      <c r="N115">
        <v>2.145452589818758</v>
      </c>
      <c r="O115">
        <v>13.920079383560438</v>
      </c>
      <c r="P115">
        <v>7.8355680959656713</v>
      </c>
      <c r="R115">
        <v>11.209191994800419</v>
      </c>
      <c r="S115">
        <v>36.46353317318124</v>
      </c>
      <c r="U115">
        <v>2.6365323123249822</v>
      </c>
      <c r="V115">
        <v>45.620389680386324</v>
      </c>
      <c r="W115">
        <v>25.407852382651875</v>
      </c>
      <c r="X115">
        <v>44.468378162807802</v>
      </c>
      <c r="Y115">
        <v>4.1543352258635675</v>
      </c>
      <c r="Z115">
        <v>26.602514301967894</v>
      </c>
      <c r="AA115">
        <v>1.5476722555816231</v>
      </c>
      <c r="AB115">
        <v>34.430712672449253</v>
      </c>
      <c r="AD115">
        <v>4.8504670001197656</v>
      </c>
      <c r="AE115">
        <v>12.137201495434512</v>
      </c>
      <c r="AF115">
        <v>13.780649296215211</v>
      </c>
      <c r="AG115">
        <v>20.045513022595845</v>
      </c>
      <c r="AH115">
        <v>0.9150849495287332</v>
      </c>
      <c r="AI115">
        <v>2.0805516878290962</v>
      </c>
      <c r="AK115">
        <v>39.861316530287404</v>
      </c>
    </row>
    <row r="116" spans="1:37" x14ac:dyDescent="0.2">
      <c r="A116">
        <v>115</v>
      </c>
      <c r="B116">
        <v>760</v>
      </c>
      <c r="C116">
        <v>160</v>
      </c>
      <c r="D116">
        <v>0.427315007501331</v>
      </c>
      <c r="E116">
        <v>133.79210497633835</v>
      </c>
      <c r="F116">
        <v>51.69638937806284</v>
      </c>
      <c r="G116">
        <v>70.418478698300405</v>
      </c>
      <c r="H116">
        <v>65.820822410982302</v>
      </c>
      <c r="J116">
        <v>38.30473666634105</v>
      </c>
      <c r="L116">
        <v>1.4301848830995658</v>
      </c>
      <c r="M116">
        <v>13.922716766528632</v>
      </c>
      <c r="N116">
        <v>2.1494333388488798</v>
      </c>
      <c r="O116">
        <v>8.070827537845112</v>
      </c>
      <c r="P116">
        <v>7.9556852030850989</v>
      </c>
      <c r="R116">
        <v>9.9066649513715763</v>
      </c>
      <c r="S116">
        <v>33.153038896790896</v>
      </c>
      <c r="U116">
        <v>2.6630375803625239</v>
      </c>
      <c r="V116">
        <v>45.606459430402396</v>
      </c>
      <c r="W116">
        <v>24.758225497268718</v>
      </c>
      <c r="X116">
        <v>44.628122330232813</v>
      </c>
      <c r="Y116">
        <v>3.417999931068771</v>
      </c>
      <c r="Z116">
        <v>25.095973402510197</v>
      </c>
      <c r="AA116">
        <v>0.2672903750831247</v>
      </c>
      <c r="AB116">
        <v>33.432412314716103</v>
      </c>
      <c r="AD116">
        <v>4.0297251287656897</v>
      </c>
      <c r="AE116">
        <v>11.176354121139513</v>
      </c>
      <c r="AF116">
        <v>13.532831441776532</v>
      </c>
      <c r="AG116">
        <v>19.017543135318505</v>
      </c>
      <c r="AI116">
        <v>2.0839760349453487</v>
      </c>
      <c r="AK116">
        <v>36.922622215148216</v>
      </c>
    </row>
    <row r="117" spans="1:37" x14ac:dyDescent="0.2">
      <c r="A117">
        <v>116</v>
      </c>
      <c r="B117">
        <v>758</v>
      </c>
      <c r="C117">
        <v>160</v>
      </c>
      <c r="D117">
        <v>0.426068467245311</v>
      </c>
      <c r="E117">
        <v>134.54336554335316</v>
      </c>
      <c r="F117">
        <v>51.385986325124215</v>
      </c>
      <c r="G117">
        <v>70.606086919383827</v>
      </c>
      <c r="H117">
        <v>66.003483421219727</v>
      </c>
      <c r="J117">
        <v>29.130012002184639</v>
      </c>
      <c r="L117">
        <v>1.5373034734632129</v>
      </c>
      <c r="M117">
        <v>12.864041161195216</v>
      </c>
      <c r="N117">
        <v>2.1534475290354997</v>
      </c>
      <c r="O117">
        <v>7.9684895709304451</v>
      </c>
      <c r="P117">
        <v>8.3777660542991139</v>
      </c>
      <c r="R117">
        <v>9.2677238614638853</v>
      </c>
      <c r="S117">
        <v>33.193025979971367</v>
      </c>
      <c r="U117">
        <v>2.7134751040876055</v>
      </c>
      <c r="V117">
        <v>46.699158477805966</v>
      </c>
      <c r="W117">
        <v>23.479911099792805</v>
      </c>
      <c r="X117">
        <v>44.851764419032399</v>
      </c>
      <c r="Y117">
        <v>3.4978086972454867</v>
      </c>
      <c r="Z117">
        <v>20.760660144893535</v>
      </c>
      <c r="AB117">
        <v>31.253224153263336</v>
      </c>
      <c r="AD117">
        <v>1.946629914588579</v>
      </c>
      <c r="AE117">
        <v>8.5049260885983333</v>
      </c>
      <c r="AF117">
        <v>12.471952641700321</v>
      </c>
      <c r="AG117">
        <v>16.80872887672211</v>
      </c>
      <c r="AI117">
        <v>2.0874305290168809</v>
      </c>
      <c r="AK117">
        <v>30.690723479279484</v>
      </c>
    </row>
    <row r="118" spans="1:37" x14ac:dyDescent="0.2">
      <c r="A118">
        <v>117</v>
      </c>
      <c r="B118">
        <v>756</v>
      </c>
      <c r="C118">
        <v>160</v>
      </c>
      <c r="D118">
        <v>0.424817082058009</v>
      </c>
      <c r="E118">
        <v>135.00942817093656</v>
      </c>
      <c r="F118">
        <v>51.767292264916634</v>
      </c>
      <c r="G118">
        <v>70.673270525765361</v>
      </c>
      <c r="H118">
        <v>66.065771818227816</v>
      </c>
      <c r="J118">
        <v>25.089388969905151</v>
      </c>
      <c r="L118">
        <v>1.5728374311803273</v>
      </c>
      <c r="M118">
        <v>11.995018794187411</v>
      </c>
      <c r="N118">
        <v>2.1574492801831662</v>
      </c>
      <c r="O118">
        <v>7.7396074954290199</v>
      </c>
      <c r="P118">
        <v>8.5590159915820045</v>
      </c>
      <c r="R118">
        <v>8.6693785402809045</v>
      </c>
      <c r="S118">
        <v>33.634207635421497</v>
      </c>
      <c r="U118">
        <v>2.6945713768675756</v>
      </c>
      <c r="V118">
        <v>47.776869083170048</v>
      </c>
      <c r="W118">
        <v>22.432529132403488</v>
      </c>
      <c r="X118">
        <v>44.87708852595371</v>
      </c>
      <c r="Y118">
        <v>3.4765227819906226</v>
      </c>
      <c r="Z118">
        <v>19.029383431865018</v>
      </c>
      <c r="AB118">
        <v>30.883260271886204</v>
      </c>
      <c r="AD118">
        <v>1.0807365873826087</v>
      </c>
      <c r="AE118">
        <v>7.4568743493781771</v>
      </c>
      <c r="AF118">
        <v>11.600715894123924</v>
      </c>
      <c r="AG118">
        <v>16.409136497335574</v>
      </c>
      <c r="AI118">
        <v>2.0908692751451023</v>
      </c>
      <c r="AK118">
        <v>27.819466637764304</v>
      </c>
    </row>
    <row r="119" spans="1:37" x14ac:dyDescent="0.2">
      <c r="A119">
        <v>118</v>
      </c>
      <c r="B119">
        <v>754</v>
      </c>
      <c r="C119">
        <v>160</v>
      </c>
      <c r="D119">
        <v>0.42356082363822201</v>
      </c>
      <c r="E119">
        <v>135.35638974934446</v>
      </c>
      <c r="F119">
        <v>52.218468167008766</v>
      </c>
      <c r="G119">
        <v>70.70161504307157</v>
      </c>
      <c r="H119">
        <v>66.089273293856991</v>
      </c>
      <c r="J119">
        <v>22.644048485662438</v>
      </c>
      <c r="L119">
        <v>1.5998996701333454</v>
      </c>
      <c r="M119">
        <v>11.25670489409991</v>
      </c>
      <c r="N119">
        <v>2.161443468901421</v>
      </c>
      <c r="O119">
        <v>7.5512461400505035</v>
      </c>
      <c r="P119">
        <v>8.6626111238670518</v>
      </c>
      <c r="R119">
        <v>8.1377650641481374</v>
      </c>
      <c r="S119">
        <v>34.099454388695776</v>
      </c>
      <c r="U119">
        <v>2.6606156818770184</v>
      </c>
      <c r="V119">
        <v>48.715824149823447</v>
      </c>
      <c r="W119">
        <v>21.524506418427858</v>
      </c>
      <c r="X119">
        <v>44.860140363405392</v>
      </c>
      <c r="Y119">
        <v>3.4451147652321485</v>
      </c>
      <c r="Z119">
        <v>17.998858078982508</v>
      </c>
      <c r="AB119">
        <v>30.883352526757008</v>
      </c>
      <c r="AD119">
        <v>0.5512096428367772</v>
      </c>
      <c r="AE119">
        <v>6.8333995130647791</v>
      </c>
      <c r="AF119">
        <v>10.860181348987766</v>
      </c>
      <c r="AG119">
        <v>16.379602777173574</v>
      </c>
      <c r="AI119">
        <v>2.0942971352319923</v>
      </c>
      <c r="AK119">
        <v>26.029760712512022</v>
      </c>
    </row>
    <row r="120" spans="1:37" x14ac:dyDescent="0.2">
      <c r="A120">
        <v>119</v>
      </c>
      <c r="B120">
        <v>752</v>
      </c>
      <c r="C120">
        <v>160</v>
      </c>
      <c r="D120">
        <v>0.42229966346388498</v>
      </c>
      <c r="E120">
        <v>135.63617572701258</v>
      </c>
      <c r="F120">
        <v>52.659651831395628</v>
      </c>
      <c r="G120">
        <v>70.711955118491431</v>
      </c>
      <c r="H120">
        <v>66.094822662167829</v>
      </c>
      <c r="J120">
        <v>20.940893633802975</v>
      </c>
      <c r="L120">
        <v>1.6222267482894168</v>
      </c>
      <c r="M120">
        <v>10.605382238474263</v>
      </c>
      <c r="N120">
        <v>2.1654326731800926</v>
      </c>
      <c r="O120">
        <v>7.3810633510607602</v>
      </c>
      <c r="P120">
        <v>8.7302235055996267</v>
      </c>
      <c r="R120">
        <v>7.6540201113957274</v>
      </c>
      <c r="S120">
        <v>34.537653041792737</v>
      </c>
      <c r="U120">
        <v>2.6207165449213732</v>
      </c>
      <c r="V120">
        <v>49.546394123728376</v>
      </c>
      <c r="W120">
        <v>20.706806131748365</v>
      </c>
      <c r="X120">
        <v>44.827084120892792</v>
      </c>
      <c r="Y120">
        <v>3.4126685007596547</v>
      </c>
      <c r="Z120">
        <v>17.264634023214239</v>
      </c>
      <c r="AB120">
        <v>31.003573454361248</v>
      </c>
      <c r="AD120">
        <v>0.16656500955610179</v>
      </c>
      <c r="AE120">
        <v>6.3882791341648089</v>
      </c>
      <c r="AF120">
        <v>10.206634406761403</v>
      </c>
      <c r="AG120">
        <v>16.470202878243352</v>
      </c>
      <c r="AI120">
        <v>2.0977166725552765</v>
      </c>
      <c r="AK120">
        <v>24.754109021989823</v>
      </c>
    </row>
    <row r="121" spans="1:37" x14ac:dyDescent="0.2">
      <c r="A121">
        <v>120</v>
      </c>
      <c r="B121">
        <v>750</v>
      </c>
      <c r="C121">
        <v>160</v>
      </c>
      <c r="D121">
        <v>0.42103357278991599</v>
      </c>
      <c r="E121">
        <v>135.82894898497688</v>
      </c>
      <c r="F121">
        <v>53.369558443203267</v>
      </c>
      <c r="G121">
        <v>70.657267201164871</v>
      </c>
      <c r="H121">
        <v>66.035396539822813</v>
      </c>
      <c r="J121">
        <v>19.593233792426357</v>
      </c>
      <c r="L121">
        <v>1.6379286962650803</v>
      </c>
      <c r="M121">
        <v>9.9937399491305019</v>
      </c>
      <c r="N121">
        <v>2.1694162208318737</v>
      </c>
      <c r="O121">
        <v>7.3163844398573454</v>
      </c>
      <c r="P121">
        <v>8.6678055459617074</v>
      </c>
      <c r="R121">
        <v>7.1382211030286005</v>
      </c>
      <c r="S121">
        <v>35.010636335557976</v>
      </c>
      <c r="U121">
        <v>2.5783587651889808</v>
      </c>
      <c r="V121">
        <v>50.318123520305853</v>
      </c>
      <c r="W121">
        <v>19.930162569770413</v>
      </c>
      <c r="X121">
        <v>44.787935185304157</v>
      </c>
      <c r="Y121">
        <v>3.3482299075577742</v>
      </c>
      <c r="Z121">
        <v>17.615134783183109</v>
      </c>
      <c r="AB121">
        <v>31.733150259316272</v>
      </c>
      <c r="AE121">
        <v>6.580974379887583</v>
      </c>
      <c r="AF121">
        <v>9.59276356221865</v>
      </c>
      <c r="AG121">
        <v>17.170163380809189</v>
      </c>
      <c r="AI121">
        <v>2.1011272002131003</v>
      </c>
      <c r="AK121">
        <v>23.724796475629518</v>
      </c>
    </row>
    <row r="122" spans="1:37" x14ac:dyDescent="0.2">
      <c r="A122">
        <v>121</v>
      </c>
      <c r="B122">
        <v>748</v>
      </c>
      <c r="C122">
        <v>160</v>
      </c>
      <c r="D122">
        <v>0.41976252264603803</v>
      </c>
      <c r="E122">
        <v>136.00668442850784</v>
      </c>
      <c r="F122">
        <v>53.929187879938567</v>
      </c>
      <c r="G122">
        <v>70.618549938717535</v>
      </c>
      <c r="H122">
        <v>65.991993742625368</v>
      </c>
      <c r="J122">
        <v>18.551129446448702</v>
      </c>
      <c r="L122">
        <v>1.6531958453912556</v>
      </c>
      <c r="M122">
        <v>9.4401406812875521</v>
      </c>
      <c r="N122">
        <v>2.1733979312000486</v>
      </c>
      <c r="O122">
        <v>7.2217053120409247</v>
      </c>
      <c r="P122">
        <v>8.6373585436586424</v>
      </c>
      <c r="R122">
        <v>6.6804559133204746</v>
      </c>
      <c r="S122">
        <v>35.428236479413854</v>
      </c>
      <c r="U122">
        <v>2.5336999901287385</v>
      </c>
      <c r="V122">
        <v>51.014339901345927</v>
      </c>
      <c r="W122">
        <v>19.212772451833473</v>
      </c>
      <c r="X122">
        <v>44.743124169092567</v>
      </c>
      <c r="Y122">
        <v>3.3001242159043906</v>
      </c>
      <c r="Z122">
        <v>17.67792954971258</v>
      </c>
      <c r="AB122">
        <v>32.246736977038978</v>
      </c>
      <c r="AE122">
        <v>6.60553148109374</v>
      </c>
      <c r="AF122">
        <v>9.0369353352672253</v>
      </c>
      <c r="AG122">
        <v>17.654142187771217</v>
      </c>
      <c r="AI122">
        <v>2.1045325228304761</v>
      </c>
      <c r="AK122">
        <v>22.914993297817389</v>
      </c>
    </row>
    <row r="123" spans="1:37" x14ac:dyDescent="0.2">
      <c r="A123">
        <v>122</v>
      </c>
      <c r="B123">
        <v>746</v>
      </c>
      <c r="C123">
        <v>160</v>
      </c>
      <c r="D123">
        <v>0.41848648383456999</v>
      </c>
      <c r="E123">
        <v>136.16333144818424</v>
      </c>
      <c r="F123">
        <v>54.442067103312283</v>
      </c>
      <c r="G123">
        <v>70.579551832992621</v>
      </c>
      <c r="H123">
        <v>65.948362941254445</v>
      </c>
      <c r="J123">
        <v>17.70173684437378</v>
      </c>
      <c r="L123">
        <v>1.6673079065289349</v>
      </c>
      <c r="M123">
        <v>8.9260267901304573</v>
      </c>
      <c r="N123">
        <v>2.1773774976020737</v>
      </c>
      <c r="O123">
        <v>7.1260407654670956</v>
      </c>
      <c r="P123">
        <v>8.6063793808336229</v>
      </c>
      <c r="R123">
        <v>6.2516578006501344</v>
      </c>
      <c r="S123">
        <v>35.816039247881484</v>
      </c>
      <c r="U123">
        <v>2.4876513969073786</v>
      </c>
      <c r="V123">
        <v>51.656494145228365</v>
      </c>
      <c r="W123">
        <v>18.53557758212887</v>
      </c>
      <c r="X123">
        <v>44.695267055604269</v>
      </c>
      <c r="Y123">
        <v>3.2568098690595035</v>
      </c>
      <c r="Z123">
        <v>17.733524032695705</v>
      </c>
      <c r="AB123">
        <v>32.722785142673715</v>
      </c>
      <c r="AE123">
        <v>6.6263334698880918</v>
      </c>
      <c r="AF123">
        <v>8.5205918199586463</v>
      </c>
      <c r="AG123">
        <v>18.100590576043182</v>
      </c>
      <c r="AI123">
        <v>2.1079323190037917</v>
      </c>
      <c r="AK123">
        <v>22.244781361330507</v>
      </c>
    </row>
    <row r="124" spans="1:37" x14ac:dyDescent="0.2">
      <c r="A124">
        <v>123</v>
      </c>
      <c r="B124">
        <v>744</v>
      </c>
      <c r="C124">
        <v>160</v>
      </c>
      <c r="D124">
        <v>0.41720542692818402</v>
      </c>
      <c r="E124">
        <v>136.30319090550174</v>
      </c>
      <c r="F124">
        <v>54.917805817782337</v>
      </c>
      <c r="G124">
        <v>70.540351187690788</v>
      </c>
      <c r="H124">
        <v>65.904582608909507</v>
      </c>
      <c r="J124">
        <v>16.991593691791234</v>
      </c>
      <c r="L124">
        <v>1.6804670262189283</v>
      </c>
      <c r="M124">
        <v>8.4437127662038325</v>
      </c>
      <c r="N124">
        <v>2.1813551661640362</v>
      </c>
      <c r="O124">
        <v>7.0300249033168472</v>
      </c>
      <c r="P124">
        <v>8.5750250971839375</v>
      </c>
      <c r="R124">
        <v>5.8463069763693456</v>
      </c>
      <c r="S124">
        <v>36.17878253901327</v>
      </c>
      <c r="U124">
        <v>2.440589343947638</v>
      </c>
      <c r="V124">
        <v>52.254388639351319</v>
      </c>
      <c r="W124">
        <v>17.890682063661458</v>
      </c>
      <c r="X124">
        <v>44.645440041932467</v>
      </c>
      <c r="Y124">
        <v>3.2173366142380035</v>
      </c>
      <c r="Z124">
        <v>17.78342024263052</v>
      </c>
      <c r="AB124">
        <v>33.167905054750456</v>
      </c>
      <c r="AE124">
        <v>6.644152666317777</v>
      </c>
      <c r="AF124">
        <v>8.0360477987191352</v>
      </c>
      <c r="AG124">
        <v>18.516119139038786</v>
      </c>
      <c r="AI124">
        <v>2.1113268201372541</v>
      </c>
      <c r="AK124">
        <v>21.676573497720273</v>
      </c>
    </row>
    <row r="125" spans="1:37" x14ac:dyDescent="0.2">
      <c r="A125">
        <v>124</v>
      </c>
      <c r="B125">
        <v>782</v>
      </c>
      <c r="C125">
        <v>140</v>
      </c>
      <c r="D125">
        <v>0.46156518030611998</v>
      </c>
      <c r="E125">
        <v>124.28874420653996</v>
      </c>
      <c r="F125">
        <v>60.482427523554961</v>
      </c>
      <c r="G125">
        <v>71.992098852735296</v>
      </c>
      <c r="H125">
        <v>67.451555565042227</v>
      </c>
      <c r="J125">
        <v>43.757946144005082</v>
      </c>
      <c r="L125">
        <v>4.7633752816149322</v>
      </c>
      <c r="M125">
        <v>14.543732807298529</v>
      </c>
      <c r="N125">
        <v>2.1749126784998492</v>
      </c>
      <c r="O125">
        <v>24.8046191853925</v>
      </c>
      <c r="P125">
        <v>10.546271290531203</v>
      </c>
      <c r="Q125">
        <v>8.220220810483897E-2</v>
      </c>
      <c r="R125">
        <v>15.15451237510552</v>
      </c>
      <c r="S125">
        <v>41.771340796925379</v>
      </c>
      <c r="U125">
        <v>3.519905538365244</v>
      </c>
      <c r="V125">
        <v>45.528458942755826</v>
      </c>
      <c r="W125">
        <v>29.445551915966782</v>
      </c>
      <c r="X125">
        <v>44.520582597456098</v>
      </c>
      <c r="Y125">
        <v>6.5068288994340779</v>
      </c>
      <c r="Z125">
        <v>31.612643311609453</v>
      </c>
      <c r="AA125">
        <v>3.8888378086985105</v>
      </c>
      <c r="AB125">
        <v>36.153100349635416</v>
      </c>
      <c r="AC125">
        <v>0.14214461776803139</v>
      </c>
      <c r="AD125">
        <v>7.6942969824077041</v>
      </c>
      <c r="AE125">
        <v>14.423585556296866</v>
      </c>
      <c r="AF125">
        <v>14.309558689895526</v>
      </c>
      <c r="AG125">
        <v>22.220099876616423</v>
      </c>
      <c r="AH125">
        <v>4.2073609108415244</v>
      </c>
      <c r="AI125">
        <v>2.1130239883893207</v>
      </c>
      <c r="AK125">
        <v>39.984256925378105</v>
      </c>
    </row>
    <row r="126" spans="1:37" x14ac:dyDescent="0.2">
      <c r="A126">
        <v>125</v>
      </c>
      <c r="B126">
        <v>780</v>
      </c>
      <c r="C126">
        <v>140</v>
      </c>
      <c r="D126">
        <v>0.46040972321132001</v>
      </c>
      <c r="E126">
        <v>124.0885313741891</v>
      </c>
      <c r="F126">
        <v>59.840875031826968</v>
      </c>
      <c r="G126">
        <v>71.880535185733748</v>
      </c>
      <c r="H126">
        <v>67.334467102683092</v>
      </c>
      <c r="J126">
        <v>43.684703258187071</v>
      </c>
      <c r="L126">
        <v>4.6115731984054076</v>
      </c>
      <c r="M126">
        <v>14.474404157561819</v>
      </c>
      <c r="N126">
        <v>2.1587128508334441</v>
      </c>
      <c r="O126">
        <v>24.049033176728262</v>
      </c>
      <c r="P126">
        <v>10.349452536701072</v>
      </c>
      <c r="R126">
        <v>14.828196942603594</v>
      </c>
      <c r="S126">
        <v>41.20423289897257</v>
      </c>
      <c r="U126">
        <v>3.4162048580847642</v>
      </c>
      <c r="V126">
        <v>45.427081292353343</v>
      </c>
      <c r="W126">
        <v>29.131922235975384</v>
      </c>
      <c r="X126">
        <v>44.308118860758476</v>
      </c>
      <c r="Y126">
        <v>6.3485311483613183</v>
      </c>
      <c r="Z126">
        <v>31.260723703573134</v>
      </c>
      <c r="AA126">
        <v>3.730268326677622</v>
      </c>
      <c r="AB126">
        <v>35.964967725226025</v>
      </c>
      <c r="AC126">
        <v>0.1219666194050964</v>
      </c>
      <c r="AD126">
        <v>7.5043782746131305</v>
      </c>
      <c r="AE126">
        <v>14.262322286830052</v>
      </c>
      <c r="AF126">
        <v>14.217796089862912</v>
      </c>
      <c r="AG126">
        <v>21.98207236359622</v>
      </c>
      <c r="AH126">
        <v>3.9807680252590263</v>
      </c>
      <c r="AI126">
        <v>2.0963016979537366</v>
      </c>
      <c r="AK126">
        <v>39.995885802682601</v>
      </c>
    </row>
    <row r="127" spans="1:37" x14ac:dyDescent="0.2">
      <c r="A127">
        <v>126</v>
      </c>
      <c r="B127">
        <v>778</v>
      </c>
      <c r="C127">
        <v>140</v>
      </c>
      <c r="D127">
        <v>0.45924986919088701</v>
      </c>
      <c r="E127">
        <v>123.88364053545523</v>
      </c>
      <c r="F127">
        <v>59.029096376537296</v>
      </c>
      <c r="G127">
        <v>71.735302229033735</v>
      </c>
      <c r="H127">
        <v>67.183759572878898</v>
      </c>
      <c r="J127">
        <v>43.641066434994251</v>
      </c>
      <c r="L127">
        <v>4.3927787612516225</v>
      </c>
      <c r="M127">
        <v>14.497105179477119</v>
      </c>
      <c r="N127">
        <v>2.1278059225315271</v>
      </c>
      <c r="O127">
        <v>23.004366740380366</v>
      </c>
      <c r="P127">
        <v>10.070616919570712</v>
      </c>
      <c r="R127">
        <v>14.525530732670671</v>
      </c>
      <c r="S127">
        <v>40.986735227938766</v>
      </c>
      <c r="U127">
        <v>3.3864600000702927</v>
      </c>
      <c r="V127">
        <v>45.508370123933318</v>
      </c>
      <c r="W127">
        <v>28.900580565915611</v>
      </c>
      <c r="X127">
        <v>44.340377281985603</v>
      </c>
      <c r="Y127">
        <v>6.1165960439567266</v>
      </c>
      <c r="Z127">
        <v>30.813077320895815</v>
      </c>
      <c r="AA127">
        <v>3.4993830171920854</v>
      </c>
      <c r="AB127">
        <v>35.917704169349811</v>
      </c>
      <c r="AC127">
        <v>8.7082133405962492E-2</v>
      </c>
      <c r="AD127">
        <v>7.2572892442289056</v>
      </c>
      <c r="AE127">
        <v>14.070586243139232</v>
      </c>
      <c r="AF127">
        <v>14.203356854373093</v>
      </c>
      <c r="AG127">
        <v>21.87021635630801</v>
      </c>
      <c r="AH127">
        <v>3.6636318930225178</v>
      </c>
      <c r="AI127">
        <v>2.0648691593421433</v>
      </c>
      <c r="AK127">
        <v>39.96998717505123</v>
      </c>
    </row>
    <row r="128" spans="1:37" x14ac:dyDescent="0.2">
      <c r="A128">
        <v>127</v>
      </c>
      <c r="B128">
        <v>776</v>
      </c>
      <c r="C128">
        <v>140</v>
      </c>
      <c r="D128">
        <v>0.45808559309917701</v>
      </c>
      <c r="E128">
        <v>123.68046728607294</v>
      </c>
      <c r="F128">
        <v>58.221554108516727</v>
      </c>
      <c r="G128">
        <v>71.590111477238679</v>
      </c>
      <c r="H128">
        <v>67.033144629578658</v>
      </c>
      <c r="J128">
        <v>43.595928328785753</v>
      </c>
      <c r="L128">
        <v>4.1731581259308079</v>
      </c>
      <c r="M128">
        <v>14.520391756632465</v>
      </c>
      <c r="N128">
        <v>2.0968342229279151</v>
      </c>
      <c r="O128">
        <v>21.960460695527065</v>
      </c>
      <c r="P128">
        <v>9.7918299281498378</v>
      </c>
      <c r="R128">
        <v>14.220005024215464</v>
      </c>
      <c r="S128">
        <v>40.760959178680899</v>
      </c>
      <c r="U128">
        <v>3.3583381474920921</v>
      </c>
      <c r="V128">
        <v>45.585652034037068</v>
      </c>
      <c r="W128">
        <v>28.67130953186447</v>
      </c>
      <c r="X128">
        <v>44.378248692555879</v>
      </c>
      <c r="Y128">
        <v>5.8844834538350499</v>
      </c>
      <c r="Z128">
        <v>30.366705970065226</v>
      </c>
      <c r="AA128">
        <v>3.2683866701388977</v>
      </c>
      <c r="AB128">
        <v>35.865738638682359</v>
      </c>
      <c r="AC128">
        <v>5.2133485606282032E-2</v>
      </c>
      <c r="AD128">
        <v>7.0102165001410652</v>
      </c>
      <c r="AE128">
        <v>13.879629410657335</v>
      </c>
      <c r="AF128">
        <v>14.189439238916119</v>
      </c>
      <c r="AG128">
        <v>21.753603184834866</v>
      </c>
      <c r="AH128">
        <v>3.3461683417210462</v>
      </c>
      <c r="AI128">
        <v>2.0333686872600736</v>
      </c>
      <c r="AK128">
        <v>39.944763777256128</v>
      </c>
    </row>
    <row r="129" spans="1:37" x14ac:dyDescent="0.2">
      <c r="A129">
        <v>128</v>
      </c>
      <c r="B129">
        <v>774</v>
      </c>
      <c r="C129">
        <v>140</v>
      </c>
      <c r="D129">
        <v>0.45691686959843703</v>
      </c>
      <c r="E129">
        <v>123.4790287499697</v>
      </c>
      <c r="F129">
        <v>57.418400458601255</v>
      </c>
      <c r="G129">
        <v>71.44500746718316</v>
      </c>
      <c r="H129">
        <v>66.882666969569271</v>
      </c>
      <c r="J129">
        <v>43.549226504736261</v>
      </c>
      <c r="L129">
        <v>3.95269770208672</v>
      </c>
      <c r="M129">
        <v>14.544209043567633</v>
      </c>
      <c r="N129">
        <v>2.0658026159670944</v>
      </c>
      <c r="O129">
        <v>20.917561850109184</v>
      </c>
      <c r="P129">
        <v>9.5131856714549272</v>
      </c>
      <c r="R129">
        <v>13.91176816960551</v>
      </c>
      <c r="S129">
        <v>40.526541105038191</v>
      </c>
      <c r="U129">
        <v>3.3317861525126258</v>
      </c>
      <c r="V129">
        <v>45.65879883458765</v>
      </c>
      <c r="W129">
        <v>28.444105961507411</v>
      </c>
      <c r="X129">
        <v>44.42157633839723</v>
      </c>
      <c r="Y129">
        <v>5.6522723849218046</v>
      </c>
      <c r="Z129">
        <v>29.921632324356658</v>
      </c>
      <c r="AA129">
        <v>3.0371834387128329</v>
      </c>
      <c r="AB129">
        <v>35.808852184687119</v>
      </c>
      <c r="AC129">
        <v>1.7125536447488265E-2</v>
      </c>
      <c r="AD129">
        <v>6.7632009964152857</v>
      </c>
      <c r="AE129">
        <v>13.689426200972871</v>
      </c>
      <c r="AF129">
        <v>14.175993304738041</v>
      </c>
      <c r="AG129">
        <v>21.632018808931161</v>
      </c>
      <c r="AH129">
        <v>3.0285044911949672</v>
      </c>
      <c r="AI129">
        <v>2.001805131013719</v>
      </c>
      <c r="AK129">
        <v>39.920238899899765</v>
      </c>
    </row>
    <row r="130" spans="1:37" x14ac:dyDescent="0.2">
      <c r="A130">
        <v>129</v>
      </c>
      <c r="B130">
        <v>772</v>
      </c>
      <c r="C130">
        <v>140</v>
      </c>
      <c r="D130">
        <v>0.45574367315696301</v>
      </c>
      <c r="E130">
        <v>123.1923170050958</v>
      </c>
      <c r="F130">
        <v>56.1656288641665</v>
      </c>
      <c r="G130">
        <v>71.222126418286592</v>
      </c>
      <c r="H130">
        <v>66.654462972834821</v>
      </c>
      <c r="J130">
        <v>43.364034087833659</v>
      </c>
      <c r="L130">
        <v>3.6122676710986017</v>
      </c>
      <c r="M130">
        <v>14.55491580899931</v>
      </c>
      <c r="N130">
        <v>2.0523432504613583</v>
      </c>
      <c r="O130">
        <v>19.446316658116487</v>
      </c>
      <c r="P130">
        <v>9.0965889094795198</v>
      </c>
      <c r="R130">
        <v>13.43459921177848</v>
      </c>
      <c r="S130">
        <v>40.072047446579866</v>
      </c>
      <c r="U130">
        <v>3.2898800337888576</v>
      </c>
      <c r="V130">
        <v>45.725150259346101</v>
      </c>
      <c r="W130">
        <v>28.103591668795147</v>
      </c>
      <c r="X130">
        <v>44.403663424135708</v>
      </c>
      <c r="Y130">
        <v>5.2780207754500275</v>
      </c>
      <c r="Z130">
        <v>29.238071985615562</v>
      </c>
      <c r="AA130">
        <v>2.6829161923099965</v>
      </c>
      <c r="AB130">
        <v>35.701615610316004</v>
      </c>
      <c r="AD130">
        <v>6.3626944834867274</v>
      </c>
      <c r="AE130">
        <v>13.418312705081542</v>
      </c>
      <c r="AF130">
        <v>14.167010012321368</v>
      </c>
      <c r="AG130">
        <v>21.477666224990319</v>
      </c>
      <c r="AH130">
        <v>2.4837196214981301</v>
      </c>
      <c r="AI130">
        <v>1.9878106247681127</v>
      </c>
      <c r="AK130">
        <v>39.793052858439395</v>
      </c>
    </row>
    <row r="131" spans="1:37" x14ac:dyDescent="0.2">
      <c r="A131">
        <v>130</v>
      </c>
      <c r="B131">
        <v>770</v>
      </c>
      <c r="C131">
        <v>140</v>
      </c>
      <c r="D131">
        <v>0.45456597804726301</v>
      </c>
      <c r="E131">
        <v>122.82014737780558</v>
      </c>
      <c r="F131">
        <v>54.440659101482886</v>
      </c>
      <c r="G131">
        <v>70.91565265975882</v>
      </c>
      <c r="H131">
        <v>66.342717129763116</v>
      </c>
      <c r="J131">
        <v>43.019111997346478</v>
      </c>
      <c r="L131">
        <v>3.1399974929535275</v>
      </c>
      <c r="M131">
        <v>14.55417181202057</v>
      </c>
      <c r="N131">
        <v>2.0563038860486884</v>
      </c>
      <c r="O131">
        <v>17.510423617663985</v>
      </c>
      <c r="P131">
        <v>8.5302562335692347</v>
      </c>
      <c r="R131">
        <v>12.766607938146825</v>
      </c>
      <c r="S131">
        <v>39.347765369215686</v>
      </c>
      <c r="U131">
        <v>3.2390662626519626</v>
      </c>
      <c r="V131">
        <v>45.770720625737034</v>
      </c>
      <c r="W131">
        <v>27.654351143555417</v>
      </c>
      <c r="X131">
        <v>44.343407022238651</v>
      </c>
      <c r="Y131">
        <v>4.7505817469917542</v>
      </c>
      <c r="Z131">
        <v>28.300767962288024</v>
      </c>
      <c r="AA131">
        <v>2.1946688803451253</v>
      </c>
      <c r="AB131">
        <v>35.521095896720496</v>
      </c>
      <c r="AD131">
        <v>5.7980686203005245</v>
      </c>
      <c r="AE131">
        <v>13.061829303476729</v>
      </c>
      <c r="AF131">
        <v>14.163996923545568</v>
      </c>
      <c r="AG131">
        <v>21.267460218705754</v>
      </c>
      <c r="AH131">
        <v>1.6945223829235925</v>
      </c>
      <c r="AI131">
        <v>1.9912329135048967</v>
      </c>
      <c r="AK131">
        <v>39.555204869281624</v>
      </c>
    </row>
    <row r="132" spans="1:37" x14ac:dyDescent="0.2">
      <c r="A132">
        <v>131</v>
      </c>
      <c r="B132">
        <v>768</v>
      </c>
      <c r="C132">
        <v>140</v>
      </c>
      <c r="D132">
        <v>0.45338375834414102</v>
      </c>
      <c r="E132">
        <v>122.44625621281159</v>
      </c>
      <c r="F132">
        <v>52.662442854936643</v>
      </c>
      <c r="G132">
        <v>70.596820025767713</v>
      </c>
      <c r="H132">
        <v>66.018663436318789</v>
      </c>
      <c r="J132">
        <v>42.628041887905624</v>
      </c>
      <c r="L132">
        <v>2.642510488761578</v>
      </c>
      <c r="M132">
        <v>14.555471149336407</v>
      </c>
      <c r="N132">
        <v>2.0602621209221623</v>
      </c>
      <c r="O132">
        <v>15.496709145565468</v>
      </c>
      <c r="P132">
        <v>7.939233084493587</v>
      </c>
      <c r="R132">
        <v>12.053178268167375</v>
      </c>
      <c r="S132">
        <v>38.516975533612808</v>
      </c>
      <c r="U132">
        <v>3.1995248143984454</v>
      </c>
      <c r="V132">
        <v>45.786917744968783</v>
      </c>
      <c r="W132">
        <v>27.21146972300199</v>
      </c>
      <c r="X132">
        <v>44.316796025196027</v>
      </c>
      <c r="Y132">
        <v>4.1990288994807861</v>
      </c>
      <c r="Z132">
        <v>27.325733704655782</v>
      </c>
      <c r="AA132">
        <v>1.6833687916532944</v>
      </c>
      <c r="AB132">
        <v>35.290317312999001</v>
      </c>
      <c r="AD132">
        <v>5.2080992936554402</v>
      </c>
      <c r="AE132">
        <v>12.692598054445819</v>
      </c>
      <c r="AF132">
        <v>14.163025776656301</v>
      </c>
      <c r="AG132">
        <v>21.007002702560328</v>
      </c>
      <c r="AH132">
        <v>0.86793941366575944</v>
      </c>
      <c r="AI132">
        <v>1.9946495807534745</v>
      </c>
      <c r="AK132">
        <v>39.298946663911586</v>
      </c>
    </row>
    <row r="133" spans="1:37" x14ac:dyDescent="0.2">
      <c r="A133">
        <v>132</v>
      </c>
      <c r="B133">
        <v>766</v>
      </c>
      <c r="C133">
        <v>140</v>
      </c>
      <c r="D133">
        <v>0.45219698792282498</v>
      </c>
      <c r="E133">
        <v>122.57959267487124</v>
      </c>
      <c r="F133">
        <v>52.536163001830168</v>
      </c>
      <c r="G133">
        <v>70.626081271742393</v>
      </c>
      <c r="H133">
        <v>66.042754810348541</v>
      </c>
      <c r="J133">
        <v>39.071478941387497</v>
      </c>
      <c r="L133">
        <v>1.7820980733201213</v>
      </c>
      <c r="M133">
        <v>14.379230265383464</v>
      </c>
      <c r="N133">
        <v>2.0642434367901279</v>
      </c>
      <c r="O133">
        <v>10.866794220033992</v>
      </c>
      <c r="P133">
        <v>8.0444506300164473</v>
      </c>
      <c r="R133">
        <v>11.028773879171204</v>
      </c>
      <c r="S133">
        <v>35.783593500061556</v>
      </c>
      <c r="U133">
        <v>3.2295429871014449</v>
      </c>
      <c r="V133">
        <v>45.710193168204626</v>
      </c>
      <c r="W133">
        <v>26.608262966867532</v>
      </c>
      <c r="X133">
        <v>44.489841903628857</v>
      </c>
      <c r="Y133">
        <v>3.6344858313293602</v>
      </c>
      <c r="Z133">
        <v>26.144437258875303</v>
      </c>
      <c r="AA133">
        <v>0.6852368516998758</v>
      </c>
      <c r="AB133">
        <v>34.398234795125738</v>
      </c>
      <c r="AD133">
        <v>4.5805414890854914</v>
      </c>
      <c r="AE133">
        <v>11.916494036684865</v>
      </c>
      <c r="AF133">
        <v>13.984538541336729</v>
      </c>
      <c r="AG133">
        <v>20.085274139709128</v>
      </c>
      <c r="AI133">
        <v>1.9980860935496727</v>
      </c>
      <c r="AK133">
        <v>37.017013697842273</v>
      </c>
    </row>
    <row r="134" spans="1:37" x14ac:dyDescent="0.2">
      <c r="A134">
        <v>133</v>
      </c>
      <c r="B134">
        <v>764</v>
      </c>
      <c r="C134">
        <v>140</v>
      </c>
      <c r="D134">
        <v>0.45100564045702202</v>
      </c>
      <c r="E134">
        <v>123.29520046434426</v>
      </c>
      <c r="F134">
        <v>52.231670545028699</v>
      </c>
      <c r="G134">
        <v>70.805138184393925</v>
      </c>
      <c r="H134">
        <v>66.216693201606802</v>
      </c>
      <c r="J134">
        <v>30.150702532035385</v>
      </c>
      <c r="L134">
        <v>1.4987184931888733</v>
      </c>
      <c r="M134">
        <v>13.43264737963778</v>
      </c>
      <c r="N134">
        <v>2.0682580798411969</v>
      </c>
      <c r="O134">
        <v>8.9466012764872982</v>
      </c>
      <c r="P134">
        <v>8.4493228659132207</v>
      </c>
      <c r="R134">
        <v>10.039676961032047</v>
      </c>
      <c r="S134">
        <v>34.401376013340794</v>
      </c>
      <c r="U134">
        <v>3.3078703146255375</v>
      </c>
      <c r="V134">
        <v>46.453352295231866</v>
      </c>
      <c r="W134">
        <v>25.417870363996126</v>
      </c>
      <c r="X134">
        <v>44.795493264814759</v>
      </c>
      <c r="Y134">
        <v>3.4485658897371012</v>
      </c>
      <c r="Z134">
        <v>22.04229560955233</v>
      </c>
      <c r="AB134">
        <v>32.040896975816068</v>
      </c>
      <c r="AD134">
        <v>2.5867916591420976</v>
      </c>
      <c r="AE134">
        <v>9.3481547588062313</v>
      </c>
      <c r="AF134">
        <v>13.035743726991294</v>
      </c>
      <c r="AG134">
        <v>17.698333454818986</v>
      </c>
      <c r="AI134">
        <v>2.0015526834037618</v>
      </c>
      <c r="AK134">
        <v>31.049785540177641</v>
      </c>
    </row>
    <row r="135" spans="1:37" x14ac:dyDescent="0.2">
      <c r="A135">
        <v>134</v>
      </c>
      <c r="B135">
        <v>762</v>
      </c>
      <c r="C135">
        <v>140</v>
      </c>
      <c r="D135">
        <v>0.44980968941699401</v>
      </c>
      <c r="E135">
        <v>123.7871921571859</v>
      </c>
      <c r="F135">
        <v>52.537894488355782</v>
      </c>
      <c r="G135">
        <v>70.882777829943052</v>
      </c>
      <c r="H135">
        <v>66.289265839986797</v>
      </c>
      <c r="J135">
        <v>25.733313493466355</v>
      </c>
      <c r="L135">
        <v>1.5341015596372636</v>
      </c>
      <c r="M135">
        <v>12.559020966105471</v>
      </c>
      <c r="N135">
        <v>2.0722656649497</v>
      </c>
      <c r="O135">
        <v>8.7019662856462912</v>
      </c>
      <c r="P135">
        <v>8.6513837166373477</v>
      </c>
      <c r="R135">
        <v>9.4313205556696822</v>
      </c>
      <c r="S135">
        <v>34.711115637839768</v>
      </c>
      <c r="U135">
        <v>3.3014689657558254</v>
      </c>
      <c r="V135">
        <v>47.489660571227205</v>
      </c>
      <c r="W135">
        <v>24.353575128471707</v>
      </c>
      <c r="X135">
        <v>44.858410097330342</v>
      </c>
      <c r="Y135">
        <v>3.4289344863069258</v>
      </c>
      <c r="Z135">
        <v>20.064548104392941</v>
      </c>
      <c r="AB135">
        <v>31.448247586784724</v>
      </c>
      <c r="AD135">
        <v>1.6069252389097202</v>
      </c>
      <c r="AE135">
        <v>8.1420034016537333</v>
      </c>
      <c r="AF135">
        <v>12.159899466435126</v>
      </c>
      <c r="AG135">
        <v>17.076084040527753</v>
      </c>
      <c r="AI135">
        <v>2.0050089505033459</v>
      </c>
      <c r="AK135">
        <v>27.950503130193962</v>
      </c>
    </row>
    <row r="136" spans="1:37" x14ac:dyDescent="0.2">
      <c r="A136">
        <v>135</v>
      </c>
      <c r="B136">
        <v>760</v>
      </c>
      <c r="C136">
        <v>140</v>
      </c>
      <c r="D136">
        <v>0.44860910806756099</v>
      </c>
      <c r="E136">
        <v>124.15024471671487</v>
      </c>
      <c r="F136">
        <v>52.961197275998714</v>
      </c>
      <c r="G136">
        <v>70.916848552629659</v>
      </c>
      <c r="H136">
        <v>66.318321234032823</v>
      </c>
      <c r="J136">
        <v>23.097010289183586</v>
      </c>
      <c r="L136">
        <v>1.5610638372273642</v>
      </c>
      <c r="M136">
        <v>11.811313047561866</v>
      </c>
      <c r="N136">
        <v>2.0762658845213267</v>
      </c>
      <c r="O136">
        <v>8.4998946423878241</v>
      </c>
      <c r="P136">
        <v>8.7663297411884198</v>
      </c>
      <c r="R136">
        <v>8.8909422472813944</v>
      </c>
      <c r="S136">
        <v>35.121780032748966</v>
      </c>
      <c r="U136">
        <v>3.2726392626410319</v>
      </c>
      <c r="V136">
        <v>48.423781114286164</v>
      </c>
      <c r="W136">
        <v>23.428620847106036</v>
      </c>
      <c r="X136">
        <v>44.857869590511967</v>
      </c>
      <c r="Y136">
        <v>3.396314508068472</v>
      </c>
      <c r="Z136">
        <v>18.911582458627255</v>
      </c>
      <c r="AB136">
        <v>31.350724738557194</v>
      </c>
      <c r="AD136">
        <v>1.0195868944573621</v>
      </c>
      <c r="AE136">
        <v>7.4415038209215369</v>
      </c>
      <c r="AF136">
        <v>11.409967518984732</v>
      </c>
      <c r="AG136">
        <v>16.948963746110032</v>
      </c>
      <c r="AI136">
        <v>2.0084545725625036</v>
      </c>
      <c r="AK136">
        <v>26.041974562494254</v>
      </c>
    </row>
    <row r="137" spans="1:37" x14ac:dyDescent="0.2">
      <c r="A137">
        <v>136</v>
      </c>
      <c r="B137">
        <v>758</v>
      </c>
      <c r="C137">
        <v>140</v>
      </c>
      <c r="D137">
        <v>0.44740386946613198</v>
      </c>
      <c r="E137">
        <v>124.4408064202464</v>
      </c>
      <c r="F137">
        <v>53.389151594690922</v>
      </c>
      <c r="G137">
        <v>70.930721118351045</v>
      </c>
      <c r="H137">
        <v>66.327230314582664</v>
      </c>
      <c r="J137">
        <v>21.279814507256262</v>
      </c>
      <c r="L137">
        <v>1.5831865093426749</v>
      </c>
      <c r="M137">
        <v>11.151548307752069</v>
      </c>
      <c r="N137">
        <v>2.0802610204778769</v>
      </c>
      <c r="O137">
        <v>8.3174073589534867</v>
      </c>
      <c r="P137">
        <v>8.8409049323844915</v>
      </c>
      <c r="R137">
        <v>8.4000188029092673</v>
      </c>
      <c r="S137">
        <v>35.529073418419834</v>
      </c>
      <c r="U137">
        <v>3.2352502574606734</v>
      </c>
      <c r="V137">
        <v>49.257837158422525</v>
      </c>
      <c r="W137">
        <v>22.596589607808795</v>
      </c>
      <c r="X137">
        <v>44.833754695567315</v>
      </c>
      <c r="Y137">
        <v>3.3619236851273335</v>
      </c>
      <c r="Z137">
        <v>18.105137623023918</v>
      </c>
      <c r="AB137">
        <v>31.417438986862614</v>
      </c>
      <c r="AD137">
        <v>0.60032114901359501</v>
      </c>
      <c r="AE137">
        <v>6.9512150411958684</v>
      </c>
      <c r="AF137">
        <v>10.74797489464112</v>
      </c>
      <c r="AG137">
        <v>16.986085455853779</v>
      </c>
      <c r="AI137">
        <v>2.0118918168050164</v>
      </c>
      <c r="AK137">
        <v>24.694696721767254</v>
      </c>
    </row>
    <row r="138" spans="1:37" x14ac:dyDescent="0.2">
      <c r="A138">
        <v>137</v>
      </c>
      <c r="B138">
        <v>756</v>
      </c>
      <c r="C138">
        <v>140</v>
      </c>
      <c r="D138">
        <v>0.44619394646067401</v>
      </c>
      <c r="E138">
        <v>124.68433216113949</v>
      </c>
      <c r="F138">
        <v>53.798512564117495</v>
      </c>
      <c r="G138">
        <v>70.933312348527807</v>
      </c>
      <c r="H138">
        <v>66.324910068637195</v>
      </c>
      <c r="J138">
        <v>19.921221654622233</v>
      </c>
      <c r="L138">
        <v>1.6021560552386509</v>
      </c>
      <c r="M138">
        <v>10.555246281648349</v>
      </c>
      <c r="N138">
        <v>2.0842523690499424</v>
      </c>
      <c r="O138">
        <v>8.145799590549899</v>
      </c>
      <c r="P138">
        <v>8.8929444093901111</v>
      </c>
      <c r="R138">
        <v>7.9462639232775549</v>
      </c>
      <c r="S138">
        <v>35.914508847306742</v>
      </c>
      <c r="U138">
        <v>3.1935338456184534</v>
      </c>
      <c r="V138">
        <v>50.012154902512442</v>
      </c>
      <c r="W138">
        <v>21.83046633065992</v>
      </c>
      <c r="X138">
        <v>44.798227932027224</v>
      </c>
      <c r="Y138">
        <v>3.3284917400964673</v>
      </c>
      <c r="Z138">
        <v>17.479552187049695</v>
      </c>
      <c r="AB138">
        <v>31.550238537625248</v>
      </c>
      <c r="AD138">
        <v>0.27025829479748703</v>
      </c>
      <c r="AE138">
        <v>6.5702290910561683</v>
      </c>
      <c r="AF138">
        <v>10.149442469142523</v>
      </c>
      <c r="AG138">
        <v>17.089298718843665</v>
      </c>
      <c r="AI138">
        <v>2.0153219647588037</v>
      </c>
      <c r="AK138">
        <v>23.667414547632635</v>
      </c>
    </row>
    <row r="139" spans="1:37" x14ac:dyDescent="0.2">
      <c r="A139">
        <v>138</v>
      </c>
      <c r="B139">
        <v>754</v>
      </c>
      <c r="C139">
        <v>140</v>
      </c>
      <c r="D139">
        <v>0.44497931168767801</v>
      </c>
      <c r="E139">
        <v>124.86594039183089</v>
      </c>
      <c r="F139">
        <v>54.38305443508056</v>
      </c>
      <c r="G139">
        <v>70.892056997757621</v>
      </c>
      <c r="H139">
        <v>66.278795417018912</v>
      </c>
      <c r="J139">
        <v>18.808460666752858</v>
      </c>
      <c r="L139">
        <v>1.6168769859253989</v>
      </c>
      <c r="M139">
        <v>9.9914613585637984</v>
      </c>
      <c r="N139">
        <v>2.0882394578593044</v>
      </c>
      <c r="O139">
        <v>8.0436290694506702</v>
      </c>
      <c r="P139">
        <v>8.8573173901132911</v>
      </c>
      <c r="R139">
        <v>7.47627124590581</v>
      </c>
      <c r="S139">
        <v>36.321333100435403</v>
      </c>
      <c r="U139">
        <v>3.1496683211188854</v>
      </c>
      <c r="V139">
        <v>50.719483016374653</v>
      </c>
      <c r="W139">
        <v>21.098054031076895</v>
      </c>
      <c r="X139">
        <v>44.757552553990429</v>
      </c>
      <c r="Y139">
        <v>3.2760142172609004</v>
      </c>
      <c r="Z139">
        <v>17.584822881598878</v>
      </c>
      <c r="AB139">
        <v>32.090456536770866</v>
      </c>
      <c r="AE139">
        <v>6.6197797480232659</v>
      </c>
      <c r="AF139">
        <v>9.5834242041589679</v>
      </c>
      <c r="AG139">
        <v>17.599936255859028</v>
      </c>
      <c r="AI139">
        <v>2.0187445293379676</v>
      </c>
      <c r="AK139">
        <v>22.811581453561971</v>
      </c>
    </row>
    <row r="140" spans="1:37" x14ac:dyDescent="0.2">
      <c r="A140">
        <v>139</v>
      </c>
      <c r="B140">
        <v>752</v>
      </c>
      <c r="C140">
        <v>140</v>
      </c>
      <c r="D140">
        <v>0.443759937570114</v>
      </c>
      <c r="E140">
        <v>125.02687498569398</v>
      </c>
      <c r="F140">
        <v>54.905162510420602</v>
      </c>
      <c r="G140">
        <v>70.852807306339955</v>
      </c>
      <c r="H140">
        <v>66.234738766898388</v>
      </c>
      <c r="J140">
        <v>17.908360448535852</v>
      </c>
      <c r="L140">
        <v>1.6305545562562256</v>
      </c>
      <c r="M140">
        <v>9.4698797831130719</v>
      </c>
      <c r="N140">
        <v>2.0922244599223929</v>
      </c>
      <c r="O140">
        <v>7.9364462896805499</v>
      </c>
      <c r="P140">
        <v>8.8257307102705216</v>
      </c>
      <c r="R140">
        <v>7.0397682528221184</v>
      </c>
      <c r="S140">
        <v>36.697793812123791</v>
      </c>
      <c r="U140">
        <v>3.1038862480170746</v>
      </c>
      <c r="V140">
        <v>51.3708202596736</v>
      </c>
      <c r="W140">
        <v>20.40885704598977</v>
      </c>
      <c r="X140">
        <v>44.712383048787117</v>
      </c>
      <c r="Y140">
        <v>3.2300061193112461</v>
      </c>
      <c r="Z140">
        <v>17.643031767349552</v>
      </c>
      <c r="AB140">
        <v>32.569451625798663</v>
      </c>
      <c r="AE140">
        <v>6.6422032501888584</v>
      </c>
      <c r="AF140">
        <v>9.0596085622600668</v>
      </c>
      <c r="AG140">
        <v>18.049358928948692</v>
      </c>
      <c r="AI140">
        <v>2.0221616688469517</v>
      </c>
      <c r="AK140">
        <v>22.108742268411635</v>
      </c>
    </row>
    <row r="141" spans="1:37" x14ac:dyDescent="0.2">
      <c r="A141">
        <v>140</v>
      </c>
      <c r="B141">
        <v>750</v>
      </c>
      <c r="C141">
        <v>140</v>
      </c>
      <c r="D141">
        <v>0.44253579631530099</v>
      </c>
      <c r="E141">
        <v>125.17008653281445</v>
      </c>
      <c r="F141">
        <v>55.387997489402714</v>
      </c>
      <c r="G141">
        <v>70.813343411832349</v>
      </c>
      <c r="H141">
        <v>66.190520423355281</v>
      </c>
      <c r="J141">
        <v>17.158210959987162</v>
      </c>
      <c r="L141">
        <v>1.6432649040708529</v>
      </c>
      <c r="M141">
        <v>8.9813207874352123</v>
      </c>
      <c r="N141">
        <v>2.0962075367921256</v>
      </c>
      <c r="O141">
        <v>7.8287894223457162</v>
      </c>
      <c r="P141">
        <v>8.793744989638645</v>
      </c>
      <c r="R141">
        <v>6.6278435952450003</v>
      </c>
      <c r="S141">
        <v>37.050487615960556</v>
      </c>
      <c r="U141">
        <v>3.0567603977893576</v>
      </c>
      <c r="V141">
        <v>51.977131225023733</v>
      </c>
      <c r="W141">
        <v>19.753364261393372</v>
      </c>
      <c r="X141">
        <v>44.664361328942917</v>
      </c>
      <c r="Y141">
        <v>3.1880994479150946</v>
      </c>
      <c r="Z141">
        <v>17.695115754556259</v>
      </c>
      <c r="AB141">
        <v>33.017509568390047</v>
      </c>
      <c r="AE141">
        <v>6.6614181280670577</v>
      </c>
      <c r="AF141">
        <v>8.5688149822797968</v>
      </c>
      <c r="AG141">
        <v>18.467852711180509</v>
      </c>
      <c r="AI141">
        <v>2.0255735301240105</v>
      </c>
      <c r="AK141">
        <v>21.514968247142818</v>
      </c>
    </row>
    <row r="142" spans="1:37" x14ac:dyDescent="0.2">
      <c r="A142">
        <v>141</v>
      </c>
      <c r="B142">
        <v>792</v>
      </c>
      <c r="C142">
        <v>120</v>
      </c>
      <c r="D142">
        <v>0.48793174670234402</v>
      </c>
      <c r="E142">
        <v>113.43925057537857</v>
      </c>
      <c r="F142">
        <v>62.618849358303905</v>
      </c>
      <c r="G142">
        <v>72.482453502280606</v>
      </c>
      <c r="H142">
        <v>67.969679202391276</v>
      </c>
      <c r="J142">
        <v>43.76494909553584</v>
      </c>
      <c r="L142">
        <v>5.2479595496531841</v>
      </c>
      <c r="M142">
        <v>14.899391162644726</v>
      </c>
      <c r="N142">
        <v>2.125406124688086</v>
      </c>
      <c r="O142">
        <v>28.438443051015103</v>
      </c>
      <c r="P142">
        <v>11.152672179918179</v>
      </c>
      <c r="Q142">
        <v>3.1121792643169385E-2</v>
      </c>
      <c r="R142">
        <v>16.573736660861321</v>
      </c>
      <c r="S142">
        <v>44.589797504780172</v>
      </c>
      <c r="U142">
        <v>4.1863427560496431</v>
      </c>
      <c r="V142">
        <v>45.591928464183646</v>
      </c>
      <c r="W142">
        <v>31.86574454866139</v>
      </c>
      <c r="X142">
        <v>44.141855698884768</v>
      </c>
      <c r="Y142">
        <v>6.9674229241951489</v>
      </c>
      <c r="Z142">
        <v>33.228373358818381</v>
      </c>
      <c r="AA142">
        <v>4.4260321427324527</v>
      </c>
      <c r="AB142">
        <v>37.283563864367146</v>
      </c>
      <c r="AC142">
        <v>0.18586036134823891</v>
      </c>
      <c r="AD142">
        <v>8.5041184240051368</v>
      </c>
      <c r="AE142">
        <v>15.385543682526794</v>
      </c>
      <c r="AF142">
        <v>14.70869920332054</v>
      </c>
      <c r="AG142">
        <v>23.555094617426654</v>
      </c>
      <c r="AH142">
        <v>4.7531821481767533</v>
      </c>
      <c r="AI142">
        <v>2.0637387258718785</v>
      </c>
      <c r="AK142">
        <v>39.414803116637373</v>
      </c>
    </row>
    <row r="143" spans="1:37" x14ac:dyDescent="0.2">
      <c r="A143">
        <v>142</v>
      </c>
      <c r="B143">
        <v>790</v>
      </c>
      <c r="C143">
        <v>120</v>
      </c>
      <c r="D143">
        <v>0.486836758688802</v>
      </c>
      <c r="E143">
        <v>113.23758963458313</v>
      </c>
      <c r="F143">
        <v>61.87560424268964</v>
      </c>
      <c r="G143">
        <v>72.350435240478234</v>
      </c>
      <c r="H143">
        <v>67.831871007558874</v>
      </c>
      <c r="J143">
        <v>43.704399420381719</v>
      </c>
      <c r="L143">
        <v>5.0567936388536907</v>
      </c>
      <c r="M143">
        <v>14.885963271518357</v>
      </c>
      <c r="N143">
        <v>2.1007802405805278</v>
      </c>
      <c r="O143">
        <v>27.504544534648158</v>
      </c>
      <c r="P143">
        <v>10.906361561153952</v>
      </c>
      <c r="R143">
        <v>16.263724790107137</v>
      </c>
      <c r="S143">
        <v>44.232913032589217</v>
      </c>
      <c r="U143">
        <v>4.1296362164928215</v>
      </c>
      <c r="V143">
        <v>45.603037187958769</v>
      </c>
      <c r="W143">
        <v>31.598484491741392</v>
      </c>
      <c r="X143">
        <v>44.082257884346923</v>
      </c>
      <c r="Y143">
        <v>6.7653312032960029</v>
      </c>
      <c r="Z143">
        <v>32.816146294579802</v>
      </c>
      <c r="AA143">
        <v>4.2245734213001995</v>
      </c>
      <c r="AB143">
        <v>37.178779014900854</v>
      </c>
      <c r="AC143">
        <v>0.15724970685338591</v>
      </c>
      <c r="AD143">
        <v>8.2823537937881024</v>
      </c>
      <c r="AE143">
        <v>15.203959472126908</v>
      </c>
      <c r="AF143">
        <v>14.664402025132199</v>
      </c>
      <c r="AG143">
        <v>23.391994398115461</v>
      </c>
      <c r="AH143">
        <v>4.4725854649653893</v>
      </c>
      <c r="AI143">
        <v>2.038607702034847</v>
      </c>
      <c r="AK143">
        <v>39.402481862413786</v>
      </c>
    </row>
    <row r="144" spans="1:37" x14ac:dyDescent="0.2">
      <c r="A144">
        <v>143</v>
      </c>
      <c r="B144">
        <v>788</v>
      </c>
      <c r="C144">
        <v>120</v>
      </c>
      <c r="D144">
        <v>0.48573764312303003</v>
      </c>
      <c r="E144">
        <v>113.03577877454684</v>
      </c>
      <c r="F144">
        <v>61.073611124626325</v>
      </c>
      <c r="G144">
        <v>72.206254981248634</v>
      </c>
      <c r="H144">
        <v>67.681950257396323</v>
      </c>
      <c r="J144">
        <v>43.65467775354243</v>
      </c>
      <c r="L144">
        <v>4.840783049679227</v>
      </c>
      <c r="M144">
        <v>14.906811116253142</v>
      </c>
      <c r="N144">
        <v>2.0706785674296158</v>
      </c>
      <c r="O144">
        <v>26.46557345792538</v>
      </c>
      <c r="P144">
        <v>10.630279126016619</v>
      </c>
      <c r="R144">
        <v>15.960853780479541</v>
      </c>
      <c r="S144">
        <v>43.999481450019772</v>
      </c>
      <c r="U144">
        <v>4.1013916103682675</v>
      </c>
      <c r="V144">
        <v>45.678630766827496</v>
      </c>
      <c r="W144">
        <v>31.362804394723312</v>
      </c>
      <c r="X144">
        <v>44.117203834995003</v>
      </c>
      <c r="Y144">
        <v>6.5364401009979458</v>
      </c>
      <c r="Z144">
        <v>32.369240622460602</v>
      </c>
      <c r="AA144">
        <v>3.9967275728325551</v>
      </c>
      <c r="AB144">
        <v>37.122097580258803</v>
      </c>
      <c r="AC144">
        <v>0.12316389373313388</v>
      </c>
      <c r="AD144">
        <v>8.039357521654356</v>
      </c>
      <c r="AE144">
        <v>15.011341081164312</v>
      </c>
      <c r="AF144">
        <v>14.648905396622363</v>
      </c>
      <c r="AG144">
        <v>23.271531126125513</v>
      </c>
      <c r="AH144">
        <v>4.15914114180692</v>
      </c>
      <c r="AI144">
        <v>2.0079978145981041</v>
      </c>
      <c r="AK144">
        <v>39.377515033465905</v>
      </c>
    </row>
    <row r="145" spans="1:37" x14ac:dyDescent="0.2">
      <c r="A145">
        <v>144</v>
      </c>
      <c r="B145">
        <v>786</v>
      </c>
      <c r="C145">
        <v>120</v>
      </c>
      <c r="D145">
        <v>0.48463437662276798</v>
      </c>
      <c r="E145">
        <v>112.83562005178842</v>
      </c>
      <c r="F145">
        <v>60.275922593395414</v>
      </c>
      <c r="G145">
        <v>72.062180198318799</v>
      </c>
      <c r="H145">
        <v>67.532184581989441</v>
      </c>
      <c r="J145">
        <v>43.603675762244961</v>
      </c>
      <c r="L145">
        <v>4.6240776859909056</v>
      </c>
      <c r="M145">
        <v>14.928132338790105</v>
      </c>
      <c r="N145">
        <v>2.0405347139890724</v>
      </c>
      <c r="O145">
        <v>25.427801062182063</v>
      </c>
      <c r="P145">
        <v>10.354393596632864</v>
      </c>
      <c r="R145">
        <v>15.655477342851004</v>
      </c>
      <c r="S145">
        <v>43.758167011677344</v>
      </c>
      <c r="U145">
        <v>4.0745599431120967</v>
      </c>
      <c r="V145">
        <v>45.750428684176974</v>
      </c>
      <c r="W145">
        <v>31.129013672212359</v>
      </c>
      <c r="X145">
        <v>44.157206691222619</v>
      </c>
      <c r="Y145">
        <v>6.307512221634104</v>
      </c>
      <c r="Z145">
        <v>31.923625907492891</v>
      </c>
      <c r="AA145">
        <v>3.768819602219228</v>
      </c>
      <c r="AB145">
        <v>37.060890169907424</v>
      </c>
      <c r="AC145">
        <v>8.9036527267722265E-2</v>
      </c>
      <c r="AD145">
        <v>7.7963642142019305</v>
      </c>
      <c r="AE145">
        <v>14.819467123384587</v>
      </c>
      <c r="AF145">
        <v>14.633840610101108</v>
      </c>
      <c r="AG145">
        <v>23.146509062400817</v>
      </c>
      <c r="AH145">
        <v>3.8455128719760121</v>
      </c>
      <c r="AI145">
        <v>1.9773426577409914</v>
      </c>
      <c r="AK145">
        <v>39.353300024347476</v>
      </c>
    </row>
    <row r="146" spans="1:37" x14ac:dyDescent="0.2">
      <c r="A146">
        <v>145</v>
      </c>
      <c r="B146">
        <v>784</v>
      </c>
      <c r="C146">
        <v>120</v>
      </c>
      <c r="D146">
        <v>0.48352693562881199</v>
      </c>
      <c r="E146">
        <v>112.63712292972059</v>
      </c>
      <c r="F146">
        <v>59.482661803047364</v>
      </c>
      <c r="G146">
        <v>71.918249949313378</v>
      </c>
      <c r="H146">
        <v>67.382613195912597</v>
      </c>
      <c r="J146">
        <v>43.551348525420615</v>
      </c>
      <c r="L146">
        <v>4.4068338897540711</v>
      </c>
      <c r="M146">
        <v>14.94987676546082</v>
      </c>
      <c r="N146">
        <v>2.0103535025184343</v>
      </c>
      <c r="O146">
        <v>24.391445258500891</v>
      </c>
      <c r="P146">
        <v>10.07878807733373</v>
      </c>
      <c r="R146">
        <v>15.347735583747058</v>
      </c>
      <c r="S146">
        <v>43.508692247381482</v>
      </c>
      <c r="U146">
        <v>4.0490880802737896</v>
      </c>
      <c r="V146">
        <v>45.818335733096013</v>
      </c>
      <c r="W146">
        <v>30.897103691733374</v>
      </c>
      <c r="X146">
        <v>44.202109652172091</v>
      </c>
      <c r="Y146">
        <v>6.0786169922762943</v>
      </c>
      <c r="Z146">
        <v>31.479323204963237</v>
      </c>
      <c r="AA146">
        <v>3.5409942972929493</v>
      </c>
      <c r="AB146">
        <v>36.994989160076081</v>
      </c>
      <c r="AC146">
        <v>5.4872426237615145E-2</v>
      </c>
      <c r="AD146">
        <v>7.5534150461752354</v>
      </c>
      <c r="AE146">
        <v>14.628314783304347</v>
      </c>
      <c r="AF146">
        <v>14.619162355965686</v>
      </c>
      <c r="AG146">
        <v>23.016765448419179</v>
      </c>
      <c r="AH146">
        <v>3.5318146626601177</v>
      </c>
      <c r="AI146">
        <v>1.9466470391372521</v>
      </c>
      <c r="AK146">
        <v>39.329855631459608</v>
      </c>
    </row>
    <row r="147" spans="1:37" x14ac:dyDescent="0.2">
      <c r="A147">
        <v>146</v>
      </c>
      <c r="B147">
        <v>782</v>
      </c>
      <c r="C147">
        <v>120</v>
      </c>
      <c r="D147">
        <v>0.48241529640335601</v>
      </c>
      <c r="E147">
        <v>112.44029446240518</v>
      </c>
      <c r="F147">
        <v>58.693944482859877</v>
      </c>
      <c r="G147">
        <v>71.774503081007211</v>
      </c>
      <c r="H147">
        <v>67.23327510348409</v>
      </c>
      <c r="J147">
        <v>43.497661565915941</v>
      </c>
      <c r="L147">
        <v>4.1890246506198565</v>
      </c>
      <c r="M147">
        <v>14.971992341894767</v>
      </c>
      <c r="N147">
        <v>1.9801398075500456</v>
      </c>
      <c r="O147">
        <v>23.356722138980338</v>
      </c>
      <c r="P147">
        <v>9.8035453039340705</v>
      </c>
      <c r="R147">
        <v>15.037770414903459</v>
      </c>
      <c r="S147">
        <v>43.250822584761849</v>
      </c>
      <c r="U147">
        <v>4.0249197109408232</v>
      </c>
      <c r="V147">
        <v>45.882273630806694</v>
      </c>
      <c r="W147">
        <v>30.667062548224628</v>
      </c>
      <c r="X147">
        <v>44.251746394052034</v>
      </c>
      <c r="Y147">
        <v>5.8498237993339561</v>
      </c>
      <c r="Z147">
        <v>31.036349663242753</v>
      </c>
      <c r="AA147">
        <v>3.3131560322644802</v>
      </c>
      <c r="AB147">
        <v>36.92424917485036</v>
      </c>
      <c r="AC147">
        <v>2.0676461691427839E-2</v>
      </c>
      <c r="AD147">
        <v>7.3105484266485847</v>
      </c>
      <c r="AE147">
        <v>14.437859165857896</v>
      </c>
      <c r="AF147">
        <v>14.604823496372187</v>
      </c>
      <c r="AG147">
        <v>22.88215982605427</v>
      </c>
      <c r="AH147">
        <v>3.2181597241315281</v>
      </c>
      <c r="AI147">
        <v>1.9159158187221457</v>
      </c>
      <c r="AK147">
        <v>39.307199499888448</v>
      </c>
    </row>
    <row r="148" spans="1:37" x14ac:dyDescent="0.2">
      <c r="A148">
        <v>147</v>
      </c>
      <c r="B148">
        <v>780</v>
      </c>
      <c r="C148">
        <v>120</v>
      </c>
      <c r="D148">
        <v>0.48129943502824801</v>
      </c>
      <c r="E148">
        <v>112.17911533359033</v>
      </c>
      <c r="F148">
        <v>57.56127274234705</v>
      </c>
      <c r="G148">
        <v>71.570870567812761</v>
      </c>
      <c r="H148">
        <v>67.024101437256377</v>
      </c>
      <c r="J148">
        <v>43.33524316126018</v>
      </c>
      <c r="L148">
        <v>3.8779931195197386</v>
      </c>
      <c r="M148">
        <v>14.984645940170733</v>
      </c>
      <c r="N148">
        <v>1.9631326323607079</v>
      </c>
      <c r="O148">
        <v>21.990824971372682</v>
      </c>
      <c r="P148">
        <v>9.4217663971777874</v>
      </c>
      <c r="R148">
        <v>14.595357933623168</v>
      </c>
      <c r="S148">
        <v>42.815305536585001</v>
      </c>
      <c r="U148">
        <v>3.9903166833964567</v>
      </c>
      <c r="V148">
        <v>45.937604516099483</v>
      </c>
      <c r="W148">
        <v>30.351776605606361</v>
      </c>
      <c r="X148">
        <v>44.259296969907041</v>
      </c>
      <c r="Y148">
        <v>5.5113694623860141</v>
      </c>
      <c r="Z148">
        <v>30.410239751753853</v>
      </c>
      <c r="AA148">
        <v>2.9901396558223858</v>
      </c>
      <c r="AB148">
        <v>36.810151127376891</v>
      </c>
      <c r="AD148">
        <v>6.9495301422691966</v>
      </c>
      <c r="AE148">
        <v>14.185369854920545</v>
      </c>
      <c r="AF148">
        <v>14.59422994886034</v>
      </c>
      <c r="AG148">
        <v>22.717412155259201</v>
      </c>
      <c r="AH148">
        <v>2.7297669520320613</v>
      </c>
      <c r="AI148">
        <v>1.8983879851649124</v>
      </c>
      <c r="AK148">
        <v>39.205682599457091</v>
      </c>
    </row>
    <row r="149" spans="1:37" x14ac:dyDescent="0.2">
      <c r="A149">
        <v>148</v>
      </c>
      <c r="B149">
        <v>778</v>
      </c>
      <c r="C149">
        <v>120</v>
      </c>
      <c r="D149">
        <v>0.48017932740332298</v>
      </c>
      <c r="E149">
        <v>111.81401525039252</v>
      </c>
      <c r="F149">
        <v>55.855554952164127</v>
      </c>
      <c r="G149">
        <v>71.266190325776194</v>
      </c>
      <c r="H149">
        <v>66.713930272017677</v>
      </c>
      <c r="J149">
        <v>42.979993098595294</v>
      </c>
      <c r="L149">
        <v>3.4076990291865803</v>
      </c>
      <c r="M149">
        <v>14.983242686443603</v>
      </c>
      <c r="N149">
        <v>1.9670991027872282</v>
      </c>
      <c r="O149">
        <v>20.061699182008674</v>
      </c>
      <c r="P149">
        <v>8.8588944845610538</v>
      </c>
      <c r="R149">
        <v>13.922714464500636</v>
      </c>
      <c r="S149">
        <v>42.053919684769447</v>
      </c>
      <c r="U149">
        <v>3.9440412482541207</v>
      </c>
      <c r="V149">
        <v>45.968422632895596</v>
      </c>
      <c r="W149">
        <v>29.903291811557533</v>
      </c>
      <c r="X149">
        <v>44.213709152437197</v>
      </c>
      <c r="Y149">
        <v>4.9875302240270587</v>
      </c>
      <c r="Z149">
        <v>29.476156600034525</v>
      </c>
      <c r="AA149">
        <v>2.5050697742404444</v>
      </c>
      <c r="AB149">
        <v>36.607622204146416</v>
      </c>
      <c r="AD149">
        <v>6.3896945984522802</v>
      </c>
      <c r="AE149">
        <v>13.828847577204115</v>
      </c>
      <c r="AF149">
        <v>14.590554007797012</v>
      </c>
      <c r="AG149">
        <v>22.485216792157654</v>
      </c>
      <c r="AH149">
        <v>1.9464210846431038</v>
      </c>
      <c r="AI149">
        <v>1.9018306496829231</v>
      </c>
      <c r="AK149">
        <v>38.970264664490813</v>
      </c>
    </row>
    <row r="150" spans="1:37" x14ac:dyDescent="0.2">
      <c r="A150">
        <v>149</v>
      </c>
      <c r="B150">
        <v>776</v>
      </c>
      <c r="C150">
        <v>120</v>
      </c>
      <c r="D150">
        <v>0.47905494924462999</v>
      </c>
      <c r="E150">
        <v>111.44748252067927</v>
      </c>
      <c r="F150">
        <v>54.098962212646796</v>
      </c>
      <c r="G150">
        <v>70.949805229077683</v>
      </c>
      <c r="H150">
        <v>66.392104641292818</v>
      </c>
      <c r="J150">
        <v>42.579517791856517</v>
      </c>
      <c r="L150">
        <v>2.9134997321430891</v>
      </c>
      <c r="M150">
        <v>14.983268241592556</v>
      </c>
      <c r="N150">
        <v>1.9710632476430723</v>
      </c>
      <c r="O150">
        <v>18.058414962025452</v>
      </c>
      <c r="P150">
        <v>8.2726395137469879</v>
      </c>
      <c r="R150">
        <v>13.206531253341568</v>
      </c>
      <c r="S150">
        <v>41.186887541421612</v>
      </c>
      <c r="U150">
        <v>3.9083447711841743</v>
      </c>
      <c r="V150">
        <v>45.970225045653059</v>
      </c>
      <c r="W150">
        <v>29.460885050867038</v>
      </c>
      <c r="X150">
        <v>44.199807159286486</v>
      </c>
      <c r="Y150">
        <v>4.4407906447574303</v>
      </c>
      <c r="Z150">
        <v>28.505013667401691</v>
      </c>
      <c r="AA150">
        <v>1.9978478551955776</v>
      </c>
      <c r="AB150">
        <v>36.354660159808653</v>
      </c>
      <c r="AD150">
        <v>5.8051841334916476</v>
      </c>
      <c r="AE150">
        <v>13.45940990569885</v>
      </c>
      <c r="AF150">
        <v>14.588305405443508</v>
      </c>
      <c r="AG150">
        <v>22.202595564285097</v>
      </c>
      <c r="AH150">
        <v>1.127447236957084</v>
      </c>
      <c r="AI150">
        <v>1.9052678264614764</v>
      </c>
      <c r="AK150">
        <v>38.717053955062411</v>
      </c>
    </row>
    <row r="151" spans="1:37" x14ac:dyDescent="0.2">
      <c r="A151">
        <v>150</v>
      </c>
      <c r="B151">
        <v>774</v>
      </c>
      <c r="C151">
        <v>120</v>
      </c>
      <c r="D151">
        <v>0.47792627608270499</v>
      </c>
      <c r="E151">
        <v>111.07491817972533</v>
      </c>
      <c r="F151">
        <v>52.24202833572118</v>
      </c>
      <c r="G151">
        <v>70.613359377760204</v>
      </c>
      <c r="H151">
        <v>66.05026880507846</v>
      </c>
      <c r="J151">
        <v>42.100956335179681</v>
      </c>
      <c r="L151">
        <v>2.3791597302686385</v>
      </c>
      <c r="M151">
        <v>14.983096516482171</v>
      </c>
      <c r="N151">
        <v>1.9750244359225038</v>
      </c>
      <c r="O151">
        <v>15.924284952426067</v>
      </c>
      <c r="P151">
        <v>7.6462892252411274</v>
      </c>
      <c r="R151">
        <v>12.419525252342217</v>
      </c>
      <c r="S151">
        <v>40.150569432611412</v>
      </c>
      <c r="U151">
        <v>3.8861483073589786</v>
      </c>
      <c r="V151">
        <v>45.928632004209881</v>
      </c>
      <c r="W151">
        <v>29.024008840047514</v>
      </c>
      <c r="X151">
        <v>44.226057831900633</v>
      </c>
      <c r="Y151">
        <v>3.854533783573272</v>
      </c>
      <c r="Z151">
        <v>27.460880526016421</v>
      </c>
      <c r="AA151">
        <v>1.4524496406690741</v>
      </c>
      <c r="AB151">
        <v>36.019858134260701</v>
      </c>
      <c r="AD151">
        <v>5.1748213989067349</v>
      </c>
      <c r="AE151">
        <v>13.061857310654483</v>
      </c>
      <c r="AF151">
        <v>14.585857464420581</v>
      </c>
      <c r="AG151">
        <v>21.838141024881317</v>
      </c>
      <c r="AH151">
        <v>0.24736008680207416</v>
      </c>
      <c r="AI151">
        <v>1.908698869856424</v>
      </c>
      <c r="AK151">
        <v>38.429546307992304</v>
      </c>
    </row>
    <row r="152" spans="1:37" x14ac:dyDescent="0.2">
      <c r="A152">
        <v>151</v>
      </c>
      <c r="B152">
        <v>772</v>
      </c>
      <c r="C152">
        <v>120</v>
      </c>
      <c r="D152">
        <v>0.47679328326077502</v>
      </c>
      <c r="E152">
        <v>111.89653322036078</v>
      </c>
      <c r="F152">
        <v>53.210598898648698</v>
      </c>
      <c r="G152">
        <v>70.983354699728309</v>
      </c>
      <c r="H152">
        <v>66.414924851841988</v>
      </c>
      <c r="J152">
        <v>33.449660737525612</v>
      </c>
      <c r="L152">
        <v>1.4450024976978058</v>
      </c>
      <c r="M152">
        <v>14.312370841300911</v>
      </c>
      <c r="N152">
        <v>1.9790449944496988</v>
      </c>
      <c r="O152">
        <v>10.33242951162681</v>
      </c>
      <c r="P152">
        <v>8.4329099740411184</v>
      </c>
      <c r="R152">
        <v>11.056124020454375</v>
      </c>
      <c r="S152">
        <v>36.042619077317141</v>
      </c>
      <c r="U152">
        <v>4.0156144124000388</v>
      </c>
      <c r="V152">
        <v>45.98052777217719</v>
      </c>
      <c r="W152">
        <v>28.024227780149545</v>
      </c>
      <c r="X152">
        <v>44.681802156535767</v>
      </c>
      <c r="Y152">
        <v>3.3953354767455672</v>
      </c>
      <c r="Z152">
        <v>24.570336044859562</v>
      </c>
      <c r="AB152">
        <v>33.573835962536577</v>
      </c>
      <c r="AD152">
        <v>3.8144771562615549</v>
      </c>
      <c r="AE152">
        <v>10.981982711724127</v>
      </c>
      <c r="AF152">
        <v>13.912915884694513</v>
      </c>
      <c r="AG152">
        <v>19.362535380432426</v>
      </c>
      <c r="AI152">
        <v>1.9121860920451483</v>
      </c>
      <c r="AK152">
        <v>32.836347097168805</v>
      </c>
    </row>
    <row r="153" spans="1:37" x14ac:dyDescent="0.2">
      <c r="A153">
        <v>152</v>
      </c>
      <c r="B153">
        <v>770</v>
      </c>
      <c r="C153">
        <v>120</v>
      </c>
      <c r="D153">
        <v>0.47565594593299199</v>
      </c>
      <c r="E153">
        <v>112.47078064582873</v>
      </c>
      <c r="F153">
        <v>53.279974825967983</v>
      </c>
      <c r="G153">
        <v>71.094728591262012</v>
      </c>
      <c r="H153">
        <v>66.521010339042761</v>
      </c>
      <c r="J153">
        <v>27.64243785029667</v>
      </c>
      <c r="L153">
        <v>1.4827429601224795</v>
      </c>
      <c r="M153">
        <v>13.416867381503431</v>
      </c>
      <c r="N153">
        <v>1.9830607470494961</v>
      </c>
      <c r="O153">
        <v>10.054586361616124</v>
      </c>
      <c r="P153">
        <v>8.7023125498410945</v>
      </c>
      <c r="R153">
        <v>10.420575392248136</v>
      </c>
      <c r="S153">
        <v>35.990091362812535</v>
      </c>
      <c r="U153">
        <v>4.0459786317860065</v>
      </c>
      <c r="V153">
        <v>46.900964032794157</v>
      </c>
      <c r="W153">
        <v>26.908864964200934</v>
      </c>
      <c r="X153">
        <v>44.851192032776041</v>
      </c>
      <c r="Y153">
        <v>3.3907360319775255</v>
      </c>
      <c r="Z153">
        <v>21.816019801045581</v>
      </c>
      <c r="AB153">
        <v>32.298819823958283</v>
      </c>
      <c r="AD153">
        <v>2.4791821912789844</v>
      </c>
      <c r="AE153">
        <v>9.2734969543020771</v>
      </c>
      <c r="AF153">
        <v>13.015192698692159</v>
      </c>
      <c r="AG153">
        <v>18.057940678989091</v>
      </c>
      <c r="AI153">
        <v>1.9156653021955663</v>
      </c>
      <c r="AK153">
        <v>28.872510947966163</v>
      </c>
    </row>
    <row r="154" spans="1:37" x14ac:dyDescent="0.2">
      <c r="A154">
        <v>153</v>
      </c>
      <c r="B154">
        <v>768</v>
      </c>
      <c r="C154">
        <v>120</v>
      </c>
      <c r="D154">
        <v>0.474514239062578</v>
      </c>
      <c r="E154">
        <v>112.88250403047763</v>
      </c>
      <c r="F154">
        <v>53.638161196522596</v>
      </c>
      <c r="G154">
        <v>71.145414093806892</v>
      </c>
      <c r="H154">
        <v>66.566458469922196</v>
      </c>
      <c r="J154">
        <v>24.374173717039895</v>
      </c>
      <c r="L154">
        <v>1.5114531806931699</v>
      </c>
      <c r="M154">
        <v>12.632616355446718</v>
      </c>
      <c r="N154">
        <v>1.9870696777886179</v>
      </c>
      <c r="O154">
        <v>9.8291344963737561</v>
      </c>
      <c r="P154">
        <v>8.8503611938627298</v>
      </c>
      <c r="R154">
        <v>9.8548066924244413</v>
      </c>
      <c r="S154">
        <v>36.294135064991764</v>
      </c>
      <c r="U154">
        <v>4.0306125992514596</v>
      </c>
      <c r="V154">
        <v>47.839844694237208</v>
      </c>
      <c r="W154">
        <v>25.933853121233167</v>
      </c>
      <c r="X154">
        <v>44.889957660829637</v>
      </c>
      <c r="Y154">
        <v>3.3600075360768868</v>
      </c>
      <c r="Z154">
        <v>20.325361152738925</v>
      </c>
      <c r="AB154">
        <v>31.954504224950515</v>
      </c>
      <c r="AD154">
        <v>1.7332904717874611</v>
      </c>
      <c r="AE154">
        <v>8.3609226382795097</v>
      </c>
      <c r="AF154">
        <v>12.228716152185987</v>
      </c>
      <c r="AG154">
        <v>17.684049456235066</v>
      </c>
      <c r="AI154">
        <v>1.9191344697109589</v>
      </c>
      <c r="AK154">
        <v>26.556239031280544</v>
      </c>
    </row>
    <row r="155" spans="1:37" x14ac:dyDescent="0.2">
      <c r="A155">
        <v>154</v>
      </c>
      <c r="B155">
        <v>766</v>
      </c>
      <c r="C155">
        <v>120</v>
      </c>
      <c r="D155">
        <v>0.47336813742000999</v>
      </c>
      <c r="E155">
        <v>113.20411338086581</v>
      </c>
      <c r="F155">
        <v>54.045347481429062</v>
      </c>
      <c r="G155">
        <v>71.168611368592138</v>
      </c>
      <c r="H155">
        <v>66.584469568128014</v>
      </c>
      <c r="J155">
        <v>22.213944930316206</v>
      </c>
      <c r="L155">
        <v>1.534576897737552</v>
      </c>
      <c r="M155">
        <v>11.942706516363039</v>
      </c>
      <c r="N155">
        <v>1.9910730004823598</v>
      </c>
      <c r="O155">
        <v>9.6287526981854246</v>
      </c>
      <c r="P155">
        <v>8.943457617597657</v>
      </c>
      <c r="R155">
        <v>9.3437348287293887</v>
      </c>
      <c r="S155">
        <v>36.656836631537637</v>
      </c>
      <c r="U155">
        <v>3.9996824037434529</v>
      </c>
      <c r="V155">
        <v>48.696544627983144</v>
      </c>
      <c r="W155">
        <v>25.062719822743436</v>
      </c>
      <c r="X155">
        <v>44.885028635748988</v>
      </c>
      <c r="Y155">
        <v>3.3241771840322292</v>
      </c>
      <c r="Z155">
        <v>19.341315011070691</v>
      </c>
      <c r="AB155">
        <v>31.905994513361318</v>
      </c>
      <c r="AD155">
        <v>1.2292314918975156</v>
      </c>
      <c r="AE155">
        <v>7.7600260709492801</v>
      </c>
      <c r="AF155">
        <v>11.536576255760794</v>
      </c>
      <c r="AG155">
        <v>17.605968319305497</v>
      </c>
      <c r="AI155">
        <v>1.9225947937342169</v>
      </c>
      <c r="AK155">
        <v>24.983802757532494</v>
      </c>
    </row>
    <row r="156" spans="1:37" x14ac:dyDescent="0.2">
      <c r="A156">
        <v>155</v>
      </c>
      <c r="B156">
        <v>764</v>
      </c>
      <c r="C156">
        <v>120</v>
      </c>
      <c r="D156">
        <v>0.47221761558116099</v>
      </c>
      <c r="E156">
        <v>113.46920195790651</v>
      </c>
      <c r="F156">
        <v>54.448256659636222</v>
      </c>
      <c r="G156">
        <v>71.177102062535383</v>
      </c>
      <c r="H156">
        <v>66.587825443620247</v>
      </c>
      <c r="J156">
        <v>20.641750101632464</v>
      </c>
      <c r="L156">
        <v>1.5541475844482047</v>
      </c>
      <c r="M156">
        <v>11.322568002454545</v>
      </c>
      <c r="N156">
        <v>1.9950720922178087</v>
      </c>
      <c r="O156">
        <v>9.4419766714280762</v>
      </c>
      <c r="P156">
        <v>9.007166668156648</v>
      </c>
      <c r="R156">
        <v>8.8738937238820608</v>
      </c>
      <c r="S156">
        <v>37.018535670343326</v>
      </c>
      <c r="U156">
        <v>3.9615534734707638</v>
      </c>
      <c r="V156">
        <v>49.474767811550727</v>
      </c>
      <c r="W156">
        <v>24.265632419795722</v>
      </c>
      <c r="X156">
        <v>44.860498569124019</v>
      </c>
      <c r="Y156">
        <v>3.2883724722525023</v>
      </c>
      <c r="Z156">
        <v>18.607819830933334</v>
      </c>
      <c r="AB156">
        <v>31.975166073774055</v>
      </c>
      <c r="AD156">
        <v>0.84693247642152547</v>
      </c>
      <c r="AE156">
        <v>7.3119957734877339</v>
      </c>
      <c r="AF156">
        <v>10.914204568447012</v>
      </c>
      <c r="AG156">
        <v>17.645574075634634</v>
      </c>
      <c r="AI156">
        <v>1.9260476366738519</v>
      </c>
      <c r="AK156">
        <v>23.814972216210496</v>
      </c>
    </row>
    <row r="157" spans="1:37" x14ac:dyDescent="0.2">
      <c r="A157">
        <v>156</v>
      </c>
      <c r="B157">
        <v>762</v>
      </c>
      <c r="C157">
        <v>120</v>
      </c>
      <c r="D157">
        <v>0.47106264792542502</v>
      </c>
      <c r="E157">
        <v>113.6952431124966</v>
      </c>
      <c r="F157">
        <v>54.833587355102829</v>
      </c>
      <c r="G157">
        <v>71.176652836887556</v>
      </c>
      <c r="H157">
        <v>66.582292921323258</v>
      </c>
      <c r="J157">
        <v>19.426633492078686</v>
      </c>
      <c r="L157">
        <v>1.5712313109074676</v>
      </c>
      <c r="M157">
        <v>10.755224150301029</v>
      </c>
      <c r="N157">
        <v>1.9990678422764738</v>
      </c>
      <c r="O157">
        <v>9.2635905772689373</v>
      </c>
      <c r="P157">
        <v>9.0530227344795531</v>
      </c>
      <c r="R157">
        <v>8.4360772242569286</v>
      </c>
      <c r="S157">
        <v>37.364809307474019</v>
      </c>
      <c r="U157">
        <v>3.9193845328396515</v>
      </c>
      <c r="V157">
        <v>50.187726695441853</v>
      </c>
      <c r="W157">
        <v>23.52365666267799</v>
      </c>
      <c r="X157">
        <v>44.825459540443283</v>
      </c>
      <c r="Y157">
        <v>3.2539937045764233</v>
      </c>
      <c r="Z157">
        <v>18.017946411696823</v>
      </c>
      <c r="AB157">
        <v>32.097327372899578</v>
      </c>
      <c r="AD157">
        <v>0.53554386107324237</v>
      </c>
      <c r="AE157">
        <v>6.9512816630831322</v>
      </c>
      <c r="AF157">
        <v>10.34462536003922</v>
      </c>
      <c r="AG157">
        <v>17.738176127263156</v>
      </c>
      <c r="AI157">
        <v>1.9294938731247655</v>
      </c>
      <c r="AK157">
        <v>22.895490858344534</v>
      </c>
    </row>
    <row r="158" spans="1:37" x14ac:dyDescent="0.2">
      <c r="A158">
        <v>157</v>
      </c>
      <c r="B158">
        <v>760</v>
      </c>
      <c r="C158">
        <v>120</v>
      </c>
      <c r="D158">
        <v>0.46990320863379098</v>
      </c>
      <c r="E158">
        <v>113.89244273313615</v>
      </c>
      <c r="F158">
        <v>55.198652723440148</v>
      </c>
      <c r="G158">
        <v>71.170265346972315</v>
      </c>
      <c r="H158">
        <v>66.570873820864634</v>
      </c>
      <c r="J158">
        <v>18.448893865784161</v>
      </c>
      <c r="L158">
        <v>1.5866391583285804</v>
      </c>
      <c r="M158">
        <v>10.229243634797932</v>
      </c>
      <c r="N158">
        <v>2.0030608319173795</v>
      </c>
      <c r="O158">
        <v>9.0909089999469614</v>
      </c>
      <c r="P158">
        <v>9.0870298866097006</v>
      </c>
      <c r="R158">
        <v>8.0239758670459924</v>
      </c>
      <c r="S158">
        <v>37.692662643357671</v>
      </c>
      <c r="U158">
        <v>3.8746376059091832</v>
      </c>
      <c r="V158">
        <v>50.846952491461629</v>
      </c>
      <c r="W158">
        <v>22.824464546226423</v>
      </c>
      <c r="X158">
        <v>44.784116197701785</v>
      </c>
      <c r="Y158">
        <v>3.2213854143021705</v>
      </c>
      <c r="Z158">
        <v>17.519011948516756</v>
      </c>
      <c r="AB158">
        <v>32.244476468806688</v>
      </c>
      <c r="AD158">
        <v>0.26971807674233256</v>
      </c>
      <c r="AE158">
        <v>6.6457787455351891</v>
      </c>
      <c r="AF158">
        <v>9.8164079308276193</v>
      </c>
      <c r="AG158">
        <v>17.855773159860679</v>
      </c>
      <c r="AI158">
        <v>1.9329340696542521</v>
      </c>
      <c r="AK158">
        <v>22.144190400404103</v>
      </c>
    </row>
    <row r="159" spans="1:37" x14ac:dyDescent="0.2">
      <c r="A159">
        <v>158</v>
      </c>
      <c r="B159">
        <v>758</v>
      </c>
      <c r="C159">
        <v>120</v>
      </c>
      <c r="D159">
        <v>0.46873927168695301</v>
      </c>
      <c r="E159">
        <v>114.06730094644256</v>
      </c>
      <c r="F159">
        <v>55.543941291013915</v>
      </c>
      <c r="G159">
        <v>71.159674622285351</v>
      </c>
      <c r="H159">
        <v>66.555303336680112</v>
      </c>
      <c r="J159">
        <v>17.639370997169085</v>
      </c>
      <c r="L159">
        <v>1.6007499064540935</v>
      </c>
      <c r="M159">
        <v>9.7366745200227633</v>
      </c>
      <c r="N159">
        <v>2.0070514608736043</v>
      </c>
      <c r="O159">
        <v>8.9224089724301656</v>
      </c>
      <c r="P159">
        <v>9.1126587623949948</v>
      </c>
      <c r="R159">
        <v>7.6331121670301094</v>
      </c>
      <c r="S159">
        <v>38.002439276442665</v>
      </c>
      <c r="U159">
        <v>3.8280886576511968</v>
      </c>
      <c r="V159">
        <v>51.461404356567158</v>
      </c>
      <c r="W159">
        <v>22.159632572611439</v>
      </c>
      <c r="X159">
        <v>44.738697277434945</v>
      </c>
      <c r="Y159">
        <v>3.1905546671485885</v>
      </c>
      <c r="Z159">
        <v>17.081841764173564</v>
      </c>
      <c r="AB159">
        <v>32.403011277760683</v>
      </c>
      <c r="AD159">
        <v>3.5270906685644726E-2</v>
      </c>
      <c r="AE159">
        <v>6.377769160040665</v>
      </c>
      <c r="AF159">
        <v>9.3216007889575856</v>
      </c>
      <c r="AG159">
        <v>17.984763536064463</v>
      </c>
      <c r="AI159">
        <v>1.9363686112978389</v>
      </c>
      <c r="AK159">
        <v>21.513592379193003</v>
      </c>
    </row>
    <row r="160" spans="1:37" x14ac:dyDescent="0.2">
      <c r="A160">
        <v>159</v>
      </c>
      <c r="B160">
        <v>756</v>
      </c>
      <c r="C160">
        <v>120</v>
      </c>
      <c r="D160">
        <v>0.46757081086333502</v>
      </c>
      <c r="E160">
        <v>114.17992738552219</v>
      </c>
      <c r="F160">
        <v>56.175720076181641</v>
      </c>
      <c r="G160">
        <v>71.089352866730849</v>
      </c>
      <c r="H160">
        <v>66.480053838255074</v>
      </c>
      <c r="J160">
        <v>16.893342354870693</v>
      </c>
      <c r="L160">
        <v>1.6108483072620765</v>
      </c>
      <c r="M160">
        <v>9.2483573700807149</v>
      </c>
      <c r="N160">
        <v>2.0110384368608032</v>
      </c>
      <c r="O160">
        <v>8.853680770983182</v>
      </c>
      <c r="P160">
        <v>9.0188526574735128</v>
      </c>
      <c r="R160">
        <v>7.1922411763951475</v>
      </c>
      <c r="S160">
        <v>38.367551414660475</v>
      </c>
      <c r="U160">
        <v>3.7807789553102116</v>
      </c>
      <c r="V160">
        <v>52.063022109520226</v>
      </c>
      <c r="W160">
        <v>21.499433966559995</v>
      </c>
      <c r="X160">
        <v>44.692202671812559</v>
      </c>
      <c r="Y160">
        <v>3.1329385302572228</v>
      </c>
      <c r="Z160">
        <v>17.649313011687259</v>
      </c>
      <c r="AB160">
        <v>33.149780550254576</v>
      </c>
      <c r="AE160">
        <v>6.6998863839348886</v>
      </c>
      <c r="AF160">
        <v>8.8310432507844183</v>
      </c>
      <c r="AG160">
        <v>18.70199476101277</v>
      </c>
      <c r="AI160">
        <v>1.9397961910679264</v>
      </c>
      <c r="AK160">
        <v>20.925810854900813</v>
      </c>
    </row>
    <row r="161" spans="1:37" x14ac:dyDescent="0.2">
      <c r="A161">
        <v>160</v>
      </c>
      <c r="B161">
        <v>806</v>
      </c>
      <c r="C161">
        <v>100</v>
      </c>
      <c r="D161">
        <v>0.51586943427697896</v>
      </c>
      <c r="E161">
        <v>102.89660437641342</v>
      </c>
      <c r="F161">
        <v>65.721821463742984</v>
      </c>
      <c r="G161">
        <v>73.167564312070823</v>
      </c>
      <c r="H161">
        <v>68.69620994114851</v>
      </c>
      <c r="J161">
        <v>43.974780725066658</v>
      </c>
      <c r="L161">
        <v>5.943065507224004</v>
      </c>
      <c r="M161">
        <v>15.397353445121459</v>
      </c>
      <c r="N161">
        <v>2.0782549730510995</v>
      </c>
      <c r="O161">
        <v>33.516002920296607</v>
      </c>
      <c r="P161">
        <v>12.067466264129562</v>
      </c>
      <c r="Q161">
        <v>6.2241111998070552E-2</v>
      </c>
      <c r="R161">
        <v>18.51799317196663</v>
      </c>
      <c r="S161">
        <v>48.696521879559405</v>
      </c>
      <c r="U161">
        <v>5.1360986771355295</v>
      </c>
      <c r="V161">
        <v>45.824892881398938</v>
      </c>
      <c r="W161">
        <v>35.121700631661035</v>
      </c>
      <c r="X161">
        <v>44.023368614306008</v>
      </c>
      <c r="Y161">
        <v>7.6665878485141565</v>
      </c>
      <c r="Z161">
        <v>35.506719805897539</v>
      </c>
      <c r="AA161">
        <v>5.1868538627610326</v>
      </c>
      <c r="AB161">
        <v>38.866660856223028</v>
      </c>
      <c r="AC161">
        <v>0.23996851763625943</v>
      </c>
      <c r="AD161">
        <v>9.5413646053126868</v>
      </c>
      <c r="AE161">
        <v>16.682417534843665</v>
      </c>
      <c r="AF161">
        <v>15.265085286952344</v>
      </c>
      <c r="AG161">
        <v>25.412164304952608</v>
      </c>
      <c r="AH161">
        <v>5.6700406713164879</v>
      </c>
      <c r="AI161">
        <v>2.0177203707510682</v>
      </c>
      <c r="AK161">
        <v>38.739632815613476</v>
      </c>
    </row>
    <row r="162" spans="1:37" x14ac:dyDescent="0.2">
      <c r="A162">
        <v>161</v>
      </c>
      <c r="B162">
        <v>804</v>
      </c>
      <c r="C162">
        <v>100</v>
      </c>
      <c r="D162">
        <v>0.514840551455232</v>
      </c>
      <c r="E162">
        <v>102.69757314587341</v>
      </c>
      <c r="F162">
        <v>65.047018119304653</v>
      </c>
      <c r="G162">
        <v>73.048554314309968</v>
      </c>
      <c r="H162">
        <v>68.57105179621675</v>
      </c>
      <c r="J162">
        <v>43.892199281363098</v>
      </c>
      <c r="L162">
        <v>5.7790036832715996</v>
      </c>
      <c r="M162">
        <v>15.346649275181486</v>
      </c>
      <c r="N162">
        <v>2.0601505360378152</v>
      </c>
      <c r="O162">
        <v>32.693170505062263</v>
      </c>
      <c r="P162">
        <v>11.853487503125535</v>
      </c>
      <c r="R162">
        <v>18.1982932703853</v>
      </c>
      <c r="S162">
        <v>48.191208281386238</v>
      </c>
      <c r="U162">
        <v>5.0524991350303967</v>
      </c>
      <c r="V162">
        <v>45.762459802065152</v>
      </c>
      <c r="W162">
        <v>34.817361937123863</v>
      </c>
      <c r="X162">
        <v>43.868573697816103</v>
      </c>
      <c r="Y162">
        <v>7.4940763687754854</v>
      </c>
      <c r="Z162">
        <v>35.131721613339586</v>
      </c>
      <c r="AA162">
        <v>5.0146505241353516</v>
      </c>
      <c r="AB162">
        <v>38.702392159316517</v>
      </c>
      <c r="AC162">
        <v>0.2178713181068388</v>
      </c>
      <c r="AD162">
        <v>9.3497152535258401</v>
      </c>
      <c r="AE162">
        <v>16.512246663672148</v>
      </c>
      <c r="AF162">
        <v>15.190024126884779</v>
      </c>
      <c r="AG162">
        <v>25.196090221722617</v>
      </c>
      <c r="AH162">
        <v>5.42520766923389</v>
      </c>
      <c r="AI162">
        <v>1.9991337133029674</v>
      </c>
      <c r="AK162">
        <v>38.738955768617863</v>
      </c>
    </row>
    <row r="163" spans="1:37" x14ac:dyDescent="0.2">
      <c r="A163">
        <v>162</v>
      </c>
      <c r="B163">
        <v>802</v>
      </c>
      <c r="C163">
        <v>100</v>
      </c>
      <c r="D163">
        <v>0.51380784076640695</v>
      </c>
      <c r="E163">
        <v>102.49730325007721</v>
      </c>
      <c r="F163">
        <v>64.249736138762657</v>
      </c>
      <c r="G163">
        <v>72.905040141746071</v>
      </c>
      <c r="H163">
        <v>68.421437847901274</v>
      </c>
      <c r="J163">
        <v>43.834887011440436</v>
      </c>
      <c r="L163">
        <v>5.565949441505782</v>
      </c>
      <c r="M163">
        <v>15.365393449087296</v>
      </c>
      <c r="N163">
        <v>2.0308562472297891</v>
      </c>
      <c r="O163">
        <v>31.656215167182292</v>
      </c>
      <c r="P163">
        <v>11.579337360700359</v>
      </c>
      <c r="R163">
        <v>17.896633434357433</v>
      </c>
      <c r="S163">
        <v>47.946177415967931</v>
      </c>
      <c r="U163">
        <v>5.0256299395532933</v>
      </c>
      <c r="V163">
        <v>45.835148707011527</v>
      </c>
      <c r="W163">
        <v>34.575261729443838</v>
      </c>
      <c r="X163">
        <v>43.902663722195612</v>
      </c>
      <c r="Y163">
        <v>7.2677993611712157</v>
      </c>
      <c r="Z163">
        <v>34.683878517301629</v>
      </c>
      <c r="AA163">
        <v>4.7895428647578226</v>
      </c>
      <c r="AB163">
        <v>38.639484161936039</v>
      </c>
      <c r="AC163">
        <v>0.18458492136554211</v>
      </c>
      <c r="AD163">
        <v>9.1133159306238802</v>
      </c>
      <c r="AE163">
        <v>16.317944626196983</v>
      </c>
      <c r="AF163">
        <v>15.173221794944737</v>
      </c>
      <c r="AG163">
        <v>25.070196015960079</v>
      </c>
      <c r="AH163">
        <v>5.1152426620597558</v>
      </c>
      <c r="AI163">
        <v>1.9693542311593739</v>
      </c>
      <c r="AK163">
        <v>38.713142268787209</v>
      </c>
    </row>
    <row r="164" spans="1:37" x14ac:dyDescent="0.2">
      <c r="A164">
        <v>163</v>
      </c>
      <c r="B164">
        <v>800</v>
      </c>
      <c r="C164">
        <v>100</v>
      </c>
      <c r="D164">
        <v>0.51277128080883805</v>
      </c>
      <c r="E164">
        <v>102.29861843734703</v>
      </c>
      <c r="F164">
        <v>63.456744489537066</v>
      </c>
      <c r="G164">
        <v>72.761663972054052</v>
      </c>
      <c r="H164">
        <v>68.272010426194313</v>
      </c>
      <c r="J164">
        <v>43.776525164304466</v>
      </c>
      <c r="L164">
        <v>5.3523101004382259</v>
      </c>
      <c r="M164">
        <v>15.38453507290072</v>
      </c>
      <c r="N164">
        <v>2.0015389447106711</v>
      </c>
      <c r="O164">
        <v>30.620730564876823</v>
      </c>
      <c r="P164">
        <v>11.305467190085238</v>
      </c>
      <c r="R164">
        <v>17.592696267676367</v>
      </c>
      <c r="S164">
        <v>47.693829995509731</v>
      </c>
      <c r="U164">
        <v>5.0000038667772442</v>
      </c>
      <c r="V164">
        <v>45.904312560511997</v>
      </c>
      <c r="W164">
        <v>34.334883037208449</v>
      </c>
      <c r="X164">
        <v>43.941389469933689</v>
      </c>
      <c r="Y164">
        <v>7.0415726298845494</v>
      </c>
      <c r="Z164">
        <v>34.237332848656997</v>
      </c>
      <c r="AA164">
        <v>4.564361256601762</v>
      </c>
      <c r="AB164">
        <v>38.572335426953913</v>
      </c>
      <c r="AC164">
        <v>0.15127616206106839</v>
      </c>
      <c r="AD164">
        <v>8.8771967732883592</v>
      </c>
      <c r="AE164">
        <v>16.124372470376311</v>
      </c>
      <c r="AF164">
        <v>15.156794275597914</v>
      </c>
      <c r="AG164">
        <v>24.940047129543039</v>
      </c>
      <c r="AH164">
        <v>4.8051350177265011</v>
      </c>
      <c r="AI164">
        <v>1.9395487479233846</v>
      </c>
      <c r="AK164">
        <v>38.688134076273144</v>
      </c>
    </row>
    <row r="165" spans="1:37" x14ac:dyDescent="0.2">
      <c r="A165">
        <v>164</v>
      </c>
      <c r="B165">
        <v>798</v>
      </c>
      <c r="C165">
        <v>100</v>
      </c>
      <c r="D165">
        <v>0.51173085002101004</v>
      </c>
      <c r="E165">
        <v>102.10152322370946</v>
      </c>
      <c r="F165">
        <v>62.668145319772854</v>
      </c>
      <c r="G165">
        <v>72.618460056267025</v>
      </c>
      <c r="H165">
        <v>68.122803935013991</v>
      </c>
      <c r="J165">
        <v>43.717077262871371</v>
      </c>
      <c r="L165">
        <v>5.1381729138776686</v>
      </c>
      <c r="M165">
        <v>15.404029632101432</v>
      </c>
      <c r="N165">
        <v>1.972203293572677</v>
      </c>
      <c r="O165">
        <v>29.586909077010386</v>
      </c>
      <c r="P165">
        <v>11.031950319094873</v>
      </c>
      <c r="R165">
        <v>17.286612659944648</v>
      </c>
      <c r="S165">
        <v>47.433935606455975</v>
      </c>
      <c r="U165">
        <v>4.9755702957346237</v>
      </c>
      <c r="V165">
        <v>45.969873556365279</v>
      </c>
      <c r="W165">
        <v>34.096214957886247</v>
      </c>
      <c r="X165">
        <v>43.984601899604868</v>
      </c>
      <c r="Y165">
        <v>6.8154568518151706</v>
      </c>
      <c r="Z165">
        <v>33.792106257699231</v>
      </c>
      <c r="AA165">
        <v>4.3392552899048464</v>
      </c>
      <c r="AB165">
        <v>38.500808344279939</v>
      </c>
      <c r="AC165">
        <v>0.117949701843931</v>
      </c>
      <c r="AD165">
        <v>8.6414015576389378</v>
      </c>
      <c r="AE165">
        <v>15.93151101397024</v>
      </c>
      <c r="AF165">
        <v>15.140701759913714</v>
      </c>
      <c r="AG165">
        <v>24.805510658647645</v>
      </c>
      <c r="AH165">
        <v>4.4949878531442646</v>
      </c>
      <c r="AI165">
        <v>1.9097219141916453</v>
      </c>
      <c r="AK165">
        <v>38.663946869210413</v>
      </c>
    </row>
    <row r="166" spans="1:37" x14ac:dyDescent="0.2">
      <c r="A166">
        <v>165</v>
      </c>
      <c r="B166">
        <v>796</v>
      </c>
      <c r="C166">
        <v>100</v>
      </c>
      <c r="D166">
        <v>0.51068652668007097</v>
      </c>
      <c r="E166">
        <v>101.90601996848339</v>
      </c>
      <c r="F166">
        <v>61.884034051161699</v>
      </c>
      <c r="G166">
        <v>72.475462326739859</v>
      </c>
      <c r="H166">
        <v>67.973852460170576</v>
      </c>
      <c r="J166">
        <v>43.656516154220142</v>
      </c>
      <c r="L166">
        <v>4.9236238077361598</v>
      </c>
      <c r="M166">
        <v>15.423831223928033</v>
      </c>
      <c r="N166">
        <v>1.9428540105418264</v>
      </c>
      <c r="O166">
        <v>28.554940839614005</v>
      </c>
      <c r="P166">
        <v>10.758859490688277</v>
      </c>
      <c r="R166">
        <v>16.978514701157223</v>
      </c>
      <c r="S166">
        <v>47.16630184106738</v>
      </c>
      <c r="U166">
        <v>4.9522760151828669</v>
      </c>
      <c r="V166">
        <v>46.031768697918217</v>
      </c>
      <c r="W166">
        <v>33.859243654690317</v>
      </c>
      <c r="X166">
        <v>44.032144243623186</v>
      </c>
      <c r="Y166">
        <v>6.5895124310174733</v>
      </c>
      <c r="Z166">
        <v>33.348217251612454</v>
      </c>
      <c r="AA166">
        <v>4.1143650558207296</v>
      </c>
      <c r="AB166">
        <v>38.424785235936817</v>
      </c>
      <c r="AC166">
        <v>8.4610253994023527E-2</v>
      </c>
      <c r="AD166">
        <v>8.4059728930525939</v>
      </c>
      <c r="AE166">
        <v>15.739339513038283</v>
      </c>
      <c r="AF166">
        <v>15.12490310254228</v>
      </c>
      <c r="AG166">
        <v>24.666473683447819</v>
      </c>
      <c r="AH166">
        <v>4.1849032020293944</v>
      </c>
      <c r="AI166">
        <v>1.8798784321812176</v>
      </c>
      <c r="AK166">
        <v>38.640595372565173</v>
      </c>
    </row>
    <row r="167" spans="1:37" x14ac:dyDescent="0.2">
      <c r="A167">
        <v>166</v>
      </c>
      <c r="B167">
        <v>794</v>
      </c>
      <c r="C167">
        <v>100</v>
      </c>
      <c r="D167">
        <v>0.50963828890034402</v>
      </c>
      <c r="E167">
        <v>101.71210899793743</v>
      </c>
      <c r="F167">
        <v>61.104498733507675</v>
      </c>
      <c r="G167">
        <v>72.332704151787169</v>
      </c>
      <c r="H167">
        <v>67.825189524009659</v>
      </c>
      <c r="J167">
        <v>43.594823449288455</v>
      </c>
      <c r="L167">
        <v>4.7087468686742282</v>
      </c>
      <c r="M167">
        <v>15.443892896715447</v>
      </c>
      <c r="N167">
        <v>1.9134957841278599</v>
      </c>
      <c r="O167">
        <v>27.525012080376129</v>
      </c>
      <c r="P167">
        <v>10.486266292401469</v>
      </c>
      <c r="R167">
        <v>16.668534427863932</v>
      </c>
      <c r="S167">
        <v>46.890773298921602</v>
      </c>
      <c r="U167">
        <v>4.9300657598472561</v>
      </c>
      <c r="V167">
        <v>46.089949207163464</v>
      </c>
      <c r="W167">
        <v>33.623952775054597</v>
      </c>
      <c r="X167">
        <v>44.083853651635884</v>
      </c>
      <c r="Y167">
        <v>6.3637990158616091</v>
      </c>
      <c r="Z167">
        <v>32.905680845053432</v>
      </c>
      <c r="AA167">
        <v>3.8895811215422365</v>
      </c>
      <c r="AB167">
        <v>38.344167879062773</v>
      </c>
      <c r="AC167">
        <v>5.1262503568440289E-2</v>
      </c>
      <c r="AD167">
        <v>8.1709518836423491</v>
      </c>
      <c r="AE167">
        <v>15.547835664954034</v>
      </c>
      <c r="AF167">
        <v>15.109356081196346</v>
      </c>
      <c r="AG167">
        <v>24.52284271127569</v>
      </c>
      <c r="AH167">
        <v>3.8749813526147188</v>
      </c>
      <c r="AI167">
        <v>1.8500229758790308</v>
      </c>
      <c r="AK167">
        <v>38.618093144565904</v>
      </c>
    </row>
    <row r="168" spans="1:37" x14ac:dyDescent="0.2">
      <c r="A168">
        <v>167</v>
      </c>
      <c r="B168">
        <v>792</v>
      </c>
      <c r="C168">
        <v>100</v>
      </c>
      <c r="D168">
        <v>0.50858611463174297</v>
      </c>
      <c r="E168">
        <v>101.5197887558857</v>
      </c>
      <c r="F168">
        <v>60.329619540140236</v>
      </c>
      <c r="G168">
        <v>72.190218116979779</v>
      </c>
      <c r="H168">
        <v>67.676847866707689</v>
      </c>
      <c r="J168">
        <v>43.531988830116106</v>
      </c>
      <c r="L168">
        <v>4.493623882018448</v>
      </c>
      <c r="M168">
        <v>15.464166968006067</v>
      </c>
      <c r="N168">
        <v>1.8841331970930295</v>
      </c>
      <c r="O168">
        <v>26.497303614422947</v>
      </c>
      <c r="P168">
        <v>10.214240641407111</v>
      </c>
      <c r="R168">
        <v>16.356802634659452</v>
      </c>
      <c r="S168">
        <v>46.607230009402862</v>
      </c>
      <c r="U168">
        <v>4.9088827376634798</v>
      </c>
      <c r="V168">
        <v>46.144379732485248</v>
      </c>
      <c r="W168">
        <v>33.390323897352019</v>
      </c>
      <c r="X168">
        <v>44.139562801819707</v>
      </c>
      <c r="Y168">
        <v>6.1383750619378814</v>
      </c>
      <c r="Z168">
        <v>32.464508253370425</v>
      </c>
      <c r="AA168">
        <v>3.6650479376671794</v>
      </c>
      <c r="AB168">
        <v>38.258876713417301</v>
      </c>
      <c r="AC168">
        <v>1.7911029871549519E-2</v>
      </c>
      <c r="AD168">
        <v>7.9363778233543893</v>
      </c>
      <c r="AE168">
        <v>15.356975613810237</v>
      </c>
      <c r="AF168">
        <v>15.094017637234881</v>
      </c>
      <c r="AG168">
        <v>24.37454280659092</v>
      </c>
      <c r="AH168">
        <v>3.5653202709307505</v>
      </c>
      <c r="AI168">
        <v>1.8201601135104393</v>
      </c>
      <c r="AK168">
        <v>38.596452380791391</v>
      </c>
    </row>
    <row r="169" spans="1:37" x14ac:dyDescent="0.2">
      <c r="A169">
        <v>168</v>
      </c>
      <c r="B169">
        <v>790</v>
      </c>
      <c r="C169">
        <v>100</v>
      </c>
      <c r="D169">
        <v>0.507529981658283</v>
      </c>
      <c r="E169">
        <v>101.25286497831824</v>
      </c>
      <c r="F169">
        <v>59.151029282715371</v>
      </c>
      <c r="G169">
        <v>71.977184204391307</v>
      </c>
      <c r="H169">
        <v>67.458007625527785</v>
      </c>
      <c r="J169">
        <v>43.338694470509417</v>
      </c>
      <c r="L169">
        <v>4.1680728938302343</v>
      </c>
      <c r="M169">
        <v>15.473963998826576</v>
      </c>
      <c r="N169">
        <v>1.8698862246445933</v>
      </c>
      <c r="O169">
        <v>25.077328122502117</v>
      </c>
      <c r="P169">
        <v>9.8162626412219236</v>
      </c>
      <c r="R169">
        <v>15.887009999341888</v>
      </c>
      <c r="S169">
        <v>46.106719673924182</v>
      </c>
      <c r="U169">
        <v>4.8767228764077295</v>
      </c>
      <c r="V169">
        <v>46.185800216958256</v>
      </c>
      <c r="W169">
        <v>33.058464915715724</v>
      </c>
      <c r="X169">
        <v>44.150699995371788</v>
      </c>
      <c r="Y169">
        <v>5.7834827823107142</v>
      </c>
      <c r="Z169">
        <v>31.807636627796366</v>
      </c>
      <c r="AA169">
        <v>3.3278808809131442</v>
      </c>
      <c r="AB169">
        <v>38.118027067666937</v>
      </c>
      <c r="AD169">
        <v>7.5621297540756558</v>
      </c>
      <c r="AE169">
        <v>15.093000581802915</v>
      </c>
      <c r="AF169">
        <v>15.083318348133936</v>
      </c>
      <c r="AG169">
        <v>24.18580931546704</v>
      </c>
      <c r="AH169">
        <v>3.0502506129965479</v>
      </c>
      <c r="AI169">
        <v>1.8054098057338124</v>
      </c>
      <c r="AK169">
        <v>38.481839537907476</v>
      </c>
    </row>
    <row r="170" spans="1:37" x14ac:dyDescent="0.2">
      <c r="A170">
        <v>169</v>
      </c>
      <c r="B170">
        <v>788</v>
      </c>
      <c r="C170">
        <v>100</v>
      </c>
      <c r="D170">
        <v>0.50646986759647905</v>
      </c>
      <c r="E170">
        <v>100.89473886588522</v>
      </c>
      <c r="F170">
        <v>57.457813218880872</v>
      </c>
      <c r="G170">
        <v>71.672775154506226</v>
      </c>
      <c r="H170">
        <v>67.147841696725592</v>
      </c>
      <c r="J170">
        <v>42.965051150854755</v>
      </c>
      <c r="L170">
        <v>3.6969261103471873</v>
      </c>
      <c r="M170">
        <v>15.471954065017524</v>
      </c>
      <c r="N170">
        <v>1.8738587708981693</v>
      </c>
      <c r="O170">
        <v>23.144543018783239</v>
      </c>
      <c r="P170">
        <v>9.2537818419751474</v>
      </c>
      <c r="R170">
        <v>15.204328898643032</v>
      </c>
      <c r="S170">
        <v>45.29216770572819</v>
      </c>
      <c r="U170">
        <v>4.8368649935420445</v>
      </c>
      <c r="V170">
        <v>46.197948588632087</v>
      </c>
      <c r="W170">
        <v>32.610997024932686</v>
      </c>
      <c r="X170">
        <v>44.12397367994371</v>
      </c>
      <c r="Y170">
        <v>5.2603917707748424</v>
      </c>
      <c r="Z170">
        <v>30.871619714870246</v>
      </c>
      <c r="AA170">
        <v>2.8431468017474981</v>
      </c>
      <c r="AB170">
        <v>37.885857381671038</v>
      </c>
      <c r="AD170">
        <v>7.00681860374723</v>
      </c>
      <c r="AE170">
        <v>14.73446717326704</v>
      </c>
      <c r="AF170">
        <v>15.079032235276186</v>
      </c>
      <c r="AG170">
        <v>23.923984624339752</v>
      </c>
      <c r="AH170">
        <v>2.2686492851921991</v>
      </c>
      <c r="AI170">
        <v>1.808875942102725</v>
      </c>
      <c r="AK170">
        <v>38.24576923206272</v>
      </c>
    </row>
    <row r="171" spans="1:37" x14ac:dyDescent="0.2">
      <c r="A171">
        <v>170</v>
      </c>
      <c r="B171">
        <v>786</v>
      </c>
      <c r="C171">
        <v>100</v>
      </c>
      <c r="D171">
        <v>0.50540574989378495</v>
      </c>
      <c r="E171">
        <v>100.53500215334098</v>
      </c>
      <c r="F171">
        <v>55.711374343168885</v>
      </c>
      <c r="G171">
        <v>71.356528512530403</v>
      </c>
      <c r="H171">
        <v>66.825887781865802</v>
      </c>
      <c r="J171">
        <v>42.544130568488519</v>
      </c>
      <c r="L171">
        <v>3.2015262730243923</v>
      </c>
      <c r="M171">
        <v>15.47058951423725</v>
      </c>
      <c r="N171">
        <v>1.8778289913982966</v>
      </c>
      <c r="O171">
        <v>21.13594934715487</v>
      </c>
      <c r="P171">
        <v>8.6676516555652618</v>
      </c>
      <c r="R171">
        <v>14.477500133624401</v>
      </c>
      <c r="S171">
        <v>44.367509826334555</v>
      </c>
      <c r="U171">
        <v>4.8071194753431898</v>
      </c>
      <c r="V171">
        <v>46.180405714439438</v>
      </c>
      <c r="W171">
        <v>32.169249741438996</v>
      </c>
      <c r="X171">
        <v>44.127647895350236</v>
      </c>
      <c r="Y171">
        <v>4.7140537699508105</v>
      </c>
      <c r="Z171">
        <v>29.895917628166483</v>
      </c>
      <c r="AA171">
        <v>2.3358070815486136</v>
      </c>
      <c r="AB171">
        <v>37.600485888141741</v>
      </c>
      <c r="AD171">
        <v>6.4262017308235357</v>
      </c>
      <c r="AE171">
        <v>14.361425742710242</v>
      </c>
      <c r="AF171">
        <v>15.07538984348019</v>
      </c>
      <c r="AG171">
        <v>23.608965164189481</v>
      </c>
      <c r="AH171">
        <v>1.4507876657478949</v>
      </c>
      <c r="AI171">
        <v>1.812336663587333</v>
      </c>
      <c r="AK171">
        <v>37.990930960090928</v>
      </c>
    </row>
    <row r="172" spans="1:37" x14ac:dyDescent="0.2">
      <c r="A172">
        <v>171</v>
      </c>
      <c r="B172">
        <v>784</v>
      </c>
      <c r="C172">
        <v>100</v>
      </c>
      <c r="D172">
        <v>0.50433760582698905</v>
      </c>
      <c r="E172">
        <v>100.16895565451603</v>
      </c>
      <c r="F172">
        <v>53.860773335100582</v>
      </c>
      <c r="G172">
        <v>71.019894556295171</v>
      </c>
      <c r="H172">
        <v>66.483596315729017</v>
      </c>
      <c r="J172">
        <v>42.042028165354999</v>
      </c>
      <c r="L172">
        <v>2.6653439789390396</v>
      </c>
      <c r="M172">
        <v>15.467876662438155</v>
      </c>
      <c r="N172">
        <v>1.8817962650112587</v>
      </c>
      <c r="O172">
        <v>18.9934315567331</v>
      </c>
      <c r="P172">
        <v>8.0407721833666361</v>
      </c>
      <c r="R172">
        <v>13.678221293380835</v>
      </c>
      <c r="S172">
        <v>43.267393369120171</v>
      </c>
      <c r="U172">
        <v>4.7903161304487609</v>
      </c>
      <c r="V172">
        <v>46.118535389179321</v>
      </c>
      <c r="W172">
        <v>31.732550772695848</v>
      </c>
      <c r="X172">
        <v>44.169897570439289</v>
      </c>
      <c r="Y172">
        <v>4.1274507940525034</v>
      </c>
      <c r="Z172">
        <v>28.843457710605513</v>
      </c>
      <c r="AA172">
        <v>1.7894139840050338</v>
      </c>
      <c r="AB172">
        <v>37.229589748273206</v>
      </c>
      <c r="AD172">
        <v>5.7995883289388814</v>
      </c>
      <c r="AE172">
        <v>13.957985525449855</v>
      </c>
      <c r="AF172">
        <v>15.070396909369382</v>
      </c>
      <c r="AG172">
        <v>23.208427518065808</v>
      </c>
      <c r="AH172">
        <v>0.5705942745716297</v>
      </c>
      <c r="AI172">
        <v>1.8157913344684768</v>
      </c>
      <c r="AK172">
        <v>37.700199738065812</v>
      </c>
    </row>
    <row r="173" spans="1:37" x14ac:dyDescent="0.2">
      <c r="A173">
        <v>172</v>
      </c>
      <c r="B173">
        <v>782</v>
      </c>
      <c r="C173">
        <v>100</v>
      </c>
      <c r="D173">
        <v>0.50326541250059598</v>
      </c>
      <c r="E173">
        <v>100.59946380145711</v>
      </c>
      <c r="F173">
        <v>54.3990984677367</v>
      </c>
      <c r="G173">
        <v>71.198765393811442</v>
      </c>
      <c r="H173">
        <v>66.656859563870043</v>
      </c>
      <c r="J173">
        <v>36.815699834423015</v>
      </c>
      <c r="L173">
        <v>1.55462529677957</v>
      </c>
      <c r="M173">
        <v>15.133672884101395</v>
      </c>
      <c r="N173">
        <v>1.8858020778319942</v>
      </c>
      <c r="O173">
        <v>12.934928724871224</v>
      </c>
      <c r="P173">
        <v>8.4449692952484501</v>
      </c>
      <c r="R173">
        <v>12.261495120496793</v>
      </c>
      <c r="S173">
        <v>38.94986068013543</v>
      </c>
      <c r="U173">
        <v>4.8875734176355694</v>
      </c>
      <c r="V173">
        <v>45.829439880640351</v>
      </c>
      <c r="W173">
        <v>31.015633105162522</v>
      </c>
      <c r="X173">
        <v>44.536446716349388</v>
      </c>
      <c r="Y173">
        <v>3.4535040735923861</v>
      </c>
      <c r="Z173">
        <v>27.298563590072053</v>
      </c>
      <c r="AA173">
        <v>0.49410771936245873</v>
      </c>
      <c r="AB173">
        <v>35.59896963062004</v>
      </c>
      <c r="AD173">
        <v>5.1079275245581073</v>
      </c>
      <c r="AE173">
        <v>12.803746407403146</v>
      </c>
      <c r="AF173">
        <v>14.733952335515513</v>
      </c>
      <c r="AG173">
        <v>21.548213883875199</v>
      </c>
      <c r="AI173">
        <v>1.8192814262436614</v>
      </c>
      <c r="AK173">
        <v>34.429465889684963</v>
      </c>
    </row>
    <row r="174" spans="1:37" x14ac:dyDescent="0.2">
      <c r="A174">
        <v>173</v>
      </c>
      <c r="B174">
        <v>780</v>
      </c>
      <c r="C174">
        <v>100</v>
      </c>
      <c r="D174">
        <v>0.50218914684517901</v>
      </c>
      <c r="E174">
        <v>101.20735566652755</v>
      </c>
      <c r="F174">
        <v>54.203268650119625</v>
      </c>
      <c r="G174">
        <v>71.331527033067601</v>
      </c>
      <c r="H174">
        <v>66.784063692418215</v>
      </c>
      <c r="J174">
        <v>29.976696045831453</v>
      </c>
      <c r="L174">
        <v>1.4273620741415398</v>
      </c>
      <c r="M174">
        <v>14.318112633520613</v>
      </c>
      <c r="N174">
        <v>1.8898224504774477</v>
      </c>
      <c r="O174">
        <v>11.884379305622854</v>
      </c>
      <c r="P174">
        <v>8.7569911964713381</v>
      </c>
      <c r="R174">
        <v>11.473424834239761</v>
      </c>
      <c r="S174">
        <v>37.832463029869444</v>
      </c>
      <c r="U174">
        <v>4.9692344344953909</v>
      </c>
      <c r="V174">
        <v>46.377994617084617</v>
      </c>
      <c r="W174">
        <v>29.936799351643817</v>
      </c>
      <c r="X174">
        <v>44.853143987560244</v>
      </c>
      <c r="Y174">
        <v>3.3508028158474525</v>
      </c>
      <c r="Z174">
        <v>24.007797145347631</v>
      </c>
      <c r="AB174">
        <v>33.544378533489599</v>
      </c>
      <c r="AD174">
        <v>3.5423015110864293</v>
      </c>
      <c r="AE174">
        <v>10.698858859330302</v>
      </c>
      <c r="AF174">
        <v>13.916166639012728</v>
      </c>
      <c r="AG174">
        <v>19.464053324069159</v>
      </c>
      <c r="AI174">
        <v>1.8227829449223862</v>
      </c>
      <c r="AK174">
        <v>29.907904025185047</v>
      </c>
    </row>
    <row r="175" spans="1:37" x14ac:dyDescent="0.2">
      <c r="A175">
        <v>174</v>
      </c>
      <c r="B175">
        <v>778</v>
      </c>
      <c r="C175">
        <v>100</v>
      </c>
      <c r="D175">
        <v>0.501108785615755</v>
      </c>
      <c r="E175">
        <v>101.67071714710622</v>
      </c>
      <c r="F175">
        <v>54.437755250396869</v>
      </c>
      <c r="G175">
        <v>71.401776941706245</v>
      </c>
      <c r="H175">
        <v>66.848806327756321</v>
      </c>
      <c r="J175">
        <v>25.935831310483827</v>
      </c>
      <c r="L175">
        <v>1.4572982087818818</v>
      </c>
      <c r="M175">
        <v>13.516089523973045</v>
      </c>
      <c r="N175">
        <v>1.8938408128621929</v>
      </c>
      <c r="O175">
        <v>11.636002513560724</v>
      </c>
      <c r="P175">
        <v>8.9440164218210558</v>
      </c>
      <c r="R175">
        <v>10.887594072890995</v>
      </c>
      <c r="S175">
        <v>37.920450476623053</v>
      </c>
      <c r="U175">
        <v>4.9770722852676847</v>
      </c>
      <c r="V175">
        <v>47.255005350127561</v>
      </c>
      <c r="W175">
        <v>28.922715242538299</v>
      </c>
      <c r="X175">
        <v>44.957570213762544</v>
      </c>
      <c r="Y175">
        <v>3.3257809285360902</v>
      </c>
      <c r="Z175">
        <v>22.078702626801441</v>
      </c>
      <c r="AB175">
        <v>32.811101426301121</v>
      </c>
      <c r="AD175">
        <v>2.5977222632819399</v>
      </c>
      <c r="AE175">
        <v>9.500862961971789</v>
      </c>
      <c r="AF175">
        <v>13.111916905428254</v>
      </c>
      <c r="AG175">
        <v>18.701214281779976</v>
      </c>
      <c r="AI175">
        <v>1.8262793057997886</v>
      </c>
      <c r="AK175">
        <v>27.113481520052204</v>
      </c>
    </row>
    <row r="176" spans="1:37" x14ac:dyDescent="0.2">
      <c r="A176">
        <v>175</v>
      </c>
      <c r="B176">
        <v>776</v>
      </c>
      <c r="C176">
        <v>100</v>
      </c>
      <c r="D176">
        <v>0.50002430539008103</v>
      </c>
      <c r="E176">
        <v>102.02745858245649</v>
      </c>
      <c r="F176">
        <v>54.799735784278681</v>
      </c>
      <c r="G176">
        <v>71.436474906296652</v>
      </c>
      <c r="H176">
        <v>66.878047415799657</v>
      </c>
      <c r="J176">
        <v>23.348831366299066</v>
      </c>
      <c r="L176">
        <v>1.4813850399172734</v>
      </c>
      <c r="M176">
        <v>12.800520486095317</v>
      </c>
      <c r="N176">
        <v>1.8978536767257914</v>
      </c>
      <c r="O176">
        <v>11.416345241921979</v>
      </c>
      <c r="P176">
        <v>9.0599612266908967</v>
      </c>
      <c r="R176">
        <v>10.357322987333474</v>
      </c>
      <c r="S176">
        <v>38.195905223950632</v>
      </c>
      <c r="U176">
        <v>4.9573053284599826</v>
      </c>
      <c r="V176">
        <v>48.112073081578934</v>
      </c>
      <c r="W176">
        <v>28.013136134504794</v>
      </c>
      <c r="X176">
        <v>44.98346602775618</v>
      </c>
      <c r="Y176">
        <v>3.2899050388844167</v>
      </c>
      <c r="Z176">
        <v>20.859634798711895</v>
      </c>
      <c r="AB176">
        <v>32.583159066736066</v>
      </c>
      <c r="AD176">
        <v>1.9844390905731433</v>
      </c>
      <c r="AE176">
        <v>8.7502429378739386</v>
      </c>
      <c r="AF176">
        <v>12.394116619706349</v>
      </c>
      <c r="AG176">
        <v>18.443714070500601</v>
      </c>
      <c r="AI176">
        <v>1.8297670059874958</v>
      </c>
      <c r="AK176">
        <v>25.268838319574623</v>
      </c>
    </row>
    <row r="177" spans="1:37" x14ac:dyDescent="0.2">
      <c r="A177">
        <v>176</v>
      </c>
      <c r="B177">
        <v>774</v>
      </c>
      <c r="C177">
        <v>100</v>
      </c>
      <c r="D177">
        <v>0.49893568256697302</v>
      </c>
      <c r="E177">
        <v>102.31719955384268</v>
      </c>
      <c r="F177">
        <v>55.184335817284612</v>
      </c>
      <c r="G177">
        <v>71.452266318193722</v>
      </c>
      <c r="H177">
        <v>66.88843250785591</v>
      </c>
      <c r="J177">
        <v>21.514146939416587</v>
      </c>
      <c r="L177">
        <v>1.5014732580330747</v>
      </c>
      <c r="M177">
        <v>12.157498123837028</v>
      </c>
      <c r="N177">
        <v>1.9018619025738646</v>
      </c>
      <c r="O177">
        <v>11.212998689226378</v>
      </c>
      <c r="P177">
        <v>9.1381174257412834</v>
      </c>
      <c r="R177">
        <v>9.871357184612064</v>
      </c>
      <c r="S177">
        <v>38.513124072252005</v>
      </c>
      <c r="U177">
        <v>4.9255584616529156</v>
      </c>
      <c r="V177">
        <v>48.905162768109292</v>
      </c>
      <c r="W177">
        <v>27.183648321048985</v>
      </c>
      <c r="X177">
        <v>44.976010366993897</v>
      </c>
      <c r="Y177">
        <v>3.2522705017785114</v>
      </c>
      <c r="Z177">
        <v>19.984946019284298</v>
      </c>
      <c r="AB177">
        <v>32.555133083573843</v>
      </c>
      <c r="AD177">
        <v>1.5354157203921812</v>
      </c>
      <c r="AE177">
        <v>8.2129470619472045</v>
      </c>
      <c r="AF177">
        <v>11.748859289064493</v>
      </c>
      <c r="AG177">
        <v>18.386135223862976</v>
      </c>
      <c r="AI177">
        <v>1.8332468913522519</v>
      </c>
      <c r="AK177">
        <v>23.930063967035302</v>
      </c>
    </row>
    <row r="178" spans="1:37" x14ac:dyDescent="0.2">
      <c r="A178">
        <v>177</v>
      </c>
      <c r="B178">
        <v>772</v>
      </c>
      <c r="C178">
        <v>100</v>
      </c>
      <c r="D178">
        <v>0.49784289336458698</v>
      </c>
      <c r="E178">
        <v>102.56142985371818</v>
      </c>
      <c r="F178">
        <v>55.561990337987858</v>
      </c>
      <c r="G178">
        <v>71.456827913255637</v>
      </c>
      <c r="H178">
        <v>66.887638500347009</v>
      </c>
      <c r="J178">
        <v>20.121840702257202</v>
      </c>
      <c r="L178">
        <v>1.5189191786783558</v>
      </c>
      <c r="M178">
        <v>11.570946878476621</v>
      </c>
      <c r="N178">
        <v>1.9058663994579212</v>
      </c>
      <c r="O178">
        <v>11.019681531005917</v>
      </c>
      <c r="P178">
        <v>9.1938395721259525</v>
      </c>
      <c r="R178">
        <v>9.4201050855283306</v>
      </c>
      <c r="S178">
        <v>38.832398998861962</v>
      </c>
      <c r="U178">
        <v>4.8874658847007977</v>
      </c>
      <c r="V178">
        <v>49.635994948301239</v>
      </c>
      <c r="W178">
        <v>26.41448258310043</v>
      </c>
      <c r="X178">
        <v>44.951485721926609</v>
      </c>
      <c r="Y178">
        <v>3.2154961764401855</v>
      </c>
      <c r="Z178">
        <v>19.301777813886947</v>
      </c>
      <c r="AB178">
        <v>32.618165073621149</v>
      </c>
      <c r="AD178">
        <v>1.1793398856042141</v>
      </c>
      <c r="AE178">
        <v>7.7933984775913485</v>
      </c>
      <c r="AF178">
        <v>11.160070306786052</v>
      </c>
      <c r="AG178">
        <v>18.419620292353706</v>
      </c>
      <c r="AI178">
        <v>1.836719856298888</v>
      </c>
      <c r="AK178">
        <v>22.894960914881121</v>
      </c>
    </row>
    <row r="179" spans="1:37" x14ac:dyDescent="0.2">
      <c r="A179">
        <v>178</v>
      </c>
      <c r="B179">
        <v>770</v>
      </c>
      <c r="C179">
        <v>100</v>
      </c>
      <c r="D179">
        <v>0.49674591381872402</v>
      </c>
      <c r="E179">
        <v>102.77261437684906</v>
      </c>
      <c r="F179">
        <v>55.924067445338203</v>
      </c>
      <c r="G179">
        <v>71.454091003128312</v>
      </c>
      <c r="H179">
        <v>66.879596866097756</v>
      </c>
      <c r="J179">
        <v>19.015808776176296</v>
      </c>
      <c r="L179">
        <v>1.5344349785787781</v>
      </c>
      <c r="M179">
        <v>11.028880141423631</v>
      </c>
      <c r="N179">
        <v>1.9098678208721103</v>
      </c>
      <c r="O179">
        <v>10.833087026354276</v>
      </c>
      <c r="P179">
        <v>9.2349911159637124</v>
      </c>
      <c r="R179">
        <v>8.9966524873931792</v>
      </c>
      <c r="S179">
        <v>39.141528909627432</v>
      </c>
      <c r="U179">
        <v>4.8455069641157777</v>
      </c>
      <c r="V179">
        <v>50.312927621390763</v>
      </c>
      <c r="W179">
        <v>25.692050739469344</v>
      </c>
      <c r="X179">
        <v>44.917052629747751</v>
      </c>
      <c r="Y179">
        <v>3.1803386113492622</v>
      </c>
      <c r="Z179">
        <v>18.736790978192399</v>
      </c>
      <c r="AB179">
        <v>32.726302390729842</v>
      </c>
      <c r="AD179">
        <v>0.88150097870002386</v>
      </c>
      <c r="AE179">
        <v>7.4462400161295745</v>
      </c>
      <c r="AF179">
        <v>10.615763760922651</v>
      </c>
      <c r="AG179">
        <v>18.49821732822436</v>
      </c>
      <c r="AI179">
        <v>1.8401865396650974</v>
      </c>
      <c r="AK179">
        <v>22.059658638357341</v>
      </c>
    </row>
    <row r="180" spans="1:37" x14ac:dyDescent="0.2">
      <c r="A180">
        <v>179</v>
      </c>
      <c r="B180">
        <v>768</v>
      </c>
      <c r="C180">
        <v>100</v>
      </c>
      <c r="D180">
        <v>0.49564471978101199</v>
      </c>
      <c r="E180">
        <v>102.95856978192346</v>
      </c>
      <c r="F180">
        <v>56.268576333088298</v>
      </c>
      <c r="G180">
        <v>71.446280912288813</v>
      </c>
      <c r="H180">
        <v>66.866533091381072</v>
      </c>
      <c r="J180">
        <v>18.108336404765634</v>
      </c>
      <c r="L180">
        <v>1.5485167122628809</v>
      </c>
      <c r="M180">
        <v>10.522698671044628</v>
      </c>
      <c r="N180">
        <v>1.9138666282911918</v>
      </c>
      <c r="O180">
        <v>10.651332244707488</v>
      </c>
      <c r="P180">
        <v>9.2660233419667382</v>
      </c>
      <c r="R180">
        <v>8.5960333735254277</v>
      </c>
      <c r="S180">
        <v>39.436917612767168</v>
      </c>
      <c r="U180">
        <v>4.8009434306977852</v>
      </c>
      <c r="V180">
        <v>50.944035189283341</v>
      </c>
      <c r="W180">
        <v>25.006947308837546</v>
      </c>
      <c r="X180">
        <v>44.876351620727256</v>
      </c>
      <c r="Y180">
        <v>3.146954409339199</v>
      </c>
      <c r="Z180">
        <v>18.250447729732535</v>
      </c>
      <c r="AB180">
        <v>32.857555962958436</v>
      </c>
      <c r="AD180">
        <v>0.62296386029857209</v>
      </c>
      <c r="AE180">
        <v>7.1471704197769368</v>
      </c>
      <c r="AF180">
        <v>10.107340914664029</v>
      </c>
      <c r="AG180">
        <v>18.599937766198796</v>
      </c>
      <c r="AI180">
        <v>1.8436473882615001</v>
      </c>
      <c r="AK180">
        <v>21.364910198140123</v>
      </c>
    </row>
    <row r="181" spans="1:37" x14ac:dyDescent="0.2">
      <c r="A181">
        <v>180</v>
      </c>
      <c r="B181">
        <v>766</v>
      </c>
      <c r="C181">
        <v>100</v>
      </c>
      <c r="D181">
        <v>0.49453928691719501</v>
      </c>
      <c r="E181">
        <v>103.12452234161555</v>
      </c>
      <c r="F181">
        <v>56.595798069861914</v>
      </c>
      <c r="G181">
        <v>71.434761066968434</v>
      </c>
      <c r="H181">
        <v>66.849810764846282</v>
      </c>
      <c r="J181">
        <v>17.345869414892917</v>
      </c>
      <c r="L181">
        <v>1.5614287210357178</v>
      </c>
      <c r="M181">
        <v>10.046135742581523</v>
      </c>
      <c r="N181">
        <v>1.9178631569159716</v>
      </c>
      <c r="O181">
        <v>10.473268605491507</v>
      </c>
      <c r="P181">
        <v>9.2896636130404318</v>
      </c>
      <c r="R181">
        <v>8.214594727101673</v>
      </c>
      <c r="S181">
        <v>39.71798712231827</v>
      </c>
      <c r="U181">
        <v>4.754488720889257</v>
      </c>
      <c r="V181">
        <v>51.53601646361659</v>
      </c>
      <c r="W181">
        <v>24.352453999418525</v>
      </c>
      <c r="X181">
        <v>44.831438416198459</v>
      </c>
      <c r="Y181">
        <v>3.1152949918330832</v>
      </c>
      <c r="Z181">
        <v>17.819452340999721</v>
      </c>
      <c r="AB181">
        <v>33.000425817909949</v>
      </c>
      <c r="AD181">
        <v>0.39245532263839406</v>
      </c>
      <c r="AE181">
        <v>6.8819270233204684</v>
      </c>
      <c r="AF181">
        <v>9.6285354219902537</v>
      </c>
      <c r="AG181">
        <v>18.713282014552998</v>
      </c>
      <c r="AI181">
        <v>1.8471027226169627</v>
      </c>
      <c r="AK181">
        <v>20.774092244787308</v>
      </c>
    </row>
    <row r="182" spans="1:37" x14ac:dyDescent="0.2">
      <c r="A182">
        <v>181</v>
      </c>
      <c r="B182">
        <v>764</v>
      </c>
      <c r="C182">
        <v>100</v>
      </c>
      <c r="D182">
        <v>0.49342959070530001</v>
      </c>
      <c r="E182">
        <v>103.27414795070273</v>
      </c>
      <c r="F182">
        <v>56.906778408324307</v>
      </c>
      <c r="G182">
        <v>71.420420014123096</v>
      </c>
      <c r="H182">
        <v>66.830318596492646</v>
      </c>
      <c r="J182">
        <v>16.693568446754213</v>
      </c>
      <c r="L182">
        <v>1.5735425877044873</v>
      </c>
      <c r="M182">
        <v>9.5945078048080426</v>
      </c>
      <c r="N182">
        <v>1.9218576582992379</v>
      </c>
      <c r="O182">
        <v>10.298155666612233</v>
      </c>
      <c r="P182">
        <v>9.3076894508586125</v>
      </c>
      <c r="R182">
        <v>7.8495751309419814</v>
      </c>
      <c r="S182">
        <v>39.985263040937966</v>
      </c>
      <c r="U182">
        <v>4.7065794035341852</v>
      </c>
      <c r="V182">
        <v>52.094254310510159</v>
      </c>
      <c r="W182">
        <v>23.723613574108857</v>
      </c>
      <c r="X182">
        <v>44.783568565055447</v>
      </c>
      <c r="Y182">
        <v>3.0852444156292793</v>
      </c>
      <c r="Z182">
        <v>17.429111698361115</v>
      </c>
      <c r="AB182">
        <v>33.148505874612901</v>
      </c>
      <c r="AD182">
        <v>0.18279747672654909</v>
      </c>
      <c r="AE182">
        <v>6.6415374048790055</v>
      </c>
      <c r="AF182">
        <v>9.1746640269685695</v>
      </c>
      <c r="AG182">
        <v>18.831844289632077</v>
      </c>
      <c r="AI182">
        <v>1.8505527796055818</v>
      </c>
      <c r="AK182">
        <v>20.263123443825343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52FDD-7E87-47C4-9788-AA0F3A723EC4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76.77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9.6000000000000002E-2</v>
      </c>
      <c r="D3" t="s">
        <v>23</v>
      </c>
      <c r="E3">
        <v>2</v>
      </c>
    </row>
    <row r="4" spans="1:8" x14ac:dyDescent="0.2">
      <c r="A4" t="s">
        <v>4</v>
      </c>
      <c r="B4">
        <v>12.96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0.83</v>
      </c>
      <c r="D7" t="s">
        <v>26</v>
      </c>
      <c r="E7">
        <v>20</v>
      </c>
    </row>
    <row r="8" spans="1:8" x14ac:dyDescent="0.2">
      <c r="A8" t="s">
        <v>8</v>
      </c>
      <c r="B8">
        <v>2.7E-2</v>
      </c>
    </row>
    <row r="9" spans="1:8" x14ac:dyDescent="0.2">
      <c r="A9" t="s">
        <v>9</v>
      </c>
      <c r="B9">
        <v>0.12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0.79</v>
      </c>
    </row>
    <row r="13" spans="1:8" x14ac:dyDescent="0.2">
      <c r="A13" t="s">
        <v>13</v>
      </c>
      <c r="B13">
        <v>3.55</v>
      </c>
    </row>
    <row r="14" spans="1:8" x14ac:dyDescent="0.2">
      <c r="A14" t="s">
        <v>14</v>
      </c>
      <c r="B14">
        <v>4.6900000000000004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10.986030000000001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2025-06-09T22:12:44Z</dcterms:created>
  <dcterms:modified xsi:type="dcterms:W3CDTF">2025-06-09T22:14:16Z</dcterms:modified>
</cp:coreProperties>
</file>