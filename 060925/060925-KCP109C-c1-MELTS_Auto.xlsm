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CE1B83A9-44C8-47A0-AA5C-DBD476400816}" xr6:coauthVersionLast="47" xr6:coauthVersionMax="47" xr10:uidLastSave="{00000000-0000-0000-0000-000000000000}"/>
  <bookViews>
    <workbookView xWindow="29190" yWindow="5430" windowWidth="14790" windowHeight="15480" activeTab="1" xr2:uid="{A2828D28-D17C-46AC-8E7B-D7B413361602}"/>
  </bookViews>
  <sheets>
    <sheet name="Phase_Diagram" sheetId="17" r:id="rId1"/>
    <sheet name="P_Calc" sheetId="18" r:id="rId2"/>
    <sheet name="Phase_Data" sheetId="14" r:id="rId3"/>
    <sheet name="system" sheetId="3" r:id="rId4"/>
    <sheet name="liquid" sheetId="5" r:id="rId5"/>
    <sheet name="tot_solids" sheetId="4" r:id="rId6"/>
    <sheet name="rhm-oxide" sheetId="13" r:id="rId7"/>
    <sheet name="spinel" sheetId="12" r:id="rId8"/>
    <sheet name="leucite" sheetId="11" r:id="rId9"/>
    <sheet name="orthopyroxene" sheetId="10" r:id="rId10"/>
    <sheet name="feldspar1" sheetId="15" r:id="rId11"/>
    <sheet name="feldspar2" sheetId="16" r:id="rId12"/>
    <sheet name="feldspar" sheetId="9" r:id="rId13"/>
    <sheet name="quartz" sheetId="8" r:id="rId14"/>
    <sheet name="water" sheetId="6" r:id="rId15"/>
    <sheet name="affinities (kJ)" sheetId="7" r:id="rId16"/>
    <sheet name="init_cond" sheetId="2" r:id="rId1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8" l="1"/>
  <c r="D1" i="18"/>
  <c r="E1" i="18"/>
  <c r="F1" i="18"/>
  <c r="G1" i="18"/>
  <c r="H1" i="18"/>
  <c r="I1" i="18"/>
  <c r="J1" i="18"/>
  <c r="B1" i="18"/>
  <c r="C2" i="14"/>
  <c r="G3" i="14"/>
  <c r="G6" i="14"/>
  <c r="C8" i="14"/>
  <c r="G9" i="14"/>
  <c r="C11" i="14"/>
  <c r="J9" i="14"/>
  <c r="C7" i="14"/>
  <c r="D7" i="14"/>
  <c r="E4" i="14"/>
  <c r="F7" i="14"/>
  <c r="G4" i="14"/>
  <c r="D6" i="14"/>
  <c r="E3" i="14"/>
  <c r="F6" i="14"/>
  <c r="D2" i="14"/>
  <c r="H3" i="14"/>
  <c r="H6" i="14"/>
  <c r="D8" i="14"/>
  <c r="H9" i="14"/>
  <c r="D11" i="14"/>
  <c r="J6" i="14"/>
  <c r="F11" i="14"/>
  <c r="D4" i="14"/>
  <c r="D10" i="14"/>
  <c r="I8" i="14"/>
  <c r="F4" i="14"/>
  <c r="J11" i="14"/>
  <c r="C9" i="14"/>
  <c r="H7" i="14"/>
  <c r="E6" i="14"/>
  <c r="F3" i="14"/>
  <c r="E2" i="14"/>
  <c r="I3" i="14"/>
  <c r="I6" i="14"/>
  <c r="E8" i="14"/>
  <c r="I9" i="14"/>
  <c r="E11" i="14"/>
  <c r="C4" i="14"/>
  <c r="G8" i="14"/>
  <c r="H11" i="14"/>
  <c r="E7" i="14"/>
  <c r="C3" i="14"/>
  <c r="G10" i="14"/>
  <c r="D9" i="14"/>
  <c r="E9" i="14"/>
  <c r="J4" i="14"/>
  <c r="J10" i="14"/>
  <c r="F2" i="14"/>
  <c r="J3" i="14"/>
  <c r="F8" i="14"/>
  <c r="G11" i="14"/>
  <c r="H8" i="14"/>
  <c r="I11" i="14"/>
  <c r="J8" i="14"/>
  <c r="G7" i="14"/>
  <c r="D3" i="14"/>
  <c r="I4" i="14"/>
  <c r="J7" i="14"/>
  <c r="G2" i="14"/>
  <c r="C10" i="14"/>
  <c r="I2" i="14"/>
  <c r="E10" i="14"/>
  <c r="F10" i="14"/>
  <c r="C6" i="14"/>
  <c r="H4" i="14"/>
  <c r="H10" i="14"/>
  <c r="I10" i="14"/>
  <c r="F9" i="14"/>
  <c r="H2" i="14"/>
  <c r="J2" i="14"/>
  <c r="I7" i="14"/>
  <c r="B11" i="14"/>
  <c r="B10" i="14"/>
  <c r="B9" i="14"/>
  <c r="B8" i="14"/>
  <c r="B7" i="14"/>
  <c r="B6" i="14"/>
  <c r="B5" i="14"/>
  <c r="B4" i="14"/>
  <c r="B3" i="14"/>
  <c r="B2" i="14"/>
  <c r="I3" i="18" l="1"/>
  <c r="F2" i="18"/>
  <c r="J3" i="18"/>
  <c r="G3" i="18"/>
  <c r="J4" i="18"/>
  <c r="H4" i="18"/>
  <c r="F4" i="18"/>
  <c r="E2" i="18"/>
  <c r="D2" i="18"/>
  <c r="E3" i="18"/>
  <c r="G4" i="18"/>
  <c r="I2" i="18"/>
  <c r="E4" i="18"/>
  <c r="H3" i="18"/>
  <c r="C2" i="18"/>
  <c r="I4" i="18"/>
  <c r="H2" i="18"/>
  <c r="D4" i="18"/>
  <c r="F3" i="18"/>
  <c r="D3" i="18"/>
  <c r="C3" i="18"/>
  <c r="J2" i="18"/>
  <c r="G2" i="18"/>
  <c r="C4" i="18"/>
  <c r="B4" i="18"/>
  <c r="B3" i="18"/>
  <c r="B2" i="18"/>
  <c r="J6" i="18" l="1"/>
  <c r="J7" i="18"/>
  <c r="I7" i="18"/>
  <c r="I6" i="18"/>
  <c r="D7" i="18"/>
  <c r="D6" i="18"/>
  <c r="G6" i="18"/>
  <c r="G7" i="18"/>
  <c r="E6" i="18"/>
  <c r="E7" i="18"/>
  <c r="C6" i="18"/>
  <c r="C7" i="18"/>
  <c r="F7" i="18"/>
  <c r="F6" i="18"/>
  <c r="H6" i="18"/>
  <c r="H7" i="18"/>
  <c r="B6" i="18"/>
  <c r="B7" i="18"/>
  <c r="L7" i="18" l="1"/>
  <c r="L6" i="18"/>
  <c r="B13" i="18" s="1"/>
  <c r="N7" i="18"/>
  <c r="M7" i="18"/>
  <c r="P7" i="18" a="1"/>
  <c r="N6" i="18" l="1"/>
  <c r="P6" i="18" s="1" a="1"/>
  <c r="R6" i="18" s="1"/>
  <c r="M6" i="18"/>
  <c r="P7" i="18"/>
  <c r="Q7" i="18"/>
  <c r="R7" i="18"/>
  <c r="P6" i="18" l="1"/>
  <c r="G10" i="18"/>
  <c r="H10" i="18"/>
  <c r="C10" i="18"/>
  <c r="E10" i="18"/>
  <c r="I10" i="18"/>
  <c r="J10" i="18"/>
  <c r="D10" i="18"/>
  <c r="F10" i="18"/>
  <c r="C9" i="18"/>
  <c r="D9" i="18"/>
  <c r="G9" i="18"/>
  <c r="E9" i="18"/>
  <c r="Q6" i="18"/>
  <c r="F9" i="18" s="1"/>
  <c r="B14" i="18"/>
  <c r="C14" i="18" s="1"/>
  <c r="B9" i="18"/>
  <c r="C13" i="18"/>
  <c r="B10" i="18"/>
  <c r="J9" i="18" l="1"/>
  <c r="I9" i="18"/>
  <c r="H9" i="18"/>
</calcChain>
</file>

<file path=xl/sharedStrings.xml><?xml version="1.0" encoding="utf-8"?>
<sst xmlns="http://schemas.openxmlformats.org/spreadsheetml/2006/main" count="650" uniqueCount="152">
  <si>
    <t xml:space="preserve"> </t>
  </si>
  <si>
    <t>060925-KCP109C-c1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</si>
  <si>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</si>
  <si>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</si>
  <si>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</si>
  <si>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</si>
  <si>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</si>
  <si>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</si>
  <si>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</si>
  <si>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</si>
  <si>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</si>
  <si>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</si>
  <si>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</si>
  <si>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</si>
  <si>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</si>
  <si>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</si>
  <si>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</si>
  <si>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</si>
  <si>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</si>
  <si>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</si>
  <si>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</si>
  <si>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</si>
  <si>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</si>
  <si>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</si>
  <si>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</si>
  <si>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</si>
  <si>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</si>
  <si>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</si>
  <si>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</si>
  <si>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</si>
  <si>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</si>
  <si>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</si>
  <si>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</si>
  <si>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</si>
  <si>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</si>
  <si>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</si>
  <si>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</si>
  <si>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</si>
  <si>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</si>
  <si>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</si>
  <si>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</si>
  <si>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</si>
  <si>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</si>
  <si>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</si>
  <si>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</si>
  <si>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</si>
  <si>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</si>
  <si>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</si>
  <si>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</si>
  <si>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</si>
  <si>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</si>
  <si>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</si>
  <si>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</si>
  <si>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</si>
  <si>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</si>
  <si>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</si>
  <si>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</si>
  <si>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</si>
  <si>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</si>
  <si>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</si>
  <si>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</si>
  <si>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</si>
  <si>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</si>
  <si>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</si>
  <si>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</si>
  <si>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</si>
  <si>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</si>
  <si>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</si>
  <si>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</si>
  <si>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</si>
  <si>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</si>
  <si>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</si>
  <si>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</si>
  <si>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</si>
  <si>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</si>
  <si>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</si>
  <si>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</si>
  <si>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</si>
  <si>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</si>
  <si>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</si>
  <si>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</si>
  <si>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</si>
  <si>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</si>
  <si>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</si>
  <si>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</si>
  <si>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</si>
  <si>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</si>
  <si>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</si>
  <si>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</si>
  <si>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</si>
  <si>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</si>
  <si>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</si>
  <si>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</si>
  <si>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</si>
  <si>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</si>
  <si>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</si>
  <si>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</si>
  <si>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</si>
  <si>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</si>
  <si>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</si>
  <si>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</si>
  <si>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</si>
  <si>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</si>
  <si>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</si>
  <si>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</si>
  <si>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</si>
  <si>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</si>
  <si>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</si>
  <si>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</si>
  <si>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</si>
  <si>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</si>
  <si>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</si>
  <si>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</si>
  <si>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</si>
  <si>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</si>
  <si>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</si>
  <si>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</si>
  <si>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</si>
  <si>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</si>
  <si>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</si>
  <si>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</si>
  <si>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</si>
  <si>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</si>
  <si>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</si>
  <si>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analcime</t>
  </si>
  <si>
    <t>na-leucite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</si>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</sst>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theme" Target="theme/theme1.xml"/><Relationship Id="rId3" Type="http://schemas.openxmlformats.org/officeDocument/2006/relationships/worksheet" Target="worksheets/sheet2.xml"/><Relationship Id="rId21" Type="http://schemas.openxmlformats.org/officeDocument/2006/relationships/calcChain" Target="calcChain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sharedStrings" Target="sharedStrings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tyles" Target="style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Phase_Data!$B$2:$J$2</c:f>
              <c:numCache>
                <c:formatCode>General</c:formatCode>
                <c:ptCount val="9"/>
                <c:pt idx="0">
                  <c:v>752</c:v>
                </c:pt>
                <c:pt idx="1">
                  <c:v>752</c:v>
                </c:pt>
                <c:pt idx="2">
                  <c:v>754</c:v>
                </c:pt>
                <c:pt idx="3">
                  <c:v>762</c:v>
                </c:pt>
                <c:pt idx="4">
                  <c:v>772</c:v>
                </c:pt>
                <c:pt idx="5">
                  <c:v>782</c:v>
                </c:pt>
                <c:pt idx="6">
                  <c:v>792</c:v>
                </c:pt>
                <c:pt idx="7">
                  <c:v>806</c:v>
                </c:pt>
                <c:pt idx="8">
                  <c:v>824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08-48E9-A63B-07F59209DCAB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Phase_Data!$B$3:$J$3</c:f>
              <c:numCache>
                <c:formatCode>General</c:formatCode>
                <c:ptCount val="9"/>
                <c:pt idx="0">
                  <c:v>734</c:v>
                </c:pt>
                <c:pt idx="1">
                  <c:v>738</c:v>
                </c:pt>
                <c:pt idx="2">
                  <c:v>742</c:v>
                </c:pt>
                <c:pt idx="3">
                  <c:v>746</c:v>
                </c:pt>
                <c:pt idx="4">
                  <c:v>750</c:v>
                </c:pt>
                <c:pt idx="5">
                  <c:v>754</c:v>
                </c:pt>
                <c:pt idx="6">
                  <c:v>760</c:v>
                </c:pt>
                <c:pt idx="7">
                  <c:v>768</c:v>
                </c:pt>
                <c:pt idx="8">
                  <c:v>778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08-48E9-A63B-07F59209DCAB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Phase_Data!$B$4:$J$4</c:f>
              <c:numCache>
                <c:formatCode>General</c:formatCode>
                <c:ptCount val="9"/>
                <c:pt idx="0">
                  <c:v>734</c:v>
                </c:pt>
                <c:pt idx="1">
                  <c:v>738</c:v>
                </c:pt>
                <c:pt idx="2">
                  <c:v>742</c:v>
                </c:pt>
                <c:pt idx="3">
                  <c:v>746</c:v>
                </c:pt>
                <c:pt idx="4">
                  <c:v>750</c:v>
                </c:pt>
                <c:pt idx="5">
                  <c:v>756</c:v>
                </c:pt>
                <c:pt idx="6">
                  <c:v>762</c:v>
                </c:pt>
                <c:pt idx="7">
                  <c:v>772</c:v>
                </c:pt>
                <c:pt idx="8">
                  <c:v>784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08-48E9-A63B-07F59209DCAB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leucite</c:v>
                </c:pt>
              </c:strCache>
            </c:strRef>
          </c:tx>
          <c:xVal>
            <c:numRef>
              <c:f>Phase_Data!$B$5:$J$5</c:f>
              <c:numCache>
                <c:formatCode>General</c:formatCode>
                <c:ptCount val="9"/>
                <c:pt idx="0">
                  <c:v>734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08-48E9-A63B-07F59209DCAB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Phase_Data!$B$6:$J$6</c:f>
              <c:numCache>
                <c:formatCode>General</c:formatCode>
                <c:ptCount val="9"/>
                <c:pt idx="0">
                  <c:v>734</c:v>
                </c:pt>
                <c:pt idx="1">
                  <c:v>738</c:v>
                </c:pt>
                <c:pt idx="2">
                  <c:v>742</c:v>
                </c:pt>
                <c:pt idx="3">
                  <c:v>746</c:v>
                </c:pt>
                <c:pt idx="4">
                  <c:v>750</c:v>
                </c:pt>
                <c:pt idx="5">
                  <c:v>756</c:v>
                </c:pt>
                <c:pt idx="6">
                  <c:v>762</c:v>
                </c:pt>
                <c:pt idx="7">
                  <c:v>770</c:v>
                </c:pt>
                <c:pt idx="8">
                  <c:v>782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808-48E9-A63B-07F59209DCAB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Phase_Data!$B$7:$J$7</c:f>
              <c:numCache>
                <c:formatCode>General</c:formatCode>
                <c:ptCount val="9"/>
                <c:pt idx="0">
                  <c:v>740</c:v>
                </c:pt>
                <c:pt idx="1">
                  <c:v>746</c:v>
                </c:pt>
                <c:pt idx="2">
                  <c:v>752</c:v>
                </c:pt>
                <c:pt idx="3">
                  <c:v>760</c:v>
                </c:pt>
                <c:pt idx="4">
                  <c:v>770</c:v>
                </c:pt>
                <c:pt idx="5">
                  <c:v>780</c:v>
                </c:pt>
                <c:pt idx="6">
                  <c:v>792</c:v>
                </c:pt>
                <c:pt idx="7">
                  <c:v>804</c:v>
                </c:pt>
                <c:pt idx="8">
                  <c:v>822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808-48E9-A63B-07F59209DCAB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Phase_Data!$B$8:$J$8</c:f>
              <c:numCache>
                <c:formatCode>General</c:formatCode>
                <c:ptCount val="9"/>
                <c:pt idx="0">
                  <c:v>734</c:v>
                </c:pt>
                <c:pt idx="1">
                  <c:v>738</c:v>
                </c:pt>
                <c:pt idx="2">
                  <c:v>742</c:v>
                </c:pt>
                <c:pt idx="3">
                  <c:v>746</c:v>
                </c:pt>
                <c:pt idx="4">
                  <c:v>752</c:v>
                </c:pt>
                <c:pt idx="5">
                  <c:v>756</c:v>
                </c:pt>
                <c:pt idx="6">
                  <c:v>764</c:v>
                </c:pt>
                <c:pt idx="7">
                  <c:v>772</c:v>
                </c:pt>
                <c:pt idx="8">
                  <c:v>784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808-48E9-A63B-07F59209DCAB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Phase_Data!$B$9:$J$9</c:f>
              <c:numCache>
                <c:formatCode>General</c:formatCode>
                <c:ptCount val="9"/>
                <c:pt idx="0">
                  <c:v>750</c:v>
                </c:pt>
                <c:pt idx="1">
                  <c:v>750</c:v>
                </c:pt>
                <c:pt idx="2">
                  <c:v>752</c:v>
                </c:pt>
                <c:pt idx="3">
                  <c:v>756</c:v>
                </c:pt>
                <c:pt idx="4">
                  <c:v>760</c:v>
                </c:pt>
                <c:pt idx="5">
                  <c:v>766</c:v>
                </c:pt>
                <c:pt idx="6">
                  <c:v>774</c:v>
                </c:pt>
                <c:pt idx="7">
                  <c:v>782</c:v>
                </c:pt>
                <c:pt idx="8">
                  <c:v>796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808-48E9-A63B-07F59209DCAB}"/>
            </c:ext>
          </c:extLst>
        </c:ser>
        <c:ser>
          <c:idx val="8"/>
          <c:order val="8"/>
          <c:tx>
            <c:strRef>
              <c:f>Phase_Data!$A$10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Phase_Data!$B$10:$J$10</c:f>
              <c:numCache>
                <c:formatCode>General</c:formatCode>
                <c:ptCount val="9"/>
                <c:pt idx="0">
                  <c:v>752</c:v>
                </c:pt>
                <c:pt idx="1">
                  <c:v>752</c:v>
                </c:pt>
                <c:pt idx="2">
                  <c:v>754</c:v>
                </c:pt>
                <c:pt idx="3">
                  <c:v>762</c:v>
                </c:pt>
                <c:pt idx="4">
                  <c:v>772</c:v>
                </c:pt>
                <c:pt idx="5">
                  <c:v>782</c:v>
                </c:pt>
                <c:pt idx="6">
                  <c:v>792</c:v>
                </c:pt>
                <c:pt idx="7">
                  <c:v>806</c:v>
                </c:pt>
                <c:pt idx="8">
                  <c:v>824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808-48E9-A63B-07F59209D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2812191"/>
        <c:axId val="171876367"/>
      </c:scatterChart>
      <c:valAx>
        <c:axId val="17328121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171876367"/>
        <c:crosses val="autoZero"/>
        <c:crossBetween val="midCat"/>
      </c:valAx>
      <c:valAx>
        <c:axId val="171876367"/>
        <c:scaling>
          <c:orientation val="minMax"/>
          <c:max val="300"/>
          <c:min val="10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1732812191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P_Calc!$B$2:$J$2</c:f>
              <c:numCache>
                <c:formatCode>General</c:formatCode>
                <c:ptCount val="9"/>
                <c:pt idx="0">
                  <c:v>750</c:v>
                </c:pt>
                <c:pt idx="1">
                  <c:v>750</c:v>
                </c:pt>
                <c:pt idx="2">
                  <c:v>752</c:v>
                </c:pt>
                <c:pt idx="3">
                  <c:v>756</c:v>
                </c:pt>
                <c:pt idx="4">
                  <c:v>760</c:v>
                </c:pt>
                <c:pt idx="5">
                  <c:v>766</c:v>
                </c:pt>
                <c:pt idx="6">
                  <c:v>774</c:v>
                </c:pt>
                <c:pt idx="7">
                  <c:v>782</c:v>
                </c:pt>
                <c:pt idx="8">
                  <c:v>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90-43B6-A1FC-3C532BCC2666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P_Calc!$B$3:$J$3</c:f>
              <c:numCache>
                <c:formatCode>General</c:formatCode>
                <c:ptCount val="9"/>
                <c:pt idx="0">
                  <c:v>740</c:v>
                </c:pt>
                <c:pt idx="1">
                  <c:v>746</c:v>
                </c:pt>
                <c:pt idx="2">
                  <c:v>752</c:v>
                </c:pt>
                <c:pt idx="3">
                  <c:v>760</c:v>
                </c:pt>
                <c:pt idx="4">
                  <c:v>770</c:v>
                </c:pt>
                <c:pt idx="5">
                  <c:v>780</c:v>
                </c:pt>
                <c:pt idx="6">
                  <c:v>792</c:v>
                </c:pt>
                <c:pt idx="7">
                  <c:v>804</c:v>
                </c:pt>
                <c:pt idx="8">
                  <c:v>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90-43B6-A1FC-3C532BCC2666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P_Calc!$B$4:$J$4</c:f>
              <c:numCache>
                <c:formatCode>General</c:formatCode>
                <c:ptCount val="9"/>
                <c:pt idx="0">
                  <c:v>734</c:v>
                </c:pt>
                <c:pt idx="1">
                  <c:v>738</c:v>
                </c:pt>
                <c:pt idx="2">
                  <c:v>742</c:v>
                </c:pt>
                <c:pt idx="3">
                  <c:v>746</c:v>
                </c:pt>
                <c:pt idx="4">
                  <c:v>752</c:v>
                </c:pt>
                <c:pt idx="5">
                  <c:v>756</c:v>
                </c:pt>
                <c:pt idx="6">
                  <c:v>764</c:v>
                </c:pt>
                <c:pt idx="7">
                  <c:v>772</c:v>
                </c:pt>
                <c:pt idx="8">
                  <c:v>784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B90-43B6-A1FC-3C532BCC2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9445471"/>
        <c:axId val="135235391"/>
      </c:scatterChart>
      <c:valAx>
        <c:axId val="171944547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35235391"/>
        <c:crosses val="autoZero"/>
        <c:crossBetween val="midCat"/>
      </c:valAx>
      <c:valAx>
        <c:axId val="135235391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719445471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P_Calc!$B$2:$J$2</c:f>
              <c:numCache>
                <c:formatCode>General</c:formatCode>
                <c:ptCount val="9"/>
                <c:pt idx="0">
                  <c:v>750</c:v>
                </c:pt>
                <c:pt idx="1">
                  <c:v>750</c:v>
                </c:pt>
                <c:pt idx="2">
                  <c:v>752</c:v>
                </c:pt>
                <c:pt idx="3">
                  <c:v>756</c:v>
                </c:pt>
                <c:pt idx="4">
                  <c:v>760</c:v>
                </c:pt>
                <c:pt idx="5">
                  <c:v>766</c:v>
                </c:pt>
                <c:pt idx="6">
                  <c:v>774</c:v>
                </c:pt>
                <c:pt idx="7">
                  <c:v>782</c:v>
                </c:pt>
                <c:pt idx="8">
                  <c:v>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F4-4CBB-B708-081BC10F7DA8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P_Calc!$B$3:$J$3</c:f>
              <c:numCache>
                <c:formatCode>General</c:formatCode>
                <c:ptCount val="9"/>
                <c:pt idx="0">
                  <c:v>740</c:v>
                </c:pt>
                <c:pt idx="1">
                  <c:v>746</c:v>
                </c:pt>
                <c:pt idx="2">
                  <c:v>752</c:v>
                </c:pt>
                <c:pt idx="3">
                  <c:v>760</c:v>
                </c:pt>
                <c:pt idx="4">
                  <c:v>770</c:v>
                </c:pt>
                <c:pt idx="5">
                  <c:v>780</c:v>
                </c:pt>
                <c:pt idx="6">
                  <c:v>792</c:v>
                </c:pt>
                <c:pt idx="7">
                  <c:v>804</c:v>
                </c:pt>
                <c:pt idx="8">
                  <c:v>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F4-4CBB-B708-081BC10F7D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234431"/>
        <c:axId val="1719445471"/>
      </c:scatterChart>
      <c:valAx>
        <c:axId val="1352344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719445471"/>
        <c:crosses val="autoZero"/>
        <c:crossBetween val="midCat"/>
      </c:valAx>
      <c:valAx>
        <c:axId val="1719445471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35234431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P_Calc!$B$6:$J$6</c:f>
              <c:numCache>
                <c:formatCode>General</c:formatCode>
                <c:ptCount val="9"/>
                <c:pt idx="0">
                  <c:v>16</c:v>
                </c:pt>
                <c:pt idx="1">
                  <c:v>12</c:v>
                </c:pt>
                <c:pt idx="2">
                  <c:v>10</c:v>
                </c:pt>
                <c:pt idx="3">
                  <c:v>14</c:v>
                </c:pt>
                <c:pt idx="4">
                  <c:v>18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0E-4943-933B-317EB5709B0F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P_Calc!$B$9:$J$9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70E-4943-933B-317EB5709B0F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P_Calc!$B$13:$B$13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P_Calc!$C$13:$C$13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70E-4943-933B-317EB5709B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905871"/>
        <c:axId val="183906351"/>
      </c:scatterChart>
      <c:valAx>
        <c:axId val="18390587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83906351"/>
        <c:crosses val="autoZero"/>
        <c:crossBetween val="midCat"/>
      </c:valAx>
      <c:valAx>
        <c:axId val="183906351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83905871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P_Calc!$B$7:$J$7</c:f>
              <c:numCache>
                <c:formatCode>General</c:formatCode>
                <c:ptCount val="9"/>
                <c:pt idx="0">
                  <c:v>10</c:v>
                </c:pt>
                <c:pt idx="1">
                  <c:v>4</c:v>
                </c:pt>
                <c:pt idx="2">
                  <c:v>0</c:v>
                </c:pt>
                <c:pt idx="3">
                  <c:v>4</c:v>
                </c:pt>
                <c:pt idx="4">
                  <c:v>10</c:v>
                </c:pt>
                <c:pt idx="5">
                  <c:v>14</c:v>
                </c:pt>
                <c:pt idx="6">
                  <c:v>18</c:v>
                </c:pt>
                <c:pt idx="7">
                  <c:v>22</c:v>
                </c:pt>
                <c:pt idx="8">
                  <c:v>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22-4F89-86B5-E67C09FA0B08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P_Calc!$B$10:$J$10</c:f>
              <c:numCache>
                <c:formatCode>General</c:formatCode>
                <c:ptCount val="9"/>
                <c:pt idx="0">
                  <c:v>10.171428571428237</c:v>
                </c:pt>
                <c:pt idx="1">
                  <c:v>3.314285714277446</c:v>
                </c:pt>
                <c:pt idx="2">
                  <c:v>1.028571428560781</c:v>
                </c:pt>
                <c:pt idx="3">
                  <c:v>3.3142857142783271</c:v>
                </c:pt>
                <c:pt idx="4">
                  <c:v>10.171428571430084</c:v>
                </c:pt>
                <c:pt idx="5">
                  <c:v>21.600000000016024</c:v>
                </c:pt>
                <c:pt idx="6">
                  <c:v>37.600000000036147</c:v>
                </c:pt>
                <c:pt idx="7">
                  <c:v>58.17142857149048</c:v>
                </c:pt>
                <c:pt idx="8">
                  <c:v>83.314285714378997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622-4F89-86B5-E67C09FA0B08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250.0000000000025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1.0285714285608094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622-4F89-86B5-E67C09FA0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6975"/>
        <c:axId val="177005055"/>
      </c:scatterChart>
      <c:valAx>
        <c:axId val="177006975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77005055"/>
        <c:crosses val="autoZero"/>
        <c:crossBetween val="midCat"/>
      </c:valAx>
      <c:valAx>
        <c:axId val="177005055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77006975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7AA1C38-981A-4F89-8E18-A881EFBBCBF5}">
  <sheetPr codeName="Chart1"/>
  <sheetViews>
    <sheetView zoomScale="10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4223" cy="629759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8900178-3ABA-6C34-8268-9A806453D49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CF1A90-EE25-3595-B857-D1B8EA707C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8D53949-7285-7A90-4A4A-8CE30553DF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3B0B1EB-CD65-A8B7-1138-D4E3994C12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FD6824F-E21A-85AB-9B08-C7475597E1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87AB0-620B-4F2F-A2FD-BE4D14C3CFE2}">
  <dimension ref="A1:R14"/>
  <sheetViews>
    <sheetView tabSelected="1" workbookViewId="0"/>
  </sheetViews>
  <sheetFormatPr defaultRowHeight="15" x14ac:dyDescent="0.2"/>
  <sheetData>
    <row r="1" spans="1:18" x14ac:dyDescent="0.2">
      <c r="A1" t="s">
        <v>137</v>
      </c>
      <c r="B1">
        <f>Phase_Data!B1</f>
        <v>300</v>
      </c>
      <c r="C1">
        <f>Phase_Data!C1</f>
        <v>275</v>
      </c>
      <c r="D1">
        <f>Phase_Data!D1</f>
        <v>250</v>
      </c>
      <c r="E1">
        <f>Phase_Data!E1</f>
        <v>225</v>
      </c>
      <c r="F1">
        <f>Phase_Data!F1</f>
        <v>200</v>
      </c>
      <c r="G1">
        <f>Phase_Data!G1</f>
        <v>175</v>
      </c>
      <c r="H1">
        <f>Phase_Data!H1</f>
        <v>150</v>
      </c>
      <c r="I1">
        <f>Phase_Data!I1</f>
        <v>125</v>
      </c>
      <c r="J1">
        <f>Phase_Data!J1</f>
        <v>100</v>
      </c>
      <c r="L1" t="s">
        <v>144</v>
      </c>
      <c r="M1" t="s">
        <v>145</v>
      </c>
      <c r="N1" t="s">
        <v>146</v>
      </c>
      <c r="P1" t="s">
        <v>147</v>
      </c>
      <c r="Q1" t="s">
        <v>148</v>
      </c>
      <c r="R1" t="s">
        <v>149</v>
      </c>
    </row>
    <row r="2" spans="1:18" x14ac:dyDescent="0.2">
      <c r="A2" t="s">
        <v>96</v>
      </c>
      <c r="B2">
        <f ca="1">IFERROR(VLOOKUP($A2,Phase_Data!$1:$1048576,COLUMN(),0),"-")</f>
        <v>750</v>
      </c>
      <c r="C2">
        <f ca="1">IFERROR(VLOOKUP($A2,Phase_Data!$1:$1048576,COLUMN(),0),"-")</f>
        <v>750</v>
      </c>
      <c r="D2">
        <f ca="1">IFERROR(VLOOKUP($A2,Phase_Data!$1:$1048576,COLUMN(),0),"-")</f>
        <v>752</v>
      </c>
      <c r="E2">
        <f ca="1">IFERROR(VLOOKUP($A2,Phase_Data!$1:$1048576,COLUMN(),0),"-")</f>
        <v>756</v>
      </c>
      <c r="F2">
        <f ca="1">IFERROR(VLOOKUP($A2,Phase_Data!$1:$1048576,COLUMN(),0),"-")</f>
        <v>760</v>
      </c>
      <c r="G2">
        <f ca="1">IFERROR(VLOOKUP($A2,Phase_Data!$1:$1048576,COLUMN(),0),"-")</f>
        <v>766</v>
      </c>
      <c r="H2">
        <f ca="1">IFERROR(VLOOKUP($A2,Phase_Data!$1:$1048576,COLUMN(),0),"-")</f>
        <v>774</v>
      </c>
      <c r="I2">
        <f ca="1">IFERROR(VLOOKUP($A2,Phase_Data!$1:$1048576,COLUMN(),0),"-")</f>
        <v>782</v>
      </c>
      <c r="J2">
        <f ca="1">IFERROR(VLOOKUP($A2,Phase_Data!$1:$1048576,COLUMN(),0),"-")</f>
        <v>796</v>
      </c>
    </row>
    <row r="3" spans="1:18" x14ac:dyDescent="0.2">
      <c r="A3" t="s">
        <v>135</v>
      </c>
      <c r="B3">
        <f ca="1">IFERROR(VLOOKUP($A3,Phase_Data!$1:$1048576,COLUMN(),0),"-")</f>
        <v>740</v>
      </c>
      <c r="C3">
        <f ca="1">IFERROR(VLOOKUP($A3,Phase_Data!$1:$1048576,COLUMN(),0),"-")</f>
        <v>746</v>
      </c>
      <c r="D3">
        <f ca="1">IFERROR(VLOOKUP($A3,Phase_Data!$1:$1048576,COLUMN(),0),"-")</f>
        <v>752</v>
      </c>
      <c r="E3">
        <f ca="1">IFERROR(VLOOKUP($A3,Phase_Data!$1:$1048576,COLUMN(),0),"-")</f>
        <v>760</v>
      </c>
      <c r="F3">
        <f ca="1">IFERROR(VLOOKUP($A3,Phase_Data!$1:$1048576,COLUMN(),0),"-")</f>
        <v>770</v>
      </c>
      <c r="G3">
        <f ca="1">IFERROR(VLOOKUP($A3,Phase_Data!$1:$1048576,COLUMN(),0),"-")</f>
        <v>780</v>
      </c>
      <c r="H3">
        <f ca="1">IFERROR(VLOOKUP($A3,Phase_Data!$1:$1048576,COLUMN(),0),"-")</f>
        <v>792</v>
      </c>
      <c r="I3">
        <f ca="1">IFERROR(VLOOKUP($A3,Phase_Data!$1:$1048576,COLUMN(),0),"-")</f>
        <v>804</v>
      </c>
      <c r="J3">
        <f ca="1">IFERROR(VLOOKUP($A3,Phase_Data!$1:$1048576,COLUMN(),0),"-")</f>
        <v>822</v>
      </c>
    </row>
    <row r="4" spans="1:18" x14ac:dyDescent="0.2">
      <c r="A4" t="s">
        <v>136</v>
      </c>
      <c r="B4">
        <f ca="1">IFERROR(VLOOKUP($A4,Phase_Data!$1:$1048576,COLUMN(),0),"-")</f>
        <v>734</v>
      </c>
      <c r="C4">
        <f ca="1">IFERROR(VLOOKUP($A4,Phase_Data!$1:$1048576,COLUMN(),0),"-")</f>
        <v>738</v>
      </c>
      <c r="D4">
        <f ca="1">IFERROR(VLOOKUP($A4,Phase_Data!$1:$1048576,COLUMN(),0),"-")</f>
        <v>742</v>
      </c>
      <c r="E4">
        <f ca="1">IFERROR(VLOOKUP($A4,Phase_Data!$1:$1048576,COLUMN(),0),"-")</f>
        <v>746</v>
      </c>
      <c r="F4">
        <f ca="1">IFERROR(VLOOKUP($A4,Phase_Data!$1:$1048576,COLUMN(),0),"-")</f>
        <v>752</v>
      </c>
      <c r="G4">
        <f ca="1">IFERROR(VLOOKUP($A4,Phase_Data!$1:$1048576,COLUMN(),0),"-")</f>
        <v>756</v>
      </c>
      <c r="H4">
        <f ca="1">IFERROR(VLOOKUP($A4,Phase_Data!$1:$1048576,COLUMN(),0),"-")</f>
        <v>764</v>
      </c>
      <c r="I4">
        <f ca="1">IFERROR(VLOOKUP($A4,Phase_Data!$1:$1048576,COLUMN(),0),"-")</f>
        <v>772</v>
      </c>
      <c r="J4">
        <f ca="1">IFERROR(VLOOKUP($A4,Phase_Data!$1:$1048576,COLUMN(),0),"-")</f>
        <v>784</v>
      </c>
    </row>
    <row r="6" spans="1:18" x14ac:dyDescent="0.2">
      <c r="A6" t="s">
        <v>138</v>
      </c>
      <c r="B6">
        <f ca="1">IF(AND(B2&lt;&gt;0,B3&lt;&gt;0,B4&lt;&gt;0),MAX(B2:B4)-MIN(B2:B4),"-")</f>
        <v>16</v>
      </c>
      <c r="C6">
        <f t="shared" ref="C6:J6" ca="1" si="0">IF(AND(C2&lt;&gt;0,C3&lt;&gt;0,C4&lt;&gt;0),MAX(C2:C4)-MIN(C2:C4),"-")</f>
        <v>12</v>
      </c>
      <c r="D6">
        <f t="shared" ca="1" si="0"/>
        <v>10</v>
      </c>
      <c r="E6">
        <f t="shared" ca="1" si="0"/>
        <v>14</v>
      </c>
      <c r="F6">
        <f t="shared" ca="1" si="0"/>
        <v>18</v>
      </c>
      <c r="G6">
        <f t="shared" ca="1" si="0"/>
        <v>24</v>
      </c>
      <c r="H6">
        <f t="shared" ca="1" si="0"/>
        <v>28</v>
      </c>
      <c r="I6">
        <f t="shared" ca="1" si="0"/>
        <v>32</v>
      </c>
      <c r="J6">
        <f t="shared" ca="1" si="0"/>
        <v>38</v>
      </c>
      <c r="L6">
        <f ca="1">MIN(B6:J6)</f>
        <v>10</v>
      </c>
      <c r="M6" t="str">
        <f ca="1">IF(L6&lt;=5,INDEX(B$1:J$1,1,MATCH(L6,B6:J6,0)),"-")</f>
        <v>-</v>
      </c>
      <c r="N6" t="str">
        <f ca="1">IF(L6&lt;=5,MATCH(L6,B6:J6,0),"-")</f>
        <v>-</v>
      </c>
      <c r="P6" t="str">
        <f t="array" aca="1" ref="P6:R6" ca="1">IF(N6="-","-",TRANSPOSE(MMULT(MINVERSE(MMULT(TRANSPOSE(generate_matrix(TRANSPOSE(INDEX(B$1:J$1,1,MAX(N6-2,1)):INDEX(B$1:J$1,1,MIN(N6+2,COUNT(B$1:J$1)))))),generate_matrix(TRANSPOSE(INDEX(B$1:J$1,1,MAX(N6-2,1)):INDEX(B$1:J$1,1,MIN(N6+2,COUNT(B$1:J$1))))))),MMULT(TRANSPOSE(generate_matrix(TRANSPOSE(INDEX(B$1:J$1,1,MAX(N6-2,1)):INDEX(B$1:J$1,1,MIN(N6+2,COUNT(B$1:J$1)))))),TRANSPOSE(INDEX(B6:J6,1,MAX(N6-2,1)):INDEX(B6:J6,1,MIN(N6+2,COUNT(B$1:J$1))))))))</f>
        <v>-</v>
      </c>
      <c r="Q6" t="str">
        <f ca="1"/>
        <v>-</v>
      </c>
      <c r="R6" t="str">
        <f ca="1"/>
        <v>-</v>
      </c>
    </row>
    <row r="7" spans="1:18" x14ac:dyDescent="0.2">
      <c r="A7" t="s">
        <v>139</v>
      </c>
      <c r="B7">
        <f ca="1">IF(AND(MAX(B2:B4)&lt;&gt;0,LARGE(B2:B4,2)&lt;&gt;0),MAX(B2:B4)-LARGE(B2:B4,2),"-")</f>
        <v>10</v>
      </c>
      <c r="C7">
        <f t="shared" ref="C7:J7" ca="1" si="1">IF(AND(MAX(C2:C4)&lt;&gt;0,LARGE(C2:C4,2)&lt;&gt;0),MAX(C2:C4)-LARGE(C2:C4,2),"-")</f>
        <v>4</v>
      </c>
      <c r="D7">
        <f t="shared" ca="1" si="1"/>
        <v>0</v>
      </c>
      <c r="E7">
        <f t="shared" ca="1" si="1"/>
        <v>4</v>
      </c>
      <c r="F7">
        <f t="shared" ca="1" si="1"/>
        <v>10</v>
      </c>
      <c r="G7">
        <f t="shared" ca="1" si="1"/>
        <v>14</v>
      </c>
      <c r="H7">
        <f t="shared" ca="1" si="1"/>
        <v>18</v>
      </c>
      <c r="I7">
        <f t="shared" ca="1" si="1"/>
        <v>22</v>
      </c>
      <c r="J7">
        <f t="shared" ca="1" si="1"/>
        <v>26</v>
      </c>
      <c r="L7">
        <f ca="1">MIN(B7:J7)</f>
        <v>0</v>
      </c>
      <c r="M7">
        <f ca="1">IF(L7&lt;=5,INDEX(B$1:J$1,1,MATCH(L7,B7:J7,0)),"-")</f>
        <v>250</v>
      </c>
      <c r="N7">
        <f ca="1">IF(L7&lt;=5,MATCH(L7,B7:J7,0),"-")</f>
        <v>3</v>
      </c>
      <c r="P7">
        <f t="array" aca="1" ref="P7:R7" ca="1">IF(N7="-","-",TRANSPOSE(MMULT(MINVERSE(MMULT(TRANSPOSE(generate_matrix(TRANSPOSE(INDEX(B$1:J$1,1,MAX(N7-2,1)):INDEX(B$1:J$1,1,MIN(N7+2,COUNT(B$1:J$1)))))),generate_matrix(TRANSPOSE(INDEX(B$1:J$1,1,MAX(N7-2,1)):INDEX(B$1:J$1,1,MIN(N7+2,COUNT(B$1:J$1))))))),MMULT(TRANSPOSE(generate_matrix(TRANSPOSE(INDEX(B$1:J$1,1,MAX(N7-2,1)):INDEX(B$1:J$1,1,MIN(N7+2,COUNT(B$1:J$1)))))),TRANSPOSE(INDEX(B7:J7,1,MAX(N7-2,1)):INDEX(B7:J7,1,MIN(N7+2,COUNT(B$1:J$1))))))))</f>
        <v>229.60000000027503</v>
      </c>
      <c r="Q7">
        <f ca="1"/>
        <v>-1.8285714285736958</v>
      </c>
      <c r="R7">
        <f ca="1"/>
        <v>3.6571428571473552E-3</v>
      </c>
    </row>
    <row r="9" spans="1:18" x14ac:dyDescent="0.2">
      <c r="A9" t="s">
        <v>140</v>
      </c>
      <c r="B9" t="str">
        <f ca="1">IFERROR(IF($R6&gt;0,$R6*B$1^2+$Q6*B$1+$P6,"-"),"-")</f>
        <v>-</v>
      </c>
      <c r="C9" t="str">
        <f ca="1">IFERROR(IF($R6&gt;0,$R6*C$1^2+$Q6*C$1+$P6,"-"),"-")</f>
        <v>-</v>
      </c>
      <c r="D9" t="str">
        <f ca="1">IFERROR(IF($R6&gt;0,$R6*D$1^2+$Q6*D$1+$P6,"-"),"-")</f>
        <v>-</v>
      </c>
      <c r="E9" t="str">
        <f ca="1">IFERROR(IF($R6&gt;0,$R6*E$1^2+$Q6*E$1+$P6,"-"),"-")</f>
        <v>-</v>
      </c>
      <c r="F9" t="str">
        <f ca="1">IFERROR(IF($R6&gt;0,$R6*F$1^2+$Q6*F$1+$P6,"-"),"-")</f>
        <v>-</v>
      </c>
      <c r="G9" t="str">
        <f ca="1">IFERROR(IF($R6&gt;0,$R6*G$1^2+$Q6*G$1+$P6,"-"),"-")</f>
        <v>-</v>
      </c>
      <c r="H9" t="str">
        <f ca="1">IFERROR(IF($R6&gt;0,$R6*H$1^2+$Q6*H$1+$P6,"-"),"-")</f>
        <v>-</v>
      </c>
      <c r="I9" t="str">
        <f ca="1">IFERROR(IF($R6&gt;0,$R6*I$1^2+$Q6*I$1+$P6,"-"),"-")</f>
        <v>-</v>
      </c>
      <c r="J9" t="str">
        <f ca="1">IFERROR(IF($R6&gt;0,$R6*J$1^2+$Q6*J$1+$P6,"-"),"-")</f>
        <v>-</v>
      </c>
    </row>
    <row r="10" spans="1:18" x14ac:dyDescent="0.2">
      <c r="A10" t="s">
        <v>141</v>
      </c>
      <c r="B10">
        <f ca="1">IFERROR(IF($R7&gt;0,$R7*B$1^2+$Q7*B$1+$P7,"-"),"-")</f>
        <v>10.171428571428237</v>
      </c>
      <c r="C10">
        <f ca="1">IFERROR(IF($R7&gt;0,$R7*C$1^2+$Q7*C$1+$P7,"-"),"-")</f>
        <v>3.314285714277446</v>
      </c>
      <c r="D10">
        <f ca="1">IFERROR(IF($R7&gt;0,$R7*D$1^2+$Q7*D$1+$P7,"-"),"-")</f>
        <v>1.028571428560781</v>
      </c>
      <c r="E10">
        <f ca="1">IFERROR(IF($R7&gt;0,$R7*E$1^2+$Q7*E$1+$P7,"-"),"-")</f>
        <v>3.3142857142783271</v>
      </c>
      <c r="F10">
        <f ca="1">IFERROR(IF($R7&gt;0,$R7*F$1^2+$Q7*F$1+$P7,"-"),"-")</f>
        <v>10.171428571430084</v>
      </c>
      <c r="G10">
        <f ca="1">IFERROR(IF($R7&gt;0,$R7*G$1^2+$Q7*G$1+$P7,"-"),"-")</f>
        <v>21.600000000016024</v>
      </c>
      <c r="H10">
        <f ca="1">IFERROR(IF($R7&gt;0,$R7*H$1^2+$Q7*H$1+$P7,"-"),"-")</f>
        <v>37.600000000036147</v>
      </c>
      <c r="I10">
        <f ca="1">IFERROR(IF($R7&gt;0,$R7*I$1^2+$Q7*I$1+$P7,"-"),"-")</f>
        <v>58.17142857149048</v>
      </c>
      <c r="J10">
        <f ca="1">IFERROR(IF($R7&gt;0,$R7*J$1^2+$Q7*J$1+$P7,"-"),"-")</f>
        <v>83.314285714378997</v>
      </c>
    </row>
    <row r="12" spans="1:18" x14ac:dyDescent="0.2">
      <c r="B12" t="s">
        <v>150</v>
      </c>
      <c r="C12" t="s">
        <v>151</v>
      </c>
    </row>
    <row r="13" spans="1:18" x14ac:dyDescent="0.2">
      <c r="A13" t="s">
        <v>142</v>
      </c>
      <c r="B13" s="2" t="str">
        <f ca="1">IFERROR(IF($L6&lt;=5,IF($R6&gt;0,-$Q6/(2*$R6),"-"),"-"),"-")</f>
        <v>-</v>
      </c>
      <c r="C13" s="2" t="str">
        <f ca="1">IFERROR(IF($R6&gt;0,$R6*B13^2+$Q6*B13+$P6,"-"),"-")</f>
        <v>-</v>
      </c>
    </row>
    <row r="14" spans="1:18" x14ac:dyDescent="0.2">
      <c r="A14" t="s">
        <v>143</v>
      </c>
      <c r="B14" s="2">
        <f ca="1">IFERROR(IF($L7&lt;=5,IF($R7&gt;0,-$Q7/(2*$R7),"-"),"-"),"-")</f>
        <v>250.0000000000025</v>
      </c>
      <c r="C14" s="2">
        <f ca="1">IFERROR(IF($R7&gt;0,$R7*B14^2+$Q7*B14+$P7,"-"),"-")</f>
        <v>1.0285714285608094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D914E-7334-4B64-8CEB-315EE2E2AB84}">
  <sheetPr codeName="Sheet2"/>
  <dimension ref="A1:J11"/>
  <sheetViews>
    <sheetView workbookViewId="0"/>
  </sheetViews>
  <sheetFormatPr defaultRowHeight="15" x14ac:dyDescent="0.2"/>
  <sheetData>
    <row r="1" spans="1:10" x14ac:dyDescent="0.2">
      <c r="A1">
        <v>300</v>
      </c>
      <c r="B1">
        <v>300</v>
      </c>
      <c r="C1">
        <v>275</v>
      </c>
      <c r="D1">
        <v>250</v>
      </c>
      <c r="E1">
        <v>225</v>
      </c>
      <c r="F1">
        <v>200</v>
      </c>
      <c r="G1">
        <v>175</v>
      </c>
      <c r="H1">
        <v>150</v>
      </c>
      <c r="I1">
        <v>125</v>
      </c>
      <c r="J1">
        <v>100</v>
      </c>
    </row>
    <row r="2" spans="1:10" x14ac:dyDescent="0.2">
      <c r="A2" t="s">
        <v>134</v>
      </c>
      <c r="B2">
        <f ca="1">_xlfn.IFNA(INDEX(INDIRECT("'"&amp;$A2&amp;"'!$B:$B"),MATCH(B$1,INDIRECT("'"&amp;$A2&amp;"'!$c:$c"),0)),"")</f>
        <v>752</v>
      </c>
      <c r="C2">
        <f t="shared" ref="C2:J11" ca="1" si="0">_xlfn.IFNA(INDEX(INDIRECT("'"&amp;$A2&amp;"'!$B:$B"),MATCH(C$1,INDIRECT("'"&amp;$A2&amp;"'!$c:$c"),0)),"")</f>
        <v>752</v>
      </c>
      <c r="D2">
        <f t="shared" ca="1" si="0"/>
        <v>754</v>
      </c>
      <c r="E2">
        <f t="shared" ca="1" si="0"/>
        <v>762</v>
      </c>
      <c r="F2">
        <f t="shared" ca="1" si="0"/>
        <v>772</v>
      </c>
      <c r="G2">
        <f t="shared" ca="1" si="0"/>
        <v>782</v>
      </c>
      <c r="H2">
        <f t="shared" ca="1" si="0"/>
        <v>792</v>
      </c>
      <c r="I2">
        <f t="shared" ca="1" si="0"/>
        <v>806</v>
      </c>
      <c r="J2">
        <f t="shared" ca="1" si="0"/>
        <v>824</v>
      </c>
    </row>
    <row r="3" spans="1:10" x14ac:dyDescent="0.2">
      <c r="A3" t="s">
        <v>97</v>
      </c>
      <c r="B3">
        <f ca="1">_xlfn.IFNA(INDEX(INDIRECT("'"&amp;$A3&amp;"'!$B:$B"),MATCH(B$1,INDIRECT("'"&amp;$A3&amp;"'!$c:$c"),0)),"")</f>
        <v>734</v>
      </c>
      <c r="C3">
        <f t="shared" ca="1" si="0"/>
        <v>738</v>
      </c>
      <c r="D3">
        <f t="shared" ca="1" si="0"/>
        <v>742</v>
      </c>
      <c r="E3">
        <f t="shared" ca="1" si="0"/>
        <v>746</v>
      </c>
      <c r="F3">
        <f t="shared" ca="1" si="0"/>
        <v>750</v>
      </c>
      <c r="G3">
        <f t="shared" ca="1" si="0"/>
        <v>754</v>
      </c>
      <c r="H3">
        <f t="shared" ca="1" si="0"/>
        <v>760</v>
      </c>
      <c r="I3">
        <f t="shared" ca="1" si="0"/>
        <v>768</v>
      </c>
      <c r="J3">
        <f t="shared" ca="1" si="0"/>
        <v>778</v>
      </c>
    </row>
    <row r="4" spans="1:10" x14ac:dyDescent="0.2">
      <c r="A4" t="s">
        <v>101</v>
      </c>
      <c r="B4">
        <f ca="1">_xlfn.IFNA(INDEX(INDIRECT("'"&amp;$A4&amp;"'!$B:$B"),MATCH(B$1,INDIRECT("'"&amp;$A4&amp;"'!$c:$c"),0)),"")</f>
        <v>734</v>
      </c>
      <c r="C4">
        <f t="shared" ca="1" si="0"/>
        <v>738</v>
      </c>
      <c r="D4">
        <f t="shared" ca="1" si="0"/>
        <v>742</v>
      </c>
      <c r="E4">
        <f t="shared" ca="1" si="0"/>
        <v>746</v>
      </c>
      <c r="F4">
        <f t="shared" ca="1" si="0"/>
        <v>750</v>
      </c>
      <c r="G4">
        <f t="shared" ca="1" si="0"/>
        <v>756</v>
      </c>
      <c r="H4">
        <f t="shared" ca="1" si="0"/>
        <v>762</v>
      </c>
      <c r="I4">
        <f t="shared" ca="1" si="0"/>
        <v>772</v>
      </c>
      <c r="J4">
        <f t="shared" ca="1" si="0"/>
        <v>784</v>
      </c>
    </row>
    <row r="5" spans="1:10" x14ac:dyDescent="0.2">
      <c r="A5" t="s">
        <v>88</v>
      </c>
      <c r="B5">
        <f ca="1">_xlfn.IFNA(INDEX(INDIRECT("'"&amp;$A5&amp;"'!$B:$B"),MATCH(B$1,INDIRECT("'"&amp;$A5&amp;"'!$c:$c"),0)),"")</f>
        <v>734</v>
      </c>
    </row>
    <row r="6" spans="1:10" x14ac:dyDescent="0.2">
      <c r="A6" t="s">
        <v>94</v>
      </c>
      <c r="B6">
        <f ca="1">_xlfn.IFNA(INDEX(INDIRECT("'"&amp;$A6&amp;"'!$B:$B"),MATCH(B$1,INDIRECT("'"&amp;$A6&amp;"'!$c:$c"),0)),"")</f>
        <v>734</v>
      </c>
      <c r="C6">
        <f t="shared" ca="1" si="0"/>
        <v>738</v>
      </c>
      <c r="D6">
        <f t="shared" ca="1" si="0"/>
        <v>742</v>
      </c>
      <c r="E6">
        <f t="shared" ca="1" si="0"/>
        <v>746</v>
      </c>
      <c r="F6">
        <f t="shared" ca="1" si="0"/>
        <v>750</v>
      </c>
      <c r="G6">
        <f t="shared" ca="1" si="0"/>
        <v>756</v>
      </c>
      <c r="H6">
        <f t="shared" ca="1" si="0"/>
        <v>762</v>
      </c>
      <c r="I6">
        <f t="shared" ca="1" si="0"/>
        <v>770</v>
      </c>
      <c r="J6">
        <f t="shared" ca="1" si="0"/>
        <v>782</v>
      </c>
    </row>
    <row r="7" spans="1:10" x14ac:dyDescent="0.2">
      <c r="A7" t="s">
        <v>135</v>
      </c>
      <c r="B7">
        <f ca="1">_xlfn.IFNA(INDEX(INDIRECT("'"&amp;$A7&amp;"'!$B:$B"),MATCH(B$1,INDIRECT("'"&amp;$A7&amp;"'!$c:$c"),0)),"")</f>
        <v>740</v>
      </c>
      <c r="C7">
        <f t="shared" ca="1" si="0"/>
        <v>746</v>
      </c>
      <c r="D7">
        <f t="shared" ca="1" si="0"/>
        <v>752</v>
      </c>
      <c r="E7">
        <f t="shared" ca="1" si="0"/>
        <v>760</v>
      </c>
      <c r="F7">
        <f t="shared" ca="1" si="0"/>
        <v>770</v>
      </c>
      <c r="G7">
        <f t="shared" ca="1" si="0"/>
        <v>780</v>
      </c>
      <c r="H7">
        <f t="shared" ca="1" si="0"/>
        <v>792</v>
      </c>
      <c r="I7">
        <f t="shared" ca="1" si="0"/>
        <v>804</v>
      </c>
      <c r="J7">
        <f t="shared" ca="1" si="0"/>
        <v>822</v>
      </c>
    </row>
    <row r="8" spans="1:10" x14ac:dyDescent="0.2">
      <c r="A8" t="s">
        <v>136</v>
      </c>
      <c r="B8">
        <f ca="1">_xlfn.IFNA(INDEX(INDIRECT("'"&amp;$A8&amp;"'!$B:$B"),MATCH(B$1,INDIRECT("'"&amp;$A8&amp;"'!$c:$c"),0)),"")</f>
        <v>734</v>
      </c>
      <c r="C8">
        <f t="shared" ca="1" si="0"/>
        <v>738</v>
      </c>
      <c r="D8">
        <f t="shared" ca="1" si="0"/>
        <v>742</v>
      </c>
      <c r="E8">
        <f t="shared" ca="1" si="0"/>
        <v>746</v>
      </c>
      <c r="F8">
        <f t="shared" ca="1" si="0"/>
        <v>752</v>
      </c>
      <c r="G8">
        <f t="shared" ca="1" si="0"/>
        <v>756</v>
      </c>
      <c r="H8">
        <f t="shared" ca="1" si="0"/>
        <v>764</v>
      </c>
      <c r="I8">
        <f t="shared" ca="1" si="0"/>
        <v>772</v>
      </c>
      <c r="J8">
        <f t="shared" ca="1" si="0"/>
        <v>784</v>
      </c>
    </row>
    <row r="9" spans="1:10" x14ac:dyDescent="0.2">
      <c r="A9" t="s">
        <v>96</v>
      </c>
      <c r="B9">
        <f ca="1">_xlfn.IFNA(INDEX(INDIRECT("'"&amp;$A9&amp;"'!$B:$B"),MATCH(B$1,INDIRECT("'"&amp;$A9&amp;"'!$c:$c"),0)),"")</f>
        <v>750</v>
      </c>
      <c r="C9">
        <f t="shared" ca="1" si="0"/>
        <v>750</v>
      </c>
      <c r="D9">
        <f t="shared" ca="1" si="0"/>
        <v>752</v>
      </c>
      <c r="E9">
        <f t="shared" ca="1" si="0"/>
        <v>756</v>
      </c>
      <c r="F9">
        <f t="shared" ca="1" si="0"/>
        <v>760</v>
      </c>
      <c r="G9">
        <f t="shared" ca="1" si="0"/>
        <v>766</v>
      </c>
      <c r="H9">
        <f t="shared" ca="1" si="0"/>
        <v>774</v>
      </c>
      <c r="I9">
        <f t="shared" ca="1" si="0"/>
        <v>782</v>
      </c>
      <c r="J9">
        <f t="shared" ca="1" si="0"/>
        <v>796</v>
      </c>
    </row>
    <row r="10" spans="1:10" x14ac:dyDescent="0.2">
      <c r="A10" t="s">
        <v>71</v>
      </c>
      <c r="B10">
        <f ca="1">_xlfn.IFNA(INDEX(INDIRECT("'"&amp;$A10&amp;"'!$B:$B"),MATCH(B$1,INDIRECT("'"&amp;$A10&amp;"'!$c:$c"),0)),"")</f>
        <v>752</v>
      </c>
      <c r="C10">
        <f t="shared" ca="1" si="0"/>
        <v>752</v>
      </c>
      <c r="D10">
        <f t="shared" ca="1" si="0"/>
        <v>754</v>
      </c>
      <c r="E10">
        <f t="shared" ca="1" si="0"/>
        <v>762</v>
      </c>
      <c r="F10">
        <f t="shared" ca="1" si="0"/>
        <v>772</v>
      </c>
      <c r="G10">
        <f t="shared" ca="1" si="0"/>
        <v>782</v>
      </c>
      <c r="H10">
        <f t="shared" ca="1" si="0"/>
        <v>792</v>
      </c>
      <c r="I10">
        <f t="shared" ca="1" si="0"/>
        <v>806</v>
      </c>
      <c r="J10">
        <f t="shared" ca="1" si="0"/>
        <v>824</v>
      </c>
    </row>
    <row r="11" spans="1:10" x14ac:dyDescent="0.2">
      <c r="A11" t="s">
        <v>84</v>
      </c>
      <c r="B11">
        <f ca="1">_xlfn.IFNA(INDEX(INDIRECT("'"&amp;$A11&amp;"'!$B:$B"),MATCH(B$1,INDIRECT("'"&amp;$A11&amp;"'!$c:$c"),0)),"")</f>
        <v>740</v>
      </c>
      <c r="C11">
        <f t="shared" ca="1" si="0"/>
        <v>746</v>
      </c>
      <c r="D11">
        <f t="shared" ca="1" si="0"/>
        <v>752</v>
      </c>
      <c r="E11">
        <f t="shared" ca="1" si="0"/>
        <v>760</v>
      </c>
      <c r="F11">
        <f t="shared" ca="1" si="0"/>
        <v>770</v>
      </c>
      <c r="G11">
        <f t="shared" ca="1" si="0"/>
        <v>780</v>
      </c>
      <c r="H11">
        <f t="shared" ca="1" si="0"/>
        <v>792</v>
      </c>
      <c r="I11">
        <f t="shared" ca="1" si="0"/>
        <v>804</v>
      </c>
      <c r="J11">
        <f t="shared" ca="1" si="0"/>
        <v>822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9E97B-5A42-4869-A843-3E5365A91086}">
  <sheetPr codeName="Sheet3"/>
  <dimension ref="A1:Q128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752</v>
      </c>
      <c r="C2">
        <v>300</v>
      </c>
      <c r="D2">
        <v>0.27207774472028401</v>
      </c>
      <c r="E2">
        <v>109.60015247883899</v>
      </c>
      <c r="F2">
        <v>2.0189358020739299</v>
      </c>
      <c r="G2">
        <v>-1813.7044768114047</v>
      </c>
      <c r="H2">
        <v>-1493.2877303474809</v>
      </c>
      <c r="I2">
        <v>312.55784043320301</v>
      </c>
      <c r="J2">
        <v>157.88599744841801</v>
      </c>
      <c r="K2">
        <v>54.286100809274402</v>
      </c>
      <c r="L2">
        <v>0.89385932174374716</v>
      </c>
      <c r="M2">
        <v>-0.89372263689565667</v>
      </c>
      <c r="N2">
        <v>48.517680857313799</v>
      </c>
      <c r="O2">
        <v>48.517677122421397</v>
      </c>
      <c r="P2">
        <v>48.517673596750797</v>
      </c>
      <c r="Q2" t="s">
        <v>51</v>
      </c>
    </row>
    <row r="3" spans="1:17" x14ac:dyDescent="0.2">
      <c r="A3">
        <v>2</v>
      </c>
      <c r="B3">
        <v>750</v>
      </c>
      <c r="C3">
        <v>300</v>
      </c>
      <c r="D3">
        <v>0.270518008112205</v>
      </c>
      <c r="E3">
        <v>109.600227298535</v>
      </c>
      <c r="F3">
        <v>2.0200765637781601</v>
      </c>
      <c r="G3">
        <v>-1813.0809281957595</v>
      </c>
      <c r="H3">
        <v>-1493.6687123690915</v>
      </c>
      <c r="I3">
        <v>312.187021122104</v>
      </c>
      <c r="J3">
        <v>157.88581535290399</v>
      </c>
      <c r="K3">
        <v>54.255481828643802</v>
      </c>
      <c r="L3">
        <v>0.89072635991643756</v>
      </c>
      <c r="M3">
        <v>-0.89058907004343013</v>
      </c>
      <c r="N3">
        <v>48.320302937898298</v>
      </c>
      <c r="O3">
        <v>48.320299119960097</v>
      </c>
      <c r="P3">
        <v>48.320295582714301</v>
      </c>
      <c r="Q3" t="s">
        <v>51</v>
      </c>
    </row>
    <row r="4" spans="1:17" x14ac:dyDescent="0.2">
      <c r="A4">
        <v>3</v>
      </c>
      <c r="B4">
        <v>748</v>
      </c>
      <c r="C4">
        <v>300</v>
      </c>
      <c r="D4">
        <v>0.26895216177838999</v>
      </c>
      <c r="E4">
        <v>109.600304810661</v>
      </c>
      <c r="F4">
        <v>2.02123386463541</v>
      </c>
      <c r="G4">
        <v>-1812.4581856784621</v>
      </c>
      <c r="H4">
        <v>-1494.0606385825083</v>
      </c>
      <c r="I4">
        <v>311.80482290403899</v>
      </c>
      <c r="J4">
        <v>157.888658107033</v>
      </c>
      <c r="K4">
        <v>54.224455036246297</v>
      </c>
      <c r="L4">
        <v>0.88703360613670357</v>
      </c>
      <c r="M4">
        <v>-0.88689558648885536</v>
      </c>
      <c r="N4">
        <v>48.0923946838817</v>
      </c>
      <c r="O4">
        <v>48.092390778523402</v>
      </c>
      <c r="P4">
        <v>48.092387226636198</v>
      </c>
      <c r="Q4" t="s">
        <v>51</v>
      </c>
    </row>
    <row r="5" spans="1:17" x14ac:dyDescent="0.2">
      <c r="A5">
        <v>4</v>
      </c>
      <c r="B5">
        <v>746</v>
      </c>
      <c r="C5">
        <v>300</v>
      </c>
      <c r="D5">
        <v>0.26738016974930101</v>
      </c>
      <c r="E5">
        <v>109.600382931496</v>
      </c>
      <c r="F5">
        <v>2.0223975163192498</v>
      </c>
      <c r="G5">
        <v>-1811.8362172298557</v>
      </c>
      <c r="H5">
        <v>-1494.4518888128321</v>
      </c>
      <c r="I5">
        <v>311.42254722446501</v>
      </c>
      <c r="J5">
        <v>157.89116003388301</v>
      </c>
      <c r="K5">
        <v>54.193293873782302</v>
      </c>
      <c r="L5">
        <v>0.88337984044537354</v>
      </c>
      <c r="M5">
        <v>-0.8832411099117522</v>
      </c>
      <c r="N5">
        <v>47.866710695033099</v>
      </c>
      <c r="O5">
        <v>47.866706701797703</v>
      </c>
      <c r="P5">
        <v>47.8667031358749</v>
      </c>
      <c r="Q5" t="s">
        <v>51</v>
      </c>
    </row>
    <row r="6" spans="1:17" x14ac:dyDescent="0.2">
      <c r="A6">
        <v>5</v>
      </c>
      <c r="B6">
        <v>744</v>
      </c>
      <c r="C6">
        <v>300</v>
      </c>
      <c r="D6">
        <v>0.26580199577250502</v>
      </c>
      <c r="E6">
        <v>109.60046166677699</v>
      </c>
      <c r="F6">
        <v>2.0235674597097</v>
      </c>
      <c r="G6">
        <v>-1811.2150231065054</v>
      </c>
      <c r="H6">
        <v>-1494.8424745403454</v>
      </c>
      <c r="I6">
        <v>311.04018259393399</v>
      </c>
      <c r="J6">
        <v>157.89331840271601</v>
      </c>
      <c r="K6">
        <v>54.1620004516679</v>
      </c>
      <c r="L6">
        <v>0.87976439640987913</v>
      </c>
      <c r="M6">
        <v>-0.87962497371984505</v>
      </c>
      <c r="N6">
        <v>47.643214553585103</v>
      </c>
      <c r="O6">
        <v>47.643210472038703</v>
      </c>
      <c r="P6">
        <v>47.643206892681697</v>
      </c>
      <c r="Q6" t="s">
        <v>51</v>
      </c>
    </row>
    <row r="7" spans="1:17" x14ac:dyDescent="0.2">
      <c r="A7">
        <v>6</v>
      </c>
      <c r="B7">
        <v>742</v>
      </c>
      <c r="C7">
        <v>300</v>
      </c>
      <c r="D7">
        <v>0.264217603309855</v>
      </c>
      <c r="E7">
        <v>109.600541022296</v>
      </c>
      <c r="F7">
        <v>2.02474363822345</v>
      </c>
      <c r="G7">
        <v>-1810.5946035886791</v>
      </c>
      <c r="H7">
        <v>-1495.2324070098446</v>
      </c>
      <c r="I7">
        <v>310.65771768769002</v>
      </c>
      <c r="J7">
        <v>157.89513035393199</v>
      </c>
      <c r="K7">
        <v>54.130576806484797</v>
      </c>
      <c r="L7">
        <v>0.87618662254222246</v>
      </c>
      <c r="M7">
        <v>-0.87604652627068325</v>
      </c>
      <c r="N7">
        <v>47.421870608413698</v>
      </c>
      <c r="O7">
        <v>47.421866438146303</v>
      </c>
      <c r="P7">
        <v>47.421862845952099</v>
      </c>
      <c r="Q7" t="s">
        <v>51</v>
      </c>
    </row>
    <row r="8" spans="1:17" x14ac:dyDescent="0.2">
      <c r="A8">
        <v>7</v>
      </c>
      <c r="B8">
        <v>740</v>
      </c>
      <c r="C8">
        <v>300</v>
      </c>
      <c r="D8">
        <v>0.26262695553471999</v>
      </c>
      <c r="E8">
        <v>109.600623821413</v>
      </c>
      <c r="F8">
        <v>2.0208025981367901</v>
      </c>
      <c r="G8">
        <v>-1809.9756064662502</v>
      </c>
      <c r="H8">
        <v>-1496.2683509861836</v>
      </c>
      <c r="I8">
        <v>309.637695634848</v>
      </c>
      <c r="J8">
        <v>158.01370362499799</v>
      </c>
      <c r="K8">
        <v>54.236185128852497</v>
      </c>
      <c r="L8">
        <v>0.83917572537132323</v>
      </c>
      <c r="M8">
        <v>-0.83902223794286723</v>
      </c>
      <c r="N8">
        <v>45.506420801663197</v>
      </c>
      <c r="O8">
        <v>45.506416222953298</v>
      </c>
      <c r="P8">
        <v>45.506412297274203</v>
      </c>
      <c r="Q8" t="s">
        <v>51</v>
      </c>
    </row>
    <row r="9" spans="1:17" x14ac:dyDescent="0.2">
      <c r="A9">
        <v>8</v>
      </c>
      <c r="B9">
        <v>738</v>
      </c>
      <c r="C9">
        <v>300</v>
      </c>
      <c r="D9">
        <v>0.26103001532908299</v>
      </c>
      <c r="E9">
        <v>109.600704914465</v>
      </c>
      <c r="F9">
        <v>2.0163521821525601</v>
      </c>
      <c r="G9">
        <v>-1809.3587198963207</v>
      </c>
      <c r="H9">
        <v>-1497.3742781722656</v>
      </c>
      <c r="I9">
        <v>308.54653401663103</v>
      </c>
      <c r="J9">
        <v>158.16229578846</v>
      </c>
      <c r="K9">
        <v>54.355933395256997</v>
      </c>
      <c r="L9">
        <v>0.7984623008597308</v>
      </c>
      <c r="M9">
        <v>-0.79829409180448085</v>
      </c>
      <c r="N9">
        <v>43.393173172454503</v>
      </c>
      <c r="O9">
        <v>43.3931681465209</v>
      </c>
      <c r="P9">
        <v>43.393163853466703</v>
      </c>
      <c r="Q9" t="s">
        <v>51</v>
      </c>
    </row>
    <row r="10" spans="1:17" x14ac:dyDescent="0.2">
      <c r="A10">
        <v>9</v>
      </c>
      <c r="B10">
        <v>736</v>
      </c>
      <c r="C10">
        <v>300</v>
      </c>
      <c r="D10">
        <v>0.25942674528068399</v>
      </c>
      <c r="E10">
        <v>109.600783027033</v>
      </c>
      <c r="F10">
        <v>2.0114774186664102</v>
      </c>
      <c r="G10">
        <v>-1808.7440279376374</v>
      </c>
      <c r="H10">
        <v>-1498.5471615410511</v>
      </c>
      <c r="I10">
        <v>307.38689119371099</v>
      </c>
      <c r="J10">
        <v>158.340441691953</v>
      </c>
      <c r="K10">
        <v>54.487702427053698</v>
      </c>
      <c r="L10">
        <v>0.75409527183564939</v>
      </c>
      <c r="M10">
        <v>-0.75391113980660007</v>
      </c>
      <c r="N10">
        <v>41.080143698208701</v>
      </c>
      <c r="O10">
        <v>41.080138189250398</v>
      </c>
      <c r="P10">
        <v>41.080133498073799</v>
      </c>
      <c r="Q10" t="s">
        <v>51</v>
      </c>
    </row>
    <row r="11" spans="1:17" x14ac:dyDescent="0.2">
      <c r="A11">
        <v>10</v>
      </c>
      <c r="B11">
        <v>734</v>
      </c>
      <c r="C11">
        <v>300</v>
      </c>
      <c r="D11">
        <v>0.25781710768008598</v>
      </c>
      <c r="E11">
        <v>109.606360150664</v>
      </c>
      <c r="F11">
        <v>1.95280745522793</v>
      </c>
      <c r="G11">
        <v>-1808.2296524427345</v>
      </c>
      <c r="H11">
        <v>-1510.8282311495145</v>
      </c>
      <c r="I11">
        <v>295.29528592045602</v>
      </c>
      <c r="J11">
        <v>159.68554063289099</v>
      </c>
      <c r="K11">
        <v>56.127581783464201</v>
      </c>
      <c r="L11">
        <v>0.1726621508809778</v>
      </c>
      <c r="M11">
        <v>-0.17229806022358177</v>
      </c>
      <c r="N11">
        <v>9.6732033630720498</v>
      </c>
      <c r="O11">
        <v>9.6731927534380997</v>
      </c>
      <c r="P11">
        <v>9.6731834061238899</v>
      </c>
      <c r="Q11" t="s">
        <v>51</v>
      </c>
    </row>
    <row r="12" spans="1:17" x14ac:dyDescent="0.2">
      <c r="A12">
        <v>11</v>
      </c>
      <c r="B12">
        <v>732</v>
      </c>
      <c r="C12">
        <v>300</v>
      </c>
      <c r="D12">
        <v>0.256201064517732</v>
      </c>
      <c r="E12">
        <v>109.607195185523</v>
      </c>
      <c r="F12">
        <v>1.9449502669613701</v>
      </c>
      <c r="G12">
        <v>-1807.6558144355427</v>
      </c>
      <c r="H12">
        <v>-1513.3974855567697</v>
      </c>
      <c r="I12">
        <v>292.75629981243299</v>
      </c>
      <c r="J12">
        <v>160.043543659926</v>
      </c>
      <c r="K12">
        <v>56.354754693427203</v>
      </c>
      <c r="L12">
        <v>7.1323162866047521E-2</v>
      </c>
      <c r="M12">
        <v>-7.0930175643012724E-2</v>
      </c>
      <c r="N12">
        <v>3.9999822430083798</v>
      </c>
      <c r="O12">
        <v>3.9999706548746699</v>
      </c>
      <c r="P12">
        <v>3.9999605499628799</v>
      </c>
      <c r="Q12" t="s">
        <v>51</v>
      </c>
    </row>
    <row r="13" spans="1:17" x14ac:dyDescent="0.2">
      <c r="A13">
        <v>12</v>
      </c>
      <c r="B13">
        <v>752</v>
      </c>
      <c r="C13">
        <v>275</v>
      </c>
      <c r="D13">
        <v>0.29890308735307097</v>
      </c>
      <c r="E13">
        <v>109.60039771378599</v>
      </c>
      <c r="F13">
        <v>1.9881576851723399</v>
      </c>
      <c r="G13">
        <v>-1815.0758811593164</v>
      </c>
      <c r="H13">
        <v>-1494.2711652811547</v>
      </c>
      <c r="I13">
        <v>312.936545107516</v>
      </c>
      <c r="J13">
        <v>158.74227566092901</v>
      </c>
      <c r="K13">
        <v>55.126612205452702</v>
      </c>
      <c r="L13">
        <v>0.8759541677657231</v>
      </c>
      <c r="M13">
        <v>-0.87578090057861502</v>
      </c>
      <c r="N13">
        <v>48.280157464428903</v>
      </c>
      <c r="O13">
        <v>48.280152960068101</v>
      </c>
      <c r="P13">
        <v>48.2801478606481</v>
      </c>
      <c r="Q13" t="s">
        <v>51</v>
      </c>
    </row>
    <row r="14" spans="1:17" x14ac:dyDescent="0.2">
      <c r="A14">
        <v>13</v>
      </c>
      <c r="B14">
        <v>750</v>
      </c>
      <c r="C14">
        <v>275</v>
      </c>
      <c r="D14">
        <v>0.29739578751893703</v>
      </c>
      <c r="E14">
        <v>109.600469458867</v>
      </c>
      <c r="F14">
        <v>1.9893267635160501</v>
      </c>
      <c r="G14">
        <v>-1814.4514968449125</v>
      </c>
      <c r="H14">
        <v>-1494.6302645652734</v>
      </c>
      <c r="I14">
        <v>312.58703319776299</v>
      </c>
      <c r="J14">
        <v>158.739372087514</v>
      </c>
      <c r="K14">
        <v>55.0942517181809</v>
      </c>
      <c r="L14">
        <v>0.87405097161402467</v>
      </c>
      <c r="M14">
        <v>-0.8738773643570007</v>
      </c>
      <c r="N14">
        <v>48.1469394655795</v>
      </c>
      <c r="O14">
        <v>48.146934854977602</v>
      </c>
      <c r="P14">
        <v>48.146929750222</v>
      </c>
      <c r="Q14" t="s">
        <v>51</v>
      </c>
    </row>
    <row r="15" spans="1:17" x14ac:dyDescent="0.2">
      <c r="A15">
        <v>14</v>
      </c>
      <c r="B15">
        <v>748</v>
      </c>
      <c r="C15">
        <v>275</v>
      </c>
      <c r="D15">
        <v>0.29588258336189799</v>
      </c>
      <c r="E15">
        <v>109.60054779072399</v>
      </c>
      <c r="F15">
        <v>1.9905245346284299</v>
      </c>
      <c r="G15">
        <v>-1813.8279667918648</v>
      </c>
      <c r="H15">
        <v>-1495.0204878336535</v>
      </c>
      <c r="I15">
        <v>312.20651451836397</v>
      </c>
      <c r="J15">
        <v>158.74527938901701</v>
      </c>
      <c r="K15">
        <v>55.0611388526208</v>
      </c>
      <c r="L15">
        <v>0.87053874973664724</v>
      </c>
      <c r="M15">
        <v>-0.87036439116983588</v>
      </c>
      <c r="N15">
        <v>47.924574342065</v>
      </c>
      <c r="O15">
        <v>47.924569613278599</v>
      </c>
      <c r="P15">
        <v>47.924564491355099</v>
      </c>
      <c r="Q15" t="s">
        <v>51</v>
      </c>
    </row>
    <row r="16" spans="1:17" x14ac:dyDescent="0.2">
      <c r="A16">
        <v>15</v>
      </c>
      <c r="B16">
        <v>746</v>
      </c>
      <c r="C16">
        <v>275</v>
      </c>
      <c r="D16">
        <v>0.29436344012167098</v>
      </c>
      <c r="E16">
        <v>109.600628715098</v>
      </c>
      <c r="F16">
        <v>1.9884262162155</v>
      </c>
      <c r="G16">
        <v>-1813.2055107853821</v>
      </c>
      <c r="H16">
        <v>-1495.8418692090124</v>
      </c>
      <c r="I16">
        <v>311.40260812346099</v>
      </c>
      <c r="J16">
        <v>158.80461218789301</v>
      </c>
      <c r="K16">
        <v>55.119283693461199</v>
      </c>
      <c r="L16">
        <v>0.84513880779327122</v>
      </c>
      <c r="M16">
        <v>-0.84495490582860244</v>
      </c>
      <c r="N16">
        <v>46.574695770839398</v>
      </c>
      <c r="O16">
        <v>46.5746907131496</v>
      </c>
      <c r="P16">
        <v>46.574685318141903</v>
      </c>
      <c r="Q16" t="s">
        <v>51</v>
      </c>
    </row>
    <row r="17" spans="1:17" x14ac:dyDescent="0.2">
      <c r="A17">
        <v>16</v>
      </c>
      <c r="B17">
        <v>744</v>
      </c>
      <c r="C17">
        <v>275</v>
      </c>
      <c r="D17">
        <v>0.29283832276459099</v>
      </c>
      <c r="E17">
        <v>109.60070952859</v>
      </c>
      <c r="F17">
        <v>1.98437356926002</v>
      </c>
      <c r="G17">
        <v>-1812.5850640262954</v>
      </c>
      <c r="H17">
        <v>-1496.922906173344</v>
      </c>
      <c r="I17">
        <v>310.34230421185401</v>
      </c>
      <c r="J17">
        <v>158.90900557247801</v>
      </c>
      <c r="K17">
        <v>55.231893443058297</v>
      </c>
      <c r="L17">
        <v>0.80651386427945493</v>
      </c>
      <c r="M17">
        <v>-0.80631515288830469</v>
      </c>
      <c r="N17">
        <v>44.535805818284402</v>
      </c>
      <c r="O17">
        <v>44.535800297498</v>
      </c>
      <c r="P17">
        <v>44.535794475560202</v>
      </c>
      <c r="Q17" t="s">
        <v>51</v>
      </c>
    </row>
    <row r="18" spans="1:17" x14ac:dyDescent="0.2">
      <c r="A18">
        <v>17</v>
      </c>
      <c r="B18">
        <v>742</v>
      </c>
      <c r="C18">
        <v>275</v>
      </c>
      <c r="D18">
        <v>0.291307195980888</v>
      </c>
      <c r="E18">
        <v>109.600788194169</v>
      </c>
      <c r="F18">
        <v>1.98010212305555</v>
      </c>
      <c r="G18">
        <v>-1811.9667381709451</v>
      </c>
      <c r="H18">
        <v>-1498.0413651597098</v>
      </c>
      <c r="I18">
        <v>309.24305800099103</v>
      </c>
      <c r="J18">
        <v>159.033492186632</v>
      </c>
      <c r="K18">
        <v>55.351078572170202</v>
      </c>
      <c r="L18">
        <v>0.76587952455469022</v>
      </c>
      <c r="M18">
        <v>-0.76566531333326504</v>
      </c>
      <c r="N18">
        <v>42.382005433903799</v>
      </c>
      <c r="O18">
        <v>42.381999422981998</v>
      </c>
      <c r="P18">
        <v>42.381993153354102</v>
      </c>
      <c r="Q18" t="s">
        <v>51</v>
      </c>
    </row>
    <row r="19" spans="1:17" x14ac:dyDescent="0.2">
      <c r="A19">
        <v>18</v>
      </c>
      <c r="B19">
        <v>740</v>
      </c>
      <c r="C19">
        <v>275</v>
      </c>
      <c r="D19">
        <v>0.28977002418201098</v>
      </c>
      <c r="E19">
        <v>109.600863455154</v>
      </c>
      <c r="F19">
        <v>1.9754315452446001</v>
      </c>
      <c r="G19">
        <v>-1811.3506176998935</v>
      </c>
      <c r="H19">
        <v>-1499.2292373146117</v>
      </c>
      <c r="I19">
        <v>308.07315373254801</v>
      </c>
      <c r="J19">
        <v>159.18136178530901</v>
      </c>
      <c r="K19">
        <v>55.481985047263898</v>
      </c>
      <c r="L19">
        <v>0.72147715010253033</v>
      </c>
      <c r="M19">
        <v>-0.72124616990526669</v>
      </c>
      <c r="N19">
        <v>40.017894129596002</v>
      </c>
      <c r="O19">
        <v>40.0178875865926</v>
      </c>
      <c r="P19">
        <v>40.017880831494203</v>
      </c>
      <c r="Q19" t="s">
        <v>51</v>
      </c>
    </row>
    <row r="20" spans="1:17" x14ac:dyDescent="0.2">
      <c r="A20">
        <v>19</v>
      </c>
      <c r="B20">
        <v>738</v>
      </c>
      <c r="C20">
        <v>275</v>
      </c>
      <c r="D20">
        <v>0.28822677149780002</v>
      </c>
      <c r="E20">
        <v>109.606987634508</v>
      </c>
      <c r="F20">
        <v>1.9201951774397099</v>
      </c>
      <c r="G20">
        <v>-1810.8414037824411</v>
      </c>
      <c r="H20">
        <v>-1510.0413704527771</v>
      </c>
      <c r="I20">
        <v>297.48829926357899</v>
      </c>
      <c r="J20">
        <v>159.74731845334301</v>
      </c>
      <c r="K20">
        <v>57.081170144720801</v>
      </c>
      <c r="L20">
        <v>0.20358478044755007</v>
      </c>
      <c r="M20">
        <v>-0.20317619531855033</v>
      </c>
      <c r="N20">
        <v>11.6006355550007</v>
      </c>
      <c r="O20">
        <v>11.60062414283</v>
      </c>
      <c r="P20">
        <v>11.6006120699594</v>
      </c>
      <c r="Q20" t="s">
        <v>51</v>
      </c>
    </row>
    <row r="21" spans="1:17" x14ac:dyDescent="0.2">
      <c r="A21">
        <v>20</v>
      </c>
      <c r="B21">
        <v>736</v>
      </c>
      <c r="C21">
        <v>275</v>
      </c>
      <c r="D21">
        <v>0.28667740177377199</v>
      </c>
      <c r="E21">
        <v>109.607855686203</v>
      </c>
      <c r="F21">
        <v>1.90788061260704</v>
      </c>
      <c r="G21">
        <v>-1810.2643555367808</v>
      </c>
      <c r="H21">
        <v>-1513.0388637461028</v>
      </c>
      <c r="I21">
        <v>294.53633665759799</v>
      </c>
      <c r="J21">
        <v>159.97081932910899</v>
      </c>
      <c r="K21">
        <v>57.450060010007</v>
      </c>
      <c r="L21">
        <v>7.6571016951662629E-2</v>
      </c>
      <c r="M21">
        <v>-7.6119274093184197E-2</v>
      </c>
      <c r="N21">
        <v>4.3764890741012099</v>
      </c>
      <c r="O21">
        <v>4.3764762852734798</v>
      </c>
      <c r="P21">
        <v>4.3764628900150697</v>
      </c>
      <c r="Q21" t="s">
        <v>51</v>
      </c>
    </row>
    <row r="22" spans="1:17" x14ac:dyDescent="0.2">
      <c r="A22">
        <v>21</v>
      </c>
      <c r="B22">
        <v>754</v>
      </c>
      <c r="C22">
        <v>250</v>
      </c>
      <c r="D22">
        <v>0.32717762741566497</v>
      </c>
      <c r="E22">
        <v>109.60058072541</v>
      </c>
      <c r="F22">
        <v>1.95280283000802</v>
      </c>
      <c r="G22">
        <v>-1817.095748152889</v>
      </c>
      <c r="H22">
        <v>-1494.9183355679729</v>
      </c>
      <c r="I22">
        <v>313.663871159351</v>
      </c>
      <c r="J22">
        <v>159.61933906956099</v>
      </c>
      <c r="K22">
        <v>56.124755167914202</v>
      </c>
      <c r="L22">
        <v>0.8566109163714144</v>
      </c>
      <c r="M22">
        <v>-0.85639190258167508</v>
      </c>
      <c r="N22">
        <v>48.0666274467143</v>
      </c>
      <c r="O22">
        <v>48.066622551780803</v>
      </c>
      <c r="P22">
        <v>48.066615113930801</v>
      </c>
      <c r="Q22" t="s">
        <v>51</v>
      </c>
    </row>
    <row r="23" spans="1:17" x14ac:dyDescent="0.2">
      <c r="A23">
        <v>22</v>
      </c>
      <c r="B23">
        <v>752</v>
      </c>
      <c r="C23">
        <v>250</v>
      </c>
      <c r="D23">
        <v>0.32572842998585799</v>
      </c>
      <c r="E23">
        <v>109.600637242319</v>
      </c>
      <c r="F23">
        <v>1.9520810145003</v>
      </c>
      <c r="G23">
        <v>-1816.4697656650703</v>
      </c>
      <c r="H23">
        <v>-1495.4475525425953</v>
      </c>
      <c r="I23">
        <v>313.14900243567899</v>
      </c>
      <c r="J23">
        <v>159.61570179728699</v>
      </c>
      <c r="K23">
        <v>56.145537212950003</v>
      </c>
      <c r="L23">
        <v>0.84651550381765783</v>
      </c>
      <c r="M23">
        <v>-0.84629195173265392</v>
      </c>
      <c r="N23">
        <v>47.517387857676397</v>
      </c>
      <c r="O23">
        <v>47.517382730941698</v>
      </c>
      <c r="P23">
        <v>47.517375142792503</v>
      </c>
      <c r="Q23" t="s">
        <v>51</v>
      </c>
    </row>
    <row r="24" spans="1:17" x14ac:dyDescent="0.2">
      <c r="A24">
        <v>23</v>
      </c>
      <c r="B24">
        <v>750</v>
      </c>
      <c r="C24">
        <v>250</v>
      </c>
      <c r="D24">
        <v>0.324273566925672</v>
      </c>
      <c r="E24">
        <v>109.600717422749</v>
      </c>
      <c r="F24">
        <v>1.9482443815641799</v>
      </c>
      <c r="G24">
        <v>-1815.8457970808279</v>
      </c>
      <c r="H24">
        <v>-1496.5120307848354</v>
      </c>
      <c r="I24">
        <v>312.11105649732298</v>
      </c>
      <c r="J24">
        <v>159.68555252017401</v>
      </c>
      <c r="K24">
        <v>56.256144485711197</v>
      </c>
      <c r="L24">
        <v>0.80941710982400628</v>
      </c>
      <c r="M24">
        <v>-0.80917827829920352</v>
      </c>
      <c r="N24">
        <v>45.523242960797802</v>
      </c>
      <c r="O24">
        <v>45.523237369874202</v>
      </c>
      <c r="P24">
        <v>45.523229265883998</v>
      </c>
      <c r="Q24" t="s">
        <v>51</v>
      </c>
    </row>
    <row r="25" spans="1:17" x14ac:dyDescent="0.2">
      <c r="A25">
        <v>24</v>
      </c>
      <c r="B25">
        <v>748</v>
      </c>
      <c r="C25">
        <v>250</v>
      </c>
      <c r="D25">
        <v>0.32281300494540499</v>
      </c>
      <c r="E25">
        <v>109.600795870826</v>
      </c>
      <c r="F25">
        <v>1.94429383040072</v>
      </c>
      <c r="G25">
        <v>-1815.2238978570613</v>
      </c>
      <c r="H25">
        <v>-1497.5988114215115</v>
      </c>
      <c r="I25">
        <v>311.04923662302502</v>
      </c>
      <c r="J25">
        <v>159.77066952477699</v>
      </c>
      <c r="K25">
        <v>56.3704899728234</v>
      </c>
      <c r="L25">
        <v>0.77114014660613628</v>
      </c>
      <c r="M25">
        <v>-0.77088561313438375</v>
      </c>
      <c r="N25">
        <v>43.457316686601203</v>
      </c>
      <c r="O25">
        <v>43.457310606855003</v>
      </c>
      <c r="P25">
        <v>43.457301971488597</v>
      </c>
      <c r="Q25" t="s">
        <v>51</v>
      </c>
    </row>
    <row r="26" spans="1:17" x14ac:dyDescent="0.2">
      <c r="A26">
        <v>25</v>
      </c>
      <c r="B26">
        <v>746</v>
      </c>
      <c r="C26">
        <v>250</v>
      </c>
      <c r="D26">
        <v>0.32134671049404001</v>
      </c>
      <c r="E26">
        <v>109.600871911224</v>
      </c>
      <c r="F26">
        <v>1.94014416299119</v>
      </c>
      <c r="G26">
        <v>-1814.6041185100664</v>
      </c>
      <c r="H26">
        <v>-1498.7236446276827</v>
      </c>
      <c r="I26">
        <v>309.94800096890202</v>
      </c>
      <c r="J26">
        <v>159.871808268309</v>
      </c>
      <c r="K26">
        <v>56.4910968998553</v>
      </c>
      <c r="L26">
        <v>0.73081988889311911</v>
      </c>
      <c r="M26">
        <v>-0.73054893337380067</v>
      </c>
      <c r="N26">
        <v>41.271757105898402</v>
      </c>
      <c r="O26">
        <v>41.271750505752003</v>
      </c>
      <c r="P26">
        <v>41.271741313257799</v>
      </c>
      <c r="Q26" t="s">
        <v>51</v>
      </c>
    </row>
    <row r="27" spans="1:17" x14ac:dyDescent="0.2">
      <c r="A27">
        <v>26</v>
      </c>
      <c r="B27">
        <v>744</v>
      </c>
      <c r="C27">
        <v>250</v>
      </c>
      <c r="D27">
        <v>0.31987464975667701</v>
      </c>
      <c r="E27">
        <v>109.60094402737499</v>
      </c>
      <c r="F27">
        <v>1.93559481065401</v>
      </c>
      <c r="G27">
        <v>-1813.9865431108979</v>
      </c>
      <c r="H27">
        <v>-1499.9223665834584</v>
      </c>
      <c r="I27">
        <v>308.771975516807</v>
      </c>
      <c r="J27">
        <v>159.990681567753</v>
      </c>
      <c r="K27">
        <v>56.623908797494003</v>
      </c>
      <c r="L27">
        <v>0.68650103116448646</v>
      </c>
      <c r="M27">
        <v>-0.68621224585043639</v>
      </c>
      <c r="N27">
        <v>38.858406948435899</v>
      </c>
      <c r="O27">
        <v>38.858399779813602</v>
      </c>
      <c r="P27">
        <v>38.858389980738501</v>
      </c>
      <c r="Q27" t="s">
        <v>51</v>
      </c>
    </row>
    <row r="28" spans="1:17" x14ac:dyDescent="0.2">
      <c r="A28">
        <v>27</v>
      </c>
      <c r="B28">
        <v>742</v>
      </c>
      <c r="C28">
        <v>250</v>
      </c>
      <c r="D28">
        <v>0.318396788651924</v>
      </c>
      <c r="E28">
        <v>109.60795436974701</v>
      </c>
      <c r="F28">
        <v>1.8834197741687</v>
      </c>
      <c r="G28">
        <v>-1813.4900250522969</v>
      </c>
      <c r="H28">
        <v>-1510.240509254013</v>
      </c>
      <c r="I28">
        <v>298.72909607782498</v>
      </c>
      <c r="J28">
        <v>160.166633362135</v>
      </c>
      <c r="K28">
        <v>58.196242745792198</v>
      </c>
      <c r="L28">
        <v>0.19973575550484277</v>
      </c>
      <c r="M28">
        <v>-0.19926805043585008</v>
      </c>
      <c r="N28">
        <v>11.600581100822099</v>
      </c>
      <c r="O28">
        <v>11.6005694361852</v>
      </c>
      <c r="P28">
        <v>11.6005533566971</v>
      </c>
      <c r="Q28" t="s">
        <v>51</v>
      </c>
    </row>
    <row r="29" spans="1:17" x14ac:dyDescent="0.2">
      <c r="A29">
        <v>28</v>
      </c>
      <c r="B29">
        <v>740</v>
      </c>
      <c r="C29">
        <v>250</v>
      </c>
      <c r="D29">
        <v>0.31691309282929903</v>
      </c>
      <c r="E29">
        <v>109.60857934384801</v>
      </c>
      <c r="F29">
        <v>1.8716224642275701</v>
      </c>
      <c r="G29">
        <v>-1812.9064880744659</v>
      </c>
      <c r="H29">
        <v>-1513.1974649583995</v>
      </c>
      <c r="I29">
        <v>295.82480109191403</v>
      </c>
      <c r="J29">
        <v>160.27320122020799</v>
      </c>
      <c r="K29">
        <v>58.5634023093886</v>
      </c>
      <c r="L29">
        <v>7.5938885779363308E-2</v>
      </c>
      <c r="M29">
        <v>-7.5426281616711222E-2</v>
      </c>
      <c r="N29">
        <v>4.4215303318221002</v>
      </c>
      <c r="O29">
        <v>4.4215172653663499</v>
      </c>
      <c r="P29">
        <v>4.4214995717502603</v>
      </c>
      <c r="Q29" t="s">
        <v>51</v>
      </c>
    </row>
    <row r="30" spans="1:17" x14ac:dyDescent="0.2">
      <c r="A30">
        <v>29</v>
      </c>
      <c r="B30">
        <v>762</v>
      </c>
      <c r="C30">
        <v>225</v>
      </c>
      <c r="D30">
        <v>0.35948461575617302</v>
      </c>
      <c r="E30">
        <v>109.600575168189</v>
      </c>
      <c r="F30">
        <v>1.9081982116409799</v>
      </c>
      <c r="G30">
        <v>-1821.030754465163</v>
      </c>
      <c r="H30">
        <v>-1494.5676396559845</v>
      </c>
      <c r="I30">
        <v>315.380176150571</v>
      </c>
      <c r="J30">
        <v>160.51385083127801</v>
      </c>
      <c r="K30">
        <v>57.436682677705797</v>
      </c>
      <c r="L30">
        <v>0.83419333750567048</v>
      </c>
      <c r="M30">
        <v>-0.8339146480070615</v>
      </c>
      <c r="N30">
        <v>47.899949411409203</v>
      </c>
      <c r="O30">
        <v>47.8999456397272</v>
      </c>
      <c r="P30">
        <v>47.899934606104701</v>
      </c>
      <c r="Q30" t="s">
        <v>51</v>
      </c>
    </row>
    <row r="31" spans="1:17" x14ac:dyDescent="0.2">
      <c r="A31">
        <v>30</v>
      </c>
      <c r="B31">
        <v>760</v>
      </c>
      <c r="C31">
        <v>225</v>
      </c>
      <c r="D31">
        <v>0.35810918066108399</v>
      </c>
      <c r="E31">
        <v>109.600625254082</v>
      </c>
      <c r="F31">
        <v>1.9077416732246399</v>
      </c>
      <c r="G31">
        <v>-1820.4012619079895</v>
      </c>
      <c r="H31">
        <v>-1495.0557461389112</v>
      </c>
      <c r="I31">
        <v>314.90899880490599</v>
      </c>
      <c r="J31">
        <v>160.49605918998799</v>
      </c>
      <c r="K31">
        <v>57.450454006608197</v>
      </c>
      <c r="L31">
        <v>0.82656832349313525</v>
      </c>
      <c r="M31">
        <v>-0.82628568872722941</v>
      </c>
      <c r="N31">
        <v>47.473171980815103</v>
      </c>
      <c r="O31">
        <v>47.473167960429301</v>
      </c>
      <c r="P31">
        <v>47.473156768169098</v>
      </c>
      <c r="Q31" t="s">
        <v>51</v>
      </c>
    </row>
    <row r="32" spans="1:17" x14ac:dyDescent="0.2">
      <c r="A32">
        <v>31</v>
      </c>
      <c r="B32">
        <v>758</v>
      </c>
      <c r="C32">
        <v>225</v>
      </c>
      <c r="D32">
        <v>0.356728410027642</v>
      </c>
      <c r="E32">
        <v>109.600674439285</v>
      </c>
      <c r="F32">
        <v>1.90717543841849</v>
      </c>
      <c r="G32">
        <v>-1819.7727187184014</v>
      </c>
      <c r="H32">
        <v>-1495.555255937405</v>
      </c>
      <c r="I32">
        <v>314.42585843077899</v>
      </c>
      <c r="J32">
        <v>160.48108482760699</v>
      </c>
      <c r="K32">
        <v>57.467536667822301</v>
      </c>
      <c r="L32">
        <v>0.81838134653554939</v>
      </c>
      <c r="M32">
        <v>-0.81809448360827419</v>
      </c>
      <c r="N32">
        <v>47.016586842911103</v>
      </c>
      <c r="O32">
        <v>47.016582563849902</v>
      </c>
      <c r="P32">
        <v>47.016571201630804</v>
      </c>
      <c r="Q32" t="s">
        <v>51</v>
      </c>
    </row>
    <row r="33" spans="1:17" x14ac:dyDescent="0.2">
      <c r="A33">
        <v>32</v>
      </c>
      <c r="B33">
        <v>756</v>
      </c>
      <c r="C33">
        <v>225</v>
      </c>
      <c r="D33">
        <v>0.35534227274935698</v>
      </c>
      <c r="E33">
        <v>109.600730621805</v>
      </c>
      <c r="F33">
        <v>1.9058489285482301</v>
      </c>
      <c r="G33">
        <v>-1819.1452876762746</v>
      </c>
      <c r="H33">
        <v>-1496.1881300474718</v>
      </c>
      <c r="I33">
        <v>313.81236138888301</v>
      </c>
      <c r="J33">
        <v>160.483482946278</v>
      </c>
      <c r="K33">
        <v>57.507564728801903</v>
      </c>
      <c r="L33">
        <v>0.80350628620673681</v>
      </c>
      <c r="M33">
        <v>-0.80321233800108538</v>
      </c>
      <c r="N33">
        <v>46.1935530735173</v>
      </c>
      <c r="O33">
        <v>46.193548488780799</v>
      </c>
      <c r="P33">
        <v>46.1935368418957</v>
      </c>
      <c r="Q33" t="s">
        <v>51</v>
      </c>
    </row>
    <row r="34" spans="1:17" x14ac:dyDescent="0.2">
      <c r="A34">
        <v>33</v>
      </c>
      <c r="B34">
        <v>754</v>
      </c>
      <c r="C34">
        <v>225</v>
      </c>
      <c r="D34">
        <v>0.35395073747748601</v>
      </c>
      <c r="E34">
        <v>109.600808235725</v>
      </c>
      <c r="F34">
        <v>1.90203506395177</v>
      </c>
      <c r="G34">
        <v>-1818.5199485694825</v>
      </c>
      <c r="H34">
        <v>-1497.2533016199479</v>
      </c>
      <c r="I34">
        <v>312.77773000041498</v>
      </c>
      <c r="J34">
        <v>160.53783065838499</v>
      </c>
      <c r="K34">
        <v>57.622916797344701</v>
      </c>
      <c r="L34">
        <v>0.76697387419978835</v>
      </c>
      <c r="M34">
        <v>-0.76666357866900237</v>
      </c>
      <c r="N34">
        <v>44.180303734880603</v>
      </c>
      <c r="O34">
        <v>44.180298697496603</v>
      </c>
      <c r="P34">
        <v>44.180286392382698</v>
      </c>
      <c r="Q34" t="s">
        <v>51</v>
      </c>
    </row>
    <row r="35" spans="1:17" x14ac:dyDescent="0.2">
      <c r="A35">
        <v>34</v>
      </c>
      <c r="B35">
        <v>752</v>
      </c>
      <c r="C35">
        <v>225</v>
      </c>
      <c r="D35">
        <v>0.35255377261864101</v>
      </c>
      <c r="E35">
        <v>109.600883897841</v>
      </c>
      <c r="F35">
        <v>1.89811966728147</v>
      </c>
      <c r="G35">
        <v>-1817.8966690445263</v>
      </c>
      <c r="H35">
        <v>-1498.3415802488316</v>
      </c>
      <c r="I35">
        <v>311.71853595490501</v>
      </c>
      <c r="J35">
        <v>160.604477292219</v>
      </c>
      <c r="K35">
        <v>57.741819858393598</v>
      </c>
      <c r="L35">
        <v>0.72921207565410173</v>
      </c>
      <c r="M35">
        <v>-0.72888498068419749</v>
      </c>
      <c r="N35">
        <v>42.090205454636298</v>
      </c>
      <c r="O35">
        <v>42.090199935470302</v>
      </c>
      <c r="P35">
        <v>42.090186951703203</v>
      </c>
      <c r="Q35" t="s">
        <v>51</v>
      </c>
    </row>
    <row r="36" spans="1:17" x14ac:dyDescent="0.2">
      <c r="A36">
        <v>35</v>
      </c>
      <c r="B36">
        <v>750</v>
      </c>
      <c r="C36">
        <v>225</v>
      </c>
      <c r="D36">
        <v>0.35115134633240402</v>
      </c>
      <c r="E36">
        <v>109.600956752139</v>
      </c>
      <c r="F36">
        <v>1.8939979131328899</v>
      </c>
      <c r="G36">
        <v>-1817.2755003514301</v>
      </c>
      <c r="H36">
        <v>-1499.4716541558439</v>
      </c>
      <c r="I36">
        <v>310.61642369696</v>
      </c>
      <c r="J36">
        <v>160.68330095304799</v>
      </c>
      <c r="K36">
        <v>57.8675171668201</v>
      </c>
      <c r="L36">
        <v>0.68920202065056457</v>
      </c>
      <c r="M36">
        <v>-0.68885729179583277</v>
      </c>
      <c r="N36">
        <v>39.865676601618098</v>
      </c>
      <c r="O36">
        <v>39.865670564494501</v>
      </c>
      <c r="P36">
        <v>39.865656866060696</v>
      </c>
      <c r="Q36" t="s">
        <v>51</v>
      </c>
    </row>
    <row r="37" spans="1:17" x14ac:dyDescent="0.2">
      <c r="A37">
        <v>36</v>
      </c>
      <c r="B37">
        <v>748</v>
      </c>
      <c r="C37">
        <v>225</v>
      </c>
      <c r="D37">
        <v>0.34974342652891699</v>
      </c>
      <c r="E37">
        <v>109.601024735384</v>
      </c>
      <c r="F37">
        <v>1.88940848379476</v>
      </c>
      <c r="G37">
        <v>-1816.6565319397666</v>
      </c>
      <c r="H37">
        <v>-1500.6888329125461</v>
      </c>
      <c r="I37">
        <v>309.42686680532302</v>
      </c>
      <c r="J37">
        <v>160.77432143547799</v>
      </c>
      <c r="K37">
        <v>58.008115066392399</v>
      </c>
      <c r="L37">
        <v>0.64449768844807231</v>
      </c>
      <c r="M37">
        <v>-0.64413355379836146</v>
      </c>
      <c r="N37">
        <v>37.368360183016101</v>
      </c>
      <c r="O37">
        <v>37.368353574270998</v>
      </c>
      <c r="P37">
        <v>37.3683390867361</v>
      </c>
      <c r="Q37" t="s">
        <v>51</v>
      </c>
    </row>
    <row r="38" spans="1:17" x14ac:dyDescent="0.2">
      <c r="A38">
        <v>37</v>
      </c>
      <c r="B38">
        <v>746</v>
      </c>
      <c r="C38">
        <v>225</v>
      </c>
      <c r="D38">
        <v>0.34832998086640898</v>
      </c>
      <c r="E38">
        <v>109.60895661753101</v>
      </c>
      <c r="F38">
        <v>1.83645105621566</v>
      </c>
      <c r="G38">
        <v>-1816.1754283314533</v>
      </c>
      <c r="H38">
        <v>-1511.0014390023496</v>
      </c>
      <c r="I38">
        <v>299.44512468178402</v>
      </c>
      <c r="J38">
        <v>160.583362363351</v>
      </c>
      <c r="K38">
        <v>59.685204376424103</v>
      </c>
      <c r="L38">
        <v>0.16615222947588137</v>
      </c>
      <c r="M38">
        <v>-0.16559715470480485</v>
      </c>
      <c r="N38">
        <v>9.8889568764146194</v>
      </c>
      <c r="O38">
        <v>9.8889465365600895</v>
      </c>
      <c r="P38">
        <v>9.8889240637271101</v>
      </c>
      <c r="Q38" t="s">
        <v>51</v>
      </c>
    </row>
    <row r="39" spans="1:17" x14ac:dyDescent="0.2">
      <c r="A39">
        <v>38</v>
      </c>
      <c r="B39">
        <v>744</v>
      </c>
      <c r="C39">
        <v>225</v>
      </c>
      <c r="D39">
        <v>0.34691097674876298</v>
      </c>
      <c r="E39">
        <v>109.60926932217799</v>
      </c>
      <c r="F39">
        <v>1.82766842751546</v>
      </c>
      <c r="G39">
        <v>-1815.5845412547067</v>
      </c>
      <c r="H39">
        <v>-1513.3735706524951</v>
      </c>
      <c r="I39">
        <v>297.12125178229002</v>
      </c>
      <c r="J39">
        <v>160.60427357653299</v>
      </c>
      <c r="K39">
        <v>59.972185146942202</v>
      </c>
      <c r="L39">
        <v>7.1247383853738494E-2</v>
      </c>
      <c r="M39">
        <v>-7.065508210730484E-2</v>
      </c>
      <c r="N39">
        <v>4.2429470138484797</v>
      </c>
      <c r="O39">
        <v>4.2429355625534297</v>
      </c>
      <c r="P39">
        <v>4.24291149304476</v>
      </c>
      <c r="Q39" t="s">
        <v>51</v>
      </c>
    </row>
    <row r="40" spans="1:17" x14ac:dyDescent="0.2">
      <c r="A40">
        <v>39</v>
      </c>
      <c r="B40">
        <v>772</v>
      </c>
      <c r="C40">
        <v>200</v>
      </c>
      <c r="D40">
        <v>0.39259484284552498</v>
      </c>
      <c r="E40">
        <v>109.60051490786</v>
      </c>
      <c r="F40">
        <v>1.8533347869018399</v>
      </c>
      <c r="G40">
        <v>-1825.6502896372247</v>
      </c>
      <c r="H40">
        <v>-1493.834976722696</v>
      </c>
      <c r="I40">
        <v>317.48383390041101</v>
      </c>
      <c r="J40">
        <v>161.350258490958</v>
      </c>
      <c r="K40">
        <v>59.136922094402301</v>
      </c>
      <c r="L40">
        <v>0.80745162446957852</v>
      </c>
      <c r="M40">
        <v>-0.80709383222058229</v>
      </c>
      <c r="N40">
        <v>47.733018759117201</v>
      </c>
      <c r="O40">
        <v>47.733019103539696</v>
      </c>
      <c r="P40">
        <v>47.7330025000809</v>
      </c>
      <c r="Q40" t="s">
        <v>51</v>
      </c>
    </row>
    <row r="41" spans="1:17" x14ac:dyDescent="0.2">
      <c r="A41">
        <v>40</v>
      </c>
      <c r="B41">
        <v>770</v>
      </c>
      <c r="C41">
        <v>200</v>
      </c>
      <c r="D41">
        <v>0.39129607439006903</v>
      </c>
      <c r="E41">
        <v>109.600570596643</v>
      </c>
      <c r="F41">
        <v>1.8541154600844401</v>
      </c>
      <c r="G41">
        <v>-1825.0165551578227</v>
      </c>
      <c r="H41">
        <v>-1494.2245651490393</v>
      </c>
      <c r="I41">
        <v>317.11155764878299</v>
      </c>
      <c r="J41">
        <v>161.343153065157</v>
      </c>
      <c r="K41">
        <v>59.112052596579801</v>
      </c>
      <c r="L41">
        <v>0.80479854646126203</v>
      </c>
      <c r="M41">
        <v>-0.80443921723640743</v>
      </c>
      <c r="N41">
        <v>47.556024686339597</v>
      </c>
      <c r="O41">
        <v>47.556024766118</v>
      </c>
      <c r="P41">
        <v>47.556008080366198</v>
      </c>
      <c r="Q41" t="s">
        <v>51</v>
      </c>
    </row>
    <row r="42" spans="1:17" x14ac:dyDescent="0.2">
      <c r="A42">
        <v>41</v>
      </c>
      <c r="B42">
        <v>768</v>
      </c>
      <c r="C42">
        <v>200</v>
      </c>
      <c r="D42">
        <v>0.38999231618883101</v>
      </c>
      <c r="E42">
        <v>109.60061829544</v>
      </c>
      <c r="F42">
        <v>1.85374247870266</v>
      </c>
      <c r="G42">
        <v>-1824.3835735682985</v>
      </c>
      <c r="H42">
        <v>-1494.7178597816401</v>
      </c>
      <c r="I42">
        <v>316.638989874331</v>
      </c>
      <c r="J42">
        <v>161.321524999388</v>
      </c>
      <c r="K42">
        <v>59.123971940343999</v>
      </c>
      <c r="L42">
        <v>0.79730451235657851</v>
      </c>
      <c r="M42">
        <v>-0.79694084842142721</v>
      </c>
      <c r="N42">
        <v>47.122309676648598</v>
      </c>
      <c r="O42">
        <v>47.122309489506101</v>
      </c>
      <c r="P42">
        <v>47.122292586118199</v>
      </c>
      <c r="Q42" t="s">
        <v>51</v>
      </c>
    </row>
    <row r="43" spans="1:17" x14ac:dyDescent="0.2">
      <c r="A43">
        <v>42</v>
      </c>
      <c r="B43">
        <v>766</v>
      </c>
      <c r="C43">
        <v>200</v>
      </c>
      <c r="D43">
        <v>0.38868353943126899</v>
      </c>
      <c r="E43">
        <v>109.600665943425</v>
      </c>
      <c r="F43">
        <v>1.8533818568543201</v>
      </c>
      <c r="G43">
        <v>-1823.7515373067597</v>
      </c>
      <c r="H43">
        <v>-1495.2113824118442</v>
      </c>
      <c r="I43">
        <v>316.165293540302</v>
      </c>
      <c r="J43">
        <v>161.30322846049501</v>
      </c>
      <c r="K43">
        <v>59.135501698201601</v>
      </c>
      <c r="L43">
        <v>0.78978093883541944</v>
      </c>
      <c r="M43">
        <v>-0.78941293752170349</v>
      </c>
      <c r="N43">
        <v>46.6863609783383</v>
      </c>
      <c r="O43">
        <v>46.686360514587498</v>
      </c>
      <c r="P43">
        <v>46.6863433932159</v>
      </c>
      <c r="Q43" t="s">
        <v>51</v>
      </c>
    </row>
    <row r="44" spans="1:17" x14ac:dyDescent="0.2">
      <c r="A44">
        <v>43</v>
      </c>
      <c r="B44">
        <v>764</v>
      </c>
      <c r="C44">
        <v>200</v>
      </c>
      <c r="D44">
        <v>0.38736971508460899</v>
      </c>
      <c r="E44">
        <v>109.60071356096201</v>
      </c>
      <c r="F44">
        <v>1.8530373810162699</v>
      </c>
      <c r="G44">
        <v>-1823.1204486804838</v>
      </c>
      <c r="H44">
        <v>-1495.7048352867541</v>
      </c>
      <c r="I44">
        <v>315.69075135231799</v>
      </c>
      <c r="J44">
        <v>161.28832446835199</v>
      </c>
      <c r="K44">
        <v>59.146520563364803</v>
      </c>
      <c r="L44">
        <v>0.78224280955805969</v>
      </c>
      <c r="M44">
        <v>-0.7818704780902106</v>
      </c>
      <c r="N44">
        <v>46.248978225958503</v>
      </c>
      <c r="O44">
        <v>46.2489774758563</v>
      </c>
      <c r="P44">
        <v>46.248960136657999</v>
      </c>
      <c r="Q44" t="s">
        <v>51</v>
      </c>
    </row>
    <row r="45" spans="1:17" x14ac:dyDescent="0.2">
      <c r="A45">
        <v>44</v>
      </c>
      <c r="B45">
        <v>762</v>
      </c>
      <c r="C45">
        <v>200</v>
      </c>
      <c r="D45">
        <v>0.38605081389170998</v>
      </c>
      <c r="E45">
        <v>109.600761171409</v>
      </c>
      <c r="F45">
        <v>1.8527127420265099</v>
      </c>
      <c r="G45">
        <v>-1822.4903094770748</v>
      </c>
      <c r="H45">
        <v>-1496.1979202787606</v>
      </c>
      <c r="I45">
        <v>315.21564806069</v>
      </c>
      <c r="J45">
        <v>161.27687205334001</v>
      </c>
      <c r="K45">
        <v>59.156910127107601</v>
      </c>
      <c r="L45">
        <v>0.77470512980447859</v>
      </c>
      <c r="M45">
        <v>-0.7743284852366602</v>
      </c>
      <c r="N45">
        <v>45.810968949201602</v>
      </c>
      <c r="O45">
        <v>45.810967902989603</v>
      </c>
      <c r="P45">
        <v>45.8109503466276</v>
      </c>
      <c r="Q45" t="s">
        <v>51</v>
      </c>
    </row>
    <row r="46" spans="1:17" x14ac:dyDescent="0.2">
      <c r="A46">
        <v>45</v>
      </c>
      <c r="B46">
        <v>760</v>
      </c>
      <c r="C46">
        <v>200</v>
      </c>
      <c r="D46">
        <v>0.38472680636887402</v>
      </c>
      <c r="E46">
        <v>109.600827571781</v>
      </c>
      <c r="F46">
        <v>1.85006965012036</v>
      </c>
      <c r="G46">
        <v>-1821.861664165436</v>
      </c>
      <c r="H46">
        <v>-1497.0607644022184</v>
      </c>
      <c r="I46">
        <v>314.38232794712701</v>
      </c>
      <c r="J46">
        <v>161.29405093278601</v>
      </c>
      <c r="K46">
        <v>59.241460214565898</v>
      </c>
      <c r="L46">
        <v>0.74883959564754266</v>
      </c>
      <c r="M46">
        <v>-0.74844993959443817</v>
      </c>
      <c r="N46">
        <v>44.343481857194902</v>
      </c>
      <c r="O46">
        <v>44.343480485007902</v>
      </c>
      <c r="P46">
        <v>44.343462292364897</v>
      </c>
      <c r="Q46" t="s">
        <v>51</v>
      </c>
    </row>
    <row r="47" spans="1:17" x14ac:dyDescent="0.2">
      <c r="A47">
        <v>46</v>
      </c>
      <c r="B47">
        <v>758</v>
      </c>
      <c r="C47">
        <v>200</v>
      </c>
      <c r="D47">
        <v>0.383397662803666</v>
      </c>
      <c r="E47">
        <v>109.600901922471</v>
      </c>
      <c r="F47">
        <v>1.8462110188315399</v>
      </c>
      <c r="G47">
        <v>-1821.2351260960181</v>
      </c>
      <c r="H47">
        <v>-1498.1231516455689</v>
      </c>
      <c r="I47">
        <v>313.35434283716</v>
      </c>
      <c r="J47">
        <v>161.33269229728899</v>
      </c>
      <c r="K47">
        <v>59.365316751189901</v>
      </c>
      <c r="L47">
        <v>0.71304291895927874</v>
      </c>
      <c r="M47">
        <v>-0.71263559639213025</v>
      </c>
      <c r="N47">
        <v>42.310230197087499</v>
      </c>
      <c r="O47">
        <v>42.310228462121103</v>
      </c>
      <c r="P47">
        <v>42.310209405525001</v>
      </c>
      <c r="Q47" t="s">
        <v>51</v>
      </c>
    </row>
    <row r="48" spans="1:17" x14ac:dyDescent="0.2">
      <c r="A48">
        <v>47</v>
      </c>
      <c r="B48">
        <v>756</v>
      </c>
      <c r="C48">
        <v>200</v>
      </c>
      <c r="D48">
        <v>0.38206335325268598</v>
      </c>
      <c r="E48">
        <v>109.600973903717</v>
      </c>
      <c r="F48">
        <v>1.8422315044842199</v>
      </c>
      <c r="G48">
        <v>-1820.6106313629737</v>
      </c>
      <c r="H48">
        <v>-1499.2135464955354</v>
      </c>
      <c r="I48">
        <v>312.29713932979899</v>
      </c>
      <c r="J48">
        <v>161.380458695128</v>
      </c>
      <c r="K48">
        <v>59.493594391874403</v>
      </c>
      <c r="L48">
        <v>0.67574563705463686</v>
      </c>
      <c r="M48">
        <v>-0.67532005547386043</v>
      </c>
      <c r="N48">
        <v>40.1817930448262</v>
      </c>
      <c r="O48">
        <v>40.181790914939299</v>
      </c>
      <c r="P48">
        <v>40.181770961555699</v>
      </c>
      <c r="Q48" t="s">
        <v>51</v>
      </c>
    </row>
    <row r="49" spans="1:17" x14ac:dyDescent="0.2">
      <c r="A49">
        <v>48</v>
      </c>
      <c r="B49">
        <v>754</v>
      </c>
      <c r="C49">
        <v>200</v>
      </c>
      <c r="D49">
        <v>0.38072384753930699</v>
      </c>
      <c r="E49">
        <v>109.60104218083001</v>
      </c>
      <c r="F49">
        <v>1.83796537565699</v>
      </c>
      <c r="G49">
        <v>-1819.9882396459157</v>
      </c>
      <c r="H49">
        <v>-1500.3592489732794</v>
      </c>
      <c r="I49">
        <v>311.18403165966203</v>
      </c>
      <c r="J49">
        <v>161.435947713106</v>
      </c>
      <c r="K49">
        <v>59.631723008738597</v>
      </c>
      <c r="L49">
        <v>0.63548239929984385</v>
      </c>
      <c r="M49">
        <v>-0.63503735182485654</v>
      </c>
      <c r="N49">
        <v>37.873142761714199</v>
      </c>
      <c r="O49">
        <v>37.873140200102902</v>
      </c>
      <c r="P49">
        <v>37.873119286855903</v>
      </c>
      <c r="Q49" t="s">
        <v>51</v>
      </c>
    </row>
    <row r="50" spans="1:17" x14ac:dyDescent="0.2">
      <c r="A50">
        <v>49</v>
      </c>
      <c r="B50">
        <v>752</v>
      </c>
      <c r="C50">
        <v>200</v>
      </c>
      <c r="D50">
        <v>0.37937911525142798</v>
      </c>
      <c r="E50">
        <v>109.60108653690401</v>
      </c>
      <c r="F50">
        <v>1.8298283325815601</v>
      </c>
      <c r="G50">
        <v>-1819.3678714808482</v>
      </c>
      <c r="H50">
        <v>-1502.1693749946194</v>
      </c>
      <c r="I50">
        <v>309.42055426612802</v>
      </c>
      <c r="J50">
        <v>161.46177992333801</v>
      </c>
      <c r="K50">
        <v>59.896922889086703</v>
      </c>
      <c r="L50">
        <v>0.56146104836580824</v>
      </c>
      <c r="M50">
        <v>-0.56098212391975588</v>
      </c>
      <c r="N50">
        <v>33.606231270533002</v>
      </c>
      <c r="O50">
        <v>33.6062281618889</v>
      </c>
      <c r="P50">
        <v>33.606205577431098</v>
      </c>
      <c r="Q50" t="s">
        <v>51</v>
      </c>
    </row>
    <row r="51" spans="1:17" x14ac:dyDescent="0.2">
      <c r="A51">
        <v>50</v>
      </c>
      <c r="B51">
        <v>750</v>
      </c>
      <c r="C51">
        <v>200</v>
      </c>
      <c r="D51">
        <v>0.37802912573913899</v>
      </c>
      <c r="E51">
        <v>109.609832644261</v>
      </c>
      <c r="F51">
        <v>1.77722006643297</v>
      </c>
      <c r="G51">
        <v>-1818.9041650123731</v>
      </c>
      <c r="H51">
        <v>-1512.0755937714639</v>
      </c>
      <c r="I51">
        <v>299.89182437270301</v>
      </c>
      <c r="J51">
        <v>160.890606190472</v>
      </c>
      <c r="K51">
        <v>61.674879050998499</v>
      </c>
      <c r="L51">
        <v>0.1145596857083524</v>
      </c>
      <c r="M51">
        <v>-0.11388423376534224</v>
      </c>
      <c r="N51">
        <v>7.0311749731846298</v>
      </c>
      <c r="O51">
        <v>7.0311701670829398</v>
      </c>
      <c r="P51">
        <v>7.0311376072718499</v>
      </c>
      <c r="Q51" t="s">
        <v>51</v>
      </c>
    </row>
    <row r="52" spans="1:17" x14ac:dyDescent="0.2">
      <c r="A52">
        <v>51</v>
      </c>
      <c r="B52">
        <v>748</v>
      </c>
      <c r="C52">
        <v>200</v>
      </c>
      <c r="D52">
        <v>0.37667384811242399</v>
      </c>
      <c r="E52">
        <v>109.609914596151</v>
      </c>
      <c r="F52">
        <v>1.7729065268126201</v>
      </c>
      <c r="G52">
        <v>-1818.3074446091603</v>
      </c>
      <c r="H52">
        <v>-1513.5790101751004</v>
      </c>
      <c r="I52">
        <v>298.42275888583703</v>
      </c>
      <c r="J52">
        <v>160.896016821187</v>
      </c>
      <c r="K52">
        <v>61.824982275411401</v>
      </c>
      <c r="L52">
        <v>6.1065306757041221E-2</v>
      </c>
      <c r="M52">
        <v>-6.0366846968263554E-2</v>
      </c>
      <c r="N52">
        <v>3.7397902575536599</v>
      </c>
      <c r="O52">
        <v>3.73978471738423</v>
      </c>
      <c r="P52">
        <v>3.7397509540947902</v>
      </c>
      <c r="Q52" t="s">
        <v>51</v>
      </c>
    </row>
    <row r="53" spans="1:17" x14ac:dyDescent="0.2">
      <c r="A53">
        <v>52</v>
      </c>
      <c r="B53">
        <v>782</v>
      </c>
      <c r="C53">
        <v>175</v>
      </c>
      <c r="D53">
        <v>0.42507747713595301</v>
      </c>
      <c r="E53">
        <v>109.60046499896301</v>
      </c>
      <c r="F53">
        <v>1.7849261138750101</v>
      </c>
      <c r="G53">
        <v>-1830.3405316799956</v>
      </c>
      <c r="H53">
        <v>-1493.0200052975435</v>
      </c>
      <c r="I53">
        <v>319.69264106156197</v>
      </c>
      <c r="J53">
        <v>162.04230257656701</v>
      </c>
      <c r="K53">
        <v>61.403362384017299</v>
      </c>
      <c r="L53">
        <v>0.77452482545788137</v>
      </c>
      <c r="M53">
        <v>-0.77406092502318125</v>
      </c>
      <c r="N53">
        <v>47.536108614616602</v>
      </c>
      <c r="O53">
        <v>47.536118539773</v>
      </c>
      <c r="P53">
        <v>47.536093171630696</v>
      </c>
      <c r="Q53" t="s">
        <v>51</v>
      </c>
    </row>
    <row r="54" spans="1:17" x14ac:dyDescent="0.2">
      <c r="A54">
        <v>53</v>
      </c>
      <c r="B54">
        <v>780</v>
      </c>
      <c r="C54">
        <v>175</v>
      </c>
      <c r="D54">
        <v>0.42385272753169101</v>
      </c>
      <c r="E54">
        <v>109.600519347215</v>
      </c>
      <c r="F54">
        <v>1.78597702114927</v>
      </c>
      <c r="G54">
        <v>-1829.702352027809</v>
      </c>
      <c r="H54">
        <v>-1493.4018211032717</v>
      </c>
      <c r="I54">
        <v>319.33125052829502</v>
      </c>
      <c r="J54">
        <v>162.04137210255601</v>
      </c>
      <c r="K54">
        <v>61.367261756082002</v>
      </c>
      <c r="L54">
        <v>0.77249037303866319</v>
      </c>
      <c r="M54">
        <v>-0.77202493037525077</v>
      </c>
      <c r="N54">
        <v>47.383211042355498</v>
      </c>
      <c r="O54">
        <v>47.383220692983599</v>
      </c>
      <c r="P54">
        <v>47.383195214184099</v>
      </c>
      <c r="Q54" t="s">
        <v>51</v>
      </c>
    </row>
    <row r="55" spans="1:17" x14ac:dyDescent="0.2">
      <c r="A55">
        <v>54</v>
      </c>
      <c r="B55">
        <v>778</v>
      </c>
      <c r="C55">
        <v>175</v>
      </c>
      <c r="D55">
        <v>0.422623317319128</v>
      </c>
      <c r="E55">
        <v>109.6005653134</v>
      </c>
      <c r="F55">
        <v>1.7858057992112</v>
      </c>
      <c r="G55">
        <v>-1829.0648938889117</v>
      </c>
      <c r="H55">
        <v>-1493.8888888365129</v>
      </c>
      <c r="I55">
        <v>318.86906206456399</v>
      </c>
      <c r="J55">
        <v>162.01690987679501</v>
      </c>
      <c r="K55">
        <v>61.373171350329301</v>
      </c>
      <c r="L55">
        <v>0.76569499508159899</v>
      </c>
      <c r="M55">
        <v>-0.76522497966405467</v>
      </c>
      <c r="N55">
        <v>46.970471661997202</v>
      </c>
      <c r="O55">
        <v>46.970481098525397</v>
      </c>
      <c r="P55">
        <v>46.970455330821302</v>
      </c>
      <c r="Q55" t="s">
        <v>51</v>
      </c>
    </row>
    <row r="56" spans="1:17" x14ac:dyDescent="0.2">
      <c r="A56">
        <v>55</v>
      </c>
      <c r="B56">
        <v>776</v>
      </c>
      <c r="C56">
        <v>175</v>
      </c>
      <c r="D56">
        <v>0.42138921984463801</v>
      </c>
      <c r="E56">
        <v>109.60061125499401</v>
      </c>
      <c r="F56">
        <v>1.78564846065333</v>
      </c>
      <c r="G56">
        <v>-1828.4283605316377</v>
      </c>
      <c r="H56">
        <v>-1494.3759954520308</v>
      </c>
      <c r="I56">
        <v>318.405956002989</v>
      </c>
      <c r="J56">
        <v>161.99542681584799</v>
      </c>
      <c r="K56">
        <v>61.378604843023702</v>
      </c>
      <c r="L56">
        <v>0.75887700914466505</v>
      </c>
      <c r="M56">
        <v>-0.75840241591510305</v>
      </c>
      <c r="N56">
        <v>46.555902357121198</v>
      </c>
      <c r="O56">
        <v>46.555911567132299</v>
      </c>
      <c r="P56">
        <v>46.555885509303103</v>
      </c>
      <c r="Q56" t="s">
        <v>51</v>
      </c>
    </row>
    <row r="57" spans="1:17" x14ac:dyDescent="0.2">
      <c r="A57">
        <v>56</v>
      </c>
      <c r="B57">
        <v>774</v>
      </c>
      <c r="C57">
        <v>175</v>
      </c>
      <c r="D57">
        <v>0.420150408250972</v>
      </c>
      <c r="E57">
        <v>109.60065719139899</v>
      </c>
      <c r="F57">
        <v>1.7855084296210599</v>
      </c>
      <c r="G57">
        <v>-1827.792753868539</v>
      </c>
      <c r="H57">
        <v>-1494.8628862604314</v>
      </c>
      <c r="I57">
        <v>317.94217207326301</v>
      </c>
      <c r="J57">
        <v>161.97698135420501</v>
      </c>
      <c r="K57">
        <v>61.383444274558897</v>
      </c>
      <c r="L57">
        <v>0.75204891969008947</v>
      </c>
      <c r="M57">
        <v>-0.75156975275275029</v>
      </c>
      <c r="N57">
        <v>46.140191849830401</v>
      </c>
      <c r="O57">
        <v>46.140200820466497</v>
      </c>
      <c r="P57">
        <v>46.140174471841497</v>
      </c>
      <c r="Q57" t="s">
        <v>51</v>
      </c>
    </row>
    <row r="58" spans="1:17" x14ac:dyDescent="0.2">
      <c r="A58">
        <v>57</v>
      </c>
      <c r="B58">
        <v>772</v>
      </c>
      <c r="C58">
        <v>175</v>
      </c>
      <c r="D58">
        <v>0.418906855475288</v>
      </c>
      <c r="E58">
        <v>109.600703144508</v>
      </c>
      <c r="F58">
        <v>1.78538904338522</v>
      </c>
      <c r="G58">
        <v>-1827.1580753716692</v>
      </c>
      <c r="H58">
        <v>-1495.3493071259427</v>
      </c>
      <c r="I58">
        <v>317.47795088886198</v>
      </c>
      <c r="J58">
        <v>161.961629022262</v>
      </c>
      <c r="K58">
        <v>61.387574630063703</v>
      </c>
      <c r="L58">
        <v>0.74522322325472534</v>
      </c>
      <c r="M58">
        <v>-0.74473949583698074</v>
      </c>
      <c r="N58">
        <v>45.724034080689798</v>
      </c>
      <c r="O58">
        <v>45.724042798681502</v>
      </c>
      <c r="P58">
        <v>45.724016159143602</v>
      </c>
      <c r="Q58" t="s">
        <v>51</v>
      </c>
    </row>
    <row r="59" spans="1:17" x14ac:dyDescent="0.2">
      <c r="A59">
        <v>58</v>
      </c>
      <c r="B59">
        <v>770</v>
      </c>
      <c r="C59">
        <v>175</v>
      </c>
      <c r="D59">
        <v>0.41765853424723398</v>
      </c>
      <c r="E59">
        <v>109.600749138322</v>
      </c>
      <c r="F59">
        <v>1.78529349926392</v>
      </c>
      <c r="G59">
        <v>-1826.5243260688353</v>
      </c>
      <c r="H59">
        <v>-1495.8350088746795</v>
      </c>
      <c r="I59">
        <v>317.01352972700801</v>
      </c>
      <c r="J59">
        <v>161.94942300683201</v>
      </c>
      <c r="K59">
        <v>61.390885691069997</v>
      </c>
      <c r="L59">
        <v>0.7384121978519449</v>
      </c>
      <c r="M59">
        <v>-0.73792393212228413</v>
      </c>
      <c r="N59">
        <v>45.3081164618808</v>
      </c>
      <c r="O59">
        <v>45.308124913581203</v>
      </c>
      <c r="P59">
        <v>45.308097983562398</v>
      </c>
      <c r="Q59" t="s">
        <v>51</v>
      </c>
    </row>
    <row r="60" spans="1:17" x14ac:dyDescent="0.2">
      <c r="A60">
        <v>59</v>
      </c>
      <c r="B60">
        <v>768</v>
      </c>
      <c r="C60">
        <v>175</v>
      </c>
      <c r="D60">
        <v>0.416405417086878</v>
      </c>
      <c r="E60">
        <v>109.600795198558</v>
      </c>
      <c r="F60">
        <v>1.78522480796691</v>
      </c>
      <c r="G60">
        <v>-1825.8915065478361</v>
      </c>
      <c r="H60">
        <v>-1496.3197513472098</v>
      </c>
      <c r="I60">
        <v>316.54913860923398</v>
      </c>
      <c r="J60">
        <v>161.94041491200599</v>
      </c>
      <c r="K60">
        <v>61.393273670320603</v>
      </c>
      <c r="L60">
        <v>0.73162770931279808</v>
      </c>
      <c r="M60">
        <v>-0.73113493606843682</v>
      </c>
      <c r="N60">
        <v>44.893108905679902</v>
      </c>
      <c r="O60">
        <v>44.893117077103497</v>
      </c>
      <c r="P60">
        <v>44.893089857572001</v>
      </c>
      <c r="Q60" t="s">
        <v>51</v>
      </c>
    </row>
    <row r="61" spans="1:17" x14ac:dyDescent="0.2">
      <c r="A61">
        <v>60</v>
      </c>
      <c r="B61">
        <v>766</v>
      </c>
      <c r="C61">
        <v>175</v>
      </c>
      <c r="D61">
        <v>0.41514747630275201</v>
      </c>
      <c r="E61">
        <v>109.60085614363</v>
      </c>
      <c r="F61">
        <v>1.7830747555177699</v>
      </c>
      <c r="G61">
        <v>-1825.2600138533141</v>
      </c>
      <c r="H61">
        <v>-1497.1014444233463</v>
      </c>
      <c r="I61">
        <v>315.79852775569202</v>
      </c>
      <c r="J61">
        <v>161.94090373792301</v>
      </c>
      <c r="K61">
        <v>61.467336579393297</v>
      </c>
      <c r="L61">
        <v>0.71032452815405234</v>
      </c>
      <c r="M61">
        <v>-0.70981952834362572</v>
      </c>
      <c r="N61">
        <v>43.637191310498899</v>
      </c>
      <c r="O61">
        <v>43.637199324979299</v>
      </c>
      <c r="P61">
        <v>43.637171364251401</v>
      </c>
      <c r="Q61" t="s">
        <v>51</v>
      </c>
    </row>
    <row r="62" spans="1:17" x14ac:dyDescent="0.2">
      <c r="A62">
        <v>61</v>
      </c>
      <c r="B62">
        <v>764</v>
      </c>
      <c r="C62">
        <v>175</v>
      </c>
      <c r="D62">
        <v>0.41388468398978101</v>
      </c>
      <c r="E62">
        <v>109.600928083737</v>
      </c>
      <c r="F62">
        <v>1.7791502672366799</v>
      </c>
      <c r="G62">
        <v>-1824.6305791241518</v>
      </c>
      <c r="H62">
        <v>-1498.1418531948459</v>
      </c>
      <c r="I62">
        <v>314.79760500029801</v>
      </c>
      <c r="J62">
        <v>161.95340860365599</v>
      </c>
      <c r="K62">
        <v>61.6029629998405</v>
      </c>
      <c r="L62">
        <v>0.67634150373634561</v>
      </c>
      <c r="M62">
        <v>-0.67581758772154621</v>
      </c>
      <c r="N62">
        <v>41.639065111540702</v>
      </c>
      <c r="O62">
        <v>41.6390730584069</v>
      </c>
      <c r="P62">
        <v>41.639043959936302</v>
      </c>
      <c r="Q62" t="s">
        <v>51</v>
      </c>
    </row>
    <row r="63" spans="1:17" x14ac:dyDescent="0.2">
      <c r="A63">
        <v>62</v>
      </c>
      <c r="B63">
        <v>762</v>
      </c>
      <c r="C63">
        <v>175</v>
      </c>
      <c r="D63">
        <v>0.41261701202724399</v>
      </c>
      <c r="E63">
        <v>109.60099770087101</v>
      </c>
      <c r="F63">
        <v>1.77513200340382</v>
      </c>
      <c r="G63">
        <v>-1824.003130166936</v>
      </c>
      <c r="H63">
        <v>-1499.2058684855708</v>
      </c>
      <c r="I63">
        <v>313.77193260644401</v>
      </c>
      <c r="J63">
        <v>161.97245622189399</v>
      </c>
      <c r="K63">
        <v>61.742449288678699</v>
      </c>
      <c r="L63">
        <v>0.64109885027425528</v>
      </c>
      <c r="M63">
        <v>-0.64055547085855591</v>
      </c>
      <c r="N63">
        <v>39.556392709718999</v>
      </c>
      <c r="O63">
        <v>39.556400562984599</v>
      </c>
      <c r="P63">
        <v>39.556370287243404</v>
      </c>
      <c r="Q63" t="s">
        <v>51</v>
      </c>
    </row>
    <row r="64" spans="1:17" x14ac:dyDescent="0.2">
      <c r="A64">
        <v>63</v>
      </c>
      <c r="B64">
        <v>760</v>
      </c>
      <c r="C64">
        <v>175</v>
      </c>
      <c r="D64">
        <v>0.41134443207665999</v>
      </c>
      <c r="E64">
        <v>109.60106373716</v>
      </c>
      <c r="F64">
        <v>1.7708599468081101</v>
      </c>
      <c r="G64">
        <v>-1823.3777162251229</v>
      </c>
      <c r="H64">
        <v>-1500.3174509477183</v>
      </c>
      <c r="I64">
        <v>312.69822695576897</v>
      </c>
      <c r="J64">
        <v>161.995479561027</v>
      </c>
      <c r="K64">
        <v>61.891435251393403</v>
      </c>
      <c r="L64">
        <v>0.60332948956829946</v>
      </c>
      <c r="M64">
        <v>-0.60276550530142581</v>
      </c>
      <c r="N64">
        <v>37.313195072657301</v>
      </c>
      <c r="O64">
        <v>37.313202813361798</v>
      </c>
      <c r="P64">
        <v>37.313171285102797</v>
      </c>
      <c r="Q64" t="s">
        <v>51</v>
      </c>
    </row>
    <row r="65" spans="1:17" x14ac:dyDescent="0.2">
      <c r="A65">
        <v>64</v>
      </c>
      <c r="B65">
        <v>758</v>
      </c>
      <c r="C65">
        <v>175</v>
      </c>
      <c r="D65">
        <v>0.41006691557969399</v>
      </c>
      <c r="E65">
        <v>109.60112296899899</v>
      </c>
      <c r="F65">
        <v>1.76593351014892</v>
      </c>
      <c r="G65">
        <v>-1822.7544292038872</v>
      </c>
      <c r="H65">
        <v>-1501.5363615546221</v>
      </c>
      <c r="I65">
        <v>311.51835280696298</v>
      </c>
      <c r="J65">
        <v>162.01659736320599</v>
      </c>
      <c r="K65">
        <v>62.064127748364001</v>
      </c>
      <c r="L65">
        <v>0.55991208336035747</v>
      </c>
      <c r="M65">
        <v>-0.55932487116334639</v>
      </c>
      <c r="N65">
        <v>34.721461082113599</v>
      </c>
      <c r="O65">
        <v>34.721468709558799</v>
      </c>
      <c r="P65">
        <v>34.721435763876102</v>
      </c>
      <c r="Q65" t="s">
        <v>51</v>
      </c>
    </row>
    <row r="66" spans="1:17" x14ac:dyDescent="0.2">
      <c r="A66">
        <v>65</v>
      </c>
      <c r="B66">
        <v>756</v>
      </c>
      <c r="C66">
        <v>175</v>
      </c>
      <c r="D66">
        <v>0.40878443375601398</v>
      </c>
      <c r="E66">
        <v>109.61038637495599</v>
      </c>
      <c r="F66">
        <v>1.7136979366430101</v>
      </c>
      <c r="G66">
        <v>-1822.2905568227416</v>
      </c>
      <c r="H66">
        <v>-1510.5199404327839</v>
      </c>
      <c r="I66">
        <v>302.94534348661801</v>
      </c>
      <c r="J66">
        <v>161.13328880873999</v>
      </c>
      <c r="K66">
        <v>63.961322489349101</v>
      </c>
      <c r="L66">
        <v>0.16200617468432413</v>
      </c>
      <c r="M66">
        <v>-0.1612226480658534</v>
      </c>
      <c r="N66">
        <v>10.3221716379604</v>
      </c>
      <c r="O66">
        <v>10.322181580276901</v>
      </c>
      <c r="P66">
        <v>10.322136493986299</v>
      </c>
      <c r="Q66" t="s">
        <v>51</v>
      </c>
    </row>
    <row r="67" spans="1:17" x14ac:dyDescent="0.2">
      <c r="A67">
        <v>66</v>
      </c>
      <c r="B67">
        <v>754</v>
      </c>
      <c r="C67">
        <v>175</v>
      </c>
      <c r="D67">
        <v>0.40749695760112897</v>
      </c>
      <c r="E67">
        <v>109.61050265222001</v>
      </c>
      <c r="F67">
        <v>1.7039025185754899</v>
      </c>
      <c r="G67">
        <v>-1821.6893617818432</v>
      </c>
      <c r="H67">
        <v>-1512.8778628040864</v>
      </c>
      <c r="I67">
        <v>300.65466085528698</v>
      </c>
      <c r="J67">
        <v>160.979946333887</v>
      </c>
      <c r="K67">
        <v>64.329092455275799</v>
      </c>
      <c r="L67">
        <v>7.1341421083542661E-2</v>
      </c>
      <c r="M67">
        <v>-7.0513537458468722E-2</v>
      </c>
      <c r="N67">
        <v>4.5468102495492397</v>
      </c>
      <c r="O67">
        <v>4.5468201333570901</v>
      </c>
      <c r="P67">
        <v>4.5467721866829001</v>
      </c>
      <c r="Q67" t="s">
        <v>51</v>
      </c>
    </row>
    <row r="68" spans="1:17" x14ac:dyDescent="0.2">
      <c r="A68">
        <v>67</v>
      </c>
      <c r="B68">
        <v>792</v>
      </c>
      <c r="C68">
        <v>150</v>
      </c>
      <c r="D68">
        <v>0.456950194808243</v>
      </c>
      <c r="E68">
        <v>109.600425231385</v>
      </c>
      <c r="F68">
        <v>1.6959657233040599</v>
      </c>
      <c r="G68">
        <v>-1835.1211620955103</v>
      </c>
      <c r="H68">
        <v>-1492.1113596540606</v>
      </c>
      <c r="I68">
        <v>322.032792861519</v>
      </c>
      <c r="J68">
        <v>162.45471244541801</v>
      </c>
      <c r="K68">
        <v>64.624198310955606</v>
      </c>
      <c r="L68">
        <v>0.73173741274467019</v>
      </c>
      <c r="M68">
        <v>-0.73112957128309197</v>
      </c>
      <c r="N68">
        <v>47.258678875303801</v>
      </c>
      <c r="O68">
        <v>47.2587076408226</v>
      </c>
      <c r="P68">
        <v>47.258667883410801</v>
      </c>
      <c r="Q68" t="s">
        <v>51</v>
      </c>
    </row>
    <row r="69" spans="1:17" x14ac:dyDescent="0.2">
      <c r="A69">
        <v>68</v>
      </c>
      <c r="B69">
        <v>790</v>
      </c>
      <c r="C69">
        <v>150</v>
      </c>
      <c r="D69">
        <v>0.45579692423458601</v>
      </c>
      <c r="E69">
        <v>109.600469150932</v>
      </c>
      <c r="F69">
        <v>1.6959918279103099</v>
      </c>
      <c r="G69">
        <v>-1834.4782576558314</v>
      </c>
      <c r="H69">
        <v>-1492.5918706495627</v>
      </c>
      <c r="I69">
        <v>321.58194314384099</v>
      </c>
      <c r="J69">
        <v>162.42595360031899</v>
      </c>
      <c r="K69">
        <v>64.623229515188498</v>
      </c>
      <c r="L69">
        <v>0.72568930493927841</v>
      </c>
      <c r="M69">
        <v>-0.72507651211032964</v>
      </c>
      <c r="N69">
        <v>46.866840587563701</v>
      </c>
      <c r="O69">
        <v>46.866869336354299</v>
      </c>
      <c r="P69">
        <v>46.866829195869499</v>
      </c>
      <c r="Q69" t="s">
        <v>51</v>
      </c>
    </row>
    <row r="70" spans="1:17" x14ac:dyDescent="0.2">
      <c r="A70">
        <v>69</v>
      </c>
      <c r="B70">
        <v>788</v>
      </c>
      <c r="C70">
        <v>150</v>
      </c>
      <c r="D70">
        <v>0.45463930641285699</v>
      </c>
      <c r="E70">
        <v>109.600513066356</v>
      </c>
      <c r="F70">
        <v>1.6960327543813101</v>
      </c>
      <c r="G70">
        <v>-1833.8362554706875</v>
      </c>
      <c r="H70">
        <v>-1493.0722621398024</v>
      </c>
      <c r="I70">
        <v>321.13035694820502</v>
      </c>
      <c r="J70">
        <v>162.39993314264299</v>
      </c>
      <c r="K70">
        <v>64.621696003941395</v>
      </c>
      <c r="L70">
        <v>0.71962383868106827</v>
      </c>
      <c r="M70">
        <v>-0.71900608099994612</v>
      </c>
      <c r="N70">
        <v>46.473484766683796</v>
      </c>
      <c r="O70">
        <v>46.473513486947198</v>
      </c>
      <c r="P70">
        <v>46.473472960593298</v>
      </c>
      <c r="Q70" t="s">
        <v>51</v>
      </c>
    </row>
    <row r="71" spans="1:17" x14ac:dyDescent="0.2">
      <c r="A71">
        <v>70</v>
      </c>
      <c r="B71">
        <v>786</v>
      </c>
      <c r="C71">
        <v>150</v>
      </c>
      <c r="D71">
        <v>0.45347731671623798</v>
      </c>
      <c r="E71">
        <v>109.600556995706</v>
      </c>
      <c r="F71">
        <v>1.69609163204967</v>
      </c>
      <c r="G71">
        <v>-1833.1951571071988</v>
      </c>
      <c r="H71">
        <v>-1493.5523184359304</v>
      </c>
      <c r="I71">
        <v>320.67823517932601</v>
      </c>
      <c r="J71">
        <v>162.37671660327999</v>
      </c>
      <c r="K71">
        <v>64.619478644121003</v>
      </c>
      <c r="L71">
        <v>0.71355126183547002</v>
      </c>
      <c r="M71">
        <v>-0.71292853401503098</v>
      </c>
      <c r="N71">
        <v>46.079199432689798</v>
      </c>
      <c r="O71">
        <v>46.079228111786598</v>
      </c>
      <c r="P71">
        <v>46.0791871973341</v>
      </c>
      <c r="Q71" t="s">
        <v>51</v>
      </c>
    </row>
    <row r="72" spans="1:17" x14ac:dyDescent="0.2">
      <c r="A72">
        <v>71</v>
      </c>
      <c r="B72">
        <v>784</v>
      </c>
      <c r="C72">
        <v>150</v>
      </c>
      <c r="D72">
        <v>0.45231093033155201</v>
      </c>
      <c r="E72">
        <v>109.60060095912399</v>
      </c>
      <c r="F72">
        <v>1.6961715204451899</v>
      </c>
      <c r="G72">
        <v>-1832.5549637639542</v>
      </c>
      <c r="H72">
        <v>-1494.0318247008099</v>
      </c>
      <c r="I72">
        <v>320.22577910794098</v>
      </c>
      <c r="J72">
        <v>162.35636641858801</v>
      </c>
      <c r="K72">
        <v>64.616461034764697</v>
      </c>
      <c r="L72">
        <v>0.70748181323020976</v>
      </c>
      <c r="M72">
        <v>-0.70685411818043098</v>
      </c>
      <c r="N72">
        <v>45.684576799517103</v>
      </c>
      <c r="O72">
        <v>45.684605423974098</v>
      </c>
      <c r="P72">
        <v>45.6845641197649</v>
      </c>
      <c r="Q72" t="s">
        <v>51</v>
      </c>
    </row>
    <row r="73" spans="1:17" x14ac:dyDescent="0.2">
      <c r="A73">
        <v>72</v>
      </c>
      <c r="B73">
        <v>782</v>
      </c>
      <c r="C73">
        <v>150</v>
      </c>
      <c r="D73">
        <v>0.451140122257502</v>
      </c>
      <c r="E73">
        <v>109.600644978495</v>
      </c>
      <c r="F73">
        <v>1.69627536518554</v>
      </c>
      <c r="G73">
        <v>-1831.9156762676876</v>
      </c>
      <c r="H73">
        <v>-1494.510570360037</v>
      </c>
      <c r="I73">
        <v>319.773187139095</v>
      </c>
      <c r="J73">
        <v>162.33894191887899</v>
      </c>
      <c r="K73">
        <v>64.612531212765305</v>
      </c>
      <c r="L73">
        <v>0.70142556498677844</v>
      </c>
      <c r="M73">
        <v>-0.7007929136972223</v>
      </c>
      <c r="N73">
        <v>45.290204121104701</v>
      </c>
      <c r="O73">
        <v>45.2902326766283</v>
      </c>
      <c r="P73">
        <v>45.290190981572898</v>
      </c>
      <c r="Q73" t="s">
        <v>51</v>
      </c>
    </row>
    <row r="74" spans="1:17" x14ac:dyDescent="0.2">
      <c r="A74">
        <v>73</v>
      </c>
      <c r="B74">
        <v>780</v>
      </c>
      <c r="C74">
        <v>150</v>
      </c>
      <c r="D74">
        <v>0.44996486730285301</v>
      </c>
      <c r="E74">
        <v>109.600689077176</v>
      </c>
      <c r="F74">
        <v>1.69640595877697</v>
      </c>
      <c r="G74">
        <v>-1831.2772950776982</v>
      </c>
      <c r="H74">
        <v>-1494.9883522465609</v>
      </c>
      <c r="I74">
        <v>319.32065180384899</v>
      </c>
      <c r="J74">
        <v>162.32449948037299</v>
      </c>
      <c r="K74">
        <v>64.6075831731889</v>
      </c>
      <c r="L74">
        <v>0.69539227680764681</v>
      </c>
      <c r="M74">
        <v>-0.69475468812214825</v>
      </c>
      <c r="N74">
        <v>44.896655101058798</v>
      </c>
      <c r="O74">
        <v>44.896683572554998</v>
      </c>
      <c r="P74">
        <v>44.896641486120998</v>
      </c>
      <c r="Q74" t="s">
        <v>51</v>
      </c>
    </row>
    <row r="75" spans="1:17" x14ac:dyDescent="0.2">
      <c r="A75">
        <v>74</v>
      </c>
      <c r="B75">
        <v>778</v>
      </c>
      <c r="C75">
        <v>150</v>
      </c>
      <c r="D75">
        <v>0.44878514008467002</v>
      </c>
      <c r="E75">
        <v>109.600733279623</v>
      </c>
      <c r="F75">
        <v>1.69656590755463</v>
      </c>
      <c r="G75">
        <v>-1830.6398202942262</v>
      </c>
      <c r="H75">
        <v>-1495.4649773686306</v>
      </c>
      <c r="I75">
        <v>318.86835707870102</v>
      </c>
      <c r="J75">
        <v>162.313092836773</v>
      </c>
      <c r="K75">
        <v>64.601518155930407</v>
      </c>
      <c r="L75">
        <v>0.68939126724829725</v>
      </c>
      <c r="M75">
        <v>-0.68874876754474013</v>
      </c>
      <c r="N75">
        <v>44.504482170917697</v>
      </c>
      <c r="O75">
        <v>44.504510542518403</v>
      </c>
      <c r="P75">
        <v>44.504468064713102</v>
      </c>
      <c r="Q75" t="s">
        <v>51</v>
      </c>
    </row>
    <row r="76" spans="1:17" x14ac:dyDescent="0.2">
      <c r="A76">
        <v>75</v>
      </c>
      <c r="B76">
        <v>776</v>
      </c>
      <c r="C76">
        <v>150</v>
      </c>
      <c r="D76">
        <v>0.447600915026452</v>
      </c>
      <c r="E76">
        <v>109.600777611027</v>
      </c>
      <c r="F76">
        <v>1.6967576055433</v>
      </c>
      <c r="G76">
        <v>-1830.0032516719193</v>
      </c>
      <c r="H76">
        <v>-1495.9402652261895</v>
      </c>
      <c r="I76">
        <v>318.41647610948598</v>
      </c>
      <c r="J76">
        <v>162.304773540469</v>
      </c>
      <c r="K76">
        <v>64.594245667714702</v>
      </c>
      <c r="L76">
        <v>0.68343130558893839</v>
      </c>
      <c r="M76">
        <v>-0.68278392837959256</v>
      </c>
      <c r="N76">
        <v>44.114209865593303</v>
      </c>
      <c r="O76">
        <v>44.114238120687702</v>
      </c>
      <c r="P76">
        <v>44.114195252033298</v>
      </c>
      <c r="Q76" t="s">
        <v>51</v>
      </c>
    </row>
    <row r="77" spans="1:17" x14ac:dyDescent="0.2">
      <c r="A77">
        <v>76</v>
      </c>
      <c r="B77">
        <v>774</v>
      </c>
      <c r="C77">
        <v>150</v>
      </c>
      <c r="D77">
        <v>0.44641216635630598</v>
      </c>
      <c r="E77">
        <v>109.600825396685</v>
      </c>
      <c r="F77">
        <v>1.6964411258824399</v>
      </c>
      <c r="G77">
        <v>-1829.3676505122958</v>
      </c>
      <c r="H77">
        <v>-1496.4809156834342</v>
      </c>
      <c r="I77">
        <v>317.90138448368998</v>
      </c>
      <c r="J77">
        <v>162.29660673458</v>
      </c>
      <c r="K77">
        <v>64.606324218692905</v>
      </c>
      <c r="L77">
        <v>0.67432978789231013</v>
      </c>
      <c r="M77">
        <v>-0.67367565735264101</v>
      </c>
      <c r="N77">
        <v>43.534067626689101</v>
      </c>
      <c r="O77">
        <v>43.534095839429199</v>
      </c>
      <c r="P77">
        <v>43.5340524423464</v>
      </c>
      <c r="Q77" t="s">
        <v>51</v>
      </c>
    </row>
    <row r="78" spans="1:17" x14ac:dyDescent="0.2">
      <c r="A78">
        <v>77</v>
      </c>
      <c r="B78">
        <v>772</v>
      </c>
      <c r="C78">
        <v>150</v>
      </c>
      <c r="D78">
        <v>0.44521886810505501</v>
      </c>
      <c r="E78">
        <v>109.600895188368</v>
      </c>
      <c r="F78">
        <v>1.6923916854305401</v>
      </c>
      <c r="G78">
        <v>-1828.7339389893459</v>
      </c>
      <c r="H78">
        <v>-1497.48866519445</v>
      </c>
      <c r="I78">
        <v>316.93928813875402</v>
      </c>
      <c r="J78">
        <v>162.27276539878099</v>
      </c>
      <c r="K78">
        <v>64.760951103636202</v>
      </c>
      <c r="L78">
        <v>0.64290495142400028</v>
      </c>
      <c r="M78">
        <v>-0.64223070121293002</v>
      </c>
      <c r="N78">
        <v>41.602124217394199</v>
      </c>
      <c r="O78">
        <v>41.602153002651697</v>
      </c>
      <c r="P78">
        <v>41.602108103165101</v>
      </c>
      <c r="Q78" t="s">
        <v>51</v>
      </c>
    </row>
    <row r="79" spans="1:17" x14ac:dyDescent="0.2">
      <c r="A79">
        <v>78</v>
      </c>
      <c r="B79">
        <v>770</v>
      </c>
      <c r="C79">
        <v>150</v>
      </c>
      <c r="D79">
        <v>0.44402099410439499</v>
      </c>
      <c r="E79">
        <v>109.60096297585601</v>
      </c>
      <c r="F79">
        <v>1.6883035159347899</v>
      </c>
      <c r="G79">
        <v>-1828.1021329844637</v>
      </c>
      <c r="H79">
        <v>-1498.5113958382581</v>
      </c>
      <c r="I79">
        <v>315.960970746881</v>
      </c>
      <c r="J79">
        <v>162.25398841235801</v>
      </c>
      <c r="K79">
        <v>64.917807693583498</v>
      </c>
      <c r="L79">
        <v>0.61068849058508301</v>
      </c>
      <c r="M79">
        <v>-0.60999373477513263</v>
      </c>
      <c r="N79">
        <v>39.610407367650097</v>
      </c>
      <c r="O79">
        <v>39.610436713345401</v>
      </c>
      <c r="P79">
        <v>39.610390271962899</v>
      </c>
      <c r="Q79" t="s">
        <v>51</v>
      </c>
    </row>
    <row r="80" spans="1:17" x14ac:dyDescent="0.2">
      <c r="A80">
        <v>79</v>
      </c>
      <c r="B80">
        <v>768</v>
      </c>
      <c r="C80">
        <v>150</v>
      </c>
      <c r="D80">
        <v>0.442818517984921</v>
      </c>
      <c r="E80">
        <v>109.601027858365</v>
      </c>
      <c r="F80">
        <v>1.6840554653105499</v>
      </c>
      <c r="G80">
        <v>-1827.4722639821885</v>
      </c>
      <c r="H80">
        <v>-1499.5651852947872</v>
      </c>
      <c r="I80">
        <v>314.95092950315399</v>
      </c>
      <c r="J80">
        <v>162.237327860943</v>
      </c>
      <c r="K80">
        <v>65.081602189482695</v>
      </c>
      <c r="L80">
        <v>0.57684675703547494</v>
      </c>
      <c r="M80">
        <v>-0.57613067089536008</v>
      </c>
      <c r="N80">
        <v>37.506769051145397</v>
      </c>
      <c r="O80">
        <v>37.506798963641103</v>
      </c>
      <c r="P80">
        <v>37.506750908047302</v>
      </c>
      <c r="Q80" t="s">
        <v>51</v>
      </c>
    </row>
    <row r="81" spans="1:17" x14ac:dyDescent="0.2">
      <c r="A81">
        <v>80</v>
      </c>
      <c r="B81">
        <v>766</v>
      </c>
      <c r="C81">
        <v>150</v>
      </c>
      <c r="D81">
        <v>0.44161141317423203</v>
      </c>
      <c r="E81">
        <v>109.601087834643</v>
      </c>
      <c r="F81">
        <v>1.6793865330737401</v>
      </c>
      <c r="G81">
        <v>-1826.8443916288452</v>
      </c>
      <c r="H81">
        <v>-1500.6846573246337</v>
      </c>
      <c r="I81">
        <v>313.87572511626502</v>
      </c>
      <c r="J81">
        <v>162.21689201162701</v>
      </c>
      <c r="K81">
        <v>65.262573967437305</v>
      </c>
      <c r="L81">
        <v>0.53961177693663542</v>
      </c>
      <c r="M81">
        <v>-0.53887259203881588</v>
      </c>
      <c r="N81">
        <v>35.179813509488298</v>
      </c>
      <c r="O81">
        <v>35.179844036093598</v>
      </c>
      <c r="P81">
        <v>35.179794222775598</v>
      </c>
      <c r="Q81" t="s">
        <v>51</v>
      </c>
    </row>
    <row r="82" spans="1:17" x14ac:dyDescent="0.2">
      <c r="A82">
        <v>81</v>
      </c>
      <c r="B82">
        <v>764</v>
      </c>
      <c r="C82">
        <v>150</v>
      </c>
      <c r="D82">
        <v>0.44039965289495597</v>
      </c>
      <c r="E82">
        <v>109.601129831094</v>
      </c>
      <c r="F82">
        <v>1.6721985314622301</v>
      </c>
      <c r="G82">
        <v>-1826.2185214936687</v>
      </c>
      <c r="H82">
        <v>-1502.1587789627997</v>
      </c>
      <c r="I82">
        <v>312.45641600859602</v>
      </c>
      <c r="J82">
        <v>162.14335560784599</v>
      </c>
      <c r="K82">
        <v>65.543132450460106</v>
      </c>
      <c r="L82">
        <v>0.48492738129110358</v>
      </c>
      <c r="M82">
        <v>-0.48415575463964222</v>
      </c>
      <c r="N82">
        <v>31.745185801325</v>
      </c>
      <c r="O82">
        <v>31.745217331284</v>
      </c>
      <c r="P82">
        <v>31.745165047415</v>
      </c>
      <c r="Q82" t="s">
        <v>51</v>
      </c>
    </row>
    <row r="83" spans="1:17" x14ac:dyDescent="0.2">
      <c r="A83">
        <v>82</v>
      </c>
      <c r="B83">
        <v>762</v>
      </c>
      <c r="C83">
        <v>150</v>
      </c>
      <c r="D83">
        <v>0.439183210162781</v>
      </c>
      <c r="E83">
        <v>109.611108788219</v>
      </c>
      <c r="F83">
        <v>1.61767190217157</v>
      </c>
      <c r="G83">
        <v>-1825.7674025291349</v>
      </c>
      <c r="H83">
        <v>-1510.7439663909331</v>
      </c>
      <c r="I83">
        <v>304.33192675381201</v>
      </c>
      <c r="J83">
        <v>160.78600238130099</v>
      </c>
      <c r="K83">
        <v>67.758553907672095</v>
      </c>
      <c r="L83">
        <v>0.12124009390271541</v>
      </c>
      <c r="M83">
        <v>-0.1202660216477323</v>
      </c>
      <c r="N83">
        <v>8.1647240826885703</v>
      </c>
      <c r="O83">
        <v>8.1647645378203109</v>
      </c>
      <c r="P83">
        <v>8.1646964851330104</v>
      </c>
      <c r="Q83" t="s">
        <v>51</v>
      </c>
    </row>
    <row r="84" spans="1:17" x14ac:dyDescent="0.2">
      <c r="A84">
        <v>83</v>
      </c>
      <c r="B84">
        <v>760</v>
      </c>
      <c r="C84">
        <v>150</v>
      </c>
      <c r="D84">
        <v>0.43796205778444602</v>
      </c>
      <c r="E84">
        <v>109.611062034938</v>
      </c>
      <c r="F84">
        <v>1.61123242104968</v>
      </c>
      <c r="G84">
        <v>-1825.1598885321459</v>
      </c>
      <c r="H84">
        <v>-1512.4348864422846</v>
      </c>
      <c r="I84">
        <v>302.69658836715899</v>
      </c>
      <c r="J84">
        <v>160.63670407952699</v>
      </c>
      <c r="K84">
        <v>68.0293299730955</v>
      </c>
      <c r="L84">
        <v>6.2696236933085361E-2</v>
      </c>
      <c r="M84">
        <v>-6.1689176004317184E-2</v>
      </c>
      <c r="N84">
        <v>4.2128621252248397</v>
      </c>
      <c r="O84">
        <v>4.2129034474149396</v>
      </c>
      <c r="P84">
        <v>4.2128326993533598</v>
      </c>
      <c r="Q84" t="s">
        <v>51</v>
      </c>
    </row>
    <row r="85" spans="1:17" x14ac:dyDescent="0.2">
      <c r="A85">
        <v>84</v>
      </c>
      <c r="B85">
        <v>806</v>
      </c>
      <c r="C85">
        <v>125</v>
      </c>
      <c r="D85">
        <v>0.490386415234215</v>
      </c>
      <c r="E85">
        <v>109.60029112705701</v>
      </c>
      <c r="F85">
        <v>1.5726651559743201</v>
      </c>
      <c r="G85">
        <v>-1841.3235295616262</v>
      </c>
      <c r="H85">
        <v>-1490.3861788113295</v>
      </c>
      <c r="I85">
        <v>325.20136860864397</v>
      </c>
      <c r="J85">
        <v>162.37831772264701</v>
      </c>
      <c r="K85">
        <v>69.690798903187897</v>
      </c>
      <c r="L85">
        <v>0.67505343148949859</v>
      </c>
      <c r="M85">
        <v>-0.67425200166183952</v>
      </c>
      <c r="N85">
        <v>47.0064788904875</v>
      </c>
      <c r="O85">
        <v>47.006541354886203</v>
      </c>
      <c r="P85">
        <v>47.006476043496001</v>
      </c>
      <c r="Q85" t="s">
        <v>51</v>
      </c>
    </row>
    <row r="86" spans="1:17" x14ac:dyDescent="0.2">
      <c r="A86">
        <v>85</v>
      </c>
      <c r="B86">
        <v>804</v>
      </c>
      <c r="C86">
        <v>125</v>
      </c>
      <c r="D86">
        <v>0.48931021677575198</v>
      </c>
      <c r="E86">
        <v>109.60033252087599</v>
      </c>
      <c r="F86">
        <v>1.5728686398604099</v>
      </c>
      <c r="G86">
        <v>-1840.6742362671246</v>
      </c>
      <c r="H86">
        <v>-1490.8599946618815</v>
      </c>
      <c r="I86">
        <v>324.76254193645599</v>
      </c>
      <c r="J86">
        <v>162.34066048424501</v>
      </c>
      <c r="K86">
        <v>69.681809239074695</v>
      </c>
      <c r="L86">
        <v>0.66980159250293669</v>
      </c>
      <c r="M86">
        <v>-0.66899476251613721</v>
      </c>
      <c r="N86">
        <v>46.634132092263002</v>
      </c>
      <c r="O86">
        <v>46.634194911561501</v>
      </c>
      <c r="P86">
        <v>46.634129107859103</v>
      </c>
      <c r="Q86" t="s">
        <v>51</v>
      </c>
    </row>
    <row r="87" spans="1:17" x14ac:dyDescent="0.2">
      <c r="A87">
        <v>86</v>
      </c>
      <c r="B87">
        <v>802</v>
      </c>
      <c r="C87">
        <v>125</v>
      </c>
      <c r="D87">
        <v>0.48823001441659297</v>
      </c>
      <c r="E87">
        <v>109.600373933421</v>
      </c>
      <c r="F87">
        <v>1.5730885606345</v>
      </c>
      <c r="G87">
        <v>-1840.0258212474114</v>
      </c>
      <c r="H87">
        <v>-1491.3334261207488</v>
      </c>
      <c r="I87">
        <v>324.32325712962898</v>
      </c>
      <c r="J87">
        <v>162.30551295381201</v>
      </c>
      <c r="K87">
        <v>69.672093915179403</v>
      </c>
      <c r="L87">
        <v>0.66454159020951331</v>
      </c>
      <c r="M87">
        <v>-0.66372933738358564</v>
      </c>
      <c r="N87">
        <v>46.260827062684598</v>
      </c>
      <c r="O87">
        <v>46.260890231768897</v>
      </c>
      <c r="P87">
        <v>46.260823931807501</v>
      </c>
      <c r="Q87" t="s">
        <v>51</v>
      </c>
    </row>
    <row r="88" spans="1:17" x14ac:dyDescent="0.2">
      <c r="A88">
        <v>87</v>
      </c>
      <c r="B88">
        <v>800</v>
      </c>
      <c r="C88">
        <v>125</v>
      </c>
      <c r="D88">
        <v>0.48714578577086598</v>
      </c>
      <c r="E88">
        <v>109.60041537938299</v>
      </c>
      <c r="F88">
        <v>1.5733273438667801</v>
      </c>
      <c r="G88">
        <v>-1839.3782855481165</v>
      </c>
      <c r="H88">
        <v>-1491.8063218267102</v>
      </c>
      <c r="I88">
        <v>323.88365361536898</v>
      </c>
      <c r="J88">
        <v>162.27293691362701</v>
      </c>
      <c r="K88">
        <v>69.661546153527695</v>
      </c>
      <c r="L88">
        <v>0.65928039218914725</v>
      </c>
      <c r="M88">
        <v>-0.65846269974732241</v>
      </c>
      <c r="N88">
        <v>45.886990817443397</v>
      </c>
      <c r="O88">
        <v>45.887054330304402</v>
      </c>
      <c r="P88">
        <v>45.886987530634002</v>
      </c>
      <c r="Q88" t="s">
        <v>51</v>
      </c>
    </row>
    <row r="89" spans="1:17" x14ac:dyDescent="0.2">
      <c r="A89">
        <v>88</v>
      </c>
      <c r="B89">
        <v>798</v>
      </c>
      <c r="C89">
        <v>125</v>
      </c>
      <c r="D89">
        <v>0.48605750828548999</v>
      </c>
      <c r="E89">
        <v>109.60045687776299</v>
      </c>
      <c r="F89">
        <v>1.5735877459988401</v>
      </c>
      <c r="G89">
        <v>-1838.7316299499385</v>
      </c>
      <c r="H89">
        <v>-1492.2785016800701</v>
      </c>
      <c r="I89">
        <v>323.443898439686</v>
      </c>
      <c r="J89">
        <v>162.24300530138601</v>
      </c>
      <c r="K89">
        <v>69.650044718792799</v>
      </c>
      <c r="L89">
        <v>0.65402616073401643</v>
      </c>
      <c r="M89">
        <v>-0.65320301874037778</v>
      </c>
      <c r="N89">
        <v>45.513126155421403</v>
      </c>
      <c r="O89">
        <v>45.513190005056501</v>
      </c>
      <c r="P89">
        <v>45.513122702815203</v>
      </c>
      <c r="Q89" t="s">
        <v>51</v>
      </c>
    </row>
    <row r="90" spans="1:17" x14ac:dyDescent="0.2">
      <c r="A90">
        <v>89</v>
      </c>
      <c r="B90">
        <v>796</v>
      </c>
      <c r="C90">
        <v>125</v>
      </c>
      <c r="D90">
        <v>0.48496515923864703</v>
      </c>
      <c r="E90">
        <v>109.600498448953</v>
      </c>
      <c r="F90">
        <v>1.57387242394267</v>
      </c>
      <c r="G90">
        <v>-1838.0858549251034</v>
      </c>
      <c r="H90">
        <v>-1492.7497902291059</v>
      </c>
      <c r="I90">
        <v>323.00415526323502</v>
      </c>
      <c r="J90">
        <v>162.21578809889999</v>
      </c>
      <c r="K90">
        <v>69.637473013470597</v>
      </c>
      <c r="L90">
        <v>0.64878689375489351</v>
      </c>
      <c r="M90">
        <v>-0.64795829900806989</v>
      </c>
      <c r="N90">
        <v>45.139729581732503</v>
      </c>
      <c r="O90">
        <v>45.1397937601431</v>
      </c>
      <c r="P90">
        <v>45.139725953048199</v>
      </c>
      <c r="Q90" t="s">
        <v>51</v>
      </c>
    </row>
    <row r="91" spans="1:17" x14ac:dyDescent="0.2">
      <c r="A91">
        <v>90</v>
      </c>
      <c r="B91">
        <v>794</v>
      </c>
      <c r="C91">
        <v>125</v>
      </c>
      <c r="D91">
        <v>0.48386871573818202</v>
      </c>
      <c r="E91">
        <v>109.600540114463</v>
      </c>
      <c r="F91">
        <v>1.5741839041196399</v>
      </c>
      <c r="G91">
        <v>-1837.440960641984</v>
      </c>
      <c r="H91">
        <v>-1493.2200190062001</v>
      </c>
      <c r="I91">
        <v>322.564582145222</v>
      </c>
      <c r="J91">
        <v>162.191352117055</v>
      </c>
      <c r="K91">
        <v>69.6237204735978</v>
      </c>
      <c r="L91">
        <v>0.64357032181989626</v>
      </c>
      <c r="M91">
        <v>-0.64273627766429675</v>
      </c>
      <c r="N91">
        <v>44.767284826581502</v>
      </c>
      <c r="O91">
        <v>44.7673493247786</v>
      </c>
      <c r="P91">
        <v>44.767281011109503</v>
      </c>
      <c r="Q91" t="s">
        <v>51</v>
      </c>
    </row>
    <row r="92" spans="1:17" x14ac:dyDescent="0.2">
      <c r="A92">
        <v>91</v>
      </c>
      <c r="B92">
        <v>792</v>
      </c>
      <c r="C92">
        <v>125</v>
      </c>
      <c r="D92">
        <v>0.48276815471999501</v>
      </c>
      <c r="E92">
        <v>109.60058189661</v>
      </c>
      <c r="F92">
        <v>1.5745245563635399</v>
      </c>
      <c r="G92">
        <v>-1836.7969469732275</v>
      </c>
      <c r="H92">
        <v>-1493.6890285621953</v>
      </c>
      <c r="I92">
        <v>322.12532958890802</v>
      </c>
      <c r="J92">
        <v>162.16976091745201</v>
      </c>
      <c r="K92">
        <v>69.608683747517702</v>
      </c>
      <c r="L92">
        <v>0.63838381784911646</v>
      </c>
      <c r="M92">
        <v>-0.6375443339137471</v>
      </c>
      <c r="N92">
        <v>44.3962570585539</v>
      </c>
      <c r="O92">
        <v>44.396321866570801</v>
      </c>
      <c r="P92">
        <v>44.396253045145002</v>
      </c>
      <c r="Q92" t="s">
        <v>51</v>
      </c>
    </row>
    <row r="93" spans="1:17" x14ac:dyDescent="0.2">
      <c r="A93">
        <v>92</v>
      </c>
      <c r="B93">
        <v>790</v>
      </c>
      <c r="C93">
        <v>125</v>
      </c>
      <c r="D93">
        <v>0.48166345294643498</v>
      </c>
      <c r="E93">
        <v>109.600623818328</v>
      </c>
      <c r="F93">
        <v>1.57489657318883</v>
      </c>
      <c r="G93">
        <v>-1836.1538135093629</v>
      </c>
      <c r="H93">
        <v>-1494.156670154973</v>
      </c>
      <c r="I93">
        <v>321.686538895372</v>
      </c>
      <c r="J93">
        <v>162.15107486967801</v>
      </c>
      <c r="K93">
        <v>69.592267634699496</v>
      </c>
      <c r="L93">
        <v>0.63323432156415083</v>
      </c>
      <c r="M93">
        <v>-0.63238941344073563</v>
      </c>
      <c r="N93">
        <v>44.027087936339399</v>
      </c>
      <c r="O93">
        <v>44.027153043250102</v>
      </c>
      <c r="P93">
        <v>44.027083713392997</v>
      </c>
      <c r="Q93" t="s">
        <v>51</v>
      </c>
    </row>
    <row r="94" spans="1:17" x14ac:dyDescent="0.2">
      <c r="A94">
        <v>93</v>
      </c>
      <c r="B94">
        <v>788</v>
      </c>
      <c r="C94">
        <v>125</v>
      </c>
      <c r="D94">
        <v>0.48055458700466802</v>
      </c>
      <c r="E94">
        <v>109.600665902816</v>
      </c>
      <c r="F94">
        <v>1.57530195462636</v>
      </c>
      <c r="G94">
        <v>-1835.5115595728894</v>
      </c>
      <c r="H94">
        <v>-1494.622807064758</v>
      </c>
      <c r="I94">
        <v>321.24834085082301</v>
      </c>
      <c r="J94">
        <v>162.135351336984</v>
      </c>
      <c r="K94">
        <v>69.574385774701994</v>
      </c>
      <c r="L94">
        <v>0.62812827985134212</v>
      </c>
      <c r="M94">
        <v>-0.62727796872442421</v>
      </c>
      <c r="N94">
        <v>43.660191586510898</v>
      </c>
      <c r="O94">
        <v>43.660256980453198</v>
      </c>
      <c r="P94">
        <v>43.660187141963497</v>
      </c>
      <c r="Q94" t="s">
        <v>51</v>
      </c>
    </row>
    <row r="95" spans="1:17" x14ac:dyDescent="0.2">
      <c r="A95">
        <v>94</v>
      </c>
      <c r="B95">
        <v>786</v>
      </c>
      <c r="C95">
        <v>125</v>
      </c>
      <c r="D95">
        <v>0.47944153330501299</v>
      </c>
      <c r="E95">
        <v>109.600708173386</v>
      </c>
      <c r="F95">
        <v>1.5757424985039701</v>
      </c>
      <c r="G95">
        <v>-1834.8701842378314</v>
      </c>
      <c r="H95">
        <v>-1495.0873155370823</v>
      </c>
      <c r="I95">
        <v>320.81085475567801</v>
      </c>
      <c r="J95">
        <v>162.12264498088101</v>
      </c>
      <c r="K95">
        <v>69.5549610913219</v>
      </c>
      <c r="L95">
        <v>0.62307160328500244</v>
      </c>
      <c r="M95">
        <v>-0.6222159155268695</v>
      </c>
      <c r="N95">
        <v>43.295951540742102</v>
      </c>
      <c r="O95">
        <v>43.296017208944399</v>
      </c>
      <c r="P95">
        <v>43.295946862055303</v>
      </c>
      <c r="Q95" t="s">
        <v>51</v>
      </c>
    </row>
    <row r="96" spans="1:17" x14ac:dyDescent="0.2">
      <c r="A96">
        <v>95</v>
      </c>
      <c r="B96">
        <v>784</v>
      </c>
      <c r="C96">
        <v>125</v>
      </c>
      <c r="D96">
        <v>0.47832426807926898</v>
      </c>
      <c r="E96">
        <v>109.60075065316001</v>
      </c>
      <c r="F96">
        <v>1.5762197958508</v>
      </c>
      <c r="G96">
        <v>-1834.2296863484396</v>
      </c>
      <c r="H96">
        <v>-1495.5500853637805</v>
      </c>
      <c r="I96">
        <v>320.37418778413701</v>
      </c>
      <c r="J96">
        <v>162.11300816964601</v>
      </c>
      <c r="K96">
        <v>69.533926005541701</v>
      </c>
      <c r="L96">
        <v>0.61806963825862971</v>
      </c>
      <c r="M96">
        <v>-0.61720860500151675</v>
      </c>
      <c r="N96">
        <v>42.934718614665897</v>
      </c>
      <c r="O96">
        <v>42.934784543475999</v>
      </c>
      <c r="P96">
        <v>42.934713688814398</v>
      </c>
      <c r="Q96" t="s">
        <v>51</v>
      </c>
    </row>
    <row r="97" spans="1:17" x14ac:dyDescent="0.2">
      <c r="A97">
        <v>96</v>
      </c>
      <c r="B97">
        <v>782</v>
      </c>
      <c r="C97">
        <v>125</v>
      </c>
      <c r="D97">
        <v>0.47720276737904699</v>
      </c>
      <c r="E97">
        <v>109.60081265976</v>
      </c>
      <c r="F97">
        <v>1.57294278411729</v>
      </c>
      <c r="G97">
        <v>-1833.5906909940074</v>
      </c>
      <c r="H97">
        <v>-1496.4221176739156</v>
      </c>
      <c r="I97">
        <v>319.549481528576</v>
      </c>
      <c r="J97">
        <v>162.05241798679901</v>
      </c>
      <c r="K97">
        <v>69.678829876362201</v>
      </c>
      <c r="L97">
        <v>0.59431071325690821</v>
      </c>
      <c r="M97">
        <v>-0.59343170728748895</v>
      </c>
      <c r="N97">
        <v>41.367740285148201</v>
      </c>
      <c r="O97">
        <v>41.367807579770897</v>
      </c>
      <c r="P97">
        <v>41.367735017965202</v>
      </c>
      <c r="Q97" t="s">
        <v>51</v>
      </c>
    </row>
    <row r="98" spans="1:17" x14ac:dyDescent="0.2">
      <c r="A98">
        <v>97</v>
      </c>
      <c r="B98">
        <v>780</v>
      </c>
      <c r="C98">
        <v>125</v>
      </c>
      <c r="D98">
        <v>0.47607700707401701</v>
      </c>
      <c r="E98">
        <v>109.60087783381501</v>
      </c>
      <c r="F98">
        <v>1.5687343975593599</v>
      </c>
      <c r="G98">
        <v>-1832.9535766168731</v>
      </c>
      <c r="H98">
        <v>-1497.4035369776755</v>
      </c>
      <c r="I98">
        <v>318.61957978095199</v>
      </c>
      <c r="J98">
        <v>161.98205123744401</v>
      </c>
      <c r="K98">
        <v>69.865796277771295</v>
      </c>
      <c r="L98">
        <v>0.56549125952380785</v>
      </c>
      <c r="M98">
        <v>-0.56459091603158296</v>
      </c>
      <c r="N98">
        <v>39.464116956408603</v>
      </c>
      <c r="O98">
        <v>39.464185904170002</v>
      </c>
      <c r="P98">
        <v>39.464111303157601</v>
      </c>
      <c r="Q98" t="s">
        <v>51</v>
      </c>
    </row>
    <row r="99" spans="1:17" x14ac:dyDescent="0.2">
      <c r="A99">
        <v>98</v>
      </c>
      <c r="B99">
        <v>778</v>
      </c>
      <c r="C99">
        <v>125</v>
      </c>
      <c r="D99">
        <v>0.47494696285021398</v>
      </c>
      <c r="E99">
        <v>109.600940568361</v>
      </c>
      <c r="F99">
        <v>1.5644308711041599</v>
      </c>
      <c r="G99">
        <v>-1832.3183003340325</v>
      </c>
      <c r="H99">
        <v>-1498.4050965558238</v>
      </c>
      <c r="I99">
        <v>317.668731275124</v>
      </c>
      <c r="J99">
        <v>161.91218620722</v>
      </c>
      <c r="K99">
        <v>70.058027230698997</v>
      </c>
      <c r="L99">
        <v>0.53564898675193684</v>
      </c>
      <c r="M99">
        <v>-0.53472670704999159</v>
      </c>
      <c r="N99">
        <v>37.480842608519197</v>
      </c>
      <c r="O99">
        <v>37.4809132513683</v>
      </c>
      <c r="P99">
        <v>37.480836539213101</v>
      </c>
      <c r="Q99" t="s">
        <v>51</v>
      </c>
    </row>
    <row r="100" spans="1:17" x14ac:dyDescent="0.2">
      <c r="A100">
        <v>99</v>
      </c>
      <c r="B100">
        <v>776</v>
      </c>
      <c r="C100">
        <v>125</v>
      </c>
      <c r="D100">
        <v>0.47381261020826598</v>
      </c>
      <c r="E100">
        <v>109.600999494928</v>
      </c>
      <c r="F100">
        <v>1.5598435605932901</v>
      </c>
      <c r="G100">
        <v>-1831.6849003529808</v>
      </c>
      <c r="H100">
        <v>-1499.4488449925832</v>
      </c>
      <c r="I100">
        <v>316.67584034002601</v>
      </c>
      <c r="J100">
        <v>161.83692627819801</v>
      </c>
      <c r="K100">
        <v>70.264097159359395</v>
      </c>
      <c r="L100">
        <v>0.50370539785930357</v>
      </c>
      <c r="M100">
        <v>-0.50275993622729309</v>
      </c>
      <c r="N100">
        <v>35.345365837179699</v>
      </c>
      <c r="O100">
        <v>35.345438273859699</v>
      </c>
      <c r="P100">
        <v>35.345359314776601</v>
      </c>
      <c r="Q100" t="s">
        <v>51</v>
      </c>
    </row>
    <row r="101" spans="1:17" x14ac:dyDescent="0.2">
      <c r="A101">
        <v>100</v>
      </c>
      <c r="B101">
        <v>774</v>
      </c>
      <c r="C101">
        <v>125</v>
      </c>
      <c r="D101">
        <v>0.47267392446163797</v>
      </c>
      <c r="E101">
        <v>109.601051431854</v>
      </c>
      <c r="F101">
        <v>1.5545654391884101</v>
      </c>
      <c r="G101">
        <v>-1831.0534485625881</v>
      </c>
      <c r="H101">
        <v>-1500.5829838205275</v>
      </c>
      <c r="I101">
        <v>315.59471094330098</v>
      </c>
      <c r="J101">
        <v>161.74368043237101</v>
      </c>
      <c r="K101">
        <v>70.502693980559499</v>
      </c>
      <c r="L101">
        <v>0.46733557054330549</v>
      </c>
      <c r="M101">
        <v>-0.46636428007068004</v>
      </c>
      <c r="N101">
        <v>32.899840054716897</v>
      </c>
      <c r="O101">
        <v>32.899914509101897</v>
      </c>
      <c r="P101">
        <v>32.899833027855699</v>
      </c>
      <c r="Q101" t="s">
        <v>51</v>
      </c>
    </row>
    <row r="102" spans="1:17" x14ac:dyDescent="0.2">
      <c r="A102">
        <v>101</v>
      </c>
      <c r="B102">
        <v>772</v>
      </c>
      <c r="C102">
        <v>125</v>
      </c>
      <c r="D102">
        <v>0.47153088073482102</v>
      </c>
      <c r="E102">
        <v>109.60948316416101</v>
      </c>
      <c r="F102">
        <v>1.5234097979636201</v>
      </c>
      <c r="G102">
        <v>-1830.5624878433082</v>
      </c>
      <c r="H102">
        <v>-1505.0808481718952</v>
      </c>
      <c r="I102">
        <v>311.425919387156</v>
      </c>
      <c r="J102">
        <v>160.80555722501401</v>
      </c>
      <c r="K102">
        <v>71.950097282214003</v>
      </c>
      <c r="L102">
        <v>0.29019466914165287</v>
      </c>
      <c r="M102">
        <v>-0.28911011221990546</v>
      </c>
      <c r="N102">
        <v>20.824052280247098</v>
      </c>
      <c r="O102">
        <v>20.824136763536099</v>
      </c>
      <c r="P102">
        <v>20.824043958400701</v>
      </c>
      <c r="Q102" t="s">
        <v>51</v>
      </c>
    </row>
    <row r="103" spans="1:17" x14ac:dyDescent="0.2">
      <c r="A103">
        <v>102</v>
      </c>
      <c r="B103">
        <v>770</v>
      </c>
      <c r="C103">
        <v>125</v>
      </c>
      <c r="D103">
        <v>0.47038345396155901</v>
      </c>
      <c r="E103">
        <v>109.611678636794</v>
      </c>
      <c r="F103">
        <v>1.49126385371056</v>
      </c>
      <c r="G103">
        <v>-1829.9812085678227</v>
      </c>
      <c r="H103">
        <v>-1509.9857810608084</v>
      </c>
      <c r="I103">
        <v>306.76438762366899</v>
      </c>
      <c r="J103">
        <v>159.67892001438199</v>
      </c>
      <c r="K103">
        <v>73.502538376464202</v>
      </c>
      <c r="L103">
        <v>0.10085114479790129</v>
      </c>
      <c r="M103">
        <v>-9.9646912741412186E-2</v>
      </c>
      <c r="N103">
        <v>7.3497420583758002</v>
      </c>
      <c r="O103">
        <v>7.3498374823140598</v>
      </c>
      <c r="P103">
        <v>7.34973223174166</v>
      </c>
      <c r="Q103" t="s">
        <v>51</v>
      </c>
    </row>
    <row r="104" spans="1:17" x14ac:dyDescent="0.2">
      <c r="A104">
        <v>103</v>
      </c>
      <c r="B104">
        <v>768</v>
      </c>
      <c r="C104">
        <v>125</v>
      </c>
      <c r="D104">
        <v>0.46923161888296799</v>
      </c>
      <c r="E104">
        <v>109.61157937017001</v>
      </c>
      <c r="F104">
        <v>1.4860130255217801</v>
      </c>
      <c r="G104">
        <v>-1829.3675854297851</v>
      </c>
      <c r="H104">
        <v>-1511.3923131349047</v>
      </c>
      <c r="I104">
        <v>305.41351073041801</v>
      </c>
      <c r="J104">
        <v>159.49082154465799</v>
      </c>
      <c r="K104">
        <v>73.762192852705795</v>
      </c>
      <c r="L104">
        <v>5.7157863425429924E-2</v>
      </c>
      <c r="M104">
        <v>-5.5924634274083417E-2</v>
      </c>
      <c r="N104">
        <v>4.1511538508908101</v>
      </c>
      <c r="O104">
        <v>4.1512515952922699</v>
      </c>
      <c r="P104">
        <v>4.1511432848722496</v>
      </c>
      <c r="Q104" t="s">
        <v>51</v>
      </c>
    </row>
    <row r="105" spans="1:17" x14ac:dyDescent="0.2">
      <c r="A105">
        <v>104</v>
      </c>
      <c r="B105">
        <v>824</v>
      </c>
      <c r="C105">
        <v>100</v>
      </c>
      <c r="D105">
        <v>0.524960579683728</v>
      </c>
      <c r="E105">
        <v>109.60007601552999</v>
      </c>
      <c r="F105">
        <v>1.3999694288111799</v>
      </c>
      <c r="G105">
        <v>-1849.0493762168337</v>
      </c>
      <c r="H105">
        <v>-1487.8667829126928</v>
      </c>
      <c r="I105">
        <v>329.20440511322403</v>
      </c>
      <c r="J105">
        <v>161.648146444915</v>
      </c>
      <c r="K105">
        <v>78.287478112004493</v>
      </c>
      <c r="L105">
        <v>0.59643319382283266</v>
      </c>
      <c r="M105">
        <v>-0.59536673753953195</v>
      </c>
      <c r="N105">
        <v>46.6421226345769</v>
      </c>
      <c r="O105">
        <v>46.642244949135304</v>
      </c>
      <c r="P105">
        <v>46.642126147535102</v>
      </c>
      <c r="Q105" t="s">
        <v>51</v>
      </c>
    </row>
    <row r="106" spans="1:17" x14ac:dyDescent="0.2">
      <c r="A106">
        <v>105</v>
      </c>
      <c r="B106">
        <v>822</v>
      </c>
      <c r="C106">
        <v>100</v>
      </c>
      <c r="D106">
        <v>0.52396521024517195</v>
      </c>
      <c r="E106">
        <v>109.600118858928</v>
      </c>
      <c r="F106">
        <v>1.40095737014005</v>
      </c>
      <c r="G106">
        <v>-1848.3920115368037</v>
      </c>
      <c r="H106">
        <v>-1488.2820452419121</v>
      </c>
      <c r="I106">
        <v>328.82618660543898</v>
      </c>
      <c r="J106">
        <v>161.62231955415001</v>
      </c>
      <c r="K106">
        <v>78.232301135595307</v>
      </c>
      <c r="L106">
        <v>0.59393499065308941</v>
      </c>
      <c r="M106">
        <v>-0.59286437730606401</v>
      </c>
      <c r="N106">
        <v>46.413512169204203</v>
      </c>
      <c r="O106">
        <v>46.413635067626302</v>
      </c>
      <c r="P106">
        <v>46.413515876418998</v>
      </c>
      <c r="Q106" t="s">
        <v>51</v>
      </c>
    </row>
    <row r="107" spans="1:17" x14ac:dyDescent="0.2">
      <c r="A107">
        <v>106</v>
      </c>
      <c r="B107">
        <v>820</v>
      </c>
      <c r="C107">
        <v>100</v>
      </c>
      <c r="D107">
        <v>0.52296619860037497</v>
      </c>
      <c r="E107">
        <v>109.600157085878</v>
      </c>
      <c r="F107">
        <v>1.4012955156076901</v>
      </c>
      <c r="G107">
        <v>-1847.7354056318406</v>
      </c>
      <c r="H107">
        <v>-1488.7489618568493</v>
      </c>
      <c r="I107">
        <v>328.40003255372801</v>
      </c>
      <c r="J107">
        <v>161.56926194241501</v>
      </c>
      <c r="K107">
        <v>78.213450243111694</v>
      </c>
      <c r="L107">
        <v>0.58954396061204728</v>
      </c>
      <c r="M107">
        <v>-0.58846760515465135</v>
      </c>
      <c r="N107">
        <v>46.0585154022274</v>
      </c>
      <c r="O107">
        <v>46.058639121119597</v>
      </c>
      <c r="P107">
        <v>46.058519311692301</v>
      </c>
      <c r="Q107" t="s">
        <v>51</v>
      </c>
    </row>
    <row r="108" spans="1:17" x14ac:dyDescent="0.2">
      <c r="A108">
        <v>107</v>
      </c>
      <c r="B108">
        <v>818</v>
      </c>
      <c r="C108">
        <v>100</v>
      </c>
      <c r="D108">
        <v>0.52196352472162699</v>
      </c>
      <c r="E108">
        <v>109.600195355785</v>
      </c>
      <c r="F108">
        <v>1.40165165536194</v>
      </c>
      <c r="G108">
        <v>-1847.0796527261839</v>
      </c>
      <c r="H108">
        <v>-1489.2151362759391</v>
      </c>
      <c r="I108">
        <v>327.97377823890201</v>
      </c>
      <c r="J108">
        <v>161.51837822832201</v>
      </c>
      <c r="K108">
        <v>78.193604621030502</v>
      </c>
      <c r="L108">
        <v>0.5851560519902923</v>
      </c>
      <c r="M108">
        <v>-0.58407392676237346</v>
      </c>
      <c r="N108">
        <v>45.703344235210103</v>
      </c>
      <c r="O108">
        <v>45.703468778797301</v>
      </c>
      <c r="P108">
        <v>45.703348347825703</v>
      </c>
      <c r="Q108" t="s">
        <v>51</v>
      </c>
    </row>
    <row r="109" spans="1:17" x14ac:dyDescent="0.2">
      <c r="A109">
        <v>108</v>
      </c>
      <c r="B109">
        <v>816</v>
      </c>
      <c r="C109">
        <v>100</v>
      </c>
      <c r="D109">
        <v>0.520957168434101</v>
      </c>
      <c r="E109">
        <v>109.600233686498</v>
      </c>
      <c r="F109">
        <v>1.40202817328445</v>
      </c>
      <c r="G109">
        <v>-1846.4247531727724</v>
      </c>
      <c r="H109">
        <v>-1489.6804162427175</v>
      </c>
      <c r="I109">
        <v>327.54756320166803</v>
      </c>
      <c r="J109">
        <v>161.46974623844201</v>
      </c>
      <c r="K109">
        <v>78.172632886359494</v>
      </c>
      <c r="L109">
        <v>0.58077754438073059</v>
      </c>
      <c r="M109">
        <v>-0.57968962696171478</v>
      </c>
      <c r="N109">
        <v>45.348426509828002</v>
      </c>
      <c r="O109">
        <v>45.348551881461802</v>
      </c>
      <c r="P109">
        <v>45.348430826331899</v>
      </c>
      <c r="Q109" t="s">
        <v>51</v>
      </c>
    </row>
    <row r="110" spans="1:17" x14ac:dyDescent="0.2">
      <c r="A110">
        <v>109</v>
      </c>
      <c r="B110">
        <v>814</v>
      </c>
      <c r="C110">
        <v>100</v>
      </c>
      <c r="D110">
        <v>0.51994710941452704</v>
      </c>
      <c r="E110">
        <v>109.600272096938</v>
      </c>
      <c r="F110">
        <v>1.4024273718602001</v>
      </c>
      <c r="G110">
        <v>-1845.77070706625</v>
      </c>
      <c r="H110">
        <v>-1490.1446543115073</v>
      </c>
      <c r="I110">
        <v>327.12152334734401</v>
      </c>
      <c r="J110">
        <v>161.423441240258</v>
      </c>
      <c r="K110">
        <v>78.150408567369894</v>
      </c>
      <c r="L110">
        <v>0.57641456956214299</v>
      </c>
      <c r="M110">
        <v>-0.57532084266438377</v>
      </c>
      <c r="N110">
        <v>44.994183068357103</v>
      </c>
      <c r="O110">
        <v>44.994309270519899</v>
      </c>
      <c r="P110">
        <v>44.994187589310798</v>
      </c>
      <c r="Q110" t="s">
        <v>51</v>
      </c>
    </row>
    <row r="111" spans="1:17" x14ac:dyDescent="0.2">
      <c r="A111">
        <v>110</v>
      </c>
      <c r="B111">
        <v>812</v>
      </c>
      <c r="C111">
        <v>100</v>
      </c>
      <c r="D111">
        <v>0.51893332718978802</v>
      </c>
      <c r="E111">
        <v>109.60031060689801</v>
      </c>
      <c r="F111">
        <v>1.4028514485785299</v>
      </c>
      <c r="G111">
        <v>-1845.1175142487361</v>
      </c>
      <c r="H111">
        <v>-1490.6077095946516</v>
      </c>
      <c r="I111">
        <v>326.695789307822</v>
      </c>
      <c r="J111">
        <v>161.379535522179</v>
      </c>
      <c r="K111">
        <v>78.126811443900493</v>
      </c>
      <c r="L111">
        <v>0.57207304127749681</v>
      </c>
      <c r="M111">
        <v>-0.57097349257929653</v>
      </c>
      <c r="N111">
        <v>44.641022849741901</v>
      </c>
      <c r="O111">
        <v>44.641149884060397</v>
      </c>
      <c r="P111">
        <v>44.641027575517597</v>
      </c>
      <c r="Q111" t="s">
        <v>51</v>
      </c>
    </row>
    <row r="112" spans="1:17" x14ac:dyDescent="0.2">
      <c r="A112">
        <v>111</v>
      </c>
      <c r="B112">
        <v>810</v>
      </c>
      <c r="C112">
        <v>100</v>
      </c>
      <c r="D112">
        <v>0.517915801135579</v>
      </c>
      <c r="E112">
        <v>109.600349236798</v>
      </c>
      <c r="F112">
        <v>1.4033024759951001</v>
      </c>
      <c r="G112">
        <v>-1844.4651743177112</v>
      </c>
      <c r="H112">
        <v>-1491.0694492668888</v>
      </c>
      <c r="I112">
        <v>326.27048501151899</v>
      </c>
      <c r="J112">
        <v>161.33809809069101</v>
      </c>
      <c r="K112">
        <v>78.1017286804679</v>
      </c>
      <c r="L112">
        <v>0.56775859402135265</v>
      </c>
      <c r="M112">
        <v>-0.56665321594713758</v>
      </c>
      <c r="N112">
        <v>44.289338536848703</v>
      </c>
      <c r="O112">
        <v>44.289466404114897</v>
      </c>
      <c r="P112">
        <v>44.289343467616099</v>
      </c>
      <c r="Q112" t="s">
        <v>51</v>
      </c>
    </row>
    <row r="113" spans="1:17" x14ac:dyDescent="0.2">
      <c r="A113">
        <v>112</v>
      </c>
      <c r="B113">
        <v>808</v>
      </c>
      <c r="C113">
        <v>100</v>
      </c>
      <c r="D113">
        <v>0.51689451047495805</v>
      </c>
      <c r="E113">
        <v>109.60038800748499</v>
      </c>
      <c r="F113">
        <v>1.4037823858271401</v>
      </c>
      <c r="G113">
        <v>-1843.8136866373984</v>
      </c>
      <c r="H113">
        <v>-1491.5297497994302</v>
      </c>
      <c r="I113">
        <v>325.84572649065501</v>
      </c>
      <c r="J113">
        <v>161.29919448853701</v>
      </c>
      <c r="K113">
        <v>78.075055730882099</v>
      </c>
      <c r="L113">
        <v>0.56347653209697612</v>
      </c>
      <c r="M113">
        <v>-0.56236532155324526</v>
      </c>
      <c r="N113">
        <v>43.939502850863697</v>
      </c>
      <c r="O113">
        <v>43.939631551063201</v>
      </c>
      <c r="P113">
        <v>43.939507986577603</v>
      </c>
      <c r="Q113" t="s">
        <v>51</v>
      </c>
    </row>
    <row r="114" spans="1:17" x14ac:dyDescent="0.2">
      <c r="A114">
        <v>113</v>
      </c>
      <c r="B114">
        <v>806</v>
      </c>
      <c r="C114">
        <v>100</v>
      </c>
      <c r="D114">
        <v>0.51586943427697896</v>
      </c>
      <c r="E114">
        <v>109.600426940002</v>
      </c>
      <c r="F114">
        <v>1.40429295715171</v>
      </c>
      <c r="G114">
        <v>-1843.1630503517836</v>
      </c>
      <c r="H114">
        <v>-1491.9884979107433</v>
      </c>
      <c r="I114">
        <v>325.421620939268</v>
      </c>
      <c r="J114">
        <v>161.262886732163</v>
      </c>
      <c r="K114">
        <v>78.046697009932601</v>
      </c>
      <c r="L114">
        <v>0.55923178950088592</v>
      </c>
      <c r="M114">
        <v>-0.55811474757702095</v>
      </c>
      <c r="N114">
        <v>43.591865543861097</v>
      </c>
      <c r="O114">
        <v>43.591995076206103</v>
      </c>
      <c r="P114">
        <v>43.591870884248301</v>
      </c>
      <c r="Q114" t="s">
        <v>51</v>
      </c>
    </row>
    <row r="115" spans="1:17" x14ac:dyDescent="0.2">
      <c r="A115">
        <v>114</v>
      </c>
      <c r="B115">
        <v>804</v>
      </c>
      <c r="C115">
        <v>100</v>
      </c>
      <c r="D115">
        <v>0.514840551455232</v>
      </c>
      <c r="E115">
        <v>109.600466055431</v>
      </c>
      <c r="F115">
        <v>1.4048358086583701</v>
      </c>
      <c r="G115">
        <v>-1842.5132644003963</v>
      </c>
      <c r="H115">
        <v>-1492.4455912361548</v>
      </c>
      <c r="I115">
        <v>324.99826602428902</v>
      </c>
      <c r="J115">
        <v>161.22923336195299</v>
      </c>
      <c r="K115">
        <v>78.016566334609706</v>
      </c>
      <c r="L115">
        <v>0.55502890071552535</v>
      </c>
      <c r="M115">
        <v>-0.55390603235869351</v>
      </c>
      <c r="N115">
        <v>43.246751106903403</v>
      </c>
      <c r="O115">
        <v>43.246881469870999</v>
      </c>
      <c r="P115">
        <v>43.246756651450703</v>
      </c>
      <c r="Q115" t="s">
        <v>51</v>
      </c>
    </row>
    <row r="116" spans="1:17" x14ac:dyDescent="0.2">
      <c r="A116">
        <v>115</v>
      </c>
      <c r="B116">
        <v>802</v>
      </c>
      <c r="C116">
        <v>100</v>
      </c>
      <c r="D116">
        <v>0.51380784076640695</v>
      </c>
      <c r="E116">
        <v>109.600505374696</v>
      </c>
      <c r="F116">
        <v>1.40541239468204</v>
      </c>
      <c r="G116">
        <v>-1841.8643275346953</v>
      </c>
      <c r="H116">
        <v>-1492.9009387288104</v>
      </c>
      <c r="I116">
        <v>324.57574943932201</v>
      </c>
      <c r="J116">
        <v>161.19828959538401</v>
      </c>
      <c r="K116">
        <v>77.984587149945995</v>
      </c>
      <c r="L116">
        <v>0.55087198195736786</v>
      </c>
      <c r="M116">
        <v>-0.54974329563036517</v>
      </c>
      <c r="N116">
        <v>42.9044571756979</v>
      </c>
      <c r="O116">
        <v>42.904588367069699</v>
      </c>
      <c r="P116">
        <v>42.904462923639599</v>
      </c>
      <c r="Q116" t="s">
        <v>51</v>
      </c>
    </row>
    <row r="117" spans="1:17" x14ac:dyDescent="0.2">
      <c r="A117">
        <v>116</v>
      </c>
      <c r="B117">
        <v>800</v>
      </c>
      <c r="C117">
        <v>100</v>
      </c>
      <c r="D117">
        <v>0.51277128080883805</v>
      </c>
      <c r="E117">
        <v>109.600544918403</v>
      </c>
      <c r="F117">
        <v>1.4060240046782999</v>
      </c>
      <c r="G117">
        <v>-1841.2162383355503</v>
      </c>
      <c r="H117">
        <v>-1493.3544608133966</v>
      </c>
      <c r="I117">
        <v>324.154148684799</v>
      </c>
      <c r="J117">
        <v>161.170107571648</v>
      </c>
      <c r="K117">
        <v>77.950692558395701</v>
      </c>
      <c r="L117">
        <v>0.54676472214605543</v>
      </c>
      <c r="M117">
        <v>-0.54563022947635309</v>
      </c>
      <c r="N117">
        <v>42.565253594776998</v>
      </c>
      <c r="O117">
        <v>42.565385611681201</v>
      </c>
      <c r="P117">
        <v>42.565259545082498</v>
      </c>
      <c r="Q117" t="s">
        <v>51</v>
      </c>
    </row>
    <row r="118" spans="1:17" x14ac:dyDescent="0.2">
      <c r="A118">
        <v>117</v>
      </c>
      <c r="B118">
        <v>798</v>
      </c>
      <c r="C118">
        <v>100</v>
      </c>
      <c r="D118">
        <v>0.51173085002101004</v>
      </c>
      <c r="E118">
        <v>109.60058470676699</v>
      </c>
      <c r="F118">
        <v>1.40667176568313</v>
      </c>
      <c r="G118">
        <v>-1840.5689952325993</v>
      </c>
      <c r="H118">
        <v>-1493.8060893240076</v>
      </c>
      <c r="I118">
        <v>323.73353104890901</v>
      </c>
      <c r="J118">
        <v>161.14473667348801</v>
      </c>
      <c r="K118">
        <v>77.914825178524097</v>
      </c>
      <c r="L118">
        <v>0.54271038248682291</v>
      </c>
      <c r="M118">
        <v>-0.5415700979141751</v>
      </c>
      <c r="N118">
        <v>42.229382074426802</v>
      </c>
      <c r="O118">
        <v>42.229514913380598</v>
      </c>
      <c r="P118">
        <v>42.229388225788497</v>
      </c>
      <c r="Q118" t="s">
        <v>51</v>
      </c>
    </row>
    <row r="119" spans="1:17" x14ac:dyDescent="0.2">
      <c r="A119">
        <v>118</v>
      </c>
      <c r="B119">
        <v>796</v>
      </c>
      <c r="C119">
        <v>100</v>
      </c>
      <c r="D119">
        <v>0.51068652668007097</v>
      </c>
      <c r="E119">
        <v>109.600629402338</v>
      </c>
      <c r="F119">
        <v>1.40635211073017</v>
      </c>
      <c r="G119">
        <v>-1839.9226910869891</v>
      </c>
      <c r="H119">
        <v>-1494.3543565983136</v>
      </c>
      <c r="I119">
        <v>323.22184293017</v>
      </c>
      <c r="J119">
        <v>161.097904887494</v>
      </c>
      <c r="K119">
        <v>77.932566507425904</v>
      </c>
      <c r="L119">
        <v>0.53455212493075632</v>
      </c>
      <c r="M119">
        <v>-0.53340296607143067</v>
      </c>
      <c r="N119">
        <v>41.602657176192203</v>
      </c>
      <c r="O119">
        <v>41.602791285961899</v>
      </c>
      <c r="P119">
        <v>41.602663549494899</v>
      </c>
      <c r="Q119" t="s">
        <v>51</v>
      </c>
    </row>
    <row r="120" spans="1:17" x14ac:dyDescent="0.2">
      <c r="A120">
        <v>119</v>
      </c>
      <c r="B120">
        <v>794</v>
      </c>
      <c r="C120">
        <v>100</v>
      </c>
      <c r="D120">
        <v>0.50963828890034402</v>
      </c>
      <c r="E120">
        <v>109.600691626187</v>
      </c>
      <c r="F120">
        <v>1.4021072342749299</v>
      </c>
      <c r="G120">
        <v>-1839.2781350493633</v>
      </c>
      <c r="H120">
        <v>-1495.2929090579796</v>
      </c>
      <c r="I120">
        <v>322.344202276673</v>
      </c>
      <c r="J120">
        <v>160.95779478817801</v>
      </c>
      <c r="K120">
        <v>78.168551553665495</v>
      </c>
      <c r="L120">
        <v>0.50989444431656539</v>
      </c>
      <c r="M120">
        <v>-0.50872410732128792</v>
      </c>
      <c r="N120">
        <v>39.800016742566797</v>
      </c>
      <c r="O120">
        <v>39.800153931163798</v>
      </c>
      <c r="P120">
        <v>39.800023429416299</v>
      </c>
      <c r="Q120" t="s">
        <v>51</v>
      </c>
    </row>
    <row r="121" spans="1:17" x14ac:dyDescent="0.2">
      <c r="A121">
        <v>120</v>
      </c>
      <c r="B121">
        <v>792</v>
      </c>
      <c r="C121">
        <v>100</v>
      </c>
      <c r="D121">
        <v>0.50858611463174297</v>
      </c>
      <c r="E121">
        <v>109.600751988637</v>
      </c>
      <c r="F121">
        <v>1.3978505518298501</v>
      </c>
      <c r="G121">
        <v>-1838.6353119476344</v>
      </c>
      <c r="H121">
        <v>-1496.2402116825795</v>
      </c>
      <c r="I121">
        <v>321.456679294065</v>
      </c>
      <c r="J121">
        <v>160.817992805253</v>
      </c>
      <c r="K121">
        <v>78.406630698228</v>
      </c>
      <c r="L121">
        <v>0.48480819631690791</v>
      </c>
      <c r="M121">
        <v>-0.48361638345053659</v>
      </c>
      <c r="N121">
        <v>37.953124126354098</v>
      </c>
      <c r="O121">
        <v>37.953264455850402</v>
      </c>
      <c r="P121">
        <v>37.953131133729897</v>
      </c>
      <c r="Q121" t="s">
        <v>51</v>
      </c>
    </row>
    <row r="122" spans="1:17" x14ac:dyDescent="0.2">
      <c r="A122">
        <v>121</v>
      </c>
      <c r="B122">
        <v>790</v>
      </c>
      <c r="C122">
        <v>100</v>
      </c>
      <c r="D122">
        <v>0.507529981658283</v>
      </c>
      <c r="E122">
        <v>109.600809709939</v>
      </c>
      <c r="F122">
        <v>1.39346880155174</v>
      </c>
      <c r="G122">
        <v>-1837.9942390275833</v>
      </c>
      <c r="H122">
        <v>-1497.2082180615123</v>
      </c>
      <c r="I122">
        <v>320.54799248978497</v>
      </c>
      <c r="J122">
        <v>160.67376407584001</v>
      </c>
      <c r="K122">
        <v>78.653221075268902</v>
      </c>
      <c r="L122">
        <v>0.45875151503497014</v>
      </c>
      <c r="M122">
        <v>-0.45753756848404448</v>
      </c>
      <c r="N122">
        <v>36.021820065630997</v>
      </c>
      <c r="O122">
        <v>36.021963652228202</v>
      </c>
      <c r="P122">
        <v>36.0218274030873</v>
      </c>
      <c r="Q122" t="s">
        <v>51</v>
      </c>
    </row>
    <row r="123" spans="1:17" x14ac:dyDescent="0.2">
      <c r="A123">
        <v>122</v>
      </c>
      <c r="B123">
        <v>788</v>
      </c>
      <c r="C123">
        <v>100</v>
      </c>
      <c r="D123">
        <v>0.50646986759647905</v>
      </c>
      <c r="E123">
        <v>109.600863266376</v>
      </c>
      <c r="F123">
        <v>1.3887577008740799</v>
      </c>
      <c r="G123">
        <v>-1837.3549522441365</v>
      </c>
      <c r="H123">
        <v>-1498.2188377365135</v>
      </c>
      <c r="I123">
        <v>319.59741208155401</v>
      </c>
      <c r="J123">
        <v>160.51665388436501</v>
      </c>
      <c r="K123">
        <v>78.9200759768202</v>
      </c>
      <c r="L123">
        <v>0.43074906162772419</v>
      </c>
      <c r="M123">
        <v>-0.42951167122372286</v>
      </c>
      <c r="N123">
        <v>33.932778547585301</v>
      </c>
      <c r="O123">
        <v>33.932925607392498</v>
      </c>
      <c r="P123">
        <v>33.932786229913603</v>
      </c>
      <c r="Q123" t="s">
        <v>51</v>
      </c>
    </row>
    <row r="124" spans="1:17" x14ac:dyDescent="0.2">
      <c r="A124">
        <v>123</v>
      </c>
      <c r="B124">
        <v>786</v>
      </c>
      <c r="C124">
        <v>100</v>
      </c>
      <c r="D124">
        <v>0.50540574989378495</v>
      </c>
      <c r="E124">
        <v>109.600909319621</v>
      </c>
      <c r="F124">
        <v>1.3833156119029</v>
      </c>
      <c r="G124">
        <v>-1836.7175174559723</v>
      </c>
      <c r="H124">
        <v>-1499.3160381023097</v>
      </c>
      <c r="I124">
        <v>318.56325693407399</v>
      </c>
      <c r="J124">
        <v>160.3298462015</v>
      </c>
      <c r="K124">
        <v>79.230587999258304</v>
      </c>
      <c r="L124">
        <v>0.39887288451693947</v>
      </c>
      <c r="M124">
        <v>-0.39760945036356071</v>
      </c>
      <c r="N124">
        <v>31.539276057881899</v>
      </c>
      <c r="O124">
        <v>31.539427007308799</v>
      </c>
      <c r="P124">
        <v>31.539284110979199</v>
      </c>
      <c r="Q124" t="s">
        <v>51</v>
      </c>
    </row>
    <row r="125" spans="1:17" x14ac:dyDescent="0.2">
      <c r="A125">
        <v>124</v>
      </c>
      <c r="B125">
        <v>784</v>
      </c>
      <c r="C125">
        <v>100</v>
      </c>
      <c r="D125">
        <v>0.50433760582698905</v>
      </c>
      <c r="E125">
        <v>109.606230691254</v>
      </c>
      <c r="F125">
        <v>1.3644837901861</v>
      </c>
      <c r="G125">
        <v>-1836.1689408229161</v>
      </c>
      <c r="H125">
        <v>-1502.0163107640399</v>
      </c>
      <c r="I125">
        <v>316.09303079334302</v>
      </c>
      <c r="J125">
        <v>159.576212493931</v>
      </c>
      <c r="K125">
        <v>80.327982992238901</v>
      </c>
      <c r="L125">
        <v>0.30620733649681958</v>
      </c>
      <c r="M125">
        <v>-0.30487571225311061</v>
      </c>
      <c r="N125">
        <v>24.5288347159875</v>
      </c>
      <c r="O125">
        <v>24.528996148936699</v>
      </c>
      <c r="P125">
        <v>24.528843511598001</v>
      </c>
      <c r="Q125" t="s">
        <v>51</v>
      </c>
    </row>
    <row r="126" spans="1:17" x14ac:dyDescent="0.2">
      <c r="A126">
        <v>125</v>
      </c>
      <c r="B126">
        <v>782</v>
      </c>
      <c r="C126">
        <v>100</v>
      </c>
      <c r="D126">
        <v>0.50326541250059598</v>
      </c>
      <c r="E126">
        <v>109.612035737959</v>
      </c>
      <c r="F126">
        <v>1.32667973270466</v>
      </c>
      <c r="G126">
        <v>-1835.6367962017478</v>
      </c>
      <c r="H126">
        <v>-1507.2178413905012</v>
      </c>
      <c r="I126">
        <v>311.25879937201</v>
      </c>
      <c r="J126">
        <v>157.85377816920601</v>
      </c>
      <c r="K126">
        <v>82.621323772314398</v>
      </c>
      <c r="L126">
        <v>0.12246806377159591</v>
      </c>
      <c r="M126">
        <v>-0.12100644596940163</v>
      </c>
      <c r="N126">
        <v>10.041293764083999</v>
      </c>
      <c r="O126">
        <v>10.041476052152101</v>
      </c>
      <c r="P126">
        <v>10.0413039042477</v>
      </c>
      <c r="Q126" t="s">
        <v>51</v>
      </c>
    </row>
    <row r="127" spans="1:17" x14ac:dyDescent="0.2">
      <c r="A127">
        <v>126</v>
      </c>
      <c r="B127">
        <v>780</v>
      </c>
      <c r="C127">
        <v>100</v>
      </c>
      <c r="D127">
        <v>0.50218914684517901</v>
      </c>
      <c r="E127">
        <v>109.612138825683</v>
      </c>
      <c r="F127">
        <v>1.3166418528379</v>
      </c>
      <c r="G127">
        <v>-1835.0180667789123</v>
      </c>
      <c r="H127">
        <v>-1509.1247390909732</v>
      </c>
      <c r="I127">
        <v>309.451937018487</v>
      </c>
      <c r="J127">
        <v>157.33553849164699</v>
      </c>
      <c r="K127">
        <v>83.251294639786707</v>
      </c>
      <c r="L127">
        <v>6.425585114940556E-2</v>
      </c>
      <c r="M127">
        <v>-6.2750946265668808E-2</v>
      </c>
      <c r="N127">
        <v>5.2691388431181103</v>
      </c>
      <c r="O127">
        <v>5.2693281912802297</v>
      </c>
      <c r="P127">
        <v>5.2691495661069201</v>
      </c>
      <c r="Q127" t="s">
        <v>51</v>
      </c>
    </row>
    <row r="128" spans="1:17" x14ac:dyDescent="0.2">
      <c r="A128">
        <v>127</v>
      </c>
      <c r="B128">
        <v>778</v>
      </c>
      <c r="C128">
        <v>100</v>
      </c>
      <c r="D128">
        <v>0.501108785615755</v>
      </c>
      <c r="E128">
        <v>109.612015648732</v>
      </c>
      <c r="F128">
        <v>1.3146803098897799</v>
      </c>
      <c r="G128">
        <v>-1834.3980783962593</v>
      </c>
      <c r="H128">
        <v>-1510.0294741995631</v>
      </c>
      <c r="I128">
        <v>308.59026963959502</v>
      </c>
      <c r="J128">
        <v>157.205747114574</v>
      </c>
      <c r="K128">
        <v>83.375414406199596</v>
      </c>
      <c r="L128">
        <v>4.3056493687924462E-2</v>
      </c>
      <c r="M128">
        <v>-4.1533742723580937E-2</v>
      </c>
      <c r="N128">
        <v>3.5083710124738201</v>
      </c>
      <c r="O128">
        <v>3.5085631728828801</v>
      </c>
      <c r="P128">
        <v>3.5083820753425399</v>
      </c>
      <c r="Q128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16A5A-978E-4FA7-95DD-FD1FD27E03B6}">
  <sheetPr codeName="Sheet4"/>
  <dimension ref="A1:AI128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752</v>
      </c>
      <c r="C2">
        <v>300</v>
      </c>
      <c r="D2">
        <v>0.27207774472028401</v>
      </c>
      <c r="E2">
        <v>106.23865343083</v>
      </c>
      <c r="F2">
        <v>2.18968963976738</v>
      </c>
      <c r="G2">
        <v>-1741.1557995064256</v>
      </c>
      <c r="H2">
        <v>-1450.4030806991709</v>
      </c>
      <c r="I2">
        <v>283.61968376067301</v>
      </c>
      <c r="J2">
        <v>145.00017055844501</v>
      </c>
      <c r="K2">
        <v>48.5176764329563</v>
      </c>
      <c r="L2">
        <v>1.6866823588923679E-4</v>
      </c>
      <c r="M2">
        <v>1.812595121736146E-5</v>
      </c>
      <c r="N2" s="1">
        <v>4.23308053284395E-6</v>
      </c>
      <c r="O2" s="1">
        <v>1.12870629176903E-7</v>
      </c>
      <c r="P2" s="1">
        <v>-5.7351058944172098E-7</v>
      </c>
      <c r="Q2">
        <v>71.367621436753893</v>
      </c>
      <c r="R2">
        <v>7.7184713239412603E-2</v>
      </c>
      <c r="S2">
        <v>12.189537029883301</v>
      </c>
      <c r="T2">
        <v>0.18529297258595601</v>
      </c>
      <c r="V2">
        <v>0.45451415680405699</v>
      </c>
      <c r="W2">
        <v>2.9179586712460601E-2</v>
      </c>
      <c r="X2">
        <v>8.4714929165209896E-2</v>
      </c>
      <c r="AA2">
        <v>0.65889389350717997</v>
      </c>
      <c r="AB2">
        <v>4.1133804494662396</v>
      </c>
      <c r="AC2">
        <v>3.7745207328053798</v>
      </c>
      <c r="AD2">
        <v>8.4714929165207193E-3</v>
      </c>
      <c r="AE2">
        <v>7.0566886061603702</v>
      </c>
    </row>
    <row r="3" spans="1:35" x14ac:dyDescent="0.2">
      <c r="A3">
        <v>2</v>
      </c>
      <c r="B3">
        <v>750</v>
      </c>
      <c r="C3">
        <v>300</v>
      </c>
      <c r="D3">
        <v>0.270518008112205</v>
      </c>
      <c r="E3">
        <v>105.847100942727</v>
      </c>
      <c r="F3">
        <v>2.1905307785508299</v>
      </c>
      <c r="G3">
        <v>-1734.1100984232532</v>
      </c>
      <c r="H3">
        <v>-1445.1967576412226</v>
      </c>
      <c r="I3">
        <v>282.37632877098201</v>
      </c>
      <c r="J3">
        <v>144.484699701534</v>
      </c>
      <c r="K3">
        <v>48.320298431392501</v>
      </c>
      <c r="L3">
        <v>1.6878316204348346E-4</v>
      </c>
      <c r="M3">
        <v>1.8114205166058726E-5</v>
      </c>
      <c r="N3" s="1">
        <v>4.23196498458962E-6</v>
      </c>
      <c r="O3" s="1">
        <v>1.12379929384672E-7</v>
      </c>
      <c r="P3" s="1">
        <v>-5.7233360356223901E-7</v>
      </c>
      <c r="Q3">
        <v>71.280087473456305</v>
      </c>
      <c r="R3">
        <v>7.7470237039718295E-2</v>
      </c>
      <c r="S3">
        <v>12.234628898347299</v>
      </c>
      <c r="T3">
        <v>0.186683945356065</v>
      </c>
      <c r="V3">
        <v>0.455560662581457</v>
      </c>
      <c r="W3">
        <v>2.92875286369659E-2</v>
      </c>
      <c r="X3">
        <v>8.5028308946035594E-2</v>
      </c>
      <c r="AA3">
        <v>0.66133129180246997</v>
      </c>
      <c r="AB3">
        <v>4.1285967788239404</v>
      </c>
      <c r="AC3">
        <v>3.7884835430397401</v>
      </c>
      <c r="AD3">
        <v>8.5028308946025598E-3</v>
      </c>
      <c r="AE3">
        <v>7.0643385010753104</v>
      </c>
    </row>
    <row r="4" spans="1:35" x14ac:dyDescent="0.2">
      <c r="A4">
        <v>3</v>
      </c>
      <c r="B4">
        <v>748</v>
      </c>
      <c r="C4">
        <v>300</v>
      </c>
      <c r="D4">
        <v>0.26895216177838999</v>
      </c>
      <c r="E4">
        <v>105.389091848733</v>
      </c>
      <c r="F4">
        <v>2.1913881104871402</v>
      </c>
      <c r="G4">
        <v>-1725.9702813778874</v>
      </c>
      <c r="H4">
        <v>-1439.0551170264553</v>
      </c>
      <c r="I4">
        <v>280.97259398857301</v>
      </c>
      <c r="J4">
        <v>143.887036604184</v>
      </c>
      <c r="K4">
        <v>48.092390090272602</v>
      </c>
      <c r="L4">
        <v>1.6894182140206359E-4</v>
      </c>
      <c r="M4">
        <v>1.8103591633697321E-5</v>
      </c>
      <c r="N4" s="1">
        <v>4.2290134105978399E-6</v>
      </c>
      <c r="O4" s="1">
        <v>1.1184175053817999E-7</v>
      </c>
      <c r="P4" s="1">
        <v>-5.7101868776475401E-7</v>
      </c>
      <c r="Q4">
        <v>71.176719361264006</v>
      </c>
      <c r="R4">
        <v>7.7806913942950306E-2</v>
      </c>
      <c r="S4">
        <v>12.2877992141629</v>
      </c>
      <c r="T4">
        <v>0.18822935049394501</v>
      </c>
      <c r="V4">
        <v>0.45687992851065301</v>
      </c>
      <c r="W4">
        <v>2.9414808929650999E-2</v>
      </c>
      <c r="X4">
        <v>8.5397832376413005E-2</v>
      </c>
      <c r="AA4">
        <v>0.664205362927621</v>
      </c>
      <c r="AB4">
        <v>4.1465391942766603</v>
      </c>
      <c r="AC4">
        <v>3.80494786477094</v>
      </c>
      <c r="AD4">
        <v>8.5397832376401007E-3</v>
      </c>
      <c r="AE4">
        <v>7.07352038510653</v>
      </c>
    </row>
    <row r="5" spans="1:35" x14ac:dyDescent="0.2">
      <c r="A5">
        <v>4</v>
      </c>
      <c r="B5">
        <v>746</v>
      </c>
      <c r="C5">
        <v>300</v>
      </c>
      <c r="D5">
        <v>0.26738016974930101</v>
      </c>
      <c r="E5">
        <v>104.93550096154701</v>
      </c>
      <c r="F5">
        <v>2.1922440397477199</v>
      </c>
      <c r="G5">
        <v>-1717.9091430324015</v>
      </c>
      <c r="H5">
        <v>-1432.9729710848553</v>
      </c>
      <c r="I5">
        <v>279.58217332830799</v>
      </c>
      <c r="J5">
        <v>143.295270855067</v>
      </c>
      <c r="K5">
        <v>47.866706013999398</v>
      </c>
      <c r="L5">
        <v>1.6910176052153996E-4</v>
      </c>
      <c r="M5">
        <v>1.8093028335387667E-5</v>
      </c>
      <c r="N5" s="1">
        <v>4.2262042103535796E-6</v>
      </c>
      <c r="O5" s="1">
        <v>1.11310016712655E-7</v>
      </c>
      <c r="P5" s="1">
        <v>-5.6972781067716102E-7</v>
      </c>
      <c r="Q5">
        <v>71.073326868281598</v>
      </c>
      <c r="R5">
        <v>7.8143239655423705E-2</v>
      </c>
      <c r="S5">
        <v>12.340914067535801</v>
      </c>
      <c r="T5">
        <v>0.18978604545486599</v>
      </c>
      <c r="V5">
        <v>0.45818620907539198</v>
      </c>
      <c r="W5">
        <v>2.9541956455097901E-2</v>
      </c>
      <c r="X5">
        <v>8.5766970353519198E-2</v>
      </c>
      <c r="AA5">
        <v>0.66707643608288003</v>
      </c>
      <c r="AB5">
        <v>4.1644628938316099</v>
      </c>
      <c r="AC5">
        <v>3.8213950124174501</v>
      </c>
      <c r="AD5">
        <v>8.5766970353502604E-3</v>
      </c>
      <c r="AE5">
        <v>7.0828236038208097</v>
      </c>
    </row>
    <row r="6" spans="1:35" x14ac:dyDescent="0.2">
      <c r="A6">
        <v>5</v>
      </c>
      <c r="B6">
        <v>744</v>
      </c>
      <c r="C6">
        <v>300</v>
      </c>
      <c r="D6">
        <v>0.26580199577250502</v>
      </c>
      <c r="E6">
        <v>104.486253752979</v>
      </c>
      <c r="F6">
        <v>2.1930985385929498</v>
      </c>
      <c r="G6">
        <v>-1709.9253795520942</v>
      </c>
      <c r="H6">
        <v>-1426.9493087912631</v>
      </c>
      <c r="I6">
        <v>278.20485745546898</v>
      </c>
      <c r="J6">
        <v>142.70930697348399</v>
      </c>
      <c r="K6">
        <v>47.643209784825899</v>
      </c>
      <c r="L6">
        <v>1.6926301031918163E-4</v>
      </c>
      <c r="M6">
        <v>1.8082516721730075E-5</v>
      </c>
      <c r="N6" s="1">
        <v>4.2235368162542497E-6</v>
      </c>
      <c r="O6" s="1">
        <v>1.10784647237131E-7</v>
      </c>
      <c r="P6" s="1">
        <v>-5.6846078285504098E-7</v>
      </c>
      <c r="Q6">
        <v>70.969905412579195</v>
      </c>
      <c r="R6">
        <v>7.8479222916596397E-2</v>
      </c>
      <c r="S6">
        <v>12.3939748386608</v>
      </c>
      <c r="T6">
        <v>0.19135417117284101</v>
      </c>
      <c r="V6">
        <v>0.45947944780370997</v>
      </c>
      <c r="W6">
        <v>2.96689745172483E-2</v>
      </c>
      <c r="X6">
        <v>8.6135732469441895E-2</v>
      </c>
      <c r="AA6">
        <v>0.66994458587337702</v>
      </c>
      <c r="AB6">
        <v>4.1823683432379797</v>
      </c>
      <c r="AC6">
        <v>3.8378254133601</v>
      </c>
      <c r="AD6">
        <v>8.6135732469421397E-3</v>
      </c>
      <c r="AE6">
        <v>7.0922502841617003</v>
      </c>
    </row>
    <row r="7" spans="1:35" x14ac:dyDescent="0.2">
      <c r="A7">
        <v>6</v>
      </c>
      <c r="B7">
        <v>742</v>
      </c>
      <c r="C7">
        <v>300</v>
      </c>
      <c r="D7">
        <v>0.264217603309855</v>
      </c>
      <c r="E7">
        <v>104.04127719994401</v>
      </c>
      <c r="F7">
        <v>2.1939515780507901</v>
      </c>
      <c r="G7">
        <v>-1702.0177138464567</v>
      </c>
      <c r="H7">
        <v>-1420.9831394095906</v>
      </c>
      <c r="I7">
        <v>276.84044174443699</v>
      </c>
      <c r="J7">
        <v>142.12905151965001</v>
      </c>
      <c r="K7">
        <v>47.421865751649399</v>
      </c>
      <c r="L7">
        <v>1.6942560273500837E-4</v>
      </c>
      <c r="M7">
        <v>1.8072058300951129E-5</v>
      </c>
      <c r="N7" s="1">
        <v>4.2210107255863202E-6</v>
      </c>
      <c r="O7" s="1">
        <v>1.10265563937197E-7</v>
      </c>
      <c r="P7" s="1">
        <v>-5.67217425196501E-7</v>
      </c>
      <c r="Q7">
        <v>70.8664503248323</v>
      </c>
      <c r="R7">
        <v>7.8814872526426202E-2</v>
      </c>
      <c r="S7">
        <v>12.4469829172871</v>
      </c>
      <c r="T7">
        <v>0.192933870297056</v>
      </c>
      <c r="V7">
        <v>0.46075958716722498</v>
      </c>
      <c r="W7">
        <v>2.9795866442915198E-2</v>
      </c>
      <c r="X7">
        <v>8.6504128382671297E-2</v>
      </c>
      <c r="AA7">
        <v>0.67280988742070302</v>
      </c>
      <c r="AB7">
        <v>4.2002560114691203</v>
      </c>
      <c r="AC7">
        <v>3.8542394979383001</v>
      </c>
      <c r="AD7">
        <v>8.6504128382645304E-3</v>
      </c>
      <c r="AE7">
        <v>7.1018026233977896</v>
      </c>
    </row>
    <row r="8" spans="1:35" x14ac:dyDescent="0.2">
      <c r="A8">
        <v>7</v>
      </c>
      <c r="B8">
        <v>740</v>
      </c>
      <c r="C8">
        <v>300</v>
      </c>
      <c r="D8">
        <v>0.26262695553471999</v>
      </c>
      <c r="E8">
        <v>99.930760759301506</v>
      </c>
      <c r="F8">
        <v>2.1959708255131098</v>
      </c>
      <c r="G8">
        <v>-1633.1083338633</v>
      </c>
      <c r="H8">
        <v>-1364.2911200215651</v>
      </c>
      <c r="I8">
        <v>265.32814868650701</v>
      </c>
      <c r="J8">
        <v>136.41286331772801</v>
      </c>
      <c r="K8">
        <v>45.506415476148803</v>
      </c>
      <c r="L8">
        <v>1.6878446319083191E-4</v>
      </c>
      <c r="M8">
        <v>1.7995615968657722E-5</v>
      </c>
      <c r="N8" s="1">
        <v>4.04037500409461E-6</v>
      </c>
      <c r="O8" s="1">
        <v>1.05168792422603E-7</v>
      </c>
      <c r="P8" s="1">
        <v>-5.4242121435484504E-7</v>
      </c>
      <c r="Q8">
        <v>70.818732078589704</v>
      </c>
      <c r="R8">
        <v>8.2056815516006701E-2</v>
      </c>
      <c r="S8">
        <v>12.4532156753727</v>
      </c>
      <c r="T8">
        <v>0.20169694519803399</v>
      </c>
      <c r="V8">
        <v>0.47896816335428599</v>
      </c>
      <c r="W8">
        <v>3.1021479036536698E-2</v>
      </c>
      <c r="X8">
        <v>9.0062358493188596E-2</v>
      </c>
      <c r="AA8">
        <v>0.63407459366610497</v>
      </c>
      <c r="AB8">
        <v>4.1615391276492604</v>
      </c>
      <c r="AC8">
        <v>3.9785075642749601</v>
      </c>
      <c r="AD8">
        <v>9.0062358493156903E-3</v>
      </c>
      <c r="AE8">
        <v>7.0611189629997098</v>
      </c>
    </row>
    <row r="9" spans="1:35" x14ac:dyDescent="0.2">
      <c r="A9">
        <v>8</v>
      </c>
      <c r="B9">
        <v>738</v>
      </c>
      <c r="C9">
        <v>300</v>
      </c>
      <c r="D9">
        <v>0.26103001532908299</v>
      </c>
      <c r="E9">
        <v>95.390583676424399</v>
      </c>
      <c r="F9">
        <v>2.1982858025356702</v>
      </c>
      <c r="G9">
        <v>-1557.1629145317447</v>
      </c>
      <c r="H9">
        <v>-1301.6908694210881</v>
      </c>
      <c r="I9">
        <v>252.65494250176201</v>
      </c>
      <c r="J9">
        <v>130.103505072861</v>
      </c>
      <c r="K9">
        <v>43.393167333561998</v>
      </c>
      <c r="L9">
        <v>1.6800987320965291E-4</v>
      </c>
      <c r="M9">
        <v>1.7908559680645876E-5</v>
      </c>
      <c r="N9" s="1">
        <v>3.8388254854419704E-6</v>
      </c>
      <c r="O9" s="1">
        <v>9.9573247397225296E-8</v>
      </c>
      <c r="P9" s="1">
        <v>-5.1486685541119202E-7</v>
      </c>
      <c r="Q9">
        <v>70.774241997672306</v>
      </c>
      <c r="R9">
        <v>8.5962363201549194E-2</v>
      </c>
      <c r="S9">
        <v>12.4560011968164</v>
      </c>
      <c r="T9">
        <v>0.21214535198645801</v>
      </c>
      <c r="V9">
        <v>0.50100146787861399</v>
      </c>
      <c r="W9">
        <v>3.2497966576188898E-2</v>
      </c>
      <c r="X9">
        <v>9.4348935221241298E-2</v>
      </c>
      <c r="AA9">
        <v>0.59768269258286499</v>
      </c>
      <c r="AB9">
        <v>4.1086806305085499</v>
      </c>
      <c r="AC9">
        <v>4.1160419035239597</v>
      </c>
      <c r="AD9">
        <v>9.4348935221154999E-3</v>
      </c>
      <c r="AE9">
        <v>7.0119606005097204</v>
      </c>
    </row>
    <row r="10" spans="1:35" x14ac:dyDescent="0.2">
      <c r="A10">
        <v>9</v>
      </c>
      <c r="B10">
        <v>736</v>
      </c>
      <c r="C10">
        <v>300</v>
      </c>
      <c r="D10">
        <v>0.25942674528068399</v>
      </c>
      <c r="E10">
        <v>90.413410458177395</v>
      </c>
      <c r="F10">
        <v>2.2009033170208299</v>
      </c>
      <c r="G10">
        <v>-1474.1233454749206</v>
      </c>
      <c r="H10">
        <v>-1233.1075784691868</v>
      </c>
      <c r="I10">
        <v>238.830468221507</v>
      </c>
      <c r="J10">
        <v>123.199448254139</v>
      </c>
      <c r="K10">
        <v>41.080137304969</v>
      </c>
      <c r="L10">
        <v>1.671308069419242E-4</v>
      </c>
      <c r="M10">
        <v>1.7813153526167521E-5</v>
      </c>
      <c r="N10" s="1">
        <v>3.6177952222164302E-6</v>
      </c>
      <c r="O10" s="1">
        <v>9.3518629873676497E-8</v>
      </c>
      <c r="P10" s="1">
        <v>-4.8473639788307895E-7</v>
      </c>
      <c r="Q10">
        <v>70.728482815229995</v>
      </c>
      <c r="R10">
        <v>9.0694510454218197E-2</v>
      </c>
      <c r="S10">
        <v>12.457309776936899</v>
      </c>
      <c r="T10">
        <v>0.22468607202559199</v>
      </c>
      <c r="V10">
        <v>0.52780520436826095</v>
      </c>
      <c r="W10">
        <v>3.4286949074147102E-2</v>
      </c>
      <c r="X10">
        <v>9.9542755376618899E-2</v>
      </c>
      <c r="AA10">
        <v>0.56661672394539297</v>
      </c>
      <c r="AB10">
        <v>4.0424057895832197</v>
      </c>
      <c r="AC10">
        <v>4.2622786272344904</v>
      </c>
      <c r="AD10">
        <v>9.9542755376505997E-3</v>
      </c>
      <c r="AE10">
        <v>6.9559365002333902</v>
      </c>
    </row>
    <row r="11" spans="1:35" x14ac:dyDescent="0.2">
      <c r="A11">
        <v>10</v>
      </c>
      <c r="B11">
        <v>734</v>
      </c>
      <c r="C11">
        <v>300</v>
      </c>
      <c r="D11">
        <v>0.25781710768008598</v>
      </c>
      <c r="E11">
        <v>21.343757280579201</v>
      </c>
      <c r="F11">
        <v>2.2064856656195801</v>
      </c>
      <c r="G11">
        <v>-347.44500815204856</v>
      </c>
      <c r="H11">
        <v>-290.76285073542311</v>
      </c>
      <c r="I11">
        <v>56.279757152981603</v>
      </c>
      <c r="J11">
        <v>29.102523546522502</v>
      </c>
      <c r="K11">
        <v>9.6731909992199601</v>
      </c>
      <c r="L11">
        <v>1.6734443013492544E-4</v>
      </c>
      <c r="M11">
        <v>1.7809273230767315E-5</v>
      </c>
      <c r="N11" s="1">
        <v>8.5503154835225798E-7</v>
      </c>
      <c r="O11" s="1">
        <v>2.20132248153365E-8</v>
      </c>
      <c r="P11" s="1">
        <v>-1.1406754332534E-7</v>
      </c>
      <c r="Q11">
        <v>70.2805866771604</v>
      </c>
      <c r="R11">
        <v>0.121323606916051</v>
      </c>
      <c r="S11">
        <v>12.7026240794802</v>
      </c>
      <c r="T11">
        <v>0.26400775244647401</v>
      </c>
      <c r="V11">
        <v>0.62463560954124298</v>
      </c>
      <c r="W11">
        <v>0.143831839509169</v>
      </c>
      <c r="X11">
        <v>0.12987197994378899</v>
      </c>
      <c r="AA11">
        <v>0.58820273416183799</v>
      </c>
      <c r="AB11">
        <v>3.8794914700468199</v>
      </c>
      <c r="AC11">
        <v>4.2753194641527204</v>
      </c>
      <c r="AD11">
        <v>4.2166896304461597E-2</v>
      </c>
      <c r="AE11">
        <v>6.9479378903366902</v>
      </c>
    </row>
    <row r="12" spans="1:35" x14ac:dyDescent="0.2">
      <c r="A12">
        <v>11</v>
      </c>
      <c r="B12">
        <v>732</v>
      </c>
      <c r="C12">
        <v>300</v>
      </c>
      <c r="D12">
        <v>0.256201064517732</v>
      </c>
      <c r="E12">
        <v>8.8466154816959701</v>
      </c>
      <c r="F12">
        <v>2.2116711395642001</v>
      </c>
      <c r="G12">
        <v>-143.89970638748204</v>
      </c>
      <c r="H12">
        <v>-120.50142370187734</v>
      </c>
      <c r="I12">
        <v>23.2783989311094</v>
      </c>
      <c r="J12">
        <v>12.076269245792901</v>
      </c>
      <c r="K12">
        <v>3.99996876725494</v>
      </c>
      <c r="L12">
        <v>1.6759522758325629E-4</v>
      </c>
      <c r="M12">
        <v>1.7835830832736957E-5</v>
      </c>
      <c r="N12" s="1">
        <v>3.5543399407407598E-7</v>
      </c>
      <c r="O12" s="1">
        <v>9.1124970753485193E-9</v>
      </c>
      <c r="P12" s="1">
        <v>-4.71109945079854E-8</v>
      </c>
      <c r="Q12">
        <v>69.709280898273207</v>
      </c>
      <c r="R12">
        <v>0.120455831490479</v>
      </c>
      <c r="S12">
        <v>13.2122882966824</v>
      </c>
      <c r="T12">
        <v>0.25727875638256098</v>
      </c>
      <c r="V12">
        <v>0.61599654284493599</v>
      </c>
      <c r="W12">
        <v>0.34072773156458702</v>
      </c>
      <c r="X12">
        <v>0.12895766035405301</v>
      </c>
      <c r="AA12">
        <v>0.63845334402134502</v>
      </c>
      <c r="AB12">
        <v>3.6121168360937501</v>
      </c>
      <c r="AC12">
        <v>4.3104031228516497</v>
      </c>
      <c r="AD12">
        <v>0.10173382146650101</v>
      </c>
      <c r="AE12">
        <v>6.9523071579744302</v>
      </c>
    </row>
    <row r="13" spans="1:35" x14ac:dyDescent="0.2">
      <c r="A13">
        <v>12</v>
      </c>
      <c r="B13">
        <v>752</v>
      </c>
      <c r="C13">
        <v>275</v>
      </c>
      <c r="D13">
        <v>0.29890308735307097</v>
      </c>
      <c r="E13">
        <v>105.785115428121</v>
      </c>
      <c r="F13">
        <v>2.1910684056732501</v>
      </c>
      <c r="G13">
        <v>-1732.5662445377693</v>
      </c>
      <c r="H13">
        <v>-1445.6290782174144</v>
      </c>
      <c r="I13">
        <v>279.89773820451097</v>
      </c>
      <c r="J13">
        <v>143.98110489387801</v>
      </c>
      <c r="K13">
        <v>48.280151890381603</v>
      </c>
      <c r="L13">
        <v>1.641916758671683E-4</v>
      </c>
      <c r="M13">
        <v>1.810922163113831E-5</v>
      </c>
      <c r="N13" s="1">
        <v>4.0077420326850199E-6</v>
      </c>
      <c r="O13" s="1">
        <v>1.0872436266814E-7</v>
      </c>
      <c r="P13" s="1">
        <v>-5.5598222606518803E-7</v>
      </c>
      <c r="Q13">
        <v>71.673599535404307</v>
      </c>
      <c r="R13">
        <v>7.7515631256948797E-2</v>
      </c>
      <c r="S13">
        <v>12.2417978631404</v>
      </c>
      <c r="T13">
        <v>0.188401252631509</v>
      </c>
      <c r="V13">
        <v>0.45438077867506999</v>
      </c>
      <c r="W13">
        <v>2.93046898654317E-2</v>
      </c>
      <c r="X13">
        <v>8.5078131867383597E-2</v>
      </c>
      <c r="AA13">
        <v>0.66171880341297695</v>
      </c>
      <c r="AB13">
        <v>4.13101595844957</v>
      </c>
      <c r="AC13">
        <v>3.7907034309800198</v>
      </c>
      <c r="AD13">
        <v>8.5078131867381401E-3</v>
      </c>
      <c r="AE13">
        <v>6.6579761111294697</v>
      </c>
    </row>
    <row r="14" spans="1:35" x14ac:dyDescent="0.2">
      <c r="A14">
        <v>13</v>
      </c>
      <c r="B14">
        <v>750</v>
      </c>
      <c r="C14">
        <v>275</v>
      </c>
      <c r="D14">
        <v>0.29739578751893703</v>
      </c>
      <c r="E14">
        <v>105.532701088151</v>
      </c>
      <c r="F14">
        <v>2.1918883048726898</v>
      </c>
      <c r="G14">
        <v>-1727.8255015827885</v>
      </c>
      <c r="H14">
        <v>-1442.3713294555416</v>
      </c>
      <c r="I14">
        <v>278.99542796974703</v>
      </c>
      <c r="J14">
        <v>143.63836149919999</v>
      </c>
      <c r="K14">
        <v>48.146933789256401</v>
      </c>
      <c r="L14">
        <v>1.6421226435138901E-4</v>
      </c>
      <c r="M14">
        <v>1.8094607132380191E-5</v>
      </c>
      <c r="N14" s="1">
        <v>4.0097069664936999E-6</v>
      </c>
      <c r="O14" s="1">
        <v>1.08342873066503E-7</v>
      </c>
      <c r="P14" s="1">
        <v>-5.5507379954210503E-7</v>
      </c>
      <c r="Q14">
        <v>71.618029786244307</v>
      </c>
      <c r="R14">
        <v>7.7701034043946404E-2</v>
      </c>
      <c r="S14">
        <v>12.271077937429</v>
      </c>
      <c r="T14">
        <v>0.189530427757404</v>
      </c>
      <c r="V14">
        <v>0.454857000797253</v>
      </c>
      <c r="W14">
        <v>2.9374781162954899E-2</v>
      </c>
      <c r="X14">
        <v>8.5281622731162604E-2</v>
      </c>
      <c r="AA14">
        <v>0.66330151013124805</v>
      </c>
      <c r="AB14">
        <v>4.1408965703907601</v>
      </c>
      <c r="AC14">
        <v>3.79977007946608</v>
      </c>
      <c r="AD14">
        <v>8.52816227311568E-3</v>
      </c>
      <c r="AE14">
        <v>6.6616510875727597</v>
      </c>
    </row>
    <row r="15" spans="1:35" x14ac:dyDescent="0.2">
      <c r="A15">
        <v>14</v>
      </c>
      <c r="B15">
        <v>748</v>
      </c>
      <c r="C15">
        <v>275</v>
      </c>
      <c r="D15">
        <v>0.29588258336189799</v>
      </c>
      <c r="E15">
        <v>105.08744673670201</v>
      </c>
      <c r="F15">
        <v>2.1927677163982802</v>
      </c>
      <c r="G15">
        <v>-1719.8983852714466</v>
      </c>
      <c r="H15">
        <v>-1436.4017337240398</v>
      </c>
      <c r="I15">
        <v>277.62488522490003</v>
      </c>
      <c r="J15">
        <v>143.05656929495899</v>
      </c>
      <c r="K15">
        <v>47.924568549063402</v>
      </c>
      <c r="L15">
        <v>1.6434788628439705E-4</v>
      </c>
      <c r="M15">
        <v>1.8082765989358247E-5</v>
      </c>
      <c r="N15" s="1">
        <v>4.0064352013122803E-6</v>
      </c>
      <c r="O15" s="1">
        <v>1.07818758833267E-7</v>
      </c>
      <c r="P15" s="1">
        <v>-5.5373558062293004E-7</v>
      </c>
      <c r="Q15">
        <v>71.518662394068102</v>
      </c>
      <c r="R15">
        <v>7.8030252467216399E-2</v>
      </c>
      <c r="S15">
        <v>12.3230703591538</v>
      </c>
      <c r="T15">
        <v>0.19107745647458199</v>
      </c>
      <c r="V15">
        <v>0.456114774143836</v>
      </c>
      <c r="W15">
        <v>2.9499241786385699E-2</v>
      </c>
      <c r="X15">
        <v>8.56429600249978E-2</v>
      </c>
      <c r="AA15">
        <v>0.66611191130550196</v>
      </c>
      <c r="AB15">
        <v>4.1584415034357098</v>
      </c>
      <c r="AC15">
        <v>3.8158696633356501</v>
      </c>
      <c r="AD15">
        <v>8.5642960024985802E-3</v>
      </c>
      <c r="AE15">
        <v>6.66891518780161</v>
      </c>
    </row>
    <row r="16" spans="1:35" x14ac:dyDescent="0.2">
      <c r="A16">
        <v>15</v>
      </c>
      <c r="B16">
        <v>746</v>
      </c>
      <c r="C16">
        <v>275</v>
      </c>
      <c r="D16">
        <v>0.29436344012167098</v>
      </c>
      <c r="E16">
        <v>102.201006317279</v>
      </c>
      <c r="F16">
        <v>2.1943464830461901</v>
      </c>
      <c r="G16">
        <v>-1671.3409437832074</v>
      </c>
      <c r="H16">
        <v>-1396.6167522603291</v>
      </c>
      <c r="I16">
        <v>269.56207773426598</v>
      </c>
      <c r="J16">
        <v>139.06951549452501</v>
      </c>
      <c r="K16">
        <v>46.574689597516901</v>
      </c>
      <c r="L16">
        <v>1.640024394604861E-4</v>
      </c>
      <c r="M16">
        <v>1.8029503527382163E-5</v>
      </c>
      <c r="N16" s="1">
        <v>3.8924165783949698E-6</v>
      </c>
      <c r="O16" s="1">
        <v>1.04363555458981E-7</v>
      </c>
      <c r="P16" s="1">
        <v>-5.3737209010020295E-7</v>
      </c>
      <c r="Q16">
        <v>71.451995214501196</v>
      </c>
      <c r="R16">
        <v>8.0234043631072893E-2</v>
      </c>
      <c r="S16">
        <v>12.344666873668301</v>
      </c>
      <c r="T16">
        <v>0.19726433633232501</v>
      </c>
      <c r="V16">
        <v>0.46828558284005001</v>
      </c>
      <c r="W16">
        <v>3.0332382348330699E-2</v>
      </c>
      <c r="X16">
        <v>8.8061755204843703E-2</v>
      </c>
      <c r="AA16">
        <v>0.64121277999422899</v>
      </c>
      <c r="AB16">
        <v>4.1391578179412596</v>
      </c>
      <c r="AC16">
        <v>3.9032842266996601</v>
      </c>
      <c r="AD16">
        <v>8.8061755204824708E-3</v>
      </c>
      <c r="AE16">
        <v>6.6466988113181102</v>
      </c>
    </row>
    <row r="17" spans="1:31" x14ac:dyDescent="0.2">
      <c r="A17">
        <v>16</v>
      </c>
      <c r="B17">
        <v>744</v>
      </c>
      <c r="C17">
        <v>275</v>
      </c>
      <c r="D17">
        <v>0.29283832276459099</v>
      </c>
      <c r="E17">
        <v>97.821982476757199</v>
      </c>
      <c r="F17">
        <v>2.1964797860403298</v>
      </c>
      <c r="G17">
        <v>-1598.0216649861459</v>
      </c>
      <c r="H17">
        <v>-1336.1814889801935</v>
      </c>
      <c r="I17">
        <v>257.42533156953402</v>
      </c>
      <c r="J17">
        <v>133.005961096871</v>
      </c>
      <c r="K17">
        <v>44.535799099296</v>
      </c>
      <c r="L17">
        <v>1.6332612235382956E-4</v>
      </c>
      <c r="M17">
        <v>1.7948084675329565E-5</v>
      </c>
      <c r="N17" s="1">
        <v>3.71035118469676E-6</v>
      </c>
      <c r="O17" s="1">
        <v>9.9137349292519194E-8</v>
      </c>
      <c r="P17" s="1">
        <v>-5.1178311810086995E-7</v>
      </c>
      <c r="Q17">
        <v>71.403317895333799</v>
      </c>
      <c r="R17">
        <v>8.3825739290742399E-2</v>
      </c>
      <c r="S17">
        <v>12.348852559393899</v>
      </c>
      <c r="T17">
        <v>0.206919489528925</v>
      </c>
      <c r="V17">
        <v>0.48850653962014701</v>
      </c>
      <c r="W17">
        <v>3.1690218512351501E-2</v>
      </c>
      <c r="X17">
        <v>9.2003860197166706E-2</v>
      </c>
      <c r="AA17">
        <v>0.604505651363487</v>
      </c>
      <c r="AB17">
        <v>4.0909788868088697</v>
      </c>
      <c r="AC17">
        <v>4.03605244917346</v>
      </c>
      <c r="AD17">
        <v>9.2003860197142195E-3</v>
      </c>
      <c r="AE17">
        <v>6.6041463247573802</v>
      </c>
    </row>
    <row r="18" spans="1:31" x14ac:dyDescent="0.2">
      <c r="A18">
        <v>17</v>
      </c>
      <c r="B18">
        <v>742</v>
      </c>
      <c r="C18">
        <v>275</v>
      </c>
      <c r="D18">
        <v>0.291307195980888</v>
      </c>
      <c r="E18">
        <v>93.191443782018297</v>
      </c>
      <c r="F18">
        <v>2.1988449783999999</v>
      </c>
      <c r="G18">
        <v>-1520.646908118186</v>
      </c>
      <c r="H18">
        <v>-1272.3047632942526</v>
      </c>
      <c r="I18">
        <v>244.63591077568199</v>
      </c>
      <c r="J18">
        <v>126.60232331303899</v>
      </c>
      <c r="K18">
        <v>42.381998138781597</v>
      </c>
      <c r="L18">
        <v>1.625682678210376E-4</v>
      </c>
      <c r="M18">
        <v>1.7859962629000657E-5</v>
      </c>
      <c r="N18" s="1">
        <v>3.5172850833272101E-6</v>
      </c>
      <c r="O18" s="1">
        <v>9.3658733402312396E-8</v>
      </c>
      <c r="P18" s="1">
        <v>-4.8470954720376405E-7</v>
      </c>
      <c r="Q18">
        <v>71.353498543551893</v>
      </c>
      <c r="R18">
        <v>8.7990910616008E-2</v>
      </c>
      <c r="S18">
        <v>12.3522019222297</v>
      </c>
      <c r="T18">
        <v>0.21804353459041001</v>
      </c>
      <c r="V18">
        <v>0.51202155107301295</v>
      </c>
      <c r="W18">
        <v>3.3264856452390003E-2</v>
      </c>
      <c r="X18">
        <v>9.6575389700511799E-2</v>
      </c>
      <c r="AA18">
        <v>0.57253149448242602</v>
      </c>
      <c r="AB18">
        <v>4.0315853666971497</v>
      </c>
      <c r="AC18">
        <v>4.1761865577167701</v>
      </c>
      <c r="AD18">
        <v>9.65753897004786E-3</v>
      </c>
      <c r="AE18">
        <v>6.5564423339195796</v>
      </c>
    </row>
    <row r="19" spans="1:31" x14ac:dyDescent="0.2">
      <c r="A19">
        <v>18</v>
      </c>
      <c r="B19">
        <v>740</v>
      </c>
      <c r="C19">
        <v>275</v>
      </c>
      <c r="D19">
        <v>0.28977002418201098</v>
      </c>
      <c r="E19">
        <v>88.099555969491604</v>
      </c>
      <c r="F19">
        <v>2.2015044849736398</v>
      </c>
      <c r="G19">
        <v>-1435.7941272308583</v>
      </c>
      <c r="H19">
        <v>-1202.1102821808988</v>
      </c>
      <c r="I19">
        <v>230.650787198301</v>
      </c>
      <c r="J19">
        <v>119.575340298467</v>
      </c>
      <c r="K19">
        <v>40.017886209550902</v>
      </c>
      <c r="L19">
        <v>1.6172274922364487E-4</v>
      </c>
      <c r="M19">
        <v>1.7764440647078021E-5</v>
      </c>
      <c r="N19" s="1">
        <v>3.3055873059670001E-6</v>
      </c>
      <c r="O19" s="1">
        <v>8.7727728253608503E-8</v>
      </c>
      <c r="P19" s="1">
        <v>-4.5510449360422999E-7</v>
      </c>
      <c r="Q19">
        <v>71.300308613018501</v>
      </c>
      <c r="R19">
        <v>9.3076519055782306E-2</v>
      </c>
      <c r="S19">
        <v>12.354334658489501</v>
      </c>
      <c r="T19">
        <v>0.23149845144790099</v>
      </c>
      <c r="V19">
        <v>0.54084761470520304</v>
      </c>
      <c r="W19">
        <v>3.5187464521084302E-2</v>
      </c>
      <c r="X19">
        <v>0.102157155061242</v>
      </c>
      <c r="AA19">
        <v>0.546102574005081</v>
      </c>
      <c r="AB19">
        <v>3.9592072269955398</v>
      </c>
      <c r="AC19">
        <v>4.3240825128707803</v>
      </c>
      <c r="AD19">
        <v>1.0215715506120099E-2</v>
      </c>
      <c r="AE19">
        <v>6.5029814943231203</v>
      </c>
    </row>
    <row r="20" spans="1:31" x14ac:dyDescent="0.2">
      <c r="A20">
        <v>19</v>
      </c>
      <c r="B20">
        <v>738</v>
      </c>
      <c r="C20">
        <v>275</v>
      </c>
      <c r="D20">
        <v>0.28822677149780002</v>
      </c>
      <c r="E20">
        <v>25.585823583843499</v>
      </c>
      <c r="F20">
        <v>2.20555624177954</v>
      </c>
      <c r="G20">
        <v>-416.4790909612679</v>
      </c>
      <c r="H20">
        <v>-348.81392240659653</v>
      </c>
      <c r="I20">
        <v>66.919021465332804</v>
      </c>
      <c r="J20">
        <v>34.752981707679503</v>
      </c>
      <c r="K20">
        <v>11.6006216931469</v>
      </c>
      <c r="L20">
        <v>1.6216667899777862E-4</v>
      </c>
      <c r="M20">
        <v>1.7776017821928697E-5</v>
      </c>
      <c r="N20" s="1">
        <v>9.6346339734706991E-7</v>
      </c>
      <c r="O20" s="1">
        <v>2.5464899453633399E-8</v>
      </c>
      <c r="P20" s="1">
        <v>-1.32186091481657E-7</v>
      </c>
      <c r="Q20">
        <v>70.930827518964705</v>
      </c>
      <c r="R20">
        <v>0.12949930513641</v>
      </c>
      <c r="S20">
        <v>12.5368551633248</v>
      </c>
      <c r="T20">
        <v>0.26195095383572198</v>
      </c>
      <c r="V20">
        <v>0.61444930408735798</v>
      </c>
      <c r="W20">
        <v>0.120459205621822</v>
      </c>
      <c r="X20">
        <v>0.13964237593242099</v>
      </c>
      <c r="AA20">
        <v>0.52440360473820702</v>
      </c>
      <c r="AB20">
        <v>3.8833751815241899</v>
      </c>
      <c r="AC20">
        <v>4.3119281850248496</v>
      </c>
      <c r="AD20">
        <v>3.5175729131772103E-2</v>
      </c>
      <c r="AE20">
        <v>6.51143347267762</v>
      </c>
    </row>
    <row r="21" spans="1:31" x14ac:dyDescent="0.2">
      <c r="A21">
        <v>20</v>
      </c>
      <c r="B21">
        <v>736</v>
      </c>
      <c r="C21">
        <v>275</v>
      </c>
      <c r="D21">
        <v>0.28667740177377199</v>
      </c>
      <c r="E21">
        <v>9.6723653828674294</v>
      </c>
      <c r="F21">
        <v>2.2100819770601201</v>
      </c>
      <c r="G21">
        <v>-157.34180281805422</v>
      </c>
      <c r="H21">
        <v>-131.85046095435212</v>
      </c>
      <c r="I21">
        <v>25.260210933659099</v>
      </c>
      <c r="J21">
        <v>13.1550857032189</v>
      </c>
      <c r="K21">
        <v>4.3764735802848804</v>
      </c>
      <c r="L21">
        <v>1.6266988795347621E-4</v>
      </c>
      <c r="M21">
        <v>1.782299904191575E-5</v>
      </c>
      <c r="N21" s="1">
        <v>3.6617046969938098E-7</v>
      </c>
      <c r="O21" s="1">
        <v>9.6366234440462505E-9</v>
      </c>
      <c r="P21" s="1">
        <v>-4.9922179109872398E-8</v>
      </c>
      <c r="Q21">
        <v>70.364996414707704</v>
      </c>
      <c r="R21">
        <v>0.127483398243319</v>
      </c>
      <c r="S21">
        <v>13.034112446403601</v>
      </c>
      <c r="T21">
        <v>0.25648167616036499</v>
      </c>
      <c r="V21">
        <v>0.60852555554786902</v>
      </c>
      <c r="W21">
        <v>0.31262168373828397</v>
      </c>
      <c r="X21">
        <v>0.13868764691146801</v>
      </c>
      <c r="AA21">
        <v>0.55233446185829804</v>
      </c>
      <c r="AB21">
        <v>3.6614992083026801</v>
      </c>
      <c r="AC21">
        <v>4.31895034642542</v>
      </c>
      <c r="AD21">
        <v>9.3048594048432895E-2</v>
      </c>
      <c r="AE21">
        <v>6.5312585676524497</v>
      </c>
    </row>
    <row r="22" spans="1:31" x14ac:dyDescent="0.2">
      <c r="A22">
        <v>21</v>
      </c>
      <c r="B22">
        <v>754</v>
      </c>
      <c r="C22">
        <v>250</v>
      </c>
      <c r="D22">
        <v>0.32717762741566497</v>
      </c>
      <c r="E22">
        <v>105.349592659038</v>
      </c>
      <c r="F22">
        <v>2.1917411873464401</v>
      </c>
      <c r="G22">
        <v>-1724.8937190665281</v>
      </c>
      <c r="H22">
        <v>-1440.8096175895257</v>
      </c>
      <c r="I22">
        <v>276.57508784208898</v>
      </c>
      <c r="J22">
        <v>143.022623546787</v>
      </c>
      <c r="K22">
        <v>48.066620852522199</v>
      </c>
      <c r="L22">
        <v>1.5977699669241971E-4</v>
      </c>
      <c r="M22">
        <v>1.8078112795412281E-5</v>
      </c>
      <c r="N22" s="1">
        <v>3.7800289701735698E-6</v>
      </c>
      <c r="O22" s="1">
        <v>1.04716254203475E-7</v>
      </c>
      <c r="P22" s="1">
        <v>-5.3751039159361799E-7</v>
      </c>
      <c r="Q22">
        <v>71.969903334516502</v>
      </c>
      <c r="R22">
        <v>7.7836086434041801E-2</v>
      </c>
      <c r="S22">
        <v>12.292406333181299</v>
      </c>
      <c r="T22">
        <v>0.190914024008078</v>
      </c>
      <c r="V22">
        <v>0.45469903269782302</v>
      </c>
      <c r="W22">
        <v>2.9425837554332701E-2</v>
      </c>
      <c r="X22">
        <v>8.5429850964193005E-2</v>
      </c>
      <c r="AA22">
        <v>0.66445439638816095</v>
      </c>
      <c r="AB22">
        <v>4.1480938745946503</v>
      </c>
      <c r="AC22">
        <v>3.8063744707378602</v>
      </c>
      <c r="AD22">
        <v>8.5429850964190805E-3</v>
      </c>
      <c r="AE22">
        <v>6.27191977382647</v>
      </c>
    </row>
    <row r="23" spans="1:31" x14ac:dyDescent="0.2">
      <c r="A23">
        <v>22</v>
      </c>
      <c r="B23">
        <v>752</v>
      </c>
      <c r="C23">
        <v>250</v>
      </c>
      <c r="D23">
        <v>0.32572842998585799</v>
      </c>
      <c r="E23">
        <v>104.19336409524701</v>
      </c>
      <c r="F23">
        <v>2.1927421480223099</v>
      </c>
      <c r="G23">
        <v>-1705.0579679507257</v>
      </c>
      <c r="H23">
        <v>-1425.1257159888828</v>
      </c>
      <c r="I23">
        <v>273.06467537613298</v>
      </c>
      <c r="J23">
        <v>141.34468514669601</v>
      </c>
      <c r="K23">
        <v>47.517381005888602</v>
      </c>
      <c r="L23">
        <v>1.5923470534769002E-4</v>
      </c>
      <c r="M23">
        <v>1.8033414870904522E-5</v>
      </c>
      <c r="N23" s="1">
        <v>3.7346326383962901E-6</v>
      </c>
      <c r="O23" s="1">
        <v>1.03079258220486E-7</v>
      </c>
      <c r="P23" s="1">
        <v>-5.2932596999021998E-7</v>
      </c>
      <c r="Q23">
        <v>72.051535490071004</v>
      </c>
      <c r="R23">
        <v>7.8699829602432103E-2</v>
      </c>
      <c r="S23">
        <v>12.241594781403601</v>
      </c>
      <c r="T23">
        <v>0.193573986513778</v>
      </c>
      <c r="V23">
        <v>0.45925764830510202</v>
      </c>
      <c r="W23">
        <v>2.9752374605796199E-2</v>
      </c>
      <c r="X23">
        <v>8.6377861758772795E-2</v>
      </c>
      <c r="AA23">
        <v>0.64643370491507102</v>
      </c>
      <c r="AB23">
        <v>4.1155724696549303</v>
      </c>
      <c r="AC23">
        <v>3.8376904572416701</v>
      </c>
      <c r="AD23">
        <v>8.6377861758756506E-3</v>
      </c>
      <c r="AE23">
        <v>6.2508736097518796</v>
      </c>
    </row>
    <row r="24" spans="1:31" x14ac:dyDescent="0.2">
      <c r="A24">
        <v>23</v>
      </c>
      <c r="B24">
        <v>750</v>
      </c>
      <c r="C24">
        <v>250</v>
      </c>
      <c r="D24">
        <v>0.324273566925672</v>
      </c>
      <c r="E24">
        <v>99.911121230845794</v>
      </c>
      <c r="F24">
        <v>2.1947280340046702</v>
      </c>
      <c r="G24">
        <v>-1633.307444946103</v>
      </c>
      <c r="H24">
        <v>-1365.9763999761747</v>
      </c>
      <c r="I24">
        <v>261.28235837358</v>
      </c>
      <c r="J24">
        <v>135.436598458866</v>
      </c>
      <c r="K24">
        <v>45.523235536632697</v>
      </c>
      <c r="L24">
        <v>1.5864139778673668E-4</v>
      </c>
      <c r="M24">
        <v>1.7956938297308766E-5</v>
      </c>
      <c r="N24" s="1">
        <v>3.5680780709699599E-6</v>
      </c>
      <c r="O24" s="1">
        <v>9.81444079970216E-8</v>
      </c>
      <c r="P24" s="1">
        <v>-5.0531007326818298E-7</v>
      </c>
      <c r="Q24">
        <v>71.999477317830298</v>
      </c>
      <c r="R24">
        <v>8.2072945423702998E-2</v>
      </c>
      <c r="S24">
        <v>12.2467177920617</v>
      </c>
      <c r="T24">
        <v>0.202671671832204</v>
      </c>
      <c r="V24">
        <v>0.47822091968216301</v>
      </c>
      <c r="W24">
        <v>3.10275769284712E-2</v>
      </c>
      <c r="X24">
        <v>9.0080062050415202E-2</v>
      </c>
      <c r="AA24">
        <v>0.60975832560340004</v>
      </c>
      <c r="AB24">
        <v>4.0707892586253998</v>
      </c>
      <c r="AC24">
        <v>3.9664745729372699</v>
      </c>
      <c r="AD24">
        <v>9.0080062050391999E-3</v>
      </c>
      <c r="AE24">
        <v>6.2137015508197804</v>
      </c>
    </row>
    <row r="25" spans="1:31" x14ac:dyDescent="0.2">
      <c r="A25">
        <v>24</v>
      </c>
      <c r="B25">
        <v>748</v>
      </c>
      <c r="C25">
        <v>250</v>
      </c>
      <c r="D25">
        <v>0.32281300494540499</v>
      </c>
      <c r="E25">
        <v>95.471551858487601</v>
      </c>
      <c r="F25">
        <v>2.1969043826138401</v>
      </c>
      <c r="G25">
        <v>-1559.0453864753008</v>
      </c>
      <c r="H25">
        <v>-1304.6772000624605</v>
      </c>
      <c r="I25">
        <v>249.09972718292099</v>
      </c>
      <c r="J25">
        <v>129.31755370242499</v>
      </c>
      <c r="K25">
        <v>43.457308663063898</v>
      </c>
      <c r="L25">
        <v>1.5798195187163866E-4</v>
      </c>
      <c r="M25">
        <v>1.7874855587095138E-5</v>
      </c>
      <c r="N25" s="1">
        <v>3.3947276743292702E-6</v>
      </c>
      <c r="O25" s="1">
        <v>9.30607087189948E-8</v>
      </c>
      <c r="P25" s="1">
        <v>-4.8036025076846598E-7</v>
      </c>
      <c r="Q25">
        <v>71.946116839051399</v>
      </c>
      <c r="R25">
        <v>8.58894596387694E-2</v>
      </c>
      <c r="S25">
        <v>12.251384851137599</v>
      </c>
      <c r="T25">
        <v>0.21291634650293301</v>
      </c>
      <c r="V25">
        <v>0.499720933750329</v>
      </c>
      <c r="W25">
        <v>3.2470405473190703E-2</v>
      </c>
      <c r="X25">
        <v>9.42689191157354E-2</v>
      </c>
      <c r="AA25">
        <v>0.57748459123414697</v>
      </c>
      <c r="AB25">
        <v>4.0161500808094397</v>
      </c>
      <c r="AC25">
        <v>4.1016844620138304</v>
      </c>
      <c r="AD25">
        <v>9.4268919115707995E-3</v>
      </c>
      <c r="AE25">
        <v>6.1724862193609402</v>
      </c>
    </row>
    <row r="26" spans="1:31" x14ac:dyDescent="0.2">
      <c r="A26">
        <v>25</v>
      </c>
      <c r="B26">
        <v>746</v>
      </c>
      <c r="C26">
        <v>250</v>
      </c>
      <c r="D26">
        <v>0.32134671049404001</v>
      </c>
      <c r="E26">
        <v>90.769136414184999</v>
      </c>
      <c r="F26">
        <v>2.19930436267241</v>
      </c>
      <c r="G26">
        <v>-1480.5528984788016</v>
      </c>
      <c r="H26">
        <v>-1239.7812168791993</v>
      </c>
      <c r="I26">
        <v>236.247541185892</v>
      </c>
      <c r="J26">
        <v>122.845904836546</v>
      </c>
      <c r="K26">
        <v>41.271748446808701</v>
      </c>
      <c r="L26">
        <v>1.5725355646241152E-4</v>
      </c>
      <c r="M26">
        <v>1.7786810358379922E-5</v>
      </c>
      <c r="N26" s="1">
        <v>3.2110771616170899E-6</v>
      </c>
      <c r="O26" s="1">
        <v>8.7733787131217598E-8</v>
      </c>
      <c r="P26" s="1">
        <v>-4.5398485646564798E-7</v>
      </c>
      <c r="Q26">
        <v>71.890162963401195</v>
      </c>
      <c r="R26">
        <v>9.0339076958750597E-2</v>
      </c>
      <c r="S26">
        <v>12.255402962830299</v>
      </c>
      <c r="T26">
        <v>0.22478291261266001</v>
      </c>
      <c r="V26">
        <v>0.52485725995968702</v>
      </c>
      <c r="W26">
        <v>3.4152577874645401E-2</v>
      </c>
      <c r="X26">
        <v>9.9152645442551507E-2</v>
      </c>
      <c r="AA26">
        <v>0.55000719971142897</v>
      </c>
      <c r="AB26">
        <v>3.95074273051612</v>
      </c>
      <c r="AC26">
        <v>4.2435489602802798</v>
      </c>
      <c r="AD26">
        <v>9.9152645442501693E-3</v>
      </c>
      <c r="AE26">
        <v>6.1269354458680096</v>
      </c>
    </row>
    <row r="27" spans="1:31" x14ac:dyDescent="0.2">
      <c r="A27">
        <v>26</v>
      </c>
      <c r="B27">
        <v>744</v>
      </c>
      <c r="C27">
        <v>250</v>
      </c>
      <c r="D27">
        <v>0.31987464975667701</v>
      </c>
      <c r="E27">
        <v>85.565990699979096</v>
      </c>
      <c r="F27">
        <v>2.2019948323596998</v>
      </c>
      <c r="G27">
        <v>-1393.951182641229</v>
      </c>
      <c r="H27">
        <v>-1168.0264340724482</v>
      </c>
      <c r="I27">
        <v>222.11546828764699</v>
      </c>
      <c r="J27">
        <v>115.701796016529</v>
      </c>
      <c r="K27">
        <v>38.858397595912997</v>
      </c>
      <c r="L27">
        <v>1.5645374867560903E-4</v>
      </c>
      <c r="M27">
        <v>1.7692353326421688E-5</v>
      </c>
      <c r="N27" s="1">
        <v>3.0090508185470598E-6</v>
      </c>
      <c r="O27" s="1">
        <v>8.1945945209053102E-8</v>
      </c>
      <c r="P27" s="1">
        <v>-4.2504465641012001E-7</v>
      </c>
      <c r="Q27">
        <v>71.828725223933304</v>
      </c>
      <c r="R27">
        <v>9.5832467232832202E-2</v>
      </c>
      <c r="S27">
        <v>12.2584075202604</v>
      </c>
      <c r="T27">
        <v>0.23929286230136401</v>
      </c>
      <c r="V27">
        <v>0.55601613990371002</v>
      </c>
      <c r="W27">
        <v>3.6229347368503098E-2</v>
      </c>
      <c r="X27">
        <v>0.10518197623118899</v>
      </c>
      <c r="AA27">
        <v>0.52827462271485603</v>
      </c>
      <c r="AB27">
        <v>3.8728968325302202</v>
      </c>
      <c r="AC27">
        <v>4.3919920303217399</v>
      </c>
      <c r="AD27">
        <v>1.05181976231116E-2</v>
      </c>
      <c r="AE27">
        <v>6.0766327795786497</v>
      </c>
    </row>
    <row r="28" spans="1:31" x14ac:dyDescent="0.2">
      <c r="A28">
        <v>27</v>
      </c>
      <c r="B28">
        <v>742</v>
      </c>
      <c r="C28">
        <v>250</v>
      </c>
      <c r="D28">
        <v>0.318396788651924</v>
      </c>
      <c r="E28">
        <v>25.596158304554301</v>
      </c>
      <c r="F28">
        <v>2.2064577358689301</v>
      </c>
      <c r="G28">
        <v>-416.52032487930376</v>
      </c>
      <c r="H28">
        <v>-349.19038549570712</v>
      </c>
      <c r="I28">
        <v>66.325113907892003</v>
      </c>
      <c r="J28">
        <v>34.6285724429179</v>
      </c>
      <c r="K28">
        <v>11.6005658701068</v>
      </c>
      <c r="L28">
        <v>1.5643883639461587E-4</v>
      </c>
      <c r="M28">
        <v>1.7669888517925033E-5</v>
      </c>
      <c r="N28" s="1">
        <v>8.9984516139611302E-7</v>
      </c>
      <c r="O28" s="1">
        <v>2.4412736023866001E-8</v>
      </c>
      <c r="P28" s="1">
        <v>-1.26621060554687E-7</v>
      </c>
      <c r="Q28">
        <v>71.494364953587606</v>
      </c>
      <c r="R28">
        <v>0.14047864983226499</v>
      </c>
      <c r="S28">
        <v>12.4440794011986</v>
      </c>
      <c r="T28">
        <v>0.25695700747185102</v>
      </c>
      <c r="V28">
        <v>0.59929098569815797</v>
      </c>
      <c r="W28">
        <v>0.12066594760945</v>
      </c>
      <c r="X28">
        <v>0.14987327324213601</v>
      </c>
      <c r="AA28">
        <v>0.52708493741693696</v>
      </c>
      <c r="AB28">
        <v>3.7516146218995501</v>
      </c>
      <c r="AC28">
        <v>4.4195747748920304</v>
      </c>
      <c r="AD28">
        <v>3.5161526557612101E-2</v>
      </c>
      <c r="AE28">
        <v>6.06085392059369</v>
      </c>
    </row>
    <row r="29" spans="1:31" x14ac:dyDescent="0.2">
      <c r="A29">
        <v>28</v>
      </c>
      <c r="B29">
        <v>740</v>
      </c>
      <c r="C29">
        <v>250</v>
      </c>
      <c r="D29">
        <v>0.31691309282929903</v>
      </c>
      <c r="E29">
        <v>9.7764891400282696</v>
      </c>
      <c r="F29">
        <v>2.2111183076982601</v>
      </c>
      <c r="G29">
        <v>-158.98256973683291</v>
      </c>
      <c r="H29">
        <v>-133.36044443972523</v>
      </c>
      <c r="I29">
        <v>25.289567484684099</v>
      </c>
      <c r="J29">
        <v>13.2423986408986</v>
      </c>
      <c r="K29">
        <v>4.4215133609044299</v>
      </c>
      <c r="L29">
        <v>1.5679114185810432E-4</v>
      </c>
      <c r="M29">
        <v>1.7707259100856732E-5</v>
      </c>
      <c r="N29" s="1">
        <v>3.4515648609231602E-7</v>
      </c>
      <c r="O29" s="1">
        <v>9.3249992370203894E-9</v>
      </c>
      <c r="P29" s="1">
        <v>-4.82521998960272E-8</v>
      </c>
      <c r="Q29">
        <v>70.942062288208106</v>
      </c>
      <c r="R29">
        <v>0.13844235494436399</v>
      </c>
      <c r="S29">
        <v>12.936815798759101</v>
      </c>
      <c r="T29">
        <v>0.251287433028207</v>
      </c>
      <c r="V29">
        <v>0.59284451007913896</v>
      </c>
      <c r="W29">
        <v>0.30982697349521798</v>
      </c>
      <c r="X29">
        <v>0.14894263387512399</v>
      </c>
      <c r="AA29">
        <v>0.55772062945175005</v>
      </c>
      <c r="AB29">
        <v>3.5229843075215599</v>
      </c>
      <c r="AC29">
        <v>4.4343078878253896</v>
      </c>
      <c r="AD29">
        <v>9.2057587044564598E-2</v>
      </c>
      <c r="AE29">
        <v>6.0727075957673504</v>
      </c>
    </row>
    <row r="30" spans="1:31" x14ac:dyDescent="0.2">
      <c r="A30">
        <v>29</v>
      </c>
      <c r="B30">
        <v>762</v>
      </c>
      <c r="C30">
        <v>225</v>
      </c>
      <c r="D30">
        <v>0.35948461575617302</v>
      </c>
      <c r="E30">
        <v>104.926953895647</v>
      </c>
      <c r="F30">
        <v>2.19054445022415</v>
      </c>
      <c r="G30">
        <v>-1719.1044252350284</v>
      </c>
      <c r="H30">
        <v>-1435.3155945613216</v>
      </c>
      <c r="I30">
        <v>274.15237470289901</v>
      </c>
      <c r="J30">
        <v>142.16543073112101</v>
      </c>
      <c r="K30">
        <v>47.899942813262598</v>
      </c>
      <c r="L30">
        <v>1.5553140705105067E-4</v>
      </c>
      <c r="M30">
        <v>1.8057921569141278E-5</v>
      </c>
      <c r="N30" s="1">
        <v>3.5325682306104499E-6</v>
      </c>
      <c r="O30" s="1">
        <v>1.01069904835545E-7</v>
      </c>
      <c r="P30" s="1">
        <v>-5.1817453225037396E-7</v>
      </c>
      <c r="Q30">
        <v>72.259793299081295</v>
      </c>
      <c r="R30">
        <v>7.8149604992394595E-2</v>
      </c>
      <c r="S30">
        <v>12.341919325018701</v>
      </c>
      <c r="T30">
        <v>0.19163015009092699</v>
      </c>
      <c r="V30">
        <v>0.45657809661793403</v>
      </c>
      <c r="W30">
        <v>2.95443628629782E-2</v>
      </c>
      <c r="X30">
        <v>8.5773956698970505E-2</v>
      </c>
      <c r="AA30">
        <v>0.66713077432531898</v>
      </c>
      <c r="AB30">
        <v>4.1648021197166196</v>
      </c>
      <c r="AC30">
        <v>3.8217062929207199</v>
      </c>
      <c r="AD30">
        <v>8.5773956698968201E-3</v>
      </c>
      <c r="AE30">
        <v>5.8943946220040404</v>
      </c>
    </row>
    <row r="31" spans="1:31" x14ac:dyDescent="0.2">
      <c r="A31">
        <v>30</v>
      </c>
      <c r="B31">
        <v>760</v>
      </c>
      <c r="C31">
        <v>225</v>
      </c>
      <c r="D31">
        <v>0.35810918066108399</v>
      </c>
      <c r="E31">
        <v>104.032113687407</v>
      </c>
      <c r="F31">
        <v>2.1913877756210298</v>
      </c>
      <c r="G31">
        <v>-1703.6129547366404</v>
      </c>
      <c r="H31">
        <v>-1423.2773740139942</v>
      </c>
      <c r="I31">
        <v>271.34063855456202</v>
      </c>
      <c r="J31">
        <v>140.835306296764</v>
      </c>
      <c r="K31">
        <v>47.473165107861902</v>
      </c>
      <c r="L31">
        <v>1.5496828667672978E-4</v>
      </c>
      <c r="M31">
        <v>1.8015608321532266E-5</v>
      </c>
      <c r="N31" s="1">
        <v>3.49893816440199E-6</v>
      </c>
      <c r="O31" s="1">
        <v>9.9745175548588098E-8</v>
      </c>
      <c r="P31" s="1">
        <v>-5.1136501544351304E-7</v>
      </c>
      <c r="Q31">
        <v>72.370551984270804</v>
      </c>
      <c r="R31">
        <v>7.8821814816135899E-2</v>
      </c>
      <c r="S31">
        <v>12.2750028046651</v>
      </c>
      <c r="T31">
        <v>0.193759009563401</v>
      </c>
      <c r="V31">
        <v>0.46007299473576801</v>
      </c>
      <c r="W31">
        <v>2.9798490967075299E-2</v>
      </c>
      <c r="X31">
        <v>8.6511747968931699E-2</v>
      </c>
      <c r="AA31">
        <v>0.64926501761653199</v>
      </c>
      <c r="AB31">
        <v>4.1280083858713104</v>
      </c>
      <c r="AC31">
        <v>3.8446954076618902</v>
      </c>
      <c r="AD31">
        <v>8.6511747968925409E-3</v>
      </c>
      <c r="AE31">
        <v>5.87486116706605</v>
      </c>
    </row>
    <row r="32" spans="1:31" x14ac:dyDescent="0.2">
      <c r="A32">
        <v>31</v>
      </c>
      <c r="B32">
        <v>758</v>
      </c>
      <c r="C32">
        <v>225</v>
      </c>
      <c r="D32">
        <v>0.356728410027642</v>
      </c>
      <c r="E32">
        <v>103.072400972404</v>
      </c>
      <c r="F32">
        <v>2.1922564692712001</v>
      </c>
      <c r="G32">
        <v>-1687.0536306482038</v>
      </c>
      <c r="H32">
        <v>-1410.3446267089371</v>
      </c>
      <c r="I32">
        <v>268.349904416686</v>
      </c>
      <c r="J32">
        <v>139.41249260717399</v>
      </c>
      <c r="K32">
        <v>47.016579682700403</v>
      </c>
      <c r="L32">
        <v>1.5436505922331872E-4</v>
      </c>
      <c r="M32">
        <v>1.7971155210910518E-5</v>
      </c>
      <c r="N32" s="1">
        <v>3.46212566567826E-6</v>
      </c>
      <c r="O32" s="1">
        <v>9.8340814512726401E-8</v>
      </c>
      <c r="P32" s="1">
        <v>-5.0408452660503802E-7</v>
      </c>
      <c r="Q32">
        <v>72.489593579383495</v>
      </c>
      <c r="R32">
        <v>7.9555729008344594E-2</v>
      </c>
      <c r="S32">
        <v>12.203317956899101</v>
      </c>
      <c r="T32">
        <v>0.19603940055688099</v>
      </c>
      <c r="V32">
        <v>0.463928188039334</v>
      </c>
      <c r="W32">
        <v>3.0075946332422099E-2</v>
      </c>
      <c r="X32">
        <v>8.73172635457478E-2</v>
      </c>
      <c r="AA32">
        <v>0.63133260641503097</v>
      </c>
      <c r="AB32">
        <v>4.0873983480138998</v>
      </c>
      <c r="AC32">
        <v>3.8690885811512601</v>
      </c>
      <c r="AD32">
        <v>8.7317263545736903E-3</v>
      </c>
      <c r="AE32">
        <v>5.85362067429981</v>
      </c>
    </row>
    <row r="33" spans="1:31" x14ac:dyDescent="0.2">
      <c r="A33">
        <v>32</v>
      </c>
      <c r="B33">
        <v>756</v>
      </c>
      <c r="C33">
        <v>225</v>
      </c>
      <c r="D33">
        <v>0.35534227274935698</v>
      </c>
      <c r="E33">
        <v>101.320450325678</v>
      </c>
      <c r="F33">
        <v>2.19338977162634</v>
      </c>
      <c r="G33">
        <v>-1657.3463995132252</v>
      </c>
      <c r="H33">
        <v>-1386.3821512158995</v>
      </c>
      <c r="I33">
        <v>263.28936335551299</v>
      </c>
      <c r="J33">
        <v>136.92682348576599</v>
      </c>
      <c r="K33">
        <v>46.1935455505253</v>
      </c>
      <c r="L33">
        <v>1.5376909645997897E-4</v>
      </c>
      <c r="M33">
        <v>1.791933242819482E-5</v>
      </c>
      <c r="N33" s="1">
        <v>3.3968026785743798E-6</v>
      </c>
      <c r="O33" s="1">
        <v>9.6144116241833294E-8</v>
      </c>
      <c r="P33" s="1">
        <v>-4.9305883725668599E-7</v>
      </c>
      <c r="Q33">
        <v>72.567545943293396</v>
      </c>
      <c r="R33">
        <v>8.0931341833190298E-2</v>
      </c>
      <c r="S33">
        <v>12.1499132219676</v>
      </c>
      <c r="T33">
        <v>0.199982609962115</v>
      </c>
      <c r="V33">
        <v>0.47145205045908001</v>
      </c>
      <c r="W33">
        <v>3.05959950832769E-2</v>
      </c>
      <c r="X33">
        <v>8.8827082499853993E-2</v>
      </c>
      <c r="AA33">
        <v>0.61020656446652799</v>
      </c>
      <c r="AB33">
        <v>4.0444896575870199</v>
      </c>
      <c r="AC33">
        <v>3.9181595340823501</v>
      </c>
      <c r="AD33">
        <v>8.8827082499821491E-3</v>
      </c>
      <c r="AE33">
        <v>5.8290132905154701</v>
      </c>
    </row>
    <row r="34" spans="1:31" x14ac:dyDescent="0.2">
      <c r="A34">
        <v>33</v>
      </c>
      <c r="B34">
        <v>754</v>
      </c>
      <c r="C34">
        <v>225</v>
      </c>
      <c r="D34">
        <v>0.35395073747748601</v>
      </c>
      <c r="E34">
        <v>96.9944929903005</v>
      </c>
      <c r="F34">
        <v>2.1954242644402302</v>
      </c>
      <c r="G34">
        <v>-1584.9361188093912</v>
      </c>
      <c r="H34">
        <v>-1326.6050567266966</v>
      </c>
      <c r="I34">
        <v>251.502762091899</v>
      </c>
      <c r="J34">
        <v>130.98566586463701</v>
      </c>
      <c r="K34">
        <v>44.180295609072601</v>
      </c>
      <c r="L34">
        <v>1.5319043263681796E-4</v>
      </c>
      <c r="M34">
        <v>1.7842333060801147E-5</v>
      </c>
      <c r="N34" s="1">
        <v>3.2390982000917098E-6</v>
      </c>
      <c r="O34" s="1">
        <v>9.13738113758136E-8</v>
      </c>
      <c r="P34" s="1">
        <v>-4.6981488881739801E-7</v>
      </c>
      <c r="Q34">
        <v>72.511013935559106</v>
      </c>
      <c r="R34">
        <v>8.4540882138744403E-2</v>
      </c>
      <c r="S34">
        <v>12.155443773612699</v>
      </c>
      <c r="T34">
        <v>0.20970051950615701</v>
      </c>
      <c r="V34">
        <v>0.49176016602435502</v>
      </c>
      <c r="W34">
        <v>3.1960577393912497E-2</v>
      </c>
      <c r="X34">
        <v>9.2788773079123393E-2</v>
      </c>
      <c r="AA34">
        <v>0.57843835195252202</v>
      </c>
      <c r="AB34">
        <v>3.9924998293696801</v>
      </c>
      <c r="AC34">
        <v>4.049636324273</v>
      </c>
      <c r="AD34">
        <v>9.2788773079086201E-3</v>
      </c>
      <c r="AE34">
        <v>5.79293798978268</v>
      </c>
    </row>
    <row r="35" spans="1:31" x14ac:dyDescent="0.2">
      <c r="A35">
        <v>34</v>
      </c>
      <c r="B35">
        <v>752</v>
      </c>
      <c r="C35">
        <v>225</v>
      </c>
      <c r="D35">
        <v>0.35255377261864101</v>
      </c>
      <c r="E35">
        <v>92.499227459737199</v>
      </c>
      <c r="F35">
        <v>2.1976430315453501</v>
      </c>
      <c r="G35">
        <v>-1509.8269211273132</v>
      </c>
      <c r="H35">
        <v>-1264.5142630858572</v>
      </c>
      <c r="I35">
        <v>239.29440378623201</v>
      </c>
      <c r="J35">
        <v>124.81945698557701</v>
      </c>
      <c r="K35">
        <v>42.090196693451503</v>
      </c>
      <c r="L35">
        <v>1.5255591763073802E-4</v>
      </c>
      <c r="M35">
        <v>1.776035426602544E-5</v>
      </c>
      <c r="N35" s="1">
        <v>3.0749859248905098E-6</v>
      </c>
      <c r="O35" s="1">
        <v>8.6458464060204106E-8</v>
      </c>
      <c r="P35" s="1">
        <v>-4.4566885147594899E-7</v>
      </c>
      <c r="Q35">
        <v>72.451990050116606</v>
      </c>
      <c r="R35">
        <v>8.8649389029433701E-2</v>
      </c>
      <c r="S35">
        <v>12.1606517351461</v>
      </c>
      <c r="T35">
        <v>0.22070795044118799</v>
      </c>
      <c r="V35">
        <v>0.51492402855699304</v>
      </c>
      <c r="W35">
        <v>3.3513793413562497E-2</v>
      </c>
      <c r="X35">
        <v>9.7298109910371397E-2</v>
      </c>
      <c r="AA35">
        <v>0.55106541065098003</v>
      </c>
      <c r="AB35">
        <v>3.93108760813299</v>
      </c>
      <c r="AC35">
        <v>4.1869211539936497</v>
      </c>
      <c r="AD35">
        <v>9.7298109910326103E-3</v>
      </c>
      <c r="AE35">
        <v>5.75346095961691</v>
      </c>
    </row>
    <row r="36" spans="1:31" x14ac:dyDescent="0.2">
      <c r="A36">
        <v>35</v>
      </c>
      <c r="B36">
        <v>750</v>
      </c>
      <c r="C36">
        <v>225</v>
      </c>
      <c r="D36">
        <v>0.35115134633240402</v>
      </c>
      <c r="E36">
        <v>87.707766823383807</v>
      </c>
      <c r="F36">
        <v>2.20008275461011</v>
      </c>
      <c r="G36">
        <v>-1429.9518468745321</v>
      </c>
      <c r="H36">
        <v>-1198.3692855700313</v>
      </c>
      <c r="I36">
        <v>226.342727170503</v>
      </c>
      <c r="J36">
        <v>118.25843495156001</v>
      </c>
      <c r="K36">
        <v>39.865667161654898</v>
      </c>
      <c r="L36">
        <v>1.5186502025099023E-4</v>
      </c>
      <c r="M36">
        <v>1.767319917841925E-5</v>
      </c>
      <c r="N36" s="1">
        <v>2.9005195445052901E-6</v>
      </c>
      <c r="O36" s="1">
        <v>8.1288670262342106E-8</v>
      </c>
      <c r="P36" s="1">
        <v>-4.2005128259245598E-7</v>
      </c>
      <c r="Q36">
        <v>72.388749065990993</v>
      </c>
      <c r="R36">
        <v>9.3492290329459896E-2</v>
      </c>
      <c r="S36">
        <v>12.1653425139204</v>
      </c>
      <c r="T36">
        <v>0.23359426976466499</v>
      </c>
      <c r="V36">
        <v>0.54230822602069695</v>
      </c>
      <c r="W36">
        <v>3.5344646344059399E-2</v>
      </c>
      <c r="X36">
        <v>0.102613489386013</v>
      </c>
      <c r="AA36">
        <v>0.52856363438159204</v>
      </c>
      <c r="AB36">
        <v>3.8594144435907798</v>
      </c>
      <c r="AC36">
        <v>4.32991679905144</v>
      </c>
      <c r="AD36">
        <v>1.02613489385953E-2</v>
      </c>
      <c r="AE36">
        <v>5.7103992722811796</v>
      </c>
    </row>
    <row r="37" spans="1:31" x14ac:dyDescent="0.2">
      <c r="A37">
        <v>36</v>
      </c>
      <c r="B37">
        <v>748</v>
      </c>
      <c r="C37">
        <v>225</v>
      </c>
      <c r="D37">
        <v>0.34974342652891699</v>
      </c>
      <c r="E37">
        <v>82.315968276993104</v>
      </c>
      <c r="F37">
        <v>2.2028258751099101</v>
      </c>
      <c r="G37">
        <v>-1340.3516631064108</v>
      </c>
      <c r="H37">
        <v>-1123.9976706775226</v>
      </c>
      <c r="I37">
        <v>211.87288099582599</v>
      </c>
      <c r="J37">
        <v>110.89502338356699</v>
      </c>
      <c r="K37">
        <v>37.368349994021102</v>
      </c>
      <c r="L37">
        <v>1.5111887045303517E-4</v>
      </c>
      <c r="M37">
        <v>1.7580647423139846E-5</v>
      </c>
      <c r="N37" s="1">
        <v>2.70602156697483E-6</v>
      </c>
      <c r="O37" s="1">
        <v>7.5596216937031601E-8</v>
      </c>
      <c r="P37" s="1">
        <v>-3.9155997186883398E-7</v>
      </c>
      <c r="Q37">
        <v>72.317252393201201</v>
      </c>
      <c r="R37">
        <v>9.9616151903935607E-2</v>
      </c>
      <c r="S37">
        <v>12.1691125372421</v>
      </c>
      <c r="T37">
        <v>0.24971930828153199</v>
      </c>
      <c r="V37">
        <v>0.577088356353614</v>
      </c>
      <c r="W37">
        <v>3.7659764744164603E-2</v>
      </c>
      <c r="X37">
        <v>0.109334800870202</v>
      </c>
      <c r="AA37">
        <v>0.51220912763729698</v>
      </c>
      <c r="AB37">
        <v>3.77569872910773</v>
      </c>
      <c r="AC37">
        <v>4.4779033252455704</v>
      </c>
      <c r="AD37">
        <v>1.0933480087011499E-2</v>
      </c>
      <c r="AE37">
        <v>5.6634720253255697</v>
      </c>
    </row>
    <row r="38" spans="1:31" x14ac:dyDescent="0.2">
      <c r="A38">
        <v>37</v>
      </c>
      <c r="B38">
        <v>746</v>
      </c>
      <c r="C38">
        <v>225</v>
      </c>
      <c r="D38">
        <v>0.34832998086640898</v>
      </c>
      <c r="E38">
        <v>21.831930077317001</v>
      </c>
      <c r="F38">
        <v>2.2077116297958201</v>
      </c>
      <c r="G38">
        <v>-355.16272794462117</v>
      </c>
      <c r="H38">
        <v>-298.02242014594788</v>
      </c>
      <c r="I38">
        <v>56.066631799708802</v>
      </c>
      <c r="J38">
        <v>29.428864408240401</v>
      </c>
      <c r="K38">
        <v>9.8889410114382095</v>
      </c>
      <c r="L38">
        <v>1.5088752564888514E-4</v>
      </c>
      <c r="M38">
        <v>1.7546122617269682E-5</v>
      </c>
      <c r="N38" s="1">
        <v>7.1608029352873702E-7</v>
      </c>
      <c r="O38" s="1">
        <v>1.9932007904071099E-8</v>
      </c>
      <c r="P38" s="1">
        <v>-1.03123922111533E-7</v>
      </c>
      <c r="Q38">
        <v>71.957897383312499</v>
      </c>
      <c r="R38">
        <v>0.15187043958563701</v>
      </c>
      <c r="S38">
        <v>12.4118581445167</v>
      </c>
      <c r="T38">
        <v>0.25211257581438601</v>
      </c>
      <c r="V38">
        <v>0.58563612557702005</v>
      </c>
      <c r="W38">
        <v>0.14147268086565201</v>
      </c>
      <c r="X38">
        <v>0.160423118588291</v>
      </c>
      <c r="AA38">
        <v>0.534110417600833</v>
      </c>
      <c r="AB38">
        <v>3.60091753715527</v>
      </c>
      <c r="AC38">
        <v>4.5246171498376597</v>
      </c>
      <c r="AD38">
        <v>4.1224023566006802E-2</v>
      </c>
      <c r="AE38">
        <v>5.6378604035798903</v>
      </c>
    </row>
    <row r="39" spans="1:31" x14ac:dyDescent="0.2">
      <c r="A39">
        <v>38</v>
      </c>
      <c r="B39">
        <v>744</v>
      </c>
      <c r="C39">
        <v>225</v>
      </c>
      <c r="D39">
        <v>0.34691097674876298</v>
      </c>
      <c r="E39">
        <v>9.3867864387652897</v>
      </c>
      <c r="F39">
        <v>2.21233608762026</v>
      </c>
      <c r="G39">
        <v>-152.60017541241035</v>
      </c>
      <c r="H39">
        <v>-128.12576497553022</v>
      </c>
      <c r="I39">
        <v>24.061751400363899</v>
      </c>
      <c r="J39">
        <v>12.667219425464699</v>
      </c>
      <c r="K39">
        <v>4.2429296756905996</v>
      </c>
      <c r="L39">
        <v>1.5113031560669353E-4</v>
      </c>
      <c r="M39">
        <v>1.7575825056163187E-5</v>
      </c>
      <c r="N39" s="1">
        <v>3.0895570636683099E-7</v>
      </c>
      <c r="O39" s="1">
        <v>8.5646963398394701E-9</v>
      </c>
      <c r="P39" s="1">
        <v>-4.4199718347149699E-8</v>
      </c>
      <c r="Q39">
        <v>71.428226200883799</v>
      </c>
      <c r="R39">
        <v>0.149823167531725</v>
      </c>
      <c r="S39">
        <v>12.8888057935175</v>
      </c>
      <c r="T39">
        <v>0.246398735085013</v>
      </c>
      <c r="V39">
        <v>0.57876782627061996</v>
      </c>
      <c r="W39">
        <v>0.322881381145183</v>
      </c>
      <c r="X39">
        <v>0.159502989965113</v>
      </c>
      <c r="AA39">
        <v>0.56629009365128902</v>
      </c>
      <c r="AB39">
        <v>3.3745064485521401</v>
      </c>
      <c r="AC39">
        <v>4.5442889668867901</v>
      </c>
      <c r="AD39">
        <v>9.5879458414191002E-2</v>
      </c>
      <c r="AE39">
        <v>5.6446289380964902</v>
      </c>
    </row>
    <row r="40" spans="1:31" x14ac:dyDescent="0.2">
      <c r="A40">
        <v>39</v>
      </c>
      <c r="B40">
        <v>772</v>
      </c>
      <c r="C40">
        <v>200</v>
      </c>
      <c r="D40">
        <v>0.39259484284552498</v>
      </c>
      <c r="E40">
        <v>104.50479038464999</v>
      </c>
      <c r="F40">
        <v>2.1893608038741199</v>
      </c>
      <c r="G40">
        <v>-1713.7940608817473</v>
      </c>
      <c r="H40">
        <v>-1429.5713026214562</v>
      </c>
      <c r="I40">
        <v>271.94446563679003</v>
      </c>
      <c r="J40">
        <v>141.319200862884</v>
      </c>
      <c r="K40">
        <v>47.733014220281298</v>
      </c>
      <c r="L40">
        <v>1.5099845703195179E-4</v>
      </c>
      <c r="M40">
        <v>1.7994934214236671E-5</v>
      </c>
      <c r="N40" s="1">
        <v>3.27854525210834E-6</v>
      </c>
      <c r="O40" s="1">
        <v>9.7213674188073099E-8</v>
      </c>
      <c r="P40" s="1">
        <v>-4.9629446325765805E-7</v>
      </c>
      <c r="Q40">
        <v>72.551698080968393</v>
      </c>
      <c r="R40">
        <v>7.8465302593482403E-2</v>
      </c>
      <c r="S40">
        <v>12.391776446166199</v>
      </c>
      <c r="T40">
        <v>0.19182873041109999</v>
      </c>
      <c r="V40">
        <v>0.458940392550859</v>
      </c>
      <c r="W40">
        <v>2.9663711956072401E-2</v>
      </c>
      <c r="X40">
        <v>8.6120454066018204E-2</v>
      </c>
      <c r="AA40">
        <v>0.66982575384679999</v>
      </c>
      <c r="AB40">
        <v>4.1816264918721497</v>
      </c>
      <c r="AC40">
        <v>3.8371446756080601</v>
      </c>
      <c r="AD40">
        <v>8.6120454066015498E-3</v>
      </c>
      <c r="AE40">
        <v>5.5142979145540698</v>
      </c>
    </row>
    <row r="41" spans="1:31" x14ac:dyDescent="0.2">
      <c r="A41">
        <v>40</v>
      </c>
      <c r="B41">
        <v>770</v>
      </c>
      <c r="C41">
        <v>200</v>
      </c>
      <c r="D41">
        <v>0.39129607439006903</v>
      </c>
      <c r="E41">
        <v>104.15076120707199</v>
      </c>
      <c r="F41">
        <v>2.1900647165540401</v>
      </c>
      <c r="G41">
        <v>-1707.336045304628</v>
      </c>
      <c r="H41">
        <v>-1424.9777852038901</v>
      </c>
      <c r="I41">
        <v>270.67848353615301</v>
      </c>
      <c r="J41">
        <v>140.77915845272599</v>
      </c>
      <c r="K41">
        <v>47.556019883717497</v>
      </c>
      <c r="L41">
        <v>1.507339255187111E-4</v>
      </c>
      <c r="M41">
        <v>1.7969794371716918E-5</v>
      </c>
      <c r="N41" s="1">
        <v>3.27097327727676E-6</v>
      </c>
      <c r="O41" s="1">
        <v>9.6627285990065694E-8</v>
      </c>
      <c r="P41" s="1">
        <v>-4.9361351299253501E-7</v>
      </c>
      <c r="Q41">
        <v>72.595285552873506</v>
      </c>
      <c r="R41">
        <v>7.8732021782316503E-2</v>
      </c>
      <c r="S41">
        <v>12.364840443373</v>
      </c>
      <c r="T41">
        <v>0.19301447952867301</v>
      </c>
      <c r="V41">
        <v>0.46002020664079202</v>
      </c>
      <c r="W41">
        <v>2.9764544820143499E-2</v>
      </c>
      <c r="X41">
        <v>8.6413194639130303E-2</v>
      </c>
      <c r="AA41">
        <v>0.66250329104483896</v>
      </c>
      <c r="AB41">
        <v>4.1669781228179499</v>
      </c>
      <c r="AC41">
        <v>3.84637827852977</v>
      </c>
      <c r="AD41">
        <v>8.6413194639123492E-3</v>
      </c>
      <c r="AE41">
        <v>5.5074285444858502</v>
      </c>
    </row>
    <row r="42" spans="1:31" x14ac:dyDescent="0.2">
      <c r="A42">
        <v>41</v>
      </c>
      <c r="B42">
        <v>768</v>
      </c>
      <c r="C42">
        <v>200</v>
      </c>
      <c r="D42">
        <v>0.38999231618883101</v>
      </c>
      <c r="E42">
        <v>103.237222674035</v>
      </c>
      <c r="F42">
        <v>2.1908356057435299</v>
      </c>
      <c r="G42">
        <v>-1691.5433037205119</v>
      </c>
      <c r="H42">
        <v>-1412.6763768272178</v>
      </c>
      <c r="I42">
        <v>267.84510098765099</v>
      </c>
      <c r="J42">
        <v>139.42843899853801</v>
      </c>
      <c r="K42">
        <v>47.122304568807898</v>
      </c>
      <c r="L42">
        <v>1.5019827846446222E-4</v>
      </c>
      <c r="M42">
        <v>1.7929522876576679E-5</v>
      </c>
      <c r="N42" s="1">
        <v>3.2394567811177502E-6</v>
      </c>
      <c r="O42" s="1">
        <v>9.53539851322205E-8</v>
      </c>
      <c r="P42" s="1">
        <v>-4.8705748339344797E-7</v>
      </c>
      <c r="Q42">
        <v>72.707709933446395</v>
      </c>
      <c r="R42">
        <v>7.9428715608623093E-2</v>
      </c>
      <c r="S42">
        <v>12.2953583816155</v>
      </c>
      <c r="T42">
        <v>0.19518360957401101</v>
      </c>
      <c r="V42">
        <v>0.46367593521584499</v>
      </c>
      <c r="W42">
        <v>3.0027929071551801E-2</v>
      </c>
      <c r="X42">
        <v>8.7177858594833804E-2</v>
      </c>
      <c r="AA42">
        <v>0.64443366922191903</v>
      </c>
      <c r="AB42">
        <v>4.12837925149275</v>
      </c>
      <c r="AC42">
        <v>3.8700423625029199</v>
      </c>
      <c r="AD42">
        <v>8.7177858594823694E-3</v>
      </c>
      <c r="AE42">
        <v>5.4898645677960101</v>
      </c>
    </row>
    <row r="43" spans="1:31" x14ac:dyDescent="0.2">
      <c r="A43">
        <v>42</v>
      </c>
      <c r="B43">
        <v>766</v>
      </c>
      <c r="C43">
        <v>200</v>
      </c>
      <c r="D43">
        <v>0.38868353943126899</v>
      </c>
      <c r="E43">
        <v>102.31878811518</v>
      </c>
      <c r="F43">
        <v>2.1916208043296601</v>
      </c>
      <c r="G43">
        <v>-1675.6834482701777</v>
      </c>
      <c r="H43">
        <v>-1400.3062210840001</v>
      </c>
      <c r="I43">
        <v>265.002383858131</v>
      </c>
      <c r="J43">
        <v>138.07220902764701</v>
      </c>
      <c r="K43">
        <v>46.686355556145401</v>
      </c>
      <c r="L43">
        <v>1.4965345934148412E-4</v>
      </c>
      <c r="M43">
        <v>1.788883781448293E-5</v>
      </c>
      <c r="N43" s="1">
        <v>3.2075605382631801E-6</v>
      </c>
      <c r="O43" s="1">
        <v>9.4078282092007598E-8</v>
      </c>
      <c r="P43" s="1">
        <v>-4.8046749893297698E-7</v>
      </c>
      <c r="Q43">
        <v>72.821033939317701</v>
      </c>
      <c r="R43">
        <v>8.0141684152565895E-2</v>
      </c>
      <c r="S43">
        <v>12.2255542330666</v>
      </c>
      <c r="T43">
        <v>0.19740042088989601</v>
      </c>
      <c r="V43">
        <v>0.467419751288356</v>
      </c>
      <c r="W43">
        <v>3.0297465960115198E-2</v>
      </c>
      <c r="X43">
        <v>8.7960385045504297E-2</v>
      </c>
      <c r="AA43">
        <v>0.62741816676022699</v>
      </c>
      <c r="AB43">
        <v>4.0884803207365001</v>
      </c>
      <c r="AC43">
        <v>3.8935869908802898</v>
      </c>
      <c r="AD43">
        <v>8.7960385045489208E-3</v>
      </c>
      <c r="AE43">
        <v>5.4719106033975597</v>
      </c>
    </row>
    <row r="44" spans="1:31" x14ac:dyDescent="0.2">
      <c r="A44">
        <v>43</v>
      </c>
      <c r="B44">
        <v>764</v>
      </c>
      <c r="C44">
        <v>200</v>
      </c>
      <c r="D44">
        <v>0.38736971508460899</v>
      </c>
      <c r="E44">
        <v>101.397129515457</v>
      </c>
      <c r="F44">
        <v>2.19241907608858</v>
      </c>
      <c r="G44">
        <v>-1659.7845958827647</v>
      </c>
      <c r="H44">
        <v>-1387.8903045494465</v>
      </c>
      <c r="I44">
        <v>262.15522473443298</v>
      </c>
      <c r="J44">
        <v>136.712862426371</v>
      </c>
      <c r="K44">
        <v>46.248972480368998</v>
      </c>
      <c r="L44">
        <v>1.4910021108134784E-4</v>
      </c>
      <c r="M44">
        <v>1.7847798984571064E-5</v>
      </c>
      <c r="N44" s="1">
        <v>3.1753641280972801E-6</v>
      </c>
      <c r="O44" s="1">
        <v>9.2802512700933797E-8</v>
      </c>
      <c r="P44" s="1">
        <v>-4.7385667669884601E-7</v>
      </c>
      <c r="Q44">
        <v>72.935188255238202</v>
      </c>
      <c r="R44">
        <v>8.0870139413069905E-2</v>
      </c>
      <c r="S44">
        <v>12.155465865296399</v>
      </c>
      <c r="T44">
        <v>0.19966343844811099</v>
      </c>
      <c r="V44">
        <v>0.47124663965730801</v>
      </c>
      <c r="W44">
        <v>3.0572857582988399E-2</v>
      </c>
      <c r="X44">
        <v>8.8759909111912505E-2</v>
      </c>
      <c r="AA44">
        <v>0.61143012955104703</v>
      </c>
      <c r="AB44">
        <v>4.0473781906692796</v>
      </c>
      <c r="AC44">
        <v>3.9169460178842601</v>
      </c>
      <c r="AD44">
        <v>8.8759909111893395E-3</v>
      </c>
      <c r="AE44">
        <v>5.4536025662360901</v>
      </c>
    </row>
    <row r="45" spans="1:31" x14ac:dyDescent="0.2">
      <c r="A45">
        <v>44</v>
      </c>
      <c r="B45">
        <v>762</v>
      </c>
      <c r="C45">
        <v>200</v>
      </c>
      <c r="D45">
        <v>0.38605081389170998</v>
      </c>
      <c r="E45">
        <v>100.47393822970901</v>
      </c>
      <c r="F45">
        <v>2.1932291297169</v>
      </c>
      <c r="G45">
        <v>-1643.8751166842969</v>
      </c>
      <c r="H45">
        <v>-1375.45187844002</v>
      </c>
      <c r="I45">
        <v>259.30854295925798</v>
      </c>
      <c r="J45">
        <v>135.35281301160001</v>
      </c>
      <c r="K45">
        <v>45.810962871297498</v>
      </c>
      <c r="L45">
        <v>1.4853931751472257E-4</v>
      </c>
      <c r="M45">
        <v>1.7806467962621245E-5</v>
      </c>
      <c r="N45" s="1">
        <v>3.1429480089347899E-6</v>
      </c>
      <c r="O45" s="1">
        <v>9.1529003851986604E-8</v>
      </c>
      <c r="P45" s="1">
        <v>-4.6723816727311801E-7</v>
      </c>
      <c r="Q45">
        <v>73.050097111065298</v>
      </c>
      <c r="R45">
        <v>8.1613203826576594E-2</v>
      </c>
      <c r="S45">
        <v>12.08513439889</v>
      </c>
      <c r="T45">
        <v>0.20197098379016901</v>
      </c>
      <c r="V45">
        <v>0.47515104730170499</v>
      </c>
      <c r="W45">
        <v>3.0853772178338301E-2</v>
      </c>
      <c r="X45">
        <v>8.95754676145427E-2</v>
      </c>
      <c r="AA45">
        <v>0.59643867489648295</v>
      </c>
      <c r="AB45">
        <v>4.0051764282119899</v>
      </c>
      <c r="AC45">
        <v>3.9400533620145999</v>
      </c>
      <c r="AD45">
        <v>8.9575467614521308E-3</v>
      </c>
      <c r="AE45">
        <v>5.4349780034487702</v>
      </c>
    </row>
    <row r="46" spans="1:31" x14ac:dyDescent="0.2">
      <c r="A46">
        <v>45</v>
      </c>
      <c r="B46">
        <v>760</v>
      </c>
      <c r="C46">
        <v>200</v>
      </c>
      <c r="D46">
        <v>0.38472680636887402</v>
      </c>
      <c r="E46">
        <v>97.325387894806298</v>
      </c>
      <c r="F46">
        <v>2.1948074037995702</v>
      </c>
      <c r="G46">
        <v>-1591.0223958011857</v>
      </c>
      <c r="H46">
        <v>-1332.0286759466037</v>
      </c>
      <c r="I46">
        <v>250.683559845697</v>
      </c>
      <c r="J46">
        <v>131.013849459081</v>
      </c>
      <c r="K46">
        <v>44.343475298251697</v>
      </c>
      <c r="L46">
        <v>1.4800390100460964E-4</v>
      </c>
      <c r="M46">
        <v>1.7743708354869664E-5</v>
      </c>
      <c r="N46" s="1">
        <v>3.0358087563006198E-6</v>
      </c>
      <c r="O46" s="1">
        <v>8.8110297492331103E-8</v>
      </c>
      <c r="P46" s="1">
        <v>-4.5053354449547101E-7</v>
      </c>
      <c r="Q46">
        <v>73.048698909134103</v>
      </c>
      <c r="R46">
        <v>8.4253453054439501E-2</v>
      </c>
      <c r="S46">
        <v>12.0656224179464</v>
      </c>
      <c r="T46">
        <v>0.20918586277169501</v>
      </c>
      <c r="V46">
        <v>0.48990980621601699</v>
      </c>
      <c r="W46">
        <v>3.18519151791153E-2</v>
      </c>
      <c r="X46">
        <v>9.2473302132930799E-2</v>
      </c>
      <c r="AA46">
        <v>0.57206455424417801</v>
      </c>
      <c r="AB46">
        <v>3.9554275685507898</v>
      </c>
      <c r="AC46">
        <v>4.03418236249599</v>
      </c>
      <c r="AD46">
        <v>9.2473302132904008E-3</v>
      </c>
      <c r="AE46">
        <v>5.4070825180609603</v>
      </c>
    </row>
    <row r="47" spans="1:31" x14ac:dyDescent="0.2">
      <c r="A47">
        <v>46</v>
      </c>
      <c r="B47">
        <v>758</v>
      </c>
      <c r="C47">
        <v>200</v>
      </c>
      <c r="D47">
        <v>0.383397662803666</v>
      </c>
      <c r="E47">
        <v>92.951444484587299</v>
      </c>
      <c r="F47">
        <v>2.1969027286382001</v>
      </c>
      <c r="G47">
        <v>-1517.9090789704937</v>
      </c>
      <c r="H47">
        <v>-1271.5740685451292</v>
      </c>
      <c r="I47">
        <v>238.89347856797099</v>
      </c>
      <c r="J47">
        <v>125.036581918648</v>
      </c>
      <c r="K47">
        <v>42.310223057624903</v>
      </c>
      <c r="L47">
        <v>1.4744578771183864E-4</v>
      </c>
      <c r="M47">
        <v>1.7666749750655772E-5</v>
      </c>
      <c r="N47" s="1">
        <v>2.8873775718213299E-6</v>
      </c>
      <c r="O47" s="1">
        <v>8.3529428032091905E-8</v>
      </c>
      <c r="P47" s="1">
        <v>-4.2821577647363201E-7</v>
      </c>
      <c r="Q47">
        <v>72.986278928786902</v>
      </c>
      <c r="R47">
        <v>8.8218101886086198E-2</v>
      </c>
      <c r="S47">
        <v>12.071619287143999</v>
      </c>
      <c r="T47">
        <v>0.21982773654214499</v>
      </c>
      <c r="V47">
        <v>0.512244719172118</v>
      </c>
      <c r="W47">
        <v>3.3350745834981398E-2</v>
      </c>
      <c r="X47">
        <v>9.6824745972544798E-2</v>
      </c>
      <c r="AA47">
        <v>0.54609570414171704</v>
      </c>
      <c r="AB47">
        <v>3.8951615365886298</v>
      </c>
      <c r="AC47">
        <v>4.1683351992747903</v>
      </c>
      <c r="AD47">
        <v>9.6824745972514704E-3</v>
      </c>
      <c r="AE47">
        <v>5.3723608200586703</v>
      </c>
    </row>
    <row r="48" spans="1:31" x14ac:dyDescent="0.2">
      <c r="A48">
        <v>47</v>
      </c>
      <c r="B48">
        <v>756</v>
      </c>
      <c r="C48">
        <v>200</v>
      </c>
      <c r="D48">
        <v>0.38206335325268598</v>
      </c>
      <c r="E48">
        <v>88.3670985196282</v>
      </c>
      <c r="F48">
        <v>2.1991829852909901</v>
      </c>
      <c r="G48">
        <v>-1441.4337646503752</v>
      </c>
      <c r="H48">
        <v>-1208.2424387839558</v>
      </c>
      <c r="I48">
        <v>226.58633422379501</v>
      </c>
      <c r="J48">
        <v>118.78122275015301</v>
      </c>
      <c r="K48">
        <v>40.181785286018702</v>
      </c>
      <c r="L48">
        <v>1.4684281547202097E-4</v>
      </c>
      <c r="M48">
        <v>1.758552152745401E-5</v>
      </c>
      <c r="N48" s="1">
        <v>2.7320592158376102E-6</v>
      </c>
      <c r="O48" s="1">
        <v>7.8782554439284106E-8</v>
      </c>
      <c r="P48" s="1">
        <v>-4.0490077934564598E-7</v>
      </c>
      <c r="Q48">
        <v>72.919838927053206</v>
      </c>
      <c r="R48">
        <v>9.2794718140245896E-2</v>
      </c>
      <c r="S48">
        <v>12.077369861704</v>
      </c>
      <c r="T48">
        <v>0.23204508721276601</v>
      </c>
      <c r="V48">
        <v>0.53808759211464596</v>
      </c>
      <c r="W48">
        <v>3.50809300286265E-2</v>
      </c>
      <c r="X48">
        <v>0.101847861373454</v>
      </c>
      <c r="AA48">
        <v>0.52454811306141103</v>
      </c>
      <c r="AB48">
        <v>3.8259722240053602</v>
      </c>
      <c r="AC48">
        <v>4.3073758783750504</v>
      </c>
      <c r="AD48">
        <v>1.0184786137342E-2</v>
      </c>
      <c r="AE48">
        <v>5.3348540207937099</v>
      </c>
    </row>
    <row r="49" spans="1:31" x14ac:dyDescent="0.2">
      <c r="A49">
        <v>48</v>
      </c>
      <c r="B49">
        <v>754</v>
      </c>
      <c r="C49">
        <v>200</v>
      </c>
      <c r="D49">
        <v>0.38072384753930699</v>
      </c>
      <c r="E49">
        <v>83.385267510205594</v>
      </c>
      <c r="F49">
        <v>2.2016996739650998</v>
      </c>
      <c r="G49">
        <v>-1358.5472357356452</v>
      </c>
      <c r="H49">
        <v>-1139.4663187544372</v>
      </c>
      <c r="I49">
        <v>213.29009101027901</v>
      </c>
      <c r="J49">
        <v>111.99808915032099</v>
      </c>
      <c r="K49">
        <v>37.873134331729403</v>
      </c>
      <c r="L49">
        <v>1.4619681609764651E-4</v>
      </c>
      <c r="M49">
        <v>1.7499971366505236E-5</v>
      </c>
      <c r="N49" s="1">
        <v>2.5643626564571501E-6</v>
      </c>
      <c r="O49" s="1">
        <v>7.3713102701175799E-8</v>
      </c>
      <c r="P49" s="1">
        <v>-3.7977449959236199E-7</v>
      </c>
      <c r="Q49">
        <v>72.8466984622399</v>
      </c>
      <c r="R49">
        <v>9.83387143178103E-2</v>
      </c>
      <c r="S49">
        <v>12.0826243871124</v>
      </c>
      <c r="T49">
        <v>0.24672583033413001</v>
      </c>
      <c r="V49">
        <v>0.56950010605625401</v>
      </c>
      <c r="W49">
        <v>3.7176831022582901E-2</v>
      </c>
      <c r="X49">
        <v>0.107932735226881</v>
      </c>
      <c r="AA49">
        <v>0.50817950449406102</v>
      </c>
      <c r="AB49">
        <v>3.7468708642564499</v>
      </c>
      <c r="AC49">
        <v>4.4507110409970103</v>
      </c>
      <c r="AD49">
        <v>1.0793273522683699E-2</v>
      </c>
      <c r="AE49">
        <v>5.2944482504197197</v>
      </c>
    </row>
    <row r="50" spans="1:31" x14ac:dyDescent="0.2">
      <c r="A50">
        <v>49</v>
      </c>
      <c r="B50">
        <v>752</v>
      </c>
      <c r="C50">
        <v>200</v>
      </c>
      <c r="D50">
        <v>0.37937911525142798</v>
      </c>
      <c r="E50">
        <v>74.102366742127401</v>
      </c>
      <c r="F50">
        <v>2.2050192685884702</v>
      </c>
      <c r="G50">
        <v>-1205.5009533492532</v>
      </c>
      <c r="H50">
        <v>-1011.6513175839725</v>
      </c>
      <c r="I50">
        <v>189.09392358706501</v>
      </c>
      <c r="J50">
        <v>99.466693547828996</v>
      </c>
      <c r="K50">
        <v>33.606221858352903</v>
      </c>
      <c r="L50">
        <v>1.4567324391216848E-4</v>
      </c>
      <c r="M50">
        <v>1.7421508996657812E-5</v>
      </c>
      <c r="N50" s="1">
        <v>2.2677888443115301E-6</v>
      </c>
      <c r="O50" s="1">
        <v>6.4978583642975906E-8</v>
      </c>
      <c r="P50" s="1">
        <v>-3.3551836819243899E-7</v>
      </c>
      <c r="Q50">
        <v>72.722714770606103</v>
      </c>
      <c r="R50">
        <v>0.11065773416571099</v>
      </c>
      <c r="S50">
        <v>12.082712575435799</v>
      </c>
      <c r="T50">
        <v>0.27823094710879498</v>
      </c>
      <c r="V50">
        <v>0.64030454164601303</v>
      </c>
      <c r="W50">
        <v>4.1834021452884999E-2</v>
      </c>
      <c r="X50">
        <v>0.12145361066971</v>
      </c>
      <c r="AA50">
        <v>0.50222612131000199</v>
      </c>
      <c r="AB50">
        <v>3.6623890149280398</v>
      </c>
      <c r="AC50">
        <v>4.5686584288824701</v>
      </c>
      <c r="AD50">
        <v>1.2145361066963701E-2</v>
      </c>
      <c r="AE50">
        <v>5.25667287272735</v>
      </c>
    </row>
    <row r="51" spans="1:31" x14ac:dyDescent="0.2">
      <c r="A51">
        <v>50</v>
      </c>
      <c r="B51">
        <v>750</v>
      </c>
      <c r="C51">
        <v>200</v>
      </c>
      <c r="D51">
        <v>0.37802912573913899</v>
      </c>
      <c r="E51">
        <v>15.5393937417063</v>
      </c>
      <c r="F51">
        <v>2.2100750444112802</v>
      </c>
      <c r="G51">
        <v>-252.70231206931294</v>
      </c>
      <c r="H51">
        <v>-212.23940812308291</v>
      </c>
      <c r="I51">
        <v>39.547382051732399</v>
      </c>
      <c r="J51">
        <v>20.8775030957352</v>
      </c>
      <c r="K51">
        <v>7.0311611277642099</v>
      </c>
      <c r="L51">
        <v>1.452943177231117E-4</v>
      </c>
      <c r="M51">
        <v>1.7390840131567292E-5</v>
      </c>
      <c r="N51" s="1">
        <v>4.7413364843372001E-7</v>
      </c>
      <c r="O51" s="1">
        <v>1.35367480223619E-8</v>
      </c>
      <c r="P51" s="1">
        <v>-6.9678336265777205E-8</v>
      </c>
      <c r="Q51">
        <v>72.288383355389399</v>
      </c>
      <c r="R51">
        <v>0.16395588960403901</v>
      </c>
      <c r="S51">
        <v>12.481015175300699</v>
      </c>
      <c r="T51">
        <v>0.24679441016732101</v>
      </c>
      <c r="V51">
        <v>0.57275413334787395</v>
      </c>
      <c r="W51">
        <v>0.19803006671218501</v>
      </c>
      <c r="X51">
        <v>0.171357102178225</v>
      </c>
      <c r="AA51">
        <v>0.55046329245710002</v>
      </c>
      <c r="AB51">
        <v>3.4052032832064598</v>
      </c>
      <c r="AC51">
        <v>4.6351192512244204</v>
      </c>
      <c r="AD51">
        <v>5.7917317429389402E-2</v>
      </c>
      <c r="AE51">
        <v>5.2290067229828203</v>
      </c>
    </row>
    <row r="52" spans="1:31" x14ac:dyDescent="0.2">
      <c r="A52">
        <v>51</v>
      </c>
      <c r="B52">
        <v>748</v>
      </c>
      <c r="C52">
        <v>200</v>
      </c>
      <c r="D52">
        <v>0.37667384811242399</v>
      </c>
      <c r="E52">
        <v>8.2814216985925899</v>
      </c>
      <c r="F52">
        <v>2.2144168633464498</v>
      </c>
      <c r="G52">
        <v>-134.58497364329898</v>
      </c>
      <c r="H52">
        <v>-113.10263909511558</v>
      </c>
      <c r="I52">
        <v>21.037393672020102</v>
      </c>
      <c r="J52">
        <v>11.1377249751066</v>
      </c>
      <c r="K52">
        <v>3.7397753944474599</v>
      </c>
      <c r="L52">
        <v>1.4548600491208407E-4</v>
      </c>
      <c r="M52">
        <v>1.7416401715215787E-5</v>
      </c>
      <c r="N52" s="1">
        <v>2.5350839467012699E-7</v>
      </c>
      <c r="O52" s="1">
        <v>7.20875307357701E-9</v>
      </c>
      <c r="P52" s="1">
        <v>-3.7013499694527999E-8</v>
      </c>
      <c r="Q52">
        <v>71.795344084025899</v>
      </c>
      <c r="R52">
        <v>0.16185323649140099</v>
      </c>
      <c r="S52">
        <v>12.926542206839301</v>
      </c>
      <c r="T52">
        <v>0.24131558245062101</v>
      </c>
      <c r="V52">
        <v>0.56573919331363998</v>
      </c>
      <c r="W52">
        <v>0.365299984986374</v>
      </c>
      <c r="X52">
        <v>0.170430310681916</v>
      </c>
      <c r="AA52">
        <v>0.58083114296720495</v>
      </c>
      <c r="AB52">
        <v>3.1962287810830898</v>
      </c>
      <c r="AC52">
        <v>4.6534909265078701</v>
      </c>
      <c r="AD52">
        <v>0.108676992037681</v>
      </c>
      <c r="AE52">
        <v>5.2342475586148502</v>
      </c>
    </row>
    <row r="53" spans="1:31" x14ac:dyDescent="0.2">
      <c r="A53">
        <v>52</v>
      </c>
      <c r="B53">
        <v>782</v>
      </c>
      <c r="C53">
        <v>175</v>
      </c>
      <c r="D53">
        <v>0.42507747713595301</v>
      </c>
      <c r="E53">
        <v>104.071813902374</v>
      </c>
      <c r="F53">
        <v>2.1893212205590702</v>
      </c>
      <c r="G53">
        <v>-1708.1565804563743</v>
      </c>
      <c r="H53">
        <v>-1423.7223770532519</v>
      </c>
      <c r="I53">
        <v>269.56755286274199</v>
      </c>
      <c r="J53">
        <v>140.427063005957</v>
      </c>
      <c r="K53">
        <v>47.536109788310903</v>
      </c>
      <c r="L53">
        <v>1.4584765158989191E-4</v>
      </c>
      <c r="M53">
        <v>1.7851460044643357E-5</v>
      </c>
      <c r="N53" s="1">
        <v>3.0202832112635999E-6</v>
      </c>
      <c r="O53" s="1">
        <v>9.2795549403247701E-8</v>
      </c>
      <c r="P53" s="1">
        <v>-4.7045706035670698E-7</v>
      </c>
      <c r="Q53">
        <v>72.853539452238607</v>
      </c>
      <c r="R53">
        <v>7.8791746703791202E-2</v>
      </c>
      <c r="S53">
        <v>12.443330729440801</v>
      </c>
      <c r="T53">
        <v>0.19214814993562401</v>
      </c>
      <c r="V53">
        <v>0.46128045233081699</v>
      </c>
      <c r="W53">
        <v>2.9787123753872002E-2</v>
      </c>
      <c r="X53">
        <v>8.6478746382211202E-2</v>
      </c>
      <c r="AA53">
        <v>0.67261247186163098</v>
      </c>
      <c r="AB53">
        <v>4.1990235743361604</v>
      </c>
      <c r="AC53">
        <v>3.8531085888072898</v>
      </c>
      <c r="AD53">
        <v>8.6478746382207504E-3</v>
      </c>
      <c r="AE53">
        <v>5.1212510895709098</v>
      </c>
    </row>
    <row r="54" spans="1:31" x14ac:dyDescent="0.2">
      <c r="A54">
        <v>53</v>
      </c>
      <c r="B54">
        <v>780</v>
      </c>
      <c r="C54">
        <v>175</v>
      </c>
      <c r="D54">
        <v>0.42385272753169101</v>
      </c>
      <c r="E54">
        <v>103.767499040907</v>
      </c>
      <c r="F54">
        <v>2.1899633810789898</v>
      </c>
      <c r="G54">
        <v>-1702.5355120010815</v>
      </c>
      <c r="H54">
        <v>-1419.8106021620829</v>
      </c>
      <c r="I54">
        <v>268.45644954564699</v>
      </c>
      <c r="J54">
        <v>139.962323361122</v>
      </c>
      <c r="K54">
        <v>47.383211946576502</v>
      </c>
      <c r="L54">
        <v>1.4563265642075025E-4</v>
      </c>
      <c r="M54">
        <v>1.7829823998737069E-5</v>
      </c>
      <c r="N54" s="1">
        <v>3.01570123320265E-6</v>
      </c>
      <c r="O54" s="1">
        <v>9.2310737801087906E-8</v>
      </c>
      <c r="P54" s="1">
        <v>-4.6831681081681999E-7</v>
      </c>
      <c r="Q54">
        <v>72.890533860869894</v>
      </c>
      <c r="R54">
        <v>7.9022816159108097E-2</v>
      </c>
      <c r="S54">
        <v>12.4197095318012</v>
      </c>
      <c r="T54">
        <v>0.19323441732646199</v>
      </c>
      <c r="V54">
        <v>0.46216284429440202</v>
      </c>
      <c r="W54">
        <v>2.9874479279662299E-2</v>
      </c>
      <c r="X54">
        <v>8.6732359199023404E-2</v>
      </c>
      <c r="AA54">
        <v>0.66621222352564902</v>
      </c>
      <c r="AB54">
        <v>4.1862082401784999</v>
      </c>
      <c r="AC54">
        <v>3.8611289943049898</v>
      </c>
      <c r="AD54">
        <v>8.6732359199016805E-3</v>
      </c>
      <c r="AE54">
        <v>5.1165069971410899</v>
      </c>
    </row>
    <row r="55" spans="1:31" x14ac:dyDescent="0.2">
      <c r="A55">
        <v>54</v>
      </c>
      <c r="B55">
        <v>778</v>
      </c>
      <c r="C55">
        <v>175</v>
      </c>
      <c r="D55">
        <v>0.422623317319128</v>
      </c>
      <c r="E55">
        <v>102.89549760950899</v>
      </c>
      <c r="F55">
        <v>2.1906421753521901</v>
      </c>
      <c r="G55">
        <v>-1687.439691027048</v>
      </c>
      <c r="H55">
        <v>-1408.0772360959782</v>
      </c>
      <c r="I55">
        <v>265.76840120921798</v>
      </c>
      <c r="J55">
        <v>138.67784443289801</v>
      </c>
      <c r="K55">
        <v>46.9704722967668</v>
      </c>
      <c r="L55">
        <v>1.4515920431643431E-4</v>
      </c>
      <c r="M55">
        <v>1.7793858700368194E-5</v>
      </c>
      <c r="N55" s="1">
        <v>2.9889469136100201E-6</v>
      </c>
      <c r="O55" s="1">
        <v>9.1166413443171304E-8</v>
      </c>
      <c r="P55" s="1">
        <v>-4.62473819450238E-7</v>
      </c>
      <c r="Q55">
        <v>72.997072252043196</v>
      </c>
      <c r="R55">
        <v>7.9692505410870806E-2</v>
      </c>
      <c r="S55">
        <v>12.352244641752501</v>
      </c>
      <c r="T55">
        <v>0.19531789187250001</v>
      </c>
      <c r="V55">
        <v>0.465678292738264</v>
      </c>
      <c r="W55">
        <v>3.01276544845968E-2</v>
      </c>
      <c r="X55">
        <v>8.7467383987544195E-2</v>
      </c>
      <c r="AA55">
        <v>0.64864188025081704</v>
      </c>
      <c r="AB55">
        <v>4.1488461344628096</v>
      </c>
      <c r="AC55">
        <v>3.8839833069565199</v>
      </c>
      <c r="AD55">
        <v>8.7467383987535306E-3</v>
      </c>
      <c r="AE55">
        <v>5.1021813176415103</v>
      </c>
    </row>
    <row r="56" spans="1:31" x14ac:dyDescent="0.2">
      <c r="A56">
        <v>55</v>
      </c>
      <c r="B56">
        <v>776</v>
      </c>
      <c r="C56">
        <v>175</v>
      </c>
      <c r="D56">
        <v>0.42138921984463801</v>
      </c>
      <c r="E56">
        <v>102.019515479205</v>
      </c>
      <c r="F56">
        <v>2.19133363417225</v>
      </c>
      <c r="G56">
        <v>-1672.2909519309524</v>
      </c>
      <c r="H56">
        <v>-1396.2876067166478</v>
      </c>
      <c r="I56">
        <v>263.07329286975499</v>
      </c>
      <c r="J56">
        <v>137.38903925907499</v>
      </c>
      <c r="K56">
        <v>46.555902710698597</v>
      </c>
      <c r="L56">
        <v>1.4467791048716357E-4</v>
      </c>
      <c r="M56">
        <v>1.775753982706808E-5</v>
      </c>
      <c r="N56" s="1">
        <v>2.9618789069160999E-6</v>
      </c>
      <c r="O56" s="1">
        <v>9.0020298690384901E-8</v>
      </c>
      <c r="P56" s="1">
        <v>-4.5660269441986198E-7</v>
      </c>
      <c r="Q56">
        <v>73.104343060748207</v>
      </c>
      <c r="R56">
        <v>8.0376778516180206E-2</v>
      </c>
      <c r="S56">
        <v>12.284518868522399</v>
      </c>
      <c r="T56">
        <v>0.197444444766256</v>
      </c>
      <c r="V56">
        <v>0.46927236104634901</v>
      </c>
      <c r="W56">
        <v>3.0386343097579399E-2</v>
      </c>
      <c r="X56">
        <v>8.8218415444592205E-2</v>
      </c>
      <c r="AA56">
        <v>0.63205623100580999</v>
      </c>
      <c r="AB56">
        <v>4.1102941268359903</v>
      </c>
      <c r="AC56">
        <v>3.9067267211299099</v>
      </c>
      <c r="AD56">
        <v>8.82184154445796E-3</v>
      </c>
      <c r="AE56">
        <v>5.0875408073421804</v>
      </c>
    </row>
    <row r="57" spans="1:31" x14ac:dyDescent="0.2">
      <c r="A57">
        <v>56</v>
      </c>
      <c r="B57">
        <v>774</v>
      </c>
      <c r="C57">
        <v>175</v>
      </c>
      <c r="D57">
        <v>0.420150408250972</v>
      </c>
      <c r="E57">
        <v>101.140996340356</v>
      </c>
      <c r="F57">
        <v>2.1920367504570502</v>
      </c>
      <c r="G57">
        <v>-1657.1135587723568</v>
      </c>
      <c r="H57">
        <v>-1384.4615619191518</v>
      </c>
      <c r="I57">
        <v>260.37530139254602</v>
      </c>
      <c r="J57">
        <v>136.09796277402501</v>
      </c>
      <c r="K57">
        <v>46.140191910225901</v>
      </c>
      <c r="L57">
        <v>1.4418936556867185E-4</v>
      </c>
      <c r="M57">
        <v>1.7720915726737138E-5</v>
      </c>
      <c r="N57" s="1">
        <v>2.9345595054667099E-6</v>
      </c>
      <c r="O57" s="1">
        <v>8.8874288351011398E-8</v>
      </c>
      <c r="P57" s="1">
        <v>-4.5071403291489702E-7</v>
      </c>
      <c r="Q57">
        <v>73.212289743900996</v>
      </c>
      <c r="R57">
        <v>8.1074937925326607E-2</v>
      </c>
      <c r="S57">
        <v>12.2165650535801</v>
      </c>
      <c r="T57">
        <v>0.19961278861836801</v>
      </c>
      <c r="V57">
        <v>0.472940593201297</v>
      </c>
      <c r="W57">
        <v>3.0650281410792998E-2</v>
      </c>
      <c r="X57">
        <v>8.8984687966827097E-2</v>
      </c>
      <c r="AA57">
        <v>0.61642999696143197</v>
      </c>
      <c r="AB57">
        <v>4.0706381669202596</v>
      </c>
      <c r="AC57">
        <v>3.9293025694698702</v>
      </c>
      <c r="AD57">
        <v>8.8984687966811703E-3</v>
      </c>
      <c r="AE57">
        <v>5.0726127112479498</v>
      </c>
    </row>
    <row r="58" spans="1:31" x14ac:dyDescent="0.2">
      <c r="A58">
        <v>57</v>
      </c>
      <c r="B58">
        <v>772</v>
      </c>
      <c r="C58">
        <v>175</v>
      </c>
      <c r="D58">
        <v>0.418906855475288</v>
      </c>
      <c r="E58">
        <v>100.261396940119</v>
      </c>
      <c r="F58">
        <v>2.1927504756121601</v>
      </c>
      <c r="G58">
        <v>-1641.9319354876413</v>
      </c>
      <c r="H58">
        <v>-1372.6191283841192</v>
      </c>
      <c r="I58">
        <v>257.67861752238599</v>
      </c>
      <c r="J58">
        <v>134.80668232047501</v>
      </c>
      <c r="K58">
        <v>45.724033835691301</v>
      </c>
      <c r="L58">
        <v>1.4369419121006672E-4</v>
      </c>
      <c r="M58">
        <v>1.7684036041052486E-5</v>
      </c>
      <c r="N58" s="1">
        <v>2.90705161925878E-6</v>
      </c>
      <c r="O58" s="1">
        <v>8.7730268140394306E-8</v>
      </c>
      <c r="P58" s="1">
        <v>-4.4481844892953201E-7</v>
      </c>
      <c r="Q58">
        <v>73.320850670121601</v>
      </c>
      <c r="R58">
        <v>8.1786213340888897E-2</v>
      </c>
      <c r="S58">
        <v>12.1484186644925</v>
      </c>
      <c r="T58">
        <v>0.20182147214250101</v>
      </c>
      <c r="V58">
        <v>0.47667809513168102</v>
      </c>
      <c r="W58">
        <v>3.0919178214237099E-2</v>
      </c>
      <c r="X58">
        <v>8.9765356105859895E-2</v>
      </c>
      <c r="AA58">
        <v>0.60173441513175896</v>
      </c>
      <c r="AB58">
        <v>4.0299696245923302</v>
      </c>
      <c r="AC58">
        <v>3.9516543465851801</v>
      </c>
      <c r="AD58">
        <v>8.9765356105840997E-3</v>
      </c>
      <c r="AE58">
        <v>5.0574254285308102</v>
      </c>
    </row>
    <row r="59" spans="1:31" x14ac:dyDescent="0.2">
      <c r="A59">
        <v>58</v>
      </c>
      <c r="B59">
        <v>770</v>
      </c>
      <c r="C59">
        <v>175</v>
      </c>
      <c r="D59">
        <v>0.41765853424723398</v>
      </c>
      <c r="E59">
        <v>99.382162235351799</v>
      </c>
      <c r="F59">
        <v>2.1934737356263398</v>
      </c>
      <c r="G59">
        <v>-1626.7702509815465</v>
      </c>
      <c r="H59">
        <v>-1360.7801702632139</v>
      </c>
      <c r="I59">
        <v>254.987375466933</v>
      </c>
      <c r="J59">
        <v>133.517242504167</v>
      </c>
      <c r="K59">
        <v>45.308115899082402</v>
      </c>
      <c r="L59">
        <v>1.4319302947570373E-4</v>
      </c>
      <c r="M59">
        <v>1.7646950941080881E-5</v>
      </c>
      <c r="N59" s="1">
        <v>2.8794177275985998E-6</v>
      </c>
      <c r="O59" s="1">
        <v>8.6590083828925798E-8</v>
      </c>
      <c r="P59" s="1">
        <v>-4.3892639810682201E-7</v>
      </c>
      <c r="Q59">
        <v>73.429960389618003</v>
      </c>
      <c r="R59">
        <v>8.2509776559110404E-2</v>
      </c>
      <c r="S59">
        <v>12.080117075735901</v>
      </c>
      <c r="T59">
        <v>0.20406891248133499</v>
      </c>
      <c r="V59">
        <v>0.48047962507971897</v>
      </c>
      <c r="W59">
        <v>3.1192720406491299E-2</v>
      </c>
      <c r="X59">
        <v>9.0559510857567402E-2</v>
      </c>
      <c r="AA59">
        <v>0.58793774375649299</v>
      </c>
      <c r="AB59">
        <v>3.98838376901154</v>
      </c>
      <c r="AC59">
        <v>3.9737264826473502</v>
      </c>
      <c r="AD59">
        <v>9.0559510857545697E-3</v>
      </c>
      <c r="AE59">
        <v>5.0420080427605898</v>
      </c>
    </row>
    <row r="60" spans="1:31" x14ac:dyDescent="0.2">
      <c r="A60">
        <v>59</v>
      </c>
      <c r="B60">
        <v>768</v>
      </c>
      <c r="C60">
        <v>175</v>
      </c>
      <c r="D60">
        <v>0.416405417086878</v>
      </c>
      <c r="E60">
        <v>98.504702131966695</v>
      </c>
      <c r="F60">
        <v>2.1942054469588501</v>
      </c>
      <c r="G60">
        <v>-1611.652032216266</v>
      </c>
      <c r="H60">
        <v>-1348.9640697101058</v>
      </c>
      <c r="I60">
        <v>252.30558757735099</v>
      </c>
      <c r="J60">
        <v>132.231632451666</v>
      </c>
      <c r="K60">
        <v>44.8931080125123</v>
      </c>
      <c r="L60">
        <v>1.426865322699164E-4</v>
      </c>
      <c r="M60">
        <v>1.7609710389349078E-5</v>
      </c>
      <c r="N60" s="1">
        <v>2.8517188985320399E-6</v>
      </c>
      <c r="O60" s="1">
        <v>8.5455513043507399E-8</v>
      </c>
      <c r="P60" s="1">
        <v>-4.3304801593771002E-7</v>
      </c>
      <c r="Q60">
        <v>73.539550944943997</v>
      </c>
      <c r="R60">
        <v>8.3244757077836004E-2</v>
      </c>
      <c r="S60">
        <v>12.0116988320571</v>
      </c>
      <c r="T60">
        <v>0.20635342939152099</v>
      </c>
      <c r="V60">
        <v>0.48433968846608799</v>
      </c>
      <c r="W60">
        <v>3.1470578895277601E-2</v>
      </c>
      <c r="X60">
        <v>9.1366196792755205E-2</v>
      </c>
      <c r="AA60">
        <v>0.57500581580630405</v>
      </c>
      <c r="AB60">
        <v>3.9459782266567398</v>
      </c>
      <c r="AC60">
        <v>3.9954650506532499</v>
      </c>
      <c r="AD60">
        <v>9.1366196792730097E-3</v>
      </c>
      <c r="AE60">
        <v>5.0263898595797798</v>
      </c>
    </row>
    <row r="61" spans="1:31" x14ac:dyDescent="0.2">
      <c r="A61">
        <v>60</v>
      </c>
      <c r="B61">
        <v>766</v>
      </c>
      <c r="C61">
        <v>175</v>
      </c>
      <c r="D61">
        <v>0.41514747630275201</v>
      </c>
      <c r="E61">
        <v>95.809132018771507</v>
      </c>
      <c r="F61">
        <v>2.1955843601119098</v>
      </c>
      <c r="G61">
        <v>-1566.3531561781397</v>
      </c>
      <c r="H61">
        <v>-1311.8262692963558</v>
      </c>
      <c r="I61">
        <v>244.937580601245</v>
      </c>
      <c r="J61">
        <v>128.519964115932</v>
      </c>
      <c r="K61">
        <v>43.637190061732703</v>
      </c>
      <c r="L61">
        <v>1.4219977824982312E-4</v>
      </c>
      <c r="M61">
        <v>1.7554542894730437E-5</v>
      </c>
      <c r="N61" s="1">
        <v>2.76726603391063E-6</v>
      </c>
      <c r="O61" s="1">
        <v>8.2646052398931105E-8</v>
      </c>
      <c r="P61" s="1">
        <v>-4.1936109437068599E-7</v>
      </c>
      <c r="Q61">
        <v>73.554544262557698</v>
      </c>
      <c r="R61">
        <v>8.5586831100751298E-2</v>
      </c>
      <c r="S61">
        <v>11.9841264159082</v>
      </c>
      <c r="T61">
        <v>0.21279404952974701</v>
      </c>
      <c r="V61">
        <v>0.49739518724180198</v>
      </c>
      <c r="W61">
        <v>3.2355997123452503E-2</v>
      </c>
      <c r="X61">
        <v>9.3936765842297903E-2</v>
      </c>
      <c r="AA61">
        <v>0.55529791219888003</v>
      </c>
      <c r="AB61">
        <v>3.8956754379037801</v>
      </c>
      <c r="AC61">
        <v>4.0756476050816</v>
      </c>
      <c r="AD61">
        <v>9.3936765842267695E-3</v>
      </c>
      <c r="AE61">
        <v>5.00324585892744</v>
      </c>
    </row>
    <row r="62" spans="1:31" x14ac:dyDescent="0.2">
      <c r="A62">
        <v>61</v>
      </c>
      <c r="B62">
        <v>764</v>
      </c>
      <c r="C62">
        <v>175</v>
      </c>
      <c r="D62">
        <v>0.41388468398978101</v>
      </c>
      <c r="E62">
        <v>91.506508617760204</v>
      </c>
      <c r="F62">
        <v>2.19761207374634</v>
      </c>
      <c r="G62">
        <v>-1494.4493854562052</v>
      </c>
      <c r="H62">
        <v>-1252.3338908479445</v>
      </c>
      <c r="I62">
        <v>233.44308403631101</v>
      </c>
      <c r="J62">
        <v>122.665792388917</v>
      </c>
      <c r="K62">
        <v>41.639063468451901</v>
      </c>
      <c r="L62">
        <v>1.4170463982254847E-4</v>
      </c>
      <c r="M62">
        <v>1.7481775105936768E-5</v>
      </c>
      <c r="N62" s="1">
        <v>2.6326647481349301E-6</v>
      </c>
      <c r="O62" s="1">
        <v>7.8374217344465804E-8</v>
      </c>
      <c r="P62" s="1">
        <v>-3.98735085958276E-7</v>
      </c>
      <c r="Q62">
        <v>73.487765417433096</v>
      </c>
      <c r="R62">
        <v>8.9611112082237002E-2</v>
      </c>
      <c r="S62">
        <v>11.990695196064699</v>
      </c>
      <c r="T62">
        <v>0.223584287063568</v>
      </c>
      <c r="V62">
        <v>0.52007656693374604</v>
      </c>
      <c r="W62">
        <v>3.3877371640841897E-2</v>
      </c>
      <c r="X62">
        <v>9.8353659602471499E-2</v>
      </c>
      <c r="AA62">
        <v>0.53245140001554203</v>
      </c>
      <c r="AB62">
        <v>3.8333302491400798</v>
      </c>
      <c r="AC62">
        <v>4.2081445998154301</v>
      </c>
      <c r="AD62">
        <v>9.8353659602421293E-3</v>
      </c>
      <c r="AE62">
        <v>4.9722747742479596</v>
      </c>
    </row>
    <row r="63" spans="1:31" x14ac:dyDescent="0.2">
      <c r="A63">
        <v>62</v>
      </c>
      <c r="B63">
        <v>762</v>
      </c>
      <c r="C63">
        <v>175</v>
      </c>
      <c r="D63">
        <v>0.41261701202724399</v>
      </c>
      <c r="E63">
        <v>87.016416226148095</v>
      </c>
      <c r="F63">
        <v>2.1998067777174</v>
      </c>
      <c r="G63">
        <v>-1419.5612541108774</v>
      </c>
      <c r="H63">
        <v>-1190.2795548718873</v>
      </c>
      <c r="I63">
        <v>221.496110939468</v>
      </c>
      <c r="J63">
        <v>116.565634820489</v>
      </c>
      <c r="K63">
        <v>39.556390637381099</v>
      </c>
      <c r="L63">
        <v>1.4117489453916257E-4</v>
      </c>
      <c r="M63">
        <v>1.7405525393619944E-5</v>
      </c>
      <c r="N63" s="1">
        <v>2.49250236268758E-6</v>
      </c>
      <c r="O63" s="1">
        <v>7.3966980050426595E-8</v>
      </c>
      <c r="P63" s="1">
        <v>-3.7728530253824202E-7</v>
      </c>
      <c r="Q63">
        <v>73.416512280502801</v>
      </c>
      <c r="R63">
        <v>9.4235092131229298E-2</v>
      </c>
      <c r="S63">
        <v>11.9971616018845</v>
      </c>
      <c r="T63">
        <v>0.23591988787273399</v>
      </c>
      <c r="V63">
        <v>0.54619425788674403</v>
      </c>
      <c r="W63">
        <v>3.5625461659361098E-2</v>
      </c>
      <c r="X63">
        <v>0.103428759656254</v>
      </c>
      <c r="AA63">
        <v>0.51376362408716603</v>
      </c>
      <c r="AB63">
        <v>3.7630545174484298</v>
      </c>
      <c r="AC63">
        <v>4.3446149668449001</v>
      </c>
      <c r="AD63">
        <v>1.03428759656177E-2</v>
      </c>
      <c r="AE63">
        <v>4.9391466740602201</v>
      </c>
    </row>
    <row r="64" spans="1:31" x14ac:dyDescent="0.2">
      <c r="A64">
        <v>63</v>
      </c>
      <c r="B64">
        <v>760</v>
      </c>
      <c r="C64">
        <v>175</v>
      </c>
      <c r="D64">
        <v>0.41134443207665999</v>
      </c>
      <c r="E64">
        <v>82.171658645868305</v>
      </c>
      <c r="F64">
        <v>2.2022146343009998</v>
      </c>
      <c r="G64">
        <v>-1338.9633743936554</v>
      </c>
      <c r="H64">
        <v>-1123.3678200235047</v>
      </c>
      <c r="I64">
        <v>208.67788256318099</v>
      </c>
      <c r="J64">
        <v>109.997099740924</v>
      </c>
      <c r="K64">
        <v>37.3131925317306</v>
      </c>
      <c r="L64">
        <v>1.4061337945704322E-4</v>
      </c>
      <c r="M64">
        <v>1.7325854786075907E-5</v>
      </c>
      <c r="N64" s="1">
        <v>2.3422391075234298E-6</v>
      </c>
      <c r="O64" s="1">
        <v>6.9290980455073204E-8</v>
      </c>
      <c r="P64" s="1">
        <v>-3.5432314687592602E-7</v>
      </c>
      <c r="Q64">
        <v>73.338251020247597</v>
      </c>
      <c r="R64">
        <v>9.9791097504066603E-2</v>
      </c>
      <c r="S64">
        <v>12.003307854639001</v>
      </c>
      <c r="T64">
        <v>0.25063160494814402</v>
      </c>
      <c r="V64">
        <v>0.577675560499324</v>
      </c>
      <c r="W64">
        <v>3.7725902714942403E-2</v>
      </c>
      <c r="X64">
        <v>0.10952681433377399</v>
      </c>
      <c r="AA64">
        <v>0.49991669658033799</v>
      </c>
      <c r="AB64">
        <v>3.6840983652763102</v>
      </c>
      <c r="AC64">
        <v>4.4842973044590702</v>
      </c>
      <c r="AD64">
        <v>1.09526814333652E-2</v>
      </c>
      <c r="AE64">
        <v>4.9038250973639901</v>
      </c>
    </row>
    <row r="65" spans="1:31" x14ac:dyDescent="0.2">
      <c r="A65">
        <v>64</v>
      </c>
      <c r="B65">
        <v>758</v>
      </c>
      <c r="C65">
        <v>175</v>
      </c>
      <c r="D65">
        <v>0.41006691557969399</v>
      </c>
      <c r="E65">
        <v>76.559078317785904</v>
      </c>
      <c r="F65">
        <v>2.2049499841695401</v>
      </c>
      <c r="G65">
        <v>-1245.9182634551239</v>
      </c>
      <c r="H65">
        <v>-1045.9260367881775</v>
      </c>
      <c r="I65">
        <v>193.95066349895299</v>
      </c>
      <c r="J65">
        <v>102.410225688084</v>
      </c>
      <c r="K65">
        <v>34.721458022831499</v>
      </c>
      <c r="L65">
        <v>1.4002834877886581E-4</v>
      </c>
      <c r="M65">
        <v>1.7243070109222909E-5</v>
      </c>
      <c r="N65" s="1">
        <v>2.1704962081534799E-6</v>
      </c>
      <c r="O65" s="1">
        <v>6.4012571590580697E-8</v>
      </c>
      <c r="P65" s="1">
        <v>-3.2811924062026301E-7</v>
      </c>
      <c r="Q65">
        <v>73.246661036450803</v>
      </c>
      <c r="R65">
        <v>0.10710682756607599</v>
      </c>
      <c r="S65">
        <v>12.008652408492001</v>
      </c>
      <c r="T65">
        <v>0.26977773468273197</v>
      </c>
      <c r="V65">
        <v>0.61933036751440396</v>
      </c>
      <c r="W65">
        <v>4.0491605543260902E-2</v>
      </c>
      <c r="X65">
        <v>0.117556274157941</v>
      </c>
      <c r="AA65">
        <v>0.49284926698306902</v>
      </c>
      <c r="AB65">
        <v>3.59463538180673</v>
      </c>
      <c r="AC65">
        <v>4.6248860144243604</v>
      </c>
      <c r="AD65">
        <v>1.1755627415779899E-2</v>
      </c>
      <c r="AE65">
        <v>4.86629745496277</v>
      </c>
    </row>
    <row r="66" spans="1:31" x14ac:dyDescent="0.2">
      <c r="A66">
        <v>65</v>
      </c>
      <c r="B66">
        <v>756</v>
      </c>
      <c r="C66">
        <v>175</v>
      </c>
      <c r="D66">
        <v>0.40878443375601398</v>
      </c>
      <c r="E66">
        <v>22.8085441796681</v>
      </c>
      <c r="F66">
        <v>2.2096662557040698</v>
      </c>
      <c r="G66">
        <v>-370.96718234792905</v>
      </c>
      <c r="H66">
        <v>-311.66961932351393</v>
      </c>
      <c r="I66">
        <v>57.617998371874897</v>
      </c>
      <c r="J66">
        <v>30.524392658629001</v>
      </c>
      <c r="K66">
        <v>10.3221670335009</v>
      </c>
      <c r="L66">
        <v>1.3942871249653593E-4</v>
      </c>
      <c r="M66">
        <v>1.7177214124472644E-5</v>
      </c>
      <c r="N66" s="1">
        <v>6.4283244404953805E-7</v>
      </c>
      <c r="O66" s="1">
        <v>1.8897148176866999E-8</v>
      </c>
      <c r="P66" s="1">
        <v>-9.66901352840793E-8</v>
      </c>
      <c r="Q66">
        <v>72.939148382535095</v>
      </c>
      <c r="R66">
        <v>0.16884758360535501</v>
      </c>
      <c r="S66">
        <v>12.246260288270401</v>
      </c>
      <c r="T66">
        <v>0.24944375352011899</v>
      </c>
      <c r="V66">
        <v>0.57492132754778003</v>
      </c>
      <c r="W66">
        <v>0.135913979234244</v>
      </c>
      <c r="X66">
        <v>0.18153577045095101</v>
      </c>
      <c r="AA66">
        <v>0.54382639980860104</v>
      </c>
      <c r="AB66">
        <v>3.37396369832509</v>
      </c>
      <c r="AC66">
        <v>4.7199910252842701</v>
      </c>
      <c r="AD66">
        <v>3.9458897197015702E-2</v>
      </c>
      <c r="AE66">
        <v>4.8266888942209203</v>
      </c>
    </row>
    <row r="67" spans="1:31" x14ac:dyDescent="0.2">
      <c r="A67">
        <v>66</v>
      </c>
      <c r="B67">
        <v>754</v>
      </c>
      <c r="C67">
        <v>175</v>
      </c>
      <c r="D67">
        <v>0.40749695760112897</v>
      </c>
      <c r="E67">
        <v>10.0676049187089</v>
      </c>
      <c r="F67">
        <v>2.21421536193529</v>
      </c>
      <c r="G67">
        <v>-163.63540689866858</v>
      </c>
      <c r="H67">
        <v>-137.56642722575401</v>
      </c>
      <c r="I67">
        <v>25.379914981175599</v>
      </c>
      <c r="J67">
        <v>13.485923941685</v>
      </c>
      <c r="K67">
        <v>4.5468047470818203</v>
      </c>
      <c r="L67">
        <v>1.3947281975603261E-4</v>
      </c>
      <c r="M67">
        <v>1.7190682708342621E-5</v>
      </c>
      <c r="N67" s="1">
        <v>2.8424547665950099E-7</v>
      </c>
      <c r="O67" s="1">
        <v>8.3236410154478894E-9</v>
      </c>
      <c r="P67" s="1">
        <v>-4.2463033025074698E-8</v>
      </c>
      <c r="Q67">
        <v>72.452466555446705</v>
      </c>
      <c r="R67">
        <v>0.17701442904461101</v>
      </c>
      <c r="S67">
        <v>12.6896079578834</v>
      </c>
      <c r="T67">
        <v>0.240597463629588</v>
      </c>
      <c r="V67">
        <v>0.56024204252716103</v>
      </c>
      <c r="W67">
        <v>0.30319120820461698</v>
      </c>
      <c r="X67">
        <v>0.182767344362915</v>
      </c>
      <c r="AA67">
        <v>0.57774160866554802</v>
      </c>
      <c r="AB67">
        <v>3.1493714281035801</v>
      </c>
      <c r="AC67">
        <v>4.7533355945370204</v>
      </c>
      <c r="AD67">
        <v>8.9395641492255096E-2</v>
      </c>
      <c r="AE67">
        <v>4.8242687261025701</v>
      </c>
    </row>
    <row r="68" spans="1:31" x14ac:dyDescent="0.2">
      <c r="A68">
        <v>67</v>
      </c>
      <c r="B68">
        <v>792</v>
      </c>
      <c r="C68">
        <v>150</v>
      </c>
      <c r="D68">
        <v>0.456950194808243</v>
      </c>
      <c r="E68">
        <v>103.540788435029</v>
      </c>
      <c r="F68">
        <v>2.19093643416331</v>
      </c>
      <c r="G68">
        <v>-1700.6628074087796</v>
      </c>
      <c r="H68">
        <v>-1416.5843658350486</v>
      </c>
      <c r="I68">
        <v>266.70275695792202</v>
      </c>
      <c r="J68">
        <v>139.349984090352</v>
      </c>
      <c r="K68">
        <v>47.258691224681499</v>
      </c>
      <c r="L68">
        <v>1.3978807806693094E-4</v>
      </c>
      <c r="M68">
        <v>1.7599753999799326E-5</v>
      </c>
      <c r="N68" s="1">
        <v>2.74887899454181E-6</v>
      </c>
      <c r="O68" s="1">
        <v>8.7530441238008001E-8</v>
      </c>
      <c r="P68" s="1">
        <v>-4.3888900411354802E-7</v>
      </c>
      <c r="Q68">
        <v>73.182700032431697</v>
      </c>
      <c r="R68">
        <v>7.9195842758580701E-2</v>
      </c>
      <c r="S68">
        <v>12.491999480235499</v>
      </c>
      <c r="T68">
        <v>0.19275026034898601</v>
      </c>
      <c r="V68">
        <v>0.46399114719173301</v>
      </c>
      <c r="W68">
        <v>2.9939891774585E-2</v>
      </c>
      <c r="X68">
        <v>8.6922266442346505E-2</v>
      </c>
      <c r="AA68">
        <v>0.67394300984979205</v>
      </c>
      <c r="AB68">
        <v>4.2142290991006197</v>
      </c>
      <c r="AC68">
        <v>3.8720541704048701</v>
      </c>
      <c r="AD68">
        <v>8.6922266442341304E-3</v>
      </c>
      <c r="AE68">
        <v>4.7035825728169698</v>
      </c>
    </row>
    <row r="69" spans="1:31" x14ac:dyDescent="0.2">
      <c r="A69">
        <v>68</v>
      </c>
      <c r="B69">
        <v>790</v>
      </c>
      <c r="C69">
        <v>150</v>
      </c>
      <c r="D69">
        <v>0.45579692423458601</v>
      </c>
      <c r="E69">
        <v>102.709496355767</v>
      </c>
      <c r="F69">
        <v>2.1915168214865202</v>
      </c>
      <c r="G69">
        <v>-1686.2468128210946</v>
      </c>
      <c r="H69">
        <v>-1405.4094725472744</v>
      </c>
      <c r="I69">
        <v>264.15589547459899</v>
      </c>
      <c r="J69">
        <v>138.13035825497701</v>
      </c>
      <c r="K69">
        <v>46.866852833964799</v>
      </c>
      <c r="L69">
        <v>1.3937845484891676E-4</v>
      </c>
      <c r="M69">
        <v>1.7568561007199472E-5</v>
      </c>
      <c r="N69" s="1">
        <v>2.7266929185167498E-6</v>
      </c>
      <c r="O69" s="1">
        <v>8.6516419250382095E-8</v>
      </c>
      <c r="P69" s="1">
        <v>-4.3378090492418802E-7</v>
      </c>
      <c r="Q69">
        <v>73.283418070232301</v>
      </c>
      <c r="R69">
        <v>7.9836824158855901E-2</v>
      </c>
      <c r="S69">
        <v>12.4265961470756</v>
      </c>
      <c r="T69">
        <v>0.19473711114967401</v>
      </c>
      <c r="V69">
        <v>0.46736247555071597</v>
      </c>
      <c r="W69">
        <v>3.0182214011274099E-2</v>
      </c>
      <c r="X69">
        <v>8.7625782613381095E-2</v>
      </c>
      <c r="AA69">
        <v>0.65673314674191097</v>
      </c>
      <c r="AB69">
        <v>4.1782837571107798</v>
      </c>
      <c r="AC69">
        <v>3.8941021326027099</v>
      </c>
      <c r="AD69">
        <v>8.7625782613372696E-3</v>
      </c>
      <c r="AE69">
        <v>4.6923597604912901</v>
      </c>
    </row>
    <row r="70" spans="1:31" x14ac:dyDescent="0.2">
      <c r="A70">
        <v>69</v>
      </c>
      <c r="B70">
        <v>788</v>
      </c>
      <c r="C70">
        <v>150</v>
      </c>
      <c r="D70">
        <v>0.45463930641285699</v>
      </c>
      <c r="E70">
        <v>101.874943825256</v>
      </c>
      <c r="F70">
        <v>2.1921084192729299</v>
      </c>
      <c r="G70">
        <v>-1671.788901916854</v>
      </c>
      <c r="H70">
        <v>-1394.188143039336</v>
      </c>
      <c r="I70">
        <v>261.603693047653</v>
      </c>
      <c r="J70">
        <v>136.90731883584999</v>
      </c>
      <c r="K70">
        <v>46.473496898956398</v>
      </c>
      <c r="L70">
        <v>1.3896222141838508E-4</v>
      </c>
      <c r="M70">
        <v>1.7537071186727701E-5</v>
      </c>
      <c r="N70" s="1">
        <v>2.7042482415092602E-6</v>
      </c>
      <c r="O70" s="1">
        <v>8.55009929247926E-8</v>
      </c>
      <c r="P70" s="1">
        <v>-4.28649181070465E-7</v>
      </c>
      <c r="Q70">
        <v>73.384715991966004</v>
      </c>
      <c r="R70">
        <v>8.0490841929349105E-2</v>
      </c>
      <c r="S70">
        <v>12.360988368202401</v>
      </c>
      <c r="T70">
        <v>0.19676264271483601</v>
      </c>
      <c r="V70">
        <v>0.47080392541413701</v>
      </c>
      <c r="W70">
        <v>3.0429464631826199E-2</v>
      </c>
      <c r="X70">
        <v>8.8343606995630805E-2</v>
      </c>
      <c r="AA70">
        <v>0.640444673428337</v>
      </c>
      <c r="AB70">
        <v>4.1412466275356303</v>
      </c>
      <c r="AC70">
        <v>3.9160511332755799</v>
      </c>
      <c r="AD70">
        <v>8.8343606995619304E-3</v>
      </c>
      <c r="AE70">
        <v>4.6808883632065799</v>
      </c>
    </row>
    <row r="71" spans="1:31" x14ac:dyDescent="0.2">
      <c r="A71">
        <v>70</v>
      </c>
      <c r="B71">
        <v>786</v>
      </c>
      <c r="C71">
        <v>150</v>
      </c>
      <c r="D71">
        <v>0.45347731671623798</v>
      </c>
      <c r="E71">
        <v>101.038367082009</v>
      </c>
      <c r="F71">
        <v>2.1927104203063599</v>
      </c>
      <c r="G71">
        <v>-1657.3098476025227</v>
      </c>
      <c r="H71">
        <v>-1382.9373711668595</v>
      </c>
      <c r="I71">
        <v>259.04968742450302</v>
      </c>
      <c r="J71">
        <v>135.68261503633599</v>
      </c>
      <c r="K71">
        <v>46.079211439097598</v>
      </c>
      <c r="L71">
        <v>1.3853983655104721E-4</v>
      </c>
      <c r="M71">
        <v>1.7505322711586951E-5</v>
      </c>
      <c r="N71" s="1">
        <v>2.68159263458093E-6</v>
      </c>
      <c r="O71" s="1">
        <v>8.4485672109758603E-8</v>
      </c>
      <c r="P71" s="1">
        <v>-4.2350220669871198E-7</v>
      </c>
      <c r="Q71">
        <v>73.486548760382703</v>
      </c>
      <c r="R71">
        <v>8.1157289421991505E-2</v>
      </c>
      <c r="S71">
        <v>12.295204020387301</v>
      </c>
      <c r="T71">
        <v>0.198825755220537</v>
      </c>
      <c r="V71">
        <v>0.47431160363855501</v>
      </c>
      <c r="W71">
        <v>3.06814142936787E-2</v>
      </c>
      <c r="X71">
        <v>8.9075073755848902E-2</v>
      </c>
      <c r="AA71">
        <v>0.62505407482134201</v>
      </c>
      <c r="AB71">
        <v>4.1031930208409504</v>
      </c>
      <c r="AC71">
        <v>3.9378529745051898</v>
      </c>
      <c r="AD71">
        <v>8.9075073755834396E-3</v>
      </c>
      <c r="AE71">
        <v>4.6691885053561197</v>
      </c>
    </row>
    <row r="72" spans="1:31" x14ac:dyDescent="0.2">
      <c r="A72">
        <v>71</v>
      </c>
      <c r="B72">
        <v>784</v>
      </c>
      <c r="C72">
        <v>150</v>
      </c>
      <c r="D72">
        <v>0.45231093033155201</v>
      </c>
      <c r="E72">
        <v>100.201012714903</v>
      </c>
      <c r="F72">
        <v>2.1933219853121302</v>
      </c>
      <c r="G72">
        <v>-1642.8305478329564</v>
      </c>
      <c r="H72">
        <v>-1371.6742929857628</v>
      </c>
      <c r="I72">
        <v>256.49742689986499</v>
      </c>
      <c r="J72">
        <v>134.45800584441699</v>
      </c>
      <c r="K72">
        <v>45.684588667743597</v>
      </c>
      <c r="L72">
        <v>1.3811178296180385E-4</v>
      </c>
      <c r="M72">
        <v>1.747335472384642E-5</v>
      </c>
      <c r="N72" s="1">
        <v>2.6587742755176801E-6</v>
      </c>
      <c r="O72" s="1">
        <v>8.3471960606541495E-8</v>
      </c>
      <c r="P72" s="1">
        <v>-4.1834837652022902E-7</v>
      </c>
      <c r="Q72">
        <v>73.588867268433006</v>
      </c>
      <c r="R72">
        <v>8.1835500239215195E-2</v>
      </c>
      <c r="S72">
        <v>12.229273135311299</v>
      </c>
      <c r="T72">
        <v>0.20092521580564299</v>
      </c>
      <c r="V72">
        <v>0.47788125587821001</v>
      </c>
      <c r="W72">
        <v>3.0937811066043399E-2</v>
      </c>
      <c r="X72">
        <v>8.9819451482071502E-2</v>
      </c>
      <c r="AA72">
        <v>0.61053494707318401</v>
      </c>
      <c r="AB72">
        <v>4.0642027073968796</v>
      </c>
      <c r="AC72">
        <v>3.9594596228275698</v>
      </c>
      <c r="AD72">
        <v>8.9819451482052604E-3</v>
      </c>
      <c r="AE72">
        <v>4.65728113933854</v>
      </c>
    </row>
    <row r="73" spans="1:31" x14ac:dyDescent="0.2">
      <c r="A73">
        <v>72</v>
      </c>
      <c r="B73">
        <v>782</v>
      </c>
      <c r="C73">
        <v>150</v>
      </c>
      <c r="D73">
        <v>0.451140122257502</v>
      </c>
      <c r="E73">
        <v>99.364118248855902</v>
      </c>
      <c r="F73">
        <v>2.1939422546296101</v>
      </c>
      <c r="G73">
        <v>-1628.3717013618689</v>
      </c>
      <c r="H73">
        <v>-1360.4159200986912</v>
      </c>
      <c r="I73">
        <v>253.95041583014401</v>
      </c>
      <c r="J73">
        <v>133.23523270509901</v>
      </c>
      <c r="K73">
        <v>45.290215838260799</v>
      </c>
      <c r="L73">
        <v>1.3767855972054866E-4</v>
      </c>
      <c r="M73">
        <v>1.7441206783500646E-5</v>
      </c>
      <c r="N73" s="1">
        <v>2.63584111352546E-6</v>
      </c>
      <c r="O73" s="1">
        <v>8.2461333638827699E-8</v>
      </c>
      <c r="P73" s="1">
        <v>-4.1319597889854E-7</v>
      </c>
      <c r="Q73">
        <v>73.691619282966997</v>
      </c>
      <c r="R73">
        <v>8.2524759888306598E-2</v>
      </c>
      <c r="S73">
        <v>12.163227338893</v>
      </c>
      <c r="T73">
        <v>0.20305968370650301</v>
      </c>
      <c r="V73">
        <v>0.48150833777204799</v>
      </c>
      <c r="W73">
        <v>3.1198384835821599E-2</v>
      </c>
      <c r="X73">
        <v>9.0575955974977501E-2</v>
      </c>
      <c r="AA73">
        <v>0.59685841026955799</v>
      </c>
      <c r="AB73">
        <v>4.0243587121669</v>
      </c>
      <c r="AC73">
        <v>3.9808238105213398</v>
      </c>
      <c r="AD73">
        <v>9.0575955974955807E-3</v>
      </c>
      <c r="AE73">
        <v>4.6451877274070004</v>
      </c>
    </row>
    <row r="74" spans="1:31" x14ac:dyDescent="0.2">
      <c r="A74">
        <v>73</v>
      </c>
      <c r="B74">
        <v>780</v>
      </c>
      <c r="C74">
        <v>150</v>
      </c>
      <c r="D74">
        <v>0.44996486730285301</v>
      </c>
      <c r="E74">
        <v>98.528893890591604</v>
      </c>
      <c r="F74">
        <v>2.1945703597682198</v>
      </c>
      <c r="G74">
        <v>-1613.9535039997172</v>
      </c>
      <c r="H74">
        <v>-1349.1788889645891</v>
      </c>
      <c r="I74">
        <v>251.41206384192901</v>
      </c>
      <c r="J74">
        <v>132.01599394081501</v>
      </c>
      <c r="K74">
        <v>44.896666653694098</v>
      </c>
      <c r="L74">
        <v>1.3724067465567408E-4</v>
      </c>
      <c r="M74">
        <v>1.7408918335217773E-5</v>
      </c>
      <c r="N74" s="1">
        <v>2.6128401769037099E-6</v>
      </c>
      <c r="O74" s="1">
        <v>8.1455217116190001E-8</v>
      </c>
      <c r="P74" s="1">
        <v>-4.08053077788065E-7</v>
      </c>
      <c r="Q74">
        <v>73.794750421777493</v>
      </c>
      <c r="R74">
        <v>8.3224318027010302E-2</v>
      </c>
      <c r="S74">
        <v>12.0970992765719</v>
      </c>
      <c r="T74">
        <v>0.205227736807023</v>
      </c>
      <c r="V74">
        <v>0.48518808961565701</v>
      </c>
      <c r="W74">
        <v>3.1462851937038697E-2</v>
      </c>
      <c r="X74">
        <v>9.1343763688189805E-2</v>
      </c>
      <c r="AA74">
        <v>0.58399355735458802</v>
      </c>
      <c r="AB74">
        <v>3.9837460926422299</v>
      </c>
      <c r="AC74">
        <v>4.0018995875343801</v>
      </c>
      <c r="AD74">
        <v>9.1343763688165793E-3</v>
      </c>
      <c r="AE74">
        <v>4.6329299276755096</v>
      </c>
    </row>
    <row r="75" spans="1:31" x14ac:dyDescent="0.2">
      <c r="A75">
        <v>74</v>
      </c>
      <c r="B75">
        <v>778</v>
      </c>
      <c r="C75">
        <v>150</v>
      </c>
      <c r="D75">
        <v>0.44878514008467002</v>
      </c>
      <c r="E75">
        <v>97.696506086089201</v>
      </c>
      <c r="F75">
        <v>2.1952054344181602</v>
      </c>
      <c r="G75">
        <v>-1599.5953761398282</v>
      </c>
      <c r="H75">
        <v>-1337.9792351138956</v>
      </c>
      <c r="I75">
        <v>248.88564051365799</v>
      </c>
      <c r="J75">
        <v>130.80192182488099</v>
      </c>
      <c r="K75">
        <v>44.504493545035103</v>
      </c>
      <c r="L75">
        <v>1.3679863703884812E-4</v>
      </c>
      <c r="M75">
        <v>1.7376528211804162E-5</v>
      </c>
      <c r="N75" s="1">
        <v>2.5898169481559699E-6</v>
      </c>
      <c r="O75" s="1">
        <v>8.0454969394400201E-8</v>
      </c>
      <c r="P75" s="1">
        <v>-4.0292740761165502E-7</v>
      </c>
      <c r="Q75">
        <v>73.898205122679997</v>
      </c>
      <c r="R75">
        <v>8.3933400778677003E-2</v>
      </c>
      <c r="S75">
        <v>12.0309220484954</v>
      </c>
      <c r="T75">
        <v>0.20742789845773499</v>
      </c>
      <c r="V75">
        <v>0.488915611351181</v>
      </c>
      <c r="W75">
        <v>3.1730919806570897E-2</v>
      </c>
      <c r="X75">
        <v>9.2122025244898598E-2</v>
      </c>
      <c r="AA75">
        <v>0.571907919601919</v>
      </c>
      <c r="AB75">
        <v>3.9424507482617699</v>
      </c>
      <c r="AC75">
        <v>4.0226428067965401</v>
      </c>
      <c r="AD75">
        <v>9.2122025244870294E-3</v>
      </c>
      <c r="AE75">
        <v>4.6205292960007602</v>
      </c>
    </row>
    <row r="76" spans="1:31" x14ac:dyDescent="0.2">
      <c r="A76">
        <v>75</v>
      </c>
      <c r="B76">
        <v>776</v>
      </c>
      <c r="C76">
        <v>150</v>
      </c>
      <c r="D76">
        <v>0.447600915026452</v>
      </c>
      <c r="E76">
        <v>96.868063380201505</v>
      </c>
      <c r="F76">
        <v>2.1958466245551298</v>
      </c>
      <c r="G76">
        <v>-1585.3157295792569</v>
      </c>
      <c r="H76">
        <v>-1326.8321989970161</v>
      </c>
      <c r="I76">
        <v>246.37423684148101</v>
      </c>
      <c r="J76">
        <v>129.59456298188701</v>
      </c>
      <c r="K76">
        <v>44.114221046666501</v>
      </c>
      <c r="L76">
        <v>1.3635295080284294E-4</v>
      </c>
      <c r="M76">
        <v>1.734407418972461E-5</v>
      </c>
      <c r="N76" s="1">
        <v>2.5668148249947302E-6</v>
      </c>
      <c r="O76" s="1">
        <v>7.9461866033402695E-8</v>
      </c>
      <c r="P76" s="1">
        <v>-3.9782628407664301E-7</v>
      </c>
      <c r="Q76">
        <v>74.001927567533201</v>
      </c>
      <c r="R76">
        <v>8.4651222641002694E-2</v>
      </c>
      <c r="S76">
        <v>11.9647286757329</v>
      </c>
      <c r="T76">
        <v>0.20965866351213699</v>
      </c>
      <c r="V76">
        <v>0.49268593499044799</v>
      </c>
      <c r="W76">
        <v>3.2002291486230398E-2</v>
      </c>
      <c r="X76">
        <v>9.2909878508427801E-2</v>
      </c>
      <c r="AA76">
        <v>0.56056792999799898</v>
      </c>
      <c r="AB76">
        <v>3.90055830293801</v>
      </c>
      <c r="AC76">
        <v>4.0430115312689203</v>
      </c>
      <c r="AD76">
        <v>9.2909878508396007E-3</v>
      </c>
      <c r="AE76">
        <v>4.6080070135397699</v>
      </c>
    </row>
    <row r="77" spans="1:31" x14ac:dyDescent="0.2">
      <c r="A77">
        <v>76</v>
      </c>
      <c r="B77">
        <v>774</v>
      </c>
      <c r="C77">
        <v>150</v>
      </c>
      <c r="D77">
        <v>0.44641216635630598</v>
      </c>
      <c r="E77">
        <v>95.628728815203303</v>
      </c>
      <c r="F77">
        <v>2.1966406964602601</v>
      </c>
      <c r="G77">
        <v>-1564.2226778084407</v>
      </c>
      <c r="H77">
        <v>-1309.9587841412488</v>
      </c>
      <c r="I77">
        <v>242.81515892392801</v>
      </c>
      <c r="J77">
        <v>127.841834287515</v>
      </c>
      <c r="K77">
        <v>43.534078636211298</v>
      </c>
      <c r="L77">
        <v>1.359106429979988E-4</v>
      </c>
      <c r="M77">
        <v>1.7307523676097625E-5</v>
      </c>
      <c r="N77" s="1">
        <v>2.5319737654728999E-6</v>
      </c>
      <c r="O77" s="1">
        <v>7.8112853177596897E-8</v>
      </c>
      <c r="P77" s="1">
        <v>-3.91088437906484E-7</v>
      </c>
      <c r="Q77">
        <v>74.084220213714801</v>
      </c>
      <c r="R77">
        <v>8.5748290305588101E-2</v>
      </c>
      <c r="S77">
        <v>11.907771853271999</v>
      </c>
      <c r="T77">
        <v>0.212874564855005</v>
      </c>
      <c r="V77">
        <v>0.49862228836235301</v>
      </c>
      <c r="W77">
        <v>3.24170365789372E-2</v>
      </c>
      <c r="X77">
        <v>9.4113977164690693E-2</v>
      </c>
      <c r="AA77">
        <v>0.54832404388882205</v>
      </c>
      <c r="AB77">
        <v>3.8562539902840101</v>
      </c>
      <c r="AC77">
        <v>4.0764659151896403</v>
      </c>
      <c r="AD77">
        <v>9.4113977164628892E-3</v>
      </c>
      <c r="AE77">
        <v>4.5937764286675602</v>
      </c>
    </row>
    <row r="78" spans="1:31" x14ac:dyDescent="0.2">
      <c r="A78">
        <v>77</v>
      </c>
      <c r="B78">
        <v>772</v>
      </c>
      <c r="C78">
        <v>150</v>
      </c>
      <c r="D78">
        <v>0.44521886810505501</v>
      </c>
      <c r="E78">
        <v>91.463583968055602</v>
      </c>
      <c r="F78">
        <v>2.1985309968847302</v>
      </c>
      <c r="G78">
        <v>-1494.5836768370323</v>
      </c>
      <c r="H78">
        <v>-1252.3432933645663</v>
      </c>
      <c r="I78">
        <v>231.77571015879499</v>
      </c>
      <c r="J78">
        <v>122.197870036761</v>
      </c>
      <c r="K78">
        <v>41.602135288361801</v>
      </c>
      <c r="L78">
        <v>1.3549680856885258E-4</v>
      </c>
      <c r="M78">
        <v>1.7241197221568158E-5</v>
      </c>
      <c r="N78" s="1">
        <v>2.4133575540790202E-6</v>
      </c>
      <c r="O78" s="1">
        <v>7.4217408586887999E-8</v>
      </c>
      <c r="P78" s="1">
        <v>-3.7260534761225099E-7</v>
      </c>
      <c r="Q78">
        <v>74.014752335351702</v>
      </c>
      <c r="R78">
        <v>8.9653167350892404E-2</v>
      </c>
      <c r="S78">
        <v>11.914758653284601</v>
      </c>
      <c r="T78">
        <v>0.22333023822446199</v>
      </c>
      <c r="V78">
        <v>0.52064365650178601</v>
      </c>
      <c r="W78">
        <v>3.3893270583868297E-2</v>
      </c>
      <c r="X78">
        <v>9.8399817824175798E-2</v>
      </c>
      <c r="AA78">
        <v>0.52722274221300902</v>
      </c>
      <c r="AB78">
        <v>3.7948277855378199</v>
      </c>
      <c r="AC78">
        <v>4.2052197891752598</v>
      </c>
      <c r="AD78">
        <v>9.8399817824095306E-3</v>
      </c>
      <c r="AE78">
        <v>4.5674585621699304</v>
      </c>
    </row>
    <row r="79" spans="1:31" x14ac:dyDescent="0.2">
      <c r="A79">
        <v>78</v>
      </c>
      <c r="B79">
        <v>770</v>
      </c>
      <c r="C79">
        <v>150</v>
      </c>
      <c r="D79">
        <v>0.44402099410439499</v>
      </c>
      <c r="E79">
        <v>87.165183336204507</v>
      </c>
      <c r="F79">
        <v>2.2005620411039399</v>
      </c>
      <c r="G79">
        <v>-1422.8458167597244</v>
      </c>
      <c r="H79">
        <v>-1192.9105597537164</v>
      </c>
      <c r="I79">
        <v>220.42396300245099</v>
      </c>
      <c r="J79">
        <v>116.381021659491</v>
      </c>
      <c r="K79">
        <v>39.610418478579597</v>
      </c>
      <c r="L79">
        <v>1.3505669857951169E-4</v>
      </c>
      <c r="M79">
        <v>1.7172099675537675E-5</v>
      </c>
      <c r="N79" s="1">
        <v>2.2911195417043702E-6</v>
      </c>
      <c r="O79" s="1">
        <v>7.0237434610709201E-8</v>
      </c>
      <c r="P79" s="1">
        <v>-3.53574966718725E-7</v>
      </c>
      <c r="Q79">
        <v>73.941042746068007</v>
      </c>
      <c r="R79">
        <v>9.4074258621958895E-2</v>
      </c>
      <c r="S79">
        <v>11.921798566436999</v>
      </c>
      <c r="T79">
        <v>0.23511960582792901</v>
      </c>
      <c r="V79">
        <v>0.54561984687138398</v>
      </c>
      <c r="W79">
        <v>3.5564658747319199E-2</v>
      </c>
      <c r="X79">
        <v>0.10325223507291199</v>
      </c>
      <c r="AA79">
        <v>0.50986533583648797</v>
      </c>
      <c r="AB79">
        <v>3.7265939521818598</v>
      </c>
      <c r="AC79">
        <v>4.3372200082435599</v>
      </c>
      <c r="AD79">
        <v>1.0325223507281701E-2</v>
      </c>
      <c r="AE79">
        <v>4.5395235625841801</v>
      </c>
    </row>
    <row r="80" spans="1:31" x14ac:dyDescent="0.2">
      <c r="A80">
        <v>79</v>
      </c>
      <c r="B80">
        <v>768</v>
      </c>
      <c r="C80">
        <v>150</v>
      </c>
      <c r="D80">
        <v>0.442818517984921</v>
      </c>
      <c r="E80">
        <v>82.618649679800498</v>
      </c>
      <c r="F80">
        <v>2.2027657204679301</v>
      </c>
      <c r="G80">
        <v>-1347.1363219465561</v>
      </c>
      <c r="H80">
        <v>-1130.0830222848258</v>
      </c>
      <c r="I80">
        <v>208.47457106250701</v>
      </c>
      <c r="J80">
        <v>110.239051310359</v>
      </c>
      <c r="K80">
        <v>37.506780186432998</v>
      </c>
      <c r="L80">
        <v>1.3459298545695497E-4</v>
      </c>
      <c r="M80">
        <v>1.7100337857931352E-5</v>
      </c>
      <c r="N80" s="1">
        <v>2.1624232115100501E-6</v>
      </c>
      <c r="O80" s="1">
        <v>6.6086736581918897E-8</v>
      </c>
      <c r="P80" s="1">
        <v>-3.33558186493555E-7</v>
      </c>
      <c r="Q80">
        <v>73.861259054461698</v>
      </c>
      <c r="R80">
        <v>9.9251198510031002E-2</v>
      </c>
      <c r="S80">
        <v>11.928737320228</v>
      </c>
      <c r="T80">
        <v>0.24884216488095201</v>
      </c>
      <c r="V80">
        <v>0.57494018988788698</v>
      </c>
      <c r="W80">
        <v>3.7521794558662697E-2</v>
      </c>
      <c r="X80">
        <v>0.108934242267141</v>
      </c>
      <c r="AA80">
        <v>0.49668892235815698</v>
      </c>
      <c r="AB80">
        <v>3.65115551447732</v>
      </c>
      <c r="AC80">
        <v>4.4717935965722102</v>
      </c>
      <c r="AD80">
        <v>1.08934242267038E-2</v>
      </c>
      <c r="AE80">
        <v>4.5099825775711597</v>
      </c>
    </row>
    <row r="81" spans="1:31" x14ac:dyDescent="0.2">
      <c r="A81">
        <v>80</v>
      </c>
      <c r="B81">
        <v>766</v>
      </c>
      <c r="C81">
        <v>150</v>
      </c>
      <c r="D81">
        <v>0.44161141317423203</v>
      </c>
      <c r="E81">
        <v>77.578965938270798</v>
      </c>
      <c r="F81">
        <v>2.2052118415047901</v>
      </c>
      <c r="G81">
        <v>-1263.4593662801649</v>
      </c>
      <c r="H81">
        <v>-1060.4955807112574</v>
      </c>
      <c r="I81">
        <v>195.31712030881701</v>
      </c>
      <c r="J81">
        <v>103.447001720473</v>
      </c>
      <c r="K81">
        <v>35.179824667244802</v>
      </c>
      <c r="L81">
        <v>1.3411121446082672E-4</v>
      </c>
      <c r="M81">
        <v>1.702615204662162E-5</v>
      </c>
      <c r="N81" s="1">
        <v>2.0211115233888199E-6</v>
      </c>
      <c r="O81" s="1">
        <v>6.1578880780912205E-8</v>
      </c>
      <c r="P81" s="1">
        <v>-3.1159996577428302E-7</v>
      </c>
      <c r="Q81">
        <v>73.771478362793204</v>
      </c>
      <c r="R81">
        <v>0.105698753532308</v>
      </c>
      <c r="S81">
        <v>11.935268454637701</v>
      </c>
      <c r="T81">
        <v>0.26577908729856897</v>
      </c>
      <c r="V81">
        <v>0.61159511565380698</v>
      </c>
      <c r="W81">
        <v>3.9959284871961598E-2</v>
      </c>
      <c r="X81">
        <v>0.116010827047693</v>
      </c>
      <c r="AA81">
        <v>0.48882003413726399</v>
      </c>
      <c r="AB81">
        <v>3.5675323661789702</v>
      </c>
      <c r="AC81">
        <v>4.6073963995346396</v>
      </c>
      <c r="AD81">
        <v>1.1601082704757701E-2</v>
      </c>
      <c r="AE81">
        <v>4.4788602316089996</v>
      </c>
    </row>
    <row r="82" spans="1:31" x14ac:dyDescent="0.2">
      <c r="A82">
        <v>81</v>
      </c>
      <c r="B82">
        <v>764</v>
      </c>
      <c r="C82">
        <v>150</v>
      </c>
      <c r="D82">
        <v>0.44039965289495597</v>
      </c>
      <c r="E82">
        <v>70.102744706984893</v>
      </c>
      <c r="F82">
        <v>2.2082945171624901</v>
      </c>
      <c r="G82">
        <v>-1140.0881658520889</v>
      </c>
      <c r="H82">
        <v>-957.45071602791768</v>
      </c>
      <c r="I82">
        <v>176.095501927562</v>
      </c>
      <c r="J82">
        <v>93.424955075656598</v>
      </c>
      <c r="K82">
        <v>31.745197102179102</v>
      </c>
      <c r="L82">
        <v>1.336876811150818E-4</v>
      </c>
      <c r="M82">
        <v>1.6954887682748278E-5</v>
      </c>
      <c r="N82" s="1">
        <v>1.8180108609126901E-6</v>
      </c>
      <c r="O82" s="1">
        <v>5.5219955416108499E-8</v>
      </c>
      <c r="P82" s="1">
        <v>-2.80070220535817E-7</v>
      </c>
      <c r="Q82">
        <v>73.645341216082798</v>
      </c>
      <c r="R82">
        <v>0.116971169021632</v>
      </c>
      <c r="S82">
        <v>11.938805586875</v>
      </c>
      <c r="T82">
        <v>0.29472146620469902</v>
      </c>
      <c r="V82">
        <v>0.67628164225603005</v>
      </c>
      <c r="W82">
        <v>4.4220807800844801E-2</v>
      </c>
      <c r="X82">
        <v>0.128382990389667</v>
      </c>
      <c r="AA82">
        <v>0.491065860602582</v>
      </c>
      <c r="AB82">
        <v>3.4762800534294902</v>
      </c>
      <c r="AC82">
        <v>4.72679282462349</v>
      </c>
      <c r="AD82">
        <v>1.2838299038946101E-2</v>
      </c>
      <c r="AE82">
        <v>4.4482980836746497</v>
      </c>
    </row>
    <row r="83" spans="1:31" x14ac:dyDescent="0.2">
      <c r="A83">
        <v>82</v>
      </c>
      <c r="B83">
        <v>762</v>
      </c>
      <c r="C83">
        <v>150</v>
      </c>
      <c r="D83">
        <v>0.439183210162781</v>
      </c>
      <c r="E83">
        <v>18.067659414363099</v>
      </c>
      <c r="F83">
        <v>2.2128889702231298</v>
      </c>
      <c r="G83">
        <v>-293.80979687860901</v>
      </c>
      <c r="H83">
        <v>-246.97074324821128</v>
      </c>
      <c r="I83">
        <v>45.248566517314003</v>
      </c>
      <c r="J83">
        <v>24.096694064447501</v>
      </c>
      <c r="K83">
        <v>8.1647383386530006</v>
      </c>
      <c r="L83">
        <v>1.330274165140085E-4</v>
      </c>
      <c r="M83">
        <v>1.6893783902296007E-5</v>
      </c>
      <c r="N83" s="1">
        <v>4.6563218620490199E-7</v>
      </c>
      <c r="O83" s="1">
        <v>1.40981546022469E-8</v>
      </c>
      <c r="P83" s="1">
        <v>-7.1264781360977102E-8</v>
      </c>
      <c r="Q83">
        <v>73.295757879375103</v>
      </c>
      <c r="R83">
        <v>0.187284398734607</v>
      </c>
      <c r="S83">
        <v>12.275728432332899</v>
      </c>
      <c r="T83">
        <v>0.24610919140031101</v>
      </c>
      <c r="V83">
        <v>0.56795154928095903</v>
      </c>
      <c r="W83">
        <v>0.17157728784364201</v>
      </c>
      <c r="X83">
        <v>0.19494775375082901</v>
      </c>
      <c r="AA83">
        <v>0.56159783719231504</v>
      </c>
      <c r="AB83">
        <v>3.2042149007954901</v>
      </c>
      <c r="AC83">
        <v>4.8345265378959104</v>
      </c>
      <c r="AD83">
        <v>4.9812760986810201E-2</v>
      </c>
      <c r="AE83">
        <v>4.4104914704110501</v>
      </c>
    </row>
    <row r="84" spans="1:31" x14ac:dyDescent="0.2">
      <c r="A84">
        <v>83</v>
      </c>
      <c r="B84">
        <v>760</v>
      </c>
      <c r="C84">
        <v>150</v>
      </c>
      <c r="D84">
        <v>0.43796205778444602</v>
      </c>
      <c r="E84">
        <v>9.3404712347560306</v>
      </c>
      <c r="F84">
        <v>2.2171244688616998</v>
      </c>
      <c r="G84">
        <v>-151.79506516666351</v>
      </c>
      <c r="H84">
        <v>-127.67505026325648</v>
      </c>
      <c r="I84">
        <v>23.346091955095499</v>
      </c>
      <c r="J84">
        <v>12.4682778976984</v>
      </c>
      <c r="K84">
        <v>4.2128763476916999</v>
      </c>
      <c r="L84">
        <v>1.3307033858957578E-4</v>
      </c>
      <c r="M84">
        <v>1.6907015631441717E-5</v>
      </c>
      <c r="N84" s="1">
        <v>2.41192835542092E-7</v>
      </c>
      <c r="O84" s="1">
        <v>7.2747750935794696E-9</v>
      </c>
      <c r="P84" s="1">
        <v>-3.66650342162628E-8</v>
      </c>
      <c r="Q84">
        <v>72.839252699797299</v>
      </c>
      <c r="R84">
        <v>0.193902338776995</v>
      </c>
      <c r="S84">
        <v>12.691139869903701</v>
      </c>
      <c r="T84">
        <v>0.23815006725270299</v>
      </c>
      <c r="V84">
        <v>0.55478976625974796</v>
      </c>
      <c r="W84">
        <v>0.32721873393982398</v>
      </c>
      <c r="X84">
        <v>0.19576382720218599</v>
      </c>
      <c r="AA84">
        <v>0.59211605420994995</v>
      </c>
      <c r="AB84">
        <v>2.9975088527837599</v>
      </c>
      <c r="AC84">
        <v>4.8646292977269896</v>
      </c>
      <c r="AD84">
        <v>9.6354881609108406E-2</v>
      </c>
      <c r="AE84">
        <v>4.4091736105376098</v>
      </c>
    </row>
    <row r="85" spans="1:31" x14ac:dyDescent="0.2">
      <c r="A85">
        <v>84</v>
      </c>
      <c r="B85">
        <v>806</v>
      </c>
      <c r="C85">
        <v>125</v>
      </c>
      <c r="D85">
        <v>0.490386415234215</v>
      </c>
      <c r="E85">
        <v>103.12390869602601</v>
      </c>
      <c r="F85">
        <v>2.1938219205727401</v>
      </c>
      <c r="G85">
        <v>-1695.809297383269</v>
      </c>
      <c r="H85">
        <v>-1410.5530660317472</v>
      </c>
      <c r="I85">
        <v>264.33418093084498</v>
      </c>
      <c r="J85">
        <v>138.42020595393399</v>
      </c>
      <c r="K85">
        <v>47.006508472257401</v>
      </c>
      <c r="L85">
        <v>1.3265926658192651E-4</v>
      </c>
      <c r="M85">
        <v>1.7229795319866612E-5</v>
      </c>
      <c r="N85" s="1">
        <v>2.4519366126390999E-6</v>
      </c>
      <c r="O85" s="1">
        <v>8.1587141301166703E-8</v>
      </c>
      <c r="P85" s="1">
        <v>-4.01303657101986E-7</v>
      </c>
      <c r="Q85">
        <v>73.5232022900895</v>
      </c>
      <c r="R85">
        <v>7.9515992980548802E-2</v>
      </c>
      <c r="S85">
        <v>12.557708647538499</v>
      </c>
      <c r="T85">
        <v>0.19223148952099101</v>
      </c>
      <c r="V85">
        <v>0.46703476175494402</v>
      </c>
      <c r="W85">
        <v>3.0060924175573E-2</v>
      </c>
      <c r="X85">
        <v>8.7273650832311006E-2</v>
      </c>
      <c r="AA85">
        <v>0.67879506202907403</v>
      </c>
      <c r="AB85">
        <v>4.2376206015243403</v>
      </c>
      <c r="AC85">
        <v>3.8885259981950702</v>
      </c>
      <c r="AD85">
        <v>8.7273650832307304E-3</v>
      </c>
      <c r="AE85">
        <v>4.2493032162757602</v>
      </c>
    </row>
    <row r="86" spans="1:31" x14ac:dyDescent="0.2">
      <c r="A86">
        <v>85</v>
      </c>
      <c r="B86">
        <v>804</v>
      </c>
      <c r="C86">
        <v>125</v>
      </c>
      <c r="D86">
        <v>0.48931021677575198</v>
      </c>
      <c r="E86">
        <v>102.329465201845</v>
      </c>
      <c r="F86">
        <v>2.1943026540473198</v>
      </c>
      <c r="G86">
        <v>-1682.0097562365672</v>
      </c>
      <c r="H86">
        <v>-1399.8852907057583</v>
      </c>
      <c r="I86">
        <v>261.91752822801601</v>
      </c>
      <c r="J86">
        <v>137.26031496240199</v>
      </c>
      <c r="K86">
        <v>46.634161888790402</v>
      </c>
      <c r="L86">
        <v>1.3231083666873867E-4</v>
      </c>
      <c r="M86">
        <v>1.7203637196070096E-5</v>
      </c>
      <c r="N86" s="1">
        <v>2.4339716269439899E-6</v>
      </c>
      <c r="O86" s="1">
        <v>8.0703324961404102E-8</v>
      </c>
      <c r="P86" s="1">
        <v>-3.96935743863512E-7</v>
      </c>
      <c r="Q86">
        <v>73.618617944011504</v>
      </c>
      <c r="R86">
        <v>8.0133322145537297E-2</v>
      </c>
      <c r="S86">
        <v>12.494224545448199</v>
      </c>
      <c r="T86">
        <v>0.19412764688760101</v>
      </c>
      <c r="V86">
        <v>0.47029732541469599</v>
      </c>
      <c r="W86">
        <v>3.0294304713556201E-2</v>
      </c>
      <c r="X86">
        <v>8.7951207232909306E-2</v>
      </c>
      <c r="AA86">
        <v>0.66218260579242305</v>
      </c>
      <c r="AB86">
        <v>4.2027347101846502</v>
      </c>
      <c r="AC86">
        <v>3.90977277817922</v>
      </c>
      <c r="AD86">
        <v>8.7951207232901708E-3</v>
      </c>
      <c r="AE86">
        <v>4.2408684892663802</v>
      </c>
    </row>
    <row r="87" spans="1:31" x14ac:dyDescent="0.2">
      <c r="A87">
        <v>86</v>
      </c>
      <c r="B87">
        <v>802</v>
      </c>
      <c r="C87">
        <v>125</v>
      </c>
      <c r="D87">
        <v>0.48823001441659297</v>
      </c>
      <c r="E87">
        <v>101.533005210621</v>
      </c>
      <c r="F87">
        <v>2.1947929987159598</v>
      </c>
      <c r="G87">
        <v>-1668.1882071078771</v>
      </c>
      <c r="H87">
        <v>-1389.1881285668483</v>
      </c>
      <c r="I87">
        <v>259.49874765477199</v>
      </c>
      <c r="J87">
        <v>136.09867626811101</v>
      </c>
      <c r="K87">
        <v>46.260857069446601</v>
      </c>
      <c r="L87">
        <v>1.319571940510602E-4</v>
      </c>
      <c r="M87">
        <v>1.7177256095502567E-5</v>
      </c>
      <c r="N87" s="1">
        <v>2.4158188298796601E-6</v>
      </c>
      <c r="O87" s="1">
        <v>7.9819117299130396E-8</v>
      </c>
      <c r="P87" s="1">
        <v>-3.9255209173960801E-7</v>
      </c>
      <c r="Q87">
        <v>73.714434820057804</v>
      </c>
      <c r="R87">
        <v>8.0761915625267605E-2</v>
      </c>
      <c r="S87">
        <v>12.430613555287101</v>
      </c>
      <c r="T87">
        <v>0.19605755441776401</v>
      </c>
      <c r="V87">
        <v>0.47362018430235697</v>
      </c>
      <c r="W87">
        <v>3.0531943711990601E-2</v>
      </c>
      <c r="X87">
        <v>8.86411269057851E-2</v>
      </c>
      <c r="AA87">
        <v>0.64643064723557297</v>
      </c>
      <c r="AB87">
        <v>4.1668803314117104</v>
      </c>
      <c r="AC87">
        <v>3.9309100887345498</v>
      </c>
      <c r="AD87">
        <v>8.8641126905773995E-3</v>
      </c>
      <c r="AE87">
        <v>4.2322537196194396</v>
      </c>
    </row>
    <row r="88" spans="1:31" x14ac:dyDescent="0.2">
      <c r="A88">
        <v>87</v>
      </c>
      <c r="B88">
        <v>800</v>
      </c>
      <c r="C88">
        <v>125</v>
      </c>
      <c r="D88">
        <v>0.48714578577086598</v>
      </c>
      <c r="E88">
        <v>100.735423571092</v>
      </c>
      <c r="F88">
        <v>2.19529229205631</v>
      </c>
      <c r="G88">
        <v>-1654.359683152182</v>
      </c>
      <c r="H88">
        <v>-1378.4738718301778</v>
      </c>
      <c r="I88">
        <v>257.080381421053</v>
      </c>
      <c r="J88">
        <v>134.93654166791299</v>
      </c>
      <c r="K88">
        <v>45.887021029320202</v>
      </c>
      <c r="L88">
        <v>1.3159863300165096E-4</v>
      </c>
      <c r="M88">
        <v>1.7150678472683102E-5</v>
      </c>
      <c r="N88" s="1">
        <v>2.3975089381081402E-6</v>
      </c>
      <c r="O88" s="1">
        <v>7.8935532920041095E-8</v>
      </c>
      <c r="P88" s="1">
        <v>-3.8815826698449E-7</v>
      </c>
      <c r="Q88">
        <v>73.810636263348897</v>
      </c>
      <c r="R88">
        <v>8.1401355246330201E-2</v>
      </c>
      <c r="S88">
        <v>12.3668866458965</v>
      </c>
      <c r="T88">
        <v>0.19802051504010401</v>
      </c>
      <c r="V88">
        <v>0.47700059986444798</v>
      </c>
      <c r="W88">
        <v>3.0773683080928701E-2</v>
      </c>
      <c r="X88">
        <v>8.9342950880123007E-2</v>
      </c>
      <c r="AA88">
        <v>0.63151281529561698</v>
      </c>
      <c r="AB88">
        <v>4.1301176688247603</v>
      </c>
      <c r="AC88">
        <v>3.9519015550313501</v>
      </c>
      <c r="AD88">
        <v>8.9342950880108903E-3</v>
      </c>
      <c r="AE88">
        <v>4.2234716524028197</v>
      </c>
    </row>
    <row r="89" spans="1:31" x14ac:dyDescent="0.2">
      <c r="A89">
        <v>88</v>
      </c>
      <c r="B89">
        <v>798</v>
      </c>
      <c r="C89">
        <v>125</v>
      </c>
      <c r="D89">
        <v>0.48605750828548999</v>
      </c>
      <c r="E89">
        <v>99.937782873872607</v>
      </c>
      <c r="F89">
        <v>2.1957998612454799</v>
      </c>
      <c r="G89">
        <v>-1640.5419831909544</v>
      </c>
      <c r="H89">
        <v>-1367.7571233510287</v>
      </c>
      <c r="I89">
        <v>254.66541552530001</v>
      </c>
      <c r="J89">
        <v>133.77539964154099</v>
      </c>
      <c r="K89">
        <v>45.513156566640298</v>
      </c>
      <c r="L89">
        <v>1.3123552763107316E-4</v>
      </c>
      <c r="M89">
        <v>1.7123934707467346E-5</v>
      </c>
      <c r="N89" s="1">
        <v>2.37907798050798E-6</v>
      </c>
      <c r="O89" s="1">
        <v>7.8053742442150294E-8</v>
      </c>
      <c r="P89" s="1">
        <v>-3.83760732446243E-7</v>
      </c>
      <c r="Q89">
        <v>73.907182607413702</v>
      </c>
      <c r="R89">
        <v>8.2051049805147103E-2</v>
      </c>
      <c r="S89">
        <v>12.303069533336901</v>
      </c>
      <c r="T89">
        <v>0.200015449292476</v>
      </c>
      <c r="V89">
        <v>0.48043478494506198</v>
      </c>
      <c r="W89">
        <v>3.1019299316578802E-2</v>
      </c>
      <c r="X89">
        <v>9.0056030273947194E-2</v>
      </c>
      <c r="AA89">
        <v>0.61740401080128604</v>
      </c>
      <c r="AB89">
        <v>4.0925173670970603</v>
      </c>
      <c r="AC89">
        <v>3.9727067097262698</v>
      </c>
      <c r="AD89">
        <v>9.0056030273930401E-3</v>
      </c>
      <c r="AE89">
        <v>4.2145375549640001</v>
      </c>
    </row>
    <row r="90" spans="1:31" x14ac:dyDescent="0.2">
      <c r="A90">
        <v>89</v>
      </c>
      <c r="B90">
        <v>796</v>
      </c>
      <c r="C90">
        <v>125</v>
      </c>
      <c r="D90">
        <v>0.48496515923864703</v>
      </c>
      <c r="E90">
        <v>99.141133316218699</v>
      </c>
      <c r="F90">
        <v>2.19631502046128</v>
      </c>
      <c r="G90">
        <v>-1626.7526598839065</v>
      </c>
      <c r="H90">
        <v>-1357.0523162519041</v>
      </c>
      <c r="I90">
        <v>252.256786823179</v>
      </c>
      <c r="J90">
        <v>132.61671757323501</v>
      </c>
      <c r="K90">
        <v>45.139760185857398</v>
      </c>
      <c r="L90">
        <v>1.3086826289864363E-4</v>
      </c>
      <c r="M90">
        <v>1.7097055348141671E-5</v>
      </c>
      <c r="N90" s="1">
        <v>2.3605617049395699E-6</v>
      </c>
      <c r="O90" s="1">
        <v>7.7174890788683904E-8</v>
      </c>
      <c r="P90" s="1">
        <v>-3.7936585090977302E-7</v>
      </c>
      <c r="Q90">
        <v>74.004031914350506</v>
      </c>
      <c r="R90">
        <v>8.2710371827660598E-2</v>
      </c>
      <c r="S90">
        <v>12.239189091474699</v>
      </c>
      <c r="T90">
        <v>0.20204119749673199</v>
      </c>
      <c r="V90">
        <v>0.48391873263440199</v>
      </c>
      <c r="W90">
        <v>3.1268555203138503E-2</v>
      </c>
      <c r="X90">
        <v>9.07796763962192E-2</v>
      </c>
      <c r="AA90">
        <v>0.60407721050780205</v>
      </c>
      <c r="AB90">
        <v>4.0541524139811997</v>
      </c>
      <c r="AC90">
        <v>3.99328588645982</v>
      </c>
      <c r="AD90">
        <v>9.0779676396199292E-3</v>
      </c>
      <c r="AE90">
        <v>4.2054669820280299</v>
      </c>
    </row>
    <row r="91" spans="1:31" x14ac:dyDescent="0.2">
      <c r="A91">
        <v>90</v>
      </c>
      <c r="B91">
        <v>794</v>
      </c>
      <c r="C91">
        <v>125</v>
      </c>
      <c r="D91">
        <v>0.48386871573818202</v>
      </c>
      <c r="E91">
        <v>98.346498876863393</v>
      </c>
      <c r="F91">
        <v>2.1968370790720502</v>
      </c>
      <c r="G91">
        <v>-1613.0087898809174</v>
      </c>
      <c r="H91">
        <v>-1346.3735241188006</v>
      </c>
      <c r="I91">
        <v>249.85734504251101</v>
      </c>
      <c r="J91">
        <v>131.46192250608601</v>
      </c>
      <c r="K91">
        <v>44.7673156165067</v>
      </c>
      <c r="L91">
        <v>1.304972292974904E-4</v>
      </c>
      <c r="M91">
        <v>1.7070070743186402E-5</v>
      </c>
      <c r="N91" s="1">
        <v>2.3419951158924199E-6</v>
      </c>
      <c r="O91" s="1">
        <v>7.6300082810636399E-8</v>
      </c>
      <c r="P91" s="1">
        <v>-3.74979803950836E-7</v>
      </c>
      <c r="Q91">
        <v>74.101140697834296</v>
      </c>
      <c r="R91">
        <v>8.3378667198586498E-2</v>
      </c>
      <c r="S91">
        <v>12.175272907951101</v>
      </c>
      <c r="T91">
        <v>0.20409654040244901</v>
      </c>
      <c r="V91">
        <v>0.48744827519706602</v>
      </c>
      <c r="W91">
        <v>3.1521203453122398E-2</v>
      </c>
      <c r="X91">
        <v>9.1513171315529607E-2</v>
      </c>
      <c r="AA91">
        <v>0.591503837175407</v>
      </c>
      <c r="AB91">
        <v>4.01509718011242</v>
      </c>
      <c r="AC91">
        <v>4.0136006313159696</v>
      </c>
      <c r="AD91">
        <v>9.15131713155053E-3</v>
      </c>
      <c r="AE91">
        <v>4.1962755709123201</v>
      </c>
    </row>
    <row r="92" spans="1:31" x14ac:dyDescent="0.2">
      <c r="A92">
        <v>91</v>
      </c>
      <c r="B92">
        <v>792</v>
      </c>
      <c r="C92">
        <v>125</v>
      </c>
      <c r="D92">
        <v>0.48276815471999501</v>
      </c>
      <c r="E92">
        <v>97.554864951094501</v>
      </c>
      <c r="F92">
        <v>2.1973653493927401</v>
      </c>
      <c r="G92">
        <v>-1599.3267690957027</v>
      </c>
      <c r="H92">
        <v>-1335.7342912548465</v>
      </c>
      <c r="I92">
        <v>247.46981912487001</v>
      </c>
      <c r="J92">
        <v>130.31238401189799</v>
      </c>
      <c r="K92">
        <v>44.396288026501601</v>
      </c>
      <c r="L92">
        <v>1.3012281776713825E-4</v>
      </c>
      <c r="M92">
        <v>1.7043010701006398E-5</v>
      </c>
      <c r="N92" s="1">
        <v>2.3234120589973101E-6</v>
      </c>
      <c r="O92" s="1">
        <v>7.5430370706300302E-8</v>
      </c>
      <c r="P92" s="1">
        <v>-3.7060852000242202E-7</v>
      </c>
      <c r="Q92">
        <v>74.198464634486598</v>
      </c>
      <c r="R92">
        <v>8.40552647385749E-2</v>
      </c>
      <c r="S92">
        <v>12.1113488520609</v>
      </c>
      <c r="T92">
        <v>0.20618021979789999</v>
      </c>
      <c r="V92">
        <v>0.491019142610641</v>
      </c>
      <c r="W92">
        <v>3.1776990327995802E-2</v>
      </c>
      <c r="X92">
        <v>9.2255778371615402E-2</v>
      </c>
      <c r="AA92">
        <v>0.57965413728481696</v>
      </c>
      <c r="AB92">
        <v>3.97542649218726</v>
      </c>
      <c r="AC92">
        <v>4.03361406181617</v>
      </c>
      <c r="AD92">
        <v>9.22557783715886E-3</v>
      </c>
      <c r="AE92">
        <v>4.1869788484802299</v>
      </c>
    </row>
    <row r="93" spans="1:31" x14ac:dyDescent="0.2">
      <c r="A93">
        <v>92</v>
      </c>
      <c r="B93">
        <v>790</v>
      </c>
      <c r="C93">
        <v>125</v>
      </c>
      <c r="D93">
        <v>0.48166345294643498</v>
      </c>
      <c r="E93">
        <v>96.7671677562101</v>
      </c>
      <c r="F93">
        <v>2.1978991537891499</v>
      </c>
      <c r="G93">
        <v>-1585.7221381607808</v>
      </c>
      <c r="H93">
        <v>-1325.1474872455331</v>
      </c>
      <c r="I93">
        <v>245.09678870831701</v>
      </c>
      <c r="J93">
        <v>129.16939959879701</v>
      </c>
      <c r="K93">
        <v>44.027119073859502</v>
      </c>
      <c r="L93">
        <v>1.2974541498362845E-4</v>
      </c>
      <c r="M93">
        <v>1.7015904186434779E-5</v>
      </c>
      <c r="N93" s="1">
        <v>2.3048448627778001E-6</v>
      </c>
      <c r="O93" s="1">
        <v>7.4566743524390596E-8</v>
      </c>
      <c r="P93" s="1">
        <v>-3.6625761335131202E-7</v>
      </c>
      <c r="Q93">
        <v>74.295959240220199</v>
      </c>
      <c r="R93">
        <v>8.4739485407476403E-2</v>
      </c>
      <c r="S93">
        <v>12.0474446684148</v>
      </c>
      <c r="T93">
        <v>0.208290958385416</v>
      </c>
      <c r="V93">
        <v>0.49462701875645498</v>
      </c>
      <c r="W93">
        <v>3.2035659117458301E-2</v>
      </c>
      <c r="X93">
        <v>9.30067522765088E-2</v>
      </c>
      <c r="AA93">
        <v>0.56849755307599903</v>
      </c>
      <c r="AB93">
        <v>3.9352147679304901</v>
      </c>
      <c r="AC93">
        <v>4.0532911659788704</v>
      </c>
      <c r="AD93">
        <v>9.3006752276477093E-3</v>
      </c>
      <c r="AE93">
        <v>4.1775920552085397</v>
      </c>
    </row>
    <row r="94" spans="1:31" x14ac:dyDescent="0.2">
      <c r="A94">
        <v>93</v>
      </c>
      <c r="B94">
        <v>788</v>
      </c>
      <c r="C94">
        <v>125</v>
      </c>
      <c r="D94">
        <v>0.48055458700466802</v>
      </c>
      <c r="E94">
        <v>95.9842856971961</v>
      </c>
      <c r="F94">
        <v>2.1984378309554198</v>
      </c>
      <c r="G94">
        <v>-1572.2094410982045</v>
      </c>
      <c r="H94">
        <v>-1314.6251884355943</v>
      </c>
      <c r="I94">
        <v>242.740661228487</v>
      </c>
      <c r="J94">
        <v>128.03418290934201</v>
      </c>
      <c r="K94">
        <v>43.660222884484298</v>
      </c>
      <c r="L94">
        <v>1.2936539915083512E-4</v>
      </c>
      <c r="M94">
        <v>1.6988779060761341E-5</v>
      </c>
      <c r="N94" s="1">
        <v>2.2863240442884101E-6</v>
      </c>
      <c r="O94" s="1">
        <v>7.3710118910959696E-8</v>
      </c>
      <c r="P94" s="1">
        <v>-3.61932335108535E-7</v>
      </c>
      <c r="Q94">
        <v>74.3935804917582</v>
      </c>
      <c r="R94">
        <v>8.5430650865798402E-2</v>
      </c>
      <c r="S94">
        <v>11.9835876075614</v>
      </c>
      <c r="T94">
        <v>0.21042747833288999</v>
      </c>
      <c r="V94">
        <v>0.49826759363630002</v>
      </c>
      <c r="W94">
        <v>3.2296953376092001E-2</v>
      </c>
      <c r="X94">
        <v>9.3765348511253399E-2</v>
      </c>
      <c r="AA94">
        <v>0.55800307750854705</v>
      </c>
      <c r="AB94">
        <v>3.89453523463684</v>
      </c>
      <c r="AC94">
        <v>4.0725990382609298</v>
      </c>
      <c r="AD94">
        <v>9.3765348511219201E-3</v>
      </c>
      <c r="AE94">
        <v>4.1681299907004403</v>
      </c>
    </row>
    <row r="95" spans="1:31" x14ac:dyDescent="0.2">
      <c r="A95">
        <v>94</v>
      </c>
      <c r="B95">
        <v>786</v>
      </c>
      <c r="C95">
        <v>125</v>
      </c>
      <c r="D95">
        <v>0.47944153330501299</v>
      </c>
      <c r="E95">
        <v>95.207032768544394</v>
      </c>
      <c r="F95">
        <v>2.1989807412823001</v>
      </c>
      <c r="G95">
        <v>-1558.8021183283622</v>
      </c>
      <c r="H95">
        <v>-1304.1785873564825</v>
      </c>
      <c r="I95">
        <v>240.40365479099199</v>
      </c>
      <c r="J95">
        <v>126.907854800802</v>
      </c>
      <c r="K95">
        <v>43.295982989385102</v>
      </c>
      <c r="L95">
        <v>1.2898313636014303E-4</v>
      </c>
      <c r="M95">
        <v>1.69616618675809E-5</v>
      </c>
      <c r="N95" s="1">
        <v>2.2678780810175699E-6</v>
      </c>
      <c r="O95" s="1">
        <v>7.2861337122058399E-8</v>
      </c>
      <c r="P95" s="1">
        <v>-3.5763753641578002E-7</v>
      </c>
      <c r="Q95">
        <v>74.491285379052002</v>
      </c>
      <c r="R95">
        <v>8.6128091187707506E-2</v>
      </c>
      <c r="S95">
        <v>11.919804101931099</v>
      </c>
      <c r="T95">
        <v>0.21258851804460699</v>
      </c>
      <c r="V95">
        <v>0.50193661036184101</v>
      </c>
      <c r="W95">
        <v>3.2560619839252299E-2</v>
      </c>
      <c r="X95">
        <v>9.4530831791399206E-2</v>
      </c>
      <c r="AA95">
        <v>0.54813958302340504</v>
      </c>
      <c r="AB95">
        <v>3.8534592467560498</v>
      </c>
      <c r="AC95">
        <v>4.0915070522544097</v>
      </c>
      <c r="AD95">
        <v>9.4530831791360698E-3</v>
      </c>
      <c r="AE95">
        <v>4.1586068825789599</v>
      </c>
    </row>
    <row r="96" spans="1:31" x14ac:dyDescent="0.2">
      <c r="A96">
        <v>95</v>
      </c>
      <c r="B96">
        <v>784</v>
      </c>
      <c r="C96">
        <v>125</v>
      </c>
      <c r="D96">
        <v>0.47832426807926898</v>
      </c>
      <c r="E96">
        <v>94.436153956871294</v>
      </c>
      <c r="F96">
        <v>2.1995272712473501</v>
      </c>
      <c r="G96">
        <v>-1545.512433293045</v>
      </c>
      <c r="H96">
        <v>-1293.8179296148671</v>
      </c>
      <c r="I96">
        <v>238.08778666998799</v>
      </c>
      <c r="J96">
        <v>125.791437245422</v>
      </c>
      <c r="K96">
        <v>42.934750203536296</v>
      </c>
      <c r="L96">
        <v>1.2859897757071663E-4</v>
      </c>
      <c r="M96">
        <v>1.6934577666279795E-5</v>
      </c>
      <c r="N96" s="1">
        <v>2.24953324844632E-6</v>
      </c>
      <c r="O96" s="1">
        <v>7.2021157228153295E-8</v>
      </c>
      <c r="P96" s="1">
        <v>-3.5337764363197602E-7</v>
      </c>
      <c r="Q96">
        <v>74.589032379259095</v>
      </c>
      <c r="R96">
        <v>8.6831151592060604E-2</v>
      </c>
      <c r="S96">
        <v>11.856119491675599</v>
      </c>
      <c r="T96">
        <v>0.21477284685207501</v>
      </c>
      <c r="V96">
        <v>0.505629906112536</v>
      </c>
      <c r="W96">
        <v>3.28264109677271E-2</v>
      </c>
      <c r="X96">
        <v>9.5302483454714607E-2</v>
      </c>
      <c r="AA96">
        <v>0.53887611743184705</v>
      </c>
      <c r="AB96">
        <v>3.8120557109684698</v>
      </c>
      <c r="AC96">
        <v>4.1099869729664</v>
      </c>
      <c r="AD96">
        <v>9.5302483454673195E-3</v>
      </c>
      <c r="AE96">
        <v>4.1490362803738501</v>
      </c>
    </row>
    <row r="97" spans="1:31" x14ac:dyDescent="0.2">
      <c r="A97">
        <v>96</v>
      </c>
      <c r="B97">
        <v>782</v>
      </c>
      <c r="C97">
        <v>125</v>
      </c>
      <c r="D97">
        <v>0.47720276737904699</v>
      </c>
      <c r="E97">
        <v>91.052352245656493</v>
      </c>
      <c r="F97">
        <v>2.2010455639218098</v>
      </c>
      <c r="G97">
        <v>-1488.8389401037691</v>
      </c>
      <c r="H97">
        <v>-1247.0623998570993</v>
      </c>
      <c r="I97">
        <v>229.139496987792</v>
      </c>
      <c r="J97">
        <v>121.211942923948</v>
      </c>
      <c r="K97">
        <v>41.367772543254297</v>
      </c>
      <c r="L97">
        <v>1.2825600030640175E-4</v>
      </c>
      <c r="M97">
        <v>1.688161174241781E-5</v>
      </c>
      <c r="N97" s="1">
        <v>2.16374031835518E-6</v>
      </c>
      <c r="O97" s="1">
        <v>6.9052652113688906E-8</v>
      </c>
      <c r="P97" s="1">
        <v>-3.3957272828560698E-7</v>
      </c>
      <c r="Q97">
        <v>74.550474553443706</v>
      </c>
      <c r="R97">
        <v>9.0058079750394204E-2</v>
      </c>
      <c r="S97">
        <v>11.849309321791401</v>
      </c>
      <c r="T97">
        <v>0.223434219062908</v>
      </c>
      <c r="V97">
        <v>0.52380914441924298</v>
      </c>
      <c r="W97">
        <v>3.4046347222706198E-2</v>
      </c>
      <c r="X97">
        <v>9.8844233872401197E-2</v>
      </c>
      <c r="AA97">
        <v>0.52204031652897098</v>
      </c>
      <c r="AB97">
        <v>3.7545981748468602</v>
      </c>
      <c r="AC97">
        <v>4.2139266963087998</v>
      </c>
      <c r="AD97">
        <v>9.8844233872347007E-3</v>
      </c>
      <c r="AE97">
        <v>4.1295744893652504</v>
      </c>
    </row>
    <row r="98" spans="1:31" x14ac:dyDescent="0.2">
      <c r="A98">
        <v>97</v>
      </c>
      <c r="B98">
        <v>780</v>
      </c>
      <c r="C98">
        <v>125</v>
      </c>
      <c r="D98">
        <v>0.47607700707401701</v>
      </c>
      <c r="E98">
        <v>86.936006647384104</v>
      </c>
      <c r="F98">
        <v>2.2029109104403899</v>
      </c>
      <c r="G98">
        <v>-1420.094020890951</v>
      </c>
      <c r="H98">
        <v>-1190.132994083765</v>
      </c>
      <c r="I98">
        <v>218.35543541488499</v>
      </c>
      <c r="J98">
        <v>115.665316461039</v>
      </c>
      <c r="K98">
        <v>39.464150018669599</v>
      </c>
      <c r="L98">
        <v>1.2790637365447117E-4</v>
      </c>
      <c r="M98">
        <v>1.6820347088174213E-5</v>
      </c>
      <c r="N98" s="1">
        <v>2.0591755416236702E-6</v>
      </c>
      <c r="O98" s="1">
        <v>6.5511458887480998E-8</v>
      </c>
      <c r="P98" s="1">
        <v>-3.23079077680398E-7</v>
      </c>
      <c r="Q98">
        <v>74.474625450036896</v>
      </c>
      <c r="R98">
        <v>9.4322252841217702E-2</v>
      </c>
      <c r="S98">
        <v>11.8566362436781</v>
      </c>
      <c r="T98">
        <v>0.23476190245390699</v>
      </c>
      <c r="V98">
        <v>0.54793776333990396</v>
      </c>
      <c r="W98">
        <v>3.5658412659480401E-2</v>
      </c>
      <c r="X98">
        <v>0.10352442385013499</v>
      </c>
      <c r="AA98">
        <v>0.50628832664289602</v>
      </c>
      <c r="AB98">
        <v>3.6880151246891599</v>
      </c>
      <c r="AC98">
        <v>4.3412478518212101</v>
      </c>
      <c r="AD98">
        <v>1.0352442385007401E-2</v>
      </c>
      <c r="AE98">
        <v>4.1066298056019903</v>
      </c>
    </row>
    <row r="99" spans="1:31" x14ac:dyDescent="0.2">
      <c r="A99">
        <v>98</v>
      </c>
      <c r="B99">
        <v>778</v>
      </c>
      <c r="C99">
        <v>125</v>
      </c>
      <c r="D99">
        <v>0.47494696285021398</v>
      </c>
      <c r="E99">
        <v>82.642281104950101</v>
      </c>
      <c r="F99">
        <v>2.2049185836057799</v>
      </c>
      <c r="G99">
        <v>-1348.5306966840844</v>
      </c>
      <c r="H99">
        <v>-1130.7807577955134</v>
      </c>
      <c r="I99">
        <v>207.15401121492701</v>
      </c>
      <c r="J99">
        <v>109.888387238617</v>
      </c>
      <c r="K99">
        <v>37.480876491050303</v>
      </c>
      <c r="L99">
        <v>1.2754012704205045E-4</v>
      </c>
      <c r="M99">
        <v>1.6757075445691031E-5</v>
      </c>
      <c r="N99" s="1">
        <v>1.95046814712088E-6</v>
      </c>
      <c r="O99" s="1">
        <v>6.18621609806158E-8</v>
      </c>
      <c r="P99" s="1">
        <v>-3.05938202048585E-7</v>
      </c>
      <c r="Q99">
        <v>74.3933389943235</v>
      </c>
      <c r="R99">
        <v>9.9222817792104803E-2</v>
      </c>
      <c r="S99">
        <v>11.864006956352499</v>
      </c>
      <c r="T99">
        <v>0.247716764653373</v>
      </c>
      <c r="V99">
        <v>0.57572440723698703</v>
      </c>
      <c r="W99">
        <v>3.7511065262863803E-2</v>
      </c>
      <c r="X99">
        <v>0.108903092698672</v>
      </c>
      <c r="AA99">
        <v>0.49418556842552303</v>
      </c>
      <c r="AB99">
        <v>3.6154658785084299</v>
      </c>
      <c r="AC99">
        <v>4.47048645665528</v>
      </c>
      <c r="AD99">
        <v>1.0890309269860701E-2</v>
      </c>
      <c r="AE99">
        <v>4.0825476888208403</v>
      </c>
    </row>
    <row r="100" spans="1:31" x14ac:dyDescent="0.2">
      <c r="A100">
        <v>99</v>
      </c>
      <c r="B100">
        <v>776</v>
      </c>
      <c r="C100">
        <v>125</v>
      </c>
      <c r="D100">
        <v>0.47381261020826598</v>
      </c>
      <c r="E100">
        <v>78.011377552140601</v>
      </c>
      <c r="F100">
        <v>2.20711538886462</v>
      </c>
      <c r="G100">
        <v>-1271.5420195117626</v>
      </c>
      <c r="H100">
        <v>-1066.8106538389673</v>
      </c>
      <c r="I100">
        <v>195.140223678973</v>
      </c>
      <c r="J100">
        <v>103.66999730714799</v>
      </c>
      <c r="K100">
        <v>35.345400582916902</v>
      </c>
      <c r="L100">
        <v>1.2716141110868012E-4</v>
      </c>
      <c r="M100">
        <v>1.6692006638600753E-5</v>
      </c>
      <c r="N100" s="1">
        <v>1.83401485671527E-6</v>
      </c>
      <c r="O100" s="1">
        <v>5.7991485870515498E-8</v>
      </c>
      <c r="P100" s="1">
        <v>-2.8758076790433299E-7</v>
      </c>
      <c r="Q100">
        <v>74.303942224818996</v>
      </c>
      <c r="R100">
        <v>0.105112872728336</v>
      </c>
      <c r="S100">
        <v>11.871206444004301</v>
      </c>
      <c r="T100">
        <v>0.263175635939361</v>
      </c>
      <c r="V100">
        <v>0.60922210387222497</v>
      </c>
      <c r="W100">
        <v>3.9737793348511997E-2</v>
      </c>
      <c r="X100">
        <v>0.115367787140879</v>
      </c>
      <c r="AA100">
        <v>0.48644433598377601</v>
      </c>
      <c r="AB100">
        <v>3.5364233250352899</v>
      </c>
      <c r="AC100">
        <v>4.6004597380157097</v>
      </c>
      <c r="AD100">
        <v>1.1536778714081399E-2</v>
      </c>
      <c r="AE100">
        <v>4.0573709603984298</v>
      </c>
    </row>
    <row r="101" spans="1:31" x14ac:dyDescent="0.2">
      <c r="A101">
        <v>100</v>
      </c>
      <c r="B101">
        <v>774</v>
      </c>
      <c r="C101">
        <v>125</v>
      </c>
      <c r="D101">
        <v>0.47267392446163797</v>
      </c>
      <c r="E101">
        <v>72.695823768529706</v>
      </c>
      <c r="F101">
        <v>2.2096078503437502</v>
      </c>
      <c r="G101">
        <v>-1183.4602168185345</v>
      </c>
      <c r="H101">
        <v>-993.45005125936405</v>
      </c>
      <c r="I101">
        <v>181.45458201706501</v>
      </c>
      <c r="J101">
        <v>96.550992391005707</v>
      </c>
      <c r="K101">
        <v>32.8998757662904</v>
      </c>
      <c r="L101">
        <v>1.2678039212293685E-4</v>
      </c>
      <c r="M101">
        <v>1.6625721330709459E-5</v>
      </c>
      <c r="N101" s="1">
        <v>1.7019284512374701E-6</v>
      </c>
      <c r="O101" s="1">
        <v>5.36522123744988E-8</v>
      </c>
      <c r="P101" s="1">
        <v>-2.6675898025855601E-7</v>
      </c>
      <c r="Q101">
        <v>74.2003235499987</v>
      </c>
      <c r="R101">
        <v>0.112798776806078</v>
      </c>
      <c r="S101">
        <v>11.877791043817901</v>
      </c>
      <c r="T101">
        <v>0.28313225936460701</v>
      </c>
      <c r="V101">
        <v>0.65312706913498897</v>
      </c>
      <c r="W101">
        <v>4.2643440012047798E-2</v>
      </c>
      <c r="X101">
        <v>0.123803535518893</v>
      </c>
      <c r="AA101">
        <v>0.48484410796365202</v>
      </c>
      <c r="AB101">
        <v>3.4497319296242601</v>
      </c>
      <c r="AC101">
        <v>4.7281803777400304</v>
      </c>
      <c r="AD101">
        <v>1.2380353551881201E-2</v>
      </c>
      <c r="AE101">
        <v>4.0312435564667801</v>
      </c>
    </row>
    <row r="102" spans="1:31" x14ac:dyDescent="0.2">
      <c r="A102">
        <v>101</v>
      </c>
      <c r="B102">
        <v>772</v>
      </c>
      <c r="C102">
        <v>125</v>
      </c>
      <c r="D102">
        <v>0.47153088073482102</v>
      </c>
      <c r="E102">
        <v>46.074969263750098</v>
      </c>
      <c r="F102">
        <v>2.2125799035679901</v>
      </c>
      <c r="G102">
        <v>-749.59105639370875</v>
      </c>
      <c r="H102">
        <v>-629.69809772220412</v>
      </c>
      <c r="I102">
        <v>114.713637919441</v>
      </c>
      <c r="J102">
        <v>61.193841452041397</v>
      </c>
      <c r="K102">
        <v>20.824092811043698</v>
      </c>
      <c r="L102">
        <v>1.2618777885073436E-4</v>
      </c>
      <c r="M102">
        <v>1.6545155546627609E-5</v>
      </c>
      <c r="N102" s="1">
        <v>1.0719675707036099E-6</v>
      </c>
      <c r="O102" s="1">
        <v>3.3693794101884998E-8</v>
      </c>
      <c r="P102" s="1">
        <v>-1.67685697539468E-7</v>
      </c>
      <c r="Q102">
        <v>74.068074242599906</v>
      </c>
      <c r="R102">
        <v>0.133694329353851</v>
      </c>
      <c r="S102">
        <v>11.942379087515601</v>
      </c>
      <c r="T102">
        <v>0.27371409389934698</v>
      </c>
      <c r="V102">
        <v>0.63013721622096597</v>
      </c>
      <c r="W102">
        <v>6.7281650960063499E-2</v>
      </c>
      <c r="X102">
        <v>0.188273073718321</v>
      </c>
      <c r="AA102">
        <v>0.52217996027978097</v>
      </c>
      <c r="AB102">
        <v>3.2962114625661401</v>
      </c>
      <c r="AC102">
        <v>4.8615279666718996</v>
      </c>
      <c r="AD102">
        <v>1.9533382536784501E-2</v>
      </c>
      <c r="AE102">
        <v>3.9969935336773199</v>
      </c>
    </row>
    <row r="103" spans="1:31" x14ac:dyDescent="0.2">
      <c r="A103">
        <v>102</v>
      </c>
      <c r="B103">
        <v>770</v>
      </c>
      <c r="C103">
        <v>125</v>
      </c>
      <c r="D103">
        <v>0.47038345396155901</v>
      </c>
      <c r="E103">
        <v>16.294933702815399</v>
      </c>
      <c r="F103">
        <v>2.2170617802357802</v>
      </c>
      <c r="G103">
        <v>-264.96939099854438</v>
      </c>
      <c r="H103">
        <v>-222.75915437800228</v>
      </c>
      <c r="I103">
        <v>40.4642061261967</v>
      </c>
      <c r="J103">
        <v>21.653159496777899</v>
      </c>
      <c r="K103">
        <v>7.3497878354488098</v>
      </c>
      <c r="L103">
        <v>1.2580483587200863E-4</v>
      </c>
      <c r="M103">
        <v>1.650798447977946E-5</v>
      </c>
      <c r="N103" s="1">
        <v>3.77631877910903E-7</v>
      </c>
      <c r="O103" s="1">
        <v>1.18310256197819E-8</v>
      </c>
      <c r="P103" s="1">
        <v>-5.8694986632384203E-8</v>
      </c>
      <c r="Q103">
        <v>73.6925603452583</v>
      </c>
      <c r="R103">
        <v>0.20115885854697901</v>
      </c>
      <c r="S103">
        <v>12.2719476639764</v>
      </c>
      <c r="T103">
        <v>0.247573749657616</v>
      </c>
      <c r="V103">
        <v>0.57350366509397699</v>
      </c>
      <c r="W103">
        <v>0.190243179661613</v>
      </c>
      <c r="X103">
        <v>0.20849055110224601</v>
      </c>
      <c r="AA103">
        <v>0.57891832085637196</v>
      </c>
      <c r="AB103">
        <v>3.0578505834826801</v>
      </c>
      <c r="AC103">
        <v>4.9501958824969901</v>
      </c>
      <c r="AD103">
        <v>5.5231890869451003E-2</v>
      </c>
      <c r="AE103">
        <v>3.9723253089973398</v>
      </c>
    </row>
    <row r="104" spans="1:31" x14ac:dyDescent="0.2">
      <c r="A104">
        <v>103</v>
      </c>
      <c r="B104">
        <v>768</v>
      </c>
      <c r="C104">
        <v>125</v>
      </c>
      <c r="D104">
        <v>0.46923161888296799</v>
      </c>
      <c r="E104">
        <v>9.2199271589359206</v>
      </c>
      <c r="F104">
        <v>2.2210265890051102</v>
      </c>
      <c r="G104">
        <v>-149.83549049426199</v>
      </c>
      <c r="H104">
        <v>-126.04397611604369</v>
      </c>
      <c r="I104">
        <v>22.851187992333699</v>
      </c>
      <c r="J104">
        <v>12.261449738190899</v>
      </c>
      <c r="K104">
        <v>4.1512007125794401</v>
      </c>
      <c r="L104">
        <v>1.258161127488835E-4</v>
      </c>
      <c r="M104">
        <v>1.65168637778966E-5</v>
      </c>
      <c r="N104" s="1">
        <v>2.1402291920994199E-7</v>
      </c>
      <c r="O104" s="1">
        <v>6.6801060017081296E-9</v>
      </c>
      <c r="P104" s="1">
        <v>-3.3041541815406803E-8</v>
      </c>
      <c r="Q104">
        <v>73.271447927961603</v>
      </c>
      <c r="R104">
        <v>0.21590258769085199</v>
      </c>
      <c r="S104">
        <v>12.652745501709401</v>
      </c>
      <c r="T104">
        <v>0.23796493708119301</v>
      </c>
      <c r="V104">
        <v>0.55586244010112995</v>
      </c>
      <c r="W104">
        <v>0.33302967828185598</v>
      </c>
      <c r="X104">
        <v>0.210706226213669</v>
      </c>
      <c r="AA104">
        <v>0.60657509354337702</v>
      </c>
      <c r="AB104">
        <v>2.86659944681359</v>
      </c>
      <c r="AC104">
        <v>4.9816868786392101</v>
      </c>
      <c r="AD104">
        <v>9.7614654051386807E-2</v>
      </c>
      <c r="AE104">
        <v>3.9698646279126</v>
      </c>
    </row>
    <row r="105" spans="1:31" x14ac:dyDescent="0.2">
      <c r="A105">
        <v>104</v>
      </c>
      <c r="B105">
        <v>824</v>
      </c>
      <c r="C105">
        <v>100</v>
      </c>
      <c r="D105">
        <v>0.524960579683728</v>
      </c>
      <c r="E105">
        <v>102.57572353643801</v>
      </c>
      <c r="F105">
        <v>2.1992055360873901</v>
      </c>
      <c r="G105">
        <v>-1689.3251926544974</v>
      </c>
      <c r="H105">
        <v>-1402.2949447839615</v>
      </c>
      <c r="I105">
        <v>261.61440812152802</v>
      </c>
      <c r="J105">
        <v>137.254455766722</v>
      </c>
      <c r="K105">
        <v>46.642172299607402</v>
      </c>
      <c r="L105">
        <v>1.2381474329779195E-4</v>
      </c>
      <c r="M105">
        <v>1.6674772593946033E-5</v>
      </c>
      <c r="N105" s="1">
        <v>2.1163879546290002E-6</v>
      </c>
      <c r="O105" s="1">
        <v>7.4275613520613298E-8</v>
      </c>
      <c r="P105" s="1">
        <v>-3.5384317607971499E-7</v>
      </c>
      <c r="Q105">
        <v>73.916124971895599</v>
      </c>
      <c r="R105">
        <v>7.9940942333076095E-2</v>
      </c>
      <c r="S105">
        <v>12.6248195513826</v>
      </c>
      <c r="T105">
        <v>0.19116566910525101</v>
      </c>
      <c r="V105">
        <v>0.47141412275818301</v>
      </c>
      <c r="W105">
        <v>3.0221575760065102E-2</v>
      </c>
      <c r="X105">
        <v>8.7740058658255293E-2</v>
      </c>
      <c r="AA105">
        <v>0.68242267845308802</v>
      </c>
      <c r="AB105">
        <v>4.2602672926285399</v>
      </c>
      <c r="AC105">
        <v>3.9093070579955098</v>
      </c>
      <c r="AD105">
        <v>8.7740058658252497E-3</v>
      </c>
      <c r="AE105">
        <v>3.7378020731639201</v>
      </c>
    </row>
    <row r="106" spans="1:31" x14ac:dyDescent="0.2">
      <c r="A106">
        <v>105</v>
      </c>
      <c r="B106">
        <v>822</v>
      </c>
      <c r="C106">
        <v>100</v>
      </c>
      <c r="D106">
        <v>0.52396521024517195</v>
      </c>
      <c r="E106">
        <v>102.09215282108801</v>
      </c>
      <c r="F106">
        <v>2.1996189844729299</v>
      </c>
      <c r="G106">
        <v>-1680.7231163302704</v>
      </c>
      <c r="H106">
        <v>-1395.9097542455963</v>
      </c>
      <c r="I106">
        <v>260.06790127806602</v>
      </c>
      <c r="J106">
        <v>136.54531691443501</v>
      </c>
      <c r="K106">
        <v>46.413562322272597</v>
      </c>
      <c r="L106">
        <v>1.2362213259826246E-4</v>
      </c>
      <c r="M106">
        <v>1.6658747822177296E-5</v>
      </c>
      <c r="N106" s="1">
        <v>2.10967493663635E-6</v>
      </c>
      <c r="O106" s="1">
        <v>7.3773052195008701E-8</v>
      </c>
      <c r="P106" s="1">
        <v>-3.5156891564045299E-7</v>
      </c>
      <c r="Q106">
        <v>73.973260480485905</v>
      </c>
      <c r="R106">
        <v>8.0319591402584503E-2</v>
      </c>
      <c r="S106">
        <v>12.5855000462038</v>
      </c>
      <c r="T106">
        <v>0.19249000865860999</v>
      </c>
      <c r="V106">
        <v>0.47327013068750101</v>
      </c>
      <c r="W106">
        <v>3.03647235790253E-2</v>
      </c>
      <c r="X106">
        <v>8.8155649100399802E-2</v>
      </c>
      <c r="AA106">
        <v>0.67224341932356801</v>
      </c>
      <c r="AB106">
        <v>4.2386455266421699</v>
      </c>
      <c r="AC106">
        <v>3.9223106989991199</v>
      </c>
      <c r="AD106">
        <v>8.8155649100393405E-3</v>
      </c>
      <c r="AE106">
        <v>3.7346241600072299</v>
      </c>
    </row>
    <row r="107" spans="1:31" x14ac:dyDescent="0.2">
      <c r="A107">
        <v>106</v>
      </c>
      <c r="B107">
        <v>820</v>
      </c>
      <c r="C107">
        <v>100</v>
      </c>
      <c r="D107">
        <v>0.52296619860037497</v>
      </c>
      <c r="E107">
        <v>101.329025450545</v>
      </c>
      <c r="F107">
        <v>2.2000039066751298</v>
      </c>
      <c r="G107">
        <v>-1667.4531137230051</v>
      </c>
      <c r="H107">
        <v>-1385.6746077654061</v>
      </c>
      <c r="I107">
        <v>257.76746645711802</v>
      </c>
      <c r="J107">
        <v>135.43826800746601</v>
      </c>
      <c r="K107">
        <v>46.058566143041197</v>
      </c>
      <c r="L107">
        <v>1.2332843105417445E-4</v>
      </c>
      <c r="M107">
        <v>1.6637697266618531E-5</v>
      </c>
      <c r="N107" s="1">
        <v>2.0954958742091999E-6</v>
      </c>
      <c r="O107" s="1">
        <v>7.3019257387059705E-8</v>
      </c>
      <c r="P107" s="1">
        <v>-3.4793795755600601E-7</v>
      </c>
      <c r="Q107">
        <v>74.064198767080796</v>
      </c>
      <c r="R107">
        <v>8.09244928937181E-2</v>
      </c>
      <c r="S107">
        <v>12.5236839053808</v>
      </c>
      <c r="T107">
        <v>0.19431622986542699</v>
      </c>
      <c r="V107">
        <v>0.476495596055107</v>
      </c>
      <c r="W107">
        <v>3.0593405850063399E-2</v>
      </c>
      <c r="X107">
        <v>8.8819565371157094E-2</v>
      </c>
      <c r="AA107">
        <v>0.65688362814421997</v>
      </c>
      <c r="AB107">
        <v>4.2039500459725696</v>
      </c>
      <c r="AC107">
        <v>3.9427255886835502</v>
      </c>
      <c r="AD107">
        <v>8.8819565371148108E-3</v>
      </c>
      <c r="AE107">
        <v>3.7285268181654199</v>
      </c>
    </row>
    <row r="108" spans="1:31" x14ac:dyDescent="0.2">
      <c r="A108">
        <v>107</v>
      </c>
      <c r="B108">
        <v>818</v>
      </c>
      <c r="C108">
        <v>100</v>
      </c>
      <c r="D108">
        <v>0.52196352472162699</v>
      </c>
      <c r="E108">
        <v>100.565592307798</v>
      </c>
      <c r="F108">
        <v>2.2003965144370601</v>
      </c>
      <c r="G108">
        <v>-1654.1890135676945</v>
      </c>
      <c r="H108">
        <v>-1375.4335303777125</v>
      </c>
      <c r="I108">
        <v>255.469443422061</v>
      </c>
      <c r="J108">
        <v>134.331781824323</v>
      </c>
      <c r="K108">
        <v>45.703395568923703</v>
      </c>
      <c r="L108">
        <v>1.2303094703474562E-4</v>
      </c>
      <c r="M108">
        <v>1.6616509804527212E-5</v>
      </c>
      <c r="N108" s="1">
        <v>2.08120644022613E-6</v>
      </c>
      <c r="O108" s="1">
        <v>7.2266505151681603E-8</v>
      </c>
      <c r="P108" s="1">
        <v>-3.4430118045241102E-7</v>
      </c>
      <c r="Q108">
        <v>74.155382954198402</v>
      </c>
      <c r="R108">
        <v>8.1538822690991497E-2</v>
      </c>
      <c r="S108">
        <v>12.461810196546001</v>
      </c>
      <c r="T108">
        <v>0.196171189826957</v>
      </c>
      <c r="V108">
        <v>0.47977108834125798</v>
      </c>
      <c r="W108">
        <v>3.0825652480739801E-2</v>
      </c>
      <c r="X108">
        <v>8.9493829782799697E-2</v>
      </c>
      <c r="AA108">
        <v>0.642305188980132</v>
      </c>
      <c r="AB108">
        <v>4.1684414275049297</v>
      </c>
      <c r="AC108">
        <v>3.9629949467272301</v>
      </c>
      <c r="AD108">
        <v>8.9493829782788005E-3</v>
      </c>
      <c r="AE108">
        <v>3.7223153199421399</v>
      </c>
    </row>
    <row r="109" spans="1:31" x14ac:dyDescent="0.2">
      <c r="A109">
        <v>108</v>
      </c>
      <c r="B109">
        <v>816</v>
      </c>
      <c r="C109">
        <v>100</v>
      </c>
      <c r="D109">
        <v>0.520957168434101</v>
      </c>
      <c r="E109">
        <v>99.802762188124703</v>
      </c>
      <c r="F109">
        <v>2.2007962696588401</v>
      </c>
      <c r="G109">
        <v>-1640.9460288130047</v>
      </c>
      <c r="H109">
        <v>-1365.1990046629494</v>
      </c>
      <c r="I109">
        <v>253.17635233902999</v>
      </c>
      <c r="J109">
        <v>133.22712121856301</v>
      </c>
      <c r="K109">
        <v>45.3484784412124</v>
      </c>
      <c r="L109">
        <v>1.2272996698503745E-4</v>
      </c>
      <c r="M109">
        <v>1.6595208535782405E-5</v>
      </c>
      <c r="N109" s="1">
        <v>2.0668328590289301E-6</v>
      </c>
      <c r="O109" s="1">
        <v>7.1515688674083295E-8</v>
      </c>
      <c r="P109" s="1">
        <v>-3.4066342368616102E-7</v>
      </c>
      <c r="Q109">
        <v>74.246781220217301</v>
      </c>
      <c r="R109">
        <v>8.2162054638762305E-2</v>
      </c>
      <c r="S109">
        <v>12.3999008212196</v>
      </c>
      <c r="T109">
        <v>0.198053940106305</v>
      </c>
      <c r="V109">
        <v>0.48309322604863603</v>
      </c>
      <c r="W109">
        <v>3.1061264558555301E-2</v>
      </c>
      <c r="X109">
        <v>9.0177864847427402E-2</v>
      </c>
      <c r="AA109">
        <v>0.62848413938708103</v>
      </c>
      <c r="AB109">
        <v>4.1321824958873501</v>
      </c>
      <c r="AC109">
        <v>3.9830846493802001</v>
      </c>
      <c r="AD109">
        <v>9.0177864847411898E-3</v>
      </c>
      <c r="AE109">
        <v>3.7160005372238998</v>
      </c>
    </row>
    <row r="110" spans="1:31" x14ac:dyDescent="0.2">
      <c r="A110">
        <v>109</v>
      </c>
      <c r="B110">
        <v>814</v>
      </c>
      <c r="C110">
        <v>100</v>
      </c>
      <c r="D110">
        <v>0.51994710941452704</v>
      </c>
      <c r="E110">
        <v>99.041429570474307</v>
      </c>
      <c r="F110">
        <v>2.20120262619887</v>
      </c>
      <c r="G110">
        <v>-1627.7391008263826</v>
      </c>
      <c r="H110">
        <v>-1354.9833173952134</v>
      </c>
      <c r="I110">
        <v>250.8906622188</v>
      </c>
      <c r="J110">
        <v>132.12552616997101</v>
      </c>
      <c r="K110">
        <v>44.994235601791502</v>
      </c>
      <c r="L110">
        <v>1.2242578439311297E-4</v>
      </c>
      <c r="M110">
        <v>1.6573816569269693E-5</v>
      </c>
      <c r="N110" s="1">
        <v>2.0524010748643801E-6</v>
      </c>
      <c r="O110" s="1">
        <v>7.0767678999725696E-8</v>
      </c>
      <c r="P110" s="1">
        <v>-3.3702943923820199E-7</v>
      </c>
      <c r="Q110">
        <v>74.338360098446103</v>
      </c>
      <c r="R110">
        <v>8.2793635305569796E-2</v>
      </c>
      <c r="S110">
        <v>12.3379785085663</v>
      </c>
      <c r="T110">
        <v>0.199963473256109</v>
      </c>
      <c r="V110">
        <v>0.48645846124116299</v>
      </c>
      <c r="W110">
        <v>3.1300032859421401E-2</v>
      </c>
      <c r="X110">
        <v>9.0871063140265704E-2</v>
      </c>
      <c r="AA110">
        <v>0.61539501976844502</v>
      </c>
      <c r="AB110">
        <v>4.0952377293245403</v>
      </c>
      <c r="AC110">
        <v>4.0029613847107699</v>
      </c>
      <c r="AD110">
        <v>9.08710631402475E-3</v>
      </c>
      <c r="AE110">
        <v>3.7095934870671399</v>
      </c>
    </row>
    <row r="111" spans="1:31" x14ac:dyDescent="0.2">
      <c r="A111">
        <v>110</v>
      </c>
      <c r="B111">
        <v>812</v>
      </c>
      <c r="C111">
        <v>100</v>
      </c>
      <c r="D111">
        <v>0.51893332718978802</v>
      </c>
      <c r="E111">
        <v>98.2824641047726</v>
      </c>
      <c r="F111">
        <v>2.20161503563514</v>
      </c>
      <c r="G111">
        <v>-1614.5827247318211</v>
      </c>
      <c r="H111">
        <v>-1344.7984153045752</v>
      </c>
      <c r="I111">
        <v>248.614762408188</v>
      </c>
      <c r="J111">
        <v>131.02819925622799</v>
      </c>
      <c r="K111">
        <v>44.641075989208602</v>
      </c>
      <c r="L111">
        <v>1.2211869612654603E-4</v>
      </c>
      <c r="M111">
        <v>1.6552356775396221E-5</v>
      </c>
      <c r="N111" s="1">
        <v>2.0379364514584699E-6</v>
      </c>
      <c r="O111" s="1">
        <v>7.0023315258827906E-8</v>
      </c>
      <c r="P111" s="1">
        <v>-3.3340383742600802E-7</v>
      </c>
      <c r="Q111">
        <v>74.430085009786495</v>
      </c>
      <c r="R111">
        <v>8.3432991578829802E-2</v>
      </c>
      <c r="S111">
        <v>12.2760664734119</v>
      </c>
      <c r="T111">
        <v>0.20189873885552401</v>
      </c>
      <c r="V111">
        <v>0.489863126241673</v>
      </c>
      <c r="W111">
        <v>3.1541740718824401E-2</v>
      </c>
      <c r="X111">
        <v>9.1572795635308096E-2</v>
      </c>
      <c r="AA111">
        <v>0.60301118082283001</v>
      </c>
      <c r="AB111">
        <v>4.0576725014254</v>
      </c>
      <c r="AC111">
        <v>4.0225929598558299</v>
      </c>
      <c r="AD111">
        <v>9.1572795635286707E-3</v>
      </c>
      <c r="AE111">
        <v>3.7031052021037199</v>
      </c>
    </row>
    <row r="112" spans="1:31" x14ac:dyDescent="0.2">
      <c r="A112">
        <v>111</v>
      </c>
      <c r="B112">
        <v>810</v>
      </c>
      <c r="C112">
        <v>100</v>
      </c>
      <c r="D112">
        <v>0.517915801135579</v>
      </c>
      <c r="E112">
        <v>97.5267012687262</v>
      </c>
      <c r="F112">
        <v>2.20203295270109</v>
      </c>
      <c r="G112">
        <v>-1601.4907948243674</v>
      </c>
      <c r="H112">
        <v>-1334.6557768876996</v>
      </c>
      <c r="I112">
        <v>246.350937484806</v>
      </c>
      <c r="J112">
        <v>129.936292801279</v>
      </c>
      <c r="K112">
        <v>44.2893922859312</v>
      </c>
      <c r="L112">
        <v>1.2180899893694172E-4</v>
      </c>
      <c r="M112">
        <v>1.6530851558709265E-5</v>
      </c>
      <c r="N112" s="1">
        <v>2.02346350292513E-6</v>
      </c>
      <c r="O112" s="1">
        <v>6.9283396149267898E-8</v>
      </c>
      <c r="P112" s="1">
        <v>-3.29791038924855E-7</v>
      </c>
      <c r="Q112">
        <v>74.5219207842093</v>
      </c>
      <c r="R112">
        <v>8.4079538150334601E-2</v>
      </c>
      <c r="S112">
        <v>12.214188085862601</v>
      </c>
      <c r="T112">
        <v>0.203858659365659</v>
      </c>
      <c r="V112">
        <v>0.49330347961425702</v>
      </c>
      <c r="W112">
        <v>3.1786166861710097E-2</v>
      </c>
      <c r="X112">
        <v>9.2282419921106695E-2</v>
      </c>
      <c r="AA112">
        <v>0.59130509289968403</v>
      </c>
      <c r="AB112">
        <v>4.0195523555023902</v>
      </c>
      <c r="AC112">
        <v>4.0419485666463402</v>
      </c>
      <c r="AD112">
        <v>9.2282419921083693E-3</v>
      </c>
      <c r="AE112">
        <v>3.6965466089743799</v>
      </c>
    </row>
    <row r="113" spans="1:31" x14ac:dyDescent="0.2">
      <c r="A113">
        <v>112</v>
      </c>
      <c r="B113">
        <v>808</v>
      </c>
      <c r="C113">
        <v>100</v>
      </c>
      <c r="D113">
        <v>0.51689451047495805</v>
      </c>
      <c r="E113">
        <v>96.774934400908293</v>
      </c>
      <c r="F113">
        <v>2.2024558402429602</v>
      </c>
      <c r="G113">
        <v>-1588.4764734292967</v>
      </c>
      <c r="H113">
        <v>-1324.5663031011102</v>
      </c>
      <c r="I113">
        <v>244.101346092759</v>
      </c>
      <c r="J113">
        <v>128.850897980469</v>
      </c>
      <c r="K113">
        <v>43.939557212748703</v>
      </c>
      <c r="L113">
        <v>1.2149698623779724E-4</v>
      </c>
      <c r="M113">
        <v>1.6509322656848682E-5</v>
      </c>
      <c r="N113" s="1">
        <v>2.0090056622835499E-6</v>
      </c>
      <c r="O113" s="1">
        <v>6.8548672857451904E-8</v>
      </c>
      <c r="P113" s="1">
        <v>-3.2619523417555601E-7</v>
      </c>
      <c r="Q113">
        <v>74.613832154347506</v>
      </c>
      <c r="R113">
        <v>8.4732684664296801E-2</v>
      </c>
      <c r="S113">
        <v>12.1523665624517</v>
      </c>
      <c r="T113">
        <v>0.205842145312022</v>
      </c>
      <c r="V113">
        <v>0.49677575003589303</v>
      </c>
      <c r="W113">
        <v>3.2033088104793203E-2</v>
      </c>
      <c r="X113">
        <v>9.2999288046187997E-2</v>
      </c>
      <c r="AA113">
        <v>0.58024864791119701</v>
      </c>
      <c r="AB113">
        <v>3.9809423309447198</v>
      </c>
      <c r="AC113">
        <v>4.0609990010388302</v>
      </c>
      <c r="AD113">
        <v>9.2999288046162493E-3</v>
      </c>
      <c r="AE113">
        <v>3.68992841833817</v>
      </c>
    </row>
    <row r="114" spans="1:31" x14ac:dyDescent="0.2">
      <c r="A114">
        <v>113</v>
      </c>
      <c r="B114">
        <v>806</v>
      </c>
      <c r="C114">
        <v>100</v>
      </c>
      <c r="D114">
        <v>0.51586943427697896</v>
      </c>
      <c r="E114">
        <v>96.027908222251199</v>
      </c>
      <c r="F114">
        <v>2.20288317362016</v>
      </c>
      <c r="G114">
        <v>-1575.5520849742379</v>
      </c>
      <c r="H114">
        <v>-1314.5402284719878</v>
      </c>
      <c r="I114">
        <v>241.86800398670201</v>
      </c>
      <c r="J114">
        <v>127.773036028078</v>
      </c>
      <c r="K114">
        <v>43.591920521341699</v>
      </c>
      <c r="L114">
        <v>1.2118294521260033E-4</v>
      </c>
      <c r="M114">
        <v>1.6487790968036934E-5</v>
      </c>
      <c r="N114" s="1">
        <v>1.9945850906649698E-6</v>
      </c>
      <c r="O114" s="1">
        <v>6.7819843486515006E-8</v>
      </c>
      <c r="P114" s="1">
        <v>-3.2262035064994697E-7</v>
      </c>
      <c r="Q114">
        <v>74.705784209518797</v>
      </c>
      <c r="R114">
        <v>8.5391842348806896E-2</v>
      </c>
      <c r="S114">
        <v>12.0906246859404</v>
      </c>
      <c r="T114">
        <v>0.207848109408656</v>
      </c>
      <c r="V114">
        <v>0.50027617696262605</v>
      </c>
      <c r="W114">
        <v>3.2282281863571301E-2</v>
      </c>
      <c r="X114">
        <v>9.3722753797480504E-2</v>
      </c>
      <c r="AA114">
        <v>0.56981344555114399</v>
      </c>
      <c r="AB114">
        <v>3.94190635617533</v>
      </c>
      <c r="AC114">
        <v>4.0797168350427597</v>
      </c>
      <c r="AD114">
        <v>9.3722753797453196E-3</v>
      </c>
      <c r="AE114">
        <v>3.6832610280105902</v>
      </c>
    </row>
    <row r="115" spans="1:31" x14ac:dyDescent="0.2">
      <c r="A115">
        <v>114</v>
      </c>
      <c r="B115">
        <v>804</v>
      </c>
      <c r="C115">
        <v>100</v>
      </c>
      <c r="D115">
        <v>0.514840551455232</v>
      </c>
      <c r="E115">
        <v>95.286313884463098</v>
      </c>
      <c r="F115">
        <v>2.2033144444675599</v>
      </c>
      <c r="G115">
        <v>-1562.729035821264</v>
      </c>
      <c r="H115">
        <v>-1304.5870531542178</v>
      </c>
      <c r="I115">
        <v>239.65277135686301</v>
      </c>
      <c r="J115">
        <v>126.703651592225</v>
      </c>
      <c r="K115">
        <v>43.246806702385598</v>
      </c>
      <c r="L115">
        <v>1.208671543118872E-4</v>
      </c>
      <c r="M115">
        <v>1.6466276409975256E-5</v>
      </c>
      <c r="N115" s="1">
        <v>1.9802225288246502E-6</v>
      </c>
      <c r="O115" s="1">
        <v>6.7097549009018904E-8</v>
      </c>
      <c r="P115" s="1">
        <v>-3.1907002817598402E-7</v>
      </c>
      <c r="Q115">
        <v>74.797742800266406</v>
      </c>
      <c r="R115">
        <v>8.6056429992064698E-2</v>
      </c>
      <c r="S115">
        <v>12.0289845592505</v>
      </c>
      <c r="T115">
        <v>0.209875479321466</v>
      </c>
      <c r="V115">
        <v>0.50380104724624797</v>
      </c>
      <c r="W115">
        <v>3.2533528411631901E-2</v>
      </c>
      <c r="X115">
        <v>9.4452179259593802E-2</v>
      </c>
      <c r="AA115">
        <v>0.559971057641246</v>
      </c>
      <c r="AB115">
        <v>3.9025067185906801</v>
      </c>
      <c r="AC115">
        <v>4.0980765410073001</v>
      </c>
      <c r="AD115">
        <v>9.4452179259564093E-3</v>
      </c>
      <c r="AE115">
        <v>3.6765544410867799</v>
      </c>
    </row>
    <row r="116" spans="1:31" x14ac:dyDescent="0.2">
      <c r="A116">
        <v>115</v>
      </c>
      <c r="B116">
        <v>802</v>
      </c>
      <c r="C116">
        <v>100</v>
      </c>
      <c r="D116">
        <v>0.51380784076640695</v>
      </c>
      <c r="E116">
        <v>94.550785509383999</v>
      </c>
      <c r="F116">
        <v>2.2037491638061599</v>
      </c>
      <c r="G116">
        <v>-1550.0177591535717</v>
      </c>
      <c r="H116">
        <v>-1294.7154954321879</v>
      </c>
      <c r="I116">
        <v>237.45734429743101</v>
      </c>
      <c r="J116">
        <v>125.643608176895</v>
      </c>
      <c r="K116">
        <v>42.904513391207502</v>
      </c>
      <c r="L116">
        <v>1.2054988115377486E-4</v>
      </c>
      <c r="M116">
        <v>1.6444797809441463E-5</v>
      </c>
      <c r="N116" s="1">
        <v>1.96593718996346E-6</v>
      </c>
      <c r="O116" s="1">
        <v>6.6382370675494797E-8</v>
      </c>
      <c r="P116" s="1">
        <v>-3.15547602045312E-7</v>
      </c>
      <c r="Q116">
        <v>74.889674888221293</v>
      </c>
      <c r="R116">
        <v>8.6725879175127502E-2</v>
      </c>
      <c r="S116">
        <v>11.967467396289001</v>
      </c>
      <c r="T116">
        <v>0.21192320887808799</v>
      </c>
      <c r="V116">
        <v>0.50734672716486895</v>
      </c>
      <c r="W116">
        <v>3.2786612858887003E-2</v>
      </c>
      <c r="X116">
        <v>9.5186940558078997E-2</v>
      </c>
      <c r="AA116">
        <v>0.55069326577676903</v>
      </c>
      <c r="AB116">
        <v>3.86280361657156</v>
      </c>
      <c r="AC116">
        <v>4.1160545713450301</v>
      </c>
      <c r="AD116">
        <v>9.5186940558044299E-3</v>
      </c>
      <c r="AE116">
        <v>3.66981819910538</v>
      </c>
    </row>
    <row r="117" spans="1:31" x14ac:dyDescent="0.2">
      <c r="A117">
        <v>116</v>
      </c>
      <c r="B117">
        <v>800</v>
      </c>
      <c r="C117">
        <v>100</v>
      </c>
      <c r="D117">
        <v>0.51277128080883805</v>
      </c>
      <c r="E117">
        <v>93.821898137513401</v>
      </c>
      <c r="F117">
        <v>2.2041868645001101</v>
      </c>
      <c r="G117">
        <v>-1537.4276834627296</v>
      </c>
      <c r="H117">
        <v>-1284.9334635510977</v>
      </c>
      <c r="I117">
        <v>235.28325016226199</v>
      </c>
      <c r="J117">
        <v>124.59368554941599</v>
      </c>
      <c r="K117">
        <v>42.565310431967902</v>
      </c>
      <c r="L117">
        <v>1.2023138083845538E-4</v>
      </c>
      <c r="M117">
        <v>1.6423372822007951E-5</v>
      </c>
      <c r="N117" s="1">
        <v>1.9517466918684201E-6</v>
      </c>
      <c r="O117" s="1">
        <v>6.5674828778213806E-8</v>
      </c>
      <c r="P117" s="1">
        <v>-3.12056093445678E-7</v>
      </c>
      <c r="Q117">
        <v>74.981548837383002</v>
      </c>
      <c r="R117">
        <v>8.7399638706750798E-2</v>
      </c>
      <c r="S117">
        <v>11.906093351533199</v>
      </c>
      <c r="T117">
        <v>0.21399028760150501</v>
      </c>
      <c r="V117">
        <v>0.51090968953958005</v>
      </c>
      <c r="W117">
        <v>3.3041326828159003E-2</v>
      </c>
      <c r="X117">
        <v>9.5926432726934893E-2</v>
      </c>
      <c r="AA117">
        <v>0.54195226961939602</v>
      </c>
      <c r="AB117">
        <v>3.8228547955946199</v>
      </c>
      <c r="AC117">
        <v>4.1336293968778497</v>
      </c>
      <c r="AD117">
        <v>9.5926432726897697E-3</v>
      </c>
      <c r="AE117">
        <v>3.6630613303161801</v>
      </c>
    </row>
    <row r="118" spans="1:31" x14ac:dyDescent="0.2">
      <c r="A118">
        <v>117</v>
      </c>
      <c r="B118">
        <v>798</v>
      </c>
      <c r="C118">
        <v>100</v>
      </c>
      <c r="D118">
        <v>0.51173085002101004</v>
      </c>
      <c r="E118">
        <v>93.100166945933495</v>
      </c>
      <c r="F118">
        <v>2.2046271030823301</v>
      </c>
      <c r="G118">
        <v>-1524.9672222224067</v>
      </c>
      <c r="H118">
        <v>-1275.2480449542302</v>
      </c>
      <c r="I118">
        <v>233.131846397028</v>
      </c>
      <c r="J118">
        <v>123.554578911337</v>
      </c>
      <c r="K118">
        <v>42.229439534589901</v>
      </c>
      <c r="L118">
        <v>1.199118946634003E-4</v>
      </c>
      <c r="M118">
        <v>1.6402017879869646E-5</v>
      </c>
      <c r="N118" s="1">
        <v>1.93766702472204E-6</v>
      </c>
      <c r="O118" s="1">
        <v>6.4975382617751803E-8</v>
      </c>
      <c r="P118" s="1">
        <v>-3.0859820647077498E-7</v>
      </c>
      <c r="Q118">
        <v>75.073334647733304</v>
      </c>
      <c r="R118">
        <v>8.8077178258576999E-2</v>
      </c>
      <c r="S118">
        <v>11.8448813870645</v>
      </c>
      <c r="T118">
        <v>0.216075748558477</v>
      </c>
      <c r="V118">
        <v>0.51448653593098503</v>
      </c>
      <c r="W118">
        <v>3.3297469829458901E-2</v>
      </c>
      <c r="X118">
        <v>9.6670073698452194E-2</v>
      </c>
      <c r="AA118">
        <v>0.53372086439444999</v>
      </c>
      <c r="AB118">
        <v>3.78271526580366</v>
      </c>
      <c r="AC118">
        <v>4.1507815090318703</v>
      </c>
      <c r="AD118">
        <v>9.6670073698412792E-3</v>
      </c>
      <c r="AE118">
        <v>3.6562923123262698</v>
      </c>
    </row>
    <row r="119" spans="1:31" x14ac:dyDescent="0.2">
      <c r="A119">
        <v>118</v>
      </c>
      <c r="B119">
        <v>796</v>
      </c>
      <c r="C119">
        <v>100</v>
      </c>
      <c r="D119">
        <v>0.51068652668007097</v>
      </c>
      <c r="E119">
        <v>91.746563871991299</v>
      </c>
      <c r="F119">
        <v>2.2053022948816001</v>
      </c>
      <c r="G119">
        <v>-1502.0133246349189</v>
      </c>
      <c r="H119">
        <v>-1256.7588950496433</v>
      </c>
      <c r="I119">
        <v>229.391974545457</v>
      </c>
      <c r="J119">
        <v>121.68218444800399</v>
      </c>
      <c r="K119">
        <v>41.602715457617997</v>
      </c>
      <c r="L119">
        <v>1.1960669623234466E-4</v>
      </c>
      <c r="M119">
        <v>1.6374693518128914E-5</v>
      </c>
      <c r="N119" s="1">
        <v>1.9092729128130302E-6</v>
      </c>
      <c r="O119" s="1">
        <v>6.3806452697055104E-8</v>
      </c>
      <c r="P119" s="1">
        <v>-3.03128229973995E-7</v>
      </c>
      <c r="Q119">
        <v>75.131583028199401</v>
      </c>
      <c r="R119">
        <v>8.9376644246222603E-2</v>
      </c>
      <c r="S119">
        <v>11.7976003946536</v>
      </c>
      <c r="T119">
        <v>0.21974991363136401</v>
      </c>
      <c r="V119">
        <v>0.52163959822635797</v>
      </c>
      <c r="W119">
        <v>3.3788731361373198E-2</v>
      </c>
      <c r="X119">
        <v>9.80963168556266E-2</v>
      </c>
      <c r="AA119">
        <v>0.52408295576140496</v>
      </c>
      <c r="AB119">
        <v>3.7383542665774598</v>
      </c>
      <c r="AC119">
        <v>4.1885466230306099</v>
      </c>
      <c r="AD119">
        <v>9.8096316855581702E-3</v>
      </c>
      <c r="AE119">
        <v>3.6473718957709198</v>
      </c>
    </row>
    <row r="120" spans="1:31" x14ac:dyDescent="0.2">
      <c r="A120">
        <v>119</v>
      </c>
      <c r="B120">
        <v>794</v>
      </c>
      <c r="C120">
        <v>100</v>
      </c>
      <c r="D120">
        <v>0.50963828890034402</v>
      </c>
      <c r="E120">
        <v>87.837049368396094</v>
      </c>
      <c r="F120">
        <v>2.2069567895466</v>
      </c>
      <c r="G120">
        <v>-1436.6308883408783</v>
      </c>
      <c r="H120">
        <v>-1202.685329180802</v>
      </c>
      <c r="I120">
        <v>219.22462555411701</v>
      </c>
      <c r="J120">
        <v>116.43675436785701</v>
      </c>
      <c r="K120">
        <v>39.800076641483003</v>
      </c>
      <c r="L120">
        <v>1.1935282179464041E-4</v>
      </c>
      <c r="M120">
        <v>1.6322561356139812E-5</v>
      </c>
      <c r="N120" s="1">
        <v>1.82318168877245E-6</v>
      </c>
      <c r="O120" s="1">
        <v>6.0741229850847505E-8</v>
      </c>
      <c r="P120" s="1">
        <v>-2.8946658770652402E-7</v>
      </c>
      <c r="Q120">
        <v>75.055586439310503</v>
      </c>
      <c r="R120">
        <v>9.3354684144829003E-2</v>
      </c>
      <c r="S120">
        <v>11.8048256775604</v>
      </c>
      <c r="T120">
        <v>0.23023776470395499</v>
      </c>
      <c r="V120">
        <v>0.54422088426031201</v>
      </c>
      <c r="W120">
        <v>3.5292624493772302E-2</v>
      </c>
      <c r="X120">
        <v>0.102462458207759</v>
      </c>
      <c r="AA120">
        <v>0.50896305669374098</v>
      </c>
      <c r="AB120">
        <v>3.6749327042864799</v>
      </c>
      <c r="AC120">
        <v>4.3103839471222596</v>
      </c>
      <c r="AD120">
        <v>1.02462458207709E-2</v>
      </c>
      <c r="AE120">
        <v>3.62949351339513</v>
      </c>
    </row>
    <row r="121" spans="1:31" x14ac:dyDescent="0.2">
      <c r="A121">
        <v>120</v>
      </c>
      <c r="B121">
        <v>792</v>
      </c>
      <c r="C121">
        <v>100</v>
      </c>
      <c r="D121">
        <v>0.50858611463174297</v>
      </c>
      <c r="E121">
        <v>83.828029318356101</v>
      </c>
      <c r="F121">
        <v>2.2087218190561599</v>
      </c>
      <c r="G121">
        <v>-1369.6990211887664</v>
      </c>
      <c r="H121">
        <v>-1147.2591387703419</v>
      </c>
      <c r="I121">
        <v>208.83432607466</v>
      </c>
      <c r="J121">
        <v>111.064426398333</v>
      </c>
      <c r="K121">
        <v>37.953185681924197</v>
      </c>
      <c r="L121">
        <v>1.1908735334835549E-4</v>
      </c>
      <c r="M121">
        <v>1.6268942867188439E-5</v>
      </c>
      <c r="N121" s="1">
        <v>1.73503921575438E-6</v>
      </c>
      <c r="O121" s="1">
        <v>5.7627762418266201E-8</v>
      </c>
      <c r="P121" s="1">
        <v>-2.7547396228826298E-7</v>
      </c>
      <c r="Q121">
        <v>74.975116492414799</v>
      </c>
      <c r="R121">
        <v>9.7819310160079095E-2</v>
      </c>
      <c r="S121">
        <v>11.8122319356572</v>
      </c>
      <c r="T121">
        <v>0.241967448905961</v>
      </c>
      <c r="V121">
        <v>0.56960118001115501</v>
      </c>
      <c r="W121">
        <v>3.6980470914170303E-2</v>
      </c>
      <c r="X121">
        <v>0.107362657492797</v>
      </c>
      <c r="AA121">
        <v>0.49694064122102999</v>
      </c>
      <c r="AB121">
        <v>3.6066656620023299</v>
      </c>
      <c r="AC121">
        <v>4.4337386878667804</v>
      </c>
      <c r="AD121">
        <v>1.0736265749273499E-2</v>
      </c>
      <c r="AE121">
        <v>3.6108392476042899</v>
      </c>
    </row>
    <row r="122" spans="1:31" x14ac:dyDescent="0.2">
      <c r="A122">
        <v>121</v>
      </c>
      <c r="B122">
        <v>790</v>
      </c>
      <c r="C122">
        <v>100</v>
      </c>
      <c r="D122">
        <v>0.507529981658283</v>
      </c>
      <c r="E122">
        <v>79.630826148726797</v>
      </c>
      <c r="F122">
        <v>2.2106236199414502</v>
      </c>
      <c r="G122">
        <v>-1299.7698457495578</v>
      </c>
      <c r="H122">
        <v>-1089.2623093476659</v>
      </c>
      <c r="I122">
        <v>198.003608523624</v>
      </c>
      <c r="J122">
        <v>105.44846617670299</v>
      </c>
      <c r="K122">
        <v>36.021883341152297</v>
      </c>
      <c r="L122">
        <v>1.1881293021043137E-4</v>
      </c>
      <c r="M122">
        <v>1.621398901349204E-5</v>
      </c>
      <c r="N122" s="1">
        <v>1.64310857182267E-6</v>
      </c>
      <c r="O122" s="1">
        <v>5.4408740176400902E-8</v>
      </c>
      <c r="P122" s="1">
        <v>-2.6087195344687301E-7</v>
      </c>
      <c r="Q122">
        <v>74.888647075290095</v>
      </c>
      <c r="R122">
        <v>0.102975196875207</v>
      </c>
      <c r="S122">
        <v>11.819686238529099</v>
      </c>
      <c r="T122">
        <v>0.25544462819144798</v>
      </c>
      <c r="V122">
        <v>0.59897286607677402</v>
      </c>
      <c r="W122">
        <v>3.89296475991565E-2</v>
      </c>
      <c r="X122">
        <v>0.113021557545991</v>
      </c>
      <c r="AA122">
        <v>0.48836131965706597</v>
      </c>
      <c r="AB122">
        <v>3.5333793877106099</v>
      </c>
      <c r="AC122">
        <v>4.5578302788575096</v>
      </c>
      <c r="AD122">
        <v>1.1302155754591601E-2</v>
      </c>
      <c r="AE122">
        <v>3.5914496479124201</v>
      </c>
    </row>
    <row r="123" spans="1:31" x14ac:dyDescent="0.2">
      <c r="A123">
        <v>122</v>
      </c>
      <c r="B123">
        <v>788</v>
      </c>
      <c r="C123">
        <v>100</v>
      </c>
      <c r="D123">
        <v>0.50646986759647905</v>
      </c>
      <c r="E123">
        <v>75.083653335094695</v>
      </c>
      <c r="F123">
        <v>2.2127132670297698</v>
      </c>
      <c r="G123">
        <v>-1224.2025148923622</v>
      </c>
      <c r="H123">
        <v>-1026.4727287872079</v>
      </c>
      <c r="I123">
        <v>186.33537775541001</v>
      </c>
      <c r="J123">
        <v>99.375892883795103</v>
      </c>
      <c r="K123">
        <v>33.932843651216899</v>
      </c>
      <c r="L123">
        <v>1.1853426830932749E-4</v>
      </c>
      <c r="M123">
        <v>1.615797321956499E-5</v>
      </c>
      <c r="N123" s="1">
        <v>1.5441853428997101E-6</v>
      </c>
      <c r="O123" s="1">
        <v>5.0979001452237799E-8</v>
      </c>
      <c r="P123" s="1">
        <v>-2.4514604882028302E-7</v>
      </c>
      <c r="Q123">
        <v>74.7932714390722</v>
      </c>
      <c r="R123">
        <v>0.109211521226923</v>
      </c>
      <c r="S123">
        <v>11.826953798003499</v>
      </c>
      <c r="T123">
        <v>0.27162666201264002</v>
      </c>
      <c r="V123">
        <v>0.63460689961433803</v>
      </c>
      <c r="W123">
        <v>4.1287282415047401E-2</v>
      </c>
      <c r="X123">
        <v>0.119866303785686</v>
      </c>
      <c r="AA123">
        <v>0.484004921907353</v>
      </c>
      <c r="AB123">
        <v>3.45462344266135</v>
      </c>
      <c r="AC123">
        <v>4.6811675364755398</v>
      </c>
      <c r="AD123">
        <v>1.1986630378559701E-2</v>
      </c>
      <c r="AE123">
        <v>3.5713935624467399</v>
      </c>
    </row>
    <row r="124" spans="1:31" x14ac:dyDescent="0.2">
      <c r="A124">
        <v>123</v>
      </c>
      <c r="B124">
        <v>786</v>
      </c>
      <c r="C124">
        <v>100</v>
      </c>
      <c r="D124">
        <v>0.50540574989378495</v>
      </c>
      <c r="E124">
        <v>69.862810126619095</v>
      </c>
      <c r="F124">
        <v>2.2151003497391901</v>
      </c>
      <c r="G124">
        <v>-1137.7158414956184</v>
      </c>
      <c r="H124">
        <v>-954.44526019232183</v>
      </c>
      <c r="I124">
        <v>173.03552972033799</v>
      </c>
      <c r="J124">
        <v>92.4207364215914</v>
      </c>
      <c r="K124">
        <v>31.539343188151602</v>
      </c>
      <c r="L124">
        <v>1.1826252477412167E-4</v>
      </c>
      <c r="M124">
        <v>1.6101611486835634E-5</v>
      </c>
      <c r="N124" s="1">
        <v>1.4318466618728799E-6</v>
      </c>
      <c r="O124" s="1">
        <v>4.7128411020266202E-8</v>
      </c>
      <c r="P124" s="1">
        <v>-2.2726357327730099E-7</v>
      </c>
      <c r="Q124">
        <v>74.682684939784096</v>
      </c>
      <c r="R124">
        <v>0.117372891029422</v>
      </c>
      <c r="S124">
        <v>11.833564620392901</v>
      </c>
      <c r="T124">
        <v>0.29258325384509898</v>
      </c>
      <c r="V124">
        <v>0.681439001540181</v>
      </c>
      <c r="W124">
        <v>4.43726783159877E-2</v>
      </c>
      <c r="X124">
        <v>0.12882390478845199</v>
      </c>
      <c r="AA124">
        <v>0.48563857857828502</v>
      </c>
      <c r="AB124">
        <v>3.3695795092577701</v>
      </c>
      <c r="AC124">
        <v>4.8001832364327699</v>
      </c>
      <c r="AD124">
        <v>1.288239047883E-2</v>
      </c>
      <c r="AE124">
        <v>3.5508749955561099</v>
      </c>
    </row>
    <row r="125" spans="1:31" x14ac:dyDescent="0.2">
      <c r="A125">
        <v>124</v>
      </c>
      <c r="B125">
        <v>784</v>
      </c>
      <c r="C125">
        <v>100</v>
      </c>
      <c r="D125">
        <v>0.50433760582698905</v>
      </c>
      <c r="E125">
        <v>54.391211401324099</v>
      </c>
      <c r="F125">
        <v>2.2174331599547599</v>
      </c>
      <c r="G125">
        <v>-885.08982976223047</v>
      </c>
      <c r="H125">
        <v>-743.01617803709428</v>
      </c>
      <c r="I125">
        <v>134.393086813731</v>
      </c>
      <c r="J125">
        <v>71.931461355679602</v>
      </c>
      <c r="K125">
        <v>24.528906838587002</v>
      </c>
      <c r="L125">
        <v>1.1776707330684289E-4</v>
      </c>
      <c r="M125">
        <v>1.6028272071649653E-5</v>
      </c>
      <c r="N125" s="1">
        <v>1.1083897455044001E-6</v>
      </c>
      <c r="O125" s="1">
        <v>3.6379209915067601E-8</v>
      </c>
      <c r="P125" s="1">
        <v>-1.7576695579836599E-7</v>
      </c>
      <c r="Q125">
        <v>74.580413425618502</v>
      </c>
      <c r="R125">
        <v>0.13030172195791101</v>
      </c>
      <c r="S125">
        <v>11.877146828188801</v>
      </c>
      <c r="T125">
        <v>0.28786737629000098</v>
      </c>
      <c r="V125">
        <v>0.66830783539191496</v>
      </c>
      <c r="W125">
        <v>5.6994501871374698E-2</v>
      </c>
      <c r="X125">
        <v>0.16214848981201799</v>
      </c>
      <c r="AA125">
        <v>0.51415996755580595</v>
      </c>
      <c r="AB125">
        <v>3.23310201480898</v>
      </c>
      <c r="AC125">
        <v>4.9505011380244301</v>
      </c>
      <c r="AD125">
        <v>1.6546790865872602E-2</v>
      </c>
      <c r="AE125">
        <v>3.5225099096143202</v>
      </c>
    </row>
    <row r="126" spans="1:31" x14ac:dyDescent="0.2">
      <c r="A126">
        <v>125</v>
      </c>
      <c r="B126">
        <v>782</v>
      </c>
      <c r="C126">
        <v>100</v>
      </c>
      <c r="D126">
        <v>0.50326541250059598</v>
      </c>
      <c r="E126">
        <v>22.305360092282601</v>
      </c>
      <c r="F126">
        <v>2.2213450652430602</v>
      </c>
      <c r="G126">
        <v>-362.82356825136247</v>
      </c>
      <c r="H126">
        <v>-304.8135769911305</v>
      </c>
      <c r="I126">
        <v>54.977956935252699</v>
      </c>
      <c r="J126">
        <v>29.5151504231874</v>
      </c>
      <c r="K126">
        <v>10.041375579728699</v>
      </c>
      <c r="L126">
        <v>1.1736469134790508E-4</v>
      </c>
      <c r="M126">
        <v>1.5978742855308674E-5</v>
      </c>
      <c r="N126" s="1">
        <v>4.5242505040527501E-7</v>
      </c>
      <c r="O126" s="1">
        <v>1.48033454790835E-8</v>
      </c>
      <c r="P126" s="1">
        <v>-7.1366747715974797E-8</v>
      </c>
      <c r="Q126">
        <v>74.2950157029682</v>
      </c>
      <c r="R126">
        <v>0.18871690205781</v>
      </c>
      <c r="S126">
        <v>12.0975573676181</v>
      </c>
      <c r="T126">
        <v>0.26342978389472199</v>
      </c>
      <c r="V126">
        <v>0.61359694236415696</v>
      </c>
      <c r="W126">
        <v>0.13898004726995999</v>
      </c>
      <c r="X126">
        <v>0.21945001088363</v>
      </c>
      <c r="AA126">
        <v>0.58100092877417198</v>
      </c>
      <c r="AB126">
        <v>3.02033397230137</v>
      </c>
      <c r="AC126">
        <v>5.0434736915277201</v>
      </c>
      <c r="AD126">
        <v>4.0349045981571602E-2</v>
      </c>
      <c r="AE126">
        <v>3.49809560435855</v>
      </c>
    </row>
    <row r="127" spans="1:31" x14ac:dyDescent="0.2">
      <c r="A127">
        <v>126</v>
      </c>
      <c r="B127">
        <v>780</v>
      </c>
      <c r="C127">
        <v>100</v>
      </c>
      <c r="D127">
        <v>0.50218914684517901</v>
      </c>
      <c r="E127">
        <v>11.7251720875944</v>
      </c>
      <c r="F127">
        <v>2.2252179128360798</v>
      </c>
      <c r="G127">
        <v>-190.62499766334676</v>
      </c>
      <c r="H127">
        <v>-160.25156785394304</v>
      </c>
      <c r="I127">
        <v>28.8405543459181</v>
      </c>
      <c r="J127">
        <v>15.524817838601599</v>
      </c>
      <c r="K127">
        <v>5.2692242049456102</v>
      </c>
      <c r="L127">
        <v>1.1725162538496169E-4</v>
      </c>
      <c r="M127">
        <v>1.5970406065295139E-5</v>
      </c>
      <c r="N127" s="1">
        <v>2.3771827865544401E-7</v>
      </c>
      <c r="O127" s="1">
        <v>7.7509832439656494E-9</v>
      </c>
      <c r="P127" s="1">
        <v>-3.7248473358470999E-8</v>
      </c>
      <c r="Q127">
        <v>73.916808027582306</v>
      </c>
      <c r="R127">
        <v>0.23455775464193199</v>
      </c>
      <c r="S127">
        <v>12.4302770244042</v>
      </c>
      <c r="T127">
        <v>0.246226054964997</v>
      </c>
      <c r="V127">
        <v>0.57735362362838005</v>
      </c>
      <c r="W127">
        <v>0.26438844366971798</v>
      </c>
      <c r="X127">
        <v>0.22697163759115199</v>
      </c>
      <c r="AA127">
        <v>0.61387302146169698</v>
      </c>
      <c r="AB127">
        <v>2.8277564426161401</v>
      </c>
      <c r="AC127">
        <v>5.0964739747615297</v>
      </c>
      <c r="AD127">
        <v>7.6757935258879001E-2</v>
      </c>
      <c r="AE127">
        <v>3.4885560594189999</v>
      </c>
    </row>
    <row r="128" spans="1:31" x14ac:dyDescent="0.2">
      <c r="A128">
        <v>127</v>
      </c>
      <c r="B128">
        <v>778</v>
      </c>
      <c r="C128">
        <v>100</v>
      </c>
      <c r="D128">
        <v>0.501108785615755</v>
      </c>
      <c r="E128">
        <v>7.8193518657296703</v>
      </c>
      <c r="F128">
        <v>2.2287146717913302</v>
      </c>
      <c r="G128">
        <v>-127.05552806064948</v>
      </c>
      <c r="H128">
        <v>-106.8734672380677</v>
      </c>
      <c r="I128">
        <v>19.199981755773901</v>
      </c>
      <c r="J128">
        <v>10.3610395255232</v>
      </c>
      <c r="K128">
        <v>3.50845802053469</v>
      </c>
      <c r="L128">
        <v>1.1730086581529491E-4</v>
      </c>
      <c r="M128">
        <v>1.5982752528295633E-5</v>
      </c>
      <c r="N128" s="1">
        <v>1.58915620211055E-7</v>
      </c>
      <c r="O128" s="1">
        <v>5.16200881786195E-9</v>
      </c>
      <c r="P128" s="1">
        <v>-2.4733701946296499E-8</v>
      </c>
      <c r="Q128">
        <v>73.535167708417703</v>
      </c>
      <c r="R128">
        <v>0.244765964390458</v>
      </c>
      <c r="S128">
        <v>12.774791523888901</v>
      </c>
      <c r="T128">
        <v>0.23838004563231899</v>
      </c>
      <c r="V128">
        <v>0.56303964350776903</v>
      </c>
      <c r="W128">
        <v>0.393125591350515</v>
      </c>
      <c r="X128">
        <v>0.228153120255183</v>
      </c>
      <c r="AA128">
        <v>0.63525188859873905</v>
      </c>
      <c r="AB128">
        <v>2.6650285440050401</v>
      </c>
      <c r="AC128">
        <v>5.1181361702658803</v>
      </c>
      <c r="AD128">
        <v>0.115099053662386</v>
      </c>
      <c r="AE128">
        <v>3.4890607460249901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99BB4-320F-45C3-AEA9-BFFF584214DB}">
  <sheetPr codeName="Sheet5"/>
  <dimension ref="A1:P128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752</v>
      </c>
      <c r="C2">
        <v>300</v>
      </c>
      <c r="D2">
        <v>0.27207774472028401</v>
      </c>
      <c r="E2">
        <v>3.3614990480083198</v>
      </c>
      <c r="F2">
        <v>0.58274128751843002</v>
      </c>
      <c r="G2">
        <v>-72.548677304978895</v>
      </c>
      <c r="H2">
        <v>-42.884649648309839</v>
      </c>
      <c r="I2">
        <v>28.9381566725298</v>
      </c>
      <c r="J2">
        <v>12.8858268899726</v>
      </c>
      <c r="K2">
        <v>5.7684243763181202</v>
      </c>
      <c r="L2">
        <v>1.1200314181014448E-3</v>
      </c>
      <c r="M2">
        <v>1.6629686818048775E-4</v>
      </c>
      <c r="N2" s="1">
        <v>4.4243575389246502E-6</v>
      </c>
      <c r="O2" s="1">
        <v>6.8946505099913305E-7</v>
      </c>
      <c r="P2" s="1">
        <v>-2.83620552796647E-6</v>
      </c>
    </row>
    <row r="3" spans="1:16" x14ac:dyDescent="0.2">
      <c r="A3">
        <v>2</v>
      </c>
      <c r="B3">
        <v>750</v>
      </c>
      <c r="C3">
        <v>300</v>
      </c>
      <c r="D3">
        <v>0.270518008112205</v>
      </c>
      <c r="E3">
        <v>3.7531263558082602</v>
      </c>
      <c r="F3">
        <v>0.63235221299924904</v>
      </c>
      <c r="G3">
        <v>-78.970829772506036</v>
      </c>
      <c r="H3">
        <v>-48.47195472786909</v>
      </c>
      <c r="I3">
        <v>29.810692351121698</v>
      </c>
      <c r="J3">
        <v>13.4011156513701</v>
      </c>
      <c r="K3">
        <v>5.93518339725129</v>
      </c>
      <c r="L3">
        <v>1.0933787405474243E-3</v>
      </c>
      <c r="M3">
        <v>1.6163356684996617E-4</v>
      </c>
      <c r="N3" s="1">
        <v>4.5065057693860904E-6</v>
      </c>
      <c r="O3" s="1">
        <v>6.8856759680017905E-7</v>
      </c>
      <c r="P3" s="1">
        <v>-2.8486782554891098E-6</v>
      </c>
    </row>
    <row r="4" spans="1:16" x14ac:dyDescent="0.2">
      <c r="A4">
        <v>3</v>
      </c>
      <c r="B4">
        <v>748</v>
      </c>
      <c r="C4">
        <v>300</v>
      </c>
      <c r="D4">
        <v>0.26895216177838999</v>
      </c>
      <c r="E4">
        <v>4.2112129619279797</v>
      </c>
      <c r="F4">
        <v>0.68675283106599405</v>
      </c>
      <c r="G4">
        <v>-86.487904300574712</v>
      </c>
      <c r="H4">
        <v>-55.005521556053161</v>
      </c>
      <c r="I4">
        <v>30.832228915465201</v>
      </c>
      <c r="J4">
        <v>14.0016215028486</v>
      </c>
      <c r="K4">
        <v>6.1320649459736902</v>
      </c>
      <c r="L4">
        <v>1.0638832732464004E-3</v>
      </c>
      <c r="M4">
        <v>1.5659306788765566E-4</v>
      </c>
      <c r="N4" s="1">
        <v>4.5936090317836899E-6</v>
      </c>
      <c r="O4" s="1">
        <v>6.8825076191331904E-7</v>
      </c>
      <c r="P4" s="1">
        <v>-2.86363638614099E-6</v>
      </c>
    </row>
    <row r="5" spans="1:16" x14ac:dyDescent="0.2">
      <c r="A5">
        <v>4</v>
      </c>
      <c r="B5">
        <v>746</v>
      </c>
      <c r="C5">
        <v>300</v>
      </c>
      <c r="D5">
        <v>0.26738016974930101</v>
      </c>
      <c r="E5">
        <v>4.6648819699498496</v>
      </c>
      <c r="F5">
        <v>0.73734563928271302</v>
      </c>
      <c r="G5">
        <v>-93.927074197454104</v>
      </c>
      <c r="H5">
        <v>-61.478917727976885</v>
      </c>
      <c r="I5">
        <v>31.840373896156599</v>
      </c>
      <c r="J5">
        <v>14.595889178816201</v>
      </c>
      <c r="K5">
        <v>6.32658785978286</v>
      </c>
      <c r="L5">
        <v>1.036464137849291E-3</v>
      </c>
      <c r="M5">
        <v>1.5189596153353309E-4</v>
      </c>
      <c r="N5" s="1">
        <v>4.6810337317840097E-6</v>
      </c>
      <c r="O5" s="1">
        <v>6.8779828601736103E-7</v>
      </c>
      <c r="P5" s="1">
        <v>-2.87812446590857E-6</v>
      </c>
    </row>
    <row r="6" spans="1:16" x14ac:dyDescent="0.2">
      <c r="A6">
        <v>5</v>
      </c>
      <c r="B6">
        <v>744</v>
      </c>
      <c r="C6">
        <v>300</v>
      </c>
      <c r="D6">
        <v>0.26580199577250502</v>
      </c>
      <c r="E6">
        <v>5.1142079137981904</v>
      </c>
      <c r="F6">
        <v>0.784533232492307</v>
      </c>
      <c r="G6">
        <v>-101.28964355441113</v>
      </c>
      <c r="H6">
        <v>-67.893165749082428</v>
      </c>
      <c r="I6">
        <v>32.835325138464697</v>
      </c>
      <c r="J6">
        <v>15.184011429231701</v>
      </c>
      <c r="K6">
        <v>6.51879066684194</v>
      </c>
      <c r="L6">
        <v>1.0109008287031188E-3</v>
      </c>
      <c r="M6">
        <v>1.4750602718918623E-4</v>
      </c>
      <c r="N6" s="1">
        <v>4.7687591384898296E-6</v>
      </c>
      <c r="O6" s="1">
        <v>6.87212791280359E-7</v>
      </c>
      <c r="P6" s="1">
        <v>-2.89214421943212E-6</v>
      </c>
    </row>
    <row r="7" spans="1:16" x14ac:dyDescent="0.2">
      <c r="A7">
        <v>6</v>
      </c>
      <c r="B7">
        <v>742</v>
      </c>
      <c r="C7">
        <v>300</v>
      </c>
      <c r="D7">
        <v>0.264217603309855</v>
      </c>
      <c r="E7">
        <v>5.55926382235209</v>
      </c>
      <c r="F7">
        <v>0.82866347602572599</v>
      </c>
      <c r="G7">
        <v>-108.57688974222236</v>
      </c>
      <c r="H7">
        <v>-74.249267600253987</v>
      </c>
      <c r="I7">
        <v>33.817275943252298</v>
      </c>
      <c r="J7">
        <v>15.766078834281</v>
      </c>
      <c r="K7">
        <v>6.7087110548353701</v>
      </c>
      <c r="L7">
        <v>9.8700281361329225E-4</v>
      </c>
      <c r="M7">
        <v>1.4339197084910411E-4</v>
      </c>
      <c r="N7" s="1">
        <v>4.8567642409810299E-6</v>
      </c>
      <c r="O7" s="1">
        <v>6.8649686129228699E-7</v>
      </c>
      <c r="P7" s="1">
        <v>-2.90569732690851E-6</v>
      </c>
    </row>
    <row r="8" spans="1:16" x14ac:dyDescent="0.2">
      <c r="A8">
        <v>7</v>
      </c>
      <c r="B8">
        <v>740</v>
      </c>
      <c r="C8">
        <v>300</v>
      </c>
      <c r="D8">
        <v>0.26262695553471999</v>
      </c>
      <c r="E8">
        <v>9.6698630621118191</v>
      </c>
      <c r="F8">
        <v>1.10768822624282</v>
      </c>
      <c r="G8">
        <v>-176.86727260295029</v>
      </c>
      <c r="H8">
        <v>-131.97723096461854</v>
      </c>
      <c r="I8">
        <v>44.3095469483413</v>
      </c>
      <c r="J8">
        <v>21.600840307269198</v>
      </c>
      <c r="K8">
        <v>8.7297696527036894</v>
      </c>
      <c r="L8">
        <v>8.3330042128882656E-4</v>
      </c>
      <c r="M8">
        <v>1.2028402777133363E-4</v>
      </c>
      <c r="N8" s="1">
        <v>5.3255143718213702E-6</v>
      </c>
      <c r="O8" s="1">
        <v>7.4680447227435303E-7</v>
      </c>
      <c r="P8" s="1">
        <v>-3.1788746434755698E-6</v>
      </c>
    </row>
    <row r="9" spans="1:16" x14ac:dyDescent="0.2">
      <c r="A9">
        <v>8</v>
      </c>
      <c r="B9">
        <v>738</v>
      </c>
      <c r="C9">
        <v>300</v>
      </c>
      <c r="D9">
        <v>0.26103001532908299</v>
      </c>
      <c r="E9">
        <v>14.210121238041401</v>
      </c>
      <c r="F9">
        <v>1.2962167721240401</v>
      </c>
      <c r="G9">
        <v>-252.19580536457596</v>
      </c>
      <c r="H9">
        <v>-195.68340875117744</v>
      </c>
      <c r="I9">
        <v>55.891591514868999</v>
      </c>
      <c r="J9">
        <v>28.0587907155988</v>
      </c>
      <c r="K9">
        <v>10.962766061695</v>
      </c>
      <c r="L9">
        <v>7.2940629656994226E-4</v>
      </c>
      <c r="M9">
        <v>1.0461316094555206E-4</v>
      </c>
      <c r="N9" s="1">
        <v>5.8388924851585898E-6</v>
      </c>
      <c r="O9" s="1">
        <v>8.1295892766994903E-7</v>
      </c>
      <c r="P9" s="1">
        <v>-3.4800952722829202E-6</v>
      </c>
    </row>
    <row r="10" spans="1:16" x14ac:dyDescent="0.2">
      <c r="A10">
        <v>9</v>
      </c>
      <c r="B10">
        <v>736</v>
      </c>
      <c r="C10">
        <v>300</v>
      </c>
      <c r="D10">
        <v>0.25942674528068399</v>
      </c>
      <c r="E10">
        <v>19.187372568855999</v>
      </c>
      <c r="F10">
        <v>1.4310855397040601</v>
      </c>
      <c r="G10">
        <v>-334.62068246271667</v>
      </c>
      <c r="H10">
        <v>-265.43958307186426</v>
      </c>
      <c r="I10">
        <v>68.556422972204103</v>
      </c>
      <c r="J10">
        <v>35.140993437813897</v>
      </c>
      <c r="K10">
        <v>13.4075651220846</v>
      </c>
      <c r="L10">
        <v>6.5496369997554806E-4</v>
      </c>
      <c r="M10">
        <v>9.3340046064577389E-5</v>
      </c>
      <c r="N10" s="1">
        <v>6.3932397721229001E-6</v>
      </c>
      <c r="O10" s="1">
        <v>8.8428144983706495E-7</v>
      </c>
      <c r="P10" s="1">
        <v>-3.8068951272803299E-6</v>
      </c>
    </row>
    <row r="11" spans="1:16" x14ac:dyDescent="0.2">
      <c r="A11">
        <v>10</v>
      </c>
      <c r="B11">
        <v>734</v>
      </c>
      <c r="C11">
        <v>300</v>
      </c>
      <c r="D11">
        <v>0.25781710768008598</v>
      </c>
      <c r="E11">
        <v>88.262602870085303</v>
      </c>
      <c r="F11">
        <v>1.8999840785775799</v>
      </c>
      <c r="G11">
        <v>-1460.7846442906859</v>
      </c>
      <c r="H11">
        <v>-1220.0653804140914</v>
      </c>
      <c r="I11">
        <v>239.015528767474</v>
      </c>
      <c r="J11">
        <v>130.58301708636901</v>
      </c>
      <c r="K11">
        <v>46.454390784244303</v>
      </c>
      <c r="L11">
        <v>3.8571155403133617E-4</v>
      </c>
      <c r="M11">
        <v>5.4193647707358892E-5</v>
      </c>
      <c r="N11" s="1">
        <v>1.23638520918436E-5</v>
      </c>
      <c r="O11" s="1">
        <v>1.7542181374062901E-6</v>
      </c>
      <c r="P11" s="1">
        <v>-7.5930960694992499E-6</v>
      </c>
    </row>
    <row r="12" spans="1:16" x14ac:dyDescent="0.2">
      <c r="A12">
        <v>11</v>
      </c>
      <c r="B12">
        <v>732</v>
      </c>
      <c r="C12">
        <v>300</v>
      </c>
      <c r="D12">
        <v>0.256201064517732</v>
      </c>
      <c r="E12">
        <v>100.76057970382701</v>
      </c>
      <c r="F12">
        <v>1.9245724707176599</v>
      </c>
      <c r="G12">
        <v>-1663.7561080480605</v>
      </c>
      <c r="H12">
        <v>-1392.8960618548924</v>
      </c>
      <c r="I12">
        <v>269.47790088132302</v>
      </c>
      <c r="J12">
        <v>147.96727441413299</v>
      </c>
      <c r="K12">
        <v>52.354785926172198</v>
      </c>
      <c r="L12">
        <v>3.7113283297388159E-4</v>
      </c>
      <c r="M12">
        <v>5.1879087712939189E-5</v>
      </c>
      <c r="N12" s="1">
        <v>1.3475753435846501E-5</v>
      </c>
      <c r="O12" s="1">
        <v>1.8876197311957301E-6</v>
      </c>
      <c r="P12" s="1">
        <v>-8.21729206226559E-6</v>
      </c>
    </row>
    <row r="13" spans="1:16" x14ac:dyDescent="0.2">
      <c r="A13">
        <v>12</v>
      </c>
      <c r="B13">
        <v>752</v>
      </c>
      <c r="C13">
        <v>275</v>
      </c>
      <c r="D13">
        <v>0.29890308735307097</v>
      </c>
      <c r="E13">
        <v>3.81528228566492</v>
      </c>
      <c r="F13">
        <v>0.55726347778082896</v>
      </c>
      <c r="G13">
        <v>-82.50963662154696</v>
      </c>
      <c r="H13">
        <v>-48.642087063740171</v>
      </c>
      <c r="I13">
        <v>33.038806903005202</v>
      </c>
      <c r="J13">
        <v>14.7611707670507</v>
      </c>
      <c r="K13">
        <v>6.8464603150710399</v>
      </c>
      <c r="L13">
        <v>1.2026398183147555E-3</v>
      </c>
      <c r="M13">
        <v>1.9248008190682315E-4</v>
      </c>
      <c r="N13" s="1">
        <v>5.5740472332622999E-6</v>
      </c>
      <c r="O13" s="1">
        <v>1.06968649210234E-6</v>
      </c>
      <c r="P13" s="1">
        <v>-4.0297335577352799E-6</v>
      </c>
    </row>
    <row r="14" spans="1:16" x14ac:dyDescent="0.2">
      <c r="A14">
        <v>13</v>
      </c>
      <c r="B14">
        <v>750</v>
      </c>
      <c r="C14">
        <v>275</v>
      </c>
      <c r="D14">
        <v>0.29739578751893703</v>
      </c>
      <c r="E14">
        <v>4.0677683707166699</v>
      </c>
      <c r="F14">
        <v>0.58551636938636498</v>
      </c>
      <c r="G14">
        <v>-86.625995262123794</v>
      </c>
      <c r="H14">
        <v>-52.258935109731766</v>
      </c>
      <c r="I14">
        <v>33.591605228015702</v>
      </c>
      <c r="J14">
        <v>15.1010105883137</v>
      </c>
      <c r="K14">
        <v>6.9473179289244902</v>
      </c>
      <c r="L14">
        <v>1.1875741763447585E-3</v>
      </c>
      <c r="M14">
        <v>1.891818633873205E-4</v>
      </c>
      <c r="N14" s="1">
        <v>5.6763231506000802E-6</v>
      </c>
      <c r="O14" s="1">
        <v>1.06572125296082E-6</v>
      </c>
      <c r="P14" s="1">
        <v>-4.0390344246363404E-6</v>
      </c>
    </row>
    <row r="15" spans="1:16" x14ac:dyDescent="0.2">
      <c r="A15">
        <v>14</v>
      </c>
      <c r="B15">
        <v>748</v>
      </c>
      <c r="C15">
        <v>275</v>
      </c>
      <c r="D15">
        <v>0.29588258336189799</v>
      </c>
      <c r="E15">
        <v>4.5131010540219902</v>
      </c>
      <c r="F15">
        <v>0.63239075102676601</v>
      </c>
      <c r="G15">
        <v>-93.929581520418125</v>
      </c>
      <c r="H15">
        <v>-58.618754109613853</v>
      </c>
      <c r="I15">
        <v>34.581629293464502</v>
      </c>
      <c r="J15">
        <v>15.688710094057299</v>
      </c>
      <c r="K15">
        <v>7.1365703035574102</v>
      </c>
      <c r="L15">
        <v>1.1611217182180254E-3</v>
      </c>
      <c r="M15">
        <v>1.8411567859624638E-4</v>
      </c>
      <c r="N15" s="1">
        <v>5.7930016582550197E-6</v>
      </c>
      <c r="O15" s="1">
        <v>1.0642152425998699E-6</v>
      </c>
      <c r="P15" s="1">
        <v>-4.05770827848428E-6</v>
      </c>
    </row>
    <row r="16" spans="1:16" x14ac:dyDescent="0.2">
      <c r="A16">
        <v>15</v>
      </c>
      <c r="B16">
        <v>746</v>
      </c>
      <c r="C16">
        <v>275</v>
      </c>
      <c r="D16">
        <v>0.29436344012167098</v>
      </c>
      <c r="E16">
        <v>7.3996223978186704</v>
      </c>
      <c r="F16">
        <v>0.86600045768480804</v>
      </c>
      <c r="G16">
        <v>-141.86456700217474</v>
      </c>
      <c r="H16">
        <v>-99.22511694868335</v>
      </c>
      <c r="I16">
        <v>41.840530389194903</v>
      </c>
      <c r="J16">
        <v>19.7350966933686</v>
      </c>
      <c r="K16">
        <v>8.5445940959442996</v>
      </c>
      <c r="L16">
        <v>1.0247543061347639E-3</v>
      </c>
      <c r="M16">
        <v>1.615565295287154E-4</v>
      </c>
      <c r="N16" s="1">
        <v>6.1733225101892801E-6</v>
      </c>
      <c r="O16" s="1">
        <v>1.1156326734054899E-6</v>
      </c>
      <c r="P16" s="1">
        <v>-4.2793749870086398E-6</v>
      </c>
    </row>
    <row r="17" spans="1:16" x14ac:dyDescent="0.2">
      <c r="A17">
        <v>16</v>
      </c>
      <c r="B17">
        <v>744</v>
      </c>
      <c r="C17">
        <v>275</v>
      </c>
      <c r="D17">
        <v>0.29283832276459099</v>
      </c>
      <c r="E17">
        <v>11.778727051833499</v>
      </c>
      <c r="F17">
        <v>1.1012175728145699</v>
      </c>
      <c r="G17">
        <v>-214.56339904014948</v>
      </c>
      <c r="H17">
        <v>-160.74141719315031</v>
      </c>
      <c r="I17">
        <v>52.916972642319401</v>
      </c>
      <c r="J17">
        <v>25.903044475607601</v>
      </c>
      <c r="K17">
        <v>10.6960943437622</v>
      </c>
      <c r="L17">
        <v>8.8711941303338767E-4</v>
      </c>
      <c r="M17">
        <v>1.3897534914762122E-4</v>
      </c>
      <c r="N17" s="1">
        <v>6.71898841806669E-6</v>
      </c>
      <c r="O17" s="1">
        <v>1.19820204159847E-6</v>
      </c>
      <c r="P17" s="1">
        <v>-4.6237357640535003E-6</v>
      </c>
    </row>
    <row r="18" spans="1:16" x14ac:dyDescent="0.2">
      <c r="A18">
        <v>17</v>
      </c>
      <c r="B18">
        <v>742</v>
      </c>
      <c r="C18">
        <v>275</v>
      </c>
      <c r="D18">
        <v>0.291307195980888</v>
      </c>
      <c r="E18">
        <v>16.409344412150901</v>
      </c>
      <c r="F18">
        <v>1.2652666082558399</v>
      </c>
      <c r="G18">
        <v>-291.31983005275902</v>
      </c>
      <c r="H18">
        <v>-225.73660186545717</v>
      </c>
      <c r="I18">
        <v>64.607147225308694</v>
      </c>
      <c r="J18">
        <v>32.431168873593798</v>
      </c>
      <c r="K18">
        <v>12.9690804333886</v>
      </c>
      <c r="L18">
        <v>7.9108165873044021E-4</v>
      </c>
      <c r="M18">
        <v>1.2315603214106414E-4</v>
      </c>
      <c r="N18" s="1">
        <v>7.2951222604684699E-6</v>
      </c>
      <c r="O18" s="1">
        <v>1.2842004708232101E-6</v>
      </c>
      <c r="P18" s="1">
        <v>-4.9854275070970696E-6</v>
      </c>
    </row>
    <row r="19" spans="1:16" x14ac:dyDescent="0.2">
      <c r="A19">
        <v>18</v>
      </c>
      <c r="B19">
        <v>740</v>
      </c>
      <c r="C19">
        <v>275</v>
      </c>
      <c r="D19">
        <v>0.28977002418201098</v>
      </c>
      <c r="E19">
        <v>21.501307485662799</v>
      </c>
      <c r="F19">
        <v>1.3904015818384801</v>
      </c>
      <c r="G19">
        <v>-375.55649046903517</v>
      </c>
      <c r="H19">
        <v>-297.11895513371275</v>
      </c>
      <c r="I19">
        <v>77.422366534246805</v>
      </c>
      <c r="J19">
        <v>39.606021486842501</v>
      </c>
      <c r="K19">
        <v>15.4640988377129</v>
      </c>
      <c r="L19">
        <v>7.1767805526051147E-4</v>
      </c>
      <c r="M19">
        <v>1.1103107194292066E-4</v>
      </c>
      <c r="N19" s="1">
        <v>7.9200450172136392E-6</v>
      </c>
      <c r="O19" s="1">
        <v>1.3770416218433799E-6</v>
      </c>
      <c r="P19" s="1">
        <v>-5.3780566954269702E-6</v>
      </c>
    </row>
    <row r="20" spans="1:16" x14ac:dyDescent="0.2">
      <c r="A20">
        <v>19</v>
      </c>
      <c r="B20">
        <v>738</v>
      </c>
      <c r="C20">
        <v>275</v>
      </c>
      <c r="D20">
        <v>0.28822677149780002</v>
      </c>
      <c r="E20">
        <v>84.021164050664893</v>
      </c>
      <c r="F20">
        <v>1.8474087694902701</v>
      </c>
      <c r="G20">
        <v>-1394.3623128211732</v>
      </c>
      <c r="H20">
        <v>-1161.2274480461804</v>
      </c>
      <c r="I20">
        <v>230.56927779824699</v>
      </c>
      <c r="J20">
        <v>124.99433674566301</v>
      </c>
      <c r="K20">
        <v>45.480548451573803</v>
      </c>
      <c r="L20">
        <v>4.4493303498280669E-4</v>
      </c>
      <c r="M20">
        <v>6.7868988323270779E-5</v>
      </c>
      <c r="N20" s="1">
        <v>1.38618537050501E-5</v>
      </c>
      <c r="O20" s="1">
        <v>2.4496830212369E-6</v>
      </c>
      <c r="P20" s="1">
        <v>-9.62318758960591E-6</v>
      </c>
    </row>
    <row r="21" spans="1:16" x14ac:dyDescent="0.2">
      <c r="A21">
        <v>20</v>
      </c>
      <c r="B21">
        <v>736</v>
      </c>
      <c r="C21">
        <v>275</v>
      </c>
      <c r="D21">
        <v>0.28667740177377199</v>
      </c>
      <c r="E21">
        <v>99.935490303336493</v>
      </c>
      <c r="F21">
        <v>1.8829609420811699</v>
      </c>
      <c r="G21">
        <v>-1652.9225527187264</v>
      </c>
      <c r="H21">
        <v>-1381.1884027917508</v>
      </c>
      <c r="I21">
        <v>269.276125723939</v>
      </c>
      <c r="J21">
        <v>146.81573362589</v>
      </c>
      <c r="K21">
        <v>53.073586429722099</v>
      </c>
      <c r="L21">
        <v>4.2461684109564431E-4</v>
      </c>
      <c r="M21">
        <v>6.4376951759195742E-5</v>
      </c>
      <c r="N21" s="1">
        <v>1.5493816334928301E-5</v>
      </c>
      <c r="O21" s="1">
        <v>2.70498859878382E-6</v>
      </c>
      <c r="P21" s="1">
        <v>-1.0690269804987099E-5</v>
      </c>
    </row>
    <row r="22" spans="1:16" x14ac:dyDescent="0.2">
      <c r="A22">
        <v>21</v>
      </c>
      <c r="B22">
        <v>754</v>
      </c>
      <c r="C22">
        <v>250</v>
      </c>
      <c r="D22">
        <v>0.32717762741566497</v>
      </c>
      <c r="E22">
        <v>4.2509880663721002</v>
      </c>
      <c r="F22">
        <v>0.52753998630330401</v>
      </c>
      <c r="G22">
        <v>-92.202029086360852</v>
      </c>
      <c r="H22">
        <v>-54.10871797844716</v>
      </c>
      <c r="I22">
        <v>37.088783317262099</v>
      </c>
      <c r="J22">
        <v>16.5967155227743</v>
      </c>
      <c r="K22">
        <v>8.0581343153920493</v>
      </c>
      <c r="L22">
        <v>1.2977077046387243E-3</v>
      </c>
      <c r="M22">
        <v>2.2771925480444125E-4</v>
      </c>
      <c r="N22" s="1">
        <v>6.5941921450932E-6</v>
      </c>
      <c r="O22" s="1">
        <v>1.69925861111013E-6</v>
      </c>
      <c r="P22" s="1">
        <v>-5.7385913628521103E-6</v>
      </c>
    </row>
    <row r="23" spans="1:16" x14ac:dyDescent="0.2">
      <c r="A23">
        <v>22</v>
      </c>
      <c r="B23">
        <v>752</v>
      </c>
      <c r="C23">
        <v>250</v>
      </c>
      <c r="D23">
        <v>0.32572842998585799</v>
      </c>
      <c r="E23">
        <v>5.4072731470728197</v>
      </c>
      <c r="F23">
        <v>0.62670088687631897</v>
      </c>
      <c r="G23">
        <v>-111.41179771434459</v>
      </c>
      <c r="H23">
        <v>-70.321836553712259</v>
      </c>
      <c r="I23">
        <v>40.084327059546197</v>
      </c>
      <c r="J23">
        <v>18.2710166505911</v>
      </c>
      <c r="K23">
        <v>8.6281562070614299</v>
      </c>
      <c r="L23">
        <v>1.2385861809170408E-3</v>
      </c>
      <c r="M23">
        <v>2.1612228824014959E-4</v>
      </c>
      <c r="N23" s="1">
        <v>6.8517878359441404E-6</v>
      </c>
      <c r="O23" s="1">
        <v>1.7250531575096801E-6</v>
      </c>
      <c r="P23" s="1">
        <v>-5.8630961080338302E-6</v>
      </c>
    </row>
    <row r="24" spans="1:16" x14ac:dyDescent="0.2">
      <c r="A24">
        <v>23</v>
      </c>
      <c r="B24">
        <v>750</v>
      </c>
      <c r="C24">
        <v>250</v>
      </c>
      <c r="D24">
        <v>0.324273566925672</v>
      </c>
      <c r="E24">
        <v>9.6895961919040694</v>
      </c>
      <c r="F24">
        <v>0.90279310463507101</v>
      </c>
      <c r="G24">
        <v>-182.53835213472482</v>
      </c>
      <c r="H24">
        <v>-130.53563080866078</v>
      </c>
      <c r="I24">
        <v>50.828698123743003</v>
      </c>
      <c r="J24">
        <v>24.248954061308702</v>
      </c>
      <c r="K24">
        <v>10.7329089490784</v>
      </c>
      <c r="L24">
        <v>1.0668443091827633E-3</v>
      </c>
      <c r="M24">
        <v>1.8498227676757645E-4</v>
      </c>
      <c r="N24" s="1">
        <v>7.4241650503232397E-6</v>
      </c>
      <c r="O24" s="1">
        <v>1.83324147898209E-6</v>
      </c>
      <c r="P24" s="1">
        <v>-6.2707487428130398E-6</v>
      </c>
    </row>
    <row r="25" spans="1:16" x14ac:dyDescent="0.2">
      <c r="A25">
        <v>24</v>
      </c>
      <c r="B25">
        <v>748</v>
      </c>
      <c r="C25">
        <v>250</v>
      </c>
      <c r="D25">
        <v>0.32281300494540499</v>
      </c>
      <c r="E25">
        <v>14.1292440123391</v>
      </c>
      <c r="F25">
        <v>1.09417220074657</v>
      </c>
      <c r="G25">
        <v>-256.17851138176047</v>
      </c>
      <c r="H25">
        <v>-192.92161135905101</v>
      </c>
      <c r="I25">
        <v>61.949509440103398</v>
      </c>
      <c r="J25">
        <v>30.453115822351801</v>
      </c>
      <c r="K25">
        <v>12.9131813097595</v>
      </c>
      <c r="L25">
        <v>9.4780972599179476E-4</v>
      </c>
      <c r="M25">
        <v>1.6331666284966192E-4</v>
      </c>
      <c r="N25" s="1">
        <v>8.0235373437651994E-6</v>
      </c>
      <c r="O25" s="1">
        <v>1.9437910963170502E-6</v>
      </c>
      <c r="P25" s="1">
        <v>-6.6915752494727502E-6</v>
      </c>
    </row>
    <row r="26" spans="1:16" x14ac:dyDescent="0.2">
      <c r="A26">
        <v>25</v>
      </c>
      <c r="B26">
        <v>746</v>
      </c>
      <c r="C26">
        <v>250</v>
      </c>
      <c r="D26">
        <v>0.32134671049404001</v>
      </c>
      <c r="E26">
        <v>18.831735497039201</v>
      </c>
      <c r="F26">
        <v>1.23735490748091</v>
      </c>
      <c r="G26">
        <v>-334.05122003126502</v>
      </c>
      <c r="H26">
        <v>-258.9424277484834</v>
      </c>
      <c r="I26">
        <v>73.700459783009805</v>
      </c>
      <c r="J26">
        <v>37.025903431763503</v>
      </c>
      <c r="K26">
        <v>15.219348453046599</v>
      </c>
      <c r="L26">
        <v>8.5869070113742455E-4</v>
      </c>
      <c r="M26">
        <v>1.4704055894864822E-4</v>
      </c>
      <c r="N26" s="1">
        <v>8.6590897080420096E-6</v>
      </c>
      <c r="O26" s="1">
        <v>2.05894335572607E-6</v>
      </c>
      <c r="P26" s="1">
        <v>-7.1335508293995404E-6</v>
      </c>
    </row>
    <row r="27" spans="1:16" x14ac:dyDescent="0.2">
      <c r="A27">
        <v>26</v>
      </c>
      <c r="B27">
        <v>744</v>
      </c>
      <c r="C27">
        <v>250</v>
      </c>
      <c r="D27">
        <v>0.31987464975667701</v>
      </c>
      <c r="E27">
        <v>24.0349533273966</v>
      </c>
      <c r="F27">
        <v>1.35289961851802</v>
      </c>
      <c r="G27">
        <v>-420.03536046966866</v>
      </c>
      <c r="H27">
        <v>-331.89593251101024</v>
      </c>
      <c r="I27">
        <v>86.656507229159899</v>
      </c>
      <c r="J27">
        <v>44.2888855512238</v>
      </c>
      <c r="K27">
        <v>17.7655112015809</v>
      </c>
      <c r="L27">
        <v>7.8659048827135107E-4</v>
      </c>
      <c r="M27">
        <v>1.3385323548564695E-4</v>
      </c>
      <c r="N27" s="1">
        <v>9.3525229253599702E-6</v>
      </c>
      <c r="O27" s="1">
        <v>2.1839006146586201E-6</v>
      </c>
      <c r="P27" s="1">
        <v>-7.6151744865496197E-6</v>
      </c>
    </row>
    <row r="28" spans="1:16" x14ac:dyDescent="0.2">
      <c r="A28">
        <v>27</v>
      </c>
      <c r="B28">
        <v>742</v>
      </c>
      <c r="C28">
        <v>250</v>
      </c>
      <c r="D28">
        <v>0.318396788651924</v>
      </c>
      <c r="E28">
        <v>84.011796065192897</v>
      </c>
      <c r="F28">
        <v>1.8029955072727299</v>
      </c>
      <c r="G28">
        <v>-1396.969700172993</v>
      </c>
      <c r="H28">
        <v>-1161.0501237583057</v>
      </c>
      <c r="I28">
        <v>232.40398216993199</v>
      </c>
      <c r="J28">
        <v>125.538060919217</v>
      </c>
      <c r="K28">
        <v>46.595676875685399</v>
      </c>
      <c r="L28">
        <v>5.0014601846860244E-4</v>
      </c>
      <c r="M28">
        <v>8.3999970034849409E-5</v>
      </c>
      <c r="N28" s="1">
        <v>1.5230715365224301E-5</v>
      </c>
      <c r="O28" s="1">
        <v>3.5660784192083602E-6</v>
      </c>
      <c r="P28" s="1">
        <v>-1.2513409670919801E-5</v>
      </c>
    </row>
    <row r="29" spans="1:16" x14ac:dyDescent="0.2">
      <c r="A29">
        <v>28</v>
      </c>
      <c r="B29">
        <v>740</v>
      </c>
      <c r="C29">
        <v>250</v>
      </c>
      <c r="D29">
        <v>0.31691309282929903</v>
      </c>
      <c r="E29">
        <v>99.8320902038204</v>
      </c>
      <c r="F29">
        <v>1.8438974358432501</v>
      </c>
      <c r="G29">
        <v>-1653.9239183376328</v>
      </c>
      <c r="H29">
        <v>-1379.8370205186743</v>
      </c>
      <c r="I29">
        <v>270.53523360723</v>
      </c>
      <c r="J29">
        <v>147.03080257931001</v>
      </c>
      <c r="K29">
        <v>54.141888948484201</v>
      </c>
      <c r="L29">
        <v>4.7516180943769698E-4</v>
      </c>
      <c r="M29">
        <v>7.9304323641364303E-5</v>
      </c>
      <c r="N29" s="1">
        <v>1.6970917667926299E-5</v>
      </c>
      <c r="O29" s="1">
        <v>3.9044619222249798E-6</v>
      </c>
      <c r="P29" s="1">
        <v>-1.37891541726165E-5</v>
      </c>
    </row>
    <row r="30" spans="1:16" x14ac:dyDescent="0.2">
      <c r="A30">
        <v>29</v>
      </c>
      <c r="B30">
        <v>762</v>
      </c>
      <c r="C30">
        <v>225</v>
      </c>
      <c r="D30">
        <v>0.35948461575617302</v>
      </c>
      <c r="E30">
        <v>4.6736212725422899</v>
      </c>
      <c r="F30">
        <v>0.49006487950535499</v>
      </c>
      <c r="G30">
        <v>-101.9263292301347</v>
      </c>
      <c r="H30">
        <v>-59.25204509466279</v>
      </c>
      <c r="I30">
        <v>41.227801447671602</v>
      </c>
      <c r="J30">
        <v>18.348420100157</v>
      </c>
      <c r="K30">
        <v>9.5367398644432306</v>
      </c>
      <c r="L30">
        <v>1.4003952185746168E-3</v>
      </c>
      <c r="M30">
        <v>2.7806099651990978E-4</v>
      </c>
      <c r="N30" s="1">
        <v>6.5981466091478898E-6</v>
      </c>
      <c r="O30" s="1">
        <v>2.8264646360049801E-6</v>
      </c>
      <c r="P30" s="1">
        <v>-8.2071578873165593E-6</v>
      </c>
    </row>
    <row r="31" spans="1:16" x14ac:dyDescent="0.2">
      <c r="A31">
        <v>30</v>
      </c>
      <c r="B31">
        <v>760</v>
      </c>
      <c r="C31">
        <v>225</v>
      </c>
      <c r="D31">
        <v>0.35810918066108399</v>
      </c>
      <c r="E31">
        <v>5.5685115666744798</v>
      </c>
      <c r="F31">
        <v>0.55811870571115096</v>
      </c>
      <c r="G31">
        <v>-116.7883071713489</v>
      </c>
      <c r="H31">
        <v>-71.778372124917027</v>
      </c>
      <c r="I31">
        <v>43.568360250344398</v>
      </c>
      <c r="J31">
        <v>19.660752893223702</v>
      </c>
      <c r="K31">
        <v>9.9772888987462203</v>
      </c>
      <c r="L31">
        <v>1.3591211437544697E-3</v>
      </c>
      <c r="M31">
        <v>2.6832452652028507E-4</v>
      </c>
      <c r="N31" s="1">
        <v>6.8729531340956204E-6</v>
      </c>
      <c r="O31" s="1">
        <v>2.8525673881728001E-6</v>
      </c>
      <c r="P31" s="1">
        <v>-8.3396928436323697E-6</v>
      </c>
    </row>
    <row r="32" spans="1:16" x14ac:dyDescent="0.2">
      <c r="A32">
        <v>31</v>
      </c>
      <c r="B32">
        <v>758</v>
      </c>
      <c r="C32">
        <v>225</v>
      </c>
      <c r="D32">
        <v>0.356728410027642</v>
      </c>
      <c r="E32">
        <v>6.5282734668802203</v>
      </c>
      <c r="F32">
        <v>0.62465795966569804</v>
      </c>
      <c r="G32">
        <v>-132.71908807019744</v>
      </c>
      <c r="H32">
        <v>-85.210629228467809</v>
      </c>
      <c r="I32">
        <v>46.075954014092503</v>
      </c>
      <c r="J32">
        <v>21.068592220432802</v>
      </c>
      <c r="K32">
        <v>10.4509569851219</v>
      </c>
      <c r="L32">
        <v>1.3185737547947505E-3</v>
      </c>
      <c r="M32">
        <v>2.5882301521294694E-4</v>
      </c>
      <c r="N32" s="1">
        <v>7.16021071091318E-6</v>
      </c>
      <c r="O32" s="1">
        <v>2.8811495084815402E-6</v>
      </c>
      <c r="P32" s="1">
        <v>-8.4810695118007503E-6</v>
      </c>
    </row>
    <row r="33" spans="1:16" x14ac:dyDescent="0.2">
      <c r="A33">
        <v>32</v>
      </c>
      <c r="B33">
        <v>756</v>
      </c>
      <c r="C33">
        <v>225</v>
      </c>
      <c r="D33">
        <v>0.35534227274935698</v>
      </c>
      <c r="E33">
        <v>8.2802802961272004</v>
      </c>
      <c r="F33">
        <v>0.73186019624446796</v>
      </c>
      <c r="G33">
        <v>-161.79888816304955</v>
      </c>
      <c r="H33">
        <v>-109.80597883157216</v>
      </c>
      <c r="I33">
        <v>50.5229980333703</v>
      </c>
      <c r="J33">
        <v>23.556659460511501</v>
      </c>
      <c r="K33">
        <v>11.314019178276601</v>
      </c>
      <c r="L33">
        <v>1.2501493311058019E-3</v>
      </c>
      <c r="M33">
        <v>2.4394796509392118E-4</v>
      </c>
      <c r="N33" s="1">
        <v>7.5229919562262601E-6</v>
      </c>
      <c r="O33" s="1">
        <v>2.9382555035935299E-6</v>
      </c>
      <c r="P33" s="1">
        <v>-8.70862965549991E-6</v>
      </c>
    </row>
    <row r="34" spans="1:16" x14ac:dyDescent="0.2">
      <c r="A34">
        <v>33</v>
      </c>
      <c r="B34">
        <v>754</v>
      </c>
      <c r="C34">
        <v>225</v>
      </c>
      <c r="D34">
        <v>0.35395073747748601</v>
      </c>
      <c r="E34">
        <v>12.6063152454249</v>
      </c>
      <c r="F34">
        <v>0.93778698877740096</v>
      </c>
      <c r="G34">
        <v>-233.58382976009105</v>
      </c>
      <c r="H34">
        <v>-170.64824489325127</v>
      </c>
      <c r="I34">
        <v>61.274967908515499</v>
      </c>
      <c r="J34">
        <v>29.552164793747899</v>
      </c>
      <c r="K34">
        <v>13.442621188272099</v>
      </c>
      <c r="L34">
        <v>1.1140780856026518E-3</v>
      </c>
      <c r="M34">
        <v>2.1602958481744771E-4</v>
      </c>
      <c r="N34" s="1">
        <v>8.1258079698191603E-6</v>
      </c>
      <c r="O34" s="1">
        <v>3.0884239723529799E-6</v>
      </c>
      <c r="P34" s="1">
        <v>-9.2166899073840203E-6</v>
      </c>
    </row>
    <row r="35" spans="1:16" x14ac:dyDescent="0.2">
      <c r="A35">
        <v>34</v>
      </c>
      <c r="B35">
        <v>752</v>
      </c>
      <c r="C35">
        <v>225</v>
      </c>
      <c r="D35">
        <v>0.35255377261864101</v>
      </c>
      <c r="E35">
        <v>17.101656438104001</v>
      </c>
      <c r="F35">
        <v>1.0926442745190601</v>
      </c>
      <c r="G35">
        <v>-308.06974791721302</v>
      </c>
      <c r="H35">
        <v>-233.82731716297434</v>
      </c>
      <c r="I35">
        <v>72.424132168672998</v>
      </c>
      <c r="J35">
        <v>35.785020306642302</v>
      </c>
      <c r="K35">
        <v>15.6516231649421</v>
      </c>
      <c r="L35">
        <v>1.0117556093743154E-3</v>
      </c>
      <c r="M35">
        <v>1.9496005389908375E-4</v>
      </c>
      <c r="N35" s="1">
        <v>8.7611847713305004E-6</v>
      </c>
      <c r="O35" s="1">
        <v>3.2420188203357801E-6</v>
      </c>
      <c r="P35" s="1">
        <v>-9.7417483187066105E-6</v>
      </c>
    </row>
    <row r="36" spans="1:16" x14ac:dyDescent="0.2">
      <c r="A36">
        <v>35</v>
      </c>
      <c r="B36">
        <v>750</v>
      </c>
      <c r="C36">
        <v>225</v>
      </c>
      <c r="D36">
        <v>0.35115134633240402</v>
      </c>
      <c r="E36">
        <v>21.893189928755501</v>
      </c>
      <c r="F36">
        <v>1.21616333446139</v>
      </c>
      <c r="G36">
        <v>-387.32365347689807</v>
      </c>
      <c r="H36">
        <v>-301.10236858581248</v>
      </c>
      <c r="I36">
        <v>84.273696526456405</v>
      </c>
      <c r="J36">
        <v>42.424866001488603</v>
      </c>
      <c r="K36">
        <v>18.001850005165199</v>
      </c>
      <c r="L36">
        <v>9.3004884186586602E-4</v>
      </c>
      <c r="M36">
        <v>1.7809298318878134E-4</v>
      </c>
      <c r="N36" s="1">
        <v>9.4399631737029708E-6</v>
      </c>
      <c r="O36" s="1">
        <v>3.4028396390942699E-6</v>
      </c>
      <c r="P36" s="1">
        <v>-1.0295594152423999E-5</v>
      </c>
    </row>
    <row r="37" spans="1:16" x14ac:dyDescent="0.2">
      <c r="A37">
        <v>36</v>
      </c>
      <c r="B37">
        <v>748</v>
      </c>
      <c r="C37">
        <v>225</v>
      </c>
      <c r="D37">
        <v>0.34974342652891699</v>
      </c>
      <c r="E37">
        <v>27.285056458391399</v>
      </c>
      <c r="F37">
        <v>1.3219654566182799</v>
      </c>
      <c r="G37">
        <v>-476.3048688333559</v>
      </c>
      <c r="H37">
        <v>-376.6911622350234</v>
      </c>
      <c r="I37">
        <v>97.553985809497206</v>
      </c>
      <c r="J37">
        <v>49.8792980519111</v>
      </c>
      <c r="K37">
        <v>20.639765072371201</v>
      </c>
      <c r="L37">
        <v>8.5980036286043796E-4</v>
      </c>
      <c r="M37">
        <v>1.6360104631344202E-4</v>
      </c>
      <c r="N37" s="1">
        <v>1.01889950441328E-5</v>
      </c>
      <c r="O37" s="1">
        <v>3.58024988695887E-6</v>
      </c>
      <c r="P37" s="1">
        <v>-1.09072850128864E-5</v>
      </c>
    </row>
    <row r="38" spans="1:16" x14ac:dyDescent="0.2">
      <c r="A38">
        <v>37</v>
      </c>
      <c r="B38">
        <v>746</v>
      </c>
      <c r="C38">
        <v>225</v>
      </c>
      <c r="D38">
        <v>0.34832998086640898</v>
      </c>
      <c r="E38">
        <v>87.777026540214806</v>
      </c>
      <c r="F38">
        <v>1.7627231564915899</v>
      </c>
      <c r="G38">
        <v>-1461.0127003868322</v>
      </c>
      <c r="H38">
        <v>-1212.9790188564016</v>
      </c>
      <c r="I38">
        <v>243.37849288207499</v>
      </c>
      <c r="J38">
        <v>131.154497955111</v>
      </c>
      <c r="K38">
        <v>49.796263364985897</v>
      </c>
      <c r="L38">
        <v>5.6005733249270967E-4</v>
      </c>
      <c r="M38">
        <v>1.0524863460509714E-4</v>
      </c>
      <c r="N38" s="1">
        <v>1.58649764145202E-5</v>
      </c>
      <c r="O38" s="1">
        <v>5.5251218827892596E-6</v>
      </c>
      <c r="P38" s="1">
        <v>-1.6947711101547599E-5</v>
      </c>
    </row>
    <row r="39" spans="1:16" x14ac:dyDescent="0.2">
      <c r="A39">
        <v>38</v>
      </c>
      <c r="B39">
        <v>744</v>
      </c>
      <c r="C39">
        <v>225</v>
      </c>
      <c r="D39">
        <v>0.34691097674876298</v>
      </c>
      <c r="E39">
        <v>100.22248288341299</v>
      </c>
      <c r="F39">
        <v>1.7983818738635999</v>
      </c>
      <c r="G39">
        <v>-1662.9843658422963</v>
      </c>
      <c r="H39">
        <v>-1385.2478056769648</v>
      </c>
      <c r="I39">
        <v>273.059500381926</v>
      </c>
      <c r="J39">
        <v>147.937054151068</v>
      </c>
      <c r="K39">
        <v>55.729255471251598</v>
      </c>
      <c r="L39">
        <v>5.3708989592543002E-4</v>
      </c>
      <c r="M39">
        <v>1.0030656127826723E-4</v>
      </c>
      <c r="N39" s="1">
        <v>1.7338157871599801E-5</v>
      </c>
      <c r="O39" s="1">
        <v>5.8868628226374003E-6</v>
      </c>
      <c r="P39" s="1">
        <v>-1.81826458468826E-5</v>
      </c>
    </row>
    <row r="40" spans="1:16" x14ac:dyDescent="0.2">
      <c r="A40">
        <v>39</v>
      </c>
      <c r="B40">
        <v>772</v>
      </c>
      <c r="C40">
        <v>200</v>
      </c>
      <c r="D40">
        <v>0.39259484284552498</v>
      </c>
      <c r="E40">
        <v>5.0957245232100998</v>
      </c>
      <c r="F40">
        <v>0.446840204205251</v>
      </c>
      <c r="G40">
        <v>-111.8562287554773</v>
      </c>
      <c r="H40">
        <v>-64.263674101239857</v>
      </c>
      <c r="I40">
        <v>45.539368263620403</v>
      </c>
      <c r="J40">
        <v>20.031057628073</v>
      </c>
      <c r="K40">
        <v>11.403907874121</v>
      </c>
      <c r="L40">
        <v>1.5073421466128539E-3</v>
      </c>
      <c r="M40">
        <v>3.4805098602411916E-4</v>
      </c>
      <c r="N40" s="1">
        <v>4.5388358682063996E-6</v>
      </c>
      <c r="O40" s="1">
        <v>4.8832583881724497E-6</v>
      </c>
      <c r="P40" s="1">
        <v>-1.17202003830192E-5</v>
      </c>
    </row>
    <row r="41" spans="1:16" x14ac:dyDescent="0.2">
      <c r="A41">
        <v>40</v>
      </c>
      <c r="B41">
        <v>770</v>
      </c>
      <c r="C41">
        <v>200</v>
      </c>
      <c r="D41">
        <v>0.39129607439006903</v>
      </c>
      <c r="E41">
        <v>5.4498093895715396</v>
      </c>
      <c r="F41">
        <v>0.47159864678348501</v>
      </c>
      <c r="G41">
        <v>-117.68050985319459</v>
      </c>
      <c r="H41">
        <v>-69.246779945149171</v>
      </c>
      <c r="I41">
        <v>46.433074112630898</v>
      </c>
      <c r="J41">
        <v>20.563994612430101</v>
      </c>
      <c r="K41">
        <v>11.5560327128622</v>
      </c>
      <c r="L41">
        <v>1.4948144212468173E-3</v>
      </c>
      <c r="M41">
        <v>3.432461456334284E-4</v>
      </c>
      <c r="N41" s="1">
        <v>4.8026221527991996E-6</v>
      </c>
      <c r="O41" s="1">
        <v>4.8824004826598098E-6</v>
      </c>
      <c r="P41" s="1">
        <v>-1.1803351308974301E-5</v>
      </c>
    </row>
    <row r="42" spans="1:16" x14ac:dyDescent="0.2">
      <c r="A42">
        <v>41</v>
      </c>
      <c r="B42">
        <v>768</v>
      </c>
      <c r="C42">
        <v>200</v>
      </c>
      <c r="D42">
        <v>0.38999231618883101</v>
      </c>
      <c r="E42">
        <v>6.3633956214043899</v>
      </c>
      <c r="F42">
        <v>0.53020929712618303</v>
      </c>
      <c r="G42">
        <v>-132.84026984778652</v>
      </c>
      <c r="H42">
        <v>-82.041482954422136</v>
      </c>
      <c r="I42">
        <v>48.793888886680001</v>
      </c>
      <c r="J42">
        <v>21.893086000849799</v>
      </c>
      <c r="K42">
        <v>12.001667371536</v>
      </c>
      <c r="L42">
        <v>1.4585513104284828E-3</v>
      </c>
      <c r="M42">
        <v>3.3297111991188082E-4</v>
      </c>
      <c r="N42" s="1">
        <v>5.1078406943527698E-6</v>
      </c>
      <c r="O42" s="1">
        <v>4.9206982002981001E-6</v>
      </c>
      <c r="P42" s="1">
        <v>-1.1982689681034399E-5</v>
      </c>
    </row>
    <row r="43" spans="1:16" x14ac:dyDescent="0.2">
      <c r="A43">
        <v>42</v>
      </c>
      <c r="B43">
        <v>766</v>
      </c>
      <c r="C43">
        <v>200</v>
      </c>
      <c r="D43">
        <v>0.38868353943126899</v>
      </c>
      <c r="E43">
        <v>7.2818778282445598</v>
      </c>
      <c r="F43">
        <v>0.58492990162952996</v>
      </c>
      <c r="G43">
        <v>-148.06808903658205</v>
      </c>
      <c r="H43">
        <v>-94.905161327844056</v>
      </c>
      <c r="I43">
        <v>51.162909682170699</v>
      </c>
      <c r="J43">
        <v>23.231019432848299</v>
      </c>
      <c r="K43">
        <v>12.449146142056099</v>
      </c>
      <c r="L43">
        <v>1.4247156681566006E-3</v>
      </c>
      <c r="M43">
        <v>3.2335139313944243E-4</v>
      </c>
      <c r="N43" s="1">
        <v>5.4221928899739001E-6</v>
      </c>
      <c r="O43" s="1">
        <v>4.9584420622180002E-6</v>
      </c>
      <c r="P43" s="1">
        <v>-1.21629295601513E-5</v>
      </c>
    </row>
    <row r="44" spans="1:16" x14ac:dyDescent="0.2">
      <c r="A44">
        <v>43</v>
      </c>
      <c r="B44">
        <v>764</v>
      </c>
      <c r="C44">
        <v>200</v>
      </c>
      <c r="D44">
        <v>0.38736971508460899</v>
      </c>
      <c r="E44">
        <v>8.2035840455056306</v>
      </c>
      <c r="F44">
        <v>0.63605764388048502</v>
      </c>
      <c r="G44">
        <v>-163.3358527977189</v>
      </c>
      <c r="H44">
        <v>-107.81453073730763</v>
      </c>
      <c r="I44">
        <v>53.535526617885502</v>
      </c>
      <c r="J44">
        <v>24.575462041981101</v>
      </c>
      <c r="K44">
        <v>12.897548082995799</v>
      </c>
      <c r="L44">
        <v>1.3931284136710024E-3</v>
      </c>
      <c r="M44">
        <v>3.143364996452397E-4</v>
      </c>
      <c r="N44" s="1">
        <v>5.7455895802255704E-6</v>
      </c>
      <c r="O44" s="1">
        <v>4.9954873277100797E-6</v>
      </c>
      <c r="P44" s="1">
        <v>-1.2343710995327101E-5</v>
      </c>
    </row>
    <row r="45" spans="1:16" x14ac:dyDescent="0.2">
      <c r="A45">
        <v>44</v>
      </c>
      <c r="B45">
        <v>762</v>
      </c>
      <c r="C45">
        <v>200</v>
      </c>
      <c r="D45">
        <v>0.38605081389170998</v>
      </c>
      <c r="E45">
        <v>9.1268229417003308</v>
      </c>
      <c r="F45">
        <v>0.68386475435282801</v>
      </c>
      <c r="G45">
        <v>-178.61519279277789</v>
      </c>
      <c r="H45">
        <v>-120.74604183874075</v>
      </c>
      <c r="I45">
        <v>55.907105101432002</v>
      </c>
      <c r="J45">
        <v>25.9240590417396</v>
      </c>
      <c r="K45">
        <v>13.34594725581</v>
      </c>
      <c r="L45">
        <v>1.3636250171200996E-3</v>
      </c>
      <c r="M45">
        <v>3.058802207790338E-4</v>
      </c>
      <c r="N45" s="1">
        <v>6.0779040556599198E-6</v>
      </c>
      <c r="O45" s="1">
        <v>5.0316920201166897E-6</v>
      </c>
      <c r="P45" s="1">
        <v>-1.25246698933027E-5</v>
      </c>
    </row>
    <row r="46" spans="1:16" x14ac:dyDescent="0.2">
      <c r="A46">
        <v>45</v>
      </c>
      <c r="B46">
        <v>760</v>
      </c>
      <c r="C46">
        <v>200</v>
      </c>
      <c r="D46">
        <v>0.38472680636887402</v>
      </c>
      <c r="E46">
        <v>12.2754396769751</v>
      </c>
      <c r="F46">
        <v>0.82396644552464404</v>
      </c>
      <c r="G46">
        <v>-230.8392683642505</v>
      </c>
      <c r="H46">
        <v>-165.03208845561457</v>
      </c>
      <c r="I46">
        <v>63.698768101430602</v>
      </c>
      <c r="J46">
        <v>30.2802014737047</v>
      </c>
      <c r="K46">
        <v>14.897984916314201</v>
      </c>
      <c r="L46">
        <v>1.2670045311387213E-3</v>
      </c>
      <c r="M46">
        <v>2.8245290871121726E-4</v>
      </c>
      <c r="N46" s="1">
        <v>6.5589431938704402E-6</v>
      </c>
      <c r="O46" s="1">
        <v>5.1867562090922299E-6</v>
      </c>
      <c r="P46" s="1">
        <v>-1.30058867572867E-5</v>
      </c>
    </row>
    <row r="47" spans="1:16" x14ac:dyDescent="0.2">
      <c r="A47">
        <v>46</v>
      </c>
      <c r="B47">
        <v>758</v>
      </c>
      <c r="C47">
        <v>200</v>
      </c>
      <c r="D47">
        <v>0.383397662803666</v>
      </c>
      <c r="E47">
        <v>16.649457437884301</v>
      </c>
      <c r="F47">
        <v>0.97621612270393598</v>
      </c>
      <c r="G47">
        <v>-303.3260471255245</v>
      </c>
      <c r="H47">
        <v>-226.54908310043976</v>
      </c>
      <c r="I47">
        <v>74.460864269189003</v>
      </c>
      <c r="J47">
        <v>36.296110378640499</v>
      </c>
      <c r="K47">
        <v>17.055093693564899</v>
      </c>
      <c r="L47">
        <v>1.1606904037804991E-3</v>
      </c>
      <c r="M47">
        <v>2.5711671315180741E-4</v>
      </c>
      <c r="N47" s="1">
        <v>7.1394626042972098E-6</v>
      </c>
      <c r="O47" s="1">
        <v>5.4044961516758203E-6</v>
      </c>
      <c r="P47" s="1">
        <v>-1.3652099925530601E-5</v>
      </c>
    </row>
    <row r="48" spans="1:16" x14ac:dyDescent="0.2">
      <c r="A48">
        <v>47</v>
      </c>
      <c r="B48">
        <v>756</v>
      </c>
      <c r="C48">
        <v>200</v>
      </c>
      <c r="D48">
        <v>0.38206335325268598</v>
      </c>
      <c r="E48">
        <v>21.233875384088901</v>
      </c>
      <c r="F48">
        <v>1.0995280280422</v>
      </c>
      <c r="G48">
        <v>-379.17686671259861</v>
      </c>
      <c r="H48">
        <v>-290.97110771157952</v>
      </c>
      <c r="I48">
        <v>85.710805106004102</v>
      </c>
      <c r="J48">
        <v>42.5992359449749</v>
      </c>
      <c r="K48">
        <v>19.311809105855598</v>
      </c>
      <c r="L48">
        <v>1.0745527192647971E-3</v>
      </c>
      <c r="M48">
        <v>2.3652993532152482E-4</v>
      </c>
      <c r="N48" s="1">
        <v>7.7588074937665607E-6</v>
      </c>
      <c r="O48" s="1">
        <v>5.6289206044922602E-6</v>
      </c>
      <c r="P48" s="1">
        <v>-1.43244629366584E-5</v>
      </c>
    </row>
    <row r="49" spans="1:16" x14ac:dyDescent="0.2">
      <c r="A49">
        <v>48</v>
      </c>
      <c r="B49">
        <v>754</v>
      </c>
      <c r="C49">
        <v>200</v>
      </c>
      <c r="D49">
        <v>0.38072384753930699</v>
      </c>
      <c r="E49">
        <v>26.215774670624398</v>
      </c>
      <c r="F49">
        <v>1.2048472012490801</v>
      </c>
      <c r="G49">
        <v>-461.44100391027041</v>
      </c>
      <c r="H49">
        <v>-360.8929302188422</v>
      </c>
      <c r="I49">
        <v>97.893940649383595</v>
      </c>
      <c r="J49">
        <v>49.437858562784598</v>
      </c>
      <c r="K49">
        <v>21.758588677009101</v>
      </c>
      <c r="L49">
        <v>1.0008038926923703E-3</v>
      </c>
      <c r="M49">
        <v>2.1889597608765768E-4</v>
      </c>
      <c r="N49" s="1">
        <v>8.4299847375526396E-6</v>
      </c>
      <c r="O49" s="1">
        <v>5.8683734563912503E-6</v>
      </c>
      <c r="P49" s="1">
        <v>-1.50448734926532E-5</v>
      </c>
    </row>
    <row r="50" spans="1:16" x14ac:dyDescent="0.2">
      <c r="A50">
        <v>49</v>
      </c>
      <c r="B50">
        <v>752</v>
      </c>
      <c r="C50">
        <v>200</v>
      </c>
      <c r="D50">
        <v>0.37937911525142798</v>
      </c>
      <c r="E50">
        <v>35.498719794776903</v>
      </c>
      <c r="F50">
        <v>1.3502386168128</v>
      </c>
      <c r="G50">
        <v>-613.86691813159518</v>
      </c>
      <c r="H50">
        <v>-490.51805741064669</v>
      </c>
      <c r="I50">
        <v>120.32663067906201</v>
      </c>
      <c r="J50">
        <v>61.995086375508897</v>
      </c>
      <c r="K50">
        <v>26.2907010307337</v>
      </c>
      <c r="L50">
        <v>8.9641051458021182E-4</v>
      </c>
      <c r="M50">
        <v>1.9470153227495917E-4</v>
      </c>
      <c r="N50" s="1">
        <v>9.4121800479705892E-6</v>
      </c>
      <c r="O50" s="1">
        <v>6.3035359572090602E-6</v>
      </c>
      <c r="P50" s="1">
        <v>-1.6280921854670399E-5</v>
      </c>
    </row>
    <row r="51" spans="1:16" x14ac:dyDescent="0.2">
      <c r="A51">
        <v>50</v>
      </c>
      <c r="B51">
        <v>750</v>
      </c>
      <c r="C51">
        <v>200</v>
      </c>
      <c r="D51">
        <v>0.37802912573913899</v>
      </c>
      <c r="E51">
        <v>94.070438902554898</v>
      </c>
      <c r="F51">
        <v>1.7215233969750801</v>
      </c>
      <c r="G51">
        <v>-1566.2018529430602</v>
      </c>
      <c r="H51">
        <v>-1299.8361856483809</v>
      </c>
      <c r="I51">
        <v>260.34444232097098</v>
      </c>
      <c r="J51">
        <v>140.01310309473601</v>
      </c>
      <c r="K51">
        <v>54.643717923234298</v>
      </c>
      <c r="L51">
        <v>6.2758600113921054E-4</v>
      </c>
      <c r="M51">
        <v>1.3477824626498795E-4</v>
      </c>
      <c r="N51" s="1">
        <v>1.38454204128095E-5</v>
      </c>
      <c r="O51" s="1">
        <v>9.0393187257849997E-6</v>
      </c>
      <c r="P51" s="1">
        <v>-2.35204923612342E-5</v>
      </c>
    </row>
    <row r="52" spans="1:16" x14ac:dyDescent="0.2">
      <c r="A52">
        <v>51</v>
      </c>
      <c r="B52">
        <v>748</v>
      </c>
      <c r="C52">
        <v>200</v>
      </c>
      <c r="D52">
        <v>0.37667384811242399</v>
      </c>
      <c r="E52">
        <v>101.328492897559</v>
      </c>
      <c r="F52">
        <v>1.7444801927832501</v>
      </c>
      <c r="G52">
        <v>-1683.7224709658612</v>
      </c>
      <c r="H52">
        <v>-1400.4763710799848</v>
      </c>
      <c r="I52">
        <v>277.38536521381701</v>
      </c>
      <c r="J52">
        <v>149.75829184608</v>
      </c>
      <c r="K52">
        <v>58.085206880964002</v>
      </c>
      <c r="L52">
        <v>6.1265364040286692E-4</v>
      </c>
      <c r="M52">
        <v>1.3077599306236302E-4</v>
      </c>
      <c r="N52" s="1">
        <v>1.48631062046648E-5</v>
      </c>
      <c r="O52" s="1">
        <v>9.32293677694523E-6</v>
      </c>
      <c r="P52" s="1">
        <v>-2.4440352671198299E-5</v>
      </c>
    </row>
    <row r="53" spans="1:16" x14ac:dyDescent="0.2">
      <c r="A53">
        <v>52</v>
      </c>
      <c r="B53">
        <v>782</v>
      </c>
      <c r="C53">
        <v>175</v>
      </c>
      <c r="D53">
        <v>0.42507747713595301</v>
      </c>
      <c r="E53">
        <v>5.5286510965883702</v>
      </c>
      <c r="F53">
        <v>0.39868395404437801</v>
      </c>
      <c r="G53">
        <v>-122.18395122362148</v>
      </c>
      <c r="H53">
        <v>-69.297628244291417</v>
      </c>
      <c r="I53">
        <v>50.125088198820599</v>
      </c>
      <c r="J53">
        <v>21.615239570609699</v>
      </c>
      <c r="K53">
        <v>13.867252595706301</v>
      </c>
      <c r="L53">
        <v>1.6094568511722067E-3</v>
      </c>
      <c r="M53">
        <v>4.4466643715777659E-4</v>
      </c>
      <c r="N53" s="1">
        <v>-1.17369433174356E-6</v>
      </c>
      <c r="O53" s="1">
        <v>8.7514621041434092E-6</v>
      </c>
      <c r="P53" s="1">
        <v>-1.6616680172912599E-5</v>
      </c>
    </row>
    <row r="54" spans="1:16" x14ac:dyDescent="0.2">
      <c r="A54">
        <v>53</v>
      </c>
      <c r="B54">
        <v>780</v>
      </c>
      <c r="C54">
        <v>175</v>
      </c>
      <c r="D54">
        <v>0.42385272753169101</v>
      </c>
      <c r="E54">
        <v>5.8330203063077803</v>
      </c>
      <c r="F54">
        <v>0.417119531592545</v>
      </c>
      <c r="G54">
        <v>-127.16684002672743</v>
      </c>
      <c r="H54">
        <v>-73.591218941188828</v>
      </c>
      <c r="I54">
        <v>50.874800982648203</v>
      </c>
      <c r="J54">
        <v>22.079048741434001</v>
      </c>
      <c r="K54">
        <v>13.9840498095055</v>
      </c>
      <c r="L54">
        <v>1.6023240796364194E-3</v>
      </c>
      <c r="M54">
        <v>4.4021310717159344E-4</v>
      </c>
      <c r="N54" s="1">
        <v>-9.0422096305367E-7</v>
      </c>
      <c r="O54" s="1">
        <v>8.7464071585933099E-6</v>
      </c>
      <c r="P54" s="1">
        <v>-1.6732392371221998E-5</v>
      </c>
    </row>
    <row r="55" spans="1:16" x14ac:dyDescent="0.2">
      <c r="A55">
        <v>54</v>
      </c>
      <c r="B55">
        <v>778</v>
      </c>
      <c r="C55">
        <v>175</v>
      </c>
      <c r="D55">
        <v>0.422623317319128</v>
      </c>
      <c r="E55">
        <v>6.7050677038915802</v>
      </c>
      <c r="F55">
        <v>0.46554244304876202</v>
      </c>
      <c r="G55">
        <v>-141.6252028618637</v>
      </c>
      <c r="H55">
        <v>-85.811652740534754</v>
      </c>
      <c r="I55">
        <v>53.100660855345801</v>
      </c>
      <c r="J55">
        <v>23.339065443897301</v>
      </c>
      <c r="K55">
        <v>14.402699053562401</v>
      </c>
      <c r="L55">
        <v>1.5731661393080271E-3</v>
      </c>
      <c r="M55">
        <v>4.29676289807331E-4</v>
      </c>
      <c r="N55" s="1">
        <v>-6.3476960867490401E-7</v>
      </c>
      <c r="O55" s="1">
        <v>8.8017585793307705E-6</v>
      </c>
      <c r="P55" s="1">
        <v>-1.6965945496151402E-5</v>
      </c>
    </row>
    <row r="56" spans="1:16" x14ac:dyDescent="0.2">
      <c r="A56">
        <v>55</v>
      </c>
      <c r="B56">
        <v>776</v>
      </c>
      <c r="C56">
        <v>175</v>
      </c>
      <c r="D56">
        <v>0.42138921984463801</v>
      </c>
      <c r="E56">
        <v>7.5810957757897501</v>
      </c>
      <c r="F56">
        <v>0.51145167109963097</v>
      </c>
      <c r="G56">
        <v>-156.13740860068552</v>
      </c>
      <c r="H56">
        <v>-98.088388735383035</v>
      </c>
      <c r="I56">
        <v>55.332663133233702</v>
      </c>
      <c r="J56">
        <v>24.606387556772901</v>
      </c>
      <c r="K56">
        <v>14.8227021323251</v>
      </c>
      <c r="L56">
        <v>1.5455588220671037E-3</v>
      </c>
      <c r="M56">
        <v>4.196611518901896E-4</v>
      </c>
      <c r="N56" s="1">
        <v>-3.53577436717383E-7</v>
      </c>
      <c r="O56" s="1">
        <v>8.8564337124649507E-6</v>
      </c>
      <c r="P56" s="1">
        <v>-1.7201395469512101E-5</v>
      </c>
    </row>
    <row r="57" spans="1:16" x14ac:dyDescent="0.2">
      <c r="A57">
        <v>56</v>
      </c>
      <c r="B57">
        <v>774</v>
      </c>
      <c r="C57">
        <v>175</v>
      </c>
      <c r="D57">
        <v>0.420150408250972</v>
      </c>
      <c r="E57">
        <v>8.4596608510431306</v>
      </c>
      <c r="F57">
        <v>0.55497741878481799</v>
      </c>
      <c r="G57">
        <v>-170.67919509618218</v>
      </c>
      <c r="H57">
        <v>-110.40132434127962</v>
      </c>
      <c r="I57">
        <v>57.566870680717301</v>
      </c>
      <c r="J57">
        <v>25.879018580179501</v>
      </c>
      <c r="K57">
        <v>15.243252364332999</v>
      </c>
      <c r="L57">
        <v>1.5194292372373924E-3</v>
      </c>
      <c r="M57">
        <v>4.1014040402821683E-4</v>
      </c>
      <c r="N57" s="1">
        <v>-6.0395495517183906E-8</v>
      </c>
      <c r="O57" s="1">
        <v>8.9102406421645299E-6</v>
      </c>
      <c r="P57" s="1">
        <v>-1.7438384335825401E-5</v>
      </c>
    </row>
    <row r="58" spans="1:16" x14ac:dyDescent="0.2">
      <c r="A58">
        <v>57</v>
      </c>
      <c r="B58">
        <v>772</v>
      </c>
      <c r="C58">
        <v>175</v>
      </c>
      <c r="D58">
        <v>0.418906855475288</v>
      </c>
      <c r="E58">
        <v>9.3393062043895494</v>
      </c>
      <c r="F58">
        <v>0.59624489296474803</v>
      </c>
      <c r="G58">
        <v>-185.22613988402802</v>
      </c>
      <c r="H58">
        <v>-122.73017874182362</v>
      </c>
      <c r="I58">
        <v>59.799333366475999</v>
      </c>
      <c r="J58">
        <v>27.154946701786098</v>
      </c>
      <c r="K58">
        <v>15.6635407943724</v>
      </c>
      <c r="L58">
        <v>1.4947066070265772E-3</v>
      </c>
      <c r="M58">
        <v>4.010877952250186E-4</v>
      </c>
      <c r="N58" s="1">
        <v>2.4499854780968298E-7</v>
      </c>
      <c r="O58" s="1">
        <v>8.9629901961651596E-6</v>
      </c>
      <c r="P58" s="1">
        <v>-1.7676547642327E-5</v>
      </c>
    </row>
    <row r="59" spans="1:16" x14ac:dyDescent="0.2">
      <c r="A59">
        <v>58</v>
      </c>
      <c r="B59">
        <v>770</v>
      </c>
      <c r="C59">
        <v>175</v>
      </c>
      <c r="D59">
        <v>0.41765853424723398</v>
      </c>
      <c r="E59">
        <v>10.2185869029703</v>
      </c>
      <c r="F59">
        <v>0.63537481634918003</v>
      </c>
      <c r="G59">
        <v>-199.75407508728884</v>
      </c>
      <c r="H59">
        <v>-135.05483861146553</v>
      </c>
      <c r="I59">
        <v>62.026154260075202</v>
      </c>
      <c r="J59">
        <v>28.432180502664998</v>
      </c>
      <c r="K59">
        <v>16.082769791987602</v>
      </c>
      <c r="L59">
        <v>1.4713219454234017E-3</v>
      </c>
      <c r="M59">
        <v>3.9247800845066641E-4</v>
      </c>
      <c r="N59" s="1">
        <v>5.6279840473017805E-7</v>
      </c>
      <c r="O59" s="1">
        <v>9.0144988261883298E-6</v>
      </c>
      <c r="P59" s="1">
        <v>-1.7915519987671001E-5</v>
      </c>
    </row>
    <row r="60" spans="1:16" x14ac:dyDescent="0.2">
      <c r="A60">
        <v>59</v>
      </c>
      <c r="B60">
        <v>768</v>
      </c>
      <c r="C60">
        <v>175</v>
      </c>
      <c r="D60">
        <v>0.416405417086878</v>
      </c>
      <c r="E60">
        <v>11.0960930665915</v>
      </c>
      <c r="F60">
        <v>0.67248373723693999</v>
      </c>
      <c r="G60">
        <v>-214.23947433157019</v>
      </c>
      <c r="H60">
        <v>-147.35568163710397</v>
      </c>
      <c r="I60">
        <v>64.243551031882305</v>
      </c>
      <c r="J60">
        <v>29.708782460340501</v>
      </c>
      <c r="K60">
        <v>16.5001656578082</v>
      </c>
      <c r="L60">
        <v>1.4492078815430806E-3</v>
      </c>
      <c r="M60">
        <v>3.8428659820281325E-4</v>
      </c>
      <c r="N60" s="1">
        <v>8.9316764167521498E-7</v>
      </c>
      <c r="O60" s="1">
        <v>9.0645911940941795E-6</v>
      </c>
      <c r="P60" s="1">
        <v>-1.8154940247534199E-5</v>
      </c>
    </row>
    <row r="61" spans="1:16" x14ac:dyDescent="0.2">
      <c r="A61">
        <v>60</v>
      </c>
      <c r="B61">
        <v>766</v>
      </c>
      <c r="C61">
        <v>175</v>
      </c>
      <c r="D61">
        <v>0.41514747630275201</v>
      </c>
      <c r="E61">
        <v>13.7917241248593</v>
      </c>
      <c r="F61">
        <v>0.77350593340322205</v>
      </c>
      <c r="G61">
        <v>-258.90685767517448</v>
      </c>
      <c r="H61">
        <v>-185.27517512699066</v>
      </c>
      <c r="I61">
        <v>70.860947154447103</v>
      </c>
      <c r="J61">
        <v>33.420939621991103</v>
      </c>
      <c r="K61">
        <v>17.830146517660602</v>
      </c>
      <c r="L61">
        <v>1.3778232773819313E-3</v>
      </c>
      <c r="M61">
        <v>3.631042741261056E-4</v>
      </c>
      <c r="N61" s="1">
        <v>1.2487662127744399E-6</v>
      </c>
      <c r="O61" s="1">
        <v>9.2632465519868693E-6</v>
      </c>
      <c r="P61" s="1">
        <v>-1.8697481312739699E-5</v>
      </c>
    </row>
    <row r="62" spans="1:16" x14ac:dyDescent="0.2">
      <c r="A62">
        <v>61</v>
      </c>
      <c r="B62">
        <v>764</v>
      </c>
      <c r="C62">
        <v>175</v>
      </c>
      <c r="D62">
        <v>0.41388468398978101</v>
      </c>
      <c r="E62">
        <v>18.094419465977602</v>
      </c>
      <c r="F62">
        <v>0.90635696886414396</v>
      </c>
      <c r="G62">
        <v>-330.18119366794667</v>
      </c>
      <c r="H62">
        <v>-245.80796234690155</v>
      </c>
      <c r="I62">
        <v>81.354520963987099</v>
      </c>
      <c r="J62">
        <v>39.287616214738797</v>
      </c>
      <c r="K62">
        <v>19.963899531388499</v>
      </c>
      <c r="L62">
        <v>1.2811706167143288E-3</v>
      </c>
      <c r="M62">
        <v>3.3548643087120478E-4</v>
      </c>
      <c r="N62" s="1">
        <v>1.6430887637768601E-6</v>
      </c>
      <c r="O62" s="1">
        <v>9.5899549686981599E-6</v>
      </c>
      <c r="P62" s="1">
        <v>-1.95085156086557E-5</v>
      </c>
    </row>
    <row r="63" spans="1:16" x14ac:dyDescent="0.2">
      <c r="A63">
        <v>62</v>
      </c>
      <c r="B63">
        <v>762</v>
      </c>
      <c r="C63">
        <v>175</v>
      </c>
      <c r="D63">
        <v>0.41261701202724399</v>
      </c>
      <c r="E63">
        <v>22.5845814747234</v>
      </c>
      <c r="F63">
        <v>1.01796275894197</v>
      </c>
      <c r="G63">
        <v>-404.4418760560585</v>
      </c>
      <c r="H63">
        <v>-308.92631361368382</v>
      </c>
      <c r="I63">
        <v>92.275821666976597</v>
      </c>
      <c r="J63">
        <v>45.406821401404898</v>
      </c>
      <c r="K63">
        <v>22.1860586512976</v>
      </c>
      <c r="L63">
        <v>1.1999704465681476E-3</v>
      </c>
      <c r="M63">
        <v>3.1222135575406201E-4</v>
      </c>
      <c r="N63" s="1">
        <v>2.07233790097858E-6</v>
      </c>
      <c r="O63" s="1">
        <v>9.9256035223882496E-6</v>
      </c>
      <c r="P63" s="1">
        <v>-2.0350137685541401E-5</v>
      </c>
    </row>
    <row r="64" spans="1:16" x14ac:dyDescent="0.2">
      <c r="A64">
        <v>63</v>
      </c>
      <c r="B64">
        <v>760</v>
      </c>
      <c r="C64">
        <v>175</v>
      </c>
      <c r="D64">
        <v>0.41134443207665999</v>
      </c>
      <c r="E64">
        <v>27.429405091291901</v>
      </c>
      <c r="F64">
        <v>1.1160035078239401</v>
      </c>
      <c r="G64">
        <v>-484.41434183146731</v>
      </c>
      <c r="H64">
        <v>-376.94963092421352</v>
      </c>
      <c r="I64">
        <v>104.02034439258701</v>
      </c>
      <c r="J64">
        <v>51.998379820102599</v>
      </c>
      <c r="K64">
        <v>24.5782427196627</v>
      </c>
      <c r="L64">
        <v>1.1284576956257521E-3</v>
      </c>
      <c r="M64">
        <v>2.9173316725074924E-4</v>
      </c>
      <c r="N64" s="1">
        <v>2.5409266645551402E-6</v>
      </c>
      <c r="O64" s="1">
        <v>1.02816311675636E-5</v>
      </c>
      <c r="P64" s="1">
        <v>-2.1246627807541301E-5</v>
      </c>
    </row>
    <row r="65" spans="1:16" x14ac:dyDescent="0.2">
      <c r="A65">
        <v>64</v>
      </c>
      <c r="B65">
        <v>758</v>
      </c>
      <c r="C65">
        <v>175</v>
      </c>
      <c r="D65">
        <v>0.41006691557969399</v>
      </c>
      <c r="E65">
        <v>33.0420446512137</v>
      </c>
      <c r="F65">
        <v>1.20844251797253</v>
      </c>
      <c r="G65">
        <v>-576.83616574876339</v>
      </c>
      <c r="H65">
        <v>-455.61032476644488</v>
      </c>
      <c r="I65">
        <v>117.56768930800899</v>
      </c>
      <c r="J65">
        <v>59.606371675121103</v>
      </c>
      <c r="K65">
        <v>27.342669725532399</v>
      </c>
      <c r="L65">
        <v>1.0605053196844365E-3</v>
      </c>
      <c r="M65">
        <v>2.723862076069857E-4</v>
      </c>
      <c r="N65" s="1">
        <v>3.0592820608692199E-6</v>
      </c>
      <c r="O65" s="1">
        <v>1.0686727272492601E-5</v>
      </c>
      <c r="P65" s="1">
        <v>-2.2258955454319001E-5</v>
      </c>
    </row>
    <row r="66" spans="1:16" x14ac:dyDescent="0.2">
      <c r="A66">
        <v>65</v>
      </c>
      <c r="B66">
        <v>756</v>
      </c>
      <c r="C66">
        <v>175</v>
      </c>
      <c r="D66">
        <v>0.40878443375601398</v>
      </c>
      <c r="E66">
        <v>86.801842195288003</v>
      </c>
      <c r="F66">
        <v>1.6182551991657801</v>
      </c>
      <c r="G66">
        <v>-1451.3233744748125</v>
      </c>
      <c r="H66">
        <v>-1198.85032110927</v>
      </c>
      <c r="I66">
        <v>245.327345114743</v>
      </c>
      <c r="J66">
        <v>130.60889615011101</v>
      </c>
      <c r="K66">
        <v>53.639155455848098</v>
      </c>
      <c r="L66">
        <v>7.4501826901073195E-4</v>
      </c>
      <c r="M66">
        <v>1.8928799097965834E-4</v>
      </c>
      <c r="N66" s="1">
        <v>4.6044594817394797E-6</v>
      </c>
      <c r="O66" s="1">
        <v>1.45467759734429E-5</v>
      </c>
      <c r="P66" s="1">
        <v>-3.0539514580565997E-5</v>
      </c>
    </row>
    <row r="67" spans="1:16" x14ac:dyDescent="0.2">
      <c r="A67">
        <v>66</v>
      </c>
      <c r="B67">
        <v>754</v>
      </c>
      <c r="C67">
        <v>175</v>
      </c>
      <c r="D67">
        <v>0.40749695760112897</v>
      </c>
      <c r="E67">
        <v>99.542897733511296</v>
      </c>
      <c r="F67">
        <v>1.66509013872795</v>
      </c>
      <c r="G67">
        <v>-1658.0539548831748</v>
      </c>
      <c r="H67">
        <v>-1375.3114355783325</v>
      </c>
      <c r="I67">
        <v>275.27474587411098</v>
      </c>
      <c r="J67">
        <v>147.494022392202</v>
      </c>
      <c r="K67">
        <v>59.782287708193898</v>
      </c>
      <c r="L67">
        <v>7.113164671737099E-4</v>
      </c>
      <c r="M67">
        <v>1.7953271744674827E-4</v>
      </c>
      <c r="N67" s="1">
        <v>5.50246741484556E-6</v>
      </c>
      <c r="O67" s="1">
        <v>1.53862752729258E-5</v>
      </c>
      <c r="P67" s="1">
        <v>-3.2560398922323499E-5</v>
      </c>
    </row>
    <row r="68" spans="1:16" x14ac:dyDescent="0.2">
      <c r="A68">
        <v>67</v>
      </c>
      <c r="B68">
        <v>792</v>
      </c>
      <c r="C68">
        <v>150</v>
      </c>
      <c r="D68">
        <v>0.456950194808243</v>
      </c>
      <c r="E68">
        <v>6.0596367963559503</v>
      </c>
      <c r="F68">
        <v>0.348946723309079</v>
      </c>
      <c r="G68">
        <v>-134.45835468673059</v>
      </c>
      <c r="H68">
        <v>-75.526993819011864</v>
      </c>
      <c r="I68">
        <v>55.3300359035971</v>
      </c>
      <c r="J68">
        <v>23.104728355066101</v>
      </c>
      <c r="K68">
        <v>17.3655070862741</v>
      </c>
      <c r="L68">
        <v>1.6845144763301821E-3</v>
      </c>
      <c r="M68">
        <v>5.7751374775200028E-4</v>
      </c>
      <c r="N68" s="1">
        <v>-1.2349377660889999E-5</v>
      </c>
      <c r="O68" s="1">
        <v>1.6416141111300999E-5</v>
      </c>
      <c r="P68" s="1">
        <v>-2.3341270686550799E-5</v>
      </c>
    </row>
    <row r="69" spans="1:16" x14ac:dyDescent="0.2">
      <c r="A69">
        <v>68</v>
      </c>
      <c r="B69">
        <v>790</v>
      </c>
      <c r="C69">
        <v>150</v>
      </c>
      <c r="D69">
        <v>0.45579692423458601</v>
      </c>
      <c r="E69">
        <v>6.8909727951648803</v>
      </c>
      <c r="F69">
        <v>0.38808440026233898</v>
      </c>
      <c r="G69">
        <v>-148.23144483473672</v>
      </c>
      <c r="H69">
        <v>-87.182398102288431</v>
      </c>
      <c r="I69">
        <v>57.4260476692425</v>
      </c>
      <c r="J69">
        <v>24.2955953453414</v>
      </c>
      <c r="K69">
        <v>17.7563766812236</v>
      </c>
      <c r="L69">
        <v>1.6632715319116267E-3</v>
      </c>
      <c r="M69">
        <v>5.6694988889706768E-4</v>
      </c>
      <c r="N69" s="1">
        <v>-1.22464011646578E-5</v>
      </c>
      <c r="O69" s="1">
        <v>1.6502389513232299E-5</v>
      </c>
      <c r="P69" s="1">
        <v>-2.3638095286023802E-5</v>
      </c>
    </row>
    <row r="70" spans="1:16" x14ac:dyDescent="0.2">
      <c r="A70">
        <v>69</v>
      </c>
      <c r="B70">
        <v>788</v>
      </c>
      <c r="C70">
        <v>150</v>
      </c>
      <c r="D70">
        <v>0.45463930641285699</v>
      </c>
      <c r="E70">
        <v>7.7255692411000103</v>
      </c>
      <c r="F70">
        <v>0.42569343637947599</v>
      </c>
      <c r="G70">
        <v>-162.04735355383337</v>
      </c>
      <c r="H70">
        <v>-98.884119100466293</v>
      </c>
      <c r="I70">
        <v>59.526663900551597</v>
      </c>
      <c r="J70">
        <v>25.492614306793101</v>
      </c>
      <c r="K70">
        <v>18.148199104985</v>
      </c>
      <c r="L70">
        <v>1.6429201216304104E-3</v>
      </c>
      <c r="M70">
        <v>5.567774264647518E-4</v>
      </c>
      <c r="N70" s="1">
        <v>-1.21322726086391E-5</v>
      </c>
      <c r="O70" s="1">
        <v>1.6587990719000401E-5</v>
      </c>
      <c r="P70" s="1">
        <v>-2.39383631204828E-5</v>
      </c>
    </row>
    <row r="71" spans="1:16" x14ac:dyDescent="0.2">
      <c r="A71">
        <v>70</v>
      </c>
      <c r="B71">
        <v>786</v>
      </c>
      <c r="C71">
        <v>150</v>
      </c>
      <c r="D71">
        <v>0.45347731671623798</v>
      </c>
      <c r="E71">
        <v>8.5621899136967095</v>
      </c>
      <c r="F71">
        <v>0.46181588533831103</v>
      </c>
      <c r="G71">
        <v>-175.88530950467609</v>
      </c>
      <c r="H71">
        <v>-110.6149472690709</v>
      </c>
      <c r="I71">
        <v>61.628547754822698</v>
      </c>
      <c r="J71">
        <v>26.6941015669438</v>
      </c>
      <c r="K71">
        <v>18.540267205023301</v>
      </c>
      <c r="L71">
        <v>1.6234440546206508E-3</v>
      </c>
      <c r="M71">
        <v>5.469856726842263E-4</v>
      </c>
      <c r="N71" s="1">
        <v>-1.2006407857144699E-5</v>
      </c>
      <c r="O71" s="1">
        <v>1.6672688930333001E-5</v>
      </c>
      <c r="P71" s="1">
        <v>-2.42417635756136E-5</v>
      </c>
    </row>
    <row r="72" spans="1:16" x14ac:dyDescent="0.2">
      <c r="A72">
        <v>71</v>
      </c>
      <c r="B72">
        <v>784</v>
      </c>
      <c r="C72">
        <v>150</v>
      </c>
      <c r="D72">
        <v>0.45231093033155201</v>
      </c>
      <c r="E72">
        <v>9.3995882442210199</v>
      </c>
      <c r="F72">
        <v>0.49649543700679399</v>
      </c>
      <c r="G72">
        <v>-189.72441593099751</v>
      </c>
      <c r="H72">
        <v>-122.35753171504736</v>
      </c>
      <c r="I72">
        <v>63.728352208075599</v>
      </c>
      <c r="J72">
        <v>27.8983605741712</v>
      </c>
      <c r="K72">
        <v>18.9318723670211</v>
      </c>
      <c r="L72">
        <v>1.6048254003589804E-3</v>
      </c>
      <c r="M72">
        <v>5.3756347378138155E-4</v>
      </c>
      <c r="N72" s="1">
        <v>-1.1868226545254601E-5</v>
      </c>
      <c r="O72" s="1">
        <v>1.6756230516349299E-5</v>
      </c>
      <c r="P72" s="1">
        <v>-2.4547978664969801E-5</v>
      </c>
    </row>
    <row r="73" spans="1:16" x14ac:dyDescent="0.2">
      <c r="A73">
        <v>72</v>
      </c>
      <c r="B73">
        <v>782</v>
      </c>
      <c r="C73">
        <v>150</v>
      </c>
      <c r="D73">
        <v>0.451140122257502</v>
      </c>
      <c r="E73">
        <v>10.2365267296399</v>
      </c>
      <c r="F73">
        <v>0.52977743770536101</v>
      </c>
      <c r="G73">
        <v>-203.54397490581863</v>
      </c>
      <c r="H73">
        <v>-134.09465026134566</v>
      </c>
      <c r="I73">
        <v>65.822771308950294</v>
      </c>
      <c r="J73">
        <v>29.103709213780299</v>
      </c>
      <c r="K73">
        <v>19.322315374504502</v>
      </c>
      <c r="L73">
        <v>1.5870444242628333E-3</v>
      </c>
      <c r="M73">
        <v>5.2849920500500026E-4</v>
      </c>
      <c r="N73" s="1">
        <v>-1.1717156071963701E-5</v>
      </c>
      <c r="O73" s="1">
        <v>1.6838367533389299E-5</v>
      </c>
      <c r="P73" s="1">
        <v>-2.48566879167704E-5</v>
      </c>
    </row>
    <row r="74" spans="1:16" x14ac:dyDescent="0.2">
      <c r="A74">
        <v>73</v>
      </c>
      <c r="B74">
        <v>780</v>
      </c>
      <c r="C74">
        <v>150</v>
      </c>
      <c r="D74">
        <v>0.44996486730285301</v>
      </c>
      <c r="E74">
        <v>11.0717951865849</v>
      </c>
      <c r="F74">
        <v>0.56170879601841395</v>
      </c>
      <c r="G74">
        <v>-217.32379107798096</v>
      </c>
      <c r="H74">
        <v>-145.80946328197189</v>
      </c>
      <c r="I74">
        <v>67.908587961920404</v>
      </c>
      <c r="J74">
        <v>30.308505539557601</v>
      </c>
      <c r="K74">
        <v>19.710916519494798</v>
      </c>
      <c r="L74">
        <v>1.5700796113930528E-3</v>
      </c>
      <c r="M74">
        <v>5.1978079605621039E-4</v>
      </c>
      <c r="N74" s="1">
        <v>-1.15526352293476E-5</v>
      </c>
      <c r="O74" s="1">
        <v>1.6918860928008002E-5</v>
      </c>
      <c r="P74" s="1">
        <v>-2.5167573019333201E-5</v>
      </c>
    </row>
    <row r="75" spans="1:16" x14ac:dyDescent="0.2">
      <c r="A75">
        <v>74</v>
      </c>
      <c r="B75">
        <v>778</v>
      </c>
      <c r="C75">
        <v>150</v>
      </c>
      <c r="D75">
        <v>0.44878514008467002</v>
      </c>
      <c r="E75">
        <v>11.9042271935344</v>
      </c>
      <c r="F75">
        <v>0.59233779248499996</v>
      </c>
      <c r="G75">
        <v>-231.04444415439809</v>
      </c>
      <c r="H75">
        <v>-157.4857422547351</v>
      </c>
      <c r="I75">
        <v>69.982716565042907</v>
      </c>
      <c r="J75">
        <v>31.511171011892099</v>
      </c>
      <c r="K75">
        <v>20.0970246108952</v>
      </c>
      <c r="L75">
        <v>1.5539077674537709E-3</v>
      </c>
      <c r="M75">
        <v>5.1139578210898185E-4</v>
      </c>
      <c r="N75" s="1">
        <v>-1.13741173817647E-5</v>
      </c>
      <c r="O75" s="1">
        <v>1.69974833171895E-5</v>
      </c>
      <c r="P75" s="1">
        <v>-2.5480322053051501E-5</v>
      </c>
    </row>
    <row r="76" spans="1:16" x14ac:dyDescent="0.2">
      <c r="A76">
        <v>75</v>
      </c>
      <c r="B76">
        <v>776</v>
      </c>
      <c r="C76">
        <v>150</v>
      </c>
      <c r="D76">
        <v>0.447600915026452</v>
      </c>
      <c r="E76">
        <v>12.732714230826</v>
      </c>
      <c r="F76">
        <v>0.62171381462793796</v>
      </c>
      <c r="G76">
        <v>-244.68752209266248</v>
      </c>
      <c r="H76">
        <v>-169.10806622917357</v>
      </c>
      <c r="I76">
        <v>72.042239268004906</v>
      </c>
      <c r="J76">
        <v>32.710210558582602</v>
      </c>
      <c r="K76">
        <v>20.480024621048202</v>
      </c>
      <c r="L76">
        <v>1.538504183243963E-3</v>
      </c>
      <c r="M76">
        <v>5.0333137476528877E-4</v>
      </c>
      <c r="N76" s="1">
        <v>-1.1181073144536701E-5</v>
      </c>
      <c r="O76" s="1">
        <v>1.70740212728168E-5</v>
      </c>
      <c r="P76" s="1">
        <v>-2.5794633175790401E-5</v>
      </c>
    </row>
    <row r="77" spans="1:16" x14ac:dyDescent="0.2">
      <c r="A77">
        <v>76</v>
      </c>
      <c r="B77">
        <v>774</v>
      </c>
      <c r="C77">
        <v>150</v>
      </c>
      <c r="D77">
        <v>0.44641216635630598</v>
      </c>
      <c r="E77">
        <v>13.9720965814821</v>
      </c>
      <c r="F77">
        <v>0.66305684065763804</v>
      </c>
      <c r="G77">
        <v>-265.14497270385493</v>
      </c>
      <c r="H77">
        <v>-186.52213154218524</v>
      </c>
      <c r="I77">
        <v>75.086225559761701</v>
      </c>
      <c r="J77">
        <v>34.454772447064698</v>
      </c>
      <c r="K77">
        <v>21.0722455824815</v>
      </c>
      <c r="L77">
        <v>1.5133778959088898E-3</v>
      </c>
      <c r="M77">
        <v>4.9214968594249247E-4</v>
      </c>
      <c r="N77" s="1">
        <v>-1.1009522218635699E-5</v>
      </c>
      <c r="O77" s="1">
        <v>1.7203217905028298E-5</v>
      </c>
      <c r="P77" s="1">
        <v>-2.6193864864766099E-5</v>
      </c>
    </row>
    <row r="78" spans="1:16" x14ac:dyDescent="0.2">
      <c r="A78">
        <v>77</v>
      </c>
      <c r="B78">
        <v>772</v>
      </c>
      <c r="C78">
        <v>150</v>
      </c>
      <c r="D78">
        <v>0.44521886810505501</v>
      </c>
      <c r="E78">
        <v>18.137311220312601</v>
      </c>
      <c r="F78">
        <v>0.78317092570640601</v>
      </c>
      <c r="G78">
        <v>-334.15026215231359</v>
      </c>
      <c r="H78">
        <v>-245.1453718298836</v>
      </c>
      <c r="I78">
        <v>85.163577979958802</v>
      </c>
      <c r="J78">
        <v>40.074895362019902</v>
      </c>
      <c r="K78">
        <v>23.158815815274401</v>
      </c>
      <c r="L78">
        <v>1.4249793839522622E-3</v>
      </c>
      <c r="M78">
        <v>4.6048338318689598E-4</v>
      </c>
      <c r="N78" s="1">
        <v>-1.1070967565059E-5</v>
      </c>
      <c r="O78" s="1">
        <v>1.77142899202353E-5</v>
      </c>
      <c r="P78" s="1">
        <v>-2.7185196675255198E-5</v>
      </c>
    </row>
    <row r="79" spans="1:16" x14ac:dyDescent="0.2">
      <c r="A79">
        <v>78</v>
      </c>
      <c r="B79">
        <v>770</v>
      </c>
      <c r="C79">
        <v>150</v>
      </c>
      <c r="D79">
        <v>0.44402099410439499</v>
      </c>
      <c r="E79">
        <v>22.435779639651599</v>
      </c>
      <c r="F79">
        <v>0.88653078549683695</v>
      </c>
      <c r="G79">
        <v>-405.25631622473929</v>
      </c>
      <c r="H79">
        <v>-305.6008360845417</v>
      </c>
      <c r="I79">
        <v>95.537007744429502</v>
      </c>
      <c r="J79">
        <v>45.872966752867001</v>
      </c>
      <c r="K79">
        <v>25.307389215003901</v>
      </c>
      <c r="L79">
        <v>1.3489939091546365E-3</v>
      </c>
      <c r="M79">
        <v>4.3317428216667461E-4</v>
      </c>
      <c r="N79" s="1">
        <v>-1.1110929509531201E-5</v>
      </c>
      <c r="O79" s="1">
        <v>1.8234765811354399E-5</v>
      </c>
      <c r="P79" s="1">
        <v>-2.8206616710302801E-5</v>
      </c>
    </row>
    <row r="80" spans="1:16" x14ac:dyDescent="0.2">
      <c r="A80">
        <v>79</v>
      </c>
      <c r="B80">
        <v>768</v>
      </c>
      <c r="C80">
        <v>150</v>
      </c>
      <c r="D80">
        <v>0.442818517984921</v>
      </c>
      <c r="E80">
        <v>26.982378178565</v>
      </c>
      <c r="F80">
        <v>0.97851504446994697</v>
      </c>
      <c r="G80">
        <v>-480.33594203563223</v>
      </c>
      <c r="H80">
        <v>-369.48216300996131</v>
      </c>
      <c r="I80">
        <v>106.476358440646</v>
      </c>
      <c r="J80">
        <v>51.998276550583903</v>
      </c>
      <c r="K80">
        <v>27.5748220030497</v>
      </c>
      <c r="L80">
        <v>1.2812767835468177E-3</v>
      </c>
      <c r="M80">
        <v>4.08816929449697E-4</v>
      </c>
      <c r="N80" s="1">
        <v>-1.1135287577870499E-5</v>
      </c>
      <c r="O80" s="1">
        <v>1.87772080758473E-5</v>
      </c>
      <c r="P80" s="1">
        <v>-2.9278385746165201E-5</v>
      </c>
    </row>
    <row r="81" spans="1:16" x14ac:dyDescent="0.2">
      <c r="A81">
        <v>80</v>
      </c>
      <c r="B81">
        <v>766</v>
      </c>
      <c r="C81">
        <v>150</v>
      </c>
      <c r="D81">
        <v>0.44161141317423203</v>
      </c>
      <c r="E81">
        <v>32.022121896372703</v>
      </c>
      <c r="F81">
        <v>1.06446793066775</v>
      </c>
      <c r="G81">
        <v>-563.38502534868019</v>
      </c>
      <c r="H81">
        <v>-440.1890766133763</v>
      </c>
      <c r="I81">
        <v>118.55860480744801</v>
      </c>
      <c r="J81">
        <v>58.769890291153501</v>
      </c>
      <c r="K81">
        <v>30.0827493001925</v>
      </c>
      <c r="L81">
        <v>1.2176027668594413E-3</v>
      </c>
      <c r="M81">
        <v>3.8601093839617457E-4</v>
      </c>
      <c r="N81" s="1">
        <v>-1.11577564292567E-5</v>
      </c>
      <c r="O81" s="1">
        <v>1.9368848871629101E-5</v>
      </c>
      <c r="P81" s="1">
        <v>-3.0444469185343001E-5</v>
      </c>
    </row>
    <row r="82" spans="1:16" x14ac:dyDescent="0.2">
      <c r="A82">
        <v>81</v>
      </c>
      <c r="B82">
        <v>764</v>
      </c>
      <c r="C82">
        <v>150</v>
      </c>
      <c r="D82">
        <v>0.44039965289495597</v>
      </c>
      <c r="E82">
        <v>39.498385124108999</v>
      </c>
      <c r="F82">
        <v>1.1686626628841601</v>
      </c>
      <c r="G82">
        <v>-686.13035564157963</v>
      </c>
      <c r="H82">
        <v>-544.70806293488204</v>
      </c>
      <c r="I82">
        <v>136.360914081034</v>
      </c>
      <c r="J82">
        <v>68.718400532190103</v>
      </c>
      <c r="K82">
        <v>33.797935348281001</v>
      </c>
      <c r="L82">
        <v>1.1380126697715638E-3</v>
      </c>
      <c r="M82">
        <v>3.5837541718916399E-4</v>
      </c>
      <c r="N82" s="1">
        <v>-1.1300854092272599E-5</v>
      </c>
      <c r="O82" s="1">
        <v>2.0229104899546601E-5</v>
      </c>
      <c r="P82" s="1">
        <v>-3.2054764019312499E-5</v>
      </c>
    </row>
    <row r="83" spans="1:16" x14ac:dyDescent="0.2">
      <c r="A83">
        <v>82</v>
      </c>
      <c r="B83">
        <v>762</v>
      </c>
      <c r="C83">
        <v>150</v>
      </c>
      <c r="D83">
        <v>0.439183210162781</v>
      </c>
      <c r="E83">
        <v>91.543449373856006</v>
      </c>
      <c r="F83">
        <v>1.5361233124573801</v>
      </c>
      <c r="G83">
        <v>-1531.9576056505259</v>
      </c>
      <c r="H83">
        <v>-1263.7732231427219</v>
      </c>
      <c r="I83">
        <v>259.08336023649798</v>
      </c>
      <c r="J83">
        <v>136.68930831685299</v>
      </c>
      <c r="K83">
        <v>59.5938155690191</v>
      </c>
      <c r="L83">
        <v>8.4430069370363564E-4</v>
      </c>
      <c r="M83">
        <v>2.6322576301063266E-4</v>
      </c>
      <c r="N83" s="1">
        <v>-1.4255964421183599E-5</v>
      </c>
      <c r="O83" s="1">
        <v>2.61991673110973E-5</v>
      </c>
      <c r="P83" s="1">
        <v>-4.1853519983905801E-5</v>
      </c>
    </row>
    <row r="84" spans="1:16" x14ac:dyDescent="0.2">
      <c r="A84">
        <v>83</v>
      </c>
      <c r="B84">
        <v>760</v>
      </c>
      <c r="C84">
        <v>150</v>
      </c>
      <c r="D84">
        <v>0.43796205778444602</v>
      </c>
      <c r="E84">
        <v>100.27059080018201</v>
      </c>
      <c r="F84">
        <v>1.57123414266735</v>
      </c>
      <c r="G84">
        <v>-1673.3648233654826</v>
      </c>
      <c r="H84">
        <v>-1384.7598361790281</v>
      </c>
      <c r="I84">
        <v>279.35049641206399</v>
      </c>
      <c r="J84">
        <v>148.16842618182901</v>
      </c>
      <c r="K84">
        <v>63.816453625403803</v>
      </c>
      <c r="L84">
        <v>8.1964195327383224E-4</v>
      </c>
      <c r="M84">
        <v>2.5390062601657836E-4</v>
      </c>
      <c r="N84" s="1">
        <v>-1.42224668586783E-5</v>
      </c>
      <c r="O84" s="1">
        <v>2.70997232344521E-5</v>
      </c>
      <c r="P84" s="1">
        <v>-4.3648338343203999E-5</v>
      </c>
    </row>
    <row r="85" spans="1:16" x14ac:dyDescent="0.2">
      <c r="A85">
        <v>84</v>
      </c>
      <c r="B85">
        <v>806</v>
      </c>
      <c r="C85">
        <v>125</v>
      </c>
      <c r="D85">
        <v>0.490386415234215</v>
      </c>
      <c r="E85">
        <v>6.4763824310304203</v>
      </c>
      <c r="F85">
        <v>0.28550077203207203</v>
      </c>
      <c r="G85">
        <v>-145.5142321783571</v>
      </c>
      <c r="H85">
        <v>-79.833112779582081</v>
      </c>
      <c r="I85">
        <v>60.867187677799599</v>
      </c>
      <c r="J85">
        <v>23.958111768713</v>
      </c>
      <c r="K85">
        <v>22.684290430930499</v>
      </c>
      <c r="L85">
        <v>1.6974068773031822E-3</v>
      </c>
      <c r="M85">
        <v>7.6475014385040882E-4</v>
      </c>
      <c r="N85" s="1">
        <v>-2.95817698540991E-5</v>
      </c>
      <c r="O85" s="1">
        <v>3.2882628879687598E-5</v>
      </c>
      <c r="P85" s="1">
        <v>-3.2428761363716798E-5</v>
      </c>
    </row>
    <row r="86" spans="1:16" x14ac:dyDescent="0.2">
      <c r="A86">
        <v>85</v>
      </c>
      <c r="B86">
        <v>804</v>
      </c>
      <c r="C86">
        <v>125</v>
      </c>
      <c r="D86">
        <v>0.48931021677575198</v>
      </c>
      <c r="E86">
        <v>7.2708673190306898</v>
      </c>
      <c r="F86">
        <v>0.31547112850722298</v>
      </c>
      <c r="G86">
        <v>-158.66448003055746</v>
      </c>
      <c r="H86">
        <v>-90.974703956123321</v>
      </c>
      <c r="I86">
        <v>62.845013708439097</v>
      </c>
      <c r="J86">
        <v>25.080345521842901</v>
      </c>
      <c r="K86">
        <v>23.047647350284201</v>
      </c>
      <c r="L86">
        <v>1.6845497259481417E-3</v>
      </c>
      <c r="M86">
        <v>7.5480438139567424E-4</v>
      </c>
      <c r="N86" s="1">
        <v>-2.97965274359464E-5</v>
      </c>
      <c r="O86" s="1">
        <v>3.30227711364294E-5</v>
      </c>
      <c r="P86" s="1">
        <v>-3.2780931289081497E-5</v>
      </c>
    </row>
    <row r="87" spans="1:16" x14ac:dyDescent="0.2">
      <c r="A87">
        <v>86</v>
      </c>
      <c r="B87">
        <v>802</v>
      </c>
      <c r="C87">
        <v>125</v>
      </c>
      <c r="D87">
        <v>0.48823001441659297</v>
      </c>
      <c r="E87">
        <v>8.0673687228002091</v>
      </c>
      <c r="F87">
        <v>0.34459387071087799</v>
      </c>
      <c r="G87">
        <v>-171.8376141395344</v>
      </c>
      <c r="H87">
        <v>-102.14529755390052</v>
      </c>
      <c r="I87">
        <v>64.824509474856299</v>
      </c>
      <c r="J87">
        <v>26.206836685700399</v>
      </c>
      <c r="K87">
        <v>23.411236845732802</v>
      </c>
      <c r="L87">
        <v>1.6721463471242187E-3</v>
      </c>
      <c r="M87">
        <v>7.4512684283155946E-4</v>
      </c>
      <c r="N87" s="1">
        <v>-3.0006762001269199E-5</v>
      </c>
      <c r="O87" s="1">
        <v>3.3162322237810103E-5</v>
      </c>
      <c r="P87" s="1">
        <v>-3.3137639133170397E-5</v>
      </c>
    </row>
    <row r="88" spans="1:16" x14ac:dyDescent="0.2">
      <c r="A88">
        <v>87</v>
      </c>
      <c r="B88">
        <v>800</v>
      </c>
      <c r="C88">
        <v>125</v>
      </c>
      <c r="D88">
        <v>0.48714578577086598</v>
      </c>
      <c r="E88">
        <v>8.8649918082900907</v>
      </c>
      <c r="F88">
        <v>0.37287776567464198</v>
      </c>
      <c r="G88">
        <v>-185.01860239593455</v>
      </c>
      <c r="H88">
        <v>-113.33244999653232</v>
      </c>
      <c r="I88">
        <v>66.803272194315895</v>
      </c>
      <c r="J88">
        <v>27.336395245713899</v>
      </c>
      <c r="K88">
        <v>23.7745251242074</v>
      </c>
      <c r="L88">
        <v>1.6601988503925722E-3</v>
      </c>
      <c r="M88">
        <v>7.3571524160243843E-4</v>
      </c>
      <c r="N88" s="1">
        <v>-3.0211876846561901E-5</v>
      </c>
      <c r="O88" s="1">
        <v>3.33009841686273E-5</v>
      </c>
      <c r="P88" s="1">
        <v>-3.3498686213493902E-5</v>
      </c>
    </row>
    <row r="89" spans="1:16" x14ac:dyDescent="0.2">
      <c r="A89">
        <v>88</v>
      </c>
      <c r="B89">
        <v>798</v>
      </c>
      <c r="C89">
        <v>125</v>
      </c>
      <c r="D89">
        <v>0.48605750828548999</v>
      </c>
      <c r="E89">
        <v>9.6626740038909595</v>
      </c>
      <c r="F89">
        <v>0.40032807638582202</v>
      </c>
      <c r="G89">
        <v>-198.18964675898408</v>
      </c>
      <c r="H89">
        <v>-124.52137832904134</v>
      </c>
      <c r="I89">
        <v>68.778482914386203</v>
      </c>
      <c r="J89">
        <v>28.467605659844899</v>
      </c>
      <c r="K89">
        <v>24.136888152152402</v>
      </c>
      <c r="L89">
        <v>1.6487119422124176E-3</v>
      </c>
      <c r="M89">
        <v>7.2656842969979801E-4</v>
      </c>
      <c r="N89" s="1">
        <v>-3.04112188816262E-5</v>
      </c>
      <c r="O89" s="1">
        <v>3.3438416247603701E-5</v>
      </c>
      <c r="P89" s="1">
        <v>-3.3863825029042199E-5</v>
      </c>
    </row>
    <row r="90" spans="1:16" x14ac:dyDescent="0.2">
      <c r="A90">
        <v>89</v>
      </c>
      <c r="B90">
        <v>796</v>
      </c>
      <c r="C90">
        <v>125</v>
      </c>
      <c r="D90">
        <v>0.48496515923864703</v>
      </c>
      <c r="E90">
        <v>10.459365132735</v>
      </c>
      <c r="F90">
        <v>0.42695272029417902</v>
      </c>
      <c r="G90">
        <v>-211.33319504119683</v>
      </c>
      <c r="H90">
        <v>-135.6974739772015</v>
      </c>
      <c r="I90">
        <v>70.747368440055794</v>
      </c>
      <c r="J90">
        <v>29.599070525664601</v>
      </c>
      <c r="K90">
        <v>24.497712827613199</v>
      </c>
      <c r="L90">
        <v>1.637688374205782E-3</v>
      </c>
      <c r="M90">
        <v>7.1768433862922254E-4</v>
      </c>
      <c r="N90" s="1">
        <v>-3.0604124839168002E-5</v>
      </c>
      <c r="O90" s="1">
        <v>3.3574285757325199E-5</v>
      </c>
      <c r="P90" s="1">
        <v>-3.4232809144533399E-5</v>
      </c>
    </row>
    <row r="91" spans="1:16" x14ac:dyDescent="0.2">
      <c r="A91">
        <v>90</v>
      </c>
      <c r="B91">
        <v>794</v>
      </c>
      <c r="C91">
        <v>125</v>
      </c>
      <c r="D91">
        <v>0.48386871573818202</v>
      </c>
      <c r="E91">
        <v>11.254041237599701</v>
      </c>
      <c r="F91">
        <v>0.45276222777603897</v>
      </c>
      <c r="G91">
        <v>-224.43217076106663</v>
      </c>
      <c r="H91">
        <v>-146.84649488739959</v>
      </c>
      <c r="I91">
        <v>72.707237102710593</v>
      </c>
      <c r="J91">
        <v>30.729429610968499</v>
      </c>
      <c r="K91">
        <v>24.8564048570911</v>
      </c>
      <c r="L91">
        <v>1.627128911750894E-3</v>
      </c>
      <c r="M91">
        <v>7.0905998949845654E-4</v>
      </c>
      <c r="N91" s="1">
        <v>-3.0789925180308103E-5</v>
      </c>
      <c r="O91" s="1">
        <v>3.37082719016404E-5</v>
      </c>
      <c r="P91" s="1">
        <v>-3.4605397206520101E-5</v>
      </c>
    </row>
    <row r="92" spans="1:16" x14ac:dyDescent="0.2">
      <c r="A92">
        <v>91</v>
      </c>
      <c r="B92">
        <v>792</v>
      </c>
      <c r="C92">
        <v>125</v>
      </c>
      <c r="D92">
        <v>0.48276815471999501</v>
      </c>
      <c r="E92">
        <v>12.045716945516199</v>
      </c>
      <c r="F92">
        <v>0.47776962882885998</v>
      </c>
      <c r="G92">
        <v>-237.47017787752452</v>
      </c>
      <c r="H92">
        <v>-157.95473730734869</v>
      </c>
      <c r="I92">
        <v>74.655510464037206</v>
      </c>
      <c r="J92">
        <v>31.857376905553402</v>
      </c>
      <c r="K92">
        <v>25.212395721016101</v>
      </c>
      <c r="L92">
        <v>1.6170323574804023E-3</v>
      </c>
      <c r="M92">
        <v>7.0069152782003673E-4</v>
      </c>
      <c r="N92" s="1">
        <v>-3.09679476093788E-5</v>
      </c>
      <c r="O92" s="1">
        <v>3.3840069238474398E-5</v>
      </c>
      <c r="P92" s="1">
        <v>-3.49813565832151E-5</v>
      </c>
    </row>
    <row r="93" spans="1:16" x14ac:dyDescent="0.2">
      <c r="A93">
        <v>92</v>
      </c>
      <c r="B93">
        <v>790</v>
      </c>
      <c r="C93">
        <v>125</v>
      </c>
      <c r="D93">
        <v>0.48166345294643498</v>
      </c>
      <c r="E93">
        <v>12.8334560621186</v>
      </c>
      <c r="F93">
        <v>0.50199027913245098</v>
      </c>
      <c r="G93">
        <v>-250.43167534858208</v>
      </c>
      <c r="H93">
        <v>-169.00918290943966</v>
      </c>
      <c r="I93">
        <v>76.589750187055103</v>
      </c>
      <c r="J93">
        <v>32.981675270880601</v>
      </c>
      <c r="K93">
        <v>25.565148560839901</v>
      </c>
      <c r="L93">
        <v>1.6073956234752143E-3</v>
      </c>
      <c r="M93">
        <v>6.9257427936006248E-4</v>
      </c>
      <c r="N93" s="1">
        <v>-3.1137520107176298E-5</v>
      </c>
      <c r="O93" s="1">
        <v>3.3969390511886303E-5</v>
      </c>
      <c r="P93" s="1">
        <v>-3.5360466531575802E-5</v>
      </c>
    </row>
    <row r="94" spans="1:16" x14ac:dyDescent="0.2">
      <c r="A94">
        <v>93</v>
      </c>
      <c r="B94">
        <v>788</v>
      </c>
      <c r="C94">
        <v>125</v>
      </c>
      <c r="D94">
        <v>0.48055458700466802</v>
      </c>
      <c r="E94">
        <v>13.616380205620301</v>
      </c>
      <c r="F94">
        <v>0.525441638354462</v>
      </c>
      <c r="G94">
        <v>-263.30211847468479</v>
      </c>
      <c r="H94">
        <v>-179.99761862916387</v>
      </c>
      <c r="I94">
        <v>78.507679622336099</v>
      </c>
      <c r="J94">
        <v>34.101168427642101</v>
      </c>
      <c r="K94">
        <v>25.9141628902176</v>
      </c>
      <c r="L94">
        <v>1.5982138442339718E-3</v>
      </c>
      <c r="M94">
        <v>6.8470282273833463E-4</v>
      </c>
      <c r="N94" s="1">
        <v>-3.1297973424759197E-5</v>
      </c>
      <c r="O94" s="1">
        <v>3.4095968842811897E-5</v>
      </c>
      <c r="P94" s="1">
        <v>-3.5742520826903501E-5</v>
      </c>
    </row>
    <row r="95" spans="1:16" x14ac:dyDescent="0.2">
      <c r="A95">
        <v>94</v>
      </c>
      <c r="B95">
        <v>786</v>
      </c>
      <c r="C95">
        <v>125</v>
      </c>
      <c r="D95">
        <v>0.47944153330501299</v>
      </c>
      <c r="E95">
        <v>14.393675404841799</v>
      </c>
      <c r="F95">
        <v>0.54814301413276001</v>
      </c>
      <c r="G95">
        <v>-276.068065909469</v>
      </c>
      <c r="H95">
        <v>-190.90872818059978</v>
      </c>
      <c r="I95">
        <v>80.407199964686299</v>
      </c>
      <c r="J95">
        <v>35.214790180079497</v>
      </c>
      <c r="K95">
        <v>26.258978101936801</v>
      </c>
      <c r="L95">
        <v>1.5894805216245533E-3</v>
      </c>
      <c r="M95">
        <v>6.7707107426062164E-4</v>
      </c>
      <c r="N95" s="1">
        <v>-3.1448643017211499E-5</v>
      </c>
      <c r="O95" s="1">
        <v>3.4219559276869701E-5</v>
      </c>
      <c r="P95" s="1">
        <v>-3.6127329827391E-5</v>
      </c>
    </row>
    <row r="96" spans="1:16" x14ac:dyDescent="0.2">
      <c r="A96">
        <v>95</v>
      </c>
      <c r="B96">
        <v>784</v>
      </c>
      <c r="C96">
        <v>125</v>
      </c>
      <c r="D96">
        <v>0.47832426807926898</v>
      </c>
      <c r="E96">
        <v>15.164596696288701</v>
      </c>
      <c r="F96">
        <v>0.57011528511892695</v>
      </c>
      <c r="G96">
        <v>-288.71725305539474</v>
      </c>
      <c r="H96">
        <v>-201.73215574891336</v>
      </c>
      <c r="I96">
        <v>82.286401114149598</v>
      </c>
      <c r="J96">
        <v>36.321570924224297</v>
      </c>
      <c r="K96">
        <v>26.599175802005298</v>
      </c>
      <c r="L96">
        <v>1.5811876925884239E-3</v>
      </c>
      <c r="M96">
        <v>6.696723804479306E-4</v>
      </c>
      <c r="N96" s="1">
        <v>-3.1588870423532597E-5</v>
      </c>
      <c r="O96" s="1">
        <v>3.4339939713891497E-5</v>
      </c>
      <c r="P96" s="1">
        <v>-3.6514721972184398E-5</v>
      </c>
    </row>
    <row r="97" spans="1:16" x14ac:dyDescent="0.2">
      <c r="A97">
        <v>96</v>
      </c>
      <c r="B97">
        <v>782</v>
      </c>
      <c r="C97">
        <v>125</v>
      </c>
      <c r="D97">
        <v>0.47720276737904699</v>
      </c>
      <c r="E97">
        <v>18.548460414104301</v>
      </c>
      <c r="F97">
        <v>0.65516664375558797</v>
      </c>
      <c r="G97">
        <v>-344.7517508902385</v>
      </c>
      <c r="H97">
        <v>-249.35971781681613</v>
      </c>
      <c r="I97">
        <v>90.409984540783796</v>
      </c>
      <c r="J97">
        <v>40.840475062851198</v>
      </c>
      <c r="K97">
        <v>28.311057333107801</v>
      </c>
      <c r="L97">
        <v>1.5224630774512251E-3</v>
      </c>
      <c r="M97">
        <v>6.409357205101082E-4</v>
      </c>
      <c r="N97" s="1">
        <v>-3.22581061217294E-5</v>
      </c>
      <c r="O97" s="1">
        <v>3.5036516650161097E-5</v>
      </c>
      <c r="P97" s="1">
        <v>-3.75252890398252E-5</v>
      </c>
    </row>
    <row r="98" spans="1:16" x14ac:dyDescent="0.2">
      <c r="A98">
        <v>97</v>
      </c>
      <c r="B98">
        <v>780</v>
      </c>
      <c r="C98">
        <v>125</v>
      </c>
      <c r="D98">
        <v>0.47607700707401701</v>
      </c>
      <c r="E98">
        <v>22.664871186431</v>
      </c>
      <c r="F98">
        <v>0.74551460119188995</v>
      </c>
      <c r="G98">
        <v>-412.85955572592206</v>
      </c>
      <c r="H98">
        <v>-307.27054289391054</v>
      </c>
      <c r="I98">
        <v>100.264144366067</v>
      </c>
      <c r="J98">
        <v>46.3167347764049</v>
      </c>
      <c r="K98">
        <v>30.4016462591016</v>
      </c>
      <c r="L98">
        <v>1.4587077194113892E-3</v>
      </c>
      <c r="M98">
        <v>6.1036493776327379E-4</v>
      </c>
      <c r="N98" s="1">
        <v>-3.3062261086881E-5</v>
      </c>
      <c r="O98" s="1">
        <v>3.5885500312292903E-5</v>
      </c>
      <c r="P98" s="1">
        <v>-3.8715512048996097E-5</v>
      </c>
    </row>
    <row r="99" spans="1:16" x14ac:dyDescent="0.2">
      <c r="A99">
        <v>98</v>
      </c>
      <c r="B99">
        <v>778</v>
      </c>
      <c r="C99">
        <v>125</v>
      </c>
      <c r="D99">
        <v>0.47494696285021398</v>
      </c>
      <c r="E99">
        <v>26.9586594634115</v>
      </c>
      <c r="F99">
        <v>0.82753275996605002</v>
      </c>
      <c r="G99">
        <v>-483.78760364994838</v>
      </c>
      <c r="H99">
        <v>-367.62433876031031</v>
      </c>
      <c r="I99">
        <v>110.51472006019701</v>
      </c>
      <c r="J99">
        <v>52.0237989686037</v>
      </c>
      <c r="K99">
        <v>32.577150739648701</v>
      </c>
      <c r="L99">
        <v>1.4008225973446719E-3</v>
      </c>
      <c r="M99">
        <v>5.8256437807205613E-4</v>
      </c>
      <c r="N99" s="1">
        <v>-3.3882531157689201E-5</v>
      </c>
      <c r="O99" s="1">
        <v>3.6760317979059303E-5</v>
      </c>
      <c r="P99" s="1">
        <v>-3.9951837272532302E-5</v>
      </c>
    </row>
    <row r="100" spans="1:16" x14ac:dyDescent="0.2">
      <c r="A100">
        <v>99</v>
      </c>
      <c r="B100">
        <v>776</v>
      </c>
      <c r="C100">
        <v>125</v>
      </c>
      <c r="D100">
        <v>0.47381261020826598</v>
      </c>
      <c r="E100">
        <v>31.589621942787598</v>
      </c>
      <c r="F100">
        <v>0.90466211628584303</v>
      </c>
      <c r="G100">
        <v>-560.14288084121813</v>
      </c>
      <c r="H100">
        <v>-432.63819115361599</v>
      </c>
      <c r="I100">
        <v>121.535616661053</v>
      </c>
      <c r="J100">
        <v>58.166928971050503</v>
      </c>
      <c r="K100">
        <v>34.9186965764424</v>
      </c>
      <c r="L100">
        <v>1.346110724952174E-3</v>
      </c>
      <c r="M100">
        <v>5.5636601345072304E-4</v>
      </c>
      <c r="N100" s="1">
        <v>-3.4745737283825199E-5</v>
      </c>
      <c r="O100" s="1">
        <v>3.7690942772462101E-5</v>
      </c>
      <c r="P100" s="1">
        <v>-4.12681403878629E-5</v>
      </c>
    </row>
    <row r="101" spans="1:16" x14ac:dyDescent="0.2">
      <c r="A101">
        <v>100</v>
      </c>
      <c r="B101">
        <v>774</v>
      </c>
      <c r="C101">
        <v>125</v>
      </c>
      <c r="D101">
        <v>0.47267392446163797</v>
      </c>
      <c r="E101">
        <v>36.9052276633251</v>
      </c>
      <c r="F101">
        <v>0.981448450300481</v>
      </c>
      <c r="G101">
        <v>-647.5932317440537</v>
      </c>
      <c r="H101">
        <v>-507.13293256116361</v>
      </c>
      <c r="I101">
        <v>134.14012892623501</v>
      </c>
      <c r="J101">
        <v>65.192688041365201</v>
      </c>
      <c r="K101">
        <v>37.602818214269</v>
      </c>
      <c r="L101">
        <v>1.2908859564148092E-3</v>
      </c>
      <c r="M101">
        <v>5.3021677496912513E-4</v>
      </c>
      <c r="N101" s="1">
        <v>-3.5711573470229898E-5</v>
      </c>
      <c r="O101" s="1">
        <v>3.87428115253359E-5</v>
      </c>
      <c r="P101" s="1">
        <v>-4.2738434707831502E-5</v>
      </c>
    </row>
    <row r="102" spans="1:16" x14ac:dyDescent="0.2">
      <c r="A102">
        <v>101</v>
      </c>
      <c r="B102">
        <v>772</v>
      </c>
      <c r="C102">
        <v>125</v>
      </c>
      <c r="D102">
        <v>0.47153088073482102</v>
      </c>
      <c r="E102">
        <v>63.534513900410801</v>
      </c>
      <c r="F102">
        <v>1.2427044623883601</v>
      </c>
      <c r="G102">
        <v>-1080.9714314495993</v>
      </c>
      <c r="H102">
        <v>-875.382750449691</v>
      </c>
      <c r="I102">
        <v>196.71228146771401</v>
      </c>
      <c r="J102">
        <v>99.611715772972801</v>
      </c>
      <c r="K102">
        <v>51.126004471170297</v>
      </c>
      <c r="L102">
        <v>1.0844161410926984E-3</v>
      </c>
      <c r="M102">
        <v>4.4189081042806272E-4</v>
      </c>
      <c r="N102" s="1">
        <v>-4.0530796612035803E-5</v>
      </c>
      <c r="O102" s="1">
        <v>4.3952492398911198E-5</v>
      </c>
      <c r="P102" s="1">
        <v>-4.8852643031202903E-5</v>
      </c>
    </row>
    <row r="103" spans="1:16" x14ac:dyDescent="0.2">
      <c r="A103">
        <v>102</v>
      </c>
      <c r="B103">
        <v>770</v>
      </c>
      <c r="C103">
        <v>125</v>
      </c>
      <c r="D103">
        <v>0.47038345396155901</v>
      </c>
      <c r="E103">
        <v>93.316744933979507</v>
      </c>
      <c r="F103">
        <v>1.41062532050155</v>
      </c>
      <c r="G103">
        <v>-1565.0118175692785</v>
      </c>
      <c r="H103">
        <v>-1287.226626682806</v>
      </c>
      <c r="I103">
        <v>266.30018149747201</v>
      </c>
      <c r="J103">
        <v>138.025760517604</v>
      </c>
      <c r="K103">
        <v>66.152750541015394</v>
      </c>
      <c r="L103">
        <v>9.5275411609981617E-4</v>
      </c>
      <c r="M103">
        <v>3.8527207664903167E-4</v>
      </c>
      <c r="N103" s="1">
        <v>-4.5777073010980602E-5</v>
      </c>
      <c r="O103" s="1">
        <v>4.9646865253641202E-5</v>
      </c>
      <c r="P103" s="1">
        <v>-5.5603707148696698E-5</v>
      </c>
    </row>
    <row r="104" spans="1:16" x14ac:dyDescent="0.2">
      <c r="A104">
        <v>103</v>
      </c>
      <c r="B104">
        <v>768</v>
      </c>
      <c r="C104">
        <v>125</v>
      </c>
      <c r="D104">
        <v>0.46923161888296799</v>
      </c>
      <c r="E104">
        <v>100.391652211234</v>
      </c>
      <c r="F104">
        <v>1.4421810280931899</v>
      </c>
      <c r="G104">
        <v>-1679.5320949355232</v>
      </c>
      <c r="H104">
        <v>-1385.348337018861</v>
      </c>
      <c r="I104">
        <v>282.56232273808502</v>
      </c>
      <c r="J104">
        <v>147.22937180646699</v>
      </c>
      <c r="K104">
        <v>69.610992140126299</v>
      </c>
      <c r="L104">
        <v>9.3216071859908076E-4</v>
      </c>
      <c r="M104">
        <v>3.7461115314908527E-4</v>
      </c>
      <c r="N104" s="1">
        <v>-4.6861688635869503E-5</v>
      </c>
      <c r="O104" s="1">
        <v>5.0882712827744299E-5</v>
      </c>
      <c r="P104" s="1">
        <v>-5.7427707192898498E-5</v>
      </c>
    </row>
    <row r="105" spans="1:16" x14ac:dyDescent="0.2">
      <c r="A105">
        <v>104</v>
      </c>
      <c r="B105">
        <v>824</v>
      </c>
      <c r="C105">
        <v>100</v>
      </c>
      <c r="D105">
        <v>0.524960579683728</v>
      </c>
      <c r="E105">
        <v>7.0243524790920597</v>
      </c>
      <c r="F105">
        <v>0.22197138876566899</v>
      </c>
      <c r="G105">
        <v>-159.72418356233632</v>
      </c>
      <c r="H105">
        <v>-85.571838128731301</v>
      </c>
      <c r="I105">
        <v>67.589996991695003</v>
      </c>
      <c r="J105">
        <v>24.393690678192598</v>
      </c>
      <c r="K105">
        <v>31.645305812397002</v>
      </c>
      <c r="L105">
        <v>1.6140879589934616E-3</v>
      </c>
      <c r="M105">
        <v>1.0242234996244008E-3</v>
      </c>
      <c r="N105" s="1">
        <v>-4.96650305955196E-5</v>
      </c>
      <c r="O105" s="1">
        <v>7.2649527869418995E-5</v>
      </c>
      <c r="P105" s="1">
        <v>-4.6152072328675602E-5</v>
      </c>
    </row>
    <row r="106" spans="1:16" x14ac:dyDescent="0.2">
      <c r="A106">
        <v>105</v>
      </c>
      <c r="B106">
        <v>822</v>
      </c>
      <c r="C106">
        <v>100</v>
      </c>
      <c r="D106">
        <v>0.52396521024517195</v>
      </c>
      <c r="E106">
        <v>7.5079660378396502</v>
      </c>
      <c r="F106">
        <v>0.23596051628218601</v>
      </c>
      <c r="G106">
        <v>-167.66889520653339</v>
      </c>
      <c r="H106">
        <v>-92.372290996315783</v>
      </c>
      <c r="I106">
        <v>68.758285327373102</v>
      </c>
      <c r="J106">
        <v>25.077002639714902</v>
      </c>
      <c r="K106">
        <v>31.8187388133226</v>
      </c>
      <c r="L106">
        <v>1.6134744298960215E-3</v>
      </c>
      <c r="M106">
        <v>1.018828071333174E-3</v>
      </c>
      <c r="N106" s="1">
        <v>-5.01530684323878E-5</v>
      </c>
      <c r="O106" s="1">
        <v>7.2745353690553606E-5</v>
      </c>
      <c r="P106" s="1">
        <v>-4.6445853625460397E-5</v>
      </c>
    </row>
    <row r="107" spans="1:16" x14ac:dyDescent="0.2">
      <c r="A107">
        <v>106</v>
      </c>
      <c r="B107">
        <v>820</v>
      </c>
      <c r="C107">
        <v>100</v>
      </c>
      <c r="D107">
        <v>0.52296619860037497</v>
      </c>
      <c r="E107">
        <v>8.2711316353323401</v>
      </c>
      <c r="F107">
        <v>0.257227847862596</v>
      </c>
      <c r="G107">
        <v>-180.28229190883556</v>
      </c>
      <c r="H107">
        <v>-103.07435409144304</v>
      </c>
      <c r="I107">
        <v>70.632566096610304</v>
      </c>
      <c r="J107">
        <v>26.1309939349491</v>
      </c>
      <c r="K107">
        <v>32.154884100070397</v>
      </c>
      <c r="L107">
        <v>1.6078766216431485E-3</v>
      </c>
      <c r="M107">
        <v>1.0102473855510127E-3</v>
      </c>
      <c r="N107" s="1">
        <v>-5.0740813810788898E-5</v>
      </c>
      <c r="O107" s="1">
        <v>7.2978078391247207E-5</v>
      </c>
      <c r="P107" s="1">
        <v>-4.6831348860509897E-5</v>
      </c>
    </row>
    <row r="108" spans="1:16" x14ac:dyDescent="0.2">
      <c r="A108">
        <v>107</v>
      </c>
      <c r="B108">
        <v>818</v>
      </c>
      <c r="C108">
        <v>100</v>
      </c>
      <c r="D108">
        <v>0.52196352472162699</v>
      </c>
      <c r="E108">
        <v>9.0346030479870105</v>
      </c>
      <c r="F108">
        <v>0.27807155791141802</v>
      </c>
      <c r="G108">
        <v>-192.89063915848936</v>
      </c>
      <c r="H108">
        <v>-113.78160589822664</v>
      </c>
      <c r="I108">
        <v>72.504334816841805</v>
      </c>
      <c r="J108">
        <v>27.186596403998799</v>
      </c>
      <c r="K108">
        <v>32.490209052106799</v>
      </c>
      <c r="L108">
        <v>1.6024951370698897E-3</v>
      </c>
      <c r="M108">
        <v>1.0018362812545818E-3</v>
      </c>
      <c r="N108" s="1">
        <v>-5.1333713594304E-5</v>
      </c>
      <c r="O108" s="1">
        <v>7.3209873648907094E-5</v>
      </c>
      <c r="P108" s="1">
        <v>-4.7221097983374697E-5</v>
      </c>
    </row>
    <row r="109" spans="1:16" x14ac:dyDescent="0.2">
      <c r="A109">
        <v>108</v>
      </c>
      <c r="B109">
        <v>816</v>
      </c>
      <c r="C109">
        <v>100</v>
      </c>
      <c r="D109">
        <v>0.520957168434101</v>
      </c>
      <c r="E109">
        <v>9.7974714983740903</v>
      </c>
      <c r="F109">
        <v>0.29848359124518398</v>
      </c>
      <c r="G109">
        <v>-205.47872435976782</v>
      </c>
      <c r="H109">
        <v>-124.48141157976822</v>
      </c>
      <c r="I109">
        <v>74.371210862638193</v>
      </c>
      <c r="J109">
        <v>28.2426250198791</v>
      </c>
      <c r="K109">
        <v>32.824154445147002</v>
      </c>
      <c r="L109">
        <v>1.5973396783570053E-3</v>
      </c>
      <c r="M109">
        <v>9.9359892904913173E-4</v>
      </c>
      <c r="N109" s="1">
        <v>-5.1931384452902803E-5</v>
      </c>
      <c r="O109" s="1">
        <v>7.3440249357886297E-5</v>
      </c>
      <c r="P109" s="1">
        <v>-4.7614880537625502E-5</v>
      </c>
    </row>
    <row r="110" spans="1:16" x14ac:dyDescent="0.2">
      <c r="A110">
        <v>109</v>
      </c>
      <c r="B110">
        <v>814</v>
      </c>
      <c r="C110">
        <v>100</v>
      </c>
      <c r="D110">
        <v>0.51994710941452704</v>
      </c>
      <c r="E110">
        <v>10.5588425264639</v>
      </c>
      <c r="F110">
        <v>0.318457818923365</v>
      </c>
      <c r="G110">
        <v>-218.03160623986736</v>
      </c>
      <c r="H110">
        <v>-135.161336916294</v>
      </c>
      <c r="I110">
        <v>76.230861128543594</v>
      </c>
      <c r="J110">
        <v>29.297915070286901</v>
      </c>
      <c r="K110">
        <v>33.156172965578399</v>
      </c>
      <c r="L110">
        <v>1.5924188153276682E-3</v>
      </c>
      <c r="M110">
        <v>9.8553865912964648E-4</v>
      </c>
      <c r="N110" s="1">
        <v>-5.25334344277892E-5</v>
      </c>
      <c r="O110" s="1">
        <v>7.36687283796959E-5</v>
      </c>
      <c r="P110" s="1">
        <v>-4.8012480731403003E-5</v>
      </c>
    </row>
    <row r="111" spans="1:16" x14ac:dyDescent="0.2">
      <c r="A111">
        <v>110</v>
      </c>
      <c r="B111">
        <v>812</v>
      </c>
      <c r="C111">
        <v>100</v>
      </c>
      <c r="D111">
        <v>0.51893332718978802</v>
      </c>
      <c r="E111">
        <v>11.317846502125599</v>
      </c>
      <c r="F111">
        <v>0.33799008289482801</v>
      </c>
      <c r="G111">
        <v>-230.53478951691514</v>
      </c>
      <c r="H111">
        <v>-145.80929429007645</v>
      </c>
      <c r="I111">
        <v>78.081026899633699</v>
      </c>
      <c r="J111">
        <v>30.3513362659507</v>
      </c>
      <c r="K111">
        <v>33.485735454691898</v>
      </c>
      <c r="L111">
        <v>1.5877399165706791E-3</v>
      </c>
      <c r="M111">
        <v>9.7765793571539996E-4</v>
      </c>
      <c r="N111" s="1">
        <v>-5.3139466606257302E-5</v>
      </c>
      <c r="O111" s="1">
        <v>7.3894851830807003E-5</v>
      </c>
      <c r="P111" s="1">
        <v>-4.8413690981730301E-5</v>
      </c>
    </row>
    <row r="112" spans="1:16" x14ac:dyDescent="0.2">
      <c r="A112">
        <v>111</v>
      </c>
      <c r="B112">
        <v>810</v>
      </c>
      <c r="C112">
        <v>100</v>
      </c>
      <c r="D112">
        <v>0.517915801135579</v>
      </c>
      <c r="E112">
        <v>12.0736479680722</v>
      </c>
      <c r="F112">
        <v>0.35707819262152601</v>
      </c>
      <c r="G112">
        <v>-242.97437949334383</v>
      </c>
      <c r="H112">
        <v>-156.41367237918908</v>
      </c>
      <c r="I112">
        <v>79.919547526712805</v>
      </c>
      <c r="J112">
        <v>31.401805289411801</v>
      </c>
      <c r="K112">
        <v>33.812336394536601</v>
      </c>
      <c r="L112">
        <v>1.5833091124993019E-3</v>
      </c>
      <c r="M112">
        <v>9.6995835279287069E-4</v>
      </c>
      <c r="N112" s="1">
        <v>-5.3749082485346302E-5</v>
      </c>
      <c r="O112" s="1">
        <v>7.4118183667645502E-5</v>
      </c>
      <c r="P112" s="1">
        <v>-4.8818315108717201E-5</v>
      </c>
    </row>
    <row r="113" spans="1:16" x14ac:dyDescent="0.2">
      <c r="A113">
        <v>112</v>
      </c>
      <c r="B113">
        <v>808</v>
      </c>
      <c r="C113">
        <v>100</v>
      </c>
      <c r="D113">
        <v>0.51689451047495805</v>
      </c>
      <c r="E113">
        <v>12.8254536065769</v>
      </c>
      <c r="F113">
        <v>0.37572187790853201</v>
      </c>
      <c r="G113">
        <v>-255.33721320810173</v>
      </c>
      <c r="H113">
        <v>-166.96344669831996</v>
      </c>
      <c r="I113">
        <v>81.744380397896094</v>
      </c>
      <c r="J113">
        <v>32.4482965080688</v>
      </c>
      <c r="K113">
        <v>34.135498518133303</v>
      </c>
      <c r="L113">
        <v>1.579131288744325E-3</v>
      </c>
      <c r="M113">
        <v>9.6244064946656403E-4</v>
      </c>
      <c r="N113" s="1">
        <v>-5.4361884928090898E-5</v>
      </c>
      <c r="O113" s="1">
        <v>7.4338314473409395E-5</v>
      </c>
      <c r="P113" s="1">
        <v>-4.9226171104870397E-5</v>
      </c>
    </row>
    <row r="114" spans="1:16" x14ac:dyDescent="0.2">
      <c r="A114">
        <v>113</v>
      </c>
      <c r="B114">
        <v>806</v>
      </c>
      <c r="C114">
        <v>100</v>
      </c>
      <c r="D114">
        <v>0.51586943427697896</v>
      </c>
      <c r="E114">
        <v>13.572518717751199</v>
      </c>
      <c r="F114">
        <v>0.39392270393179202</v>
      </c>
      <c r="G114">
        <v>-267.61096537754577</v>
      </c>
      <c r="H114">
        <v>-177.44826943875549</v>
      </c>
      <c r="I114">
        <v>83.553616952565605</v>
      </c>
      <c r="J114">
        <v>33.489850704085498</v>
      </c>
      <c r="K114">
        <v>34.454776488590802</v>
      </c>
      <c r="L114">
        <v>1.5752101069146061E-3</v>
      </c>
      <c r="M114">
        <v>9.5510474241116675E-4</v>
      </c>
      <c r="N114" s="1">
        <v>-5.4977480655675301E-5</v>
      </c>
      <c r="O114" s="1">
        <v>7.4554864412388299E-5</v>
      </c>
      <c r="P114" s="1">
        <v>-4.9637093441909002E-5</v>
      </c>
    </row>
    <row r="115" spans="1:16" x14ac:dyDescent="0.2">
      <c r="A115">
        <v>114</v>
      </c>
      <c r="B115">
        <v>804</v>
      </c>
      <c r="C115">
        <v>100</v>
      </c>
      <c r="D115">
        <v>0.514840551455232</v>
      </c>
      <c r="E115">
        <v>14.314152170967899</v>
      </c>
      <c r="F115">
        <v>0.41168395532138802</v>
      </c>
      <c r="G115">
        <v>-279.78422857913239</v>
      </c>
      <c r="H115">
        <v>-187.85853808193693</v>
      </c>
      <c r="I115">
        <v>85.345494667425399</v>
      </c>
      <c r="J115">
        <v>34.525581769727197</v>
      </c>
      <c r="K115">
        <v>34.769759632224002</v>
      </c>
      <c r="L115">
        <v>1.571548048954757E-3</v>
      </c>
      <c r="M115">
        <v>9.4794977249732285E-4</v>
      </c>
      <c r="N115" s="1">
        <v>-5.5595482236491E-5</v>
      </c>
      <c r="O115" s="1">
        <v>7.4767485345222099E-5</v>
      </c>
      <c r="P115" s="1">
        <v>-5.00509348942464E-5</v>
      </c>
    </row>
    <row r="116" spans="1:16" x14ac:dyDescent="0.2">
      <c r="A116">
        <v>115</v>
      </c>
      <c r="B116">
        <v>802</v>
      </c>
      <c r="C116">
        <v>100</v>
      </c>
      <c r="D116">
        <v>0.51380784076640695</v>
      </c>
      <c r="E116">
        <v>15.049719865312399</v>
      </c>
      <c r="F116">
        <v>0.429010496637383</v>
      </c>
      <c r="G116">
        <v>-291.84656838112375</v>
      </c>
      <c r="H116">
        <v>-198.18544329662237</v>
      </c>
      <c r="I116">
        <v>87.118405141890904</v>
      </c>
      <c r="J116">
        <v>35.554681418489501</v>
      </c>
      <c r="K116">
        <v>35.080073758738401</v>
      </c>
      <c r="L116">
        <v>1.5681464807807725E-3</v>
      </c>
      <c r="M116">
        <v>9.40974162420895E-4</v>
      </c>
      <c r="N116" s="1">
        <v>-5.6215509567486103E-5</v>
      </c>
      <c r="O116" s="1">
        <v>7.4975862145853304E-5</v>
      </c>
      <c r="P116" s="1">
        <v>-5.0467567888933601E-5</v>
      </c>
    </row>
    <row r="117" spans="1:16" x14ac:dyDescent="0.2">
      <c r="A117">
        <v>116</v>
      </c>
      <c r="B117">
        <v>800</v>
      </c>
      <c r="C117">
        <v>100</v>
      </c>
      <c r="D117">
        <v>0.51277128080883805</v>
      </c>
      <c r="E117">
        <v>15.778646780889799</v>
      </c>
      <c r="F117">
        <v>0.44590861629004203</v>
      </c>
      <c r="G117">
        <v>-303.78855487282055</v>
      </c>
      <c r="H117">
        <v>-208.42099726229895</v>
      </c>
      <c r="I117">
        <v>88.870898522537104</v>
      </c>
      <c r="J117">
        <v>36.576422022231199</v>
      </c>
      <c r="K117">
        <v>35.3853821264278</v>
      </c>
      <c r="L117">
        <v>1.5650057308429113E-3</v>
      </c>
      <c r="M117">
        <v>9.3417568225458874E-4</v>
      </c>
      <c r="N117" s="1">
        <v>-5.6837190856842E-5</v>
      </c>
      <c r="O117" s="1">
        <v>7.5179713277654707E-5</v>
      </c>
      <c r="P117" s="1">
        <v>-5.0886885403360099E-5</v>
      </c>
    </row>
    <row r="118" spans="1:16" x14ac:dyDescent="0.2">
      <c r="A118">
        <v>117</v>
      </c>
      <c r="B118">
        <v>798</v>
      </c>
      <c r="C118">
        <v>100</v>
      </c>
      <c r="D118">
        <v>0.51173085002101004</v>
      </c>
      <c r="E118">
        <v>16.500417760833901</v>
      </c>
      <c r="F118">
        <v>0.46238586085278099</v>
      </c>
      <c r="G118">
        <v>-315.60177301019274</v>
      </c>
      <c r="H118">
        <v>-218.55804436977766</v>
      </c>
      <c r="I118">
        <v>90.6016846518812</v>
      </c>
      <c r="J118">
        <v>37.5901577621512</v>
      </c>
      <c r="K118">
        <v>35.685385643934097</v>
      </c>
      <c r="L118">
        <v>1.5621251791151645E-3</v>
      </c>
      <c r="M118">
        <v>9.2755151985956705E-4</v>
      </c>
      <c r="N118" s="1">
        <v>-5.7460163140477597E-5</v>
      </c>
      <c r="O118" s="1">
        <v>7.5378790714157205E-5</v>
      </c>
      <c r="P118" s="1">
        <v>-5.13088014517087E-5</v>
      </c>
    </row>
    <row r="119" spans="1:16" x14ac:dyDescent="0.2">
      <c r="A119">
        <v>118</v>
      </c>
      <c r="B119">
        <v>796</v>
      </c>
      <c r="C119">
        <v>100</v>
      </c>
      <c r="D119">
        <v>0.51068652668007097</v>
      </c>
      <c r="E119">
        <v>17.854065530347</v>
      </c>
      <c r="F119">
        <v>0.491443400245966</v>
      </c>
      <c r="G119">
        <v>-337.90936645207023</v>
      </c>
      <c r="H119">
        <v>-237.59546154867039</v>
      </c>
      <c r="I119">
        <v>93.829868384713706</v>
      </c>
      <c r="J119">
        <v>39.415720439489597</v>
      </c>
      <c r="K119">
        <v>36.3298510498079</v>
      </c>
      <c r="L119">
        <v>1.5497880835464606E-3</v>
      </c>
      <c r="M119">
        <v>9.1531696489480739E-4</v>
      </c>
      <c r="N119" s="1">
        <v>-5.8281425739715102E-5</v>
      </c>
      <c r="O119" s="1">
        <v>7.5828343922645605E-5</v>
      </c>
      <c r="P119" s="1">
        <v>-5.1908123026184399E-5</v>
      </c>
    </row>
    <row r="120" spans="1:16" x14ac:dyDescent="0.2">
      <c r="A120">
        <v>119</v>
      </c>
      <c r="B120">
        <v>794</v>
      </c>
      <c r="C120">
        <v>100</v>
      </c>
      <c r="D120">
        <v>0.50963828890034402</v>
      </c>
      <c r="E120">
        <v>21.763642257791201</v>
      </c>
      <c r="F120">
        <v>0.56722719127105603</v>
      </c>
      <c r="G120">
        <v>-402.64724670848506</v>
      </c>
      <c r="H120">
        <v>-292.60757987717767</v>
      </c>
      <c r="I120">
        <v>103.119576722556</v>
      </c>
      <c r="J120">
        <v>44.5210404203211</v>
      </c>
      <c r="K120">
        <v>38.3684749121824</v>
      </c>
      <c r="L120">
        <v>1.5021059902938225E-3</v>
      </c>
      <c r="M120">
        <v>8.8223552861969303E-4</v>
      </c>
      <c r="N120" s="1">
        <v>-5.9898916179466997E-5</v>
      </c>
      <c r="O120" s="1">
        <v>7.7289680849702299E-5</v>
      </c>
      <c r="P120" s="1">
        <v>-5.3212066668675E-5</v>
      </c>
    </row>
    <row r="121" spans="1:16" x14ac:dyDescent="0.2">
      <c r="A121">
        <v>120</v>
      </c>
      <c r="B121">
        <v>792</v>
      </c>
      <c r="C121">
        <v>100</v>
      </c>
      <c r="D121">
        <v>0.50858611463174297</v>
      </c>
      <c r="E121">
        <v>25.772722670281698</v>
      </c>
      <c r="F121">
        <v>0.63709586809960606</v>
      </c>
      <c r="G121">
        <v>-468.93629075886804</v>
      </c>
      <c r="H121">
        <v>-348.98107291223772</v>
      </c>
      <c r="I121">
        <v>112.622353219405</v>
      </c>
      <c r="J121">
        <v>49.753566406919397</v>
      </c>
      <c r="K121">
        <v>40.453445016303803</v>
      </c>
      <c r="L121">
        <v>1.4582571681066637E-3</v>
      </c>
      <c r="M121">
        <v>8.5170756387881164E-4</v>
      </c>
      <c r="N121" s="1">
        <v>-6.1555570030857304E-5</v>
      </c>
      <c r="O121" s="1">
        <v>7.8773926215065297E-5</v>
      </c>
      <c r="P121" s="1">
        <v>-5.4548194233107801E-5</v>
      </c>
    </row>
    <row r="122" spans="1:16" x14ac:dyDescent="0.2">
      <c r="A122">
        <v>121</v>
      </c>
      <c r="B122">
        <v>790</v>
      </c>
      <c r="C122">
        <v>100</v>
      </c>
      <c r="D122">
        <v>0.507529981658283</v>
      </c>
      <c r="E122">
        <v>29.969983561212501</v>
      </c>
      <c r="F122">
        <v>0.70300359205543805</v>
      </c>
      <c r="G122">
        <v>-538.22439327802556</v>
      </c>
      <c r="H122">
        <v>-407.94590871384656</v>
      </c>
      <c r="I122">
        <v>122.54438396616101</v>
      </c>
      <c r="J122">
        <v>55.2252978991378</v>
      </c>
      <c r="K122">
        <v>42.631337734116499</v>
      </c>
      <c r="L122">
        <v>1.4168213506323469E-3</v>
      </c>
      <c r="M122">
        <v>8.2286455927299779E-4</v>
      </c>
      <c r="N122" s="1">
        <v>-6.3275521339280604E-5</v>
      </c>
      <c r="O122" s="1">
        <v>8.0311075915393096E-5</v>
      </c>
      <c r="P122" s="1">
        <v>-5.59380649429469E-5</v>
      </c>
    </row>
    <row r="123" spans="1:16" x14ac:dyDescent="0.2">
      <c r="A123">
        <v>122</v>
      </c>
      <c r="B123">
        <v>788</v>
      </c>
      <c r="C123">
        <v>100</v>
      </c>
      <c r="D123">
        <v>0.50646986759647905</v>
      </c>
      <c r="E123">
        <v>34.517209931281897</v>
      </c>
      <c r="F123">
        <v>0.76726680320001195</v>
      </c>
      <c r="G123">
        <v>-613.15243735177432</v>
      </c>
      <c r="H123">
        <v>-471.74610894930572</v>
      </c>
      <c r="I123">
        <v>133.26203432614301</v>
      </c>
      <c r="J123">
        <v>61.140761000570102</v>
      </c>
      <c r="K123">
        <v>44.987232325603202</v>
      </c>
      <c r="L123">
        <v>1.3760575209207028E-3</v>
      </c>
      <c r="M123">
        <v>7.9466825278262058E-4</v>
      </c>
      <c r="N123" s="1">
        <v>-6.5103631587667206E-5</v>
      </c>
      <c r="O123" s="1">
        <v>8.1956175577490602E-5</v>
      </c>
      <c r="P123" s="1">
        <v>-5.7421303313352399E-5</v>
      </c>
    </row>
    <row r="124" spans="1:16" x14ac:dyDescent="0.2">
      <c r="A124">
        <v>123</v>
      </c>
      <c r="B124">
        <v>786</v>
      </c>
      <c r="C124">
        <v>100</v>
      </c>
      <c r="D124">
        <v>0.50540574989378495</v>
      </c>
      <c r="E124">
        <v>39.738099193001901</v>
      </c>
      <c r="F124">
        <v>0.83323677858262601</v>
      </c>
      <c r="G124">
        <v>-699.00167596035374</v>
      </c>
      <c r="H124">
        <v>-544.87077790998774</v>
      </c>
      <c r="I124">
        <v>145.527727213736</v>
      </c>
      <c r="J124">
        <v>67.909109779909102</v>
      </c>
      <c r="K124">
        <v>47.6912448111066</v>
      </c>
      <c r="L124">
        <v>1.3333681965650968E-3</v>
      </c>
      <c r="M124">
        <v>7.6560471276091368E-4</v>
      </c>
      <c r="N124" s="1">
        <v>-6.7130269660660706E-5</v>
      </c>
      <c r="O124" s="1">
        <v>8.3819157215618201E-5</v>
      </c>
      <c r="P124" s="1">
        <v>-5.9077172412586897E-5</v>
      </c>
    </row>
    <row r="125" spans="1:16" x14ac:dyDescent="0.2">
      <c r="A125">
        <v>124</v>
      </c>
      <c r="B125">
        <v>784</v>
      </c>
      <c r="C125">
        <v>100</v>
      </c>
      <c r="D125">
        <v>0.50433760582698905</v>
      </c>
      <c r="E125">
        <v>55.215019289930602</v>
      </c>
      <c r="F125">
        <v>0.989532857818058</v>
      </c>
      <c r="G125">
        <v>-951.0791110606857</v>
      </c>
      <c r="H125">
        <v>-759.00013272694548</v>
      </c>
      <c r="I125">
        <v>181.69994397961199</v>
      </c>
      <c r="J125">
        <v>87.644751138252303</v>
      </c>
      <c r="K125">
        <v>55.799076153651903</v>
      </c>
      <c r="L125">
        <v>1.2206452924193542E-3</v>
      </c>
      <c r="M125">
        <v>6.9635220958516294E-4</v>
      </c>
      <c r="N125" s="1">
        <v>-7.2122599457223496E-5</v>
      </c>
      <c r="O125" s="1">
        <v>8.9310349710074305E-5</v>
      </c>
      <c r="P125" s="1">
        <v>-6.3326988941693994E-5</v>
      </c>
    </row>
    <row r="126" spans="1:16" x14ac:dyDescent="0.2">
      <c r="A126">
        <v>125</v>
      </c>
      <c r="B126">
        <v>782</v>
      </c>
      <c r="C126">
        <v>100</v>
      </c>
      <c r="D126">
        <v>0.50326541250059598</v>
      </c>
      <c r="E126">
        <v>87.306675645676805</v>
      </c>
      <c r="F126">
        <v>1.2029035266602099</v>
      </c>
      <c r="G126">
        <v>-1472.8132279503852</v>
      </c>
      <c r="H126">
        <v>-1202.404264399371</v>
      </c>
      <c r="I126">
        <v>256.28084243675698</v>
      </c>
      <c r="J126">
        <v>128.338627746019</v>
      </c>
      <c r="K126">
        <v>72.579948192585704</v>
      </c>
      <c r="L126">
        <v>1.0622488832341325E-3</v>
      </c>
      <c r="M126">
        <v>6.0158252852222482E-4</v>
      </c>
      <c r="N126" s="1">
        <v>-8.1815644627485399E-5</v>
      </c>
      <c r="O126">
        <v>1.00472423452166E-4</v>
      </c>
      <c r="P126" s="1">
        <v>-7.1675480937424496E-5</v>
      </c>
    </row>
    <row r="127" spans="1:16" x14ac:dyDescent="0.2">
      <c r="A127">
        <v>126</v>
      </c>
      <c r="B127">
        <v>780</v>
      </c>
      <c r="C127">
        <v>100</v>
      </c>
      <c r="D127">
        <v>0.50218914684517901</v>
      </c>
      <c r="E127">
        <v>97.886966738088603</v>
      </c>
      <c r="F127">
        <v>1.2552496515193099</v>
      </c>
      <c r="G127">
        <v>-1644.3930691155654</v>
      </c>
      <c r="H127">
        <v>-1348.8731712370302</v>
      </c>
      <c r="I127">
        <v>280.61138267256899</v>
      </c>
      <c r="J127">
        <v>141.81072065304599</v>
      </c>
      <c r="K127">
        <v>77.982070434841106</v>
      </c>
      <c r="L127">
        <v>1.0279105309316801E-3</v>
      </c>
      <c r="M127">
        <v>5.7868030696491381E-4</v>
      </c>
      <c r="N127" s="1">
        <v>-8.53618274921338E-5</v>
      </c>
      <c r="O127">
        <v>1.03986334626416E-4</v>
      </c>
      <c r="P127" s="1">
        <v>-7.4638838685907994E-5</v>
      </c>
    </row>
    <row r="128" spans="1:16" x14ac:dyDescent="0.2">
      <c r="A128">
        <v>127</v>
      </c>
      <c r="B128">
        <v>778</v>
      </c>
      <c r="C128">
        <v>100</v>
      </c>
      <c r="D128">
        <v>0.501108785615755</v>
      </c>
      <c r="E128">
        <v>101.792663783002</v>
      </c>
      <c r="F128">
        <v>1.27452789475865</v>
      </c>
      <c r="G128">
        <v>-1707.3425503356098</v>
      </c>
      <c r="H128">
        <v>-1403.1560069614955</v>
      </c>
      <c r="I128">
        <v>289.39028788382097</v>
      </c>
      <c r="J128">
        <v>146.84470758905101</v>
      </c>
      <c r="K128">
        <v>79.866956385664906</v>
      </c>
      <c r="L128">
        <v>1.0191321574955039E-3</v>
      </c>
      <c r="M128">
        <v>5.7051140017948764E-4</v>
      </c>
      <c r="N128" s="1">
        <v>-8.7008060872132697E-5</v>
      </c>
      <c r="O128">
        <v>1.05152348185606E-4</v>
      </c>
      <c r="P128" s="1">
        <v>-7.5945192154124703E-5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33C4D-02A7-4120-9188-C8508F5E49B9}">
  <sheetPr codeName="Sheet6"/>
  <dimension ref="A1:AN15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130</v>
      </c>
      <c r="AK1" t="s">
        <v>131</v>
      </c>
      <c r="AL1" t="s">
        <v>132</v>
      </c>
      <c r="AM1" t="s">
        <v>133</v>
      </c>
      <c r="AN1" t="s">
        <v>80</v>
      </c>
    </row>
    <row r="2" spans="1:40" x14ac:dyDescent="0.2">
      <c r="A2">
        <v>10</v>
      </c>
      <c r="B2">
        <v>734</v>
      </c>
      <c r="C2">
        <v>300</v>
      </c>
      <c r="D2">
        <v>0.25781710768008598</v>
      </c>
      <c r="E2">
        <v>4.4435625826668497E-2</v>
      </c>
      <c r="F2">
        <v>4.6621893856694703</v>
      </c>
      <c r="G2">
        <v>-0.41987778918832142</v>
      </c>
      <c r="H2">
        <v>-0.34155860042649128</v>
      </c>
      <c r="I2">
        <v>7.7763182010455303E-2</v>
      </c>
      <c r="J2">
        <v>4.06747520960953E-2</v>
      </c>
      <c r="K2">
        <v>9.5310640883130206E-3</v>
      </c>
      <c r="L2">
        <v>3.1684552132945575E-5</v>
      </c>
      <c r="M2">
        <v>5.5251081498087321E-7</v>
      </c>
      <c r="N2" s="1">
        <v>4.9268055145764401E-11</v>
      </c>
      <c r="O2" s="1">
        <v>2.0846431854035201E-14</v>
      </c>
      <c r="P2" s="1">
        <v>6.9751214099110504E-14</v>
      </c>
      <c r="R2">
        <v>47.306230878249899</v>
      </c>
      <c r="S2">
        <v>2.2587283927451698</v>
      </c>
      <c r="T2">
        <v>9.7105797679936696</v>
      </c>
      <c r="V2">
        <v>37.7403333517139</v>
      </c>
      <c r="W2">
        <v>0.67711723950880498</v>
      </c>
      <c r="X2">
        <v>2.3070103697884901</v>
      </c>
      <c r="AJ2">
        <v>8.4794759327340902E-2</v>
      </c>
      <c r="AK2">
        <v>9.0081037957530294E-2</v>
      </c>
      <c r="AL2">
        <v>0.77816670608382699</v>
      </c>
      <c r="AM2">
        <v>1.4140362074433199E-2</v>
      </c>
      <c r="AN2">
        <v>3.2817134556868202E-2</v>
      </c>
    </row>
    <row r="3" spans="1:40" x14ac:dyDescent="0.2">
      <c r="A3">
        <v>11</v>
      </c>
      <c r="B3">
        <v>732</v>
      </c>
      <c r="C3">
        <v>300</v>
      </c>
      <c r="D3">
        <v>0.256201064517732</v>
      </c>
      <c r="E3">
        <v>6.4987327636608805E-2</v>
      </c>
      <c r="F3">
        <v>4.6673075416103398</v>
      </c>
      <c r="G3">
        <v>-0.61529163622173133</v>
      </c>
      <c r="H3">
        <v>-0.50079765194503534</v>
      </c>
      <c r="I3">
        <v>0.113907361365662</v>
      </c>
      <c r="J3">
        <v>5.9358663976487203E-2</v>
      </c>
      <c r="K3">
        <v>1.39239437421315E-2</v>
      </c>
      <c r="L3">
        <v>3.1493880291988464E-5</v>
      </c>
      <c r="M3">
        <v>5.5196852638231545E-7</v>
      </c>
      <c r="N3" s="1">
        <v>8.2811168381864296E-11</v>
      </c>
      <c r="O3" s="1">
        <v>3.0428050232237199E-14</v>
      </c>
      <c r="P3" s="1">
        <v>8.7684224727678199E-14</v>
      </c>
      <c r="R3">
        <v>47.205760016847201</v>
      </c>
      <c r="S3">
        <v>2.3730966798435902</v>
      </c>
      <c r="T3">
        <v>9.7989028405865302</v>
      </c>
      <c r="V3">
        <v>36.991649289328102</v>
      </c>
      <c r="W3">
        <v>1.3189152102904</v>
      </c>
      <c r="X3">
        <v>2.3116759631041401</v>
      </c>
      <c r="AJ3">
        <v>8.4913753005478002E-2</v>
      </c>
      <c r="AK3">
        <v>9.0844217166173899E-2</v>
      </c>
      <c r="AL3">
        <v>0.76225840605360495</v>
      </c>
      <c r="AM3">
        <v>2.7526129541893998E-2</v>
      </c>
      <c r="AN3">
        <v>3.4457494232848399E-2</v>
      </c>
    </row>
    <row r="4" spans="1:40" x14ac:dyDescent="0.2">
      <c r="A4">
        <v>19</v>
      </c>
      <c r="B4">
        <v>738</v>
      </c>
      <c r="C4">
        <v>275</v>
      </c>
      <c r="D4">
        <v>0.28822677149780002</v>
      </c>
      <c r="E4">
        <v>2.89178753875344E-2</v>
      </c>
      <c r="F4">
        <v>4.6578051553603901</v>
      </c>
      <c r="G4">
        <v>-0.27388240551080861</v>
      </c>
      <c r="H4">
        <v>-0.2225875919143126</v>
      </c>
      <c r="I4">
        <v>5.0729183203773801E-2</v>
      </c>
      <c r="J4">
        <v>2.65084068848579E-2</v>
      </c>
      <c r="K4">
        <v>6.2084768303917902E-3</v>
      </c>
      <c r="L4">
        <v>3.1682713804738644E-5</v>
      </c>
      <c r="M4">
        <v>5.5283311694201698E-7</v>
      </c>
      <c r="N4" s="1">
        <v>3.0204150879027002E-11</v>
      </c>
      <c r="O4" s="1">
        <v>1.3560817597653999E-14</v>
      </c>
      <c r="P4" s="1">
        <v>4.9807470258064901E-14</v>
      </c>
      <c r="R4">
        <v>47.320451044137101</v>
      </c>
      <c r="S4">
        <v>2.2191456016466899</v>
      </c>
      <c r="T4">
        <v>9.8112590967290991</v>
      </c>
      <c r="V4">
        <v>37.607839565668399</v>
      </c>
      <c r="W4">
        <v>0.62079304471705099</v>
      </c>
      <c r="X4">
        <v>2.4205116471015402</v>
      </c>
      <c r="AJ4">
        <v>8.89111793136214E-2</v>
      </c>
      <c r="AK4">
        <v>9.0958375450982801E-2</v>
      </c>
      <c r="AL4">
        <v>0.774952400631993</v>
      </c>
      <c r="AM4">
        <v>1.29560683411845E-2</v>
      </c>
      <c r="AN4">
        <v>3.2221976262217802E-2</v>
      </c>
    </row>
    <row r="5" spans="1:40" x14ac:dyDescent="0.2">
      <c r="A5">
        <v>20</v>
      </c>
      <c r="B5">
        <v>736</v>
      </c>
      <c r="C5">
        <v>275</v>
      </c>
      <c r="D5">
        <v>0.28667740177377199</v>
      </c>
      <c r="E5">
        <v>5.8167072634414202E-2</v>
      </c>
      <c r="F5">
        <v>4.6632295821902501</v>
      </c>
      <c r="G5">
        <v>-0.5520897031161387</v>
      </c>
      <c r="H5">
        <v>-0.44893692164099336</v>
      </c>
      <c r="I5">
        <v>0.102217491428573</v>
      </c>
      <c r="J5">
        <v>5.3198562879076101E-2</v>
      </c>
      <c r="K5">
        <v>1.24735597098982E-2</v>
      </c>
      <c r="L5">
        <v>3.1486463623722817E-5</v>
      </c>
      <c r="M5">
        <v>5.5228249225545307E-7</v>
      </c>
      <c r="N5" s="1">
        <v>7.1387614242953005E-11</v>
      </c>
      <c r="O5" s="1">
        <v>2.72227906773253E-14</v>
      </c>
      <c r="P5" s="1">
        <v>8.60760885946231E-14</v>
      </c>
      <c r="R5">
        <v>47.219490040298503</v>
      </c>
      <c r="S5">
        <v>2.3336259115139</v>
      </c>
      <c r="T5">
        <v>9.9044083246441801</v>
      </c>
      <c r="V5">
        <v>36.8027854138343</v>
      </c>
      <c r="W5">
        <v>1.3101716284313001</v>
      </c>
      <c r="X5">
        <v>2.4295186812776599</v>
      </c>
      <c r="AJ5">
        <v>8.9183607214624705E-2</v>
      </c>
      <c r="AK5">
        <v>9.1761833851318295E-2</v>
      </c>
      <c r="AL5">
        <v>0.75786688218048304</v>
      </c>
      <c r="AM5">
        <v>2.7325629511885999E-2</v>
      </c>
      <c r="AN5">
        <v>3.3862047241687503E-2</v>
      </c>
    </row>
    <row r="6" spans="1:40" x14ac:dyDescent="0.2">
      <c r="A6">
        <v>27</v>
      </c>
      <c r="B6">
        <v>742</v>
      </c>
      <c r="C6">
        <v>250</v>
      </c>
      <c r="D6">
        <v>0.318396788651924</v>
      </c>
      <c r="E6">
        <v>1.7256263869847702E-2</v>
      </c>
      <c r="F6">
        <v>4.6542127045972901</v>
      </c>
      <c r="G6">
        <v>-0.16386088301853538</v>
      </c>
      <c r="H6">
        <v>-0.13304544984683439</v>
      </c>
      <c r="I6">
        <v>3.0355546640103401E-2</v>
      </c>
      <c r="J6">
        <v>1.5836102142724101E-2</v>
      </c>
      <c r="K6">
        <v>3.7076654990010499E-3</v>
      </c>
      <c r="L6">
        <v>3.1657161426153618E-5</v>
      </c>
      <c r="M6">
        <v>5.5310320884817659E-7</v>
      </c>
      <c r="N6" s="1">
        <v>1.7493586663464601E-11</v>
      </c>
      <c r="O6" s="1">
        <v>8.0877598683356908E-15</v>
      </c>
      <c r="P6" s="1">
        <v>3.1537307332972202E-14</v>
      </c>
      <c r="R6">
        <v>47.326986236216598</v>
      </c>
      <c r="S6">
        <v>2.1842531164315999</v>
      </c>
      <c r="T6">
        <v>9.9256522818947595</v>
      </c>
      <c r="V6">
        <v>37.364301210018503</v>
      </c>
      <c r="W6">
        <v>0.66151648490737702</v>
      </c>
      <c r="X6">
        <v>2.5372906705310601</v>
      </c>
      <c r="AJ6">
        <v>9.3137886483725396E-2</v>
      </c>
      <c r="AK6">
        <v>9.1956825244547805E-2</v>
      </c>
      <c r="AL6">
        <v>0.76941468128768098</v>
      </c>
      <c r="AM6">
        <v>1.37966618750558E-2</v>
      </c>
      <c r="AN6">
        <v>3.1693945108989E-2</v>
      </c>
    </row>
    <row r="7" spans="1:40" x14ac:dyDescent="0.2">
      <c r="A7">
        <v>28</v>
      </c>
      <c r="B7">
        <v>740</v>
      </c>
      <c r="C7">
        <v>250</v>
      </c>
      <c r="D7">
        <v>0.31691309282929903</v>
      </c>
      <c r="E7">
        <v>5.1473834657857799E-2</v>
      </c>
      <c r="F7">
        <v>4.6598899990564497</v>
      </c>
      <c r="G7">
        <v>-0.4898491948667873</v>
      </c>
      <c r="H7">
        <v>-0.39794294603306585</v>
      </c>
      <c r="I7">
        <v>9.0713368043943601E-2</v>
      </c>
      <c r="J7">
        <v>4.7126469741374903E-2</v>
      </c>
      <c r="K7">
        <v>1.1046148013854401E-2</v>
      </c>
      <c r="L7">
        <v>3.1457077076255291E-5</v>
      </c>
      <c r="M7">
        <v>5.5253487880506087E-7</v>
      </c>
      <c r="N7" s="1">
        <v>6.1255324889404801E-11</v>
      </c>
      <c r="O7" s="1">
        <v>2.40718226862848E-14</v>
      </c>
      <c r="P7" s="1">
        <v>8.2333245013702606E-14</v>
      </c>
      <c r="R7">
        <v>47.220306162407901</v>
      </c>
      <c r="S7">
        <v>2.29739186298676</v>
      </c>
      <c r="T7">
        <v>10.0327349273867</v>
      </c>
      <c r="V7">
        <v>36.522565812763602</v>
      </c>
      <c r="W7">
        <v>1.3789522153587599</v>
      </c>
      <c r="X7">
        <v>2.5480490190960001</v>
      </c>
      <c r="AJ7">
        <v>9.3471262531012594E-2</v>
      </c>
      <c r="AK7">
        <v>9.2887746001160607E-2</v>
      </c>
      <c r="AL7">
        <v>0.75158665272831604</v>
      </c>
      <c r="AM7">
        <v>2.8740660243085001E-2</v>
      </c>
      <c r="AN7">
        <v>3.3313678496425601E-2</v>
      </c>
    </row>
    <row r="8" spans="1:40" x14ac:dyDescent="0.2">
      <c r="A8">
        <v>37</v>
      </c>
      <c r="B8">
        <v>746</v>
      </c>
      <c r="C8">
        <v>225</v>
      </c>
      <c r="D8">
        <v>0.34832998086640898</v>
      </c>
      <c r="E8">
        <v>1.4224698806595999E-2</v>
      </c>
      <c r="F8">
        <v>4.6512538479099304</v>
      </c>
      <c r="G8">
        <v>-0.13547996315451086</v>
      </c>
      <c r="H8">
        <v>-0.10989772790233783</v>
      </c>
      <c r="I8">
        <v>2.5101540746870401E-2</v>
      </c>
      <c r="J8">
        <v>1.3065166235626801E-2</v>
      </c>
      <c r="K8">
        <v>3.0582503711312102E-3</v>
      </c>
      <c r="L8">
        <v>3.160697528911416E-5</v>
      </c>
      <c r="M8">
        <v>5.5329566009833268E-7</v>
      </c>
      <c r="N8" s="1">
        <v>1.4392427846273899E-11</v>
      </c>
      <c r="O8" s="1">
        <v>6.6617030383925504E-15</v>
      </c>
      <c r="P8" s="1">
        <v>2.6965048615491299E-14</v>
      </c>
      <c r="R8">
        <v>47.321664082008198</v>
      </c>
      <c r="S8">
        <v>2.1633159786280798</v>
      </c>
      <c r="T8">
        <v>10.054074087561601</v>
      </c>
      <c r="V8">
        <v>37.0015938649018</v>
      </c>
      <c r="W8">
        <v>0.79989908003096999</v>
      </c>
      <c r="X8">
        <v>2.6594529068692601</v>
      </c>
      <c r="AJ8">
        <v>9.7545361528655103E-2</v>
      </c>
      <c r="AK8">
        <v>9.3073309294931003E-2</v>
      </c>
      <c r="AL8">
        <v>0.76134622511081895</v>
      </c>
      <c r="AM8">
        <v>1.6669658749970201E-2</v>
      </c>
      <c r="AN8">
        <v>3.1365445315624102E-2</v>
      </c>
    </row>
    <row r="9" spans="1:40" x14ac:dyDescent="0.2">
      <c r="A9">
        <v>38</v>
      </c>
      <c r="B9">
        <v>744</v>
      </c>
      <c r="C9">
        <v>225</v>
      </c>
      <c r="D9">
        <v>0.34691097674876298</v>
      </c>
      <c r="E9">
        <v>4.6124571842215502E-2</v>
      </c>
      <c r="F9">
        <v>4.6568699182393498</v>
      </c>
      <c r="G9">
        <v>-0.4401989303221247</v>
      </c>
      <c r="H9">
        <v>-0.35726583193277905</v>
      </c>
      <c r="I9">
        <v>8.15347769644061E-2</v>
      </c>
      <c r="J9">
        <v>4.22696075300543E-2</v>
      </c>
      <c r="K9">
        <v>9.9046296443801307E-3</v>
      </c>
      <c r="L9">
        <v>3.1413516154021324E-5</v>
      </c>
      <c r="M9">
        <v>5.5272302494841125E-7</v>
      </c>
      <c r="N9" s="1">
        <v>5.33223168243952E-11</v>
      </c>
      <c r="O9" s="1">
        <v>2.1547481478071399E-14</v>
      </c>
      <c r="P9" s="1">
        <v>7.9251225579002905E-14</v>
      </c>
      <c r="R9">
        <v>47.208665673930902</v>
      </c>
      <c r="S9">
        <v>2.2739729294042901</v>
      </c>
      <c r="T9">
        <v>10.1744488749758</v>
      </c>
      <c r="V9">
        <v>36.174053176208801</v>
      </c>
      <c r="W9">
        <v>1.4998823267490999</v>
      </c>
      <c r="X9">
        <v>2.66897701873101</v>
      </c>
      <c r="AJ9">
        <v>9.7833254703206807E-2</v>
      </c>
      <c r="AK9">
        <v>9.4128538954298305E-2</v>
      </c>
      <c r="AL9">
        <v>0.74385157795481605</v>
      </c>
      <c r="AM9">
        <v>3.12374841665925E-2</v>
      </c>
      <c r="AN9">
        <v>3.29491442210861E-2</v>
      </c>
    </row>
    <row r="10" spans="1:40" x14ac:dyDescent="0.2">
      <c r="A10">
        <v>50</v>
      </c>
      <c r="B10">
        <v>750</v>
      </c>
      <c r="C10">
        <v>200</v>
      </c>
      <c r="D10">
        <v>0.37802912573913899</v>
      </c>
      <c r="E10">
        <v>2.0612198320570201E-2</v>
      </c>
      <c r="F10">
        <v>4.6494567717856397</v>
      </c>
      <c r="G10">
        <v>-0.19702284590423846</v>
      </c>
      <c r="H10">
        <v>-0.15966644425801804</v>
      </c>
      <c r="I10">
        <v>3.6511168104598903E-2</v>
      </c>
      <c r="J10">
        <v>1.8939305703239401E-2</v>
      </c>
      <c r="K10">
        <v>4.4332487282496098E-3</v>
      </c>
      <c r="L10">
        <v>3.1511842680123886E-5</v>
      </c>
      <c r="M10">
        <v>5.5333234044960314E-7</v>
      </c>
      <c r="N10" s="1">
        <v>2.1479445757017701E-11</v>
      </c>
      <c r="O10" s="1">
        <v>9.6392080085791994E-15</v>
      </c>
      <c r="P10" s="1">
        <v>3.9757392486528798E-14</v>
      </c>
      <c r="R10">
        <v>47.287782090360999</v>
      </c>
      <c r="S10">
        <v>2.16673835312552</v>
      </c>
      <c r="T10">
        <v>10.2200293687265</v>
      </c>
      <c r="V10">
        <v>36.433871001057902</v>
      </c>
      <c r="W10">
        <v>1.1028819104142</v>
      </c>
      <c r="X10">
        <v>2.7886972763147302</v>
      </c>
      <c r="AJ10">
        <v>0.10218788118627101</v>
      </c>
      <c r="AK10">
        <v>9.4518957298885306E-2</v>
      </c>
      <c r="AL10">
        <v>0.74894648460690305</v>
      </c>
      <c r="AM10">
        <v>2.2961710070959901E-2</v>
      </c>
      <c r="AN10">
        <v>3.1384966836979597E-2</v>
      </c>
    </row>
    <row r="11" spans="1:40" x14ac:dyDescent="0.2">
      <c r="A11">
        <v>51</v>
      </c>
      <c r="B11">
        <v>748</v>
      </c>
      <c r="C11">
        <v>200</v>
      </c>
      <c r="D11">
        <v>0.37667384811242399</v>
      </c>
      <c r="E11">
        <v>4.33882819299218E-2</v>
      </c>
      <c r="F11">
        <v>4.6545663776736701</v>
      </c>
      <c r="G11">
        <v>-0.41542833139817525</v>
      </c>
      <c r="H11">
        <v>-0.33683728639297911</v>
      </c>
      <c r="I11">
        <v>7.6963271806488903E-2</v>
      </c>
      <c r="J11">
        <v>3.97945532505335E-2</v>
      </c>
      <c r="K11">
        <v>9.3216592931277594E-3</v>
      </c>
      <c r="L11">
        <v>3.1345879942516576E-5</v>
      </c>
      <c r="M11">
        <v>5.5279282754862689E-7</v>
      </c>
      <c r="N11" s="1">
        <v>4.8740298897112001E-11</v>
      </c>
      <c r="O11" s="1">
        <v>2.0235099927108801E-14</v>
      </c>
      <c r="P11" s="1">
        <v>7.9959821658495704E-14</v>
      </c>
      <c r="R11">
        <v>47.171193158933598</v>
      </c>
      <c r="S11">
        <v>2.27320132452857</v>
      </c>
      <c r="T11">
        <v>10.346361476342301</v>
      </c>
      <c r="V11">
        <v>35.692296426942903</v>
      </c>
      <c r="W11">
        <v>1.7238935147897401</v>
      </c>
      <c r="X11">
        <v>2.7930540984627301</v>
      </c>
      <c r="AJ11">
        <v>0.102290721168982</v>
      </c>
      <c r="AK11">
        <v>9.5634214856235106E-2</v>
      </c>
      <c r="AL11">
        <v>0.73329518362382096</v>
      </c>
      <c r="AM11">
        <v>3.5871085772017301E-2</v>
      </c>
      <c r="AN11">
        <v>3.2908794578942802E-2</v>
      </c>
    </row>
    <row r="12" spans="1:40" x14ac:dyDescent="0.2">
      <c r="A12">
        <v>66</v>
      </c>
      <c r="B12">
        <v>754</v>
      </c>
      <c r="C12">
        <v>175</v>
      </c>
      <c r="D12">
        <v>0.40749695760112897</v>
      </c>
      <c r="E12">
        <v>2.9863247038384302E-2</v>
      </c>
      <c r="F12">
        <v>4.64907101622107</v>
      </c>
      <c r="G12">
        <v>-0.28664980517407163</v>
      </c>
      <c r="H12">
        <v>-0.23207029631531734</v>
      </c>
      <c r="I12">
        <v>5.3136843556203302E-2</v>
      </c>
      <c r="J12">
        <v>2.74414885560939E-2</v>
      </c>
      <c r="K12">
        <v>6.4234869577574601E-3</v>
      </c>
      <c r="L12">
        <v>3.1370974429959634E-5</v>
      </c>
      <c r="M12">
        <v>5.5314651803326173E-7</v>
      </c>
      <c r="N12" s="1">
        <v>3.1708176583290299E-11</v>
      </c>
      <c r="O12" s="1">
        <v>1.3926956585101601E-14</v>
      </c>
      <c r="P12" s="1">
        <v>5.9578575949791503E-14</v>
      </c>
      <c r="R12">
        <v>47.202664600825003</v>
      </c>
      <c r="S12">
        <v>2.20747116592322</v>
      </c>
      <c r="T12">
        <v>10.451946024860099</v>
      </c>
      <c r="V12">
        <v>35.621808360928298</v>
      </c>
      <c r="W12">
        <v>1.5936211125000499</v>
      </c>
      <c r="X12">
        <v>2.9224887349631601</v>
      </c>
      <c r="AJ12">
        <v>0.106966238708933</v>
      </c>
      <c r="AK12">
        <v>9.65516708294549E-2</v>
      </c>
      <c r="AL12">
        <v>0.73140393133007597</v>
      </c>
      <c r="AM12">
        <v>3.3140278013944501E-2</v>
      </c>
      <c r="AN12">
        <v>3.1937881117589897E-2</v>
      </c>
    </row>
    <row r="13" spans="1:40" x14ac:dyDescent="0.2">
      <c r="A13">
        <v>83</v>
      </c>
      <c r="B13">
        <v>760</v>
      </c>
      <c r="C13">
        <v>150</v>
      </c>
      <c r="D13">
        <v>0.43796205778444602</v>
      </c>
      <c r="E13">
        <v>2.45916723584046E-2</v>
      </c>
      <c r="F13">
        <v>4.6458570801582901</v>
      </c>
      <c r="G13">
        <v>-0.23690042218991236</v>
      </c>
      <c r="H13">
        <v>-0.19149717725868812</v>
      </c>
      <c r="I13">
        <v>4.3946421072665401E-2</v>
      </c>
      <c r="J13">
        <v>2.2627835908608E-2</v>
      </c>
      <c r="K13">
        <v>5.2932477116938602E-3</v>
      </c>
      <c r="L13">
        <v>3.1321277837826043E-5</v>
      </c>
      <c r="M13">
        <v>5.5316074830460604E-7</v>
      </c>
      <c r="N13" s="1">
        <v>2.4983867280044901E-11</v>
      </c>
      <c r="O13" s="1">
        <v>1.1447706449142301E-14</v>
      </c>
      <c r="P13" s="1">
        <v>5.2818518660422401E-14</v>
      </c>
      <c r="R13">
        <v>47.160340380002999</v>
      </c>
      <c r="S13">
        <v>2.2036941466303701</v>
      </c>
      <c r="T13">
        <v>10.645306956974499</v>
      </c>
      <c r="V13">
        <v>35.157698060149301</v>
      </c>
      <c r="W13">
        <v>1.7738861971083</v>
      </c>
      <c r="X13">
        <v>3.0590742591343498</v>
      </c>
      <c r="AJ13">
        <v>0.11185913654720001</v>
      </c>
      <c r="AK13">
        <v>9.8244531996344697E-2</v>
      </c>
      <c r="AL13">
        <v>0.72118938112429798</v>
      </c>
      <c r="AM13">
        <v>3.6853979599047001E-2</v>
      </c>
      <c r="AN13">
        <v>3.1852970733108499E-2</v>
      </c>
    </row>
    <row r="14" spans="1:40" x14ac:dyDescent="0.2">
      <c r="A14">
        <v>103</v>
      </c>
      <c r="B14">
        <v>768</v>
      </c>
      <c r="C14">
        <v>125</v>
      </c>
      <c r="D14">
        <v>0.46923161888296799</v>
      </c>
      <c r="E14">
        <v>1.55340773210707E-2</v>
      </c>
      <c r="F14">
        <v>4.6416926846778397</v>
      </c>
      <c r="G14">
        <v>-0.15023050020445672</v>
      </c>
      <c r="H14">
        <v>-0.12117919012700824</v>
      </c>
      <c r="I14">
        <v>2.7903097610765398E-2</v>
      </c>
      <c r="J14">
        <v>1.4320803570493699E-2</v>
      </c>
      <c r="K14">
        <v>3.346640627965E-3</v>
      </c>
      <c r="L14">
        <v>3.1292031308025397E-5</v>
      </c>
      <c r="M14">
        <v>5.5312836590116696E-7</v>
      </c>
      <c r="N14" s="1">
        <v>1.4836693070747298E-11</v>
      </c>
      <c r="O14" s="1">
        <v>7.2174658166681198E-15</v>
      </c>
      <c r="P14" s="1">
        <v>3.6209502909086203E-14</v>
      </c>
      <c r="R14">
        <v>47.1146589120561</v>
      </c>
      <c r="S14">
        <v>2.1958468460061802</v>
      </c>
      <c r="T14">
        <v>10.856388731468</v>
      </c>
      <c r="V14">
        <v>34.728791246081798</v>
      </c>
      <c r="W14">
        <v>1.89844712797654</v>
      </c>
      <c r="X14">
        <v>3.2058671364112499</v>
      </c>
      <c r="AJ14">
        <v>0.117110640157878</v>
      </c>
      <c r="AK14">
        <v>0.10009329296528099</v>
      </c>
      <c r="AL14">
        <v>0.71168522807285794</v>
      </c>
      <c r="AM14">
        <v>3.9402750214231501E-2</v>
      </c>
      <c r="AN14">
        <v>3.1708088589750702E-2</v>
      </c>
    </row>
    <row r="15" spans="1:40" x14ac:dyDescent="0.2">
      <c r="A15">
        <v>127</v>
      </c>
      <c r="B15">
        <v>778</v>
      </c>
      <c r="C15">
        <v>100</v>
      </c>
      <c r="D15">
        <v>0.501108785615755</v>
      </c>
      <c r="E15">
        <v>1.1526916235708101E-2</v>
      </c>
      <c r="F15">
        <v>4.6388510990140697</v>
      </c>
      <c r="G15">
        <v>-0.11204735790437613</v>
      </c>
      <c r="H15">
        <v>-9.0129812584856722E-2</v>
      </c>
      <c r="I15">
        <v>2.0851015858363998E-2</v>
      </c>
      <c r="J15">
        <v>1.0648496717519501E-2</v>
      </c>
      <c r="K15">
        <v>2.4848644609778599E-3</v>
      </c>
      <c r="L15">
        <v>3.1223963172528038E-5</v>
      </c>
      <c r="M15">
        <v>5.5274778131765008E-7</v>
      </c>
      <c r="N15" s="1">
        <v>1.01869611705825E-11</v>
      </c>
      <c r="O15" s="1">
        <v>5.3354520975861101E-15</v>
      </c>
      <c r="P15" s="1">
        <v>2.9477313780065499E-14</v>
      </c>
      <c r="R15">
        <v>46.993479507540997</v>
      </c>
      <c r="S15">
        <v>2.2376984588817099</v>
      </c>
      <c r="T15">
        <v>11.1749867935042</v>
      </c>
      <c r="V15">
        <v>33.970642061521303</v>
      </c>
      <c r="W15">
        <v>2.2566897576048701</v>
      </c>
      <c r="X15">
        <v>3.3665034209467901</v>
      </c>
      <c r="AJ15">
        <v>0.122817965040384</v>
      </c>
      <c r="AK15">
        <v>0.10289602839471899</v>
      </c>
      <c r="AL15">
        <v>0.69523886352064401</v>
      </c>
      <c r="AM15">
        <v>4.67769486623099E-2</v>
      </c>
      <c r="AN15">
        <v>3.22701943819413E-2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D6DED-6555-4A3F-A44E-3B821DC1943F}">
  <sheetPr codeName="Sheet7"/>
  <dimension ref="A1:AN22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126</v>
      </c>
      <c r="AK1" t="s">
        <v>127</v>
      </c>
      <c r="AL1" t="s">
        <v>128</v>
      </c>
      <c r="AM1" t="s">
        <v>101</v>
      </c>
      <c r="AN1" t="s">
        <v>129</v>
      </c>
    </row>
    <row r="2" spans="1:40" x14ac:dyDescent="0.2">
      <c r="A2">
        <v>10</v>
      </c>
      <c r="B2">
        <v>734</v>
      </c>
      <c r="C2">
        <v>300</v>
      </c>
      <c r="D2">
        <v>0.25781710768008598</v>
      </c>
      <c r="E2">
        <v>0.39179559690711102</v>
      </c>
      <c r="F2">
        <v>4.9427062811365596</v>
      </c>
      <c r="G2">
        <v>-2.6082196803717697</v>
      </c>
      <c r="H2">
        <v>-1.9159033524160276</v>
      </c>
      <c r="I2">
        <v>0.68740140788933302</v>
      </c>
      <c r="J2">
        <v>0.34700471782493197</v>
      </c>
      <c r="K2">
        <v>7.9267424488152799E-2</v>
      </c>
      <c r="L2">
        <v>3.5617110308609484E-5</v>
      </c>
      <c r="M2">
        <v>4.1430159290118038E-7</v>
      </c>
      <c r="N2" s="1">
        <v>1.54662885318784E-9</v>
      </c>
      <c r="O2" s="1">
        <v>1.9136561342864899E-13</v>
      </c>
      <c r="P2">
        <v>0</v>
      </c>
      <c r="R2">
        <v>8.9392243672870606</v>
      </c>
      <c r="S2">
        <v>1.82719800166281</v>
      </c>
      <c r="T2">
        <v>50.028416578272797</v>
      </c>
      <c r="V2">
        <v>38.352820235698701</v>
      </c>
      <c r="X2">
        <v>0.85234081707856202</v>
      </c>
      <c r="AJ2">
        <v>0</v>
      </c>
      <c r="AK2">
        <v>-7.2832435202601197E-3</v>
      </c>
      <c r="AL2">
        <v>0.70704708823340801</v>
      </c>
      <c r="AM2">
        <v>4.7728315934141202E-2</v>
      </c>
      <c r="AN2">
        <v>0.25250783935270998</v>
      </c>
    </row>
    <row r="3" spans="1:40" x14ac:dyDescent="0.2">
      <c r="A3">
        <v>11</v>
      </c>
      <c r="B3">
        <v>732</v>
      </c>
      <c r="C3">
        <v>300</v>
      </c>
      <c r="D3">
        <v>0.256201064517732</v>
      </c>
      <c r="E3">
        <v>0.46689141058869099</v>
      </c>
      <c r="F3">
        <v>4.9438084862572396</v>
      </c>
      <c r="G3">
        <v>-3.1049535959281305</v>
      </c>
      <c r="H3">
        <v>-2.2825468386841443</v>
      </c>
      <c r="I3">
        <v>0.81819306296969196</v>
      </c>
      <c r="J3">
        <v>0.413530280335489</v>
      </c>
      <c r="K3">
        <v>9.44396231946589E-2</v>
      </c>
      <c r="L3">
        <v>3.5803159692371363E-5</v>
      </c>
      <c r="M3">
        <v>4.167896539054558E-7</v>
      </c>
      <c r="N3" s="1">
        <v>1.8547861743231199E-9</v>
      </c>
      <c r="O3" s="1">
        <v>2.2959657244686099E-13</v>
      </c>
      <c r="P3">
        <v>0</v>
      </c>
      <c r="R3">
        <v>8.6928983512549696</v>
      </c>
      <c r="S3">
        <v>1.9365322518385799</v>
      </c>
      <c r="T3">
        <v>50.368836932436999</v>
      </c>
      <c r="V3">
        <v>38.161369798744801</v>
      </c>
      <c r="X3">
        <v>0.84036266572460805</v>
      </c>
      <c r="AJ3">
        <v>0</v>
      </c>
      <c r="AK3">
        <v>-4.1912444873345497E-3</v>
      </c>
      <c r="AL3">
        <v>0.71166376887290805</v>
      </c>
      <c r="AM3">
        <v>4.7044724250461897E-2</v>
      </c>
      <c r="AN3">
        <v>0.245482751363964</v>
      </c>
    </row>
    <row r="4" spans="1:40" x14ac:dyDescent="0.2">
      <c r="A4">
        <v>19</v>
      </c>
      <c r="B4">
        <v>738</v>
      </c>
      <c r="C4">
        <v>275</v>
      </c>
      <c r="D4">
        <v>0.28822677149780002</v>
      </c>
      <c r="E4">
        <v>0.38798362949695703</v>
      </c>
      <c r="F4">
        <v>4.9391924295497898</v>
      </c>
      <c r="G4">
        <v>-2.5912146032736483</v>
      </c>
      <c r="H4">
        <v>-1.9011882753575207</v>
      </c>
      <c r="I4">
        <v>0.68241737419386606</v>
      </c>
      <c r="J4">
        <v>0.343805579660934</v>
      </c>
      <c r="K4">
        <v>7.8552037611606507E-2</v>
      </c>
      <c r="L4">
        <v>3.5631213462285789E-5</v>
      </c>
      <c r="M4">
        <v>4.1456093297145427E-7</v>
      </c>
      <c r="N4" s="1">
        <v>1.52876028250532E-9</v>
      </c>
      <c r="O4" s="1">
        <v>1.8889875762270299E-13</v>
      </c>
      <c r="P4">
        <v>0</v>
      </c>
      <c r="R4">
        <v>9.0548558556472702</v>
      </c>
      <c r="S4">
        <v>1.7965134502228499</v>
      </c>
      <c r="T4">
        <v>49.8687068615017</v>
      </c>
      <c r="V4">
        <v>38.376832625926497</v>
      </c>
      <c r="X4">
        <v>0.90309120670151699</v>
      </c>
      <c r="AJ4">
        <v>0</v>
      </c>
      <c r="AK4">
        <v>-1.0800740585023999E-2</v>
      </c>
      <c r="AL4">
        <v>0.70455749408245705</v>
      </c>
      <c r="AM4">
        <v>5.0553495401988002E-2</v>
      </c>
      <c r="AN4">
        <v>0.25568975110057901</v>
      </c>
    </row>
    <row r="5" spans="1:40" x14ac:dyDescent="0.2">
      <c r="A5">
        <v>20</v>
      </c>
      <c r="B5">
        <v>736</v>
      </c>
      <c r="C5">
        <v>275</v>
      </c>
      <c r="D5">
        <v>0.28667740177377199</v>
      </c>
      <c r="E5">
        <v>0.478941667812608</v>
      </c>
      <c r="F5">
        <v>4.9403907919326997</v>
      </c>
      <c r="G5">
        <v>-3.1951406033376228</v>
      </c>
      <c r="H5">
        <v>-2.3460407242784669</v>
      </c>
      <c r="I5">
        <v>0.84140105936595699</v>
      </c>
      <c r="J5">
        <v>0.42442196620277101</v>
      </c>
      <c r="K5">
        <v>9.6944085596362903E-2</v>
      </c>
      <c r="L5">
        <v>3.5832767321864975E-5</v>
      </c>
      <c r="M5">
        <v>4.172201346324428E-7</v>
      </c>
      <c r="N5" s="1">
        <v>1.8999607898303202E-9</v>
      </c>
      <c r="O5" s="1">
        <v>2.3487794167090902E-13</v>
      </c>
      <c r="P5">
        <v>0</v>
      </c>
      <c r="R5">
        <v>8.7960577036470102</v>
      </c>
      <c r="S5">
        <v>1.9074663149176601</v>
      </c>
      <c r="T5">
        <v>50.231022269893401</v>
      </c>
      <c r="V5">
        <v>38.174848634412001</v>
      </c>
      <c r="X5">
        <v>0.89060507712982495</v>
      </c>
      <c r="AJ5">
        <v>0</v>
      </c>
      <c r="AK5">
        <v>-7.6446197413012097E-3</v>
      </c>
      <c r="AL5">
        <v>0.70948757406992602</v>
      </c>
      <c r="AM5">
        <v>4.9841280006899601E-2</v>
      </c>
      <c r="AN5">
        <v>0.248315765664475</v>
      </c>
    </row>
    <row r="6" spans="1:40" x14ac:dyDescent="0.2">
      <c r="A6">
        <v>27</v>
      </c>
      <c r="B6">
        <v>742</v>
      </c>
      <c r="C6">
        <v>250</v>
      </c>
      <c r="D6">
        <v>0.318396788651924</v>
      </c>
      <c r="E6">
        <v>0.41351329191805403</v>
      </c>
      <c r="F6">
        <v>4.9357698086453698</v>
      </c>
      <c r="G6">
        <v>-2.7704154718982816</v>
      </c>
      <c r="H6">
        <v>-2.0302574981301449</v>
      </c>
      <c r="I6">
        <v>0.72911192805805702</v>
      </c>
      <c r="J6">
        <v>0.36662027515355899</v>
      </c>
      <c r="K6">
        <v>8.3778885148524301E-2</v>
      </c>
      <c r="L6">
        <v>3.566988332133444E-5</v>
      </c>
      <c r="M6">
        <v>4.1509946675815227E-7</v>
      </c>
      <c r="N6" s="1">
        <v>1.6274730719484401E-9</v>
      </c>
      <c r="O6" s="1">
        <v>2.0082669914895101E-13</v>
      </c>
      <c r="P6">
        <v>0</v>
      </c>
      <c r="R6">
        <v>9.1481644396620005</v>
      </c>
      <c r="S6">
        <v>1.7722820199299101</v>
      </c>
      <c r="T6">
        <v>49.744421277104003</v>
      </c>
      <c r="V6">
        <v>38.3814277478535</v>
      </c>
      <c r="X6">
        <v>0.95370451545039403</v>
      </c>
      <c r="AJ6">
        <v>0</v>
      </c>
      <c r="AK6">
        <v>-1.41653185300924E-2</v>
      </c>
      <c r="AL6">
        <v>0.70256078136523703</v>
      </c>
      <c r="AM6">
        <v>5.3368451599990201E-2</v>
      </c>
      <c r="AN6">
        <v>0.25823608556486399</v>
      </c>
    </row>
    <row r="7" spans="1:40" x14ac:dyDescent="0.2">
      <c r="A7">
        <v>28</v>
      </c>
      <c r="B7">
        <v>740</v>
      </c>
      <c r="C7">
        <v>250</v>
      </c>
      <c r="D7">
        <v>0.31691309282929903</v>
      </c>
      <c r="E7">
        <v>0.49644537556803497</v>
      </c>
      <c r="F7">
        <v>4.9370811525104701</v>
      </c>
      <c r="G7">
        <v>-3.3220062973581386</v>
      </c>
      <c r="H7">
        <v>-2.4362245122795789</v>
      </c>
      <c r="I7">
        <v>0.87428493814199104</v>
      </c>
      <c r="J7">
        <v>0.44016078377109502</v>
      </c>
      <c r="K7">
        <v>0.100554428868481</v>
      </c>
      <c r="L7">
        <v>3.5883783264511134E-5</v>
      </c>
      <c r="M7">
        <v>4.1789187791906958E-7</v>
      </c>
      <c r="N7" s="1">
        <v>1.96777703535248E-9</v>
      </c>
      <c r="O7" s="1">
        <v>2.4294487801918602E-13</v>
      </c>
      <c r="P7">
        <v>0</v>
      </c>
      <c r="R7">
        <v>8.8805901599066495</v>
      </c>
      <c r="S7">
        <v>1.88231994200952</v>
      </c>
      <c r="T7">
        <v>50.124341977660698</v>
      </c>
      <c r="V7">
        <v>38.172287353117902</v>
      </c>
      <c r="X7">
        <v>0.94046056730508898</v>
      </c>
      <c r="AJ7">
        <v>0</v>
      </c>
      <c r="AK7">
        <v>-1.09874338551434E-2</v>
      </c>
      <c r="AL7">
        <v>0.70775195886195297</v>
      </c>
      <c r="AM7">
        <v>5.2614352494134299E-2</v>
      </c>
      <c r="AN7">
        <v>0.25062112249905599</v>
      </c>
    </row>
    <row r="8" spans="1:40" x14ac:dyDescent="0.2">
      <c r="A8">
        <v>37</v>
      </c>
      <c r="B8">
        <v>746</v>
      </c>
      <c r="C8">
        <v>225</v>
      </c>
      <c r="D8">
        <v>0.34832998086640898</v>
      </c>
      <c r="E8">
        <v>0.45653679886940002</v>
      </c>
      <c r="F8">
        <v>4.9323303044179898</v>
      </c>
      <c r="G8">
        <v>-3.0683027206417135</v>
      </c>
      <c r="H8">
        <v>-2.2459091313385624</v>
      </c>
      <c r="I8">
        <v>0.80694067536981895</v>
      </c>
      <c r="J8">
        <v>0.40499017752046901</v>
      </c>
      <c r="K8">
        <v>9.2560062017839895E-2</v>
      </c>
      <c r="L8">
        <v>3.5735431820004127E-5</v>
      </c>
      <c r="M8">
        <v>4.1594996476263526E-7</v>
      </c>
      <c r="N8" s="1">
        <v>1.79609500332117E-9</v>
      </c>
      <c r="O8" s="1">
        <v>2.2133624910768199E-13</v>
      </c>
      <c r="P8">
        <v>0</v>
      </c>
      <c r="R8">
        <v>9.2135634288150197</v>
      </c>
      <c r="S8">
        <v>1.7620283643580299</v>
      </c>
      <c r="T8">
        <v>49.657993022522099</v>
      </c>
      <c r="V8">
        <v>38.361313438750997</v>
      </c>
      <c r="X8">
        <v>1.0051017455537301</v>
      </c>
      <c r="AJ8">
        <v>0</v>
      </c>
      <c r="AK8">
        <v>-1.7261393134698599E-2</v>
      </c>
      <c r="AL8">
        <v>0.70106066236259201</v>
      </c>
      <c r="AM8">
        <v>5.6222183282531903E-2</v>
      </c>
      <c r="AN8">
        <v>0.259978547489574</v>
      </c>
    </row>
    <row r="9" spans="1:40" x14ac:dyDescent="0.2">
      <c r="A9">
        <v>38</v>
      </c>
      <c r="B9">
        <v>744</v>
      </c>
      <c r="C9">
        <v>225</v>
      </c>
      <c r="D9">
        <v>0.34691097674876298</v>
      </c>
      <c r="E9">
        <v>0.515162471375189</v>
      </c>
      <c r="F9">
        <v>4.9336954369706101</v>
      </c>
      <c r="G9">
        <v>-3.457947661465671</v>
      </c>
      <c r="H9">
        <v>-2.5328865359519037</v>
      </c>
      <c r="I9">
        <v>0.909463820983893</v>
      </c>
      <c r="J9">
        <v>0.45700638795088899</v>
      </c>
      <c r="K9">
        <v>0.104417161123247</v>
      </c>
      <c r="L9">
        <v>3.5950680316497527E-5</v>
      </c>
      <c r="M9">
        <v>4.1875257607469056E-7</v>
      </c>
      <c r="N9" s="1">
        <v>2.0412107823828699E-9</v>
      </c>
      <c r="O9" s="1">
        <v>2.51677673262887E-13</v>
      </c>
      <c r="P9">
        <v>0</v>
      </c>
      <c r="R9">
        <v>8.9470513696413008</v>
      </c>
      <c r="S9">
        <v>1.8687918654987901</v>
      </c>
      <c r="T9">
        <v>50.0394904804634</v>
      </c>
      <c r="V9">
        <v>38.153221238933398</v>
      </c>
      <c r="X9">
        <v>0.99144504546293899</v>
      </c>
      <c r="AJ9">
        <v>0</v>
      </c>
      <c r="AK9">
        <v>-1.4133597731196899E-2</v>
      </c>
      <c r="AL9">
        <v>0.70628663803389502</v>
      </c>
      <c r="AM9">
        <v>5.5445716707359802E-2</v>
      </c>
      <c r="AN9">
        <v>0.25240124298994099</v>
      </c>
    </row>
    <row r="10" spans="1:40" x14ac:dyDescent="0.2">
      <c r="A10">
        <v>50</v>
      </c>
      <c r="B10">
        <v>750</v>
      </c>
      <c r="C10">
        <v>200</v>
      </c>
      <c r="D10">
        <v>0.37802912573913899</v>
      </c>
      <c r="E10">
        <v>0.50623303192369695</v>
      </c>
      <c r="F10">
        <v>4.9289346756653396</v>
      </c>
      <c r="G10">
        <v>-3.4128866504846469</v>
      </c>
      <c r="H10">
        <v>-2.4951791074631799</v>
      </c>
      <c r="I10">
        <v>0.89694330549916101</v>
      </c>
      <c r="J10">
        <v>0.44934747350682502</v>
      </c>
      <c r="K10">
        <v>0.10270637880899899</v>
      </c>
      <c r="L10">
        <v>3.5849111642165038E-5</v>
      </c>
      <c r="M10">
        <v>4.1734860946818592E-7</v>
      </c>
      <c r="N10" s="1">
        <v>1.9935350529904401E-9</v>
      </c>
      <c r="O10" s="1">
        <v>2.45345159770245E-13</v>
      </c>
      <c r="P10">
        <v>0</v>
      </c>
      <c r="R10">
        <v>9.2287686133003906</v>
      </c>
      <c r="S10">
        <v>1.7752327803560199</v>
      </c>
      <c r="T10">
        <v>49.640874249692999</v>
      </c>
      <c r="V10">
        <v>38.298605244896002</v>
      </c>
      <c r="X10">
        <v>1.05651911175455</v>
      </c>
      <c r="AJ10">
        <v>0</v>
      </c>
      <c r="AK10">
        <v>-1.98360412292151E-2</v>
      </c>
      <c r="AL10">
        <v>0.70048321935518199</v>
      </c>
      <c r="AM10">
        <v>5.9069992490165799E-2</v>
      </c>
      <c r="AN10">
        <v>0.26028282938386599</v>
      </c>
    </row>
    <row r="11" spans="1:40" x14ac:dyDescent="0.2">
      <c r="A11">
        <v>51</v>
      </c>
      <c r="B11">
        <v>748</v>
      </c>
      <c r="C11">
        <v>200</v>
      </c>
      <c r="D11">
        <v>0.37667384811242399</v>
      </c>
      <c r="E11">
        <v>0.53530892735067803</v>
      </c>
      <c r="F11">
        <v>4.93025020380332</v>
      </c>
      <c r="G11">
        <v>-3.6044945289848282</v>
      </c>
      <c r="H11">
        <v>-2.6371259837518091</v>
      </c>
      <c r="I11">
        <v>0.94733246362730095</v>
      </c>
      <c r="J11">
        <v>0.47516222809129</v>
      </c>
      <c r="K11">
        <v>0.108576422133247</v>
      </c>
      <c r="L11">
        <v>3.6048875353542544E-5</v>
      </c>
      <c r="M11">
        <v>4.199746029585139E-7</v>
      </c>
      <c r="N11" s="1">
        <v>2.12213720368596E-9</v>
      </c>
      <c r="O11" s="1">
        <v>2.6131045494142E-13</v>
      </c>
      <c r="P11">
        <v>0</v>
      </c>
      <c r="R11">
        <v>8.9779550410517803</v>
      </c>
      <c r="S11">
        <v>1.87588852939809</v>
      </c>
      <c r="T11">
        <v>49.999390062560899</v>
      </c>
      <c r="V11">
        <v>38.103650389592701</v>
      </c>
      <c r="X11">
        <v>1.04311597739643</v>
      </c>
      <c r="AJ11">
        <v>0</v>
      </c>
      <c r="AK11">
        <v>-1.6858568988366199E-2</v>
      </c>
      <c r="AL11">
        <v>0.70539425842653902</v>
      </c>
      <c r="AM11">
        <v>5.8308390700877899E-2</v>
      </c>
      <c r="AN11">
        <v>0.25315591986094899</v>
      </c>
    </row>
    <row r="12" spans="1:40" x14ac:dyDescent="0.2">
      <c r="A12">
        <v>65</v>
      </c>
      <c r="B12">
        <v>756</v>
      </c>
      <c r="C12">
        <v>175</v>
      </c>
      <c r="D12">
        <v>0.40878443375601398</v>
      </c>
      <c r="E12">
        <v>0.48107590675705902</v>
      </c>
      <c r="F12">
        <v>4.9277559061139504</v>
      </c>
      <c r="G12">
        <v>-3.2470535267499523</v>
      </c>
      <c r="H12">
        <v>-2.3674329565166099</v>
      </c>
      <c r="I12">
        <v>0.85470589343957704</v>
      </c>
      <c r="J12">
        <v>0.42724319373285402</v>
      </c>
      <c r="K12">
        <v>9.7625758240212399E-2</v>
      </c>
      <c r="L12">
        <v>3.6313184160309177E-5</v>
      </c>
      <c r="M12">
        <v>4.2223435219978712E-7</v>
      </c>
      <c r="N12" s="1">
        <v>1.9123355704949E-9</v>
      </c>
      <c r="O12" s="1">
        <v>2.3515177865332898E-13</v>
      </c>
      <c r="P12">
        <v>0</v>
      </c>
      <c r="R12">
        <v>9.0315986648282696</v>
      </c>
      <c r="S12">
        <v>1.75663368629039</v>
      </c>
      <c r="T12">
        <v>50.066481010626902</v>
      </c>
      <c r="V12">
        <v>38.0458110966578</v>
      </c>
      <c r="X12">
        <v>1.0994755415965101</v>
      </c>
      <c r="AJ12">
        <v>0</v>
      </c>
      <c r="AK12">
        <v>-2.2648023212425102E-2</v>
      </c>
      <c r="AL12">
        <v>0.706465068209294</v>
      </c>
      <c r="AM12">
        <v>6.1469607707202403E-2</v>
      </c>
      <c r="AN12">
        <v>0.25471334729592798</v>
      </c>
    </row>
    <row r="13" spans="1:40" x14ac:dyDescent="0.2">
      <c r="A13">
        <v>66</v>
      </c>
      <c r="B13">
        <v>754</v>
      </c>
      <c r="C13">
        <v>175</v>
      </c>
      <c r="D13">
        <v>0.40749695760112897</v>
      </c>
      <c r="E13">
        <v>0.54498263966405902</v>
      </c>
      <c r="F13">
        <v>4.9255585333017597</v>
      </c>
      <c r="G13">
        <v>-3.6855127895821318</v>
      </c>
      <c r="H13">
        <v>-2.6913214492563178</v>
      </c>
      <c r="I13">
        <v>0.96791251552919599</v>
      </c>
      <c r="J13">
        <v>0.484070909215781</v>
      </c>
      <c r="K13">
        <v>0.110643825665541</v>
      </c>
      <c r="L13">
        <v>3.6023079357337783E-5</v>
      </c>
      <c r="M13">
        <v>4.1943027155284747E-7</v>
      </c>
      <c r="N13" s="1">
        <v>2.1518677366882999E-9</v>
      </c>
      <c r="O13" s="1">
        <v>2.6449955379512401E-13</v>
      </c>
      <c r="P13">
        <v>0</v>
      </c>
      <c r="R13">
        <v>9.1780448033150392</v>
      </c>
      <c r="S13">
        <v>1.8220998601806899</v>
      </c>
      <c r="T13">
        <v>49.711249827224101</v>
      </c>
      <c r="V13">
        <v>38.180996928024001</v>
      </c>
      <c r="X13">
        <v>1.1076085812560801</v>
      </c>
      <c r="AJ13">
        <v>0</v>
      </c>
      <c r="AK13">
        <v>-2.16437078734119E-2</v>
      </c>
      <c r="AL13">
        <v>0.70105685988084399</v>
      </c>
      <c r="AM13">
        <v>6.1889377796518999E-2</v>
      </c>
      <c r="AN13">
        <v>0.258697470196048</v>
      </c>
    </row>
    <row r="14" spans="1:40" x14ac:dyDescent="0.2">
      <c r="A14">
        <v>82</v>
      </c>
      <c r="B14">
        <v>762</v>
      </c>
      <c r="C14">
        <v>150</v>
      </c>
      <c r="D14">
        <v>0.439183210162781</v>
      </c>
      <c r="E14">
        <v>0.52309598093602605</v>
      </c>
      <c r="F14">
        <v>4.92235217729755</v>
      </c>
      <c r="G14">
        <v>-3.5483479195868948</v>
      </c>
      <c r="H14">
        <v>-2.5827457596496917</v>
      </c>
      <c r="I14">
        <v>0.93281375639975195</v>
      </c>
      <c r="J14">
        <v>0.46494460724402698</v>
      </c>
      <c r="K14">
        <v>0.106269515486641</v>
      </c>
      <c r="L14">
        <v>3.6286477483026911E-5</v>
      </c>
      <c r="M14">
        <v>4.2170269281170113E-7</v>
      </c>
      <c r="N14" s="1">
        <v>2.0712938254437499E-9</v>
      </c>
      <c r="O14" s="1">
        <v>2.5422508136513301E-13</v>
      </c>
      <c r="P14">
        <v>0</v>
      </c>
      <c r="R14">
        <v>9.1984997461459592</v>
      </c>
      <c r="S14">
        <v>1.7578131779897499</v>
      </c>
      <c r="T14">
        <v>49.779372565646803</v>
      </c>
      <c r="V14">
        <v>38.097380876177901</v>
      </c>
      <c r="X14">
        <v>1.16693363403955</v>
      </c>
      <c r="AJ14">
        <v>0</v>
      </c>
      <c r="AK14">
        <v>-2.63754277617738E-2</v>
      </c>
      <c r="AL14">
        <v>0.70193521009742799</v>
      </c>
      <c r="AM14">
        <v>6.5196609424313504E-2</v>
      </c>
      <c r="AN14">
        <v>0.25924360824003101</v>
      </c>
    </row>
    <row r="15" spans="1:40" x14ac:dyDescent="0.2">
      <c r="A15">
        <v>83</v>
      </c>
      <c r="B15">
        <v>760</v>
      </c>
      <c r="C15">
        <v>150</v>
      </c>
      <c r="D15">
        <v>0.43796205778444602</v>
      </c>
      <c r="E15">
        <v>0.56312007521521501</v>
      </c>
      <c r="F15">
        <v>4.9208402319315496</v>
      </c>
      <c r="G15">
        <v>-3.8248233607895123</v>
      </c>
      <c r="H15">
        <v>-2.7878684663760027</v>
      </c>
      <c r="I15">
        <v>1.00368280928568</v>
      </c>
      <c r="J15">
        <v>0.500574197046736</v>
      </c>
      <c r="K15">
        <v>0.114435756633817</v>
      </c>
      <c r="L15">
        <v>3.6087401264437376E-5</v>
      </c>
      <c r="M15">
        <v>4.1991194604020127E-7</v>
      </c>
      <c r="N15" s="1">
        <v>2.2203067509153799E-9</v>
      </c>
      <c r="O15" s="1">
        <v>2.72446707063712E-13</v>
      </c>
      <c r="P15">
        <v>0</v>
      </c>
      <c r="R15">
        <v>9.27461940407456</v>
      </c>
      <c r="S15">
        <v>1.8252720227908801</v>
      </c>
      <c r="T15">
        <v>49.555625190245898</v>
      </c>
      <c r="V15">
        <v>38.172953910943903</v>
      </c>
      <c r="X15">
        <v>1.1715294719446501</v>
      </c>
      <c r="AJ15">
        <v>0</v>
      </c>
      <c r="AK15">
        <v>-2.5130308929604401E-2</v>
      </c>
      <c r="AL15">
        <v>0.69844485697296999</v>
      </c>
      <c r="AM15">
        <v>6.5421971336516602E-2</v>
      </c>
      <c r="AN15">
        <v>0.26126348062011701</v>
      </c>
    </row>
    <row r="16" spans="1:40" x14ac:dyDescent="0.2">
      <c r="A16">
        <v>101</v>
      </c>
      <c r="B16">
        <v>772</v>
      </c>
      <c r="C16">
        <v>125</v>
      </c>
      <c r="D16">
        <v>0.47153088073482102</v>
      </c>
      <c r="E16">
        <v>0.30210237773679799</v>
      </c>
      <c r="F16">
        <v>4.93960553464568</v>
      </c>
      <c r="G16">
        <v>-2.0166193473445713</v>
      </c>
      <c r="H16">
        <v>-1.4538055388586522</v>
      </c>
      <c r="I16">
        <v>0.53850051043957203</v>
      </c>
      <c r="J16">
        <v>0.26839742982572101</v>
      </c>
      <c r="K16">
        <v>6.1159211118761499E-2</v>
      </c>
      <c r="L16">
        <v>3.9614576843902503E-5</v>
      </c>
      <c r="M16">
        <v>4.5714136875328166E-7</v>
      </c>
      <c r="N16" s="1">
        <v>1.2976318199463499E-9</v>
      </c>
      <c r="O16" s="1">
        <v>1.5998778270340401E-13</v>
      </c>
      <c r="P16">
        <v>0</v>
      </c>
      <c r="R16">
        <v>6.7528031376894502</v>
      </c>
      <c r="S16">
        <v>1.93471155606175</v>
      </c>
      <c r="T16">
        <v>54.243172573765698</v>
      </c>
      <c r="V16">
        <v>35.992446281846</v>
      </c>
      <c r="X16">
        <v>1.07686645063702</v>
      </c>
      <c r="AJ16">
        <v>0</v>
      </c>
      <c r="AK16">
        <v>-1.7472878029709701E-2</v>
      </c>
      <c r="AL16">
        <v>0.76647101684956398</v>
      </c>
      <c r="AM16">
        <v>6.02897863914824E-2</v>
      </c>
      <c r="AN16">
        <v>0.19071207478866201</v>
      </c>
    </row>
    <row r="17" spans="1:40" x14ac:dyDescent="0.2">
      <c r="A17">
        <v>102</v>
      </c>
      <c r="B17">
        <v>770</v>
      </c>
      <c r="C17">
        <v>125</v>
      </c>
      <c r="D17">
        <v>0.47038345396155901</v>
      </c>
      <c r="E17">
        <v>0.54062806217890302</v>
      </c>
      <c r="F17">
        <v>4.9187266492476196</v>
      </c>
      <c r="G17">
        <v>-3.680100156129761</v>
      </c>
      <c r="H17">
        <v>-2.6702876383463008</v>
      </c>
      <c r="I17">
        <v>0.96804152593918502</v>
      </c>
      <c r="J17">
        <v>0.48095306777999502</v>
      </c>
      <c r="K17">
        <v>0.109912198975643</v>
      </c>
      <c r="L17">
        <v>3.6638350917699091E-5</v>
      </c>
      <c r="M17">
        <v>4.2496638915596079E-7</v>
      </c>
      <c r="N17" s="1">
        <v>2.1522179698969801E-9</v>
      </c>
      <c r="O17" s="1">
        <v>2.6379946886319802E-13</v>
      </c>
      <c r="P17">
        <v>0</v>
      </c>
      <c r="R17">
        <v>9.0961215545354506</v>
      </c>
      <c r="S17">
        <v>1.78306004694997</v>
      </c>
      <c r="T17">
        <v>49.9790202925684</v>
      </c>
      <c r="V17">
        <v>37.916074706605301</v>
      </c>
      <c r="X17">
        <v>1.2257233993407499</v>
      </c>
      <c r="AJ17">
        <v>0</v>
      </c>
      <c r="AK17">
        <v>-2.9088259113803399E-2</v>
      </c>
      <c r="AL17">
        <v>0.70440706950474397</v>
      </c>
      <c r="AM17">
        <v>6.8447830574066601E-2</v>
      </c>
      <c r="AN17">
        <v>0.256233359034992</v>
      </c>
    </row>
    <row r="18" spans="1:40" x14ac:dyDescent="0.2">
      <c r="A18">
        <v>103</v>
      </c>
      <c r="B18">
        <v>768</v>
      </c>
      <c r="C18">
        <v>125</v>
      </c>
      <c r="D18">
        <v>0.46923161888296799</v>
      </c>
      <c r="E18">
        <v>0.57949299117726905</v>
      </c>
      <c r="F18">
        <v>4.9148624164199797</v>
      </c>
      <c r="G18">
        <v>-3.9580805644699573</v>
      </c>
      <c r="H18">
        <v>-2.8776885401768078</v>
      </c>
      <c r="I18">
        <v>1.0376910380763</v>
      </c>
      <c r="J18">
        <v>0.51562601685774201</v>
      </c>
      <c r="K18">
        <v>0.11790624885881799</v>
      </c>
      <c r="L18">
        <v>3.6111037427557209E-5</v>
      </c>
      <c r="M18">
        <v>4.1957785392488512E-7</v>
      </c>
      <c r="N18" s="1">
        <v>2.2767452397710698E-9</v>
      </c>
      <c r="O18" s="1">
        <v>2.7879062498515601E-13</v>
      </c>
      <c r="P18">
        <v>0</v>
      </c>
      <c r="R18">
        <v>9.4413420117644904</v>
      </c>
      <c r="S18">
        <v>1.82336235977464</v>
      </c>
      <c r="T18">
        <v>49.276787189241197</v>
      </c>
      <c r="V18">
        <v>38.211565277355803</v>
      </c>
      <c r="X18">
        <v>1.2469431618637501</v>
      </c>
      <c r="AJ18">
        <v>0</v>
      </c>
      <c r="AK18">
        <v>-2.9362536431343001E-2</v>
      </c>
      <c r="AL18">
        <v>0.69401213552001195</v>
      </c>
      <c r="AM18">
        <v>6.9582909128807102E-2</v>
      </c>
      <c r="AN18">
        <v>0.26576749178252301</v>
      </c>
    </row>
    <row r="19" spans="1:40" x14ac:dyDescent="0.2">
      <c r="A19">
        <v>124</v>
      </c>
      <c r="B19">
        <v>784</v>
      </c>
      <c r="C19">
        <v>100</v>
      </c>
      <c r="D19">
        <v>0.50433760582698905</v>
      </c>
      <c r="E19">
        <v>0.18230600328413901</v>
      </c>
      <c r="F19">
        <v>4.94349000416537</v>
      </c>
      <c r="G19">
        <v>-1.2143548914392508</v>
      </c>
      <c r="H19">
        <v>-0.86943008027127811</v>
      </c>
      <c r="I19">
        <v>0.32627802219928298</v>
      </c>
      <c r="J19">
        <v>0.16199593358435499</v>
      </c>
      <c r="K19">
        <v>3.6877995733890001E-2</v>
      </c>
      <c r="L19">
        <v>4.0574567800611333E-5</v>
      </c>
      <c r="M19">
        <v>4.6508805390414724E-7</v>
      </c>
      <c r="N19" s="1">
        <v>7.9737549068598798E-10</v>
      </c>
      <c r="O19" s="1">
        <v>9.8554229982610895E-14</v>
      </c>
      <c r="P19">
        <v>0</v>
      </c>
      <c r="R19">
        <v>6.1036470274527499</v>
      </c>
      <c r="S19">
        <v>2.0009251767949401</v>
      </c>
      <c r="T19">
        <v>55.371553165199799</v>
      </c>
      <c r="V19">
        <v>35.533522096983504</v>
      </c>
      <c r="X19">
        <v>0.99035253356886799</v>
      </c>
      <c r="AJ19">
        <v>0</v>
      </c>
      <c r="AK19">
        <v>-1.11742372109793E-2</v>
      </c>
      <c r="AL19">
        <v>0.78313874217186497</v>
      </c>
      <c r="AM19">
        <v>5.5497454556126598E-2</v>
      </c>
      <c r="AN19">
        <v>0.17253804048298599</v>
      </c>
    </row>
    <row r="20" spans="1:40" x14ac:dyDescent="0.2">
      <c r="A20">
        <v>125</v>
      </c>
      <c r="B20">
        <v>782</v>
      </c>
      <c r="C20">
        <v>100</v>
      </c>
      <c r="D20">
        <v>0.50326541250059598</v>
      </c>
      <c r="E20">
        <v>0.49324285831462</v>
      </c>
      <c r="F20">
        <v>4.9221818054740796</v>
      </c>
      <c r="G20">
        <v>-3.347768765678786</v>
      </c>
      <c r="H20">
        <v>-2.4121770047121953</v>
      </c>
      <c r="I20">
        <v>0.88669076526237101</v>
      </c>
      <c r="J20">
        <v>0.43910909609208798</v>
      </c>
      <c r="K20">
        <v>0.100208175522097</v>
      </c>
      <c r="L20">
        <v>3.8227011708726896E-5</v>
      </c>
      <c r="M20">
        <v>4.4095754874291221E-7</v>
      </c>
      <c r="N20" s="1">
        <v>2.03508420578597E-9</v>
      </c>
      <c r="O20" s="1">
        <v>2.4963391604822502E-13</v>
      </c>
      <c r="P20">
        <v>0</v>
      </c>
      <c r="R20">
        <v>8.0849734227076802</v>
      </c>
      <c r="S20">
        <v>1.86747690552728</v>
      </c>
      <c r="T20">
        <v>51.8388299340182</v>
      </c>
      <c r="V20">
        <v>36.969174896371499</v>
      </c>
      <c r="X20">
        <v>1.2395448413752601</v>
      </c>
      <c r="AJ20">
        <v>0</v>
      </c>
      <c r="AK20">
        <v>-2.8008078528604499E-2</v>
      </c>
      <c r="AL20">
        <v>0.730917443809877</v>
      </c>
      <c r="AM20">
        <v>6.9247902339128295E-2</v>
      </c>
      <c r="AN20">
        <v>0.22784273237959801</v>
      </c>
    </row>
    <row r="21" spans="1:40" x14ac:dyDescent="0.2">
      <c r="A21">
        <v>126</v>
      </c>
      <c r="B21">
        <v>780</v>
      </c>
      <c r="C21">
        <v>100</v>
      </c>
      <c r="D21">
        <v>0.50218914684517901</v>
      </c>
      <c r="E21">
        <v>0.57914030249721404</v>
      </c>
      <c r="F21">
        <v>4.9100340524580899</v>
      </c>
      <c r="G21">
        <v>-3.9746052943661505</v>
      </c>
      <c r="H21">
        <v>-2.8758317081641089</v>
      </c>
      <c r="I21">
        <v>1.0433210712643399</v>
      </c>
      <c r="J21">
        <v>0.51589456398520295</v>
      </c>
      <c r="K21">
        <v>0.117950363746923</v>
      </c>
      <c r="L21">
        <v>3.6498694326079218E-5</v>
      </c>
      <c r="M21">
        <v>4.2247845195105495E-7</v>
      </c>
      <c r="N21" s="1">
        <v>2.2851896655524401E-9</v>
      </c>
      <c r="O21" s="1">
        <v>2.7933174908792501E-13</v>
      </c>
      <c r="P21">
        <v>0</v>
      </c>
      <c r="R21">
        <v>9.4007037819105399</v>
      </c>
      <c r="S21">
        <v>1.81661136432346</v>
      </c>
      <c r="T21">
        <v>49.402499079867198</v>
      </c>
      <c r="V21">
        <v>38.060358281328902</v>
      </c>
      <c r="X21">
        <v>1.31982749256976</v>
      </c>
      <c r="AJ21">
        <v>0</v>
      </c>
      <c r="AK21">
        <v>-3.3562569687853899E-2</v>
      </c>
      <c r="AL21">
        <v>0.69545046339842498</v>
      </c>
      <c r="AM21">
        <v>7.3614894908445402E-2</v>
      </c>
      <c r="AN21">
        <v>0.26449721138098198</v>
      </c>
    </row>
    <row r="22" spans="1:40" x14ac:dyDescent="0.2">
      <c r="A22">
        <v>127</v>
      </c>
      <c r="B22">
        <v>778</v>
      </c>
      <c r="C22">
        <v>100</v>
      </c>
      <c r="D22">
        <v>0.501108785615755</v>
      </c>
      <c r="E22">
        <v>0.59906004180981898</v>
      </c>
      <c r="F22">
        <v>4.9077410789198304</v>
      </c>
      <c r="G22">
        <v>-4.1193989158106534</v>
      </c>
      <c r="H22">
        <v>-2.9853397145037586</v>
      </c>
      <c r="I22">
        <v>1.07887475746267</v>
      </c>
      <c r="J22">
        <v>0.53369884532905498</v>
      </c>
      <c r="K22">
        <v>0.122064312720765</v>
      </c>
      <c r="L22">
        <v>3.6183989945276166E-5</v>
      </c>
      <c r="M22">
        <v>4.1944298605550049E-7</v>
      </c>
      <c r="N22" s="1">
        <v>2.34627112655571E-9</v>
      </c>
      <c r="O22" s="1">
        <v>2.8663450704252499E-13</v>
      </c>
      <c r="P22">
        <v>0</v>
      </c>
      <c r="R22">
        <v>9.5778571756015101</v>
      </c>
      <c r="S22">
        <v>1.8664433644320599</v>
      </c>
      <c r="T22">
        <v>49.008400288754103</v>
      </c>
      <c r="V22">
        <v>38.2155982597682</v>
      </c>
      <c r="X22">
        <v>1.33170091144395</v>
      </c>
      <c r="AJ22">
        <v>0</v>
      </c>
      <c r="AK22">
        <v>-3.3108415349797402E-2</v>
      </c>
      <c r="AL22">
        <v>0.68953357988757602</v>
      </c>
      <c r="AM22">
        <v>7.4237413949998804E-2</v>
      </c>
      <c r="AN22">
        <v>0.26933742151222201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92B38-BBD8-4198-8F7B-C6EA547C9EC4}">
  <sheetPr codeName="Sheet8"/>
  <dimension ref="A1:AL3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88</v>
      </c>
      <c r="AK1" t="s">
        <v>124</v>
      </c>
      <c r="AL1" t="s">
        <v>125</v>
      </c>
    </row>
    <row r="2" spans="1:38" x14ac:dyDescent="0.2">
      <c r="A2">
        <v>10</v>
      </c>
      <c r="B2">
        <v>734</v>
      </c>
      <c r="C2">
        <v>300</v>
      </c>
      <c r="D2">
        <v>0.25781710768008598</v>
      </c>
      <c r="E2">
        <v>3.2827238459924999</v>
      </c>
      <c r="F2">
        <v>2.2588307363625502</v>
      </c>
      <c r="G2">
        <v>-54.415799463274475</v>
      </c>
      <c r="H2">
        <v>-46.033383237009133</v>
      </c>
      <c r="I2">
        <v>8.3229074380830497</v>
      </c>
      <c r="J2">
        <v>5.0892438233272301</v>
      </c>
      <c r="K2">
        <v>1.45328456583636</v>
      </c>
      <c r="L2">
        <v>1.2464226796440968E-5</v>
      </c>
      <c r="M2">
        <v>1.5426791614689644E-6</v>
      </c>
      <c r="N2">
        <v>0</v>
      </c>
      <c r="O2" s="1">
        <v>3.6871300087445397E-12</v>
      </c>
      <c r="P2">
        <v>0</v>
      </c>
      <c r="Q2">
        <v>55.0179419862204</v>
      </c>
      <c r="S2">
        <v>23.340955074290601</v>
      </c>
      <c r="AB2">
        <v>14.116014854517999</v>
      </c>
      <c r="AC2">
        <v>0.10972533678990801</v>
      </c>
      <c r="AE2">
        <v>7.4153627481810096</v>
      </c>
      <c r="AJ2">
        <v>5.0881159663522697E-3</v>
      </c>
      <c r="AK2">
        <v>0.89904198472374297</v>
      </c>
      <c r="AL2">
        <v>9.5869899309904194E-2</v>
      </c>
    </row>
    <row r="3" spans="1:38" x14ac:dyDescent="0.2">
      <c r="A3">
        <v>11</v>
      </c>
      <c r="B3">
        <v>732</v>
      </c>
      <c r="C3">
        <v>300</v>
      </c>
      <c r="D3">
        <v>0.256201064517732</v>
      </c>
      <c r="E3">
        <v>4.6139965686582904</v>
      </c>
      <c r="F3">
        <v>2.2588694775831</v>
      </c>
      <c r="G3">
        <v>-76.462581326923427</v>
      </c>
      <c r="H3">
        <v>-64.717254961627631</v>
      </c>
      <c r="I3">
        <v>11.685147853848401</v>
      </c>
      <c r="J3">
        <v>7.1500296360186901</v>
      </c>
      <c r="K3">
        <v>2.0426131808178098</v>
      </c>
      <c r="L3">
        <v>1.2464537518086046E-5</v>
      </c>
      <c r="M3">
        <v>1.5427176190335376E-6</v>
      </c>
      <c r="N3">
        <v>0</v>
      </c>
      <c r="O3" s="1">
        <v>5.1824455324495004E-12</v>
      </c>
      <c r="P3">
        <v>0</v>
      </c>
      <c r="Q3">
        <v>55.0133593077624</v>
      </c>
      <c r="S3">
        <v>23.339010906839999</v>
      </c>
      <c r="AB3">
        <v>14.116084390917999</v>
      </c>
      <c r="AC3">
        <v>0.107823404114923</v>
      </c>
      <c r="AE3">
        <v>7.4237219903644602</v>
      </c>
      <c r="AJ3">
        <v>5.00033721114622E-3</v>
      </c>
      <c r="AK3">
        <v>0.90013043877841503</v>
      </c>
      <c r="AL3">
        <v>9.4869224010438097E-2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49C05-8EF2-48B0-AC0D-4ABB9EFD8FC0}">
  <sheetPr codeName="Sheet9"/>
  <dimension ref="A1:AP20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117</v>
      </c>
      <c r="AK1" t="s">
        <v>118</v>
      </c>
      <c r="AL1" t="s">
        <v>119</v>
      </c>
      <c r="AM1" t="s">
        <v>120</v>
      </c>
      <c r="AN1" t="s">
        <v>121</v>
      </c>
      <c r="AO1" t="s">
        <v>122</v>
      </c>
      <c r="AP1" t="s">
        <v>123</v>
      </c>
    </row>
    <row r="2" spans="1:42" x14ac:dyDescent="0.2">
      <c r="A2">
        <v>10</v>
      </c>
      <c r="B2">
        <v>734</v>
      </c>
      <c r="C2">
        <v>300</v>
      </c>
      <c r="D2">
        <v>0.25781710768008598</v>
      </c>
      <c r="E2">
        <v>0.38918714008013899</v>
      </c>
      <c r="F2">
        <v>3.59131575095698</v>
      </c>
      <c r="G2">
        <v>-4.9365347143097003</v>
      </c>
      <c r="H2">
        <v>-4.1971345913195224</v>
      </c>
      <c r="I2">
        <v>0.73415094374241896</v>
      </c>
      <c r="J2">
        <v>0.43378513239658001</v>
      </c>
      <c r="K2">
        <v>0.108368956412822</v>
      </c>
      <c r="L2">
        <v>4.4365950933987559E-5</v>
      </c>
      <c r="M2">
        <v>9.1542950158159106E-7</v>
      </c>
      <c r="N2" s="1">
        <v>6.0704253324989296E-10</v>
      </c>
      <c r="O2" s="1">
        <v>1.05103838653261E-13</v>
      </c>
      <c r="P2" s="1">
        <v>-7.1746726457816599E-13</v>
      </c>
      <c r="Q2">
        <v>49.680144547415097</v>
      </c>
      <c r="R2">
        <v>1.55905977162144E-2</v>
      </c>
      <c r="S2">
        <v>2.0967120637038099</v>
      </c>
      <c r="T2">
        <v>0.54963392687601897</v>
      </c>
      <c r="V2">
        <v>32.571029466509998</v>
      </c>
      <c r="X2">
        <v>14.8812397875817</v>
      </c>
      <c r="AA2">
        <v>0.18841525641416601</v>
      </c>
      <c r="AB2">
        <v>1.7234353782900499E-2</v>
      </c>
      <c r="AJ2">
        <v>-1.1140710739814801</v>
      </c>
      <c r="AK2">
        <v>0.99079431426567299</v>
      </c>
      <c r="AL2">
        <v>1.0657311781719701</v>
      </c>
      <c r="AM2">
        <v>4.0055872072429201E-2</v>
      </c>
      <c r="AN2">
        <v>-3.9138440456724703E-2</v>
      </c>
      <c r="AO2">
        <v>5.5320769278306203E-2</v>
      </c>
      <c r="AP2">
        <v>1.3073806498276599E-3</v>
      </c>
    </row>
    <row r="3" spans="1:42" x14ac:dyDescent="0.2">
      <c r="A3">
        <v>11</v>
      </c>
      <c r="B3">
        <v>732</v>
      </c>
      <c r="C3">
        <v>300</v>
      </c>
      <c r="D3">
        <v>0.256201064517732</v>
      </c>
      <c r="E3">
        <v>0.49779136177695699</v>
      </c>
      <c r="F3">
        <v>3.5954923343356602</v>
      </c>
      <c r="G3">
        <v>-6.3030269114381676</v>
      </c>
      <c r="H3">
        <v>-5.3606098265523379</v>
      </c>
      <c r="I3">
        <v>0.93758850408976702</v>
      </c>
      <c r="J3">
        <v>0.55432723389974403</v>
      </c>
      <c r="K3">
        <v>0.138448733994848</v>
      </c>
      <c r="L3">
        <v>4.4306704699691645E-5</v>
      </c>
      <c r="M3">
        <v>9.1553336964284336E-7</v>
      </c>
      <c r="N3" s="1">
        <v>8.2076609446403197E-10</v>
      </c>
      <c r="O3" s="1">
        <v>1.3446634245745801E-13</v>
      </c>
      <c r="P3" s="1">
        <v>-1.25572397044345E-12</v>
      </c>
      <c r="Q3">
        <v>49.516431096992598</v>
      </c>
      <c r="R3">
        <v>1.5986236437455399E-2</v>
      </c>
      <c r="S3">
        <v>2.2821313217608998</v>
      </c>
      <c r="T3">
        <v>0.57266666106572905</v>
      </c>
      <c r="V3">
        <v>32.726829631426703</v>
      </c>
      <c r="X3">
        <v>14.698072272107099</v>
      </c>
      <c r="AA3">
        <v>0.171223848805023</v>
      </c>
      <c r="AB3">
        <v>1.6658931404344501E-2</v>
      </c>
      <c r="AJ3">
        <v>-1.1255263482922999</v>
      </c>
      <c r="AK3">
        <v>0.991551197689023</v>
      </c>
      <c r="AL3">
        <v>1.0717709719477999</v>
      </c>
      <c r="AM3">
        <v>4.4064046757117302E-2</v>
      </c>
      <c r="AN3">
        <v>-4.3122506188370199E-2</v>
      </c>
      <c r="AO3">
        <v>5.99977967288308E-2</v>
      </c>
      <c r="AP3">
        <v>1.2648413579003301E-3</v>
      </c>
    </row>
    <row r="4" spans="1:42" x14ac:dyDescent="0.2">
      <c r="A4">
        <v>19</v>
      </c>
      <c r="B4">
        <v>738</v>
      </c>
      <c r="C4">
        <v>275</v>
      </c>
      <c r="D4">
        <v>0.28822677149780002</v>
      </c>
      <c r="E4">
        <v>0.32626508579734598</v>
      </c>
      <c r="F4">
        <v>3.5809387234757901</v>
      </c>
      <c r="G4">
        <v>-4.1642423490671971</v>
      </c>
      <c r="H4">
        <v>-3.5396529754546777</v>
      </c>
      <c r="I4">
        <v>0.61770199635318102</v>
      </c>
      <c r="J4">
        <v>0.36493374176876803</v>
      </c>
      <c r="K4">
        <v>9.1111608154149398E-2</v>
      </c>
      <c r="L4">
        <v>4.4432865277915295E-5</v>
      </c>
      <c r="M4">
        <v>9.1365199839048661E-7</v>
      </c>
      <c r="N4" s="1">
        <v>4.6855989905747903E-10</v>
      </c>
      <c r="O4" s="1">
        <v>8.9621760051691E-14</v>
      </c>
      <c r="P4" s="1">
        <v>-4.3450342352831001E-13</v>
      </c>
      <c r="Q4">
        <v>49.905820061371898</v>
      </c>
      <c r="R4">
        <v>1.56648037175489E-2</v>
      </c>
      <c r="S4">
        <v>1.9791604014542601</v>
      </c>
      <c r="T4">
        <v>0.53129734236105397</v>
      </c>
      <c r="V4">
        <v>32.028903378252302</v>
      </c>
      <c r="X4">
        <v>15.3456632787092</v>
      </c>
      <c r="AA4">
        <v>0.176332304950504</v>
      </c>
      <c r="AB4">
        <v>1.7158429183075499E-2</v>
      </c>
      <c r="AJ4">
        <v>-1.0906712720122</v>
      </c>
      <c r="AK4">
        <v>0.99133196075340302</v>
      </c>
      <c r="AL4">
        <v>1.04493390124677</v>
      </c>
      <c r="AM4">
        <v>3.7510781022477797E-2</v>
      </c>
      <c r="AN4">
        <v>-3.6591673208420397E-2</v>
      </c>
      <c r="AO4">
        <v>5.2188480174039202E-2</v>
      </c>
      <c r="AP4">
        <v>1.2978220239287001E-3</v>
      </c>
    </row>
    <row r="5" spans="1:42" x14ac:dyDescent="0.2">
      <c r="A5">
        <v>20</v>
      </c>
      <c r="B5">
        <v>736</v>
      </c>
      <c r="C5">
        <v>275</v>
      </c>
      <c r="D5">
        <v>0.28667740177377199</v>
      </c>
      <c r="E5">
        <v>0.46770613802953298</v>
      </c>
      <c r="F5">
        <v>3.5852614685666402</v>
      </c>
      <c r="G5">
        <v>-5.9585134492914236</v>
      </c>
      <c r="H5">
        <v>-5.0663131857969663</v>
      </c>
      <c r="I5">
        <v>0.884110651037464</v>
      </c>
      <c r="J5">
        <v>0.522690098437533</v>
      </c>
      <c r="K5">
        <v>0.13045244876282799</v>
      </c>
      <c r="L5">
        <v>4.439006168578256E-5</v>
      </c>
      <c r="M5">
        <v>9.1382305816097971E-7</v>
      </c>
      <c r="N5" s="1">
        <v>7.1021224843525104E-10</v>
      </c>
      <c r="O5" s="1">
        <v>1.2866049373902101E-13</v>
      </c>
      <c r="P5" s="1">
        <v>-9.6857957092189604E-13</v>
      </c>
      <c r="Q5">
        <v>49.742182340812498</v>
      </c>
      <c r="R5">
        <v>1.6069787494169999E-2</v>
      </c>
      <c r="S5">
        <v>2.1611664302742799</v>
      </c>
      <c r="T5">
        <v>0.554465837309701</v>
      </c>
      <c r="V5">
        <v>32.196497398324098</v>
      </c>
      <c r="X5">
        <v>15.160580453916999</v>
      </c>
      <c r="AA5">
        <v>0.15236971899542201</v>
      </c>
      <c r="AB5">
        <v>1.6668032872722099E-2</v>
      </c>
      <c r="AJ5">
        <v>-1.10270364141221</v>
      </c>
      <c r="AK5">
        <v>0.99236364100148899</v>
      </c>
      <c r="AL5">
        <v>1.0513631475641201</v>
      </c>
      <c r="AM5">
        <v>4.14231260624826E-2</v>
      </c>
      <c r="AN5">
        <v>-4.0479393355918603E-2</v>
      </c>
      <c r="AO5">
        <v>5.6771236431831101E-2</v>
      </c>
      <c r="AP5">
        <v>1.2618837082084299E-3</v>
      </c>
    </row>
    <row r="6" spans="1:42" x14ac:dyDescent="0.2">
      <c r="A6">
        <v>27</v>
      </c>
      <c r="B6">
        <v>742</v>
      </c>
      <c r="C6">
        <v>250</v>
      </c>
      <c r="D6">
        <v>0.318396788651924</v>
      </c>
      <c r="E6">
        <v>0.29931086778143901</v>
      </c>
      <c r="F6">
        <v>3.5706507644673402</v>
      </c>
      <c r="G6">
        <v>-3.8437184829173843</v>
      </c>
      <c r="H6">
        <v>-3.266345117326618</v>
      </c>
      <c r="I6">
        <v>0.56875670156210101</v>
      </c>
      <c r="J6">
        <v>0.33583988582757901</v>
      </c>
      <c r="K6">
        <v>8.3825298951097305E-2</v>
      </c>
      <c r="L6">
        <v>4.4457004688803848E-5</v>
      </c>
      <c r="M6">
        <v>9.1185794378923429E-7</v>
      </c>
      <c r="N6" s="1">
        <v>3.9808708131068199E-10</v>
      </c>
      <c r="O6" s="1">
        <v>8.3424743914397703E-14</v>
      </c>
      <c r="P6" s="1">
        <v>-2.0530835928517101E-13</v>
      </c>
      <c r="Q6">
        <v>50.121409999423598</v>
      </c>
      <c r="R6">
        <v>1.5741778475783699E-2</v>
      </c>
      <c r="S6">
        <v>1.87027382316997</v>
      </c>
      <c r="T6">
        <v>0.51477381579813797</v>
      </c>
      <c r="V6">
        <v>31.487137407396201</v>
      </c>
      <c r="X6">
        <v>15.788488926198101</v>
      </c>
      <c r="AA6">
        <v>0.18527641493501101</v>
      </c>
      <c r="AB6">
        <v>1.6897834602966198E-2</v>
      </c>
      <c r="AJ6">
        <v>-1.0668606703727901</v>
      </c>
      <c r="AK6">
        <v>0.99100336799823596</v>
      </c>
      <c r="AL6">
        <v>1.02435139121194</v>
      </c>
      <c r="AM6">
        <v>3.5162448631364897E-2</v>
      </c>
      <c r="AN6">
        <v>-3.4241438665356602E-2</v>
      </c>
      <c r="AO6">
        <v>4.93104074754495E-2</v>
      </c>
      <c r="AP6">
        <v>1.2744937211579101E-3</v>
      </c>
    </row>
    <row r="7" spans="1:42" x14ac:dyDescent="0.2">
      <c r="A7">
        <v>28</v>
      </c>
      <c r="B7">
        <v>740</v>
      </c>
      <c r="C7">
        <v>250</v>
      </c>
      <c r="D7">
        <v>0.31691309282929903</v>
      </c>
      <c r="E7">
        <v>0.44512981794978501</v>
      </c>
      <c r="F7">
        <v>3.5749441273970999</v>
      </c>
      <c r="G7">
        <v>-5.7056121146034782</v>
      </c>
      <c r="H7">
        <v>-4.8499702523260639</v>
      </c>
      <c r="I7">
        <v>0.84453621110142896</v>
      </c>
      <c r="J7">
        <v>0.49903334046930797</v>
      </c>
      <c r="K7">
        <v>0.124513783177328</v>
      </c>
      <c r="L7">
        <v>4.4428665539358361E-5</v>
      </c>
      <c r="M7">
        <v>9.121331619351873E-7</v>
      </c>
      <c r="N7" s="1">
        <v>6.2199408098911602E-10</v>
      </c>
      <c r="O7" s="1">
        <v>1.24389372616526E-13</v>
      </c>
      <c r="P7" s="1">
        <v>-6.2400945824290597E-13</v>
      </c>
      <c r="Q7">
        <v>49.962851653701499</v>
      </c>
      <c r="R7">
        <v>1.6133880456547501E-2</v>
      </c>
      <c r="S7">
        <v>2.0425624928207502</v>
      </c>
      <c r="T7">
        <v>0.53717794376293304</v>
      </c>
      <c r="V7">
        <v>31.658944947660999</v>
      </c>
      <c r="X7">
        <v>15.6040294851159</v>
      </c>
      <c r="AA7">
        <v>0.161893219184986</v>
      </c>
      <c r="AB7">
        <v>1.64063772962161E-2</v>
      </c>
      <c r="AJ7">
        <v>-1.0787355594251</v>
      </c>
      <c r="AK7">
        <v>0.99200758846165804</v>
      </c>
      <c r="AL7">
        <v>1.0308997660072801</v>
      </c>
      <c r="AM7">
        <v>3.88501790284492E-2</v>
      </c>
      <c r="AN7">
        <v>-3.7905349214403097E-2</v>
      </c>
      <c r="AO7">
        <v>5.3644796572846397E-2</v>
      </c>
      <c r="AP7">
        <v>1.2385785692745599E-3</v>
      </c>
    </row>
    <row r="8" spans="1:42" x14ac:dyDescent="0.2">
      <c r="A8">
        <v>37</v>
      </c>
      <c r="B8">
        <v>746</v>
      </c>
      <c r="C8">
        <v>225</v>
      </c>
      <c r="D8">
        <v>0.34832998086640898</v>
      </c>
      <c r="E8">
        <v>0.308563650578284</v>
      </c>
      <c r="F8">
        <v>3.5608913983580601</v>
      </c>
      <c r="G8">
        <v>-3.9860410647250943</v>
      </c>
      <c r="H8">
        <v>-3.3863069455769446</v>
      </c>
      <c r="I8">
        <v>0.58846501412760599</v>
      </c>
      <c r="J8">
        <v>0.34724201792255599</v>
      </c>
      <c r="K8">
        <v>8.6653485338127403E-2</v>
      </c>
      <c r="L8">
        <v>4.4451558920361475E-5</v>
      </c>
      <c r="M8">
        <v>9.099784857573282E-7</v>
      </c>
      <c r="N8" s="1">
        <v>3.8742645070612199E-10</v>
      </c>
      <c r="O8" s="1">
        <v>8.7179945722048404E-14</v>
      </c>
      <c r="P8" s="1">
        <v>-4.1868212224494802E-14</v>
      </c>
      <c r="Q8">
        <v>50.314969617288398</v>
      </c>
      <c r="R8">
        <v>1.5905987572306299E-2</v>
      </c>
      <c r="S8">
        <v>1.78601973322068</v>
      </c>
      <c r="T8">
        <v>0.50227814189623299</v>
      </c>
      <c r="V8">
        <v>30.964764253153799</v>
      </c>
      <c r="X8">
        <v>16.207216348353601</v>
      </c>
      <c r="AA8">
        <v>0.192245183503336</v>
      </c>
      <c r="AB8">
        <v>1.66007350114061E-2</v>
      </c>
      <c r="AJ8">
        <v>-1.0446409740526399</v>
      </c>
      <c r="AK8">
        <v>0.99076041655258595</v>
      </c>
      <c r="AL8">
        <v>1.00462910938766</v>
      </c>
      <c r="AM8">
        <v>3.3339391516981398E-2</v>
      </c>
      <c r="AN8">
        <v>-3.2411294515540097E-2</v>
      </c>
      <c r="AO8">
        <v>4.70746567219094E-2</v>
      </c>
      <c r="AP8">
        <v>1.2486943890359301E-3</v>
      </c>
    </row>
    <row r="9" spans="1:42" x14ac:dyDescent="0.2">
      <c r="A9">
        <v>38</v>
      </c>
      <c r="B9">
        <v>744</v>
      </c>
      <c r="C9">
        <v>225</v>
      </c>
      <c r="D9">
        <v>0.34691097674876298</v>
      </c>
      <c r="E9">
        <v>0.42854519334104901</v>
      </c>
      <c r="F9">
        <v>3.5650431792427502</v>
      </c>
      <c r="G9">
        <v>-5.5257577351448735</v>
      </c>
      <c r="H9">
        <v>-4.6957295515290589</v>
      </c>
      <c r="I9">
        <v>0.81603321399578699</v>
      </c>
      <c r="J9">
        <v>0.48186987425819799</v>
      </c>
      <c r="K9">
        <v>0.12020757443731001</v>
      </c>
      <c r="L9">
        <v>4.4435955340804279E-5</v>
      </c>
      <c r="M9">
        <v>9.1033873264278047E-7</v>
      </c>
      <c r="N9" s="1">
        <v>5.6033024572661305E-10</v>
      </c>
      <c r="O9" s="1">
        <v>1.21502996495977E-13</v>
      </c>
      <c r="P9" s="1">
        <v>-3.4635297314051902E-13</v>
      </c>
      <c r="Q9">
        <v>50.164741650621202</v>
      </c>
      <c r="R9">
        <v>1.62814479137619E-2</v>
      </c>
      <c r="S9">
        <v>1.94626622000807</v>
      </c>
      <c r="T9">
        <v>0.52332641810611402</v>
      </c>
      <c r="V9">
        <v>31.134687497225698</v>
      </c>
      <c r="X9">
        <v>16.028458378475399</v>
      </c>
      <c r="AA9">
        <v>0.17011609477602299</v>
      </c>
      <c r="AB9">
        <v>1.6122292873529499E-2</v>
      </c>
      <c r="AJ9">
        <v>-1.05603899555946</v>
      </c>
      <c r="AK9">
        <v>0.99170864493266198</v>
      </c>
      <c r="AL9">
        <v>1.0110665075463601</v>
      </c>
      <c r="AM9">
        <v>3.6758207066314601E-2</v>
      </c>
      <c r="AN9">
        <v>-3.5807333031847098E-2</v>
      </c>
      <c r="AO9">
        <v>5.1099152977057603E-2</v>
      </c>
      <c r="AP9">
        <v>1.2138160689105801E-3</v>
      </c>
    </row>
    <row r="10" spans="1:42" x14ac:dyDescent="0.2">
      <c r="A10">
        <v>50</v>
      </c>
      <c r="B10">
        <v>750</v>
      </c>
      <c r="C10">
        <v>200</v>
      </c>
      <c r="D10">
        <v>0.37802912573913899</v>
      </c>
      <c r="E10">
        <v>0.34631608523442298</v>
      </c>
      <c r="F10">
        <v>3.55193508874815</v>
      </c>
      <c r="G10">
        <v>-4.4987454671370175</v>
      </c>
      <c r="H10">
        <v>-3.8205958355104754</v>
      </c>
      <c r="I10">
        <v>0.66280568013149799</v>
      </c>
      <c r="J10">
        <v>0.39078394021817398</v>
      </c>
      <c r="K10">
        <v>9.7500679652476302E-2</v>
      </c>
      <c r="L10">
        <v>4.4421362664700903E-5</v>
      </c>
      <c r="M10">
        <v>9.0806622439226172E-7</v>
      </c>
      <c r="N10" s="1">
        <v>4.1947369565801698E-10</v>
      </c>
      <c r="O10" s="1">
        <v>9.9148313879250904E-14</v>
      </c>
      <c r="P10" s="1">
        <v>9.7584404386477297E-14</v>
      </c>
      <c r="Q10">
        <v>50.475996581123098</v>
      </c>
      <c r="R10">
        <v>1.6205474685469502E-2</v>
      </c>
      <c r="S10">
        <v>1.7367209473866401</v>
      </c>
      <c r="T10">
        <v>0.49560985455607998</v>
      </c>
      <c r="V10">
        <v>30.474560247816999</v>
      </c>
      <c r="X10">
        <v>16.5885695444642</v>
      </c>
      <c r="AA10">
        <v>0.19610859803202199</v>
      </c>
      <c r="AB10">
        <v>1.6228751935368602E-2</v>
      </c>
      <c r="AJ10">
        <v>-1.02478914471856</v>
      </c>
      <c r="AK10">
        <v>0.99065139368187904</v>
      </c>
      <c r="AL10">
        <v>0.986236785114317</v>
      </c>
      <c r="AM10">
        <v>3.2251042260764598E-2</v>
      </c>
      <c r="AN10">
        <v>-3.1307849937769999E-2</v>
      </c>
      <c r="AO10">
        <v>4.5740131277317901E-2</v>
      </c>
      <c r="AP10">
        <v>1.21764232205129E-3</v>
      </c>
    </row>
    <row r="11" spans="1:42" x14ac:dyDescent="0.2">
      <c r="A11">
        <v>51</v>
      </c>
      <c r="B11">
        <v>748</v>
      </c>
      <c r="C11">
        <v>200</v>
      </c>
      <c r="D11">
        <v>0.37667384811242399</v>
      </c>
      <c r="E11">
        <v>0.420713312405183</v>
      </c>
      <c r="F11">
        <v>3.55581264549369</v>
      </c>
      <c r="G11">
        <v>-5.4556471553628221</v>
      </c>
      <c r="H11">
        <v>-4.6346561975638911</v>
      </c>
      <c r="I11">
        <v>0.80398664035541201</v>
      </c>
      <c r="J11">
        <v>0.47437384922175502</v>
      </c>
      <c r="K11">
        <v>0.118317064015832</v>
      </c>
      <c r="L11">
        <v>4.4415873751961497E-5</v>
      </c>
      <c r="M11">
        <v>9.0847470350014997E-7</v>
      </c>
      <c r="N11" s="1">
        <v>5.2557832346663901E-10</v>
      </c>
      <c r="O11" s="1">
        <v>1.20954322568148E-13</v>
      </c>
      <c r="P11" s="1">
        <v>-1.4169108485128099E-13</v>
      </c>
      <c r="Q11">
        <v>50.337772520993603</v>
      </c>
      <c r="R11">
        <v>1.6563737228251999E-2</v>
      </c>
      <c r="S11">
        <v>1.8828485307215099</v>
      </c>
      <c r="T11">
        <v>0.51462884798866904</v>
      </c>
      <c r="V11">
        <v>30.634887637708701</v>
      </c>
      <c r="X11">
        <v>16.422155918713699</v>
      </c>
      <c r="AA11">
        <v>0.17535704492417201</v>
      </c>
      <c r="AB11">
        <v>1.5785761721235199E-2</v>
      </c>
      <c r="AJ11">
        <v>-1.0353610634036501</v>
      </c>
      <c r="AK11">
        <v>0.991537775843777</v>
      </c>
      <c r="AL11">
        <v>0.99227513998355199</v>
      </c>
      <c r="AM11">
        <v>3.5363764085748803E-2</v>
      </c>
      <c r="AN11">
        <v>-3.4398893866589599E-2</v>
      </c>
      <c r="AO11">
        <v>4.9397857425306897E-2</v>
      </c>
      <c r="AP11">
        <v>1.1854199318617599E-3</v>
      </c>
    </row>
    <row r="12" spans="1:42" x14ac:dyDescent="0.2">
      <c r="A12">
        <v>65</v>
      </c>
      <c r="B12">
        <v>756</v>
      </c>
      <c r="C12">
        <v>175</v>
      </c>
      <c r="D12">
        <v>0.40878443375601398</v>
      </c>
      <c r="E12">
        <v>0.25559115966714602</v>
      </c>
      <c r="F12">
        <v>3.5430594641664901</v>
      </c>
      <c r="G12">
        <v>-3.3375683501735742</v>
      </c>
      <c r="H12">
        <v>-2.8318528693871721</v>
      </c>
      <c r="I12">
        <v>0.49139142086809801</v>
      </c>
      <c r="J12">
        <v>0.28910891381050002</v>
      </c>
      <c r="K12">
        <v>7.2138546432009801E-2</v>
      </c>
      <c r="L12">
        <v>4.4389052078144489E-5</v>
      </c>
      <c r="M12">
        <v>9.0637963459175293E-7</v>
      </c>
      <c r="N12" s="1">
        <v>2.9962073003794101E-10</v>
      </c>
      <c r="O12" s="1">
        <v>7.3444343136861404E-14</v>
      </c>
      <c r="P12" s="1">
        <v>2.68601926230079E-13</v>
      </c>
      <c r="Q12">
        <v>50.664344143299097</v>
      </c>
      <c r="R12">
        <v>1.54462015256343E-2</v>
      </c>
      <c r="S12">
        <v>1.6140775644499099</v>
      </c>
      <c r="T12">
        <v>0.48765342140413198</v>
      </c>
      <c r="V12">
        <v>30.046928454131599</v>
      </c>
      <c r="X12">
        <v>16.943082741977001</v>
      </c>
      <c r="AA12">
        <v>0.212373100527641</v>
      </c>
      <c r="AB12">
        <v>1.60943726847553E-2</v>
      </c>
      <c r="AJ12">
        <v>-1.0051551014470701</v>
      </c>
      <c r="AK12">
        <v>0.99000890039338696</v>
      </c>
      <c r="AL12">
        <v>0.97028277363049698</v>
      </c>
      <c r="AM12">
        <v>2.9488788434201E-2</v>
      </c>
      <c r="AN12">
        <v>-2.85917424925957E-2</v>
      </c>
      <c r="AO12">
        <v>4.2761447770696397E-2</v>
      </c>
      <c r="AP12">
        <v>1.2049337108863099E-3</v>
      </c>
    </row>
    <row r="13" spans="1:42" x14ac:dyDescent="0.2">
      <c r="A13">
        <v>66</v>
      </c>
      <c r="B13">
        <v>754</v>
      </c>
      <c r="C13">
        <v>175</v>
      </c>
      <c r="D13">
        <v>0.40749695760112897</v>
      </c>
      <c r="E13">
        <v>0.38229523162174001</v>
      </c>
      <c r="F13">
        <v>3.5440235704159102</v>
      </c>
      <c r="G13">
        <v>-4.9917523127828973</v>
      </c>
      <c r="H13">
        <v>-4.2376314889007398</v>
      </c>
      <c r="I13">
        <v>0.73418762973485696</v>
      </c>
      <c r="J13">
        <v>0.43244928748007</v>
      </c>
      <c r="K13">
        <v>0.10787039759356699</v>
      </c>
      <c r="L13">
        <v>4.4373395565418288E-5</v>
      </c>
      <c r="M13">
        <v>9.0617776367908782E-7</v>
      </c>
      <c r="N13" s="1">
        <v>4.5603678507433599E-10</v>
      </c>
      <c r="O13" s="1">
        <v>1.1096698290166001E-13</v>
      </c>
      <c r="P13" s="1">
        <v>2.0258481773862699E-13</v>
      </c>
      <c r="Q13">
        <v>50.594722411197203</v>
      </c>
      <c r="R13">
        <v>1.6711549690104199E-2</v>
      </c>
      <c r="S13">
        <v>1.7327883797160399</v>
      </c>
      <c r="T13">
        <v>0.49644087317313901</v>
      </c>
      <c r="V13">
        <v>30.027269171438402</v>
      </c>
      <c r="X13">
        <v>16.921655303138198</v>
      </c>
      <c r="AA13">
        <v>0.194653454642949</v>
      </c>
      <c r="AB13">
        <v>1.5758857003776699E-2</v>
      </c>
      <c r="AJ13">
        <v>-1.0080358512482701</v>
      </c>
      <c r="AK13">
        <v>0.99076798159714696</v>
      </c>
      <c r="AL13">
        <v>0.96955590967205996</v>
      </c>
      <c r="AM13">
        <v>3.2108584636797603E-2</v>
      </c>
      <c r="AN13">
        <v>-3.1138145068004899E-2</v>
      </c>
      <c r="AO13">
        <v>4.5561817641823502E-2</v>
      </c>
      <c r="AP13">
        <v>1.1797027684513899E-3</v>
      </c>
    </row>
    <row r="14" spans="1:42" x14ac:dyDescent="0.2">
      <c r="A14">
        <v>82</v>
      </c>
      <c r="B14">
        <v>762</v>
      </c>
      <c r="C14">
        <v>150</v>
      </c>
      <c r="D14">
        <v>0.439183210162781</v>
      </c>
      <c r="E14">
        <v>0.28007477483270199</v>
      </c>
      <c r="F14">
        <v>3.53268990138969</v>
      </c>
      <c r="G14">
        <v>-3.6810204077329782</v>
      </c>
      <c r="H14">
        <v>-3.1209405600315057</v>
      </c>
      <c r="I14">
        <v>0.54106153475483898</v>
      </c>
      <c r="J14">
        <v>0.31776525729763599</v>
      </c>
      <c r="K14">
        <v>7.9280883024158394E-2</v>
      </c>
      <c r="L14">
        <v>4.4313976048179441E-5</v>
      </c>
      <c r="M14">
        <v>9.0392850219964512E-7</v>
      </c>
      <c r="N14" s="1">
        <v>3.26600462991993E-10</v>
      </c>
      <c r="O14" s="1">
        <v>8.1344777241706705E-14</v>
      </c>
      <c r="P14" s="1">
        <v>4.42568211447226E-13</v>
      </c>
      <c r="Q14">
        <v>50.849652685665497</v>
      </c>
      <c r="R14">
        <v>1.6106492250776299E-2</v>
      </c>
      <c r="S14">
        <v>1.5548235335845</v>
      </c>
      <c r="T14">
        <v>0.48169451084404502</v>
      </c>
      <c r="V14">
        <v>29.480768138391198</v>
      </c>
      <c r="X14">
        <v>17.378687854213901</v>
      </c>
      <c r="AA14">
        <v>0.22238789811939499</v>
      </c>
      <c r="AB14">
        <v>1.58788869305093E-2</v>
      </c>
      <c r="AJ14">
        <v>-0.98222771695717404</v>
      </c>
      <c r="AK14">
        <v>0.98964047961127199</v>
      </c>
      <c r="AL14">
        <v>0.94927205879343601</v>
      </c>
      <c r="AM14">
        <v>2.81733362274081E-2</v>
      </c>
      <c r="AN14">
        <v>-2.7240624104412199E-2</v>
      </c>
      <c r="AO14">
        <v>4.1197072163557502E-2</v>
      </c>
      <c r="AP14">
        <v>1.1853942659124899E-3</v>
      </c>
    </row>
    <row r="15" spans="1:42" x14ac:dyDescent="0.2">
      <c r="A15">
        <v>83</v>
      </c>
      <c r="B15">
        <v>760</v>
      </c>
      <c r="C15">
        <v>150</v>
      </c>
      <c r="D15">
        <v>0.43796205778444602</v>
      </c>
      <c r="E15">
        <v>0.371200838657814</v>
      </c>
      <c r="F15">
        <v>3.5339992930107198</v>
      </c>
      <c r="G15">
        <v>-4.8770777842404005</v>
      </c>
      <c r="H15">
        <v>-4.1370464977044143</v>
      </c>
      <c r="I15">
        <v>0.71628639262061</v>
      </c>
      <c r="J15">
        <v>0.421115716174502</v>
      </c>
      <c r="K15">
        <v>0.10503704383641101</v>
      </c>
      <c r="L15">
        <v>4.4304979064918875E-5</v>
      </c>
      <c r="M15">
        <v>9.0388637658325255E-7</v>
      </c>
      <c r="N15" s="1">
        <v>4.3811270840882599E-10</v>
      </c>
      <c r="O15" s="1">
        <v>1.08843731645749E-13</v>
      </c>
      <c r="P15" s="1">
        <v>4.0559831328162201E-13</v>
      </c>
      <c r="Q15">
        <v>50.777491672965702</v>
      </c>
      <c r="R15">
        <v>1.7200303143574999E-2</v>
      </c>
      <c r="S15">
        <v>1.6652132124530901</v>
      </c>
      <c r="T15">
        <v>0.491014413344178</v>
      </c>
      <c r="V15">
        <v>29.489184914285399</v>
      </c>
      <c r="X15">
        <v>17.339761704834</v>
      </c>
      <c r="AA15">
        <v>0.204582612767857</v>
      </c>
      <c r="AB15">
        <v>1.5551166206014801E-2</v>
      </c>
      <c r="AJ15">
        <v>-0.98596359257036803</v>
      </c>
      <c r="AK15">
        <v>0.99039900751398002</v>
      </c>
      <c r="AL15">
        <v>0.94958810467164001</v>
      </c>
      <c r="AM15">
        <v>3.0588341865931502E-2</v>
      </c>
      <c r="AN15">
        <v>-2.9592240928409799E-2</v>
      </c>
      <c r="AO15">
        <v>4.3819395210825E-2</v>
      </c>
      <c r="AP15">
        <v>1.16098423640031E-3</v>
      </c>
    </row>
    <row r="16" spans="1:42" x14ac:dyDescent="0.2">
      <c r="A16">
        <v>102</v>
      </c>
      <c r="B16">
        <v>770</v>
      </c>
      <c r="C16">
        <v>125</v>
      </c>
      <c r="D16">
        <v>0.47038345396155901</v>
      </c>
      <c r="E16">
        <v>0.27874425627461902</v>
      </c>
      <c r="F16">
        <v>3.52383053328656</v>
      </c>
      <c r="G16">
        <v>-3.6842645110115302</v>
      </c>
      <c r="H16">
        <v>-3.1193439821461535</v>
      </c>
      <c r="I16">
        <v>0.54155253689821803</v>
      </c>
      <c r="J16">
        <v>0.317091124827519</v>
      </c>
      <c r="K16">
        <v>7.9102628131961603E-2</v>
      </c>
      <c r="L16">
        <v>4.4241920248907091E-5</v>
      </c>
      <c r="M16">
        <v>9.0177747862170495E-7</v>
      </c>
      <c r="N16" s="1">
        <v>3.2852566430776199E-10</v>
      </c>
      <c r="O16" s="1">
        <v>8.1289091858780405E-14</v>
      </c>
      <c r="P16" s="1">
        <v>6.0884911989598904E-13</v>
      </c>
      <c r="Q16">
        <v>50.995631328397899</v>
      </c>
      <c r="R16">
        <v>1.61838917586157E-2</v>
      </c>
      <c r="S16">
        <v>1.5015867980138999</v>
      </c>
      <c r="T16">
        <v>0.48586571573426102</v>
      </c>
      <c r="V16">
        <v>29.0283089707297</v>
      </c>
      <c r="X16">
        <v>17.722337643843598</v>
      </c>
      <c r="AA16">
        <v>0.23439922284300599</v>
      </c>
      <c r="AB16">
        <v>1.5686428678913102E-2</v>
      </c>
      <c r="AJ16">
        <v>-0.963864810176838</v>
      </c>
      <c r="AK16">
        <v>0.98918358884094004</v>
      </c>
      <c r="AL16">
        <v>0.93261275131345001</v>
      </c>
      <c r="AM16">
        <v>2.6854239603855499E-2</v>
      </c>
      <c r="AN16">
        <v>-2.5919141173243E-2</v>
      </c>
      <c r="AO16">
        <v>3.9964963504041703E-2</v>
      </c>
      <c r="AP16">
        <v>1.1684080877927799E-3</v>
      </c>
    </row>
    <row r="17" spans="1:42" x14ac:dyDescent="0.2">
      <c r="A17">
        <v>103</v>
      </c>
      <c r="B17">
        <v>768</v>
      </c>
      <c r="C17">
        <v>125</v>
      </c>
      <c r="D17">
        <v>0.46923161888296799</v>
      </c>
      <c r="E17">
        <v>0.35337197198141401</v>
      </c>
      <c r="F17">
        <v>3.5230998296629701</v>
      </c>
      <c r="G17">
        <v>-4.6744523866906125</v>
      </c>
      <c r="H17">
        <v>-3.9602708031163036</v>
      </c>
      <c r="I17">
        <v>0.68595455368996505</v>
      </c>
      <c r="J17">
        <v>0.40214999442714799</v>
      </c>
      <c r="K17">
        <v>0.100301435970157</v>
      </c>
      <c r="L17">
        <v>4.4212562705936639E-5</v>
      </c>
      <c r="M17">
        <v>9.0125469126495807E-7</v>
      </c>
      <c r="N17" s="1">
        <v>4.2121521151985001E-10</v>
      </c>
      <c r="O17" s="1">
        <v>1.04358125708666E-13</v>
      </c>
      <c r="P17" s="1">
        <v>6.25000583107386E-13</v>
      </c>
      <c r="Q17">
        <v>50.973618566150698</v>
      </c>
      <c r="R17">
        <v>1.7883677671598999E-2</v>
      </c>
      <c r="S17">
        <v>1.58904169115645</v>
      </c>
      <c r="T17">
        <v>0.48785820371378502</v>
      </c>
      <c r="V17">
        <v>28.9114614464421</v>
      </c>
      <c r="X17">
        <v>17.785533177601899</v>
      </c>
      <c r="AA17">
        <v>0.21914407003440001</v>
      </c>
      <c r="AB17">
        <v>1.54591672289394E-2</v>
      </c>
      <c r="AJ17">
        <v>-0.96221768186344103</v>
      </c>
      <c r="AK17">
        <v>0.98983463082158896</v>
      </c>
      <c r="AL17">
        <v>0.92829219056658996</v>
      </c>
      <c r="AM17">
        <v>2.8845261234765999E-2</v>
      </c>
      <c r="AN17">
        <v>-2.7812580117284599E-2</v>
      </c>
      <c r="AO17">
        <v>4.19074012011467E-2</v>
      </c>
      <c r="AP17">
        <v>1.1507781566335901E-3</v>
      </c>
    </row>
    <row r="18" spans="1:42" x14ac:dyDescent="0.2">
      <c r="A18">
        <v>125</v>
      </c>
      <c r="B18">
        <v>782</v>
      </c>
      <c r="C18">
        <v>100</v>
      </c>
      <c r="D18">
        <v>0.50326541250059598</v>
      </c>
      <c r="E18">
        <v>0.19658203879866301</v>
      </c>
      <c r="F18">
        <v>3.52012364456689</v>
      </c>
      <c r="G18">
        <v>-2.6051045897160554</v>
      </c>
      <c r="H18">
        <v>-2.1992852204916313</v>
      </c>
      <c r="I18">
        <v>0.384608225583495</v>
      </c>
      <c r="J18">
        <v>0.22392206452906299</v>
      </c>
      <c r="K18">
        <v>5.5845208477854402E-2</v>
      </c>
      <c r="L18">
        <v>4.4240913681400995E-5</v>
      </c>
      <c r="M18">
        <v>9.0106487000356705E-7</v>
      </c>
      <c r="N18" s="1">
        <v>2.3391515851644299E-10</v>
      </c>
      <c r="O18" s="1">
        <v>5.6570236391315002E-14</v>
      </c>
      <c r="P18" s="1">
        <v>5.9194825607393404E-13</v>
      </c>
      <c r="Q18">
        <v>51.030088752543897</v>
      </c>
      <c r="R18">
        <v>1.3969453693224901E-2</v>
      </c>
      <c r="S18">
        <v>1.4442774848631501</v>
      </c>
      <c r="T18">
        <v>0.51423564776846697</v>
      </c>
      <c r="V18">
        <v>28.960800017277101</v>
      </c>
      <c r="X18">
        <v>17.772182371165901</v>
      </c>
      <c r="AA18">
        <v>0.24891796891221499</v>
      </c>
      <c r="AB18">
        <v>1.5528303775950899E-2</v>
      </c>
      <c r="AJ18">
        <v>-0.95997129138926995</v>
      </c>
      <c r="AK18">
        <v>0.98859992363660298</v>
      </c>
      <c r="AL18">
        <v>0.93026786761968405</v>
      </c>
      <c r="AM18">
        <v>2.5083935774344399E-2</v>
      </c>
      <c r="AN18">
        <v>-2.4276939297363801E-2</v>
      </c>
      <c r="AO18">
        <v>3.9140092301836703E-2</v>
      </c>
      <c r="AP18">
        <v>1.15641135416512E-3</v>
      </c>
    </row>
    <row r="19" spans="1:42" x14ac:dyDescent="0.2">
      <c r="A19">
        <v>126</v>
      </c>
      <c r="B19">
        <v>780</v>
      </c>
      <c r="C19">
        <v>100</v>
      </c>
      <c r="D19">
        <v>0.50218914684517901</v>
      </c>
      <c r="E19">
        <v>0.30663904641525802</v>
      </c>
      <c r="F19">
        <v>3.51250333775902</v>
      </c>
      <c r="G19">
        <v>-4.0831581558913825</v>
      </c>
      <c r="H19">
        <v>-3.451266553872061</v>
      </c>
      <c r="I19">
        <v>0.60000152116917804</v>
      </c>
      <c r="J19">
        <v>0.35004544859823</v>
      </c>
      <c r="K19">
        <v>8.7299289688616902E-2</v>
      </c>
      <c r="L19">
        <v>4.412331611030829E-5</v>
      </c>
      <c r="M19">
        <v>8.9867635348211776E-7</v>
      </c>
      <c r="N19" s="1">
        <v>3.7606053776944598E-10</v>
      </c>
      <c r="O19" s="1">
        <v>9.0169079204820001E-14</v>
      </c>
      <c r="P19" s="1">
        <v>8.4010453231492599E-13</v>
      </c>
      <c r="Q19">
        <v>51.165050137560897</v>
      </c>
      <c r="R19">
        <v>1.7752241491711101E-2</v>
      </c>
      <c r="S19">
        <v>1.48002394671423</v>
      </c>
      <c r="T19">
        <v>0.49240445200110999</v>
      </c>
      <c r="V19">
        <v>28.404774272321902</v>
      </c>
      <c r="X19">
        <v>18.178875985058198</v>
      </c>
      <c r="AA19">
        <v>0.245560345440303</v>
      </c>
      <c r="AB19">
        <v>1.5558619411381E-2</v>
      </c>
      <c r="AJ19">
        <v>-0.94013115580394702</v>
      </c>
      <c r="AK19">
        <v>0.98876833229359196</v>
      </c>
      <c r="AL19">
        <v>0.90977563538370398</v>
      </c>
      <c r="AM19">
        <v>2.6240755570975601E-2</v>
      </c>
      <c r="AN19">
        <v>-2.52181906092993E-2</v>
      </c>
      <c r="AO19">
        <v>3.9409296279163501E-2</v>
      </c>
      <c r="AP19">
        <v>1.1553268858100099E-3</v>
      </c>
    </row>
    <row r="20" spans="1:42" x14ac:dyDescent="0.2">
      <c r="A20">
        <v>127</v>
      </c>
      <c r="B20">
        <v>778</v>
      </c>
      <c r="C20">
        <v>100</v>
      </c>
      <c r="D20">
        <v>0.501108785615755</v>
      </c>
      <c r="E20">
        <v>0.35068211658676501</v>
      </c>
      <c r="F20">
        <v>3.5127867287092198</v>
      </c>
      <c r="G20">
        <v>-4.6703975686131072</v>
      </c>
      <c r="H20">
        <v>-3.9498347530482292</v>
      </c>
      <c r="I20">
        <v>0.68549951535449505</v>
      </c>
      <c r="J20">
        <v>0.400362359698613</v>
      </c>
      <c r="K20">
        <v>9.9830175774896404E-2</v>
      </c>
      <c r="L20">
        <v>4.4107358817710451E-5</v>
      </c>
      <c r="M20">
        <v>8.9848762760026892E-7</v>
      </c>
      <c r="N20" s="1">
        <v>4.3201168656940502E-10</v>
      </c>
      <c r="O20" s="1">
        <v>1.0424138261655699E-13</v>
      </c>
      <c r="P20" s="1">
        <v>8.2571305571413395E-13</v>
      </c>
      <c r="Q20">
        <v>51.125533730024898</v>
      </c>
      <c r="R20">
        <v>1.90696285592931E-2</v>
      </c>
      <c r="S20">
        <v>1.5639619729274701</v>
      </c>
      <c r="T20">
        <v>0.49703713191409699</v>
      </c>
      <c r="V20">
        <v>28.3586690510426</v>
      </c>
      <c r="X20">
        <v>18.1914502197431</v>
      </c>
      <c r="AA20">
        <v>0.22895850029470499</v>
      </c>
      <c r="AB20">
        <v>1.5319765493677201E-2</v>
      </c>
      <c r="AJ20">
        <v>-0.94111095730440197</v>
      </c>
      <c r="AK20">
        <v>0.98946991374312099</v>
      </c>
      <c r="AL20">
        <v>0.90807439814009805</v>
      </c>
      <c r="AM20">
        <v>2.8108257681733001E-2</v>
      </c>
      <c r="AN20">
        <v>-2.7010080104721002E-2</v>
      </c>
      <c r="AO20">
        <v>4.1331158603813201E-2</v>
      </c>
      <c r="AP20">
        <v>1.13730924035655E-3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89A59-1651-4CB6-B674-89367D45AF43}">
  <sheetPr codeName="Sheet10"/>
  <dimension ref="A1:AL113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7</v>
      </c>
      <c r="B2">
        <v>740</v>
      </c>
      <c r="C2">
        <v>300</v>
      </c>
      <c r="D2">
        <v>0.26262695553471999</v>
      </c>
      <c r="E2">
        <v>2.3199187389875999</v>
      </c>
      <c r="F2">
        <v>2.58282799344309</v>
      </c>
      <c r="G2">
        <v>-37.500869705875836</v>
      </c>
      <c r="H2">
        <v>-32.604812239432121</v>
      </c>
      <c r="I2">
        <v>4.8325099604636099</v>
      </c>
      <c r="J2">
        <v>2.8592002821588101</v>
      </c>
      <c r="K2">
        <v>0.89820876375703995</v>
      </c>
      <c r="L2">
        <v>3.2303762394874715E-5</v>
      </c>
      <c r="M2">
        <v>1.8023357599079627E-6</v>
      </c>
      <c r="N2" s="1">
        <v>-6.0487743660874997E-8</v>
      </c>
      <c r="O2" s="1">
        <v>7.6543297538034694E-12</v>
      </c>
      <c r="P2" s="1">
        <v>1.9436914141901099E-10</v>
      </c>
      <c r="Q2">
        <v>64.767701892405299</v>
      </c>
      <c r="S2">
        <v>21.785540506875002</v>
      </c>
      <c r="AA2">
        <v>2.8606361788766201</v>
      </c>
      <c r="AB2">
        <v>9.1099005707504901</v>
      </c>
      <c r="AC2">
        <v>1.4762208510924499</v>
      </c>
      <c r="AJ2">
        <v>0.78116557058050595</v>
      </c>
      <c r="AK2">
        <v>0.135551046267194</v>
      </c>
      <c r="AL2">
        <v>8.3283383152299398E-2</v>
      </c>
    </row>
    <row r="3" spans="1:38" x14ac:dyDescent="0.2">
      <c r="A3">
        <v>8</v>
      </c>
      <c r="B3">
        <v>738</v>
      </c>
      <c r="C3">
        <v>300</v>
      </c>
      <c r="D3">
        <v>0.26103001532908299</v>
      </c>
      <c r="E3">
        <v>4.9525019053671802</v>
      </c>
      <c r="F3">
        <v>2.5799016223865898</v>
      </c>
      <c r="G3">
        <v>-79.978722897294503</v>
      </c>
      <c r="H3">
        <v>-69.555684258883062</v>
      </c>
      <c r="I3">
        <v>10.308103286764</v>
      </c>
      <c r="J3">
        <v>6.1113000166080598</v>
      </c>
      <c r="K3">
        <v>1.91964757973436</v>
      </c>
      <c r="L3">
        <v>3.2514192029348248E-5</v>
      </c>
      <c r="M3">
        <v>1.8079315464201603E-6</v>
      </c>
      <c r="N3" s="1">
        <v>-1.3753691505705699E-7</v>
      </c>
      <c r="O3" s="1">
        <v>1.63717343546088E-11</v>
      </c>
      <c r="P3" s="1">
        <v>4.3871697447224101E-10</v>
      </c>
      <c r="Q3">
        <v>65.019621420408896</v>
      </c>
      <c r="S3">
        <v>21.5678413867996</v>
      </c>
      <c r="AA3">
        <v>2.6222501978547101</v>
      </c>
      <c r="AB3">
        <v>9.1005631854268305</v>
      </c>
      <c r="AC3">
        <v>1.6897238095098801</v>
      </c>
      <c r="AJ3">
        <v>0.780405058929178</v>
      </c>
      <c r="AK3">
        <v>0.124261537784792</v>
      </c>
      <c r="AL3">
        <v>9.5333403286028601E-2</v>
      </c>
    </row>
    <row r="4" spans="1:38" x14ac:dyDescent="0.2">
      <c r="A4">
        <v>9</v>
      </c>
      <c r="B4">
        <v>736</v>
      </c>
      <c r="C4">
        <v>300</v>
      </c>
      <c r="D4">
        <v>0.25942674528068399</v>
      </c>
      <c r="E4">
        <v>7.9061159942450203</v>
      </c>
      <c r="F4">
        <v>2.57653184587936</v>
      </c>
      <c r="G4">
        <v>-127.52542872892629</v>
      </c>
      <c r="H4">
        <v>-110.93374642707506</v>
      </c>
      <c r="I4">
        <v>16.4412449109163</v>
      </c>
      <c r="J4">
        <v>9.7657395164723297</v>
      </c>
      <c r="K4">
        <v>3.0685108770882099</v>
      </c>
      <c r="L4">
        <v>3.269006774082616E-5</v>
      </c>
      <c r="M4">
        <v>1.81300941584953E-6</v>
      </c>
      <c r="N4" s="1">
        <v>-2.32591859513622E-7</v>
      </c>
      <c r="O4" s="1">
        <v>2.6204750611833701E-11</v>
      </c>
      <c r="P4" s="1">
        <v>7.3704240570112204E-10</v>
      </c>
      <c r="Q4">
        <v>65.266440968407395</v>
      </c>
      <c r="S4">
        <v>21.336916642454302</v>
      </c>
      <c r="AA4">
        <v>2.3741429520035102</v>
      </c>
      <c r="AB4">
        <v>9.0451880746398707</v>
      </c>
      <c r="AC4">
        <v>1.97731136249485</v>
      </c>
      <c r="AJ4">
        <v>0.77587385553574195</v>
      </c>
      <c r="AK4">
        <v>0.112535921574582</v>
      </c>
      <c r="AL4">
        <v>0.111590222889675</v>
      </c>
    </row>
    <row r="5" spans="1:38" x14ac:dyDescent="0.2">
      <c r="A5">
        <v>10</v>
      </c>
      <c r="B5">
        <v>734</v>
      </c>
      <c r="C5">
        <v>300</v>
      </c>
      <c r="D5">
        <v>0.25781710768008598</v>
      </c>
      <c r="E5">
        <v>21.4348698685633</v>
      </c>
      <c r="F5">
        <v>2.5768191465897301</v>
      </c>
      <c r="G5">
        <v>-345.65620404443996</v>
      </c>
      <c r="H5">
        <v>-300.81643484309831</v>
      </c>
      <c r="I5">
        <v>44.521440898914399</v>
      </c>
      <c r="J5">
        <v>26.5150548322537</v>
      </c>
      <c r="K5">
        <v>8.3183446913342909</v>
      </c>
      <c r="L5">
        <v>3.2837877562511189E-5</v>
      </c>
      <c r="M5">
        <v>1.8132598113981024E-6</v>
      </c>
      <c r="N5" s="1">
        <v>-6.7183235853536403E-7</v>
      </c>
      <c r="O5" s="1">
        <v>7.06924204353182E-11</v>
      </c>
      <c r="P5" s="1">
        <v>2.1147874618843602E-9</v>
      </c>
      <c r="Q5">
        <v>65.251198157554299</v>
      </c>
      <c r="S5">
        <v>21.347191384021901</v>
      </c>
      <c r="AA5">
        <v>2.38617642053166</v>
      </c>
      <c r="AB5">
        <v>9.0381568587676107</v>
      </c>
      <c r="AC5">
        <v>1.9772771791244399</v>
      </c>
      <c r="AJ5">
        <v>0.77529760333442599</v>
      </c>
      <c r="AK5">
        <v>0.11311023567598499</v>
      </c>
      <c r="AL5">
        <v>0.111592160989588</v>
      </c>
    </row>
    <row r="6" spans="1:38" x14ac:dyDescent="0.2">
      <c r="A6">
        <v>11</v>
      </c>
      <c r="B6">
        <v>732</v>
      </c>
      <c r="C6">
        <v>300</v>
      </c>
      <c r="D6">
        <v>0.256201064517732</v>
      </c>
      <c r="E6">
        <v>23.004511732012599</v>
      </c>
      <c r="F6">
        <v>2.5781365290360401</v>
      </c>
      <c r="G6">
        <v>-370.95279609824212</v>
      </c>
      <c r="H6">
        <v>-322.9885698734642</v>
      </c>
      <c r="I6">
        <v>47.718476073001902</v>
      </c>
      <c r="J6">
        <v>28.5003308439899</v>
      </c>
      <c r="K6">
        <v>8.9229222242213506</v>
      </c>
      <c r="L6">
        <v>3.2967042877760002E-5</v>
      </c>
      <c r="M6">
        <v>1.8117847150030909E-6</v>
      </c>
      <c r="N6" s="1">
        <v>-7.6782268256195595E-7</v>
      </c>
      <c r="O6" s="1">
        <v>7.5318157458784102E-11</v>
      </c>
      <c r="P6" s="1">
        <v>2.4016967331523301E-9</v>
      </c>
      <c r="Q6">
        <v>65.149410024189805</v>
      </c>
      <c r="S6">
        <v>21.429862908691199</v>
      </c>
      <c r="AA6">
        <v>2.4781321442602802</v>
      </c>
      <c r="AB6">
        <v>9.0280616111786003</v>
      </c>
      <c r="AC6">
        <v>1.9145333116800101</v>
      </c>
      <c r="AJ6">
        <v>0.77446892393757805</v>
      </c>
      <c r="AK6">
        <v>0.11747480512158701</v>
      </c>
      <c r="AL6">
        <v>0.108056270940833</v>
      </c>
    </row>
    <row r="7" spans="1:38" x14ac:dyDescent="0.2">
      <c r="A7">
        <v>15</v>
      </c>
      <c r="B7">
        <v>746</v>
      </c>
      <c r="C7">
        <v>275</v>
      </c>
      <c r="D7">
        <v>0.29436344012167098</v>
      </c>
      <c r="E7">
        <v>1.5269922190855001</v>
      </c>
      <c r="F7">
        <v>2.58220761644455</v>
      </c>
      <c r="G7">
        <v>-24.726085927642938</v>
      </c>
      <c r="H7">
        <v>-21.472842067606837</v>
      </c>
      <c r="I7">
        <v>3.1921148604583101</v>
      </c>
      <c r="J7">
        <v>1.8751871849511399</v>
      </c>
      <c r="K7">
        <v>0.59135145034852798</v>
      </c>
      <c r="L7">
        <v>3.188562647640047E-5</v>
      </c>
      <c r="M7">
        <v>1.8013181804165114E-6</v>
      </c>
      <c r="N7" s="1">
        <v>-3.2317541968483398E-8</v>
      </c>
      <c r="O7" s="1">
        <v>5.09059554344505E-12</v>
      </c>
      <c r="P7" s="1">
        <v>1.06562584594985E-10</v>
      </c>
      <c r="Q7">
        <v>64.7120917862119</v>
      </c>
      <c r="S7">
        <v>21.848587335882399</v>
      </c>
      <c r="AA7">
        <v>2.9256263163970102</v>
      </c>
      <c r="AB7">
        <v>9.1512618896831199</v>
      </c>
      <c r="AC7">
        <v>1.36243267182544</v>
      </c>
      <c r="AJ7">
        <v>0.78455009571973899</v>
      </c>
      <c r="AK7">
        <v>0.138601949804803</v>
      </c>
      <c r="AL7">
        <v>7.6847954475457503E-2</v>
      </c>
    </row>
    <row r="8" spans="1:38" x14ac:dyDescent="0.2">
      <c r="A8">
        <v>16</v>
      </c>
      <c r="B8">
        <v>744</v>
      </c>
      <c r="C8">
        <v>275</v>
      </c>
      <c r="D8">
        <v>0.29283832276459099</v>
      </c>
      <c r="E8">
        <v>4.0195133794432296</v>
      </c>
      <c r="F8">
        <v>2.5795938100301901</v>
      </c>
      <c r="G8">
        <v>-65.031526142738258</v>
      </c>
      <c r="H8">
        <v>-56.491412190719949</v>
      </c>
      <c r="I8">
        <v>8.3961204856887406</v>
      </c>
      <c r="J8">
        <v>4.9413689652113</v>
      </c>
      <c r="K8">
        <v>1.5581962415222901</v>
      </c>
      <c r="L8">
        <v>3.2080616141788832E-5</v>
      </c>
      <c r="M8">
        <v>1.8067578897642884E-6</v>
      </c>
      <c r="N8" s="1">
        <v>-9.0734560491123497E-8</v>
      </c>
      <c r="O8" s="1">
        <v>1.34274790342963E-11</v>
      </c>
      <c r="P8" s="1">
        <v>2.9662169126258898E-10</v>
      </c>
      <c r="Q8">
        <v>64.952348740379193</v>
      </c>
      <c r="S8">
        <v>21.6470883695639</v>
      </c>
      <c r="AA8">
        <v>2.7033269302679002</v>
      </c>
      <c r="AB8">
        <v>9.1584058931248897</v>
      </c>
      <c r="AC8">
        <v>1.53883006666401</v>
      </c>
      <c r="AJ8">
        <v>0.78513846626074801</v>
      </c>
      <c r="AK8">
        <v>0.12806655561567601</v>
      </c>
      <c r="AL8">
        <v>8.6794978123574701E-2</v>
      </c>
    </row>
    <row r="9" spans="1:38" x14ac:dyDescent="0.2">
      <c r="A9">
        <v>17</v>
      </c>
      <c r="B9">
        <v>742</v>
      </c>
      <c r="C9">
        <v>275</v>
      </c>
      <c r="D9">
        <v>0.291307195980888</v>
      </c>
      <c r="E9">
        <v>6.7101668678974304</v>
      </c>
      <c r="F9">
        <v>2.5767533512443301</v>
      </c>
      <c r="G9">
        <v>-108.45673406257107</v>
      </c>
      <c r="H9">
        <v>-94.239880760875664</v>
      </c>
      <c r="I9">
        <v>14.0046823638825</v>
      </c>
      <c r="J9">
        <v>8.2568882170145095</v>
      </c>
      <c r="K9">
        <v>2.6041168684837501</v>
      </c>
      <c r="L9">
        <v>3.2253154467806789E-5</v>
      </c>
      <c r="M9">
        <v>1.8117151588438535E-6</v>
      </c>
      <c r="N9" s="1">
        <v>-1.60972040584031E-7</v>
      </c>
      <c r="O9" s="1">
        <v>2.24668454495974E-11</v>
      </c>
      <c r="P9" s="1">
        <v>5.2212066503724196E-10</v>
      </c>
      <c r="Q9">
        <v>65.182487838320895</v>
      </c>
      <c r="S9">
        <v>21.442159608498901</v>
      </c>
      <c r="AA9">
        <v>2.4805587917849601</v>
      </c>
      <c r="AB9">
        <v>9.1340111436340905</v>
      </c>
      <c r="AC9">
        <v>1.7607826177610599</v>
      </c>
      <c r="AJ9">
        <v>0.78314568538960405</v>
      </c>
      <c r="AK9">
        <v>0.117527997780939</v>
      </c>
      <c r="AL9">
        <v>9.9326316829456404E-2</v>
      </c>
    </row>
    <row r="10" spans="1:38" x14ac:dyDescent="0.2">
      <c r="A10">
        <v>18</v>
      </c>
      <c r="B10">
        <v>740</v>
      </c>
      <c r="C10">
        <v>275</v>
      </c>
      <c r="D10">
        <v>0.28977002418201098</v>
      </c>
      <c r="E10">
        <v>9.7335391391769406</v>
      </c>
      <c r="F10">
        <v>2.5734630062677102</v>
      </c>
      <c r="G10">
        <v>-157.13234266923547</v>
      </c>
      <c r="H10">
        <v>-136.56969061094102</v>
      </c>
      <c r="I10">
        <v>20.2957627777668</v>
      </c>
      <c r="J10">
        <v>11.985370296616299</v>
      </c>
      <c r="K10">
        <v>3.7822728034056601</v>
      </c>
      <c r="L10">
        <v>3.2388790831540474E-5</v>
      </c>
      <c r="M10">
        <v>1.8161030600462289E-6</v>
      </c>
      <c r="N10" s="1">
        <v>-2.4673631725400901E-7</v>
      </c>
      <c r="O10" s="1">
        <v>3.26872056532586E-11</v>
      </c>
      <c r="P10" s="1">
        <v>7.94725971304063E-10</v>
      </c>
      <c r="Q10">
        <v>65.405896545737704</v>
      </c>
      <c r="S10">
        <v>21.224407621465399</v>
      </c>
      <c r="AA10">
        <v>2.2487818051973099</v>
      </c>
      <c r="AB10">
        <v>9.0610003257183092</v>
      </c>
      <c r="AC10">
        <v>2.0599137018810998</v>
      </c>
      <c r="AJ10">
        <v>0.77717126134021197</v>
      </c>
      <c r="AK10">
        <v>0.106585639613288</v>
      </c>
      <c r="AL10">
        <v>0.116243099046498</v>
      </c>
    </row>
    <row r="11" spans="1:38" x14ac:dyDescent="0.2">
      <c r="A11">
        <v>19</v>
      </c>
      <c r="B11">
        <v>738</v>
      </c>
      <c r="C11">
        <v>275</v>
      </c>
      <c r="D11">
        <v>0.28822677149780002</v>
      </c>
      <c r="E11">
        <v>24.763037205700002</v>
      </c>
      <c r="F11">
        <v>2.5709822717498199</v>
      </c>
      <c r="G11">
        <v>-399.44843336445859</v>
      </c>
      <c r="H11">
        <v>-347.28552690035508</v>
      </c>
      <c r="I11">
        <v>51.587703569305702</v>
      </c>
      <c r="J11">
        <v>30.533417749706398</v>
      </c>
      <c r="K11">
        <v>9.6317417190302894</v>
      </c>
      <c r="L11">
        <v>3.260290664907435E-5</v>
      </c>
      <c r="M11">
        <v>1.821155917634875E-6</v>
      </c>
      <c r="N11" s="1">
        <v>-6.70382145672291E-7</v>
      </c>
      <c r="O11" s="1">
        <v>8.3226285931351901E-11</v>
      </c>
      <c r="P11" s="1">
        <v>2.1427534818002201E-9</v>
      </c>
      <c r="Q11">
        <v>65.628390498187102</v>
      </c>
      <c r="S11">
        <v>21.040218667337601</v>
      </c>
      <c r="AA11">
        <v>2.0449081099808999</v>
      </c>
      <c r="AB11">
        <v>9.0739408796588794</v>
      </c>
      <c r="AC11">
        <v>2.2125418448353802</v>
      </c>
      <c r="AJ11">
        <v>0.77823458661415201</v>
      </c>
      <c r="AK11">
        <v>9.6916823238563696E-2</v>
      </c>
      <c r="AL11">
        <v>0.124848590147284</v>
      </c>
    </row>
    <row r="12" spans="1:38" x14ac:dyDescent="0.2">
      <c r="A12">
        <v>20</v>
      </c>
      <c r="B12">
        <v>736</v>
      </c>
      <c r="C12">
        <v>275</v>
      </c>
      <c r="D12">
        <v>0.28667740177377199</v>
      </c>
      <c r="E12">
        <v>28.5864006603768</v>
      </c>
      <c r="F12">
        <v>2.5707627677627798</v>
      </c>
      <c r="G12">
        <v>-460.99355577411916</v>
      </c>
      <c r="H12">
        <v>-400.96213977104264</v>
      </c>
      <c r="I12">
        <v>59.487108956127997</v>
      </c>
      <c r="J12">
        <v>35.301246701739402</v>
      </c>
      <c r="K12">
        <v>11.1198127726325</v>
      </c>
      <c r="L12">
        <v>3.2780261200045806E-5</v>
      </c>
      <c r="M12">
        <v>1.8228259392453438E-6</v>
      </c>
      <c r="N12" s="1">
        <v>-8.2716263684861498E-7</v>
      </c>
      <c r="O12" s="1">
        <v>9.5717426474299102E-11</v>
      </c>
      <c r="P12" s="1">
        <v>2.6246362826514899E-9</v>
      </c>
      <c r="Q12">
        <v>65.675289538864803</v>
      </c>
      <c r="S12">
        <v>21.0079980170859</v>
      </c>
      <c r="AA12">
        <v>2.0073824936190201</v>
      </c>
      <c r="AB12">
        <v>9.09398225357792</v>
      </c>
      <c r="AC12">
        <v>2.2153476968521999</v>
      </c>
      <c r="AJ12">
        <v>0.77987648164683598</v>
      </c>
      <c r="AK12">
        <v>9.5128937045734399E-2</v>
      </c>
      <c r="AL12">
        <v>0.12499458130742799</v>
      </c>
    </row>
    <row r="13" spans="1:38" x14ac:dyDescent="0.2">
      <c r="A13">
        <v>22</v>
      </c>
      <c r="B13">
        <v>752</v>
      </c>
      <c r="C13">
        <v>250</v>
      </c>
      <c r="D13">
        <v>0.32572842998585799</v>
      </c>
      <c r="E13">
        <v>0.89107673467789905</v>
      </c>
      <c r="F13">
        <v>2.5812811573386401</v>
      </c>
      <c r="G13">
        <v>-14.452535948834944</v>
      </c>
      <c r="H13">
        <v>-12.536176778299954</v>
      </c>
      <c r="I13">
        <v>1.8693451402575101</v>
      </c>
      <c r="J13">
        <v>1.09113377269293</v>
      </c>
      <c r="K13">
        <v>0.34520715891197801</v>
      </c>
      <c r="L13">
        <v>3.1542957834047643E-5</v>
      </c>
      <c r="M13">
        <v>1.8008665153354117E-6</v>
      </c>
      <c r="N13" s="1">
        <v>-1.5334690871660101E-8</v>
      </c>
      <c r="O13" s="1">
        <v>2.9962864666817E-12</v>
      </c>
      <c r="P13" s="1">
        <v>5.208084360183E-11</v>
      </c>
      <c r="Q13">
        <v>64.676739563439</v>
      </c>
      <c r="S13">
        <v>21.8915577928184</v>
      </c>
      <c r="AA13">
        <v>2.9693263412397402</v>
      </c>
      <c r="AB13">
        <v>9.1851339961424099</v>
      </c>
      <c r="AC13">
        <v>1.27724230636033</v>
      </c>
      <c r="AJ13">
        <v>0.78732091056184195</v>
      </c>
      <c r="AK13">
        <v>0.140648469630443</v>
      </c>
      <c r="AL13">
        <v>7.2030619807713706E-2</v>
      </c>
    </row>
    <row r="14" spans="1:38" x14ac:dyDescent="0.2">
      <c r="A14">
        <v>23</v>
      </c>
      <c r="B14">
        <v>750</v>
      </c>
      <c r="C14">
        <v>250</v>
      </c>
      <c r="D14">
        <v>0.324273566925672</v>
      </c>
      <c r="E14">
        <v>3.2908516588232199</v>
      </c>
      <c r="F14">
        <v>2.5788784458223502</v>
      </c>
      <c r="G14">
        <v>-53.333736417149296</v>
      </c>
      <c r="H14">
        <v>-46.275576470441521</v>
      </c>
      <c r="I14">
        <v>6.8984605841839102</v>
      </c>
      <c r="J14">
        <v>4.0333397353390197</v>
      </c>
      <c r="K14">
        <v>1.2760786240833599</v>
      </c>
      <c r="L14">
        <v>3.1721522868878386E-5</v>
      </c>
      <c r="M14">
        <v>1.8061504426776871E-6</v>
      </c>
      <c r="N14" s="1">
        <v>-6.0431310815076598E-8</v>
      </c>
      <c r="O14" s="1">
        <v>1.10907591682358E-11</v>
      </c>
      <c r="P14" s="1">
        <v>2.0319962961691401E-10</v>
      </c>
      <c r="Q14">
        <v>64.907863696094395</v>
      </c>
      <c r="S14">
        <v>21.701584088832899</v>
      </c>
      <c r="AA14">
        <v>2.7586664335907001</v>
      </c>
      <c r="AB14">
        <v>9.2021409701193893</v>
      </c>
      <c r="AC14">
        <v>1.4297448113625599</v>
      </c>
      <c r="AJ14">
        <v>0.78871569852521695</v>
      </c>
      <c r="AK14">
        <v>0.13065967810571999</v>
      </c>
      <c r="AL14">
        <v>8.0624623369062398E-2</v>
      </c>
    </row>
    <row r="15" spans="1:38" x14ac:dyDescent="0.2">
      <c r="A15">
        <v>24</v>
      </c>
      <c r="B15">
        <v>748</v>
      </c>
      <c r="C15">
        <v>250</v>
      </c>
      <c r="D15">
        <v>0.32281300494540499</v>
      </c>
      <c r="E15">
        <v>5.8264301831501202</v>
      </c>
      <c r="F15">
        <v>2.5763492602634899</v>
      </c>
      <c r="G15">
        <v>-94.345203001043544</v>
      </c>
      <c r="H15">
        <v>-81.883406374993214</v>
      </c>
      <c r="I15">
        <v>12.203688611908399</v>
      </c>
      <c r="J15">
        <v>7.1468641695767596</v>
      </c>
      <c r="K15">
        <v>2.2615063388394101</v>
      </c>
      <c r="L15">
        <v>3.1882901220586796E-5</v>
      </c>
      <c r="M15">
        <v>1.8109768979373733E-6</v>
      </c>
      <c r="N15" s="1">
        <v>-1.1384473413825701E-7</v>
      </c>
      <c r="O15" s="1">
        <v>1.9681296768170099E-11</v>
      </c>
      <c r="P15" s="1">
        <v>3.7930113603018502E-10</v>
      </c>
      <c r="Q15">
        <v>65.126903124793301</v>
      </c>
      <c r="S15">
        <v>21.5125337311033</v>
      </c>
      <c r="AA15">
        <v>2.5515880965169</v>
      </c>
      <c r="AB15">
        <v>9.1946385015387904</v>
      </c>
      <c r="AC15">
        <v>1.6143365460475401</v>
      </c>
      <c r="AJ15">
        <v>0.78810549628517401</v>
      </c>
      <c r="AK15">
        <v>0.120856789983655</v>
      </c>
      <c r="AL15">
        <v>9.1037713731169506E-2</v>
      </c>
    </row>
    <row r="16" spans="1:38" x14ac:dyDescent="0.2">
      <c r="A16">
        <v>25</v>
      </c>
      <c r="B16">
        <v>746</v>
      </c>
      <c r="C16">
        <v>250</v>
      </c>
      <c r="D16">
        <v>0.32134671049404001</v>
      </c>
      <c r="E16">
        <v>8.5641243455880396</v>
      </c>
      <c r="F16">
        <v>2.57358539443109</v>
      </c>
      <c r="G16">
        <v>-138.53571525255634</v>
      </c>
      <c r="H16">
        <v>-120.27054599460564</v>
      </c>
      <c r="I16">
        <v>17.921963653976999</v>
      </c>
      <c r="J16">
        <v>10.5120818407353</v>
      </c>
      <c r="K16">
        <v>3.3277016430539601</v>
      </c>
      <c r="L16">
        <v>3.2019904122772397E-5</v>
      </c>
      <c r="M16">
        <v>1.815291280803763E-6</v>
      </c>
      <c r="N16" s="1">
        <v>-1.77367444591741E-7</v>
      </c>
      <c r="O16" s="1">
        <v>2.9002981088449E-11</v>
      </c>
      <c r="P16" s="1">
        <v>5.8603213392285605E-10</v>
      </c>
      <c r="Q16">
        <v>65.335020156392304</v>
      </c>
      <c r="S16">
        <v>21.320061373351098</v>
      </c>
      <c r="AA16">
        <v>2.3442351664304799</v>
      </c>
      <c r="AB16">
        <v>9.1538248387064804</v>
      </c>
      <c r="AC16">
        <v>1.8468584651195801</v>
      </c>
      <c r="AJ16">
        <v>0.78476962095842795</v>
      </c>
      <c r="AK16">
        <v>0.11105843569316701</v>
      </c>
      <c r="AL16">
        <v>0.104171943348404</v>
      </c>
    </row>
    <row r="17" spans="1:38" x14ac:dyDescent="0.2">
      <c r="A17">
        <v>26</v>
      </c>
      <c r="B17">
        <v>744</v>
      </c>
      <c r="C17">
        <v>250</v>
      </c>
      <c r="D17">
        <v>0.31987464975667701</v>
      </c>
      <c r="E17">
        <v>11.6555622642415</v>
      </c>
      <c r="F17">
        <v>2.5703474326865701</v>
      </c>
      <c r="G17">
        <v>-188.3068141572806</v>
      </c>
      <c r="H17">
        <v>-163.52170085901238</v>
      </c>
      <c r="I17">
        <v>24.367215551558999</v>
      </c>
      <c r="J17">
        <v>14.312354103456199</v>
      </c>
      <c r="K17">
        <v>4.5346252090360197</v>
      </c>
      <c r="L17">
        <v>3.2117481163917416E-5</v>
      </c>
      <c r="M17">
        <v>1.8189966219540708E-6</v>
      </c>
      <c r="N17" s="1">
        <v>-2.5429715022915998E-7</v>
      </c>
      <c r="O17" s="1">
        <v>3.9602985497765299E-11</v>
      </c>
      <c r="P17" s="1">
        <v>8.3405948462734003E-10</v>
      </c>
      <c r="Q17">
        <v>65.535641954486394</v>
      </c>
      <c r="S17">
        <v>21.114143663504102</v>
      </c>
      <c r="AA17">
        <v>2.1275385934683899</v>
      </c>
      <c r="AB17">
        <v>9.0610597113556306</v>
      </c>
      <c r="AC17">
        <v>2.1616160771853901</v>
      </c>
      <c r="AJ17">
        <v>0.77717814687979003</v>
      </c>
      <c r="AK17">
        <v>0.100839300694161</v>
      </c>
      <c r="AL17">
        <v>0.121982552426048</v>
      </c>
    </row>
    <row r="18" spans="1:38" x14ac:dyDescent="0.2">
      <c r="A18">
        <v>27</v>
      </c>
      <c r="B18">
        <v>742</v>
      </c>
      <c r="C18">
        <v>250</v>
      </c>
      <c r="D18">
        <v>0.318396788651924</v>
      </c>
      <c r="E18">
        <v>24.9299817925321</v>
      </c>
      <c r="F18">
        <v>2.5689117526858198</v>
      </c>
      <c r="G18">
        <v>-402.50814149494499</v>
      </c>
      <c r="H18">
        <v>-349.65531500394013</v>
      </c>
      <c r="I18">
        <v>52.064056041968897</v>
      </c>
      <c r="J18">
        <v>30.642081037137999</v>
      </c>
      <c r="K18">
        <v>9.7044913148408405</v>
      </c>
      <c r="L18">
        <v>3.2255225371393824E-5</v>
      </c>
      <c r="M18">
        <v>1.8215936984047192E-6</v>
      </c>
      <c r="N18" s="1">
        <v>-5.7847626971611103E-7</v>
      </c>
      <c r="O18" s="1">
        <v>8.4664843289144194E-11</v>
      </c>
      <c r="P18" s="1">
        <v>1.8822144257937199E-9</v>
      </c>
      <c r="Q18">
        <v>65.649546734063193</v>
      </c>
      <c r="S18">
        <v>21.010843139072701</v>
      </c>
      <c r="AA18">
        <v>2.0157364799635999</v>
      </c>
      <c r="AB18">
        <v>9.0440746505311491</v>
      </c>
      <c r="AC18">
        <v>2.27979899636918</v>
      </c>
      <c r="AJ18">
        <v>0.77578860227560897</v>
      </c>
      <c r="AK18">
        <v>9.5548484317724905E-2</v>
      </c>
      <c r="AL18">
        <v>0.128662913406665</v>
      </c>
    </row>
    <row r="19" spans="1:38" x14ac:dyDescent="0.2">
      <c r="A19">
        <v>28</v>
      </c>
      <c r="B19">
        <v>740</v>
      </c>
      <c r="C19">
        <v>250</v>
      </c>
      <c r="D19">
        <v>0.31691309282929903</v>
      </c>
      <c r="E19">
        <v>28.3463008032254</v>
      </c>
      <c r="F19">
        <v>2.5690094781396202</v>
      </c>
      <c r="G19">
        <v>-457.56401166257689</v>
      </c>
      <c r="H19">
        <v>-397.65425191868752</v>
      </c>
      <c r="I19">
        <v>59.132171686215699</v>
      </c>
      <c r="J19">
        <v>34.885536207238502</v>
      </c>
      <c r="K19">
        <v>11.033941697931199</v>
      </c>
      <c r="L19">
        <v>3.2399547362098503E-5</v>
      </c>
      <c r="M19">
        <v>1.8226101543602286E-6</v>
      </c>
      <c r="N19" s="1">
        <v>-7.0250608441658403E-7</v>
      </c>
      <c r="O19" s="1">
        <v>9.59159032647349E-11</v>
      </c>
      <c r="P19" s="1">
        <v>2.2675642056485898E-9</v>
      </c>
      <c r="Q19">
        <v>65.667996128819993</v>
      </c>
      <c r="S19">
        <v>21.001386051432</v>
      </c>
      <c r="AA19">
        <v>2.0036293717801001</v>
      </c>
      <c r="AB19">
        <v>9.0603951527742002</v>
      </c>
      <c r="AC19">
        <v>2.2665932951935499</v>
      </c>
      <c r="AJ19">
        <v>0.77712577652583603</v>
      </c>
      <c r="AK19">
        <v>9.4966920453407294E-2</v>
      </c>
      <c r="AL19">
        <v>0.12790730302075601</v>
      </c>
    </row>
    <row r="20" spans="1:38" x14ac:dyDescent="0.2">
      <c r="A20">
        <v>30</v>
      </c>
      <c r="B20">
        <v>760</v>
      </c>
      <c r="C20">
        <v>225</v>
      </c>
      <c r="D20">
        <v>0.35810918066108399</v>
      </c>
      <c r="E20">
        <v>0.82182381497405299</v>
      </c>
      <c r="F20">
        <v>2.5797439116822001</v>
      </c>
      <c r="G20">
        <v>-13.352190338111535</v>
      </c>
      <c r="H20">
        <v>-11.562699467104094</v>
      </c>
      <c r="I20">
        <v>1.7320726622537199</v>
      </c>
      <c r="J20">
        <v>1.0033339300853901</v>
      </c>
      <c r="K20">
        <v>0.31856798314455798</v>
      </c>
      <c r="L20">
        <v>3.117565751522947E-5</v>
      </c>
      <c r="M20">
        <v>1.8003983926755107E-6</v>
      </c>
      <c r="N20" s="1">
        <v>-1.0804334018839301E-8</v>
      </c>
      <c r="O20" s="1">
        <v>2.7904182871125999E-12</v>
      </c>
      <c r="P20" s="1">
        <v>3.8407708252302599E-11</v>
      </c>
      <c r="Q20">
        <v>64.659246164537606</v>
      </c>
      <c r="S20">
        <v>21.9092126364202</v>
      </c>
      <c r="AA20">
        <v>2.9879736134658699</v>
      </c>
      <c r="AB20">
        <v>9.1924353624375499</v>
      </c>
      <c r="AC20">
        <v>1.2511322231386599</v>
      </c>
      <c r="AJ20">
        <v>0.78791790028076703</v>
      </c>
      <c r="AK20">
        <v>0.141526553461018</v>
      </c>
      <c r="AL20">
        <v>7.0555546258213697E-2</v>
      </c>
    </row>
    <row r="21" spans="1:38" x14ac:dyDescent="0.2">
      <c r="A21">
        <v>31</v>
      </c>
      <c r="B21">
        <v>758</v>
      </c>
      <c r="C21">
        <v>225</v>
      </c>
      <c r="D21">
        <v>0.356728410027642</v>
      </c>
      <c r="E21">
        <v>1.70331083969819</v>
      </c>
      <c r="F21">
        <v>2.5788464531825599</v>
      </c>
      <c r="G21">
        <v>-27.662281828480246</v>
      </c>
      <c r="H21">
        <v>-23.964022176027715</v>
      </c>
      <c r="I21">
        <v>3.5865389637322602</v>
      </c>
      <c r="J21">
        <v>2.08103554196936</v>
      </c>
      <c r="K21">
        <v>0.66049331382104104</v>
      </c>
      <c r="L21">
        <v>3.130087684012449E-5</v>
      </c>
      <c r="M21">
        <v>1.803228521466025E-6</v>
      </c>
      <c r="N21" s="1">
        <v>-2.3901225124395598E-8</v>
      </c>
      <c r="O21" s="1">
        <v>5.7832067276604702E-12</v>
      </c>
      <c r="P21" s="1">
        <v>8.3950238228660703E-11</v>
      </c>
      <c r="Q21">
        <v>64.7700594017345</v>
      </c>
      <c r="S21">
        <v>21.824976091578499</v>
      </c>
      <c r="AA21">
        <v>2.8926208474723598</v>
      </c>
      <c r="AB21">
        <v>9.2185396661620196</v>
      </c>
      <c r="AC21">
        <v>1.2938039930524801</v>
      </c>
      <c r="AJ21">
        <v>0.79005468127540901</v>
      </c>
      <c r="AK21">
        <v>0.136992668111902</v>
      </c>
      <c r="AL21">
        <v>7.2952650612688505E-2</v>
      </c>
    </row>
    <row r="22" spans="1:38" x14ac:dyDescent="0.2">
      <c r="A22">
        <v>32</v>
      </c>
      <c r="B22">
        <v>756</v>
      </c>
      <c r="C22">
        <v>225</v>
      </c>
      <c r="D22">
        <v>0.35534227274935698</v>
      </c>
      <c r="E22">
        <v>2.9449346955313702</v>
      </c>
      <c r="F22">
        <v>2.5776425011650499</v>
      </c>
      <c r="G22">
        <v>-47.802971350705448</v>
      </c>
      <c r="H22">
        <v>-41.427066132692296</v>
      </c>
      <c r="I22">
        <v>6.1953118768042996</v>
      </c>
      <c r="J22">
        <v>3.6007185794276699</v>
      </c>
      <c r="K22">
        <v>1.1424915185873501</v>
      </c>
      <c r="L22">
        <v>3.1434130086922263E-5</v>
      </c>
      <c r="M22">
        <v>1.8064739166014224E-6</v>
      </c>
      <c r="N22" s="1">
        <v>-4.40846863881449E-8</v>
      </c>
      <c r="O22" s="1">
        <v>1.0002998830900901E-11</v>
      </c>
      <c r="P22" s="1">
        <v>1.5308568983248801E-10</v>
      </c>
      <c r="Q22">
        <v>64.902544256450597</v>
      </c>
      <c r="S22">
        <v>21.720454796479199</v>
      </c>
      <c r="AA22">
        <v>2.7754761791389702</v>
      </c>
      <c r="AB22">
        <v>9.2397588975444602</v>
      </c>
      <c r="AC22">
        <v>1.36176587038665</v>
      </c>
      <c r="AJ22">
        <v>0.79179186343747698</v>
      </c>
      <c r="AK22">
        <v>0.13143126572658101</v>
      </c>
      <c r="AL22">
        <v>7.6776870835941896E-2</v>
      </c>
    </row>
    <row r="23" spans="1:38" x14ac:dyDescent="0.2">
      <c r="A23">
        <v>33</v>
      </c>
      <c r="B23">
        <v>754</v>
      </c>
      <c r="C23">
        <v>225</v>
      </c>
      <c r="D23">
        <v>0.35395073747748601</v>
      </c>
      <c r="E23">
        <v>5.3839625387445498</v>
      </c>
      <c r="F23">
        <v>2.5753216241602899</v>
      </c>
      <c r="G23">
        <v>-87.324296325762219</v>
      </c>
      <c r="H23">
        <v>-75.699857937660738</v>
      </c>
      <c r="I23">
        <v>11.317177031690999</v>
      </c>
      <c r="J23">
        <v>6.5873409477083698</v>
      </c>
      <c r="K23">
        <v>2.0905981172351802</v>
      </c>
      <c r="L23">
        <v>3.1580590888552517E-5</v>
      </c>
      <c r="M23">
        <v>1.811109028764785E-6</v>
      </c>
      <c r="N23" s="1">
        <v>-8.5776452214376996E-8</v>
      </c>
      <c r="O23" s="1">
        <v>1.8331888784745101E-11</v>
      </c>
      <c r="P23" s="1">
        <v>2.9471124427964999E-10</v>
      </c>
      <c r="Q23">
        <v>65.111079562709705</v>
      </c>
      <c r="S23">
        <v>21.543406602904799</v>
      </c>
      <c r="AA23">
        <v>2.5807507437563002</v>
      </c>
      <c r="AB23">
        <v>9.2403137890357208</v>
      </c>
      <c r="AC23">
        <v>1.52444930159334</v>
      </c>
      <c r="AJ23">
        <v>0.79184053902253304</v>
      </c>
      <c r="AK23">
        <v>0.122210315155272</v>
      </c>
      <c r="AL23">
        <v>8.5949145822194095E-2</v>
      </c>
    </row>
    <row r="24" spans="1:38" x14ac:dyDescent="0.2">
      <c r="A24">
        <v>34</v>
      </c>
      <c r="B24">
        <v>752</v>
      </c>
      <c r="C24">
        <v>225</v>
      </c>
      <c r="D24">
        <v>0.35255377261864101</v>
      </c>
      <c r="E24">
        <v>7.9632211950279199</v>
      </c>
      <c r="F24">
        <v>2.57285997433755</v>
      </c>
      <c r="G24">
        <v>-129.04196646361035</v>
      </c>
      <c r="H24">
        <v>-111.8970821781211</v>
      </c>
      <c r="I24">
        <v>16.7242689220984</v>
      </c>
      <c r="J24">
        <v>9.7487058879776392</v>
      </c>
      <c r="K24">
        <v>3.0950853425586198</v>
      </c>
      <c r="L24">
        <v>3.1707947396339324E-5</v>
      </c>
      <c r="M24">
        <v>1.8152657765531396E-6</v>
      </c>
      <c r="N24" s="1">
        <v>-1.3460326782577599E-7</v>
      </c>
      <c r="O24" s="1">
        <v>2.7181782256805399E-11</v>
      </c>
      <c r="P24" s="1">
        <v>4.5799211744648298E-10</v>
      </c>
      <c r="Q24">
        <v>65.307199366484198</v>
      </c>
      <c r="S24">
        <v>21.366869627969901</v>
      </c>
      <c r="AA24">
        <v>2.38934405675966</v>
      </c>
      <c r="AB24">
        <v>9.2145416250588301</v>
      </c>
      <c r="AC24">
        <v>1.7220453237273601</v>
      </c>
      <c r="AJ24">
        <v>0.78973622070200999</v>
      </c>
      <c r="AK24">
        <v>0.11316126723311</v>
      </c>
      <c r="AL24">
        <v>9.7102512064879201E-2</v>
      </c>
    </row>
    <row r="25" spans="1:38" x14ac:dyDescent="0.2">
      <c r="A25">
        <v>35</v>
      </c>
      <c r="B25">
        <v>750</v>
      </c>
      <c r="C25">
        <v>225</v>
      </c>
      <c r="D25">
        <v>0.35115134633240402</v>
      </c>
      <c r="E25">
        <v>10.762213005711899</v>
      </c>
      <c r="F25">
        <v>2.57013181574739</v>
      </c>
      <c r="G25">
        <v>-174.21438507841597</v>
      </c>
      <c r="H25">
        <v>-151.11033824128677</v>
      </c>
      <c r="I25">
        <v>22.5812899742258</v>
      </c>
      <c r="J25">
        <v>13.180626755576901</v>
      </c>
      <c r="K25">
        <v>4.1874167463984104</v>
      </c>
      <c r="L25">
        <v>3.1808356128223066E-5</v>
      </c>
      <c r="M25">
        <v>1.8188867610913705E-6</v>
      </c>
      <c r="N25" s="1">
        <v>-1.92175732815474E-7</v>
      </c>
      <c r="O25" s="1">
        <v>3.6839686379096402E-11</v>
      </c>
      <c r="P25" s="1">
        <v>6.4817699658249803E-10</v>
      </c>
      <c r="Q25">
        <v>65.492423890756498</v>
      </c>
      <c r="S25">
        <v>21.185696226448599</v>
      </c>
      <c r="AA25">
        <v>2.1966545348798499</v>
      </c>
      <c r="AB25">
        <v>9.1523349198203192</v>
      </c>
      <c r="AC25">
        <v>1.97289042809465</v>
      </c>
      <c r="AJ25">
        <v>0.78465017274093996</v>
      </c>
      <c r="AK25">
        <v>0.10406788349441901</v>
      </c>
      <c r="AL25">
        <v>0.111281943764639</v>
      </c>
    </row>
    <row r="26" spans="1:38" x14ac:dyDescent="0.2">
      <c r="A26">
        <v>36</v>
      </c>
      <c r="B26">
        <v>748</v>
      </c>
      <c r="C26">
        <v>225</v>
      </c>
      <c r="D26">
        <v>0.34974342652891699</v>
      </c>
      <c r="E26">
        <v>13.97402676884</v>
      </c>
      <c r="F26">
        <v>2.5668525174235701</v>
      </c>
      <c r="G26">
        <v>-225.90228328995846</v>
      </c>
      <c r="H26">
        <v>-195.99369979081698</v>
      </c>
      <c r="I26">
        <v>29.2891186399074</v>
      </c>
      <c r="J26">
        <v>17.115617789127199</v>
      </c>
      <c r="K26">
        <v>5.4440318148337496</v>
      </c>
      <c r="L26">
        <v>3.1864298365349597E-5</v>
      </c>
      <c r="M26">
        <v>1.8218492044055939E-6</v>
      </c>
      <c r="N26" s="1">
        <v>-2.6172517292284902E-7</v>
      </c>
      <c r="O26" s="1">
        <v>4.8011779786840097E-11</v>
      </c>
      <c r="P26" s="1">
        <v>8.7610836631103096E-10</v>
      </c>
      <c r="Q26">
        <v>65.670490604963902</v>
      </c>
      <c r="S26">
        <v>20.9880604408397</v>
      </c>
      <c r="AA26">
        <v>1.9920535546915801</v>
      </c>
      <c r="AB26">
        <v>9.0310191384969105</v>
      </c>
      <c r="AC26">
        <v>2.31837626100786</v>
      </c>
      <c r="AJ26">
        <v>0.77471933480562905</v>
      </c>
      <c r="AK26">
        <v>9.4432053191453105E-2</v>
      </c>
      <c r="AL26">
        <v>0.130848612002917</v>
      </c>
    </row>
    <row r="27" spans="1:38" x14ac:dyDescent="0.2">
      <c r="A27">
        <v>37</v>
      </c>
      <c r="B27">
        <v>746</v>
      </c>
      <c r="C27">
        <v>225</v>
      </c>
      <c r="D27">
        <v>0.34832998086640898</v>
      </c>
      <c r="E27">
        <v>25.7741420622372</v>
      </c>
      <c r="F27">
        <v>2.5668824106515302</v>
      </c>
      <c r="G27">
        <v>-416.51850640888085</v>
      </c>
      <c r="H27">
        <v>-361.52672212371436</v>
      </c>
      <c r="I27">
        <v>53.958479404568997</v>
      </c>
      <c r="J27">
        <v>31.593715872642498</v>
      </c>
      <c r="K27">
        <v>10.041029520980301</v>
      </c>
      <c r="L27">
        <v>3.1949674099428189E-5</v>
      </c>
      <c r="M27">
        <v>1.8220603768299234E-6</v>
      </c>
      <c r="N27" s="1">
        <v>-5.12961802543853E-7</v>
      </c>
      <c r="O27" s="1">
        <v>8.8317602918354098E-11</v>
      </c>
      <c r="P27" s="1">
        <v>1.70229256000204E-9</v>
      </c>
      <c r="Q27">
        <v>65.666287996723796</v>
      </c>
      <c r="S27">
        <v>20.9845328149732</v>
      </c>
      <c r="AA27">
        <v>1.99012384841125</v>
      </c>
      <c r="AB27">
        <v>9.0124057215371494</v>
      </c>
      <c r="AC27">
        <v>2.3466496183544998</v>
      </c>
      <c r="AJ27">
        <v>0.77319409621618396</v>
      </c>
      <c r="AK27">
        <v>9.4349301449083905E-2</v>
      </c>
      <c r="AL27">
        <v>0.132456602334731</v>
      </c>
    </row>
    <row r="28" spans="1:38" x14ac:dyDescent="0.2">
      <c r="A28">
        <v>38</v>
      </c>
      <c r="B28">
        <v>744</v>
      </c>
      <c r="C28">
        <v>225</v>
      </c>
      <c r="D28">
        <v>0.34691097674876298</v>
      </c>
      <c r="E28">
        <v>28.1753197775868</v>
      </c>
      <c r="F28">
        <v>2.5672661922105098</v>
      </c>
      <c r="G28">
        <v>-455.24435262632051</v>
      </c>
      <c r="H28">
        <v>-395.31583827589316</v>
      </c>
      <c r="I28">
        <v>58.918069459201803</v>
      </c>
      <c r="J28">
        <v>34.574083589346102</v>
      </c>
      <c r="K28">
        <v>10.9748337991109</v>
      </c>
      <c r="L28">
        <v>3.2066589881228554E-5</v>
      </c>
      <c r="M28">
        <v>1.8225194858138148E-6</v>
      </c>
      <c r="N28" s="1">
        <v>-5.9845617302635703E-7</v>
      </c>
      <c r="O28" s="1">
        <v>9.61984993118989E-11</v>
      </c>
      <c r="P28" s="1">
        <v>1.96864205070332E-9</v>
      </c>
      <c r="Q28">
        <v>65.660073143413399</v>
      </c>
      <c r="S28">
        <v>20.995158714110602</v>
      </c>
      <c r="AA28">
        <v>2.00034047505754</v>
      </c>
      <c r="AB28">
        <v>9.0264134302117398</v>
      </c>
      <c r="AC28">
        <v>2.3180142372066701</v>
      </c>
      <c r="AJ28">
        <v>0.77434181007840397</v>
      </c>
      <c r="AK28">
        <v>9.4827041432802905E-2</v>
      </c>
      <c r="AL28">
        <v>0.13083114848879199</v>
      </c>
    </row>
    <row r="29" spans="1:38" x14ac:dyDescent="0.2">
      <c r="A29">
        <v>40</v>
      </c>
      <c r="B29">
        <v>770</v>
      </c>
      <c r="C29">
        <v>200</v>
      </c>
      <c r="D29">
        <v>0.39129607439006903</v>
      </c>
      <c r="E29">
        <v>0.32740814158918802</v>
      </c>
      <c r="F29">
        <v>2.5785468420663902</v>
      </c>
      <c r="G29">
        <v>-5.330217387339415</v>
      </c>
      <c r="H29">
        <v>-4.6063766112490985</v>
      </c>
      <c r="I29">
        <v>0.69389903282396104</v>
      </c>
      <c r="J29">
        <v>0.39866901470411098</v>
      </c>
      <c r="K29">
        <v>0.126973897176446</v>
      </c>
      <c r="L29">
        <v>3.0806149826251113E-5</v>
      </c>
      <c r="M29">
        <v>1.7985653373488098E-6</v>
      </c>
      <c r="N29" s="1">
        <v>-3.0924284283803701E-9</v>
      </c>
      <c r="O29" s="1">
        <v>1.1204358946669401E-12</v>
      </c>
      <c r="P29" s="1">
        <v>1.17852421329206E-11</v>
      </c>
      <c r="Q29">
        <v>64.585289559076301</v>
      </c>
      <c r="S29">
        <v>21.9678581721363</v>
      </c>
      <c r="AA29">
        <v>3.0536135437467999</v>
      </c>
      <c r="AB29">
        <v>9.1813739288814897</v>
      </c>
      <c r="AC29">
        <v>1.2118647961589399</v>
      </c>
      <c r="AJ29">
        <v>0.78701187096120595</v>
      </c>
      <c r="AK29">
        <v>0.14464334990920499</v>
      </c>
      <c r="AL29">
        <v>6.8344779129588307E-2</v>
      </c>
    </row>
    <row r="30" spans="1:38" x14ac:dyDescent="0.2">
      <c r="A30">
        <v>41</v>
      </c>
      <c r="B30">
        <v>768</v>
      </c>
      <c r="C30">
        <v>200</v>
      </c>
      <c r="D30">
        <v>0.38999231618883101</v>
      </c>
      <c r="E30">
        <v>1.1725493297630101</v>
      </c>
      <c r="F30">
        <v>2.5776739712306398</v>
      </c>
      <c r="G30">
        <v>-19.081424793912177</v>
      </c>
      <c r="H30">
        <v>-16.496461275353191</v>
      </c>
      <c r="I30">
        <v>2.4827964448532698</v>
      </c>
      <c r="J30">
        <v>1.4285004067233</v>
      </c>
      <c r="K30">
        <v>0.454886592660596</v>
      </c>
      <c r="L30">
        <v>3.0910934814434324E-5</v>
      </c>
      <c r="M30">
        <v>1.8013218946358452E-6</v>
      </c>
      <c r="N30" s="1">
        <v>-1.18219806221244E-8</v>
      </c>
      <c r="O30" s="1">
        <v>4.0146790082532703E-12</v>
      </c>
      <c r="P30" s="1">
        <v>4.4373085256654099E-11</v>
      </c>
      <c r="Q30">
        <v>64.694898170617904</v>
      </c>
      <c r="S30">
        <v>21.885091099287902</v>
      </c>
      <c r="AA30">
        <v>2.9597541901223101</v>
      </c>
      <c r="AB30">
        <v>9.2086462007973999</v>
      </c>
      <c r="AC30">
        <v>1.2516103391742901</v>
      </c>
      <c r="AJ30">
        <v>0.78924438645041295</v>
      </c>
      <c r="AK30">
        <v>0.14017873886006799</v>
      </c>
      <c r="AL30">
        <v>7.0576874689518204E-2</v>
      </c>
    </row>
    <row r="31" spans="1:38" x14ac:dyDescent="0.2">
      <c r="A31">
        <v>42</v>
      </c>
      <c r="B31">
        <v>766</v>
      </c>
      <c r="C31">
        <v>200</v>
      </c>
      <c r="D31">
        <v>0.38868353943126899</v>
      </c>
      <c r="E31">
        <v>2.0222404443871098</v>
      </c>
      <c r="F31">
        <v>2.5768311973108902</v>
      </c>
      <c r="G31">
        <v>-32.895477772093862</v>
      </c>
      <c r="H31">
        <v>-28.450010004319861</v>
      </c>
      <c r="I31">
        <v>4.2779846680209799</v>
      </c>
      <c r="J31">
        <v>2.46500896646632</v>
      </c>
      <c r="K31">
        <v>0.78477800427806899</v>
      </c>
      <c r="L31">
        <v>3.1015737972373227E-5</v>
      </c>
      <c r="M31">
        <v>1.8039598514641785E-6</v>
      </c>
      <c r="N31" s="1">
        <v>-2.17526747692997E-8</v>
      </c>
      <c r="O31" s="1">
        <v>6.9263224199695598E-12</v>
      </c>
      <c r="P31" s="1">
        <v>8.0478866361685402E-11</v>
      </c>
      <c r="Q31">
        <v>64.799444798346599</v>
      </c>
      <c r="S31">
        <v>21.805570627795699</v>
      </c>
      <c r="AA31">
        <v>2.8697544605802001</v>
      </c>
      <c r="AB31">
        <v>9.2331495007409394</v>
      </c>
      <c r="AC31">
        <v>1.2920806125364599</v>
      </c>
      <c r="AJ31">
        <v>0.79124982176061098</v>
      </c>
      <c r="AK31">
        <v>0.135899947050616</v>
      </c>
      <c r="AL31">
        <v>7.2850231188771999E-2</v>
      </c>
    </row>
    <row r="32" spans="1:38" x14ac:dyDescent="0.2">
      <c r="A32">
        <v>43</v>
      </c>
      <c r="B32">
        <v>764</v>
      </c>
      <c r="C32">
        <v>200</v>
      </c>
      <c r="D32">
        <v>0.38736971508460899</v>
      </c>
      <c r="E32">
        <v>2.8749505028504698</v>
      </c>
      <c r="F32">
        <v>2.5760188671592799</v>
      </c>
      <c r="G32">
        <v>-46.747361449566888</v>
      </c>
      <c r="H32">
        <v>-40.445510298590939</v>
      </c>
      <c r="I32">
        <v>6.0761231750238203</v>
      </c>
      <c r="J32">
        <v>3.5064177111139601</v>
      </c>
      <c r="K32">
        <v>1.1160440397010101</v>
      </c>
      <c r="L32">
        <v>3.1120770626855853E-5</v>
      </c>
      <c r="M32">
        <v>1.8064808105065315E-6</v>
      </c>
      <c r="N32" s="1">
        <v>-3.2978932353629398E-8</v>
      </c>
      <c r="O32" s="1">
        <v>9.8486320717531495E-12</v>
      </c>
      <c r="P32" s="1">
        <v>1.2035641047073E-10</v>
      </c>
      <c r="Q32">
        <v>64.898950461051498</v>
      </c>
      <c r="S32">
        <v>21.729296999793</v>
      </c>
      <c r="AA32">
        <v>2.78360965043588</v>
      </c>
      <c r="AB32">
        <v>9.2549313027412499</v>
      </c>
      <c r="AC32">
        <v>1.3332115859782201</v>
      </c>
      <c r="AJ32">
        <v>0.79303222178035604</v>
      </c>
      <c r="AK32">
        <v>0.13180647876069501</v>
      </c>
      <c r="AL32">
        <v>7.5161299458948103E-2</v>
      </c>
    </row>
    <row r="33" spans="1:38" x14ac:dyDescent="0.2">
      <c r="A33">
        <v>44</v>
      </c>
      <c r="B33">
        <v>762</v>
      </c>
      <c r="C33">
        <v>200</v>
      </c>
      <c r="D33">
        <v>0.38605081389170998</v>
      </c>
      <c r="E33">
        <v>3.7291293836838801</v>
      </c>
      <c r="F33">
        <v>2.5752371166005101</v>
      </c>
      <c r="G33">
        <v>-60.61180213516046</v>
      </c>
      <c r="H33">
        <v>-52.461191975366368</v>
      </c>
      <c r="I33">
        <v>7.87384452474915</v>
      </c>
      <c r="J33">
        <v>4.5509322200812603</v>
      </c>
      <c r="K33">
        <v>1.44807224144337</v>
      </c>
      <c r="L33">
        <v>3.122627827695608E-5</v>
      </c>
      <c r="M33">
        <v>1.8088872106290394E-6</v>
      </c>
      <c r="N33" s="1">
        <v>-4.5601307684429403E-8</v>
      </c>
      <c r="O33" s="1">
        <v>1.27747201771448E-11</v>
      </c>
      <c r="P33" s="1">
        <v>1.6427586630820799E-10</v>
      </c>
      <c r="Q33">
        <v>64.993469055737407</v>
      </c>
      <c r="S33">
        <v>21.656248576919499</v>
      </c>
      <c r="AA33">
        <v>2.7012893316911799</v>
      </c>
      <c r="AB33">
        <v>9.2740549856082204</v>
      </c>
      <c r="AC33">
        <v>1.3749380500436299</v>
      </c>
      <c r="AJ33">
        <v>0.794596910305023</v>
      </c>
      <c r="AK33">
        <v>0.12789662942462901</v>
      </c>
      <c r="AL33">
        <v>7.7506460270346994E-2</v>
      </c>
    </row>
    <row r="34" spans="1:38" x14ac:dyDescent="0.2">
      <c r="A34">
        <v>45</v>
      </c>
      <c r="B34">
        <v>760</v>
      </c>
      <c r="C34">
        <v>200</v>
      </c>
      <c r="D34">
        <v>0.38472680636887402</v>
      </c>
      <c r="E34">
        <v>5.6084528092008297</v>
      </c>
      <c r="F34">
        <v>2.57353440636038</v>
      </c>
      <c r="G34">
        <v>-91.098337792844447</v>
      </c>
      <c r="H34">
        <v>-78.874527865439319</v>
      </c>
      <c r="I34">
        <v>11.8315926316654</v>
      </c>
      <c r="J34">
        <v>6.8481623166566896</v>
      </c>
      <c r="K34">
        <v>2.17928029069274</v>
      </c>
      <c r="L34">
        <v>3.1345260789373948E-5</v>
      </c>
      <c r="M34">
        <v>1.8124984345944213E-6</v>
      </c>
      <c r="N34" s="1">
        <v>-7.2978991511209796E-8</v>
      </c>
      <c r="O34" s="1">
        <v>1.9244023428949401E-11</v>
      </c>
      <c r="P34" s="1">
        <v>2.5971926773578799E-10</v>
      </c>
      <c r="Q34">
        <v>65.152541294299596</v>
      </c>
      <c r="S34">
        <v>21.522623455708899</v>
      </c>
      <c r="AA34">
        <v>2.5539299062689902</v>
      </c>
      <c r="AB34">
        <v>9.2782233124269702</v>
      </c>
      <c r="AC34">
        <v>1.4926820312954301</v>
      </c>
      <c r="AJ34">
        <v>0.79494012597851005</v>
      </c>
      <c r="AK34">
        <v>0.12091755645486001</v>
      </c>
      <c r="AL34">
        <v>8.4142317566628197E-2</v>
      </c>
    </row>
    <row r="35" spans="1:38" x14ac:dyDescent="0.2">
      <c r="A35">
        <v>46</v>
      </c>
      <c r="B35">
        <v>758</v>
      </c>
      <c r="C35">
        <v>200</v>
      </c>
      <c r="D35">
        <v>0.383397662803666</v>
      </c>
      <c r="E35">
        <v>8.0961213583227192</v>
      </c>
      <c r="F35">
        <v>2.5712712068728201</v>
      </c>
      <c r="G35">
        <v>-131.39461343174605</v>
      </c>
      <c r="H35">
        <v>-113.79835102280781</v>
      </c>
      <c r="I35">
        <v>17.0646970944461</v>
      </c>
      <c r="J35">
        <v>9.8900593824741794</v>
      </c>
      <c r="K35">
        <v>3.1486843304130598</v>
      </c>
      <c r="L35">
        <v>3.1456472854709237E-5</v>
      </c>
      <c r="M35">
        <v>1.8163702313443202E-6</v>
      </c>
      <c r="N35" s="1">
        <v>-1.11742555212294E-7</v>
      </c>
      <c r="O35" s="1">
        <v>2.7850365433123401E-11</v>
      </c>
      <c r="P35" s="1">
        <v>3.9325716195120301E-10</v>
      </c>
      <c r="Q35">
        <v>65.335068009836903</v>
      </c>
      <c r="S35">
        <v>21.359061004526801</v>
      </c>
      <c r="AA35">
        <v>2.3763990955276402</v>
      </c>
      <c r="AB35">
        <v>9.2561740809670994</v>
      </c>
      <c r="AC35">
        <v>1.6732978091414601</v>
      </c>
      <c r="AJ35">
        <v>0.79314074394691103</v>
      </c>
      <c r="AK35">
        <v>0.1125249724455</v>
      </c>
      <c r="AL35">
        <v>9.4334283607588595E-2</v>
      </c>
    </row>
    <row r="36" spans="1:38" x14ac:dyDescent="0.2">
      <c r="A36">
        <v>47</v>
      </c>
      <c r="B36">
        <v>756</v>
      </c>
      <c r="C36">
        <v>200</v>
      </c>
      <c r="D36">
        <v>0.38206335325268598</v>
      </c>
      <c r="E36">
        <v>10.7462723711328</v>
      </c>
      <c r="F36">
        <v>2.5688230157315699</v>
      </c>
      <c r="G36">
        <v>-174.23611053724238</v>
      </c>
      <c r="H36">
        <v>-150.94713583025748</v>
      </c>
      <c r="I36">
        <v>22.629329744920401</v>
      </c>
      <c r="J36">
        <v>13.1315001114531</v>
      </c>
      <c r="K36">
        <v>4.1833447868234899</v>
      </c>
      <c r="L36">
        <v>3.1545681439442109E-5</v>
      </c>
      <c r="M36">
        <v>1.8197458463253934E-6</v>
      </c>
      <c r="N36" s="1">
        <v>-1.5674602824536201E-7</v>
      </c>
      <c r="O36" s="1">
        <v>3.70671059516529E-11</v>
      </c>
      <c r="P36" s="1">
        <v>5.4607837554007402E-10</v>
      </c>
      <c r="Q36">
        <v>65.505741253456804</v>
      </c>
      <c r="S36">
        <v>21.1941275735029</v>
      </c>
      <c r="AA36">
        <v>2.2005030580036302</v>
      </c>
      <c r="AB36">
        <v>9.2041158210023504</v>
      </c>
      <c r="AC36">
        <v>1.89551229403419</v>
      </c>
      <c r="AJ36">
        <v>0.788886671302795</v>
      </c>
      <c r="AK36">
        <v>0.10422341763514301</v>
      </c>
      <c r="AL36">
        <v>0.106889911062061</v>
      </c>
    </row>
    <row r="37" spans="1:38" x14ac:dyDescent="0.2">
      <c r="A37">
        <v>48</v>
      </c>
      <c r="B37">
        <v>754</v>
      </c>
      <c r="C37">
        <v>200</v>
      </c>
      <c r="D37">
        <v>0.38072384753930699</v>
      </c>
      <c r="E37">
        <v>13.6763412652467</v>
      </c>
      <c r="F37">
        <v>2.5660183104177898</v>
      </c>
      <c r="G37">
        <v>-221.48453528862845</v>
      </c>
      <c r="H37">
        <v>-191.93369842551289</v>
      </c>
      <c r="I37">
        <v>28.769738463822801</v>
      </c>
      <c r="J37">
        <v>16.713456297916199</v>
      </c>
      <c r="K37">
        <v>5.3297909877423999</v>
      </c>
      <c r="L37">
        <v>3.1602595293156532E-5</v>
      </c>
      <c r="M37">
        <v>1.8225479150331281E-6</v>
      </c>
      <c r="N37" s="1">
        <v>-2.0968518503581501E-7</v>
      </c>
      <c r="O37" s="1">
        <v>4.7325466083409203E-11</v>
      </c>
      <c r="P37" s="1">
        <v>7.2400119554650896E-10</v>
      </c>
      <c r="Q37">
        <v>65.666629684263398</v>
      </c>
      <c r="S37">
        <v>21.0207633518568</v>
      </c>
      <c r="AA37">
        <v>2.0199346841950301</v>
      </c>
      <c r="AB37">
        <v>9.1081502166302304</v>
      </c>
      <c r="AC37">
        <v>2.18452206305437</v>
      </c>
      <c r="AJ37">
        <v>0.78103634582275805</v>
      </c>
      <c r="AK37">
        <v>9.5717021661259102E-2</v>
      </c>
      <c r="AL37">
        <v>0.123246632515982</v>
      </c>
    </row>
    <row r="38" spans="1:38" x14ac:dyDescent="0.2">
      <c r="A38">
        <v>49</v>
      </c>
      <c r="B38">
        <v>752</v>
      </c>
      <c r="C38">
        <v>200</v>
      </c>
      <c r="D38">
        <v>0.37937911525142798</v>
      </c>
      <c r="E38">
        <v>17.266040748840101</v>
      </c>
      <c r="F38">
        <v>2.5632427589436801</v>
      </c>
      <c r="G38">
        <v>-279.25964275551871</v>
      </c>
      <c r="H38">
        <v>-242.06890450103356</v>
      </c>
      <c r="I38">
        <v>36.2783380524656</v>
      </c>
      <c r="J38">
        <v>21.097571652564099</v>
      </c>
      <c r="K38">
        <v>6.7360146395012404</v>
      </c>
      <c r="L38">
        <v>3.1617507461300248E-5</v>
      </c>
      <c r="M38">
        <v>1.8241794276227082E-6</v>
      </c>
      <c r="N38" s="1">
        <v>-2.7676345941453401E-7</v>
      </c>
      <c r="O38" s="1">
        <v>5.9928919321802904E-11</v>
      </c>
      <c r="P38" s="1">
        <v>9.4813604212086703E-10</v>
      </c>
      <c r="Q38">
        <v>65.787414810448993</v>
      </c>
      <c r="S38">
        <v>20.864955454328602</v>
      </c>
      <c r="AA38">
        <v>1.8632080154320501</v>
      </c>
      <c r="AB38">
        <v>8.9688427343162207</v>
      </c>
      <c r="AC38">
        <v>2.5155789854740198</v>
      </c>
      <c r="AJ38">
        <v>0.76962533434726899</v>
      </c>
      <c r="AK38">
        <v>8.8351734638298499E-2</v>
      </c>
      <c r="AL38">
        <v>0.142022931014432</v>
      </c>
    </row>
    <row r="39" spans="1:38" x14ac:dyDescent="0.2">
      <c r="A39">
        <v>50</v>
      </c>
      <c r="B39">
        <v>750</v>
      </c>
      <c r="C39">
        <v>200</v>
      </c>
      <c r="D39">
        <v>0.37802912573913899</v>
      </c>
      <c r="E39">
        <v>26.8149719700098</v>
      </c>
      <c r="F39">
        <v>2.56507808269106</v>
      </c>
      <c r="G39">
        <v>-433.75215217640624</v>
      </c>
      <c r="H39">
        <v>-376.17754312741408</v>
      </c>
      <c r="I39">
        <v>56.271914234464298</v>
      </c>
      <c r="J39">
        <v>32.792885579123798</v>
      </c>
      <c r="K39">
        <v>10.4538618730381</v>
      </c>
      <c r="L39">
        <v>3.167469705925863E-5</v>
      </c>
      <c r="M39">
        <v>1.8222347315375555E-6</v>
      </c>
      <c r="N39" s="1">
        <v>-4.5806142705925202E-7</v>
      </c>
      <c r="O39" s="1">
        <v>9.2561345197181294E-11</v>
      </c>
      <c r="P39" s="1">
        <v>1.55375998660205E-9</v>
      </c>
      <c r="Q39">
        <v>65.663501133348703</v>
      </c>
      <c r="S39">
        <v>20.9738188009586</v>
      </c>
      <c r="AA39">
        <v>1.9819349536161499</v>
      </c>
      <c r="AB39">
        <v>8.9781071652754108</v>
      </c>
      <c r="AC39">
        <v>2.40263794680097</v>
      </c>
      <c r="AJ39">
        <v>0.77038290838196999</v>
      </c>
      <c r="AK39">
        <v>9.3977100476707306E-2</v>
      </c>
      <c r="AL39">
        <v>0.135639991141322</v>
      </c>
    </row>
    <row r="40" spans="1:38" x14ac:dyDescent="0.2">
      <c r="A40">
        <v>51</v>
      </c>
      <c r="B40">
        <v>748</v>
      </c>
      <c r="C40">
        <v>200</v>
      </c>
      <c r="D40">
        <v>0.37667384811242399</v>
      </c>
      <c r="E40">
        <v>28.074496151250202</v>
      </c>
      <c r="F40">
        <v>2.5655653738914501</v>
      </c>
      <c r="G40">
        <v>-454.05744731751844</v>
      </c>
      <c r="H40">
        <v>-393.9648539986905</v>
      </c>
      <c r="I40">
        <v>58.847958986268402</v>
      </c>
      <c r="J40">
        <v>34.3644800039269</v>
      </c>
      <c r="K40">
        <v>10.9428106712661</v>
      </c>
      <c r="L40">
        <v>3.1773375914169004E-5</v>
      </c>
      <c r="M40">
        <v>1.8224786068206331E-6</v>
      </c>
      <c r="N40" s="1">
        <v>-5.1155504450085204E-7</v>
      </c>
      <c r="O40" s="1">
        <v>9.6589339123459097E-11</v>
      </c>
      <c r="P40" s="1">
        <v>1.7184617238897601E-9</v>
      </c>
      <c r="Q40">
        <v>65.648781122247698</v>
      </c>
      <c r="S40">
        <v>20.9915767767034</v>
      </c>
      <c r="AA40">
        <v>2.0000201787877101</v>
      </c>
      <c r="AB40">
        <v>8.99185925190163</v>
      </c>
      <c r="AC40">
        <v>2.3677626703594101</v>
      </c>
      <c r="AJ40">
        <v>0.77150993085354103</v>
      </c>
      <c r="AK40">
        <v>9.4828130361652899E-2</v>
      </c>
      <c r="AL40">
        <v>0.13366193878480501</v>
      </c>
    </row>
    <row r="41" spans="1:38" x14ac:dyDescent="0.2">
      <c r="A41">
        <v>53</v>
      </c>
      <c r="B41">
        <v>780</v>
      </c>
      <c r="C41">
        <v>175</v>
      </c>
      <c r="D41">
        <v>0.42385272753169101</v>
      </c>
      <c r="E41">
        <v>0.28386165549417203</v>
      </c>
      <c r="F41">
        <v>2.5767111676441199</v>
      </c>
      <c r="G41">
        <v>-4.6302498917017543</v>
      </c>
      <c r="H41">
        <v>-3.993114024764997</v>
      </c>
      <c r="I41">
        <v>0.60498112038812801</v>
      </c>
      <c r="J41">
        <v>0.34507518423997002</v>
      </c>
      <c r="K41">
        <v>0.110164328489213</v>
      </c>
      <c r="L41">
        <v>3.0556237553297342E-5</v>
      </c>
      <c r="M41">
        <v>1.7985066314921861E-6</v>
      </c>
      <c r="N41" s="1">
        <v>-1.9266560590134298E-9</v>
      </c>
      <c r="O41" s="1">
        <v>9.7785847349932409E-13</v>
      </c>
      <c r="P41" s="1">
        <v>8.0123850609010097E-12</v>
      </c>
      <c r="Q41">
        <v>64.579336979458702</v>
      </c>
      <c r="S41">
        <v>21.9747998711706</v>
      </c>
      <c r="AA41">
        <v>3.06072946960423</v>
      </c>
      <c r="AB41">
        <v>9.18630749086919</v>
      </c>
      <c r="AC41">
        <v>1.1988261888970799</v>
      </c>
      <c r="AJ41">
        <v>0.78741537107056103</v>
      </c>
      <c r="AK41">
        <v>0.14497684534941199</v>
      </c>
      <c r="AL41">
        <v>6.7607783580026906E-2</v>
      </c>
    </row>
    <row r="42" spans="1:38" x14ac:dyDescent="0.2">
      <c r="A42">
        <v>54</v>
      </c>
      <c r="B42">
        <v>778</v>
      </c>
      <c r="C42">
        <v>175</v>
      </c>
      <c r="D42">
        <v>0.422623317319128</v>
      </c>
      <c r="E42">
        <v>1.0965525596182999</v>
      </c>
      <c r="F42">
        <v>2.5758816264666402</v>
      </c>
      <c r="G42">
        <v>-17.879475195849686</v>
      </c>
      <c r="H42">
        <v>-15.425120730961828</v>
      </c>
      <c r="I42">
        <v>2.3349231459714099</v>
      </c>
      <c r="J42">
        <v>1.3334990062852099</v>
      </c>
      <c r="K42">
        <v>0.425699903423922</v>
      </c>
      <c r="L42">
        <v>3.064406123574535E-5</v>
      </c>
      <c r="M42">
        <v>1.801122167725283E-6</v>
      </c>
      <c r="N42" s="1">
        <v>-7.9539887336453507E-9</v>
      </c>
      <c r="O42" s="1">
        <v>3.7805736851198096E-12</v>
      </c>
      <c r="P42" s="1">
        <v>3.2443331950229503E-11</v>
      </c>
      <c r="Q42">
        <v>64.6844749692889</v>
      </c>
      <c r="S42">
        <v>21.895567870450702</v>
      </c>
      <c r="AA42">
        <v>2.9708297451410099</v>
      </c>
      <c r="AB42">
        <v>9.2128848731817108</v>
      </c>
      <c r="AC42">
        <v>1.23624254193757</v>
      </c>
      <c r="AJ42">
        <v>0.78959087756399904</v>
      </c>
      <c r="AK42">
        <v>0.14070030274915701</v>
      </c>
      <c r="AL42">
        <v>6.9708819686842394E-2</v>
      </c>
    </row>
    <row r="43" spans="1:38" x14ac:dyDescent="0.2">
      <c r="A43">
        <v>55</v>
      </c>
      <c r="B43">
        <v>776</v>
      </c>
      <c r="C43">
        <v>175</v>
      </c>
      <c r="D43">
        <v>0.42138921984463801</v>
      </c>
      <c r="E43">
        <v>1.9129502572471599</v>
      </c>
      <c r="F43">
        <v>2.57508039152866</v>
      </c>
      <c r="G43">
        <v>-31.178570812508092</v>
      </c>
      <c r="H43">
        <v>-26.908980353482601</v>
      </c>
      <c r="I43">
        <v>4.0695710422965998</v>
      </c>
      <c r="J43">
        <v>2.3271798322127601</v>
      </c>
      <c r="K43">
        <v>0.74287011137215897</v>
      </c>
      <c r="L43">
        <v>3.0731328703589915E-5</v>
      </c>
      <c r="M43">
        <v>1.8036265195810366E-6</v>
      </c>
      <c r="N43" s="1">
        <v>-1.4816722478471201E-8</v>
      </c>
      <c r="O43" s="1">
        <v>6.5998379407293801E-12</v>
      </c>
      <c r="P43" s="1">
        <v>5.9339529776209205E-11</v>
      </c>
      <c r="Q43">
        <v>64.784926349139695</v>
      </c>
      <c r="S43">
        <v>21.819353106685899</v>
      </c>
      <c r="AA43">
        <v>2.88451282842846</v>
      </c>
      <c r="AB43">
        <v>9.23692847538676</v>
      </c>
      <c r="AC43">
        <v>1.2742792403590499</v>
      </c>
      <c r="AJ43">
        <v>0.79155857768197702</v>
      </c>
      <c r="AK43">
        <v>0.13659623963771</v>
      </c>
      <c r="AL43">
        <v>7.1845182680311995E-2</v>
      </c>
    </row>
    <row r="44" spans="1:38" x14ac:dyDescent="0.2">
      <c r="A44">
        <v>56</v>
      </c>
      <c r="B44">
        <v>774</v>
      </c>
      <c r="C44">
        <v>175</v>
      </c>
      <c r="D44">
        <v>0.420150408250972</v>
      </c>
      <c r="E44">
        <v>2.73172188768699</v>
      </c>
      <c r="F44">
        <v>2.5743077192194401</v>
      </c>
      <c r="G44">
        <v>-44.505727374041477</v>
      </c>
      <c r="H44">
        <v>-38.425973473255048</v>
      </c>
      <c r="I44">
        <v>5.8060009557240297</v>
      </c>
      <c r="J44">
        <v>3.3245523073990899</v>
      </c>
      <c r="K44">
        <v>1.0611481554020501</v>
      </c>
      <c r="L44">
        <v>3.0818194205899933E-5</v>
      </c>
      <c r="M44">
        <v>1.806021143040724E-6</v>
      </c>
      <c r="N44" s="1">
        <v>-2.25765983167255E-8</v>
      </c>
      <c r="O44" s="1">
        <v>9.4299227669072606E-12</v>
      </c>
      <c r="P44" s="1">
        <v>8.8865560009504598E-11</v>
      </c>
      <c r="Q44">
        <v>64.880715621998903</v>
      </c>
      <c r="S44">
        <v>21.7461517192286</v>
      </c>
      <c r="AA44">
        <v>2.8017698169554599</v>
      </c>
      <c r="AB44">
        <v>9.2584827798889204</v>
      </c>
      <c r="AC44">
        <v>1.3128800619280001</v>
      </c>
      <c r="AJ44">
        <v>0.793322254989557</v>
      </c>
      <c r="AK44">
        <v>0.13266399068736301</v>
      </c>
      <c r="AL44">
        <v>7.4013754323079398E-2</v>
      </c>
    </row>
    <row r="45" spans="1:38" x14ac:dyDescent="0.2">
      <c r="A45">
        <v>57</v>
      </c>
      <c r="B45">
        <v>772</v>
      </c>
      <c r="C45">
        <v>175</v>
      </c>
      <c r="D45">
        <v>0.418906855475288</v>
      </c>
      <c r="E45">
        <v>3.5515215882394702</v>
      </c>
      <c r="F45">
        <v>2.5735636863816</v>
      </c>
      <c r="G45">
        <v>-57.838968299587037</v>
      </c>
      <c r="H45">
        <v>-49.957206566128889</v>
      </c>
      <c r="I45">
        <v>7.5412732463839296</v>
      </c>
      <c r="J45">
        <v>4.3240394532581199</v>
      </c>
      <c r="K45">
        <v>1.38000143809646</v>
      </c>
      <c r="L45">
        <v>3.0904837670615741E-5</v>
      </c>
      <c r="M45">
        <v>1.8083081834556487E-6</v>
      </c>
      <c r="N45" s="1">
        <v>-3.1299186659046499E-8</v>
      </c>
      <c r="O45" s="1">
        <v>1.22649920653618E-11</v>
      </c>
      <c r="P45" s="1">
        <v>1.21196277250772E-10</v>
      </c>
      <c r="Q45">
        <v>64.971894793559599</v>
      </c>
      <c r="S45">
        <v>21.675941472465201</v>
      </c>
      <c r="AA45">
        <v>2.7225702312956699</v>
      </c>
      <c r="AB45">
        <v>9.2776053850351392</v>
      </c>
      <c r="AC45">
        <v>1.3519881176441999</v>
      </c>
      <c r="AJ45">
        <v>0.79488674710840801</v>
      </c>
      <c r="AK45">
        <v>0.12890187715932599</v>
      </c>
      <c r="AL45">
        <v>7.6211375732265899E-2</v>
      </c>
    </row>
    <row r="46" spans="1:38" x14ac:dyDescent="0.2">
      <c r="A46">
        <v>58</v>
      </c>
      <c r="B46">
        <v>770</v>
      </c>
      <c r="C46">
        <v>175</v>
      </c>
      <c r="D46">
        <v>0.41765853424723398</v>
      </c>
      <c r="E46">
        <v>4.3710135159462498</v>
      </c>
      <c r="F46">
        <v>2.57284819594808</v>
      </c>
      <c r="G46">
        <v>-71.15652457768644</v>
      </c>
      <c r="H46">
        <v>-61.48393478351931</v>
      </c>
      <c r="I46">
        <v>9.2724821877650392</v>
      </c>
      <c r="J46">
        <v>5.3240812023274398</v>
      </c>
      <c r="K46">
        <v>1.6989006669068301</v>
      </c>
      <c r="L46">
        <v>3.0991464094129272E-5</v>
      </c>
      <c r="M46">
        <v>1.8104904217492292E-6</v>
      </c>
      <c r="N46" s="1">
        <v>-4.1054406166879098E-8</v>
      </c>
      <c r="O46" s="1">
        <v>1.5099188260372399E-11</v>
      </c>
      <c r="P46" s="1">
        <v>1.56518430237787E-10</v>
      </c>
      <c r="Q46">
        <v>65.058541365777003</v>
      </c>
      <c r="S46">
        <v>21.608682886230799</v>
      </c>
      <c r="AA46">
        <v>2.6468634158870299</v>
      </c>
      <c r="AB46">
        <v>9.2943654973916505</v>
      </c>
      <c r="AC46">
        <v>1.3915468347133899</v>
      </c>
      <c r="AJ46">
        <v>0.79625782251311905</v>
      </c>
      <c r="AK46">
        <v>0.12530727526594801</v>
      </c>
      <c r="AL46">
        <v>7.8434902220932107E-2</v>
      </c>
    </row>
    <row r="47" spans="1:38" x14ac:dyDescent="0.2">
      <c r="A47">
        <v>59</v>
      </c>
      <c r="B47">
        <v>768</v>
      </c>
      <c r="C47">
        <v>175</v>
      </c>
      <c r="D47">
        <v>0.416405417086878</v>
      </c>
      <c r="E47">
        <v>5.1888934257621298</v>
      </c>
      <c r="F47">
        <v>2.5721609872947901</v>
      </c>
      <c r="G47">
        <v>-84.437184896426018</v>
      </c>
      <c r="H47">
        <v>-72.987864244063999</v>
      </c>
      <c r="I47">
        <v>10.996802240178599</v>
      </c>
      <c r="J47">
        <v>6.3231612164333697</v>
      </c>
      <c r="K47">
        <v>2.0173284065004902</v>
      </c>
      <c r="L47">
        <v>3.1078302669035908E-5</v>
      </c>
      <c r="M47">
        <v>1.8125712076539186E-6</v>
      </c>
      <c r="N47" s="1">
        <v>-5.1917121886328298E-8</v>
      </c>
      <c r="O47" s="1">
        <v>1.7926712912883699E-11</v>
      </c>
      <c r="P47" s="1">
        <v>1.95032491873591E-10</v>
      </c>
      <c r="Q47">
        <v>65.140755751088193</v>
      </c>
      <c r="S47">
        <v>21.544320778434201</v>
      </c>
      <c r="AA47">
        <v>2.5745804150698701</v>
      </c>
      <c r="AB47">
        <v>9.3088422136648301</v>
      </c>
      <c r="AC47">
        <v>1.4315008417427499</v>
      </c>
      <c r="AJ47">
        <v>0.79744204058332502</v>
      </c>
      <c r="AK47">
        <v>0.12187670664263101</v>
      </c>
      <c r="AL47">
        <v>8.0681252774042297E-2</v>
      </c>
    </row>
    <row r="48" spans="1:38" x14ac:dyDescent="0.2">
      <c r="A48">
        <v>60</v>
      </c>
      <c r="B48">
        <v>766</v>
      </c>
      <c r="C48">
        <v>175</v>
      </c>
      <c r="D48">
        <v>0.41514747630275201</v>
      </c>
      <c r="E48">
        <v>6.84977623584013</v>
      </c>
      <c r="F48">
        <v>2.5707389670216299</v>
      </c>
      <c r="G48">
        <v>-111.3971833173906</v>
      </c>
      <c r="H48">
        <v>-96.325916673109759</v>
      </c>
      <c r="I48">
        <v>14.5034563290004</v>
      </c>
      <c r="J48">
        <v>8.3504318090836502</v>
      </c>
      <c r="K48">
        <v>2.6645164381570901</v>
      </c>
      <c r="L48">
        <v>3.1173031196540964E-5</v>
      </c>
      <c r="M48">
        <v>1.8155235518970208E-6</v>
      </c>
      <c r="N48" s="1">
        <v>-7.2861510181275894E-8</v>
      </c>
      <c r="O48" s="1">
        <v>2.36979660993542E-11</v>
      </c>
      <c r="P48" s="1">
        <v>2.6996198113675301E-10</v>
      </c>
      <c r="Q48">
        <v>65.271406082570493</v>
      </c>
      <c r="S48">
        <v>21.4329994198789</v>
      </c>
      <c r="AA48">
        <v>2.4522536856752501</v>
      </c>
      <c r="AB48">
        <v>9.3081460579655406</v>
      </c>
      <c r="AC48">
        <v>1.53519475390965</v>
      </c>
      <c r="AJ48">
        <v>0.79738724677855499</v>
      </c>
      <c r="AK48">
        <v>0.116086650981851</v>
      </c>
      <c r="AL48">
        <v>8.65261022395927E-2</v>
      </c>
    </row>
    <row r="49" spans="1:38" x14ac:dyDescent="0.2">
      <c r="A49">
        <v>61</v>
      </c>
      <c r="B49">
        <v>764</v>
      </c>
      <c r="C49">
        <v>175</v>
      </c>
      <c r="D49">
        <v>0.41388468398978101</v>
      </c>
      <c r="E49">
        <v>9.2928607483627808</v>
      </c>
      <c r="F49">
        <v>2.56861134045297</v>
      </c>
      <c r="G49">
        <v>-151.00281473650398</v>
      </c>
      <c r="H49">
        <v>-130.61380718941015</v>
      </c>
      <c r="I49">
        <v>19.6586873134009</v>
      </c>
      <c r="J49">
        <v>11.3318188232703</v>
      </c>
      <c r="K49">
        <v>3.6178539750291501</v>
      </c>
      <c r="L49">
        <v>3.1261259868815327E-5</v>
      </c>
      <c r="M49">
        <v>1.8189203811244071E-6</v>
      </c>
      <c r="N49" s="1">
        <v>-1.0469680929942999E-7</v>
      </c>
      <c r="O49" s="1">
        <v>3.2233238103494502E-11</v>
      </c>
      <c r="P49" s="1">
        <v>3.8307420295836999E-10</v>
      </c>
      <c r="Q49">
        <v>65.435477920393396</v>
      </c>
      <c r="S49">
        <v>21.282288852107001</v>
      </c>
      <c r="AA49">
        <v>2.2896320037603601</v>
      </c>
      <c r="AB49">
        <v>9.2786640042486397</v>
      </c>
      <c r="AC49">
        <v>1.71393721949053</v>
      </c>
      <c r="AJ49">
        <v>0.79498064789388101</v>
      </c>
      <c r="AK49">
        <v>0.10840456861489101</v>
      </c>
      <c r="AL49">
        <v>9.6614783491226694E-2</v>
      </c>
    </row>
    <row r="50" spans="1:38" x14ac:dyDescent="0.2">
      <c r="A50">
        <v>62</v>
      </c>
      <c r="B50">
        <v>762</v>
      </c>
      <c r="C50">
        <v>175</v>
      </c>
      <c r="D50">
        <v>0.41261701202724399</v>
      </c>
      <c r="E50">
        <v>11.8808242052549</v>
      </c>
      <c r="F50">
        <v>2.5663166705892602</v>
      </c>
      <c r="G50">
        <v>-192.87252555076319</v>
      </c>
      <c r="H50">
        <v>-166.88069692328997</v>
      </c>
      <c r="I50">
        <v>25.109238880812601</v>
      </c>
      <c r="J50">
        <v>14.4897848374479</v>
      </c>
      <c r="K50">
        <v>4.6295238391320099</v>
      </c>
      <c r="L50">
        <v>3.1328927316542546E-5</v>
      </c>
      <c r="M50">
        <v>1.8218438556473361E-6</v>
      </c>
      <c r="N50" s="1">
        <v>-1.41258697639623E-7</v>
      </c>
      <c r="O50" s="1">
        <v>4.1322513260614098E-11</v>
      </c>
      <c r="P50" s="1">
        <v>5.1099711617599902E-10</v>
      </c>
      <c r="Q50">
        <v>65.587927770748294</v>
      </c>
      <c r="S50">
        <v>21.130688257137599</v>
      </c>
      <c r="AA50">
        <v>2.1289878721873601</v>
      </c>
      <c r="AB50">
        <v>9.2209496525960493</v>
      </c>
      <c r="AC50">
        <v>1.9314464473305399</v>
      </c>
      <c r="AJ50">
        <v>0.79026470905947999</v>
      </c>
      <c r="AK50">
        <v>0.100827944836831</v>
      </c>
      <c r="AL50">
        <v>0.10890734610368701</v>
      </c>
    </row>
    <row r="51" spans="1:38" x14ac:dyDescent="0.2">
      <c r="A51">
        <v>63</v>
      </c>
      <c r="B51">
        <v>760</v>
      </c>
      <c r="C51">
        <v>175</v>
      </c>
      <c r="D51">
        <v>0.41134443207665999</v>
      </c>
      <c r="E51">
        <v>14.7179545553068</v>
      </c>
      <c r="F51">
        <v>2.5637090858484299</v>
      </c>
      <c r="G51">
        <v>-238.66091938442349</v>
      </c>
      <c r="H51">
        <v>-206.55821215663462</v>
      </c>
      <c r="I51">
        <v>31.072648916216199</v>
      </c>
      <c r="J51">
        <v>17.949149138267799</v>
      </c>
      <c r="K51">
        <v>5.7408832525301996</v>
      </c>
      <c r="L51">
        <v>3.1367516638129779E-5</v>
      </c>
      <c r="M51">
        <v>1.824225719374744E-6</v>
      </c>
      <c r="N51" s="1">
        <v>-1.8372351210791101E-7</v>
      </c>
      <c r="O51" s="1">
        <v>5.1351623665081998E-11</v>
      </c>
      <c r="P51" s="1">
        <v>6.57954496811608E-10</v>
      </c>
      <c r="Q51">
        <v>65.730382054604405</v>
      </c>
      <c r="S51">
        <v>20.972227029846</v>
      </c>
      <c r="AA51">
        <v>1.96501597749557</v>
      </c>
      <c r="AB51">
        <v>9.1229746773657503</v>
      </c>
      <c r="AC51">
        <v>2.2094002606881902</v>
      </c>
      <c r="AJ51">
        <v>0.78225092054293899</v>
      </c>
      <c r="AK51">
        <v>9.3107891063060999E-2</v>
      </c>
      <c r="AL51">
        <v>0.124641188393998</v>
      </c>
    </row>
    <row r="52" spans="1:38" x14ac:dyDescent="0.2">
      <c r="A52">
        <v>64</v>
      </c>
      <c r="B52">
        <v>758</v>
      </c>
      <c r="C52">
        <v>175</v>
      </c>
      <c r="D52">
        <v>0.41006691557969399</v>
      </c>
      <c r="E52">
        <v>18.064432651149399</v>
      </c>
      <c r="F52">
        <v>2.5604623493560101</v>
      </c>
      <c r="G52">
        <v>-292.49918107396167</v>
      </c>
      <c r="H52">
        <v>-253.22049350002052</v>
      </c>
      <c r="I52">
        <v>38.092118095273399</v>
      </c>
      <c r="J52">
        <v>22.021353132365199</v>
      </c>
      <c r="K52">
        <v>7.0551448083948003</v>
      </c>
      <c r="L52">
        <v>3.1356970094618008E-5</v>
      </c>
      <c r="M52">
        <v>1.8258876265974307E-6</v>
      </c>
      <c r="N52" s="1">
        <v>-2.34652337793853E-7</v>
      </c>
      <c r="O52" s="1">
        <v>6.3290146677090799E-11</v>
      </c>
      <c r="P52" s="1">
        <v>8.3343583478082301E-10</v>
      </c>
      <c r="Q52">
        <v>65.865655249852793</v>
      </c>
      <c r="S52">
        <v>20.793824363202202</v>
      </c>
      <c r="AA52">
        <v>1.7862678000090899</v>
      </c>
      <c r="AB52">
        <v>8.9567179553821799</v>
      </c>
      <c r="AC52">
        <v>2.5975346315536401</v>
      </c>
      <c r="AJ52">
        <v>0.76863245787883405</v>
      </c>
      <c r="AK52">
        <v>8.4708537014087995E-2</v>
      </c>
      <c r="AL52">
        <v>0.146659005107077</v>
      </c>
    </row>
    <row r="53" spans="1:38" x14ac:dyDescent="0.2">
      <c r="A53">
        <v>65</v>
      </c>
      <c r="B53">
        <v>756</v>
      </c>
      <c r="C53">
        <v>175</v>
      </c>
      <c r="D53">
        <v>0.40878443375601398</v>
      </c>
      <c r="E53">
        <v>25.6004149320874</v>
      </c>
      <c r="F53">
        <v>2.5625549100706402</v>
      </c>
      <c r="G53">
        <v>-414.54281233205035</v>
      </c>
      <c r="H53">
        <v>-359.05929086881673</v>
      </c>
      <c r="I53">
        <v>53.911987040988699</v>
      </c>
      <c r="J53">
        <v>31.222354569232401</v>
      </c>
      <c r="K53">
        <v>9.9901917541278102</v>
      </c>
      <c r="L53">
        <v>3.1356835585661226E-5</v>
      </c>
      <c r="M53">
        <v>1.8226607624282892E-6</v>
      </c>
      <c r="N53" s="1">
        <v>-3.5241198989547898E-7</v>
      </c>
      <c r="O53" s="1">
        <v>8.9212116939903799E-11</v>
      </c>
      <c r="P53" s="1">
        <v>1.2385700481208901E-9</v>
      </c>
      <c r="Q53">
        <v>65.693382060261499</v>
      </c>
      <c r="S53">
        <v>20.929768539490802</v>
      </c>
      <c r="AA53">
        <v>1.9386207310699199</v>
      </c>
      <c r="AB53">
        <v>8.9292117213866895</v>
      </c>
      <c r="AC53">
        <v>2.5090169477909599</v>
      </c>
      <c r="AJ53">
        <v>0.76637418862818596</v>
      </c>
      <c r="AK53">
        <v>9.1945693250822302E-2</v>
      </c>
      <c r="AL53">
        <v>0.14168011812099099</v>
      </c>
    </row>
    <row r="54" spans="1:38" x14ac:dyDescent="0.2">
      <c r="A54">
        <v>66</v>
      </c>
      <c r="B54">
        <v>754</v>
      </c>
      <c r="C54">
        <v>175</v>
      </c>
      <c r="D54">
        <v>0.40749695760112897</v>
      </c>
      <c r="E54">
        <v>27.400977422932701</v>
      </c>
      <c r="F54">
        <v>2.5634937198203702</v>
      </c>
      <c r="G54">
        <v>-443.67216250031299</v>
      </c>
      <c r="H54">
        <v>-384.47039155500818</v>
      </c>
      <c r="I54">
        <v>57.636928340850801</v>
      </c>
      <c r="J54">
        <v>33.442518905337103</v>
      </c>
      <c r="K54">
        <v>10.6889192710223</v>
      </c>
      <c r="L54">
        <v>3.1426140692011E-5</v>
      </c>
      <c r="M54">
        <v>1.8221391558885771E-6</v>
      </c>
      <c r="N54" s="1">
        <v>-4.0205726797831699E-7</v>
      </c>
      <c r="O54" s="1">
        <v>9.5148850735504002E-11</v>
      </c>
      <c r="P54" s="1">
        <v>1.3973849616099399E-9</v>
      </c>
      <c r="Q54">
        <v>65.642627430315301</v>
      </c>
      <c r="S54">
        <v>20.977918652595999</v>
      </c>
      <c r="AA54">
        <v>1.99018796643715</v>
      </c>
      <c r="AB54">
        <v>8.9423395313531309</v>
      </c>
      <c r="AC54">
        <v>2.4469264192983</v>
      </c>
      <c r="AJ54">
        <v>0.76745001347983399</v>
      </c>
      <c r="AK54">
        <v>9.4385184435517494E-2</v>
      </c>
      <c r="AL54">
        <v>0.13816480208464799</v>
      </c>
    </row>
    <row r="55" spans="1:38" x14ac:dyDescent="0.2">
      <c r="A55">
        <v>67</v>
      </c>
      <c r="B55">
        <v>792</v>
      </c>
      <c r="C55">
        <v>150</v>
      </c>
      <c r="D55">
        <v>0.456950194808243</v>
      </c>
      <c r="E55">
        <v>7.1333276943315593E-2</v>
      </c>
      <c r="F55">
        <v>2.5748082092731202</v>
      </c>
      <c r="G55">
        <v>-1.1661408530837438</v>
      </c>
      <c r="H55">
        <v>-1.0031429441483102</v>
      </c>
      <c r="I55">
        <v>0.15302812649432701</v>
      </c>
      <c r="J55">
        <v>8.6618207906542899E-2</v>
      </c>
      <c r="K55">
        <v>2.7704306940769401E-2</v>
      </c>
      <c r="L55">
        <v>3.0338829725523057E-5</v>
      </c>
      <c r="M55">
        <v>1.7981888109497298E-6</v>
      </c>
      <c r="N55" s="1">
        <v>-3.2218818253744401E-10</v>
      </c>
      <c r="O55" s="1">
        <v>2.4709365909968199E-13</v>
      </c>
      <c r="P55" s="1">
        <v>1.5364669079867699E-12</v>
      </c>
      <c r="Q55">
        <v>64.563679657920702</v>
      </c>
      <c r="S55">
        <v>21.988681212219799</v>
      </c>
      <c r="AA55">
        <v>3.0758351400349699</v>
      </c>
      <c r="AB55">
        <v>9.1878077295916007</v>
      </c>
      <c r="AC55">
        <v>1.18399626023279</v>
      </c>
      <c r="AJ55">
        <v>0.78753784833678298</v>
      </c>
      <c r="AK55">
        <v>0.145691220339245</v>
      </c>
      <c r="AL55">
        <v>6.6770931323970995E-2</v>
      </c>
    </row>
    <row r="56" spans="1:38" x14ac:dyDescent="0.2">
      <c r="A56">
        <v>68</v>
      </c>
      <c r="B56">
        <v>790</v>
      </c>
      <c r="C56">
        <v>150</v>
      </c>
      <c r="D56">
        <v>0.45579692423458601</v>
      </c>
      <c r="E56">
        <v>0.85204187236624895</v>
      </c>
      <c r="F56">
        <v>2.5740194949254001</v>
      </c>
      <c r="G56">
        <v>-13.923571101799691</v>
      </c>
      <c r="H56">
        <v>-11.98202074491431</v>
      </c>
      <c r="I56">
        <v>1.82622429279535</v>
      </c>
      <c r="J56">
        <v>1.0348438620595399</v>
      </c>
      <c r="K56">
        <v>0.33101609138781601</v>
      </c>
      <c r="L56">
        <v>3.0412100975684306E-5</v>
      </c>
      <c r="M56">
        <v>1.8006780772160651E-6</v>
      </c>
      <c r="N56" s="1">
        <v>-4.1296712210659102E-9</v>
      </c>
      <c r="O56" s="1">
        <v>2.9545649055048501E-12</v>
      </c>
      <c r="P56" s="1">
        <v>1.9178241507231201E-11</v>
      </c>
      <c r="Q56">
        <v>64.664707885800993</v>
      </c>
      <c r="S56">
        <v>21.912735656558301</v>
      </c>
      <c r="AA56">
        <v>2.9896057231624198</v>
      </c>
      <c r="AB56">
        <v>9.2138425707431892</v>
      </c>
      <c r="AC56">
        <v>1.2191081637349499</v>
      </c>
      <c r="AJ56">
        <v>0.78966888727272899</v>
      </c>
      <c r="AK56">
        <v>0.141588814757489</v>
      </c>
      <c r="AL56">
        <v>6.8742297969780694E-2</v>
      </c>
    </row>
    <row r="57" spans="1:38" x14ac:dyDescent="0.2">
      <c r="A57">
        <v>69</v>
      </c>
      <c r="B57">
        <v>788</v>
      </c>
      <c r="C57">
        <v>150</v>
      </c>
      <c r="D57">
        <v>0.45463930641285699</v>
      </c>
      <c r="E57">
        <v>1.63579163163978</v>
      </c>
      <c r="F57">
        <v>2.5732572586665201</v>
      </c>
      <c r="G57">
        <v>-26.720723991261597</v>
      </c>
      <c r="H57">
        <v>-23.003606458530903</v>
      </c>
      <c r="I57">
        <v>3.5029143219438201</v>
      </c>
      <c r="J57">
        <v>1.9872056240561899</v>
      </c>
      <c r="K57">
        <v>0.63568911585911902</v>
      </c>
      <c r="L57">
        <v>3.0484399908827544E-5</v>
      </c>
      <c r="M57">
        <v>1.8030637150519997E-6</v>
      </c>
      <c r="N57" s="1">
        <v>-8.4955808090028708E-9</v>
      </c>
      <c r="O57" s="1">
        <v>5.6777647907926903E-12</v>
      </c>
      <c r="P57" s="1">
        <v>3.8483260732036703E-11</v>
      </c>
      <c r="Q57">
        <v>64.761414990000006</v>
      </c>
      <c r="S57">
        <v>21.839581321917802</v>
      </c>
      <c r="AA57">
        <v>2.9066873673494702</v>
      </c>
      <c r="AB57">
        <v>9.2375655682505293</v>
      </c>
      <c r="AC57">
        <v>1.25475075248205</v>
      </c>
      <c r="AJ57">
        <v>0.791610295347422</v>
      </c>
      <c r="AK57">
        <v>0.13764581553331501</v>
      </c>
      <c r="AL57">
        <v>7.0743889119262202E-2</v>
      </c>
    </row>
    <row r="58" spans="1:38" x14ac:dyDescent="0.2">
      <c r="A58">
        <v>70</v>
      </c>
      <c r="B58">
        <v>786</v>
      </c>
      <c r="C58">
        <v>150</v>
      </c>
      <c r="D58">
        <v>0.45347731671623798</v>
      </c>
      <c r="E58">
        <v>2.4214317354895298</v>
      </c>
      <c r="F58">
        <v>2.5725216974961098</v>
      </c>
      <c r="G58">
        <v>-39.53873393582041</v>
      </c>
      <c r="H58">
        <v>-34.051747084168746</v>
      </c>
      <c r="I58">
        <v>5.1805569104014104</v>
      </c>
      <c r="J58">
        <v>2.9423374192339802</v>
      </c>
      <c r="K58">
        <v>0.941267759897362</v>
      </c>
      <c r="L58">
        <v>3.055583549345931E-5</v>
      </c>
      <c r="M58">
        <v>1.8053469893809128E-6</v>
      </c>
      <c r="N58" s="1">
        <v>-1.34583757555057E-8</v>
      </c>
      <c r="O58" s="1">
        <v>8.41184331014019E-12</v>
      </c>
      <c r="P58" s="1">
        <v>5.9552423177102096E-11</v>
      </c>
      <c r="Q58">
        <v>64.853825307657601</v>
      </c>
      <c r="S58">
        <v>21.7692128452566</v>
      </c>
      <c r="AA58">
        <v>2.8270699692930301</v>
      </c>
      <c r="AB58">
        <v>9.2590168962136392</v>
      </c>
      <c r="AC58">
        <v>1.2908749815790399</v>
      </c>
      <c r="AJ58">
        <v>0.79336548929042405</v>
      </c>
      <c r="AK58">
        <v>0.133861527402835</v>
      </c>
      <c r="AL58">
        <v>7.2772983306739494E-2</v>
      </c>
    </row>
    <row r="59" spans="1:38" x14ac:dyDescent="0.2">
      <c r="A59">
        <v>71</v>
      </c>
      <c r="B59">
        <v>784</v>
      </c>
      <c r="C59">
        <v>150</v>
      </c>
      <c r="D59">
        <v>0.45231093033155201</v>
      </c>
      <c r="E59">
        <v>3.2078011108185698</v>
      </c>
      <c r="F59">
        <v>2.57181285689119</v>
      </c>
      <c r="G59">
        <v>-52.358605716816378</v>
      </c>
      <c r="H59">
        <v>-45.110152054166186</v>
      </c>
      <c r="I59">
        <v>6.85659902818918</v>
      </c>
      <c r="J59">
        <v>3.89886363417342</v>
      </c>
      <c r="K59">
        <v>1.24729180905338</v>
      </c>
      <c r="L59">
        <v>3.0626535749198241E-5</v>
      </c>
      <c r="M59">
        <v>1.807529732137006E-6</v>
      </c>
      <c r="N59" s="1">
        <v>-1.90586584336393E-8</v>
      </c>
      <c r="O59" s="1">
        <v>1.11518710317905E-11</v>
      </c>
      <c r="P59" s="1">
        <v>8.2492375127653794E-11</v>
      </c>
      <c r="Q59">
        <v>64.941986106886205</v>
      </c>
      <c r="S59">
        <v>21.7016095044536</v>
      </c>
      <c r="AA59">
        <v>2.75072540366302</v>
      </c>
      <c r="AB59">
        <v>9.2782475633523909</v>
      </c>
      <c r="AC59">
        <v>1.3274314216446901</v>
      </c>
      <c r="AJ59">
        <v>0.79493875621694599</v>
      </c>
      <c r="AK59">
        <v>0.13023440893721799</v>
      </c>
      <c r="AL59">
        <v>7.4826834845834203E-2</v>
      </c>
    </row>
    <row r="60" spans="1:38" x14ac:dyDescent="0.2">
      <c r="A60">
        <v>72</v>
      </c>
      <c r="B60">
        <v>782</v>
      </c>
      <c r="C60">
        <v>150</v>
      </c>
      <c r="D60">
        <v>0.451140122257502</v>
      </c>
      <c r="E60">
        <v>3.9937465559820802</v>
      </c>
      <c r="F60">
        <v>2.5711306354954999</v>
      </c>
      <c r="G60">
        <v>-65.161510166134065</v>
      </c>
      <c r="H60">
        <v>-56.162647229069393</v>
      </c>
      <c r="I60">
        <v>8.5285153173147492</v>
      </c>
      <c r="J60">
        <v>4.8554214990293803</v>
      </c>
      <c r="K60">
        <v>1.5533036325913501</v>
      </c>
      <c r="L60">
        <v>3.0696647087516381E-5</v>
      </c>
      <c r="M60">
        <v>1.8096142984930793E-6</v>
      </c>
      <c r="N60" s="1">
        <v>-2.5339464645216302E-8</v>
      </c>
      <c r="O60" s="1">
        <v>1.38929079305037E-11</v>
      </c>
      <c r="P60" s="1">
        <v>1.07416464734375E-10</v>
      </c>
      <c r="Q60">
        <v>65.025965967296401</v>
      </c>
      <c r="S60">
        <v>21.636736132247702</v>
      </c>
      <c r="AA60">
        <v>2.67760865499445</v>
      </c>
      <c r="AB60">
        <v>9.2953182001048393</v>
      </c>
      <c r="AC60">
        <v>1.3643710453564699</v>
      </c>
      <c r="AJ60">
        <v>0.79633515450174397</v>
      </c>
      <c r="AK60">
        <v>0.12676212777214299</v>
      </c>
      <c r="AL60">
        <v>7.6902717726111E-2</v>
      </c>
    </row>
    <row r="61" spans="1:38" x14ac:dyDescent="0.2">
      <c r="A61">
        <v>73</v>
      </c>
      <c r="B61">
        <v>780</v>
      </c>
      <c r="C61">
        <v>150</v>
      </c>
      <c r="D61">
        <v>0.44996486730285301</v>
      </c>
      <c r="E61">
        <v>4.7781397990499102</v>
      </c>
      <c r="F61">
        <v>2.5704747934914298</v>
      </c>
      <c r="G61">
        <v>-77.92906155175838</v>
      </c>
      <c r="H61">
        <v>-67.193413764905088</v>
      </c>
      <c r="I61">
        <v>10.193844928883101</v>
      </c>
      <c r="J61">
        <v>5.8106821835962998</v>
      </c>
      <c r="K61">
        <v>1.8588549520689299</v>
      </c>
      <c r="L61">
        <v>3.0766333456190899E-5</v>
      </c>
      <c r="M61">
        <v>1.8116035132576273E-6</v>
      </c>
      <c r="N61" s="1">
        <v>-3.2346601711782498E-8</v>
      </c>
      <c r="O61" s="1">
        <v>1.66300681978974E-11</v>
      </c>
      <c r="P61" s="1">
        <v>1.34445824475532E-10</v>
      </c>
      <c r="Q61">
        <v>65.105852718494006</v>
      </c>
      <c r="S61">
        <v>21.574544347899799</v>
      </c>
      <c r="AA61">
        <v>2.6076593148443701</v>
      </c>
      <c r="AB61">
        <v>9.3102976936404804</v>
      </c>
      <c r="AC61">
        <v>1.4016459251212601</v>
      </c>
      <c r="AJ61">
        <v>0.79756040256871896</v>
      </c>
      <c r="AK61">
        <v>0.123441632823867</v>
      </c>
      <c r="AL61">
        <v>7.8997964607413498E-2</v>
      </c>
    </row>
    <row r="62" spans="1:38" x14ac:dyDescent="0.2">
      <c r="A62">
        <v>74</v>
      </c>
      <c r="B62">
        <v>778</v>
      </c>
      <c r="C62">
        <v>150</v>
      </c>
      <c r="D62">
        <v>0.44878514008467002</v>
      </c>
      <c r="E62">
        <v>5.5598928784114996</v>
      </c>
      <c r="F62">
        <v>2.5698449639122898</v>
      </c>
      <c r="G62">
        <v>-90.643566798580068</v>
      </c>
      <c r="H62">
        <v>-78.187203318599643</v>
      </c>
      <c r="I62">
        <v>11.8502244969608</v>
      </c>
      <c r="J62">
        <v>6.7633698623677798</v>
      </c>
      <c r="K62">
        <v>2.1635129575860401</v>
      </c>
      <c r="L62">
        <v>3.0835775358125773E-5</v>
      </c>
      <c r="M62">
        <v>1.8135006104040423E-6</v>
      </c>
      <c r="N62" s="1">
        <v>-4.0129033935146101E-8</v>
      </c>
      <c r="O62" s="1">
        <v>1.9358578597033399E-11</v>
      </c>
      <c r="P62" s="1">
        <v>1.6371057334132099E-10</v>
      </c>
      <c r="Q62">
        <v>65.181751056052093</v>
      </c>
      <c r="S62">
        <v>21.514974026356501</v>
      </c>
      <c r="AA62">
        <v>2.5408033501474598</v>
      </c>
      <c r="AB62">
        <v>9.3232617267865407</v>
      </c>
      <c r="AC62">
        <v>1.4392098406573199</v>
      </c>
      <c r="AJ62">
        <v>0.79862076012347505</v>
      </c>
      <c r="AK62">
        <v>0.12026923902561799</v>
      </c>
      <c r="AL62">
        <v>8.1110000850906194E-2</v>
      </c>
    </row>
    <row r="63" spans="1:38" x14ac:dyDescent="0.2">
      <c r="A63">
        <v>75</v>
      </c>
      <c r="B63">
        <v>776</v>
      </c>
      <c r="C63">
        <v>150</v>
      </c>
      <c r="D63">
        <v>0.447600915026452</v>
      </c>
      <c r="E63">
        <v>6.3379713852660302</v>
      </c>
      <c r="F63">
        <v>2.5692406662114</v>
      </c>
      <c r="G63">
        <v>-103.28823916336727</v>
      </c>
      <c r="H63">
        <v>-89.129523170305191</v>
      </c>
      <c r="I63">
        <v>13.4954162827642</v>
      </c>
      <c r="J63">
        <v>7.7122781880162101</v>
      </c>
      <c r="K63">
        <v>2.4668655874157399</v>
      </c>
      <c r="L63">
        <v>3.0905168824712988E-5</v>
      </c>
      <c r="M63">
        <v>1.81530916881269E-6</v>
      </c>
      <c r="N63" s="1">
        <v>-4.87393140588116E-8</v>
      </c>
      <c r="O63" s="1">
        <v>2.20738284999936E-11</v>
      </c>
      <c r="P63" s="1">
        <v>1.95351129751955E-10</v>
      </c>
      <c r="Q63">
        <v>65.253779957477803</v>
      </c>
      <c r="S63">
        <v>21.457954926845101</v>
      </c>
      <c r="AA63">
        <v>2.4769550497721302</v>
      </c>
      <c r="AB63">
        <v>9.3342912892207099</v>
      </c>
      <c r="AC63">
        <v>1.4770187766840901</v>
      </c>
      <c r="AJ63">
        <v>0.79952290735653397</v>
      </c>
      <c r="AK63">
        <v>0.117240720177802</v>
      </c>
      <c r="AL63">
        <v>8.3236372465663303E-2</v>
      </c>
    </row>
    <row r="64" spans="1:38" x14ac:dyDescent="0.2">
      <c r="A64">
        <v>76</v>
      </c>
      <c r="B64">
        <v>774</v>
      </c>
      <c r="C64">
        <v>150</v>
      </c>
      <c r="D64">
        <v>0.44641216635630598</v>
      </c>
      <c r="E64">
        <v>7.3051134652778602</v>
      </c>
      <c r="F64">
        <v>2.5684922206096199</v>
      </c>
      <c r="G64">
        <v>-118.99752689315982</v>
      </c>
      <c r="H64">
        <v>-102.72521772016101</v>
      </c>
      <c r="I64">
        <v>15.539616266054299</v>
      </c>
      <c r="J64">
        <v>8.8919022978493505</v>
      </c>
      <c r="K64">
        <v>2.8441252056990902</v>
      </c>
      <c r="L64">
        <v>3.0976088431050388E-5</v>
      </c>
      <c r="M64">
        <v>1.8172374625435318E-6</v>
      </c>
      <c r="N64" s="1">
        <v>-5.9794730467669205E-8</v>
      </c>
      <c r="O64" s="1">
        <v>2.5454061685638799E-11</v>
      </c>
      <c r="P64" s="1">
        <v>2.3568937401706598E-10</v>
      </c>
      <c r="Q64">
        <v>65.333397769755805</v>
      </c>
      <c r="S64">
        <v>21.3925376236615</v>
      </c>
      <c r="AA64">
        <v>2.4044073767762102</v>
      </c>
      <c r="AB64">
        <v>9.3402153498201397</v>
      </c>
      <c r="AC64">
        <v>1.5294418799862199</v>
      </c>
      <c r="AJ64">
        <v>0.80000807320153</v>
      </c>
      <c r="AK64">
        <v>0.11380368429260999</v>
      </c>
      <c r="AL64">
        <v>8.6188242505858603E-2</v>
      </c>
    </row>
    <row r="65" spans="1:38" x14ac:dyDescent="0.2">
      <c r="A65">
        <v>77</v>
      </c>
      <c r="B65">
        <v>772</v>
      </c>
      <c r="C65">
        <v>150</v>
      </c>
      <c r="D65">
        <v>0.44521886810505501</v>
      </c>
      <c r="E65">
        <v>9.6561092103034802</v>
      </c>
      <c r="F65">
        <v>2.5665396303253498</v>
      </c>
      <c r="G65">
        <v>-157.16966772325878</v>
      </c>
      <c r="H65">
        <v>-135.72093992064447</v>
      </c>
      <c r="I65">
        <v>20.522152612174601</v>
      </c>
      <c r="J65">
        <v>11.7552601446335</v>
      </c>
      <c r="K65">
        <v>3.7623066857063798</v>
      </c>
      <c r="L65">
        <v>3.1048159026743154E-5</v>
      </c>
      <c r="M65">
        <v>1.8203131762667805E-6</v>
      </c>
      <c r="N65" s="1">
        <v>-8.3720447466138395E-8</v>
      </c>
      <c r="O65" s="1">
        <v>3.3732377366445301E-11</v>
      </c>
      <c r="P65" s="1">
        <v>3.25071254006549E-10</v>
      </c>
      <c r="Q65">
        <v>65.483119593234207</v>
      </c>
      <c r="S65">
        <v>21.254261627270498</v>
      </c>
      <c r="AA65">
        <v>2.2553927232403899</v>
      </c>
      <c r="AB65">
        <v>9.3113539040331705</v>
      </c>
      <c r="AC65">
        <v>1.69587215222167</v>
      </c>
      <c r="AJ65">
        <v>0.79765272378557805</v>
      </c>
      <c r="AK65">
        <v>0.10676624881119701</v>
      </c>
      <c r="AL65">
        <v>9.5581027403223703E-2</v>
      </c>
    </row>
    <row r="66" spans="1:38" x14ac:dyDescent="0.2">
      <c r="A66">
        <v>78</v>
      </c>
      <c r="B66">
        <v>770</v>
      </c>
      <c r="C66">
        <v>150</v>
      </c>
      <c r="D66">
        <v>0.44402099410439499</v>
      </c>
      <c r="E66">
        <v>12.1153359943123</v>
      </c>
      <c r="F66">
        <v>2.5644648515668198</v>
      </c>
      <c r="G66">
        <v>-197.02323149567292</v>
      </c>
      <c r="H66">
        <v>-170.1892211648665</v>
      </c>
      <c r="I66">
        <v>25.7240189146397</v>
      </c>
      <c r="J66">
        <v>14.749778385287501</v>
      </c>
      <c r="K66">
        <v>4.7243135295499101</v>
      </c>
      <c r="L66">
        <v>3.1102891240601903E-5</v>
      </c>
      <c r="M66">
        <v>1.8229586628887655E-6</v>
      </c>
      <c r="N66" s="1">
        <v>-1.1088833373741901E-7</v>
      </c>
      <c r="O66" s="1">
        <v>4.2435664809865902E-11</v>
      </c>
      <c r="P66" s="1">
        <v>4.2470927306976401E-10</v>
      </c>
      <c r="Q66">
        <v>65.621430991974194</v>
      </c>
      <c r="S66">
        <v>21.1165618832683</v>
      </c>
      <c r="AA66">
        <v>2.1095159504479701</v>
      </c>
      <c r="AB66">
        <v>9.2585756590747597</v>
      </c>
      <c r="AC66">
        <v>1.8939155152346201</v>
      </c>
      <c r="AJ66">
        <v>0.79334161616165799</v>
      </c>
      <c r="AK66">
        <v>9.9887158881158802E-2</v>
      </c>
      <c r="AL66">
        <v>0.106771224957182</v>
      </c>
    </row>
    <row r="67" spans="1:38" x14ac:dyDescent="0.2">
      <c r="A67">
        <v>79</v>
      </c>
      <c r="B67">
        <v>768</v>
      </c>
      <c r="C67">
        <v>150</v>
      </c>
      <c r="D67">
        <v>0.442818517984921</v>
      </c>
      <c r="E67">
        <v>14.7536536351094</v>
      </c>
      <c r="F67">
        <v>2.5621696815328301</v>
      </c>
      <c r="G67">
        <v>-239.68317637569535</v>
      </c>
      <c r="H67">
        <v>-207.10196877586398</v>
      </c>
      <c r="I67">
        <v>31.293480862345799</v>
      </c>
      <c r="J67">
        <v>17.960021940965198</v>
      </c>
      <c r="K67">
        <v>5.7582656376930501</v>
      </c>
      <c r="L67">
        <v>3.1134830485671352E-5</v>
      </c>
      <c r="M67">
        <v>1.825129406451601E-6</v>
      </c>
      <c r="N67" s="1">
        <v>-1.41925017957885E-7</v>
      </c>
      <c r="O67" s="1">
        <v>5.1827020399989701E-11</v>
      </c>
      <c r="P67" s="1">
        <v>5.3697505927032698E-10</v>
      </c>
      <c r="Q67">
        <v>65.749434840491602</v>
      </c>
      <c r="S67">
        <v>20.975402966124001</v>
      </c>
      <c r="AA67">
        <v>1.9631904503253801</v>
      </c>
      <c r="AB67">
        <v>9.1737589189985904</v>
      </c>
      <c r="AC67">
        <v>2.13821282406029</v>
      </c>
      <c r="AJ67">
        <v>0.78640722233886595</v>
      </c>
      <c r="AK67">
        <v>9.2997953920125498E-2</v>
      </c>
      <c r="AL67">
        <v>0.12059482374100799</v>
      </c>
    </row>
    <row r="68" spans="1:38" x14ac:dyDescent="0.2">
      <c r="A68">
        <v>80</v>
      </c>
      <c r="B68">
        <v>766</v>
      </c>
      <c r="C68">
        <v>150</v>
      </c>
      <c r="D68">
        <v>0.44161141317423203</v>
      </c>
      <c r="E68">
        <v>17.724152353369998</v>
      </c>
      <c r="F68">
        <v>2.5594649932905602</v>
      </c>
      <c r="G68">
        <v>-287.58210307603508</v>
      </c>
      <c r="H68">
        <v>-248.56078943892436</v>
      </c>
      <c r="I68">
        <v>37.551184753991897</v>
      </c>
      <c r="J68">
        <v>21.5688124785794</v>
      </c>
      <c r="K68">
        <v>6.9249442363277298</v>
      </c>
      <c r="L68">
        <v>3.1132739929440784E-5</v>
      </c>
      <c r="M68">
        <v>1.8267204032687193E-6</v>
      </c>
      <c r="N68" s="1">
        <v>-1.78014387229799E-7</v>
      </c>
      <c r="O68" s="1">
        <v>6.2479323222014194E-11</v>
      </c>
      <c r="P68" s="1">
        <v>6.6651556914614302E-10</v>
      </c>
      <c r="Q68">
        <v>65.868633377075497</v>
      </c>
      <c r="S68">
        <v>20.823236436734501</v>
      </c>
      <c r="AA68">
        <v>1.80983815655494</v>
      </c>
      <c r="AB68">
        <v>9.0404621268124803</v>
      </c>
      <c r="AC68">
        <v>2.4578299028224899</v>
      </c>
      <c r="AJ68">
        <v>0.77549606099763402</v>
      </c>
      <c r="AK68">
        <v>8.5790558588961494E-2</v>
      </c>
      <c r="AL68">
        <v>0.138713380413403</v>
      </c>
    </row>
    <row r="69" spans="1:38" x14ac:dyDescent="0.2">
      <c r="A69">
        <v>81</v>
      </c>
      <c r="B69">
        <v>764</v>
      </c>
      <c r="C69">
        <v>150</v>
      </c>
      <c r="D69">
        <v>0.44039965289495597</v>
      </c>
      <c r="E69">
        <v>21.183417267434699</v>
      </c>
      <c r="F69">
        <v>2.5564389024629901</v>
      </c>
      <c r="G69">
        <v>-343.19564651062205</v>
      </c>
      <c r="H69">
        <v>-296.70958207878482</v>
      </c>
      <c r="I69">
        <v>44.820965561237202</v>
      </c>
      <c r="J69">
        <v>25.761410569255599</v>
      </c>
      <c r="K69">
        <v>8.2862990572650208</v>
      </c>
      <c r="L69">
        <v>3.1080598606285506E-5</v>
      </c>
      <c r="M69">
        <v>1.8272611164086075E-6</v>
      </c>
      <c r="N69" s="1">
        <v>-2.2019300302152401E-7</v>
      </c>
      <c r="O69" s="1">
        <v>7.4967812400301305E-11</v>
      </c>
      <c r="P69" s="1">
        <v>8.1756301063703804E-10</v>
      </c>
      <c r="Q69">
        <v>65.960884834649903</v>
      </c>
      <c r="S69">
        <v>20.670023949201401</v>
      </c>
      <c r="AA69">
        <v>1.6619106691029499</v>
      </c>
      <c r="AB69">
        <v>8.8443730986411904</v>
      </c>
      <c r="AC69">
        <v>2.8628074484044799</v>
      </c>
      <c r="AJ69">
        <v>0.75941729317234796</v>
      </c>
      <c r="AK69">
        <v>7.8855482566784804E-2</v>
      </c>
      <c r="AL69">
        <v>0.161727224260866</v>
      </c>
    </row>
    <row r="70" spans="1:38" x14ac:dyDescent="0.2">
      <c r="A70">
        <v>82</v>
      </c>
      <c r="B70">
        <v>762</v>
      </c>
      <c r="C70">
        <v>150</v>
      </c>
      <c r="D70">
        <v>0.439183210162781</v>
      </c>
      <c r="E70">
        <v>26.036394093751401</v>
      </c>
      <c r="F70">
        <v>2.5605582301488998</v>
      </c>
      <c r="G70">
        <v>-422.08858073797148</v>
      </c>
      <c r="H70">
        <v>-365.13696727337776</v>
      </c>
      <c r="I70">
        <v>55.017739906867298</v>
      </c>
      <c r="J70">
        <v>31.684626601526599</v>
      </c>
      <c r="K70">
        <v>10.1682491681656</v>
      </c>
      <c r="L70">
        <v>3.1076851994823113E-5</v>
      </c>
      <c r="M70">
        <v>1.8223622941069857E-6</v>
      </c>
      <c r="N70" s="1">
        <v>-2.8902258853993898E-7</v>
      </c>
      <c r="O70" s="1">
        <v>9.1367095987811501E-11</v>
      </c>
      <c r="P70" s="1">
        <v>1.0586527831937101E-9</v>
      </c>
      <c r="Q70">
        <v>65.679650761502003</v>
      </c>
      <c r="S70">
        <v>20.9213886789782</v>
      </c>
      <c r="AA70">
        <v>1.9349112711908301</v>
      </c>
      <c r="AB70">
        <v>8.8766433645541305</v>
      </c>
      <c r="AC70">
        <v>2.58740592377467</v>
      </c>
      <c r="AJ70">
        <v>0.76206146036481104</v>
      </c>
      <c r="AK70">
        <v>9.1793741458314398E-2</v>
      </c>
      <c r="AL70">
        <v>0.14614479817687401</v>
      </c>
    </row>
    <row r="71" spans="1:38" x14ac:dyDescent="0.2">
      <c r="A71">
        <v>83</v>
      </c>
      <c r="B71">
        <v>760</v>
      </c>
      <c r="C71">
        <v>150</v>
      </c>
      <c r="D71">
        <v>0.43796205778444602</v>
      </c>
      <c r="E71">
        <v>27.055112097951699</v>
      </c>
      <c r="F71">
        <v>2.5615190726644999</v>
      </c>
      <c r="G71">
        <v>-438.58079883490296</v>
      </c>
      <c r="H71">
        <v>-379.58262591846824</v>
      </c>
      <c r="I71">
        <v>57.105137604834397</v>
      </c>
      <c r="J71">
        <v>32.943566214381498</v>
      </c>
      <c r="K71">
        <v>10.562135721210501</v>
      </c>
      <c r="L71">
        <v>3.1132587796682461E-5</v>
      </c>
      <c r="M71">
        <v>1.8218017625739128E-6</v>
      </c>
      <c r="N71" s="1">
        <v>-3.2010261847314999E-7</v>
      </c>
      <c r="O71" s="1">
        <v>9.4643906277914102E-11</v>
      </c>
      <c r="P71" s="1">
        <v>1.1573867962520499E-9</v>
      </c>
      <c r="Q71">
        <v>65.628468971753094</v>
      </c>
      <c r="S71">
        <v>20.970546912029999</v>
      </c>
      <c r="AA71">
        <v>1.9874098877366</v>
      </c>
      <c r="AB71">
        <v>8.8914621893080596</v>
      </c>
      <c r="AC71">
        <v>2.5221120391721299</v>
      </c>
      <c r="AJ71">
        <v>0.76327658749607197</v>
      </c>
      <c r="AK71">
        <v>9.4277268606060297E-2</v>
      </c>
      <c r="AL71">
        <v>0.142446143897866</v>
      </c>
    </row>
    <row r="72" spans="1:38" x14ac:dyDescent="0.2">
      <c r="A72">
        <v>85</v>
      </c>
      <c r="B72">
        <v>804</v>
      </c>
      <c r="C72">
        <v>125</v>
      </c>
      <c r="D72">
        <v>0.48931021677575198</v>
      </c>
      <c r="E72">
        <v>0.75209536401062105</v>
      </c>
      <c r="F72">
        <v>2.5716602686195502</v>
      </c>
      <c r="G72">
        <v>-12.320307635580233</v>
      </c>
      <c r="H72">
        <v>-10.570781463748849</v>
      </c>
      <c r="I72">
        <v>1.62421777081314</v>
      </c>
      <c r="J72">
        <v>0.91291854830465602</v>
      </c>
      <c r="K72">
        <v>0.29245517893167799</v>
      </c>
      <c r="L72">
        <v>3.02456961563203E-5</v>
      </c>
      <c r="M72">
        <v>1.8010329611959363E-6</v>
      </c>
      <c r="N72" s="1">
        <v>-2.19379861275575E-9</v>
      </c>
      <c r="O72" s="1">
        <v>2.6219203633911401E-12</v>
      </c>
      <c r="P72" s="1">
        <v>1.2620122143517899E-11</v>
      </c>
      <c r="Q72">
        <v>64.680889184014603</v>
      </c>
      <c r="S72">
        <v>21.902387570634399</v>
      </c>
      <c r="AA72">
        <v>2.9772927615936502</v>
      </c>
      <c r="AB72">
        <v>9.2227728736132804</v>
      </c>
      <c r="AC72">
        <v>1.2166576101439099</v>
      </c>
      <c r="AJ72">
        <v>0.79039944502284498</v>
      </c>
      <c r="AK72">
        <v>0.14099945857274401</v>
      </c>
      <c r="AL72">
        <v>6.8601096404409798E-2</v>
      </c>
    </row>
    <row r="73" spans="1:38" x14ac:dyDescent="0.2">
      <c r="A73">
        <v>86</v>
      </c>
      <c r="B73">
        <v>802</v>
      </c>
      <c r="C73">
        <v>125</v>
      </c>
      <c r="D73">
        <v>0.48823001441659297</v>
      </c>
      <c r="E73">
        <v>1.5060731124681901</v>
      </c>
      <c r="F73">
        <v>2.5709455928362801</v>
      </c>
      <c r="G73">
        <v>-24.661995496103881</v>
      </c>
      <c r="H73">
        <v>-21.168175750140975</v>
      </c>
      <c r="I73">
        <v>3.2496114458102601</v>
      </c>
      <c r="J73">
        <v>1.8283321666916701</v>
      </c>
      <c r="K73">
        <v>0.58580512814613495</v>
      </c>
      <c r="L73">
        <v>3.0304692463021365E-5</v>
      </c>
      <c r="M73">
        <v>1.8032689724734049E-6</v>
      </c>
      <c r="N73" s="1">
        <v>-4.7521455264933197E-9</v>
      </c>
      <c r="O73" s="1">
        <v>5.2562731888201803E-12</v>
      </c>
      <c r="P73" s="1">
        <v>2.6332784800351399E-11</v>
      </c>
      <c r="Q73">
        <v>64.772357010132197</v>
      </c>
      <c r="S73">
        <v>21.833235616364199</v>
      </c>
      <c r="AA73">
        <v>2.8988989244820398</v>
      </c>
      <c r="AB73">
        <v>9.2453131813204799</v>
      </c>
      <c r="AC73">
        <v>1.25019526770101</v>
      </c>
      <c r="AJ73">
        <v>0.79224390820131996</v>
      </c>
      <c r="AK73">
        <v>0.13727174188503399</v>
      </c>
      <c r="AL73">
        <v>7.0484349913645605E-2</v>
      </c>
    </row>
    <row r="74" spans="1:38" x14ac:dyDescent="0.2">
      <c r="A74">
        <v>87</v>
      </c>
      <c r="B74">
        <v>800</v>
      </c>
      <c r="C74">
        <v>125</v>
      </c>
      <c r="D74">
        <v>0.48714578577086598</v>
      </c>
      <c r="E74">
        <v>2.2610938667431801</v>
      </c>
      <c r="F74">
        <v>2.5702558225322898</v>
      </c>
      <c r="G74">
        <v>-37.011279775329761</v>
      </c>
      <c r="H74">
        <v>-31.780417877783645</v>
      </c>
      <c r="I74">
        <v>4.8743063854504198</v>
      </c>
      <c r="J74">
        <v>2.7452376519160002</v>
      </c>
      <c r="K74">
        <v>0.87971549248957104</v>
      </c>
      <c r="L74">
        <v>3.0362541346556823E-5</v>
      </c>
      <c r="M74">
        <v>1.8054104425057887E-6</v>
      </c>
      <c r="N74" s="1">
        <v>-7.6985628132440992E-9</v>
      </c>
      <c r="O74" s="1">
        <v>7.8994605689356395E-12</v>
      </c>
      <c r="P74" s="1">
        <v>4.1199359928479001E-11</v>
      </c>
      <c r="Q74">
        <v>64.859886679395103</v>
      </c>
      <c r="S74">
        <v>21.766648520889301</v>
      </c>
      <c r="AA74">
        <v>2.8235400372027302</v>
      </c>
      <c r="AB74">
        <v>9.2658016284192506</v>
      </c>
      <c r="AC74">
        <v>1.28412313409347</v>
      </c>
      <c r="AJ74">
        <v>0.79392018588514202</v>
      </c>
      <c r="AK74">
        <v>0.133689896408937</v>
      </c>
      <c r="AL74">
        <v>7.2389917705919404E-2</v>
      </c>
    </row>
    <row r="75" spans="1:38" x14ac:dyDescent="0.2">
      <c r="A75">
        <v>88</v>
      </c>
      <c r="B75">
        <v>798</v>
      </c>
      <c r="C75">
        <v>125</v>
      </c>
      <c r="D75">
        <v>0.48605750828548999</v>
      </c>
      <c r="E75">
        <v>3.0161593947087799</v>
      </c>
      <c r="F75">
        <v>2.5695909320536501</v>
      </c>
      <c r="G75">
        <v>-49.351805496652879</v>
      </c>
      <c r="H75">
        <v>-42.393514863012591</v>
      </c>
      <c r="I75">
        <v>6.4960935757272802</v>
      </c>
      <c r="J75">
        <v>3.66244112581749</v>
      </c>
      <c r="K75">
        <v>1.17378970990461</v>
      </c>
      <c r="L75">
        <v>3.0419337819321715E-5</v>
      </c>
      <c r="M75">
        <v>1.8074591089160756E-6</v>
      </c>
      <c r="N75" s="1">
        <v>-1.1057265449760399E-8</v>
      </c>
      <c r="O75" s="1">
        <v>1.05473029842052E-11</v>
      </c>
      <c r="P75" s="1">
        <v>5.7281707770133402E-11</v>
      </c>
      <c r="Q75">
        <v>64.943527890029401</v>
      </c>
      <c r="S75">
        <v>21.702602458711901</v>
      </c>
      <c r="AA75">
        <v>2.75118484707418</v>
      </c>
      <c r="AB75">
        <v>9.2842865031007094</v>
      </c>
      <c r="AC75">
        <v>1.3183983010838001</v>
      </c>
      <c r="AJ75">
        <v>0.79543232651108697</v>
      </c>
      <c r="AK75">
        <v>0.13025225899669399</v>
      </c>
      <c r="AL75">
        <v>7.4315414492217804E-2</v>
      </c>
    </row>
    <row r="76" spans="1:38" x14ac:dyDescent="0.2">
      <c r="A76">
        <v>89</v>
      </c>
      <c r="B76">
        <v>796</v>
      </c>
      <c r="C76">
        <v>125</v>
      </c>
      <c r="D76">
        <v>0.48496515923864703</v>
      </c>
      <c r="E76">
        <v>3.77028275995713</v>
      </c>
      <c r="F76">
        <v>2.56895077457109</v>
      </c>
      <c r="G76">
        <v>-61.667434105241249</v>
      </c>
      <c r="H76">
        <v>-52.993636389089062</v>
      </c>
      <c r="I76">
        <v>8.1127977516271805</v>
      </c>
      <c r="J76">
        <v>4.5787647927092197</v>
      </c>
      <c r="K76">
        <v>1.4676352685608001</v>
      </c>
      <c r="L76">
        <v>3.0475190025568979E-5</v>
      </c>
      <c r="M76">
        <v>1.8094171233072573E-6</v>
      </c>
      <c r="N76" s="1">
        <v>-1.4853729749314E-8</v>
      </c>
      <c r="O76" s="1">
        <v>1.3195637018114199E-11</v>
      </c>
      <c r="P76" s="1">
        <v>7.4645219978939803E-11</v>
      </c>
      <c r="Q76">
        <v>65.023347494721605</v>
      </c>
      <c r="S76">
        <v>21.6410619029879</v>
      </c>
      <c r="AA76">
        <v>2.6817884449260299</v>
      </c>
      <c r="AB76">
        <v>9.3008236447527803</v>
      </c>
      <c r="AC76">
        <v>1.3529785126115701</v>
      </c>
      <c r="AJ76">
        <v>0.79678498302317402</v>
      </c>
      <c r="AK76">
        <v>0.126956527808987</v>
      </c>
      <c r="AL76">
        <v>7.6258489167837798E-2</v>
      </c>
    </row>
    <row r="77" spans="1:38" x14ac:dyDescent="0.2">
      <c r="A77">
        <v>90</v>
      </c>
      <c r="B77">
        <v>794</v>
      </c>
      <c r="C77">
        <v>125</v>
      </c>
      <c r="D77">
        <v>0.48386871573818202</v>
      </c>
      <c r="E77">
        <v>4.5225013448172398</v>
      </c>
      <c r="F77">
        <v>2.5683350896629702</v>
      </c>
      <c r="G77">
        <v>-73.942455505520499</v>
      </c>
      <c r="H77">
        <v>-63.567296994934658</v>
      </c>
      <c r="I77">
        <v>9.7223056839111894</v>
      </c>
      <c r="J77">
        <v>5.4930629846503196</v>
      </c>
      <c r="K77">
        <v>1.76086888467917</v>
      </c>
      <c r="L77">
        <v>3.0530218389731755E-5</v>
      </c>
      <c r="M77">
        <v>1.8112870061610237E-6</v>
      </c>
      <c r="N77" s="1">
        <v>-1.91148673214092E-8</v>
      </c>
      <c r="O77" s="1">
        <v>1.5840365727464601E-11</v>
      </c>
      <c r="P77" s="1">
        <v>9.3359413231398896E-11</v>
      </c>
      <c r="Q77">
        <v>65.099427762215797</v>
      </c>
      <c r="S77">
        <v>21.581980676447099</v>
      </c>
      <c r="AA77">
        <v>2.6152935377505901</v>
      </c>
      <c r="AB77">
        <v>9.3154753251423301</v>
      </c>
      <c r="AC77">
        <v>1.38782269844411</v>
      </c>
      <c r="AJ77">
        <v>0.79798332178221298</v>
      </c>
      <c r="AK77">
        <v>0.123799823550633</v>
      </c>
      <c r="AL77">
        <v>7.8216854667153293E-2</v>
      </c>
    </row>
    <row r="78" spans="1:38" x14ac:dyDescent="0.2">
      <c r="A78">
        <v>91</v>
      </c>
      <c r="B78">
        <v>792</v>
      </c>
      <c r="C78">
        <v>125</v>
      </c>
      <c r="D78">
        <v>0.48276815471999501</v>
      </c>
      <c r="E78">
        <v>5.2718885066821004</v>
      </c>
      <c r="F78">
        <v>2.5677435130273101</v>
      </c>
      <c r="G78">
        <v>-86.161777161112184</v>
      </c>
      <c r="H78">
        <v>-74.10151902729568</v>
      </c>
      <c r="I78">
        <v>11.3225913099718</v>
      </c>
      <c r="J78">
        <v>6.4042365383369297</v>
      </c>
      <c r="K78">
        <v>2.0531211470053101</v>
      </c>
      <c r="L78">
        <v>3.0584554687816211E-5</v>
      </c>
      <c r="M78">
        <v>1.813071597338207E-6</v>
      </c>
      <c r="N78" s="1">
        <v>-2.3869224230232699E-8</v>
      </c>
      <c r="O78" s="1">
        <v>1.8477503795424499E-11</v>
      </c>
      <c r="P78" s="1">
        <v>1.13498584044704E-10</v>
      </c>
      <c r="Q78">
        <v>65.171864424968305</v>
      </c>
      <c r="S78">
        <v>21.5253031656842</v>
      </c>
      <c r="AA78">
        <v>2.5516319060592298</v>
      </c>
      <c r="AB78">
        <v>9.3283090811435407</v>
      </c>
      <c r="AC78">
        <v>1.42289142214465</v>
      </c>
      <c r="AJ78">
        <v>0.79903292772892298</v>
      </c>
      <c r="AK78">
        <v>0.120778759199461</v>
      </c>
      <c r="AL78">
        <v>8.0188313071615003E-2</v>
      </c>
    </row>
    <row r="79" spans="1:38" x14ac:dyDescent="0.2">
      <c r="A79">
        <v>92</v>
      </c>
      <c r="B79">
        <v>790</v>
      </c>
      <c r="C79">
        <v>125</v>
      </c>
      <c r="D79">
        <v>0.48166345294643498</v>
      </c>
      <c r="E79">
        <v>6.01756357435253</v>
      </c>
      <c r="F79">
        <v>2.5671755877266298</v>
      </c>
      <c r="G79">
        <v>-98.311085559271135</v>
      </c>
      <c r="H79">
        <v>-84.58397226927714</v>
      </c>
      <c r="I79">
        <v>12.9117370925965</v>
      </c>
      <c r="J79">
        <v>7.3112451472338797</v>
      </c>
      <c r="K79">
        <v>2.3440405101707</v>
      </c>
      <c r="L79">
        <v>3.0638341089930226E-5</v>
      </c>
      <c r="M79">
        <v>1.8147740042483946E-6</v>
      </c>
      <c r="N79" s="1">
        <v>-2.91472049039768E-8</v>
      </c>
      <c r="O79" s="1">
        <v>2.1103216264420301E-11</v>
      </c>
      <c r="P79" s="1">
        <v>1.3514252058830899E-10</v>
      </c>
      <c r="Q79">
        <v>65.2407645987861</v>
      </c>
      <c r="S79">
        <v>21.470965639481399</v>
      </c>
      <c r="AA79">
        <v>2.4907259769354502</v>
      </c>
      <c r="AB79">
        <v>9.3393965349159096</v>
      </c>
      <c r="AC79">
        <v>1.458147249881</v>
      </c>
      <c r="AJ79">
        <v>0.79993970869117703</v>
      </c>
      <c r="AK79">
        <v>0.117889514970434</v>
      </c>
      <c r="AL79">
        <v>8.2170776338388304E-2</v>
      </c>
    </row>
    <row r="80" spans="1:38" x14ac:dyDescent="0.2">
      <c r="A80">
        <v>93</v>
      </c>
      <c r="B80">
        <v>788</v>
      </c>
      <c r="C80">
        <v>125</v>
      </c>
      <c r="D80">
        <v>0.48055458700466802</v>
      </c>
      <c r="E80">
        <v>6.7587000041249299</v>
      </c>
      <c r="F80">
        <v>2.5666307764384499</v>
      </c>
      <c r="G80">
        <v>-110.37697720515487</v>
      </c>
      <c r="H80">
        <v>-95.003087745193284</v>
      </c>
      <c r="I80">
        <v>14.4879512415413</v>
      </c>
      <c r="J80">
        <v>8.2131174714523407</v>
      </c>
      <c r="K80">
        <v>2.6332965637946302</v>
      </c>
      <c r="L80">
        <v>3.069172922934515E-5</v>
      </c>
      <c r="M80">
        <v>1.8163975498318554E-6</v>
      </c>
      <c r="N80" s="1">
        <v>-3.49813203830241E-8</v>
      </c>
      <c r="O80" s="1">
        <v>2.3713850081753401E-11</v>
      </c>
      <c r="P80" s="1">
        <v>1.5837726822262801E-10</v>
      </c>
      <c r="Q80">
        <v>65.306244661463296</v>
      </c>
      <c r="S80">
        <v>21.418897615015801</v>
      </c>
      <c r="AA80">
        <v>2.4324904461614998</v>
      </c>
      <c r="AB80">
        <v>9.3488122482498905</v>
      </c>
      <c r="AC80">
        <v>1.49355502910934</v>
      </c>
      <c r="AJ80">
        <v>0.80070980260775904</v>
      </c>
      <c r="AK80">
        <v>0.115127915370543</v>
      </c>
      <c r="AL80">
        <v>8.4162282021697704E-2</v>
      </c>
    </row>
    <row r="81" spans="1:38" x14ac:dyDescent="0.2">
      <c r="A81">
        <v>94</v>
      </c>
      <c r="B81">
        <v>786</v>
      </c>
      <c r="C81">
        <v>125</v>
      </c>
      <c r="D81">
        <v>0.47944153330501299</v>
      </c>
      <c r="E81">
        <v>7.4945316222538603</v>
      </c>
      <c r="F81">
        <v>2.56610847419162</v>
      </c>
      <c r="G81">
        <v>-122.3470580618949</v>
      </c>
      <c r="H81">
        <v>-105.34814469721195</v>
      </c>
      <c r="I81">
        <v>16.049580668161202</v>
      </c>
      <c r="J81">
        <v>9.1089589187840208</v>
      </c>
      <c r="K81">
        <v>2.9205825465405502</v>
      </c>
      <c r="L81">
        <v>3.0744879341357029E-5</v>
      </c>
      <c r="M81">
        <v>1.8179457220932239E-6</v>
      </c>
      <c r="N81" s="1">
        <v>-4.1406460629496902E-8</v>
      </c>
      <c r="O81" s="1">
        <v>2.6305958108087701E-11</v>
      </c>
      <c r="P81" s="1">
        <v>1.83295946687475E-10</v>
      </c>
      <c r="Q81">
        <v>65.368428163656802</v>
      </c>
      <c r="S81">
        <v>21.369023221925101</v>
      </c>
      <c r="AA81">
        <v>2.3768338910548299</v>
      </c>
      <c r="AB81">
        <v>9.3566326431411806</v>
      </c>
      <c r="AC81">
        <v>1.5290820802219101</v>
      </c>
      <c r="AJ81">
        <v>0.801349490244325</v>
      </c>
      <c r="AK81">
        <v>0.11248950560434599</v>
      </c>
      <c r="AL81">
        <v>8.6161004151327797E-2</v>
      </c>
    </row>
    <row r="82" spans="1:38" x14ac:dyDescent="0.2">
      <c r="A82">
        <v>95</v>
      </c>
      <c r="B82">
        <v>784</v>
      </c>
      <c r="C82">
        <v>125</v>
      </c>
      <c r="D82">
        <v>0.47832426807926898</v>
      </c>
      <c r="E82">
        <v>8.2243569857492105</v>
      </c>
      <c r="F82">
        <v>2.5656080211052998</v>
      </c>
      <c r="G82">
        <v>-134.21001207017946</v>
      </c>
      <c r="H82">
        <v>-115.60933120232571</v>
      </c>
      <c r="I82">
        <v>17.5951197728361</v>
      </c>
      <c r="J82">
        <v>9.9979571391866404</v>
      </c>
      <c r="K82">
        <v>3.20561711613531</v>
      </c>
      <c r="L82">
        <v>3.0797959508574072E-5</v>
      </c>
      <c r="M82">
        <v>1.8194221266493498E-6</v>
      </c>
      <c r="N82" s="1">
        <v>-4.8460190948629698E-8</v>
      </c>
      <c r="O82" s="1">
        <v>2.8876315649842302E-11</v>
      </c>
      <c r="P82" s="1">
        <v>2.0999961861289399E-10</v>
      </c>
      <c r="Q82">
        <v>65.4274438349577</v>
      </c>
      <c r="S82">
        <v>21.321262520282701</v>
      </c>
      <c r="AA82">
        <v>2.32366032306718</v>
      </c>
      <c r="AB82">
        <v>9.3629350136706204</v>
      </c>
      <c r="AC82">
        <v>1.56469830802178</v>
      </c>
      <c r="AJ82">
        <v>0.80186511541027805</v>
      </c>
      <c r="AK82">
        <v>0.109969624946111</v>
      </c>
      <c r="AL82">
        <v>8.8165259643609703E-2</v>
      </c>
    </row>
    <row r="83" spans="1:38" x14ac:dyDescent="0.2">
      <c r="A83">
        <v>96</v>
      </c>
      <c r="B83">
        <v>782</v>
      </c>
      <c r="C83">
        <v>125</v>
      </c>
      <c r="D83">
        <v>0.47720276737904699</v>
      </c>
      <c r="E83">
        <v>10.187617306695801</v>
      </c>
      <c r="F83">
        <v>2.5640718922961598</v>
      </c>
      <c r="G83">
        <v>-166.13291528132422</v>
      </c>
      <c r="H83">
        <v>-143.15702024515826</v>
      </c>
      <c r="I83">
        <v>21.7750035882727</v>
      </c>
      <c r="J83">
        <v>12.385186040514</v>
      </c>
      <c r="K83">
        <v>3.9732182772662901</v>
      </c>
      <c r="L83">
        <v>3.0851667761478592E-5</v>
      </c>
      <c r="M83">
        <v>1.8218594842410394E-6</v>
      </c>
      <c r="N83" s="1">
        <v>-6.3700587403397304E-8</v>
      </c>
      <c r="O83" s="1">
        <v>3.5843887226716697E-11</v>
      </c>
      <c r="P83" s="1">
        <v>2.70811015923252E-10</v>
      </c>
      <c r="Q83">
        <v>65.545762962580895</v>
      </c>
      <c r="S83">
        <v>21.211290850434398</v>
      </c>
      <c r="AA83">
        <v>2.2053244185177898</v>
      </c>
      <c r="AB83">
        <v>9.33829781576123</v>
      </c>
      <c r="AC83">
        <v>1.6993239527055499</v>
      </c>
      <c r="AJ83">
        <v>0.79985484804819196</v>
      </c>
      <c r="AK83">
        <v>0.10438227013061301</v>
      </c>
      <c r="AL83">
        <v>9.5762881821193899E-2</v>
      </c>
    </row>
    <row r="84" spans="1:38" x14ac:dyDescent="0.2">
      <c r="A84">
        <v>97</v>
      </c>
      <c r="B84">
        <v>780</v>
      </c>
      <c r="C84">
        <v>125</v>
      </c>
      <c r="D84">
        <v>0.47607700707401701</v>
      </c>
      <c r="E84">
        <v>12.5306675348443</v>
      </c>
      <c r="F84">
        <v>2.5621914753728201</v>
      </c>
      <c r="G84">
        <v>-204.17086506842799</v>
      </c>
      <c r="H84">
        <v>-175.99145716330182</v>
      </c>
      <c r="I84">
        <v>26.757259559536699</v>
      </c>
      <c r="J84">
        <v>15.232653602735001</v>
      </c>
      <c r="K84">
        <v>4.8906054271455002</v>
      </c>
      <c r="L84">
        <v>3.0892015158312771E-5</v>
      </c>
      <c r="M84">
        <v>1.8241934692806864E-6</v>
      </c>
      <c r="N84" s="1">
        <v>-8.2793310310370903E-8</v>
      </c>
      <c r="O84" s="1">
        <v>4.4201320940219399E-11</v>
      </c>
      <c r="P84" s="1">
        <v>3.4596496176700702E-10</v>
      </c>
      <c r="Q84">
        <v>65.669454825254903</v>
      </c>
      <c r="S84">
        <v>21.086777058765499</v>
      </c>
      <c r="AA84">
        <v>2.0737374602927598</v>
      </c>
      <c r="AB84">
        <v>9.2875094068801101</v>
      </c>
      <c r="AC84">
        <v>1.8825212488066401</v>
      </c>
      <c r="AJ84">
        <v>0.79570727984910805</v>
      </c>
      <c r="AK84">
        <v>9.8179005355782195E-2</v>
      </c>
      <c r="AL84">
        <v>0.106113714795109</v>
      </c>
    </row>
    <row r="85" spans="1:38" x14ac:dyDescent="0.2">
      <c r="A85">
        <v>98</v>
      </c>
      <c r="B85">
        <v>778</v>
      </c>
      <c r="C85">
        <v>125</v>
      </c>
      <c r="D85">
        <v>0.47494696285021398</v>
      </c>
      <c r="E85">
        <v>15.0057477369698</v>
      </c>
      <c r="F85">
        <v>2.56014948166739</v>
      </c>
      <c r="G85">
        <v>-244.26811631229998</v>
      </c>
      <c r="H85">
        <v>-210.62126421342043</v>
      </c>
      <c r="I85">
        <v>32.009562953793001</v>
      </c>
      <c r="J85">
        <v>18.238182246826899</v>
      </c>
      <c r="K85">
        <v>5.86127796225274</v>
      </c>
      <c r="L85">
        <v>3.0913909727990571E-5</v>
      </c>
      <c r="M85">
        <v>1.8261102967243358E-6</v>
      </c>
      <c r="N85" s="1">
        <v>-1.04336358586532E-7</v>
      </c>
      <c r="O85" s="1">
        <v>5.3077076227363999E-11</v>
      </c>
      <c r="P85" s="1">
        <v>4.2928576583549401E-10</v>
      </c>
      <c r="Q85">
        <v>65.783162389825407</v>
      </c>
      <c r="S85">
        <v>20.960728355305999</v>
      </c>
      <c r="AA85">
        <v>1.94321388359267</v>
      </c>
      <c r="AB85">
        <v>9.2104475542011492</v>
      </c>
      <c r="AC85">
        <v>2.1024478170745899</v>
      </c>
      <c r="AJ85">
        <v>0.78940891929520995</v>
      </c>
      <c r="AK85">
        <v>9.2034930801425302E-2</v>
      </c>
      <c r="AL85">
        <v>0.11855614990336399</v>
      </c>
    </row>
    <row r="86" spans="1:38" x14ac:dyDescent="0.2">
      <c r="A86">
        <v>99</v>
      </c>
      <c r="B86">
        <v>776</v>
      </c>
      <c r="C86">
        <v>125</v>
      </c>
      <c r="D86">
        <v>0.47381261020826598</v>
      </c>
      <c r="E86">
        <v>17.7119279900854</v>
      </c>
      <c r="F86">
        <v>2.5578265763853301</v>
      </c>
      <c r="G86">
        <v>-288.00061310691706</v>
      </c>
      <c r="H86">
        <v>-248.40537339042049</v>
      </c>
      <c r="I86">
        <v>37.740303785442002</v>
      </c>
      <c r="J86">
        <v>21.519817440565099</v>
      </c>
      <c r="K86">
        <v>6.9246008128962098</v>
      </c>
      <c r="L86">
        <v>3.0910549208949065E-5</v>
      </c>
      <c r="M86">
        <v>1.8275435918852241E-6</v>
      </c>
      <c r="N86" s="1">
        <v>-1.2887876570937799E-7</v>
      </c>
      <c r="O86" s="1">
        <v>6.2843352921601802E-11</v>
      </c>
      <c r="P86" s="1">
        <v>5.23149833497344E-10</v>
      </c>
      <c r="Q86">
        <v>65.887780090651006</v>
      </c>
      <c r="S86">
        <v>20.828383691755501</v>
      </c>
      <c r="AA86">
        <v>1.80961707079047</v>
      </c>
      <c r="AB86">
        <v>9.0966237496362101</v>
      </c>
      <c r="AC86">
        <v>2.3775953971666701</v>
      </c>
      <c r="AJ86">
        <v>0.78009608858330903</v>
      </c>
      <c r="AK86">
        <v>8.5756163406412206E-2</v>
      </c>
      <c r="AL86">
        <v>0.13414774801027801</v>
      </c>
    </row>
    <row r="87" spans="1:38" x14ac:dyDescent="0.2">
      <c r="A87">
        <v>100</v>
      </c>
      <c r="B87">
        <v>774</v>
      </c>
      <c r="C87">
        <v>125</v>
      </c>
      <c r="D87">
        <v>0.47267392446163797</v>
      </c>
      <c r="E87">
        <v>20.866257545322899</v>
      </c>
      <c r="F87">
        <v>2.5549932451500101</v>
      </c>
      <c r="G87">
        <v>-338.82133617610066</v>
      </c>
      <c r="H87">
        <v>-292.3216271003854</v>
      </c>
      <c r="I87">
        <v>44.405967698720602</v>
      </c>
      <c r="J87">
        <v>25.336191679599199</v>
      </c>
      <c r="K87">
        <v>8.1668542900972607</v>
      </c>
      <c r="L87">
        <v>3.0867585645238476E-5</v>
      </c>
      <c r="M87">
        <v>1.8283327797510746E-6</v>
      </c>
      <c r="N87" s="1">
        <v>-1.57501003587391E-7</v>
      </c>
      <c r="O87" s="1">
        <v>7.4319591675687703E-11</v>
      </c>
      <c r="P87" s="1">
        <v>6.3241732144758595E-10</v>
      </c>
      <c r="Q87">
        <v>65.9839345766745</v>
      </c>
      <c r="S87">
        <v>20.6809579812194</v>
      </c>
      <c r="AA87">
        <v>1.6655530152820901</v>
      </c>
      <c r="AB87">
        <v>8.9244031993214801</v>
      </c>
      <c r="AC87">
        <v>2.7451512275024701</v>
      </c>
      <c r="AJ87">
        <v>0.76598427324294704</v>
      </c>
      <c r="AK87">
        <v>7.8996876744028693E-2</v>
      </c>
      <c r="AL87">
        <v>0.15501885001302401</v>
      </c>
    </row>
    <row r="88" spans="1:38" x14ac:dyDescent="0.2">
      <c r="A88">
        <v>101</v>
      </c>
      <c r="B88">
        <v>772</v>
      </c>
      <c r="C88">
        <v>125</v>
      </c>
      <c r="D88">
        <v>0.47153088073482102</v>
      </c>
      <c r="E88">
        <v>24.147689925222501</v>
      </c>
      <c r="F88">
        <v>2.5546916899554102</v>
      </c>
      <c r="G88">
        <v>-391.77959964254103</v>
      </c>
      <c r="H88">
        <v>-338.14591038253172</v>
      </c>
      <c r="I88">
        <v>51.316738516011398</v>
      </c>
      <c r="J88">
        <v>29.305762247194401</v>
      </c>
      <c r="K88">
        <v>9.4522912569711703</v>
      </c>
      <c r="L88">
        <v>3.0782474168859922E-5</v>
      </c>
      <c r="M88">
        <v>1.8257250214917754E-6</v>
      </c>
      <c r="N88" s="1">
        <v>-1.8943040353050701E-7</v>
      </c>
      <c r="O88" s="1">
        <v>8.5966353141371096E-11</v>
      </c>
      <c r="P88" s="1">
        <v>7.525277624957E-10</v>
      </c>
      <c r="Q88">
        <v>65.898203500323703</v>
      </c>
      <c r="S88">
        <v>20.694424348888798</v>
      </c>
      <c r="AA88">
        <v>1.6966670811414699</v>
      </c>
      <c r="AB88">
        <v>8.7686599259831901</v>
      </c>
      <c r="AC88">
        <v>2.9420451436627002</v>
      </c>
      <c r="AJ88">
        <v>0.75319911429244202</v>
      </c>
      <c r="AK88">
        <v>8.0534876583099005E-2</v>
      </c>
      <c r="AL88">
        <v>0.16626600912445799</v>
      </c>
    </row>
    <row r="89" spans="1:38" x14ac:dyDescent="0.2">
      <c r="A89">
        <v>102</v>
      </c>
      <c r="B89">
        <v>770</v>
      </c>
      <c r="C89">
        <v>125</v>
      </c>
      <c r="D89">
        <v>0.47038345396155901</v>
      </c>
      <c r="E89">
        <v>25.830764730637501</v>
      </c>
      <c r="F89">
        <v>2.5581593959429498</v>
      </c>
      <c r="G89">
        <v>-419.30384231951257</v>
      </c>
      <c r="H89">
        <v>-362.11138640691041</v>
      </c>
      <c r="I89">
        <v>54.826684477402097</v>
      </c>
      <c r="J89">
        <v>31.365818504355001</v>
      </c>
      <c r="K89">
        <v>10.097402363434799</v>
      </c>
      <c r="L89">
        <v>3.0783830440318128E-5</v>
      </c>
      <c r="M89">
        <v>1.8218901557822841E-6</v>
      </c>
      <c r="N89" s="1">
        <v>-2.16723802537328E-7</v>
      </c>
      <c r="O89" s="1">
        <v>9.13276353157357E-11</v>
      </c>
      <c r="P89" s="1">
        <v>8.4648525395692897E-10</v>
      </c>
      <c r="Q89">
        <v>65.671876968395395</v>
      </c>
      <c r="S89">
        <v>20.901179738295699</v>
      </c>
      <c r="AA89">
        <v>1.9200525965516</v>
      </c>
      <c r="AB89">
        <v>8.8063395180892901</v>
      </c>
      <c r="AC89">
        <v>2.7005511786679302</v>
      </c>
      <c r="AJ89">
        <v>0.75629034215546698</v>
      </c>
      <c r="AK89">
        <v>9.1120699555990198E-2</v>
      </c>
      <c r="AL89">
        <v>0.15258895828854199</v>
      </c>
    </row>
    <row r="90" spans="1:38" x14ac:dyDescent="0.2">
      <c r="A90">
        <v>103</v>
      </c>
      <c r="B90">
        <v>768</v>
      </c>
      <c r="C90">
        <v>125</v>
      </c>
      <c r="D90">
        <v>0.46923161888296799</v>
      </c>
      <c r="E90">
        <v>26.457296849323001</v>
      </c>
      <c r="F90">
        <v>2.55921732880164</v>
      </c>
      <c r="G90">
        <v>-429.46320747722348</v>
      </c>
      <c r="H90">
        <v>-371.06151372432976</v>
      </c>
      <c r="I90">
        <v>56.093448353161101</v>
      </c>
      <c r="J90">
        <v>32.140977957400203</v>
      </c>
      <c r="K90">
        <v>10.3380422411064</v>
      </c>
      <c r="L90">
        <v>3.0824739027130048E-5</v>
      </c>
      <c r="M90">
        <v>1.8211967312865531E-6</v>
      </c>
      <c r="N90" s="1">
        <v>-2.3675361538670499E-7</v>
      </c>
      <c r="O90" s="1">
        <v>9.3273742101635701E-11</v>
      </c>
      <c r="P90" s="1">
        <v>9.1012951085629895E-10</v>
      </c>
      <c r="Q90">
        <v>65.615154605515599</v>
      </c>
      <c r="S90">
        <v>20.956036275574199</v>
      </c>
      <c r="AA90">
        <v>1.97854518942602</v>
      </c>
      <c r="AB90">
        <v>8.8237503180554793</v>
      </c>
      <c r="AC90">
        <v>2.6265136114284999</v>
      </c>
      <c r="AJ90">
        <v>0.75771904809981205</v>
      </c>
      <c r="AK90">
        <v>9.3888361208450802E-2</v>
      </c>
      <c r="AL90">
        <v>0.14839259069173599</v>
      </c>
    </row>
    <row r="91" spans="1:38" x14ac:dyDescent="0.2">
      <c r="A91">
        <v>105</v>
      </c>
      <c r="B91">
        <v>822</v>
      </c>
      <c r="C91">
        <v>100</v>
      </c>
      <c r="D91">
        <v>0.52396521024517195</v>
      </c>
      <c r="E91">
        <v>0.46229424256757001</v>
      </c>
      <c r="F91">
        <v>2.5689551747623498</v>
      </c>
      <c r="G91">
        <v>-7.5954851204558427</v>
      </c>
      <c r="H91">
        <v>-6.4917539764722125</v>
      </c>
      <c r="I91">
        <v>1.0078355878040699</v>
      </c>
      <c r="J91">
        <v>0.56121293902960601</v>
      </c>
      <c r="K91">
        <v>0.179954188033014</v>
      </c>
      <c r="L91">
        <v>3.0123089243766741E-5</v>
      </c>
      <c r="M91">
        <v>1.8012924223126823E-6</v>
      </c>
      <c r="N91" s="1">
        <v>-5.9178187618750305E-10</v>
      </c>
      <c r="O91" s="1">
        <v>1.61929321452145E-12</v>
      </c>
      <c r="P91" s="1">
        <v>5.4857567215231902E-12</v>
      </c>
      <c r="Q91">
        <v>64.700322007749094</v>
      </c>
      <c r="S91">
        <v>21.8891022675332</v>
      </c>
      <c r="AA91">
        <v>2.96179786674979</v>
      </c>
      <c r="AB91">
        <v>9.2312487300720001</v>
      </c>
      <c r="AC91">
        <v>1.21752912789583</v>
      </c>
      <c r="AJ91">
        <v>0.79109283110844697</v>
      </c>
      <c r="AK91">
        <v>0.14025979582100001</v>
      </c>
      <c r="AL91">
        <v>6.8647373070551396E-2</v>
      </c>
    </row>
    <row r="92" spans="1:38" x14ac:dyDescent="0.2">
      <c r="A92">
        <v>106</v>
      </c>
      <c r="B92">
        <v>820</v>
      </c>
      <c r="C92">
        <v>100</v>
      </c>
      <c r="D92">
        <v>0.52296619860037497</v>
      </c>
      <c r="E92">
        <v>1.1907815238416499</v>
      </c>
      <c r="F92">
        <v>2.5682851981817798</v>
      </c>
      <c r="G92">
        <v>-19.557134188358837</v>
      </c>
      <c r="H92">
        <v>-16.721797183221589</v>
      </c>
      <c r="I92">
        <v>2.5937309656837999</v>
      </c>
      <c r="J92">
        <v>1.4456011363757799</v>
      </c>
      <c r="K92">
        <v>0.463648478247147</v>
      </c>
      <c r="L92">
        <v>3.0170528901194421E-5</v>
      </c>
      <c r="M92">
        <v>1.8033881027665233E-6</v>
      </c>
      <c r="N92" s="1">
        <v>-1.70823306786267E-9</v>
      </c>
      <c r="O92" s="1">
        <v>4.1760977861074498E-12</v>
      </c>
      <c r="P92" s="1">
        <v>1.4678362173103401E-11</v>
      </c>
      <c r="Q92">
        <v>64.786794737739996</v>
      </c>
      <c r="S92">
        <v>21.823747091238499</v>
      </c>
      <c r="AA92">
        <v>2.8877019477377699</v>
      </c>
      <c r="AB92">
        <v>9.25261148096528</v>
      </c>
      <c r="AC92">
        <v>1.24914474231827</v>
      </c>
      <c r="AJ92">
        <v>0.79284079667734497</v>
      </c>
      <c r="AK92">
        <v>0.136736613258197</v>
      </c>
      <c r="AL92">
        <v>7.0422590064457793E-2</v>
      </c>
    </row>
    <row r="93" spans="1:38" x14ac:dyDescent="0.2">
      <c r="A93">
        <v>107</v>
      </c>
      <c r="B93">
        <v>818</v>
      </c>
      <c r="C93">
        <v>100</v>
      </c>
      <c r="D93">
        <v>0.52196352472162699</v>
      </c>
      <c r="E93">
        <v>1.9195414970508</v>
      </c>
      <c r="F93">
        <v>2.5676385307362302</v>
      </c>
      <c r="G93">
        <v>-31.514225177907797</v>
      </c>
      <c r="H93">
        <v>-26.956042752932564</v>
      </c>
      <c r="I93">
        <v>4.1774113778813398</v>
      </c>
      <c r="J93">
        <v>2.3303540263687599</v>
      </c>
      <c r="K93">
        <v>0.74759023673803304</v>
      </c>
      <c r="L93">
        <v>3.0216632884250991E-5</v>
      </c>
      <c r="M93">
        <v>1.8053964942516345E-6</v>
      </c>
      <c r="N93" s="1">
        <v>-3.06240485858139E-9</v>
      </c>
      <c r="O93" s="1">
        <v>6.73963085777095E-12</v>
      </c>
      <c r="P93" s="1">
        <v>2.4581151942539001E-11</v>
      </c>
      <c r="Q93">
        <v>64.869652778646497</v>
      </c>
      <c r="S93">
        <v>21.760757150275602</v>
      </c>
      <c r="AA93">
        <v>2.8164008103743701</v>
      </c>
      <c r="AB93">
        <v>9.2721198629693191</v>
      </c>
      <c r="AC93">
        <v>1.2810693977340799</v>
      </c>
      <c r="AJ93">
        <v>0.79443677529507295</v>
      </c>
      <c r="AK93">
        <v>0.13334770745685401</v>
      </c>
      <c r="AL93">
        <v>7.2215517248071903E-2</v>
      </c>
    </row>
    <row r="94" spans="1:38" x14ac:dyDescent="0.2">
      <c r="A94">
        <v>108</v>
      </c>
      <c r="B94">
        <v>816</v>
      </c>
      <c r="C94">
        <v>100</v>
      </c>
      <c r="D94">
        <v>0.520957168434101</v>
      </c>
      <c r="E94">
        <v>2.6477126774491602</v>
      </c>
      <c r="F94">
        <v>2.56701509272194</v>
      </c>
      <c r="G94">
        <v>-43.452617458655048</v>
      </c>
      <c r="H94">
        <v>-37.182429833741395</v>
      </c>
      <c r="I94">
        <v>5.7569550795699804</v>
      </c>
      <c r="J94">
        <v>3.2144321791291599</v>
      </c>
      <c r="K94">
        <v>1.03143634992876</v>
      </c>
      <c r="L94">
        <v>3.0261472296603465E-5</v>
      </c>
      <c r="M94">
        <v>1.8073192481726463E-6</v>
      </c>
      <c r="N94" s="1">
        <v>-4.6678022921588496E-9</v>
      </c>
      <c r="O94" s="1">
        <v>9.3063190980315001E-12</v>
      </c>
      <c r="P94" s="1">
        <v>3.5226782771554197E-11</v>
      </c>
      <c r="Q94">
        <v>64.948947112099901</v>
      </c>
      <c r="S94">
        <v>21.700106538413099</v>
      </c>
      <c r="AA94">
        <v>2.74786118588686</v>
      </c>
      <c r="AB94">
        <v>9.2898195693627095</v>
      </c>
      <c r="AC94">
        <v>1.3132655942373801</v>
      </c>
      <c r="AJ94">
        <v>0.79588458900641201</v>
      </c>
      <c r="AK94">
        <v>0.13009134274463399</v>
      </c>
      <c r="AL94">
        <v>7.4024068248952996E-2</v>
      </c>
    </row>
    <row r="95" spans="1:38" x14ac:dyDescent="0.2">
      <c r="A95">
        <v>109</v>
      </c>
      <c r="B95">
        <v>814</v>
      </c>
      <c r="C95">
        <v>100</v>
      </c>
      <c r="D95">
        <v>0.51994710941452704</v>
      </c>
      <c r="E95">
        <v>3.3744469473085501</v>
      </c>
      <c r="F95">
        <v>2.5664147042196199</v>
      </c>
      <c r="G95">
        <v>-55.358416561249719</v>
      </c>
      <c r="H95">
        <v>-47.389087857666787</v>
      </c>
      <c r="I95">
        <v>7.3304775822866297</v>
      </c>
      <c r="J95">
        <v>4.09681414538169</v>
      </c>
      <c r="K95">
        <v>1.3148486648554401</v>
      </c>
      <c r="L95">
        <v>3.0305127574100832E-5</v>
      </c>
      <c r="M95">
        <v>1.8091583434786043E-6</v>
      </c>
      <c r="N95" s="1">
        <v>-6.5384813835988497E-9</v>
      </c>
      <c r="O95" s="1">
        <v>1.18726224051056E-11</v>
      </c>
      <c r="P95" s="1">
        <v>4.6649505235425897E-11</v>
      </c>
      <c r="Q95">
        <v>65.0247425322857</v>
      </c>
      <c r="S95">
        <v>21.641759862414201</v>
      </c>
      <c r="AA95">
        <v>2.6820387556549998</v>
      </c>
      <c r="AB95">
        <v>9.3057622025421693</v>
      </c>
      <c r="AC95">
        <v>1.3456966471028899</v>
      </c>
      <c r="AJ95">
        <v>0.79718853221033903</v>
      </c>
      <c r="AK95">
        <v>0.126965267387742</v>
      </c>
      <c r="AL95">
        <v>7.5846200401918501E-2</v>
      </c>
    </row>
    <row r="96" spans="1:38" x14ac:dyDescent="0.2">
      <c r="A96">
        <v>110</v>
      </c>
      <c r="B96">
        <v>812</v>
      </c>
      <c r="C96">
        <v>100</v>
      </c>
      <c r="D96">
        <v>0.51893332718978802</v>
      </c>
      <c r="E96">
        <v>4.0989195431452501</v>
      </c>
      <c r="F96">
        <v>2.56583709194277</v>
      </c>
      <c r="G96">
        <v>-67.218137059067047</v>
      </c>
      <c r="H96">
        <v>-57.56447607718944</v>
      </c>
      <c r="I96">
        <v>8.8961535104617706</v>
      </c>
      <c r="J96">
        <v>4.9765087234749101</v>
      </c>
      <c r="K96">
        <v>1.5974979689929101</v>
      </c>
      <c r="L96">
        <v>3.0347687690229292E-5</v>
      </c>
      <c r="M96">
        <v>1.8109160488799096E-6</v>
      </c>
      <c r="N96" s="1">
        <v>-8.6891246433481197E-9</v>
      </c>
      <c r="O96" s="1">
        <v>1.44350732103545E-11</v>
      </c>
      <c r="P96" s="1">
        <v>5.8885455743535201E-11</v>
      </c>
      <c r="Q96">
        <v>65.097116182908906</v>
      </c>
      <c r="S96">
        <v>21.585673138522498</v>
      </c>
      <c r="AA96">
        <v>2.6188792322005501</v>
      </c>
      <c r="AB96">
        <v>9.3200043639825001</v>
      </c>
      <c r="AC96">
        <v>1.3783270823853899</v>
      </c>
      <c r="AJ96">
        <v>0.79835329762391705</v>
      </c>
      <c r="AK96">
        <v>0.12396676548110599</v>
      </c>
      <c r="AL96">
        <v>7.7679936894975501E-2</v>
      </c>
    </row>
    <row r="97" spans="1:38" x14ac:dyDescent="0.2">
      <c r="A97">
        <v>111</v>
      </c>
      <c r="B97">
        <v>810</v>
      </c>
      <c r="C97">
        <v>100</v>
      </c>
      <c r="D97">
        <v>0.517915801135579</v>
      </c>
      <c r="E97">
        <v>4.8203379366659904</v>
      </c>
      <c r="F97">
        <v>2.5652818975503102</v>
      </c>
      <c r="G97">
        <v>-79.018846865669246</v>
      </c>
      <c r="H97">
        <v>-67.697507562334849</v>
      </c>
      <c r="I97">
        <v>10.4522358891514</v>
      </c>
      <c r="J97">
        <v>5.8525658664138804</v>
      </c>
      <c r="K97">
        <v>1.8790675368929599</v>
      </c>
      <c r="L97">
        <v>3.0389249308692793E-5</v>
      </c>
      <c r="M97">
        <v>1.8125948821955683E-6</v>
      </c>
      <c r="N97" s="1">
        <v>-1.11351286422724E-8</v>
      </c>
      <c r="O97" s="1">
        <v>1.6990311581481801E-11</v>
      </c>
      <c r="P97" s="1">
        <v>7.1972975005785097E-11</v>
      </c>
      <c r="Q97">
        <v>65.166155951991001</v>
      </c>
      <c r="S97">
        <v>21.5317947982311</v>
      </c>
      <c r="AA97">
        <v>2.55831956350884</v>
      </c>
      <c r="AB97">
        <v>9.3326067138812103</v>
      </c>
      <c r="AC97">
        <v>1.4111229723877801</v>
      </c>
      <c r="AJ97">
        <v>0.79938389992195702</v>
      </c>
      <c r="AK97">
        <v>0.121092714487595</v>
      </c>
      <c r="AL97">
        <v>7.9523385590447193E-2</v>
      </c>
    </row>
    <row r="98" spans="1:38" x14ac:dyDescent="0.2">
      <c r="A98">
        <v>112</v>
      </c>
      <c r="B98">
        <v>808</v>
      </c>
      <c r="C98">
        <v>100</v>
      </c>
      <c r="D98">
        <v>0.51689451047495805</v>
      </c>
      <c r="E98">
        <v>5.5379494128643296</v>
      </c>
      <c r="F98">
        <v>2.5647486870098302</v>
      </c>
      <c r="G98">
        <v>-90.748289801239181</v>
      </c>
      <c r="H98">
        <v>-77.777654923144539</v>
      </c>
      <c r="I98">
        <v>11.9970724488689</v>
      </c>
      <c r="J98">
        <v>6.7240859906599999</v>
      </c>
      <c r="K98">
        <v>2.1592561645175699</v>
      </c>
      <c r="L98">
        <v>3.0429915921529182E-5</v>
      </c>
      <c r="M98">
        <v>1.8141975684241939E-6</v>
      </c>
      <c r="N98" s="1">
        <v>-1.38927033240221E-8</v>
      </c>
      <c r="O98" s="1">
        <v>1.95351153142106E-11</v>
      </c>
      <c r="P98" s="1">
        <v>8.5952950331769498E-11</v>
      </c>
      <c r="Q98">
        <v>65.231958789731806</v>
      </c>
      <c r="S98">
        <v>21.480066760277602</v>
      </c>
      <c r="AA98">
        <v>2.50028920994006</v>
      </c>
      <c r="AB98">
        <v>9.3436330329808204</v>
      </c>
      <c r="AC98">
        <v>1.4440522070695301</v>
      </c>
      <c r="AJ98">
        <v>0.80028559967551205</v>
      </c>
      <c r="AK98">
        <v>0.118339646028472</v>
      </c>
      <c r="AL98">
        <v>8.1374754296014595E-2</v>
      </c>
    </row>
    <row r="99" spans="1:38" x14ac:dyDescent="0.2">
      <c r="A99">
        <v>113</v>
      </c>
      <c r="B99">
        <v>806</v>
      </c>
      <c r="C99">
        <v>100</v>
      </c>
      <c r="D99">
        <v>0.51586943427697896</v>
      </c>
      <c r="E99">
        <v>6.2510472373153503</v>
      </c>
      <c r="F99">
        <v>2.56423696065462</v>
      </c>
      <c r="G99">
        <v>-102.39498474390756</v>
      </c>
      <c r="H99">
        <v>-87.795036265246978</v>
      </c>
      <c r="I99">
        <v>13.5291187310944</v>
      </c>
      <c r="J99">
        <v>7.5902275572303504</v>
      </c>
      <c r="K99">
        <v>2.4377806471206598</v>
      </c>
      <c r="L99">
        <v>3.0469797009380218E-5</v>
      </c>
      <c r="M99">
        <v>1.8157269979892684E-6</v>
      </c>
      <c r="N99" s="1">
        <v>-1.6978982776710399E-8</v>
      </c>
      <c r="O99" s="1">
        <v>2.20664245399625E-11</v>
      </c>
      <c r="P99" s="1">
        <v>1.00869179815334E-10</v>
      </c>
      <c r="Q99">
        <v>65.294629008522506</v>
      </c>
      <c r="S99">
        <v>21.430425530876999</v>
      </c>
      <c r="AA99">
        <v>2.4447114486009802</v>
      </c>
      <c r="AB99">
        <v>9.3531493186390993</v>
      </c>
      <c r="AC99">
        <v>1.4770846933602799</v>
      </c>
      <c r="AJ99">
        <v>0.80106383017669003</v>
      </c>
      <c r="AK99">
        <v>0.11570380779812001</v>
      </c>
      <c r="AL99">
        <v>8.3232362025189299E-2</v>
      </c>
    </row>
    <row r="100" spans="1:38" x14ac:dyDescent="0.2">
      <c r="A100">
        <v>114</v>
      </c>
      <c r="B100">
        <v>804</v>
      </c>
      <c r="C100">
        <v>100</v>
      </c>
      <c r="D100">
        <v>0.514840551455232</v>
      </c>
      <c r="E100">
        <v>6.9589753758351804</v>
      </c>
      <c r="F100">
        <v>2.56374616347592</v>
      </c>
      <c r="G100">
        <v>-113.94830084529508</v>
      </c>
      <c r="H100">
        <v>-97.740480876038745</v>
      </c>
      <c r="I100">
        <v>15.0469479359943</v>
      </c>
      <c r="J100">
        <v>8.45021288258671</v>
      </c>
      <c r="K100">
        <v>2.71437768487977</v>
      </c>
      <c r="L100">
        <v>3.0509007251365031E-5</v>
      </c>
      <c r="M100">
        <v>1.8171861864092203E-6</v>
      </c>
      <c r="N100" s="1">
        <v>-2.0412147202048101E-8</v>
      </c>
      <c r="O100" s="1">
        <v>2.4581360660704799E-11</v>
      </c>
      <c r="P100" s="1">
        <v>1.1676875706317799E-10</v>
      </c>
      <c r="Q100">
        <v>65.3542766200747</v>
      </c>
      <c r="S100">
        <v>21.3828032921489</v>
      </c>
      <c r="AA100">
        <v>2.39150465931698</v>
      </c>
      <c r="AB100">
        <v>9.3612229326668501</v>
      </c>
      <c r="AC100">
        <v>1.51019249579245</v>
      </c>
      <c r="AJ100">
        <v>0.80172412854973396</v>
      </c>
      <c r="AK100">
        <v>0.11318122445262201</v>
      </c>
      <c r="AL100">
        <v>8.5094646997643297E-2</v>
      </c>
    </row>
    <row r="101" spans="1:38" x14ac:dyDescent="0.2">
      <c r="A101">
        <v>115</v>
      </c>
      <c r="B101">
        <v>802</v>
      </c>
      <c r="C101">
        <v>100</v>
      </c>
      <c r="D101">
        <v>0.51380784076640695</v>
      </c>
      <c r="E101">
        <v>7.6611317993330497</v>
      </c>
      <c r="F101">
        <v>2.5632756953963001</v>
      </c>
      <c r="G101">
        <v>-125.39850943398056</v>
      </c>
      <c r="H101">
        <v>-107.60557511789101</v>
      </c>
      <c r="I101">
        <v>16.549257606928801</v>
      </c>
      <c r="J101">
        <v>9.3033322223797708</v>
      </c>
      <c r="K101">
        <v>2.98880522804963</v>
      </c>
      <c r="L101">
        <v>3.0547665811768279E-5</v>
      </c>
      <c r="M101">
        <v>1.8185782364039503E-6</v>
      </c>
      <c r="N101" s="1">
        <v>-2.4211555983678101E-8</v>
      </c>
      <c r="O101" s="1">
        <v>2.7077239690848899E-11</v>
      </c>
      <c r="P101" s="1">
        <v>1.33702476141987E-10</v>
      </c>
      <c r="Q101">
        <v>65.411015751341097</v>
      </c>
      <c r="S101">
        <v>21.337128952373</v>
      </c>
      <c r="AA101">
        <v>2.3405835607266301</v>
      </c>
      <c r="AB101">
        <v>9.3679218246715408</v>
      </c>
      <c r="AC101">
        <v>1.5433499108876101</v>
      </c>
      <c r="AJ101">
        <v>0.80227207305888104</v>
      </c>
      <c r="AK101">
        <v>0.11076775599911901</v>
      </c>
      <c r="AL101">
        <v>8.6960170941998496E-2</v>
      </c>
    </row>
    <row r="102" spans="1:38" x14ac:dyDescent="0.2">
      <c r="A102">
        <v>116</v>
      </c>
      <c r="B102">
        <v>800</v>
      </c>
      <c r="C102">
        <v>100</v>
      </c>
      <c r="D102">
        <v>0.51277128080883805</v>
      </c>
      <c r="E102">
        <v>8.3569704509338703</v>
      </c>
      <c r="F102">
        <v>2.5628249211937701</v>
      </c>
      <c r="G102">
        <v>-136.73681394424179</v>
      </c>
      <c r="H102">
        <v>-117.38268961645437</v>
      </c>
      <c r="I102">
        <v>18.034873342764101</v>
      </c>
      <c r="J102">
        <v>10.148946224953701</v>
      </c>
      <c r="K102">
        <v>3.2608432912542198</v>
      </c>
      <c r="L102">
        <v>3.058589571940552E-5</v>
      </c>
      <c r="M102">
        <v>1.8199063031696116E-6</v>
      </c>
      <c r="N102" s="1">
        <v>-2.8397891877512901E-8</v>
      </c>
      <c r="O102" s="1">
        <v>2.9551580270249902E-11</v>
      </c>
      <c r="P102" s="1">
        <v>1.5172525709853701E-10</v>
      </c>
      <c r="Q102">
        <v>65.464963173285696</v>
      </c>
      <c r="S102">
        <v>21.2933291319037</v>
      </c>
      <c r="AA102">
        <v>2.2918603669628999</v>
      </c>
      <c r="AB102">
        <v>9.3733138382044707</v>
      </c>
      <c r="AC102">
        <v>1.5765334896431</v>
      </c>
      <c r="AJ102">
        <v>0.80271322718434202</v>
      </c>
      <c r="AK102">
        <v>0.108459152313105</v>
      </c>
      <c r="AL102">
        <v>8.8827620502552496E-2</v>
      </c>
    </row>
    <row r="103" spans="1:38" x14ac:dyDescent="0.2">
      <c r="A103">
        <v>117</v>
      </c>
      <c r="B103">
        <v>798</v>
      </c>
      <c r="C103">
        <v>100</v>
      </c>
      <c r="D103">
        <v>0.51173085002101004</v>
      </c>
      <c r="E103">
        <v>9.0460020076412295</v>
      </c>
      <c r="F103">
        <v>2.5623931798687201</v>
      </c>
      <c r="G103">
        <v>-147.95536010495573</v>
      </c>
      <c r="H103">
        <v>-127.06498960549968</v>
      </c>
      <c r="I103">
        <v>19.502749847786099</v>
      </c>
      <c r="J103">
        <v>10.986486918962701</v>
      </c>
      <c r="K103">
        <v>3.5302942884450901</v>
      </c>
      <c r="L103">
        <v>3.0623823353677807E-5</v>
      </c>
      <c r="M103">
        <v>1.8211735633570059E-6</v>
      </c>
      <c r="N103" s="1">
        <v>-3.2993316624797797E-8</v>
      </c>
      <c r="O103" s="1">
        <v>3.2002106825584897E-11</v>
      </c>
      <c r="P103" s="1">
        <v>1.70896593650135E-10</v>
      </c>
      <c r="Q103">
        <v>65.516236966703701</v>
      </c>
      <c r="S103">
        <v>21.251329067554199</v>
      </c>
      <c r="AA103">
        <v>2.24524584509189</v>
      </c>
      <c r="AB103">
        <v>9.3774661085725803</v>
      </c>
      <c r="AC103">
        <v>1.60972201207745</v>
      </c>
      <c r="AJ103">
        <v>0.80305309116971701</v>
      </c>
      <c r="AK103">
        <v>0.10625110286665</v>
      </c>
      <c r="AL103">
        <v>9.06958059636324E-2</v>
      </c>
    </row>
    <row r="104" spans="1:38" x14ac:dyDescent="0.2">
      <c r="A104">
        <v>118</v>
      </c>
      <c r="B104">
        <v>796</v>
      </c>
      <c r="C104">
        <v>100</v>
      </c>
      <c r="D104">
        <v>0.51068652668007097</v>
      </c>
      <c r="E104">
        <v>10.0306274013059</v>
      </c>
      <c r="F104">
        <v>2.56173213309311</v>
      </c>
      <c r="G104">
        <v>-163.98652059162831</v>
      </c>
      <c r="H104">
        <v>-140.88804271465341</v>
      </c>
      <c r="I104">
        <v>21.6045249749566</v>
      </c>
      <c r="J104">
        <v>12.182805383890599</v>
      </c>
      <c r="K104">
        <v>3.9155645009592202</v>
      </c>
      <c r="L104">
        <v>3.0661589867127457E-5</v>
      </c>
      <c r="M104">
        <v>1.8226152620253284E-6</v>
      </c>
      <c r="N104" s="1">
        <v>-3.9158500029859301E-8</v>
      </c>
      <c r="O104" s="1">
        <v>3.5513724356081201E-11</v>
      </c>
      <c r="P104" s="1">
        <v>1.97082934090722E-10</v>
      </c>
      <c r="Q104">
        <v>65.579224619485899</v>
      </c>
      <c r="S104">
        <v>21.196151880660899</v>
      </c>
      <c r="AA104">
        <v>2.1850267932553602</v>
      </c>
      <c r="AB104">
        <v>9.3731765465701802</v>
      </c>
      <c r="AC104">
        <v>1.66642016002747</v>
      </c>
      <c r="AJ104">
        <v>0.80270385267412903</v>
      </c>
      <c r="AK104">
        <v>0.10340370674784399</v>
      </c>
      <c r="AL104">
        <v>9.3892440578025899E-2</v>
      </c>
    </row>
    <row r="105" spans="1:38" x14ac:dyDescent="0.2">
      <c r="A105">
        <v>119</v>
      </c>
      <c r="B105">
        <v>794</v>
      </c>
      <c r="C105">
        <v>100</v>
      </c>
      <c r="D105">
        <v>0.50963828890034402</v>
      </c>
      <c r="E105">
        <v>12.2414794541149</v>
      </c>
      <c r="F105">
        <v>2.5600608877068698</v>
      </c>
      <c r="G105">
        <v>-199.9763743356217</v>
      </c>
      <c r="H105">
        <v>-171.86613885930407</v>
      </c>
      <c r="I105">
        <v>26.341409807728599</v>
      </c>
      <c r="J105">
        <v>14.865767480840701</v>
      </c>
      <c r="K105">
        <v>4.7817141822278897</v>
      </c>
      <c r="L105">
        <v>3.0691855579268377E-5</v>
      </c>
      <c r="M105">
        <v>1.8247443337174759E-6</v>
      </c>
      <c r="N105" s="1">
        <v>-5.0760773451335197E-8</v>
      </c>
      <c r="O105" s="1">
        <v>4.3448629239302898E-11</v>
      </c>
      <c r="P105" s="1">
        <v>2.4919172583257598E-10</v>
      </c>
      <c r="Q105">
        <v>65.691526119838898</v>
      </c>
      <c r="S105">
        <v>21.083966618831202</v>
      </c>
      <c r="AA105">
        <v>2.0662687837131002</v>
      </c>
      <c r="AB105">
        <v>9.3293261697750705</v>
      </c>
      <c r="AC105">
        <v>1.82891230784167</v>
      </c>
      <c r="AJ105">
        <v>0.79912432652029797</v>
      </c>
      <c r="AK105">
        <v>9.78051400575876E-2</v>
      </c>
      <c r="AL105">
        <v>0.103070533422113</v>
      </c>
    </row>
    <row r="106" spans="1:38" x14ac:dyDescent="0.2">
      <c r="A106">
        <v>120</v>
      </c>
      <c r="B106">
        <v>792</v>
      </c>
      <c r="C106">
        <v>100</v>
      </c>
      <c r="D106">
        <v>0.50858611463174297</v>
      </c>
      <c r="E106">
        <v>14.5336795921849</v>
      </c>
      <c r="F106">
        <v>2.55828960910668</v>
      </c>
      <c r="G106">
        <v>-237.22008674959741</v>
      </c>
      <c r="H106">
        <v>-203.94202453009706</v>
      </c>
      <c r="I106">
        <v>31.242606411773298</v>
      </c>
      <c r="J106">
        <v>17.645258508261101</v>
      </c>
      <c r="K106">
        <v>5.6810141980992803</v>
      </c>
      <c r="L106">
        <v>3.070801847241717E-5</v>
      </c>
      <c r="M106">
        <v>1.8265178204926094E-6</v>
      </c>
      <c r="N106" s="1">
        <v>-6.3742875177545306E-8</v>
      </c>
      <c r="O106" s="1">
        <v>5.1715651433479102E-11</v>
      </c>
      <c r="P106" s="1">
        <v>3.0597207428810202E-10</v>
      </c>
      <c r="Q106">
        <v>65.794273527484904</v>
      </c>
      <c r="S106">
        <v>20.9722440246634</v>
      </c>
      <c r="AA106">
        <v>1.95012179664964</v>
      </c>
      <c r="AB106">
        <v>9.2653979530791908</v>
      </c>
      <c r="AC106">
        <v>2.01796269812283</v>
      </c>
      <c r="AJ106">
        <v>0.79390204533772502</v>
      </c>
      <c r="AK106">
        <v>9.2336917094830107E-2</v>
      </c>
      <c r="AL106">
        <v>0.113761037567444</v>
      </c>
    </row>
    <row r="107" spans="1:38" x14ac:dyDescent="0.2">
      <c r="A107">
        <v>121</v>
      </c>
      <c r="B107">
        <v>790</v>
      </c>
      <c r="C107">
        <v>100</v>
      </c>
      <c r="D107">
        <v>0.507529981658283</v>
      </c>
      <c r="E107">
        <v>16.961524431168701</v>
      </c>
      <c r="F107">
        <v>2.5563525607559798</v>
      </c>
      <c r="G107">
        <v>-276.58269231843866</v>
      </c>
      <c r="H107">
        <v>-237.85958268857135</v>
      </c>
      <c r="I107">
        <v>36.422997347380203</v>
      </c>
      <c r="J107">
        <v>20.5858310115736</v>
      </c>
      <c r="K107">
        <v>6.6350489723345198</v>
      </c>
      <c r="L107">
        <v>3.0706647272518028E-5</v>
      </c>
      <c r="M107">
        <v>1.827903409120532E-6</v>
      </c>
      <c r="N107" s="1">
        <v>-7.8294797791336394E-8</v>
      </c>
      <c r="O107" s="1">
        <v>6.0518943971479794E-11</v>
      </c>
      <c r="P107" s="1">
        <v>3.68402026350197E-10</v>
      </c>
      <c r="Q107">
        <v>65.888072341523994</v>
      </c>
      <c r="S107">
        <v>20.858303240611701</v>
      </c>
      <c r="AA107">
        <v>1.8342328122026399</v>
      </c>
      <c r="AB107">
        <v>9.17571300217001</v>
      </c>
      <c r="AC107">
        <v>2.2436786034915301</v>
      </c>
      <c r="AJ107">
        <v>0.78656928055009201</v>
      </c>
      <c r="AK107">
        <v>8.6888521699354196E-2</v>
      </c>
      <c r="AL107">
        <v>0.126542197750553</v>
      </c>
    </row>
    <row r="108" spans="1:38" x14ac:dyDescent="0.2">
      <c r="A108">
        <v>122</v>
      </c>
      <c r="B108">
        <v>788</v>
      </c>
      <c r="C108">
        <v>100</v>
      </c>
      <c r="D108">
        <v>0.50646986759647905</v>
      </c>
      <c r="E108">
        <v>19.6252828189089</v>
      </c>
      <c r="F108">
        <v>2.5541428386361602</v>
      </c>
      <c r="G108">
        <v>-319.66189628260969</v>
      </c>
      <c r="H108">
        <v>-274.99307220727871</v>
      </c>
      <c r="I108">
        <v>42.0947312588521</v>
      </c>
      <c r="J108">
        <v>23.806757352446599</v>
      </c>
      <c r="K108">
        <v>7.6837060645317097</v>
      </c>
      <c r="L108">
        <v>3.0681514337854757E-5</v>
      </c>
      <c r="M108">
        <v>1.8288307339671892E-6</v>
      </c>
      <c r="N108" s="1">
        <v>-9.4731238741485197E-8</v>
      </c>
      <c r="O108" s="1">
        <v>7.0237927581402705E-11</v>
      </c>
      <c r="P108" s="1">
        <v>4.3818545038947402E-10</v>
      </c>
      <c r="Q108">
        <v>65.973314120852294</v>
      </c>
      <c r="S108">
        <v>20.737999282726701</v>
      </c>
      <c r="AA108">
        <v>1.71509081125697</v>
      </c>
      <c r="AB108">
        <v>9.0502772707442407</v>
      </c>
      <c r="AC108">
        <v>2.5233185144197501</v>
      </c>
      <c r="AJ108">
        <v>0.77630175168258797</v>
      </c>
      <c r="AK108">
        <v>8.1295515980946101E-2</v>
      </c>
      <c r="AL108">
        <v>0.142402732336465</v>
      </c>
    </row>
    <row r="109" spans="1:38" x14ac:dyDescent="0.2">
      <c r="A109">
        <v>123</v>
      </c>
      <c r="B109">
        <v>786</v>
      </c>
      <c r="C109">
        <v>100</v>
      </c>
      <c r="D109">
        <v>0.50540574989378495</v>
      </c>
      <c r="E109">
        <v>22.726733728824001</v>
      </c>
      <c r="F109">
        <v>2.5514758282608101</v>
      </c>
      <c r="G109">
        <v>-369.67166935642229</v>
      </c>
      <c r="H109">
        <v>-318.10762562139962</v>
      </c>
      <c r="I109">
        <v>48.684363626514298</v>
      </c>
      <c r="J109">
        <v>27.547983688264701</v>
      </c>
      <c r="K109">
        <v>8.9072894507158402</v>
      </c>
      <c r="L109">
        <v>3.0620551335890592E-5</v>
      </c>
      <c r="M109">
        <v>1.8291442563492179E-6</v>
      </c>
      <c r="N109" s="1">
        <v>-1.1362268152428201E-7</v>
      </c>
      <c r="O109" s="1">
        <v>8.1639051313326197E-11</v>
      </c>
      <c r="P109" s="1">
        <v>5.1857143329952695E-10</v>
      </c>
      <c r="Q109">
        <v>66.049531282167393</v>
      </c>
      <c r="S109">
        <v>20.604541215365401</v>
      </c>
      <c r="AA109">
        <v>1.5872023065451</v>
      </c>
      <c r="AB109">
        <v>8.8702454538141797</v>
      </c>
      <c r="AC109">
        <v>2.8884797421077901</v>
      </c>
      <c r="AJ109">
        <v>0.76154209717862398</v>
      </c>
      <c r="AK109">
        <v>7.5301105869860205E-2</v>
      </c>
      <c r="AL109">
        <v>0.163156796951514</v>
      </c>
    </row>
    <row r="110" spans="1:38" x14ac:dyDescent="0.2">
      <c r="A110">
        <v>124</v>
      </c>
      <c r="B110">
        <v>784</v>
      </c>
      <c r="C110">
        <v>100</v>
      </c>
      <c r="D110">
        <v>0.50433760582698905</v>
      </c>
      <c r="E110">
        <v>26.348327486064399</v>
      </c>
      <c r="F110">
        <v>2.5487342573041998</v>
      </c>
      <c r="G110">
        <v>-427.85251888171683</v>
      </c>
      <c r="H110">
        <v>-368.27953618410919</v>
      </c>
      <c r="I110">
        <v>56.352440710975401</v>
      </c>
      <c r="J110">
        <v>31.8980502392142</v>
      </c>
      <c r="K110">
        <v>10.337808820419299</v>
      </c>
      <c r="L110">
        <v>3.0475871835223049E-5</v>
      </c>
      <c r="M110">
        <v>1.8272659186259411E-6</v>
      </c>
      <c r="N110" s="1">
        <v>-1.3397542575299899E-7</v>
      </c>
      <c r="O110" s="1">
        <v>9.4998373996773802E-11</v>
      </c>
      <c r="P110" s="1">
        <v>6.0725825891093797E-10</v>
      </c>
      <c r="Q110">
        <v>66.052911981661296</v>
      </c>
      <c r="S110">
        <v>20.494296234569202</v>
      </c>
      <c r="AA110">
        <v>1.49546022856011</v>
      </c>
      <c r="AB110">
        <v>8.5887576113878996</v>
      </c>
      <c r="AC110">
        <v>3.36857394382137</v>
      </c>
      <c r="AJ110">
        <v>0.73840982594824001</v>
      </c>
      <c r="AK110">
        <v>7.10481507647754E-2</v>
      </c>
      <c r="AL110">
        <v>0.190542023286984</v>
      </c>
    </row>
    <row r="111" spans="1:38" x14ac:dyDescent="0.2">
      <c r="A111">
        <v>125</v>
      </c>
      <c r="B111">
        <v>782</v>
      </c>
      <c r="C111">
        <v>100</v>
      </c>
      <c r="D111">
        <v>0.50326541250059598</v>
      </c>
      <c r="E111">
        <v>25.0255015854713</v>
      </c>
      <c r="F111">
        <v>2.5540018754004499</v>
      </c>
      <c r="G111">
        <v>-406.80196005422431</v>
      </c>
      <c r="H111">
        <v>-350.38845966012116</v>
      </c>
      <c r="I111">
        <v>53.464910575845202</v>
      </c>
      <c r="J111">
        <v>30.319213986379498</v>
      </c>
      <c r="K111">
        <v>9.79854471780585</v>
      </c>
      <c r="L111">
        <v>3.0475675520196464E-5</v>
      </c>
      <c r="M111">
        <v>1.8222452601904807E-6</v>
      </c>
      <c r="N111" s="1">
        <v>-1.37974603540774E-7</v>
      </c>
      <c r="O111" s="1">
        <v>8.9395977169860602E-11</v>
      </c>
      <c r="P111" s="1">
        <v>6.0898483484089505E-10</v>
      </c>
      <c r="Q111">
        <v>65.740761075547297</v>
      </c>
      <c r="S111">
        <v>20.797914051964799</v>
      </c>
      <c r="AA111">
        <v>1.81878418327475</v>
      </c>
      <c r="AB111">
        <v>8.6891196352876197</v>
      </c>
      <c r="AC111">
        <v>2.9534210539253798</v>
      </c>
      <c r="AJ111">
        <v>0.74666021302015395</v>
      </c>
      <c r="AK111">
        <v>8.6365281356199503E-2</v>
      </c>
      <c r="AL111">
        <v>0.16697450562364499</v>
      </c>
    </row>
    <row r="112" spans="1:38" x14ac:dyDescent="0.2">
      <c r="A112">
        <v>126</v>
      </c>
      <c r="B112">
        <v>780</v>
      </c>
      <c r="C112">
        <v>100</v>
      </c>
      <c r="D112">
        <v>0.50218914684517901</v>
      </c>
      <c r="E112">
        <v>25.3990409161446</v>
      </c>
      <c r="F112">
        <v>2.5558922732071498</v>
      </c>
      <c r="G112">
        <v>-412.94629914595384</v>
      </c>
      <c r="H112">
        <v>-355.86311001161135</v>
      </c>
      <c r="I112">
        <v>54.202335027624102</v>
      </c>
      <c r="J112">
        <v>30.782907192366199</v>
      </c>
      <c r="K112">
        <v>9.9374457923743797</v>
      </c>
      <c r="L112">
        <v>3.0491967573451902E-5</v>
      </c>
      <c r="M112">
        <v>1.8205288231016565E-6</v>
      </c>
      <c r="N112" s="1">
        <v>-1.4999667159129701E-7</v>
      </c>
      <c r="O112" s="1">
        <v>9.0382555686877504E-11</v>
      </c>
      <c r="P112" s="1">
        <v>6.4754441616399898E-10</v>
      </c>
      <c r="Q112">
        <v>65.629191717782405</v>
      </c>
      <c r="S112">
        <v>20.903922122580799</v>
      </c>
      <c r="AA112">
        <v>1.9322751113523899</v>
      </c>
      <c r="AB112">
        <v>8.7184072427278707</v>
      </c>
      <c r="AC112">
        <v>2.8162038055563499</v>
      </c>
      <c r="AJ112">
        <v>0.749065955690004</v>
      </c>
      <c r="AK112">
        <v>9.1740828575878897E-2</v>
      </c>
      <c r="AL112">
        <v>0.15919321573411599</v>
      </c>
    </row>
    <row r="113" spans="1:38" x14ac:dyDescent="0.2">
      <c r="A113">
        <v>127</v>
      </c>
      <c r="B113">
        <v>778</v>
      </c>
      <c r="C113">
        <v>100</v>
      </c>
      <c r="D113">
        <v>0.501108785615755</v>
      </c>
      <c r="E113">
        <v>25.681520968352</v>
      </c>
      <c r="F113">
        <v>2.5567759617448602</v>
      </c>
      <c r="G113">
        <v>-417.51565271292731</v>
      </c>
      <c r="H113">
        <v>-359.96967315532623</v>
      </c>
      <c r="I113">
        <v>54.745735202017798</v>
      </c>
      <c r="J113">
        <v>31.135135914455301</v>
      </c>
      <c r="K113">
        <v>10.0444940630722</v>
      </c>
      <c r="L113">
        <v>3.0524903242733518E-5</v>
      </c>
      <c r="M113">
        <v>1.8201039279900251E-6</v>
      </c>
      <c r="N113" s="1">
        <v>-1.6213388522092101E-7</v>
      </c>
      <c r="O113" s="1">
        <v>9.1186523669319797E-11</v>
      </c>
      <c r="P113" s="1">
        <v>6.8552529303851203E-10</v>
      </c>
      <c r="Q113">
        <v>65.587545173308897</v>
      </c>
      <c r="S113">
        <v>20.946746521613999</v>
      </c>
      <c r="AA113">
        <v>1.97732333084967</v>
      </c>
      <c r="AB113">
        <v>8.7378698809842898</v>
      </c>
      <c r="AC113">
        <v>2.7505150932429898</v>
      </c>
      <c r="AJ113">
        <v>0.75066475145062705</v>
      </c>
      <c r="AK113">
        <v>9.38704568055172E-2</v>
      </c>
      <c r="AL113">
        <v>0.155464791743855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2EF94-5C80-4489-99AA-CA453563E0A4}">
  <sheetPr codeName="Sheet11"/>
  <dimension ref="A1:AL24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10</v>
      </c>
      <c r="B2">
        <v>734</v>
      </c>
      <c r="C2">
        <v>300</v>
      </c>
      <c r="D2">
        <v>0.25781710768008598</v>
      </c>
      <c r="E2">
        <v>25.743265629596198</v>
      </c>
      <c r="F2">
        <v>2.5272429937545402</v>
      </c>
      <c r="G2">
        <v>-404.55168126507738</v>
      </c>
      <c r="H2">
        <v>-351.59345660255286</v>
      </c>
      <c r="I2">
        <v>52.582261492850598</v>
      </c>
      <c r="J2">
        <v>30.749636801518601</v>
      </c>
      <c r="K2">
        <v>10.186304084416999</v>
      </c>
      <c r="L2">
        <v>2.9025802881630836E-5</v>
      </c>
      <c r="M2">
        <v>1.7923049234723258E-6</v>
      </c>
      <c r="N2" s="1">
        <v>-3.6164319634794001E-7</v>
      </c>
      <c r="O2" s="1">
        <v>9.6017452327717699E-11</v>
      </c>
      <c r="P2" s="1">
        <v>1.2457374545496599E-9</v>
      </c>
      <c r="Q2">
        <v>65.9949872661943</v>
      </c>
      <c r="S2">
        <v>18.9583494630016</v>
      </c>
      <c r="AA2">
        <v>0.241804355652498</v>
      </c>
      <c r="AB2">
        <v>4.4329913404018102</v>
      </c>
      <c r="AC2">
        <v>10.3718675747497</v>
      </c>
      <c r="AJ2">
        <v>0.38918177804000598</v>
      </c>
      <c r="AK2">
        <v>1.17308781805293E-2</v>
      </c>
      <c r="AL2">
        <v>0.59908734377946404</v>
      </c>
    </row>
    <row r="3" spans="1:38" x14ac:dyDescent="0.2">
      <c r="A3">
        <v>11</v>
      </c>
      <c r="B3">
        <v>732</v>
      </c>
      <c r="C3">
        <v>300</v>
      </c>
      <c r="D3">
        <v>0.256201064517732</v>
      </c>
      <c r="E3">
        <v>30.358749732711601</v>
      </c>
      <c r="F3">
        <v>2.5272552590381099</v>
      </c>
      <c r="G3">
        <v>-476.79487876757912</v>
      </c>
      <c r="H3">
        <v>-414.56583228639414</v>
      </c>
      <c r="I3">
        <v>61.910208905322499</v>
      </c>
      <c r="J3">
        <v>36.266961144314898</v>
      </c>
      <c r="K3">
        <v>12.0125379595673</v>
      </c>
      <c r="L3">
        <v>2.9028218885276732E-5</v>
      </c>
      <c r="M3">
        <v>1.7917919080968197E-6</v>
      </c>
      <c r="N3" s="1">
        <v>-4.4790148702714802E-7</v>
      </c>
      <c r="O3" s="1">
        <v>1.1312255462625299E-10</v>
      </c>
      <c r="P3" s="1">
        <v>1.5289893142199499E-9</v>
      </c>
      <c r="Q3">
        <v>65.971707372376002</v>
      </c>
      <c r="S3">
        <v>18.948472028353699</v>
      </c>
      <c r="AA3">
        <v>0.23908741589714799</v>
      </c>
      <c r="AB3">
        <v>4.3552183661622603</v>
      </c>
      <c r="AC3">
        <v>10.485514817210801</v>
      </c>
      <c r="AJ3">
        <v>0.38250513045386902</v>
      </c>
      <c r="AK3">
        <v>1.16036558072638E-2</v>
      </c>
      <c r="AL3">
        <v>0.60589121373886601</v>
      </c>
    </row>
    <row r="4" spans="1:38" x14ac:dyDescent="0.2">
      <c r="A4">
        <v>19</v>
      </c>
      <c r="B4">
        <v>738</v>
      </c>
      <c r="C4">
        <v>275</v>
      </c>
      <c r="D4">
        <v>0.28822677149780002</v>
      </c>
      <c r="E4">
        <v>23.7874991665491</v>
      </c>
      <c r="F4">
        <v>2.5263678331940298</v>
      </c>
      <c r="G4">
        <v>-374.76301122841068</v>
      </c>
      <c r="H4">
        <v>-325.42762930100179</v>
      </c>
      <c r="I4">
        <v>48.791358282558299</v>
      </c>
      <c r="J4">
        <v>28.434177286020599</v>
      </c>
      <c r="K4">
        <v>9.4156911175025009</v>
      </c>
      <c r="L4">
        <v>2.9127852794852605E-5</v>
      </c>
      <c r="M4">
        <v>1.7968157333234953E-6</v>
      </c>
      <c r="N4" s="1">
        <v>-3.07524798789878E-7</v>
      </c>
      <c r="O4" s="1">
        <v>8.8752754494925002E-11</v>
      </c>
      <c r="P4" s="1">
        <v>1.0769796592722699E-9</v>
      </c>
      <c r="Q4">
        <v>66.094886659878298</v>
      </c>
      <c r="S4">
        <v>18.993488678054799</v>
      </c>
      <c r="AA4">
        <v>0.247484410064258</v>
      </c>
      <c r="AB4">
        <v>4.7477338035067396</v>
      </c>
      <c r="AC4">
        <v>9.9164064484958008</v>
      </c>
      <c r="AJ4">
        <v>0.41614798880614101</v>
      </c>
      <c r="AK4">
        <v>1.19872641603461E-2</v>
      </c>
      <c r="AL4">
        <v>0.57186474703351198</v>
      </c>
    </row>
    <row r="5" spans="1:38" x14ac:dyDescent="0.2">
      <c r="A5">
        <v>20</v>
      </c>
      <c r="B5">
        <v>736</v>
      </c>
      <c r="C5">
        <v>275</v>
      </c>
      <c r="D5">
        <v>0.28667740177377199</v>
      </c>
      <c r="E5">
        <v>29.825371196895102</v>
      </c>
      <c r="F5">
        <v>2.52642555127753</v>
      </c>
      <c r="G5">
        <v>-469.75762757108623</v>
      </c>
      <c r="H5">
        <v>-408.09382622479603</v>
      </c>
      <c r="I5">
        <v>61.104693401664903</v>
      </c>
      <c r="J5">
        <v>35.675298364505601</v>
      </c>
      <c r="K5">
        <v>11.805363186662399</v>
      </c>
      <c r="L5">
        <v>2.9199338862134217E-5</v>
      </c>
      <c r="M5">
        <v>1.7972757266618819E-6</v>
      </c>
      <c r="N5" s="1">
        <v>-4.1354628367905902E-7</v>
      </c>
      <c r="O5" s="1">
        <v>1.1106627049602799E-10</v>
      </c>
      <c r="P5" s="1">
        <v>1.42974150536524E-9</v>
      </c>
      <c r="Q5">
        <v>66.101410484216004</v>
      </c>
      <c r="S5">
        <v>18.988067365909099</v>
      </c>
      <c r="AA5">
        <v>0.24148952681139099</v>
      </c>
      <c r="AB5">
        <v>4.7480591216411199</v>
      </c>
      <c r="AC5">
        <v>9.9209735014222993</v>
      </c>
      <c r="AJ5">
        <v>0.41617587128973899</v>
      </c>
      <c r="AK5">
        <v>1.16968755776277E-2</v>
      </c>
      <c r="AL5">
        <v>0.57212725313263202</v>
      </c>
    </row>
    <row r="6" spans="1:38" x14ac:dyDescent="0.2">
      <c r="A6">
        <v>27</v>
      </c>
      <c r="B6">
        <v>742</v>
      </c>
      <c r="C6">
        <v>250</v>
      </c>
      <c r="D6">
        <v>0.318396788651924</v>
      </c>
      <c r="E6">
        <v>23.7335563508882</v>
      </c>
      <c r="F6">
        <v>2.5253578449187</v>
      </c>
      <c r="G6">
        <v>-374.54980403489623</v>
      </c>
      <c r="H6">
        <v>-324.9785511002118</v>
      </c>
      <c r="I6">
        <v>48.831456370668803</v>
      </c>
      <c r="J6">
        <v>28.352628817318699</v>
      </c>
      <c r="K6">
        <v>9.3980963524210193</v>
      </c>
      <c r="L6">
        <v>2.9061596494657062E-5</v>
      </c>
      <c r="M6">
        <v>1.7988829181376881E-6</v>
      </c>
      <c r="N6" s="1">
        <v>-2.6799416417477003E-7</v>
      </c>
      <c r="O6" s="1">
        <v>8.8780043614018206E-11</v>
      </c>
      <c r="P6" s="1">
        <v>9.6419026379252806E-10</v>
      </c>
      <c r="Q6">
        <v>66.120124601810105</v>
      </c>
      <c r="S6">
        <v>19.017339104954999</v>
      </c>
      <c r="AA6">
        <v>0.26127232774069498</v>
      </c>
      <c r="AB6">
        <v>4.8665021987830297</v>
      </c>
      <c r="AC6">
        <v>9.7347617667111592</v>
      </c>
      <c r="AJ6">
        <v>0.426301236634612</v>
      </c>
      <c r="AK6">
        <v>1.2647476274697899E-2</v>
      </c>
      <c r="AL6">
        <v>0.56105128709068897</v>
      </c>
    </row>
    <row r="7" spans="1:38" x14ac:dyDescent="0.2">
      <c r="A7">
        <v>28</v>
      </c>
      <c r="B7">
        <v>740</v>
      </c>
      <c r="C7">
        <v>250</v>
      </c>
      <c r="D7">
        <v>0.31691309282929903</v>
      </c>
      <c r="E7">
        <v>30.049116655991199</v>
      </c>
      <c r="F7">
        <v>2.5253873241096398</v>
      </c>
      <c r="G7">
        <v>-474.05223872968702</v>
      </c>
      <c r="H7">
        <v>-411.49158168048683</v>
      </c>
      <c r="I7">
        <v>61.748662142032401</v>
      </c>
      <c r="J7">
        <v>35.913497423028097</v>
      </c>
      <c r="K7">
        <v>11.8988150328922</v>
      </c>
      <c r="L7">
        <v>2.910925729166485E-5</v>
      </c>
      <c r="M7">
        <v>1.7991034192936329E-6</v>
      </c>
      <c r="N7" s="1">
        <v>-3.6243129492702301E-7</v>
      </c>
      <c r="O7" s="1">
        <v>1.12240039630814E-10</v>
      </c>
      <c r="P7" s="1">
        <v>1.2865894090260199E-9</v>
      </c>
      <c r="Q7">
        <v>66.1204741344349</v>
      </c>
      <c r="S7">
        <v>19.010536349912901</v>
      </c>
      <c r="AA7">
        <v>0.25557842651673301</v>
      </c>
      <c r="AB7">
        <v>4.8494468067350098</v>
      </c>
      <c r="AC7">
        <v>9.7639642824003694</v>
      </c>
      <c r="AJ7">
        <v>0.42484399586329902</v>
      </c>
      <c r="AK7">
        <v>1.23729217797136E-2</v>
      </c>
      <c r="AL7">
        <v>0.56278308235698704</v>
      </c>
    </row>
    <row r="8" spans="1:38" x14ac:dyDescent="0.2">
      <c r="A8">
        <v>37</v>
      </c>
      <c r="B8">
        <v>746</v>
      </c>
      <c r="C8">
        <v>225</v>
      </c>
      <c r="D8">
        <v>0.34832998086640898</v>
      </c>
      <c r="E8">
        <v>25.300924977398399</v>
      </c>
      <c r="F8">
        <v>2.5243796996714498</v>
      </c>
      <c r="G8">
        <v>-399.96315079518462</v>
      </c>
      <c r="H8">
        <v>-346.74756487344803</v>
      </c>
      <c r="I8">
        <v>52.215656107282001</v>
      </c>
      <c r="J8">
        <v>30.211430862882501</v>
      </c>
      <c r="K8">
        <v>10.022630502333399</v>
      </c>
      <c r="L8">
        <v>2.9008177367670837E-5</v>
      </c>
      <c r="M8">
        <v>1.8009575099098859E-6</v>
      </c>
      <c r="N8" s="1">
        <v>-2.4931744684557601E-7</v>
      </c>
      <c r="O8" s="1">
        <v>9.48470683287276E-11</v>
      </c>
      <c r="P8" s="1">
        <v>9.2405918107935105E-10</v>
      </c>
      <c r="Q8">
        <v>66.1437003517741</v>
      </c>
      <c r="S8">
        <v>19.0420131806701</v>
      </c>
      <c r="AA8">
        <v>0.27612761389500601</v>
      </c>
      <c r="AB8">
        <v>4.9837257908326604</v>
      </c>
      <c r="AC8">
        <v>9.5544330628280001</v>
      </c>
      <c r="AJ8">
        <v>0.43631041952664401</v>
      </c>
      <c r="AK8">
        <v>1.3358634757579301E-2</v>
      </c>
      <c r="AL8">
        <v>0.55033094571577601</v>
      </c>
    </row>
    <row r="9" spans="1:38" x14ac:dyDescent="0.2">
      <c r="A9">
        <v>38</v>
      </c>
      <c r="B9">
        <v>744</v>
      </c>
      <c r="C9">
        <v>225</v>
      </c>
      <c r="D9">
        <v>0.34691097674876298</v>
      </c>
      <c r="E9">
        <v>30.5020962114064</v>
      </c>
      <c r="F9">
        <v>2.5243748918878999</v>
      </c>
      <c r="G9">
        <v>-481.98158760384649</v>
      </c>
      <c r="H9">
        <v>-418.03673347643496</v>
      </c>
      <c r="I9">
        <v>62.866690387269898</v>
      </c>
      <c r="J9">
        <v>36.431656849579298</v>
      </c>
      <c r="K9">
        <v>12.083029469761</v>
      </c>
      <c r="L9">
        <v>2.9035123203895408E-5</v>
      </c>
      <c r="M9">
        <v>1.800958687058916E-6</v>
      </c>
      <c r="N9" s="1">
        <v>-3.19775140499064E-7</v>
      </c>
      <c r="O9" s="1">
        <v>1.1422318001156899E-10</v>
      </c>
      <c r="P9" s="1">
        <v>1.16881539639665E-9</v>
      </c>
      <c r="Q9">
        <v>66.138460536142901</v>
      </c>
      <c r="S9">
        <v>19.033725993637098</v>
      </c>
      <c r="AA9">
        <v>0.27051323908346397</v>
      </c>
      <c r="AB9">
        <v>4.9503232044313599</v>
      </c>
      <c r="AC9">
        <v>9.60697702670506</v>
      </c>
      <c r="AJ9">
        <v>0.43345955198279501</v>
      </c>
      <c r="AK9">
        <v>1.3089237199717999E-2</v>
      </c>
      <c r="AL9">
        <v>0.55345121081748605</v>
      </c>
    </row>
    <row r="10" spans="1:38" x14ac:dyDescent="0.2">
      <c r="A10">
        <v>49</v>
      </c>
      <c r="B10">
        <v>752</v>
      </c>
      <c r="C10">
        <v>200</v>
      </c>
      <c r="D10">
        <v>0.37937911525142798</v>
      </c>
      <c r="E10">
        <v>2.0640239432722098</v>
      </c>
      <c r="F10">
        <v>2.5236105321362601</v>
      </c>
      <c r="G10">
        <v>-32.708315896188275</v>
      </c>
      <c r="H10">
        <v>-28.320858301315909</v>
      </c>
      <c r="I10">
        <v>4.27982011888247</v>
      </c>
      <c r="J10">
        <v>2.46456569372135</v>
      </c>
      <c r="K10">
        <v>0.81788529449708203</v>
      </c>
      <c r="L10">
        <v>2.9007371538024161E-5</v>
      </c>
      <c r="M10">
        <v>1.8039864129371709E-6</v>
      </c>
      <c r="N10" s="1">
        <v>-1.6997196932339398E-8</v>
      </c>
      <c r="O10" s="1">
        <v>7.7513087340249695E-12</v>
      </c>
      <c r="P10" s="1">
        <v>6.5830443443459201E-11</v>
      </c>
      <c r="Q10">
        <v>66.196966301799193</v>
      </c>
      <c r="S10">
        <v>19.082739096827201</v>
      </c>
      <c r="AA10">
        <v>0.29729803047851999</v>
      </c>
      <c r="AB10">
        <v>5.2091943883935796</v>
      </c>
      <c r="AC10">
        <v>9.2138021825013592</v>
      </c>
      <c r="AJ10">
        <v>0.4555288036663</v>
      </c>
      <c r="AK10">
        <v>1.4366404874912199E-2</v>
      </c>
      <c r="AL10">
        <v>0.53010479145878697</v>
      </c>
    </row>
    <row r="11" spans="1:38" x14ac:dyDescent="0.2">
      <c r="A11">
        <v>50</v>
      </c>
      <c r="B11">
        <v>750</v>
      </c>
      <c r="C11">
        <v>200</v>
      </c>
      <c r="D11">
        <v>0.37802912573913899</v>
      </c>
      <c r="E11">
        <v>28.169390764170299</v>
      </c>
      <c r="F11">
        <v>2.5234114114077402</v>
      </c>
      <c r="G11">
        <v>-446.04146112904408</v>
      </c>
      <c r="H11">
        <v>-386.38341854349716</v>
      </c>
      <c r="I11">
        <v>58.308207580068199</v>
      </c>
      <c r="J11">
        <v>33.6235932682495</v>
      </c>
      <c r="K11">
        <v>11.163217633408101</v>
      </c>
      <c r="L11">
        <v>2.8956944303547275E-5</v>
      </c>
      <c r="M11">
        <v>1.8028961348079603E-6</v>
      </c>
      <c r="N11" s="1">
        <v>-2.4138088850737798E-7</v>
      </c>
      <c r="O11" s="1">
        <v>1.05799861774317E-10</v>
      </c>
      <c r="P11" s="1">
        <v>9.2504878677444602E-10</v>
      </c>
      <c r="Q11">
        <v>66.161625299196203</v>
      </c>
      <c r="S11">
        <v>19.066632822421401</v>
      </c>
      <c r="AA11">
        <v>0.29225652899357002</v>
      </c>
      <c r="AB11">
        <v>5.0882141666882399</v>
      </c>
      <c r="AC11">
        <v>9.3912711827004909</v>
      </c>
      <c r="AJ11">
        <v>0.44522214796678</v>
      </c>
      <c r="AK11">
        <v>1.4131439064198999E-2</v>
      </c>
      <c r="AL11">
        <v>0.54064641296902005</v>
      </c>
    </row>
    <row r="12" spans="1:38" x14ac:dyDescent="0.2">
      <c r="A12">
        <v>51</v>
      </c>
      <c r="B12">
        <v>748</v>
      </c>
      <c r="C12">
        <v>200</v>
      </c>
      <c r="D12">
        <v>0.37667384811242399</v>
      </c>
      <c r="E12">
        <v>31.311919041632802</v>
      </c>
      <c r="F12">
        <v>2.52338446343086</v>
      </c>
      <c r="G12">
        <v>-495.57877258395331</v>
      </c>
      <c r="H12">
        <v>-429.48373330708642</v>
      </c>
      <c r="I12">
        <v>64.726082629258201</v>
      </c>
      <c r="J12">
        <v>37.380541840038099</v>
      </c>
      <c r="K12">
        <v>12.4086993065893</v>
      </c>
      <c r="L12">
        <v>2.8973174737374972E-5</v>
      </c>
      <c r="M12">
        <v>1.8028094506144996E-6</v>
      </c>
      <c r="N12" s="1">
        <v>-2.8503876274144899E-7</v>
      </c>
      <c r="O12" s="1">
        <v>1.17506446145865E-10</v>
      </c>
      <c r="P12" s="1">
        <v>1.0761211083079601E-9</v>
      </c>
      <c r="Q12">
        <v>66.154601491780994</v>
      </c>
      <c r="S12">
        <v>19.0575020663568</v>
      </c>
      <c r="AA12">
        <v>0.28636247118763802</v>
      </c>
      <c r="AB12">
        <v>5.0486245243625101</v>
      </c>
      <c r="AC12">
        <v>9.4529094463118994</v>
      </c>
      <c r="AJ12">
        <v>0.44184668846291503</v>
      </c>
      <c r="AK12">
        <v>1.38492234893409E-2</v>
      </c>
      <c r="AL12">
        <v>0.544304088047743</v>
      </c>
    </row>
    <row r="13" spans="1:38" x14ac:dyDescent="0.2">
      <c r="A13">
        <v>65</v>
      </c>
      <c r="B13">
        <v>756</v>
      </c>
      <c r="C13">
        <v>175</v>
      </c>
      <c r="D13">
        <v>0.40878443375601398</v>
      </c>
      <c r="E13">
        <v>25.054116370426701</v>
      </c>
      <c r="F13">
        <v>2.5225484811428198</v>
      </c>
      <c r="G13">
        <v>-397.5704761430768</v>
      </c>
      <c r="H13">
        <v>-343.96682479358759</v>
      </c>
      <c r="I13">
        <v>52.085363017528202</v>
      </c>
      <c r="J13">
        <v>29.8975236995276</v>
      </c>
      <c r="K13">
        <v>9.9320653528435194</v>
      </c>
      <c r="L13">
        <v>2.8918541589403289E-5</v>
      </c>
      <c r="M13">
        <v>1.8051241461571225E-6</v>
      </c>
      <c r="N13" s="1">
        <v>-1.7625128007518401E-7</v>
      </c>
      <c r="O13" s="1">
        <v>9.4285781468866902E-11</v>
      </c>
      <c r="P13" s="1">
        <v>7.1222672813824903E-10</v>
      </c>
      <c r="Q13">
        <v>66.189757413535204</v>
      </c>
      <c r="S13">
        <v>19.103138460848701</v>
      </c>
      <c r="AA13">
        <v>0.31580981019364501</v>
      </c>
      <c r="AB13">
        <v>5.2466093523030697</v>
      </c>
      <c r="AC13">
        <v>9.1446849631192197</v>
      </c>
      <c r="AJ13">
        <v>0.45871356709166</v>
      </c>
      <c r="AK13">
        <v>1.525805805815E-2</v>
      </c>
      <c r="AL13">
        <v>0.52602837485018905</v>
      </c>
    </row>
    <row r="14" spans="1:38" x14ac:dyDescent="0.2">
      <c r="A14">
        <v>66</v>
      </c>
      <c r="B14">
        <v>754</v>
      </c>
      <c r="C14">
        <v>175</v>
      </c>
      <c r="D14">
        <v>0.40749695760112897</v>
      </c>
      <c r="E14">
        <v>30.9417933455452</v>
      </c>
      <c r="F14">
        <v>2.52244362929879</v>
      </c>
      <c r="G14">
        <v>-490.71975095779942</v>
      </c>
      <c r="H14">
        <v>-424.74468528672105</v>
      </c>
      <c r="I14">
        <v>64.231188892643203</v>
      </c>
      <c r="J14">
        <v>36.920386125510198</v>
      </c>
      <c r="K14">
        <v>12.2665945776344</v>
      </c>
      <c r="L14">
        <v>2.8906779228192622E-5</v>
      </c>
      <c r="M14">
        <v>1.8046899647726618E-6</v>
      </c>
      <c r="N14" s="1">
        <v>-2.2965248982645701E-7</v>
      </c>
      <c r="O14" s="1">
        <v>1.16405308879696E-10</v>
      </c>
      <c r="P14" s="1">
        <v>9.1394474613416997E-10</v>
      </c>
      <c r="Q14">
        <v>66.173879420381894</v>
      </c>
      <c r="S14">
        <v>19.090981144810399</v>
      </c>
      <c r="AA14">
        <v>0.30948481261733102</v>
      </c>
      <c r="AB14">
        <v>5.1793541113514898</v>
      </c>
      <c r="AC14">
        <v>9.2463005108387808</v>
      </c>
      <c r="AJ14">
        <v>0.45298766417450997</v>
      </c>
      <c r="AK14">
        <v>1.495756513689E-2</v>
      </c>
      <c r="AL14">
        <v>0.53205477068859797</v>
      </c>
    </row>
    <row r="15" spans="1:38" x14ac:dyDescent="0.2">
      <c r="A15">
        <v>81</v>
      </c>
      <c r="B15">
        <v>764</v>
      </c>
      <c r="C15">
        <v>150</v>
      </c>
      <c r="D15">
        <v>0.44039965289495597</v>
      </c>
      <c r="E15">
        <v>1.05328036980491</v>
      </c>
      <c r="F15">
        <v>2.52240879138989</v>
      </c>
      <c r="G15">
        <v>-16.772464628380433</v>
      </c>
      <c r="H15">
        <v>-14.486469220574444</v>
      </c>
      <c r="I15">
        <v>2.2041126238306701</v>
      </c>
      <c r="J15">
        <v>1.2582651128024001</v>
      </c>
      <c r="K15">
        <v>0.41756925895605501</v>
      </c>
      <c r="L15">
        <v>2.904442089509644E-5</v>
      </c>
      <c r="M15">
        <v>1.8099185557047701E-6</v>
      </c>
      <c r="N15" s="1">
        <v>-6.02416903351793E-9</v>
      </c>
      <c r="O15" s="1">
        <v>3.9629405907971597E-12</v>
      </c>
      <c r="P15" s="1">
        <v>2.59606370535449E-11</v>
      </c>
      <c r="Q15">
        <v>66.287047160573096</v>
      </c>
      <c r="S15">
        <v>19.173639017886298</v>
      </c>
      <c r="AA15">
        <v>0.35127225918237298</v>
      </c>
      <c r="AB15">
        <v>5.6482407130808197</v>
      </c>
      <c r="AC15">
        <v>8.5398008492772899</v>
      </c>
      <c r="AJ15">
        <v>0.49282622851089603</v>
      </c>
      <c r="AK15">
        <v>1.69369521457488E-2</v>
      </c>
      <c r="AL15">
        <v>0.490236819343354</v>
      </c>
    </row>
    <row r="16" spans="1:38" x14ac:dyDescent="0.2">
      <c r="A16">
        <v>82</v>
      </c>
      <c r="B16">
        <v>762</v>
      </c>
      <c r="C16">
        <v>150</v>
      </c>
      <c r="D16">
        <v>0.439183210162781</v>
      </c>
      <c r="E16">
        <v>27.5427203986325</v>
      </c>
      <c r="F16">
        <v>2.52167341918847</v>
      </c>
      <c r="G16">
        <v>-437.94759947090751</v>
      </c>
      <c r="H16">
        <v>-378.43068463144328</v>
      </c>
      <c r="I16">
        <v>57.495932801491797</v>
      </c>
      <c r="J16">
        <v>32.859971052096299</v>
      </c>
      <c r="K16">
        <v>10.9223978763658</v>
      </c>
      <c r="L16">
        <v>2.8874873486411475E-5</v>
      </c>
      <c r="M16">
        <v>1.8069884232131483E-6</v>
      </c>
      <c r="N16" s="1">
        <v>-1.5742402425631101E-7</v>
      </c>
      <c r="O16" s="1">
        <v>1.03824629633035E-10</v>
      </c>
      <c r="P16" s="1">
        <v>6.7787217550660297E-10</v>
      </c>
      <c r="Q16">
        <v>66.204555589199302</v>
      </c>
      <c r="S16">
        <v>19.1387713159836</v>
      </c>
      <c r="AA16">
        <v>0.34175432854399401</v>
      </c>
      <c r="AB16">
        <v>5.3730024556474598</v>
      </c>
      <c r="AC16">
        <v>8.9419163106254498</v>
      </c>
      <c r="AJ16">
        <v>0.46946359628649698</v>
      </c>
      <c r="AK16">
        <v>1.6500978426452501E-2</v>
      </c>
      <c r="AL16">
        <v>0.51403542528704904</v>
      </c>
    </row>
    <row r="17" spans="1:38" x14ac:dyDescent="0.2">
      <c r="A17">
        <v>83</v>
      </c>
      <c r="B17">
        <v>760</v>
      </c>
      <c r="C17">
        <v>150</v>
      </c>
      <c r="D17">
        <v>0.43796205778444602</v>
      </c>
      <c r="E17">
        <v>31.7583972748197</v>
      </c>
      <c r="F17">
        <v>2.5215388307140598</v>
      </c>
      <c r="G17">
        <v>-504.68678482094646</v>
      </c>
      <c r="H17">
        <v>-436.29263407411401</v>
      </c>
      <c r="I17">
        <v>66.199632915677697</v>
      </c>
      <c r="J17">
        <v>37.883856506307097</v>
      </c>
      <c r="K17">
        <v>12.594847593850499</v>
      </c>
      <c r="L17">
        <v>2.8856878824801458E-5</v>
      </c>
      <c r="M17">
        <v>1.8065267104449061E-6</v>
      </c>
      <c r="N17" s="1">
        <v>-1.9150861352047901E-7</v>
      </c>
      <c r="O17" s="1">
        <v>1.19699757114326E-10</v>
      </c>
      <c r="P17" s="1">
        <v>8.1038688527310599E-10</v>
      </c>
      <c r="Q17">
        <v>66.188956626695102</v>
      </c>
      <c r="S17">
        <v>19.125590690572299</v>
      </c>
      <c r="AA17">
        <v>0.334519982269747</v>
      </c>
      <c r="AB17">
        <v>5.3036862809757404</v>
      </c>
      <c r="AC17">
        <v>9.0472464194869797</v>
      </c>
      <c r="AJ17">
        <v>0.46356972664860402</v>
      </c>
      <c r="AK17">
        <v>1.6157348593811901E-2</v>
      </c>
      <c r="AL17">
        <v>0.52027292475758302</v>
      </c>
    </row>
    <row r="18" spans="1:38" x14ac:dyDescent="0.2">
      <c r="A18">
        <v>101</v>
      </c>
      <c r="B18">
        <v>772</v>
      </c>
      <c r="C18">
        <v>125</v>
      </c>
      <c r="D18">
        <v>0.47153088073482102</v>
      </c>
      <c r="E18">
        <v>12.7176320515002</v>
      </c>
      <c r="F18">
        <v>2.5216436778424201</v>
      </c>
      <c r="G18">
        <v>-202.98394814246859</v>
      </c>
      <c r="H18">
        <v>-175.02616110649333</v>
      </c>
      <c r="I18">
        <v>26.7500234760324</v>
      </c>
      <c r="J18">
        <v>15.189407220091701</v>
      </c>
      <c r="K18">
        <v>5.0433898188112396</v>
      </c>
      <c r="L18">
        <v>2.8986077170305787E-5</v>
      </c>
      <c r="M18">
        <v>1.8113340540491415E-6</v>
      </c>
      <c r="N18" s="1">
        <v>-5.4662262438448997E-8</v>
      </c>
      <c r="O18" s="1">
        <v>4.7930465666807003E-11</v>
      </c>
      <c r="P18" s="1">
        <v>2.6080549056780802E-10</v>
      </c>
      <c r="Q18">
        <v>66.2858509304629</v>
      </c>
      <c r="S18">
        <v>19.221206141143</v>
      </c>
      <c r="AA18">
        <v>0.39079474686018301</v>
      </c>
      <c r="AB18">
        <v>5.7702783761847698</v>
      </c>
      <c r="AC18">
        <v>8.3318698053490596</v>
      </c>
      <c r="AJ18">
        <v>0.50316380320667897</v>
      </c>
      <c r="AK18">
        <v>1.8830945796187801E-2</v>
      </c>
      <c r="AL18">
        <v>0.47800525099713198</v>
      </c>
    </row>
    <row r="19" spans="1:38" x14ac:dyDescent="0.2">
      <c r="A19">
        <v>102</v>
      </c>
      <c r="B19">
        <v>770</v>
      </c>
      <c r="C19">
        <v>125</v>
      </c>
      <c r="D19">
        <v>0.47038345396155901</v>
      </c>
      <c r="E19">
        <v>28.861103438563902</v>
      </c>
      <c r="F19">
        <v>2.5209178913580002</v>
      </c>
      <c r="G19">
        <v>-460.04242004921696</v>
      </c>
      <c r="H19">
        <v>-396.85753491981325</v>
      </c>
      <c r="I19">
        <v>60.571236283759298</v>
      </c>
      <c r="J19">
        <v>34.432441888871402</v>
      </c>
      <c r="K19">
        <v>11.4486487392164</v>
      </c>
      <c r="L19">
        <v>2.8845299050885108E-5</v>
      </c>
      <c r="M19">
        <v>1.8089093553208689E-6</v>
      </c>
      <c r="N19" s="1">
        <v>-1.2503415401175701E-7</v>
      </c>
      <c r="O19" s="1">
        <v>1.08950054572226E-10</v>
      </c>
      <c r="P19" s="1">
        <v>5.9425714443076902E-10</v>
      </c>
      <c r="Q19">
        <v>66.219881510335298</v>
      </c>
      <c r="S19">
        <v>19.1868422559109</v>
      </c>
      <c r="AA19">
        <v>0.37783725201275498</v>
      </c>
      <c r="AB19">
        <v>5.5331796678237897</v>
      </c>
      <c r="AC19">
        <v>8.68225931391712</v>
      </c>
      <c r="AJ19">
        <v>0.48306726118801002</v>
      </c>
      <c r="AK19">
        <v>1.82283935764442E-2</v>
      </c>
      <c r="AL19">
        <v>0.49870434523554402</v>
      </c>
    </row>
    <row r="20" spans="1:38" x14ac:dyDescent="0.2">
      <c r="A20">
        <v>103</v>
      </c>
      <c r="B20">
        <v>768</v>
      </c>
      <c r="C20">
        <v>125</v>
      </c>
      <c r="D20">
        <v>0.46923161888296799</v>
      </c>
      <c r="E20">
        <v>32.456672673415198</v>
      </c>
      <c r="F20">
        <v>2.5207298389975401</v>
      </c>
      <c r="G20">
        <v>-517.03768785393606</v>
      </c>
      <c r="H20">
        <v>-446.22156458796667</v>
      </c>
      <c r="I20">
        <v>68.017214873908102</v>
      </c>
      <c r="J20">
        <v>38.712626892561602</v>
      </c>
      <c r="K20">
        <v>12.8759029116435</v>
      </c>
      <c r="L20">
        <v>2.8817605150939984E-5</v>
      </c>
      <c r="M20">
        <v>1.8083679133581714E-6</v>
      </c>
      <c r="N20" s="1">
        <v>-1.48281351056072E-7</v>
      </c>
      <c r="O20" s="1">
        <v>1.2253609520355599E-10</v>
      </c>
      <c r="P20" s="1">
        <v>6.9048268351758703E-10</v>
      </c>
      <c r="Q20">
        <v>66.203430960284294</v>
      </c>
      <c r="S20">
        <v>19.171721109259799</v>
      </c>
      <c r="AA20">
        <v>0.36920066215841102</v>
      </c>
      <c r="AB20">
        <v>5.45687844724924</v>
      </c>
      <c r="AC20">
        <v>8.79876882104816</v>
      </c>
      <c r="AJ20">
        <v>0.476589748626708</v>
      </c>
      <c r="AK20">
        <v>1.7818604080978701E-2</v>
      </c>
      <c r="AL20">
        <v>0.50559164729231199</v>
      </c>
    </row>
    <row r="21" spans="1:38" x14ac:dyDescent="0.2">
      <c r="A21">
        <v>124</v>
      </c>
      <c r="B21">
        <v>784</v>
      </c>
      <c r="C21">
        <v>100</v>
      </c>
      <c r="D21">
        <v>0.50433760582698905</v>
      </c>
      <c r="E21">
        <v>5.6190783765566303</v>
      </c>
      <c r="F21">
        <v>2.5222104799062701</v>
      </c>
      <c r="G21">
        <v>-90.06832583914057</v>
      </c>
      <c r="H21">
        <v>-77.465814777165406</v>
      </c>
      <c r="I21">
        <v>11.9212136990731</v>
      </c>
      <c r="J21">
        <v>6.72090242578237</v>
      </c>
      <c r="K21">
        <v>2.2278388030349601</v>
      </c>
      <c r="L21">
        <v>2.9118155058854216E-5</v>
      </c>
      <c r="M21">
        <v>1.8155466945988326E-6</v>
      </c>
      <c r="N21" s="1">
        <v>-1.6712748347816601E-8</v>
      </c>
      <c r="O21" s="1">
        <v>2.1152306932467702E-11</v>
      </c>
      <c r="P21" s="1">
        <v>9.3512832371888502E-11</v>
      </c>
      <c r="Q21">
        <v>66.348226919651694</v>
      </c>
      <c r="S21">
        <v>19.332776531885401</v>
      </c>
      <c r="AA21">
        <v>0.46828687726930701</v>
      </c>
      <c r="AB21">
        <v>6.2017762080967396</v>
      </c>
      <c r="AC21">
        <v>7.6489334630967001</v>
      </c>
      <c r="AJ21">
        <v>0.53961383264974006</v>
      </c>
      <c r="AK21">
        <v>2.2515923348026899E-2</v>
      </c>
      <c r="AL21">
        <v>0.43787024400223201</v>
      </c>
    </row>
    <row r="22" spans="1:38" x14ac:dyDescent="0.2">
      <c r="A22">
        <v>125</v>
      </c>
      <c r="B22">
        <v>782</v>
      </c>
      <c r="C22">
        <v>100</v>
      </c>
      <c r="D22">
        <v>0.50326541250059598</v>
      </c>
      <c r="E22">
        <v>26.126894741953102</v>
      </c>
      <c r="F22">
        <v>2.52067815866222</v>
      </c>
      <c r="G22">
        <v>-417.97104468997588</v>
      </c>
      <c r="H22">
        <v>-359.64638092898008</v>
      </c>
      <c r="I22">
        <v>55.276182306777002</v>
      </c>
      <c r="J22">
        <v>31.1933554074269</v>
      </c>
      <c r="K22">
        <v>10.3650260356202</v>
      </c>
      <c r="L22">
        <v>2.8886731839693129E-5</v>
      </c>
      <c r="M22">
        <v>1.8116349529551672E-6</v>
      </c>
      <c r="N22" s="1">
        <v>-7.4959015997780504E-8</v>
      </c>
      <c r="O22" s="1">
        <v>9.8661057727984604E-11</v>
      </c>
      <c r="P22" s="1">
        <v>4.2618584502397201E-10</v>
      </c>
      <c r="Q22">
        <v>66.252308024565295</v>
      </c>
      <c r="S22">
        <v>19.270424668229602</v>
      </c>
      <c r="AA22">
        <v>0.43922731419439398</v>
      </c>
      <c r="AB22">
        <v>5.8245625764934701</v>
      </c>
      <c r="AC22">
        <v>8.2134774165170796</v>
      </c>
      <c r="AJ22">
        <v>0.50775767418312601</v>
      </c>
      <c r="AK22">
        <v>2.1158910938672601E-2</v>
      </c>
      <c r="AL22">
        <v>0.47108341487819999</v>
      </c>
    </row>
    <row r="23" spans="1:38" x14ac:dyDescent="0.2">
      <c r="A23">
        <v>126</v>
      </c>
      <c r="B23">
        <v>780</v>
      </c>
      <c r="C23">
        <v>100</v>
      </c>
      <c r="D23">
        <v>0.50218914684517901</v>
      </c>
      <c r="E23">
        <v>32.0492936957206</v>
      </c>
      <c r="F23">
        <v>2.5202250606896599</v>
      </c>
      <c r="G23">
        <v>-512.26950640983353</v>
      </c>
      <c r="H23">
        <v>-440.98104909101824</v>
      </c>
      <c r="I23">
        <v>67.690696784707896</v>
      </c>
      <c r="J23">
        <v>38.241518566096303</v>
      </c>
      <c r="K23">
        <v>12.716837950555901</v>
      </c>
      <c r="L23">
        <v>2.8816387172129958E-5</v>
      </c>
      <c r="M23">
        <v>1.8104619678308892E-6</v>
      </c>
      <c r="N23" s="1">
        <v>-9.5628430321421395E-8</v>
      </c>
      <c r="O23" s="1">
        <v>1.2112462299408101E-10</v>
      </c>
      <c r="P23" s="1">
        <v>5.33384269933338E-10</v>
      </c>
      <c r="Q23">
        <v>66.221702112606906</v>
      </c>
      <c r="S23">
        <v>19.245584297894599</v>
      </c>
      <c r="AA23">
        <v>0.42587522546878398</v>
      </c>
      <c r="AB23">
        <v>5.6912366824157496</v>
      </c>
      <c r="AC23">
        <v>8.4156016816139001</v>
      </c>
      <c r="AJ23">
        <v>0.49646913258882402</v>
      </c>
      <c r="AK23">
        <v>2.0529518884552199E-2</v>
      </c>
      <c r="AL23">
        <v>0.48300134852662202</v>
      </c>
    </row>
    <row r="24" spans="1:38" x14ac:dyDescent="0.2">
      <c r="A24">
        <v>127</v>
      </c>
      <c r="B24">
        <v>778</v>
      </c>
      <c r="C24">
        <v>100</v>
      </c>
      <c r="D24">
        <v>0.501108785615755</v>
      </c>
      <c r="E24">
        <v>34.085685692882301</v>
      </c>
      <c r="F24">
        <v>2.5200298645926802</v>
      </c>
      <c r="G24">
        <v>-544.50677053159336</v>
      </c>
      <c r="H24">
        <v>-468.93812560943485</v>
      </c>
      <c r="I24">
        <v>71.891399821298904</v>
      </c>
      <c r="J24">
        <v>40.661430284019701</v>
      </c>
      <c r="K24">
        <v>13.5259054552481</v>
      </c>
      <c r="L24">
        <v>2.8791712602812729E-5</v>
      </c>
      <c r="M24">
        <v>1.8100556025088353E-6</v>
      </c>
      <c r="N24" s="1">
        <v>-1.08048203092165E-7</v>
      </c>
      <c r="O24" s="1">
        <v>1.28843754870674E-10</v>
      </c>
      <c r="P24" s="1">
        <v>5.8578965639743801E-10</v>
      </c>
      <c r="Q24">
        <v>66.210430508804293</v>
      </c>
      <c r="S24">
        <v>19.2301468440692</v>
      </c>
      <c r="AA24">
        <v>0.415769242650602</v>
      </c>
      <c r="AB24">
        <v>5.6256472254917602</v>
      </c>
      <c r="AC24">
        <v>8.5180061789840593</v>
      </c>
      <c r="AJ24">
        <v>0.49091020826988901</v>
      </c>
      <c r="AK24">
        <v>2.0049000055733599E-2</v>
      </c>
      <c r="AL24">
        <v>0.48904079167437697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BF7C0-1CAB-4527-ACD6-30551618350F}">
  <sheetPr codeName="Sheet12"/>
  <dimension ref="A1:AL136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7</v>
      </c>
      <c r="B2">
        <v>740</v>
      </c>
      <c r="C2">
        <v>300</v>
      </c>
      <c r="D2">
        <v>0.26262695553471999</v>
      </c>
      <c r="E2">
        <v>2.3199187389875999</v>
      </c>
      <c r="F2">
        <v>2.58282799344309</v>
      </c>
      <c r="G2">
        <v>-37.500869705875836</v>
      </c>
      <c r="H2">
        <v>-32.604812239432121</v>
      </c>
      <c r="I2">
        <v>4.8325099604636099</v>
      </c>
      <c r="J2">
        <v>2.8592002821588101</v>
      </c>
      <c r="K2">
        <v>0.89820876375703995</v>
      </c>
      <c r="L2">
        <v>3.2303762394874715E-5</v>
      </c>
      <c r="M2">
        <v>1.8023357599079627E-6</v>
      </c>
      <c r="N2" s="1">
        <v>-6.0487743660874997E-8</v>
      </c>
      <c r="O2" s="1">
        <v>7.6543297538034694E-12</v>
      </c>
      <c r="P2" s="1">
        <v>1.9436914141901099E-10</v>
      </c>
      <c r="Q2">
        <v>64.767701892405299</v>
      </c>
      <c r="S2">
        <v>21.785540506875002</v>
      </c>
      <c r="AA2">
        <v>2.8606361788766201</v>
      </c>
      <c r="AB2">
        <v>9.1099005707504901</v>
      </c>
      <c r="AC2">
        <v>1.4762208510924499</v>
      </c>
      <c r="AJ2">
        <v>0.78116557058050595</v>
      </c>
      <c r="AK2">
        <v>0.135551046267194</v>
      </c>
      <c r="AL2">
        <v>8.3283383152299398E-2</v>
      </c>
    </row>
    <row r="3" spans="1:38" x14ac:dyDescent="0.2">
      <c r="A3">
        <v>8</v>
      </c>
      <c r="B3">
        <v>738</v>
      </c>
      <c r="C3">
        <v>300</v>
      </c>
      <c r="D3">
        <v>0.26103001532908299</v>
      </c>
      <c r="E3">
        <v>4.9525019053671802</v>
      </c>
      <c r="F3">
        <v>2.5799016223865898</v>
      </c>
      <c r="G3">
        <v>-79.978722897294503</v>
      </c>
      <c r="H3">
        <v>-69.555684258883062</v>
      </c>
      <c r="I3">
        <v>10.308103286764</v>
      </c>
      <c r="J3">
        <v>6.1113000166080598</v>
      </c>
      <c r="K3">
        <v>1.91964757973436</v>
      </c>
      <c r="L3">
        <v>3.2514192029348248E-5</v>
      </c>
      <c r="M3">
        <v>1.8079315464201603E-6</v>
      </c>
      <c r="N3" s="1">
        <v>-1.3753691505705699E-7</v>
      </c>
      <c r="O3" s="1">
        <v>1.63717343546088E-11</v>
      </c>
      <c r="P3" s="1">
        <v>4.3871697447224101E-10</v>
      </c>
      <c r="Q3">
        <v>65.019621420408896</v>
      </c>
      <c r="S3">
        <v>21.5678413867996</v>
      </c>
      <c r="AA3">
        <v>2.6222501978547101</v>
      </c>
      <c r="AB3">
        <v>9.1005631854268305</v>
      </c>
      <c r="AC3">
        <v>1.6897238095098801</v>
      </c>
      <c r="AJ3">
        <v>0.780405058929178</v>
      </c>
      <c r="AK3">
        <v>0.124261537784792</v>
      </c>
      <c r="AL3">
        <v>9.5333403286028601E-2</v>
      </c>
    </row>
    <row r="4" spans="1:38" x14ac:dyDescent="0.2">
      <c r="A4">
        <v>9</v>
      </c>
      <c r="B4">
        <v>736</v>
      </c>
      <c r="C4">
        <v>300</v>
      </c>
      <c r="D4">
        <v>0.25942674528068399</v>
      </c>
      <c r="E4">
        <v>7.9061159942450203</v>
      </c>
      <c r="F4">
        <v>2.57653184587936</v>
      </c>
      <c r="G4">
        <v>-127.52542872892629</v>
      </c>
      <c r="H4">
        <v>-110.93374642707506</v>
      </c>
      <c r="I4">
        <v>16.4412449109163</v>
      </c>
      <c r="J4">
        <v>9.7657395164723297</v>
      </c>
      <c r="K4">
        <v>3.0685108770882099</v>
      </c>
      <c r="L4">
        <v>3.269006774082616E-5</v>
      </c>
      <c r="M4">
        <v>1.81300941584953E-6</v>
      </c>
      <c r="N4" s="1">
        <v>-2.32591859513622E-7</v>
      </c>
      <c r="O4" s="1">
        <v>2.6204750611833701E-11</v>
      </c>
      <c r="P4" s="1">
        <v>7.3704240570112204E-10</v>
      </c>
      <c r="Q4">
        <v>65.266440968407395</v>
      </c>
      <c r="S4">
        <v>21.336916642454302</v>
      </c>
      <c r="AA4">
        <v>2.3741429520035102</v>
      </c>
      <c r="AB4">
        <v>9.0451880746398707</v>
      </c>
      <c r="AC4">
        <v>1.97731136249485</v>
      </c>
      <c r="AJ4">
        <v>0.77587385553574195</v>
      </c>
      <c r="AK4">
        <v>0.112535921574582</v>
      </c>
      <c r="AL4">
        <v>0.111590222889675</v>
      </c>
    </row>
    <row r="5" spans="1:38" x14ac:dyDescent="0.2">
      <c r="A5">
        <v>10</v>
      </c>
      <c r="B5">
        <v>734</v>
      </c>
      <c r="C5">
        <v>300</v>
      </c>
      <c r="D5">
        <v>0.25781710768008598</v>
      </c>
      <c r="E5">
        <v>21.4348698685633</v>
      </c>
      <c r="F5">
        <v>2.5768191465897301</v>
      </c>
      <c r="G5">
        <v>-345.65620404443996</v>
      </c>
      <c r="H5">
        <v>-300.81643484309831</v>
      </c>
      <c r="I5">
        <v>44.521440898914399</v>
      </c>
      <c r="J5">
        <v>26.5150548322537</v>
      </c>
      <c r="K5">
        <v>8.3183446913342909</v>
      </c>
      <c r="L5">
        <v>3.2837877562511189E-5</v>
      </c>
      <c r="M5">
        <v>1.8132598113981024E-6</v>
      </c>
      <c r="N5" s="1">
        <v>-6.7183235853536403E-7</v>
      </c>
      <c r="O5" s="1">
        <v>7.06924204353182E-11</v>
      </c>
      <c r="P5" s="1">
        <v>2.1147874618843602E-9</v>
      </c>
      <c r="Q5">
        <v>65.251198157554299</v>
      </c>
      <c r="S5">
        <v>21.347191384021901</v>
      </c>
      <c r="AA5">
        <v>2.38617642053166</v>
      </c>
      <c r="AB5">
        <v>9.0381568587676107</v>
      </c>
      <c r="AC5">
        <v>1.9772771791244399</v>
      </c>
      <c r="AJ5">
        <v>0.77529760333442599</v>
      </c>
      <c r="AK5">
        <v>0.11311023567598499</v>
      </c>
      <c r="AL5">
        <v>0.111592160989588</v>
      </c>
    </row>
    <row r="6" spans="1:38" x14ac:dyDescent="0.2">
      <c r="A6">
        <v>10</v>
      </c>
      <c r="B6">
        <v>734</v>
      </c>
      <c r="C6">
        <v>300</v>
      </c>
      <c r="D6">
        <v>0.25781710768008598</v>
      </c>
      <c r="E6">
        <v>25.743265629596198</v>
      </c>
      <c r="F6">
        <v>2.5272429937545402</v>
      </c>
      <c r="G6">
        <v>-404.55168126507738</v>
      </c>
      <c r="H6">
        <v>-351.59345660255286</v>
      </c>
      <c r="I6">
        <v>52.582261492850598</v>
      </c>
      <c r="J6">
        <v>30.749636801518601</v>
      </c>
      <c r="K6">
        <v>10.186304084416999</v>
      </c>
      <c r="L6">
        <v>2.9025802881630836E-5</v>
      </c>
      <c r="M6">
        <v>1.7923049234723258E-6</v>
      </c>
      <c r="N6" s="1">
        <v>-3.6164319634794001E-7</v>
      </c>
      <c r="O6" s="1">
        <v>9.6017452327717699E-11</v>
      </c>
      <c r="P6" s="1">
        <v>1.2457374545496599E-9</v>
      </c>
      <c r="Q6">
        <v>65.9949872661943</v>
      </c>
      <c r="S6">
        <v>18.9583494630016</v>
      </c>
      <c r="AA6">
        <v>0.241804355652498</v>
      </c>
      <c r="AB6">
        <v>4.4329913404018102</v>
      </c>
      <c r="AC6">
        <v>10.3718675747497</v>
      </c>
      <c r="AJ6">
        <v>0.38918177804000598</v>
      </c>
      <c r="AK6">
        <v>1.17308781805293E-2</v>
      </c>
      <c r="AL6">
        <v>0.59908734377946404</v>
      </c>
    </row>
    <row r="7" spans="1:38" x14ac:dyDescent="0.2">
      <c r="A7">
        <v>11</v>
      </c>
      <c r="B7">
        <v>732</v>
      </c>
      <c r="C7">
        <v>300</v>
      </c>
      <c r="D7">
        <v>0.256201064517732</v>
      </c>
      <c r="E7">
        <v>23.004511732012599</v>
      </c>
      <c r="F7">
        <v>2.5781365290360401</v>
      </c>
      <c r="G7">
        <v>-370.95279609824212</v>
      </c>
      <c r="H7">
        <v>-322.9885698734642</v>
      </c>
      <c r="I7">
        <v>47.718476073001902</v>
      </c>
      <c r="J7">
        <v>28.5003308439899</v>
      </c>
      <c r="K7">
        <v>8.9229222242213506</v>
      </c>
      <c r="L7">
        <v>3.2967042877760002E-5</v>
      </c>
      <c r="M7">
        <v>1.8117847150030909E-6</v>
      </c>
      <c r="N7" s="1">
        <v>-7.6782268256195595E-7</v>
      </c>
      <c r="O7" s="1">
        <v>7.5318157458784102E-11</v>
      </c>
      <c r="P7" s="1">
        <v>2.4016967331523301E-9</v>
      </c>
      <c r="Q7">
        <v>65.149410024189805</v>
      </c>
      <c r="S7">
        <v>21.429862908691199</v>
      </c>
      <c r="AA7">
        <v>2.4781321442602802</v>
      </c>
      <c r="AB7">
        <v>9.0280616111786003</v>
      </c>
      <c r="AC7">
        <v>1.9145333116800101</v>
      </c>
      <c r="AJ7">
        <v>0.77446892393757805</v>
      </c>
      <c r="AK7">
        <v>0.11747480512158701</v>
      </c>
      <c r="AL7">
        <v>0.108056270940833</v>
      </c>
    </row>
    <row r="8" spans="1:38" x14ac:dyDescent="0.2">
      <c r="A8">
        <v>11</v>
      </c>
      <c r="B8">
        <v>732</v>
      </c>
      <c r="C8">
        <v>300</v>
      </c>
      <c r="D8">
        <v>0.256201064517732</v>
      </c>
      <c r="E8">
        <v>30.358749732711601</v>
      </c>
      <c r="F8">
        <v>2.5272552590381099</v>
      </c>
      <c r="G8">
        <v>-476.79487876757912</v>
      </c>
      <c r="H8">
        <v>-414.56583228639414</v>
      </c>
      <c r="I8">
        <v>61.910208905322499</v>
      </c>
      <c r="J8">
        <v>36.266961144314898</v>
      </c>
      <c r="K8">
        <v>12.0125379595673</v>
      </c>
      <c r="L8">
        <v>2.9028218885276732E-5</v>
      </c>
      <c r="M8">
        <v>1.7917919080968197E-6</v>
      </c>
      <c r="N8" s="1">
        <v>-4.4790148702714802E-7</v>
      </c>
      <c r="O8" s="1">
        <v>1.1312255462625299E-10</v>
      </c>
      <c r="P8" s="1">
        <v>1.5289893142199499E-9</v>
      </c>
      <c r="Q8">
        <v>65.971707372376002</v>
      </c>
      <c r="S8">
        <v>18.948472028353699</v>
      </c>
      <c r="AA8">
        <v>0.23908741589714799</v>
      </c>
      <c r="AB8">
        <v>4.3552183661622603</v>
      </c>
      <c r="AC8">
        <v>10.485514817210801</v>
      </c>
      <c r="AJ8">
        <v>0.38250513045386902</v>
      </c>
      <c r="AK8">
        <v>1.16036558072638E-2</v>
      </c>
      <c r="AL8">
        <v>0.60589121373886601</v>
      </c>
    </row>
    <row r="9" spans="1:38" x14ac:dyDescent="0.2">
      <c r="A9">
        <v>15</v>
      </c>
      <c r="B9">
        <v>746</v>
      </c>
      <c r="C9">
        <v>275</v>
      </c>
      <c r="D9">
        <v>0.29436344012167098</v>
      </c>
      <c r="E9">
        <v>1.5269922190855001</v>
      </c>
      <c r="F9">
        <v>2.58220761644455</v>
      </c>
      <c r="G9">
        <v>-24.726085927642938</v>
      </c>
      <c r="H9">
        <v>-21.472842067606837</v>
      </c>
      <c r="I9">
        <v>3.1921148604583101</v>
      </c>
      <c r="J9">
        <v>1.8751871849511399</v>
      </c>
      <c r="K9">
        <v>0.59135145034852798</v>
      </c>
      <c r="L9">
        <v>3.188562647640047E-5</v>
      </c>
      <c r="M9">
        <v>1.8013181804165114E-6</v>
      </c>
      <c r="N9" s="1">
        <v>-3.2317541968483398E-8</v>
      </c>
      <c r="O9" s="1">
        <v>5.09059554344505E-12</v>
      </c>
      <c r="P9" s="1">
        <v>1.06562584594985E-10</v>
      </c>
      <c r="Q9">
        <v>64.7120917862119</v>
      </c>
      <c r="S9">
        <v>21.848587335882399</v>
      </c>
      <c r="AA9">
        <v>2.9256263163970102</v>
      </c>
      <c r="AB9">
        <v>9.1512618896831199</v>
      </c>
      <c r="AC9">
        <v>1.36243267182544</v>
      </c>
      <c r="AJ9">
        <v>0.78455009571973899</v>
      </c>
      <c r="AK9">
        <v>0.138601949804803</v>
      </c>
      <c r="AL9">
        <v>7.6847954475457503E-2</v>
      </c>
    </row>
    <row r="10" spans="1:38" x14ac:dyDescent="0.2">
      <c r="A10">
        <v>16</v>
      </c>
      <c r="B10">
        <v>744</v>
      </c>
      <c r="C10">
        <v>275</v>
      </c>
      <c r="D10">
        <v>0.29283832276459099</v>
      </c>
      <c r="E10">
        <v>4.0195133794432296</v>
      </c>
      <c r="F10">
        <v>2.5795938100301901</v>
      </c>
      <c r="G10">
        <v>-65.031526142738258</v>
      </c>
      <c r="H10">
        <v>-56.491412190719949</v>
      </c>
      <c r="I10">
        <v>8.3961204856887406</v>
      </c>
      <c r="J10">
        <v>4.9413689652113</v>
      </c>
      <c r="K10">
        <v>1.5581962415222901</v>
      </c>
      <c r="L10">
        <v>3.2080616141788832E-5</v>
      </c>
      <c r="M10">
        <v>1.8067578897642884E-6</v>
      </c>
      <c r="N10" s="1">
        <v>-9.0734560491123497E-8</v>
      </c>
      <c r="O10" s="1">
        <v>1.34274790342963E-11</v>
      </c>
      <c r="P10" s="1">
        <v>2.9662169126258898E-10</v>
      </c>
      <c r="Q10">
        <v>64.952348740379193</v>
      </c>
      <c r="S10">
        <v>21.6470883695639</v>
      </c>
      <c r="AA10">
        <v>2.7033269302679002</v>
      </c>
      <c r="AB10">
        <v>9.1584058931248897</v>
      </c>
      <c r="AC10">
        <v>1.53883006666401</v>
      </c>
      <c r="AJ10">
        <v>0.78513846626074801</v>
      </c>
      <c r="AK10">
        <v>0.12806655561567601</v>
      </c>
      <c r="AL10">
        <v>8.6794978123574701E-2</v>
      </c>
    </row>
    <row r="11" spans="1:38" x14ac:dyDescent="0.2">
      <c r="A11">
        <v>17</v>
      </c>
      <c r="B11">
        <v>742</v>
      </c>
      <c r="C11">
        <v>275</v>
      </c>
      <c r="D11">
        <v>0.291307195980888</v>
      </c>
      <c r="E11">
        <v>6.7101668678974304</v>
      </c>
      <c r="F11">
        <v>2.5767533512443301</v>
      </c>
      <c r="G11">
        <v>-108.45673406257107</v>
      </c>
      <c r="H11">
        <v>-94.239880760875664</v>
      </c>
      <c r="I11">
        <v>14.0046823638825</v>
      </c>
      <c r="J11">
        <v>8.2568882170145095</v>
      </c>
      <c r="K11">
        <v>2.6041168684837501</v>
      </c>
      <c r="L11">
        <v>3.2253154467806789E-5</v>
      </c>
      <c r="M11">
        <v>1.8117151588438535E-6</v>
      </c>
      <c r="N11" s="1">
        <v>-1.60972040584031E-7</v>
      </c>
      <c r="O11" s="1">
        <v>2.24668454495974E-11</v>
      </c>
      <c r="P11" s="1">
        <v>5.2212066503724196E-10</v>
      </c>
      <c r="Q11">
        <v>65.182487838320895</v>
      </c>
      <c r="S11">
        <v>21.442159608498901</v>
      </c>
      <c r="AA11">
        <v>2.4805587917849601</v>
      </c>
      <c r="AB11">
        <v>9.1340111436340905</v>
      </c>
      <c r="AC11">
        <v>1.7607826177610599</v>
      </c>
      <c r="AJ11">
        <v>0.78314568538960405</v>
      </c>
      <c r="AK11">
        <v>0.117527997780939</v>
      </c>
      <c r="AL11">
        <v>9.9326316829456404E-2</v>
      </c>
    </row>
    <row r="12" spans="1:38" x14ac:dyDescent="0.2">
      <c r="A12">
        <v>18</v>
      </c>
      <c r="B12">
        <v>740</v>
      </c>
      <c r="C12">
        <v>275</v>
      </c>
      <c r="D12">
        <v>0.28977002418201098</v>
      </c>
      <c r="E12">
        <v>9.7335391391769406</v>
      </c>
      <c r="F12">
        <v>2.5734630062677102</v>
      </c>
      <c r="G12">
        <v>-157.13234266923547</v>
      </c>
      <c r="H12">
        <v>-136.56969061094102</v>
      </c>
      <c r="I12">
        <v>20.2957627777668</v>
      </c>
      <c r="J12">
        <v>11.985370296616299</v>
      </c>
      <c r="K12">
        <v>3.7822728034056601</v>
      </c>
      <c r="L12">
        <v>3.2388790831540474E-5</v>
      </c>
      <c r="M12">
        <v>1.8161030600462289E-6</v>
      </c>
      <c r="N12" s="1">
        <v>-2.4673631725400901E-7</v>
      </c>
      <c r="O12" s="1">
        <v>3.26872056532586E-11</v>
      </c>
      <c r="P12" s="1">
        <v>7.94725971304063E-10</v>
      </c>
      <c r="Q12">
        <v>65.405896545737704</v>
      </c>
      <c r="S12">
        <v>21.224407621465399</v>
      </c>
      <c r="AA12">
        <v>2.2487818051973099</v>
      </c>
      <c r="AB12">
        <v>9.0610003257183092</v>
      </c>
      <c r="AC12">
        <v>2.0599137018810998</v>
      </c>
      <c r="AJ12">
        <v>0.77717126134021197</v>
      </c>
      <c r="AK12">
        <v>0.106585639613288</v>
      </c>
      <c r="AL12">
        <v>0.116243099046498</v>
      </c>
    </row>
    <row r="13" spans="1:38" x14ac:dyDescent="0.2">
      <c r="A13">
        <v>19</v>
      </c>
      <c r="B13">
        <v>738</v>
      </c>
      <c r="C13">
        <v>275</v>
      </c>
      <c r="D13">
        <v>0.28822677149780002</v>
      </c>
      <c r="E13">
        <v>24.763037205700002</v>
      </c>
      <c r="F13">
        <v>2.5709822717498199</v>
      </c>
      <c r="G13">
        <v>-399.44843336445859</v>
      </c>
      <c r="H13">
        <v>-347.28552690035508</v>
      </c>
      <c r="I13">
        <v>51.587703569305702</v>
      </c>
      <c r="J13">
        <v>30.533417749706398</v>
      </c>
      <c r="K13">
        <v>9.6317417190302894</v>
      </c>
      <c r="L13">
        <v>3.260290664907435E-5</v>
      </c>
      <c r="M13">
        <v>1.821155917634875E-6</v>
      </c>
      <c r="N13" s="1">
        <v>-6.70382145672291E-7</v>
      </c>
      <c r="O13" s="1">
        <v>8.3226285931351901E-11</v>
      </c>
      <c r="P13" s="1">
        <v>2.1427534818002201E-9</v>
      </c>
      <c r="Q13">
        <v>65.628390498187102</v>
      </c>
      <c r="S13">
        <v>21.040218667337601</v>
      </c>
      <c r="AA13">
        <v>2.0449081099808999</v>
      </c>
      <c r="AB13">
        <v>9.0739408796588794</v>
      </c>
      <c r="AC13">
        <v>2.2125418448353802</v>
      </c>
      <c r="AJ13">
        <v>0.77823458661415201</v>
      </c>
      <c r="AK13">
        <v>9.6916823238563696E-2</v>
      </c>
      <c r="AL13">
        <v>0.124848590147284</v>
      </c>
    </row>
    <row r="14" spans="1:38" x14ac:dyDescent="0.2">
      <c r="A14">
        <v>19</v>
      </c>
      <c r="B14">
        <v>738</v>
      </c>
      <c r="C14">
        <v>275</v>
      </c>
      <c r="D14">
        <v>0.28822677149780002</v>
      </c>
      <c r="E14">
        <v>23.7874991665491</v>
      </c>
      <c r="F14">
        <v>2.5263678331940298</v>
      </c>
      <c r="G14">
        <v>-374.76301122841068</v>
      </c>
      <c r="H14">
        <v>-325.42762930100179</v>
      </c>
      <c r="I14">
        <v>48.791358282558299</v>
      </c>
      <c r="J14">
        <v>28.434177286020599</v>
      </c>
      <c r="K14">
        <v>9.4156911175025009</v>
      </c>
      <c r="L14">
        <v>2.9127852794852605E-5</v>
      </c>
      <c r="M14">
        <v>1.7968157333234953E-6</v>
      </c>
      <c r="N14" s="1">
        <v>-3.07524798789878E-7</v>
      </c>
      <c r="O14" s="1">
        <v>8.8752754494925002E-11</v>
      </c>
      <c r="P14" s="1">
        <v>1.0769796592722699E-9</v>
      </c>
      <c r="Q14">
        <v>66.094886659878298</v>
      </c>
      <c r="S14">
        <v>18.993488678054799</v>
      </c>
      <c r="AA14">
        <v>0.247484410064258</v>
      </c>
      <c r="AB14">
        <v>4.7477338035067396</v>
      </c>
      <c r="AC14">
        <v>9.9164064484958008</v>
      </c>
      <c r="AJ14">
        <v>0.41614798880614101</v>
      </c>
      <c r="AK14">
        <v>1.19872641603461E-2</v>
      </c>
      <c r="AL14">
        <v>0.57186474703351198</v>
      </c>
    </row>
    <row r="15" spans="1:38" x14ac:dyDescent="0.2">
      <c r="A15">
        <v>20</v>
      </c>
      <c r="B15">
        <v>736</v>
      </c>
      <c r="C15">
        <v>275</v>
      </c>
      <c r="D15">
        <v>0.28667740177377199</v>
      </c>
      <c r="E15">
        <v>28.5864006603768</v>
      </c>
      <c r="F15">
        <v>2.5707627677627798</v>
      </c>
      <c r="G15">
        <v>-460.99355577411916</v>
      </c>
      <c r="H15">
        <v>-400.96213977104264</v>
      </c>
      <c r="I15">
        <v>59.487108956127997</v>
      </c>
      <c r="J15">
        <v>35.301246701739402</v>
      </c>
      <c r="K15">
        <v>11.1198127726325</v>
      </c>
      <c r="L15">
        <v>3.2780261200045806E-5</v>
      </c>
      <c r="M15">
        <v>1.8228259392453438E-6</v>
      </c>
      <c r="N15" s="1">
        <v>-8.2716263684861498E-7</v>
      </c>
      <c r="O15" s="1">
        <v>9.5717426474299102E-11</v>
      </c>
      <c r="P15" s="1">
        <v>2.6246362826514899E-9</v>
      </c>
      <c r="Q15">
        <v>65.675289538864803</v>
      </c>
      <c r="S15">
        <v>21.0079980170859</v>
      </c>
      <c r="AA15">
        <v>2.0073824936190201</v>
      </c>
      <c r="AB15">
        <v>9.09398225357792</v>
      </c>
      <c r="AC15">
        <v>2.2153476968521999</v>
      </c>
      <c r="AJ15">
        <v>0.77987648164683598</v>
      </c>
      <c r="AK15">
        <v>9.5128937045734399E-2</v>
      </c>
      <c r="AL15">
        <v>0.12499458130742799</v>
      </c>
    </row>
    <row r="16" spans="1:38" x14ac:dyDescent="0.2">
      <c r="A16">
        <v>20</v>
      </c>
      <c r="B16">
        <v>736</v>
      </c>
      <c r="C16">
        <v>275</v>
      </c>
      <c r="D16">
        <v>0.28667740177377199</v>
      </c>
      <c r="E16">
        <v>29.825371196895102</v>
      </c>
      <c r="F16">
        <v>2.52642555127753</v>
      </c>
      <c r="G16">
        <v>-469.75762757108623</v>
      </c>
      <c r="H16">
        <v>-408.09382622479603</v>
      </c>
      <c r="I16">
        <v>61.104693401664903</v>
      </c>
      <c r="J16">
        <v>35.675298364505601</v>
      </c>
      <c r="K16">
        <v>11.805363186662399</v>
      </c>
      <c r="L16">
        <v>2.9199338862134217E-5</v>
      </c>
      <c r="M16">
        <v>1.7972757266618819E-6</v>
      </c>
      <c r="N16" s="1">
        <v>-4.1354628367905902E-7</v>
      </c>
      <c r="O16" s="1">
        <v>1.1106627049602799E-10</v>
      </c>
      <c r="P16" s="1">
        <v>1.42974150536524E-9</v>
      </c>
      <c r="Q16">
        <v>66.101410484216004</v>
      </c>
      <c r="S16">
        <v>18.988067365909099</v>
      </c>
      <c r="AA16">
        <v>0.24148952681139099</v>
      </c>
      <c r="AB16">
        <v>4.7480591216411199</v>
      </c>
      <c r="AC16">
        <v>9.9209735014222993</v>
      </c>
      <c r="AJ16">
        <v>0.41617587128973899</v>
      </c>
      <c r="AK16">
        <v>1.16968755776277E-2</v>
      </c>
      <c r="AL16">
        <v>0.57212725313263202</v>
      </c>
    </row>
    <row r="17" spans="1:38" x14ac:dyDescent="0.2">
      <c r="A17">
        <v>22</v>
      </c>
      <c r="B17">
        <v>752</v>
      </c>
      <c r="C17">
        <v>250</v>
      </c>
      <c r="D17">
        <v>0.32572842998585799</v>
      </c>
      <c r="E17">
        <v>0.89107673467789905</v>
      </c>
      <c r="F17">
        <v>2.5812811573386401</v>
      </c>
      <c r="G17">
        <v>-14.452535948834944</v>
      </c>
      <c r="H17">
        <v>-12.536176778299954</v>
      </c>
      <c r="I17">
        <v>1.8693451402575101</v>
      </c>
      <c r="J17">
        <v>1.09113377269293</v>
      </c>
      <c r="K17">
        <v>0.34520715891197801</v>
      </c>
      <c r="L17">
        <v>3.1542957834047643E-5</v>
      </c>
      <c r="M17">
        <v>1.8008665153354117E-6</v>
      </c>
      <c r="N17" s="1">
        <v>-1.5334690871660101E-8</v>
      </c>
      <c r="O17" s="1">
        <v>2.9962864666817E-12</v>
      </c>
      <c r="P17" s="1">
        <v>5.208084360183E-11</v>
      </c>
      <c r="Q17">
        <v>64.676739563439</v>
      </c>
      <c r="S17">
        <v>21.8915577928184</v>
      </c>
      <c r="AA17">
        <v>2.9693263412397402</v>
      </c>
      <c r="AB17">
        <v>9.1851339961424099</v>
      </c>
      <c r="AC17">
        <v>1.27724230636033</v>
      </c>
      <c r="AJ17">
        <v>0.78732091056184195</v>
      </c>
      <c r="AK17">
        <v>0.140648469630443</v>
      </c>
      <c r="AL17">
        <v>7.2030619807713706E-2</v>
      </c>
    </row>
    <row r="18" spans="1:38" x14ac:dyDescent="0.2">
      <c r="A18">
        <v>23</v>
      </c>
      <c r="B18">
        <v>750</v>
      </c>
      <c r="C18">
        <v>250</v>
      </c>
      <c r="D18">
        <v>0.324273566925672</v>
      </c>
      <c r="E18">
        <v>3.2908516588232199</v>
      </c>
      <c r="F18">
        <v>2.5788784458223502</v>
      </c>
      <c r="G18">
        <v>-53.333736417149296</v>
      </c>
      <c r="H18">
        <v>-46.275576470441521</v>
      </c>
      <c r="I18">
        <v>6.8984605841839102</v>
      </c>
      <c r="J18">
        <v>4.0333397353390197</v>
      </c>
      <c r="K18">
        <v>1.2760786240833599</v>
      </c>
      <c r="L18">
        <v>3.1721522868878386E-5</v>
      </c>
      <c r="M18">
        <v>1.8061504426776871E-6</v>
      </c>
      <c r="N18" s="1">
        <v>-6.0431310815076598E-8</v>
      </c>
      <c r="O18" s="1">
        <v>1.10907591682358E-11</v>
      </c>
      <c r="P18" s="1">
        <v>2.0319962961691401E-10</v>
      </c>
      <c r="Q18">
        <v>64.907863696094395</v>
      </c>
      <c r="S18">
        <v>21.701584088832899</v>
      </c>
      <c r="AA18">
        <v>2.7586664335907001</v>
      </c>
      <c r="AB18">
        <v>9.2021409701193893</v>
      </c>
      <c r="AC18">
        <v>1.4297448113625599</v>
      </c>
      <c r="AJ18">
        <v>0.78871569852521695</v>
      </c>
      <c r="AK18">
        <v>0.13065967810571999</v>
      </c>
      <c r="AL18">
        <v>8.0624623369062398E-2</v>
      </c>
    </row>
    <row r="19" spans="1:38" x14ac:dyDescent="0.2">
      <c r="A19">
        <v>24</v>
      </c>
      <c r="B19">
        <v>748</v>
      </c>
      <c r="C19">
        <v>250</v>
      </c>
      <c r="D19">
        <v>0.32281300494540499</v>
      </c>
      <c r="E19">
        <v>5.8264301831501202</v>
      </c>
      <c r="F19">
        <v>2.5763492602634899</v>
      </c>
      <c r="G19">
        <v>-94.345203001043544</v>
      </c>
      <c r="H19">
        <v>-81.883406374993214</v>
      </c>
      <c r="I19">
        <v>12.203688611908399</v>
      </c>
      <c r="J19">
        <v>7.1468641695767596</v>
      </c>
      <c r="K19">
        <v>2.2615063388394101</v>
      </c>
      <c r="L19">
        <v>3.1882901220586796E-5</v>
      </c>
      <c r="M19">
        <v>1.8109768979373733E-6</v>
      </c>
      <c r="N19" s="1">
        <v>-1.1384473413825701E-7</v>
      </c>
      <c r="O19" s="1">
        <v>1.9681296768170099E-11</v>
      </c>
      <c r="P19" s="1">
        <v>3.7930113603018502E-10</v>
      </c>
      <c r="Q19">
        <v>65.126903124793301</v>
      </c>
      <c r="S19">
        <v>21.5125337311033</v>
      </c>
      <c r="AA19">
        <v>2.5515880965169</v>
      </c>
      <c r="AB19">
        <v>9.1946385015387904</v>
      </c>
      <c r="AC19">
        <v>1.6143365460475401</v>
      </c>
      <c r="AJ19">
        <v>0.78810549628517401</v>
      </c>
      <c r="AK19">
        <v>0.120856789983655</v>
      </c>
      <c r="AL19">
        <v>9.1037713731169506E-2</v>
      </c>
    </row>
    <row r="20" spans="1:38" x14ac:dyDescent="0.2">
      <c r="A20">
        <v>25</v>
      </c>
      <c r="B20">
        <v>746</v>
      </c>
      <c r="C20">
        <v>250</v>
      </c>
      <c r="D20">
        <v>0.32134671049404001</v>
      </c>
      <c r="E20">
        <v>8.5641243455880396</v>
      </c>
      <c r="F20">
        <v>2.57358539443109</v>
      </c>
      <c r="G20">
        <v>-138.53571525255634</v>
      </c>
      <c r="H20">
        <v>-120.27054599460564</v>
      </c>
      <c r="I20">
        <v>17.921963653976999</v>
      </c>
      <c r="J20">
        <v>10.5120818407353</v>
      </c>
      <c r="K20">
        <v>3.3277016430539601</v>
      </c>
      <c r="L20">
        <v>3.2019904122772397E-5</v>
      </c>
      <c r="M20">
        <v>1.815291280803763E-6</v>
      </c>
      <c r="N20" s="1">
        <v>-1.77367444591741E-7</v>
      </c>
      <c r="O20" s="1">
        <v>2.9002981088449E-11</v>
      </c>
      <c r="P20" s="1">
        <v>5.8603213392285605E-10</v>
      </c>
      <c r="Q20">
        <v>65.335020156392304</v>
      </c>
      <c r="S20">
        <v>21.320061373351098</v>
      </c>
      <c r="AA20">
        <v>2.3442351664304799</v>
      </c>
      <c r="AB20">
        <v>9.1538248387064804</v>
      </c>
      <c r="AC20">
        <v>1.8468584651195801</v>
      </c>
      <c r="AJ20">
        <v>0.78476962095842795</v>
      </c>
      <c r="AK20">
        <v>0.11105843569316701</v>
      </c>
      <c r="AL20">
        <v>0.104171943348404</v>
      </c>
    </row>
    <row r="21" spans="1:38" x14ac:dyDescent="0.2">
      <c r="A21">
        <v>26</v>
      </c>
      <c r="B21">
        <v>744</v>
      </c>
      <c r="C21">
        <v>250</v>
      </c>
      <c r="D21">
        <v>0.31987464975667701</v>
      </c>
      <c r="E21">
        <v>11.6555622642415</v>
      </c>
      <c r="F21">
        <v>2.5703474326865701</v>
      </c>
      <c r="G21">
        <v>-188.3068141572806</v>
      </c>
      <c r="H21">
        <v>-163.52170085901238</v>
      </c>
      <c r="I21">
        <v>24.367215551558999</v>
      </c>
      <c r="J21">
        <v>14.312354103456199</v>
      </c>
      <c r="K21">
        <v>4.5346252090360197</v>
      </c>
      <c r="L21">
        <v>3.2117481163917416E-5</v>
      </c>
      <c r="M21">
        <v>1.8189966219540708E-6</v>
      </c>
      <c r="N21" s="1">
        <v>-2.5429715022915998E-7</v>
      </c>
      <c r="O21" s="1">
        <v>3.9602985497765299E-11</v>
      </c>
      <c r="P21" s="1">
        <v>8.3405948462734003E-10</v>
      </c>
      <c r="Q21">
        <v>65.535641954486394</v>
      </c>
      <c r="S21">
        <v>21.114143663504102</v>
      </c>
      <c r="AA21">
        <v>2.1275385934683899</v>
      </c>
      <c r="AB21">
        <v>9.0610597113556306</v>
      </c>
      <c r="AC21">
        <v>2.1616160771853901</v>
      </c>
      <c r="AJ21">
        <v>0.77717814687979003</v>
      </c>
      <c r="AK21">
        <v>0.100839300694161</v>
      </c>
      <c r="AL21">
        <v>0.121982552426048</v>
      </c>
    </row>
    <row r="22" spans="1:38" x14ac:dyDescent="0.2">
      <c r="A22">
        <v>27</v>
      </c>
      <c r="B22">
        <v>742</v>
      </c>
      <c r="C22">
        <v>250</v>
      </c>
      <c r="D22">
        <v>0.318396788651924</v>
      </c>
      <c r="E22">
        <v>24.9299817925321</v>
      </c>
      <c r="F22">
        <v>2.5689117526858198</v>
      </c>
      <c r="G22">
        <v>-402.50814149494499</v>
      </c>
      <c r="H22">
        <v>-349.65531500394013</v>
      </c>
      <c r="I22">
        <v>52.064056041968897</v>
      </c>
      <c r="J22">
        <v>30.642081037137999</v>
      </c>
      <c r="K22">
        <v>9.7044913148408405</v>
      </c>
      <c r="L22">
        <v>3.2255225371393824E-5</v>
      </c>
      <c r="M22">
        <v>1.8215936984047192E-6</v>
      </c>
      <c r="N22" s="1">
        <v>-5.7847626971611103E-7</v>
      </c>
      <c r="O22" s="1">
        <v>8.4664843289144194E-11</v>
      </c>
      <c r="P22" s="1">
        <v>1.8822144257937199E-9</v>
      </c>
      <c r="Q22">
        <v>65.649546734063193</v>
      </c>
      <c r="S22">
        <v>21.010843139072701</v>
      </c>
      <c r="AA22">
        <v>2.0157364799635999</v>
      </c>
      <c r="AB22">
        <v>9.0440746505311491</v>
      </c>
      <c r="AC22">
        <v>2.27979899636918</v>
      </c>
      <c r="AJ22">
        <v>0.77578860227560897</v>
      </c>
      <c r="AK22">
        <v>9.5548484317724905E-2</v>
      </c>
      <c r="AL22">
        <v>0.128662913406665</v>
      </c>
    </row>
    <row r="23" spans="1:38" x14ac:dyDescent="0.2">
      <c r="A23">
        <v>27</v>
      </c>
      <c r="B23">
        <v>742</v>
      </c>
      <c r="C23">
        <v>250</v>
      </c>
      <c r="D23">
        <v>0.318396788651924</v>
      </c>
      <c r="E23">
        <v>23.7335563508882</v>
      </c>
      <c r="F23">
        <v>2.5253578449187</v>
      </c>
      <c r="G23">
        <v>-374.54980403489623</v>
      </c>
      <c r="H23">
        <v>-324.9785511002118</v>
      </c>
      <c r="I23">
        <v>48.831456370668803</v>
      </c>
      <c r="J23">
        <v>28.352628817318699</v>
      </c>
      <c r="K23">
        <v>9.3980963524210193</v>
      </c>
      <c r="L23">
        <v>2.9061596494657062E-5</v>
      </c>
      <c r="M23">
        <v>1.7988829181376881E-6</v>
      </c>
      <c r="N23" s="1">
        <v>-2.6799416417477003E-7</v>
      </c>
      <c r="O23" s="1">
        <v>8.8780043614018206E-11</v>
      </c>
      <c r="P23" s="1">
        <v>9.6419026379252806E-10</v>
      </c>
      <c r="Q23">
        <v>66.120124601810105</v>
      </c>
      <c r="S23">
        <v>19.017339104954999</v>
      </c>
      <c r="AA23">
        <v>0.26127232774069498</v>
      </c>
      <c r="AB23">
        <v>4.8665021987830297</v>
      </c>
      <c r="AC23">
        <v>9.7347617667111592</v>
      </c>
      <c r="AJ23">
        <v>0.426301236634612</v>
      </c>
      <c r="AK23">
        <v>1.2647476274697899E-2</v>
      </c>
      <c r="AL23">
        <v>0.56105128709068897</v>
      </c>
    </row>
    <row r="24" spans="1:38" x14ac:dyDescent="0.2">
      <c r="A24">
        <v>28</v>
      </c>
      <c r="B24">
        <v>740</v>
      </c>
      <c r="C24">
        <v>250</v>
      </c>
      <c r="D24">
        <v>0.31691309282929903</v>
      </c>
      <c r="E24">
        <v>28.3463008032254</v>
      </c>
      <c r="F24">
        <v>2.5690094781396202</v>
      </c>
      <c r="G24">
        <v>-457.56401166257689</v>
      </c>
      <c r="H24">
        <v>-397.65425191868752</v>
      </c>
      <c r="I24">
        <v>59.132171686215699</v>
      </c>
      <c r="J24">
        <v>34.885536207238502</v>
      </c>
      <c r="K24">
        <v>11.033941697931199</v>
      </c>
      <c r="L24">
        <v>3.2399547362098503E-5</v>
      </c>
      <c r="M24">
        <v>1.8226101543602286E-6</v>
      </c>
      <c r="N24" s="1">
        <v>-7.0250608441658403E-7</v>
      </c>
      <c r="O24" s="1">
        <v>9.59159032647349E-11</v>
      </c>
      <c r="P24" s="1">
        <v>2.2675642056485898E-9</v>
      </c>
      <c r="Q24">
        <v>65.667996128819993</v>
      </c>
      <c r="S24">
        <v>21.001386051432</v>
      </c>
      <c r="AA24">
        <v>2.0036293717801001</v>
      </c>
      <c r="AB24">
        <v>9.0603951527742002</v>
      </c>
      <c r="AC24">
        <v>2.2665932951935499</v>
      </c>
      <c r="AJ24">
        <v>0.77712577652583603</v>
      </c>
      <c r="AK24">
        <v>9.4966920453407294E-2</v>
      </c>
      <c r="AL24">
        <v>0.12790730302075601</v>
      </c>
    </row>
    <row r="25" spans="1:38" x14ac:dyDescent="0.2">
      <c r="A25">
        <v>28</v>
      </c>
      <c r="B25">
        <v>740</v>
      </c>
      <c r="C25">
        <v>250</v>
      </c>
      <c r="D25">
        <v>0.31691309282929903</v>
      </c>
      <c r="E25">
        <v>30.049116655991199</v>
      </c>
      <c r="F25">
        <v>2.5253873241096398</v>
      </c>
      <c r="G25">
        <v>-474.05223872968702</v>
      </c>
      <c r="H25">
        <v>-411.49158168048683</v>
      </c>
      <c r="I25">
        <v>61.748662142032401</v>
      </c>
      <c r="J25">
        <v>35.913497423028097</v>
      </c>
      <c r="K25">
        <v>11.8988150328922</v>
      </c>
      <c r="L25">
        <v>2.910925729166485E-5</v>
      </c>
      <c r="M25">
        <v>1.7991034192936329E-6</v>
      </c>
      <c r="N25" s="1">
        <v>-3.6243129492702301E-7</v>
      </c>
      <c r="O25" s="1">
        <v>1.12240039630814E-10</v>
      </c>
      <c r="P25" s="1">
        <v>1.2865894090260199E-9</v>
      </c>
      <c r="Q25">
        <v>66.1204741344349</v>
      </c>
      <c r="S25">
        <v>19.010536349912901</v>
      </c>
      <c r="AA25">
        <v>0.25557842651673301</v>
      </c>
      <c r="AB25">
        <v>4.8494468067350098</v>
      </c>
      <c r="AC25">
        <v>9.7639642824003694</v>
      </c>
      <c r="AJ25">
        <v>0.42484399586329902</v>
      </c>
      <c r="AK25">
        <v>1.23729217797136E-2</v>
      </c>
      <c r="AL25">
        <v>0.56278308235698704</v>
      </c>
    </row>
    <row r="26" spans="1:38" x14ac:dyDescent="0.2">
      <c r="A26">
        <v>30</v>
      </c>
      <c r="B26">
        <v>760</v>
      </c>
      <c r="C26">
        <v>225</v>
      </c>
      <c r="D26">
        <v>0.35810918066108399</v>
      </c>
      <c r="E26">
        <v>0.82182381497405299</v>
      </c>
      <c r="F26">
        <v>2.5797439116822001</v>
      </c>
      <c r="G26">
        <v>-13.352190338111535</v>
      </c>
      <c r="H26">
        <v>-11.562699467104094</v>
      </c>
      <c r="I26">
        <v>1.7320726622537199</v>
      </c>
      <c r="J26">
        <v>1.0033339300853901</v>
      </c>
      <c r="K26">
        <v>0.31856798314455798</v>
      </c>
      <c r="L26">
        <v>3.117565751522947E-5</v>
      </c>
      <c r="M26">
        <v>1.8003983926755107E-6</v>
      </c>
      <c r="N26" s="1">
        <v>-1.0804334018839301E-8</v>
      </c>
      <c r="O26" s="1">
        <v>2.7904182871125999E-12</v>
      </c>
      <c r="P26" s="1">
        <v>3.8407708252302599E-11</v>
      </c>
      <c r="Q26">
        <v>64.659246164537606</v>
      </c>
      <c r="S26">
        <v>21.9092126364202</v>
      </c>
      <c r="AA26">
        <v>2.9879736134658699</v>
      </c>
      <c r="AB26">
        <v>9.1924353624375499</v>
      </c>
      <c r="AC26">
        <v>1.2511322231386599</v>
      </c>
      <c r="AJ26">
        <v>0.78791790028076703</v>
      </c>
      <c r="AK26">
        <v>0.141526553461018</v>
      </c>
      <c r="AL26">
        <v>7.0555546258213697E-2</v>
      </c>
    </row>
    <row r="27" spans="1:38" x14ac:dyDescent="0.2">
      <c r="A27">
        <v>31</v>
      </c>
      <c r="B27">
        <v>758</v>
      </c>
      <c r="C27">
        <v>225</v>
      </c>
      <c r="D27">
        <v>0.356728410027642</v>
      </c>
      <c r="E27">
        <v>1.70331083969819</v>
      </c>
      <c r="F27">
        <v>2.5788464531825599</v>
      </c>
      <c r="G27">
        <v>-27.662281828480246</v>
      </c>
      <c r="H27">
        <v>-23.964022176027715</v>
      </c>
      <c r="I27">
        <v>3.5865389637322602</v>
      </c>
      <c r="J27">
        <v>2.08103554196936</v>
      </c>
      <c r="K27">
        <v>0.66049331382104104</v>
      </c>
      <c r="L27">
        <v>3.130087684012449E-5</v>
      </c>
      <c r="M27">
        <v>1.803228521466025E-6</v>
      </c>
      <c r="N27" s="1">
        <v>-2.3901225124395598E-8</v>
      </c>
      <c r="O27" s="1">
        <v>5.7832067276604702E-12</v>
      </c>
      <c r="P27" s="1">
        <v>8.3950238228660703E-11</v>
      </c>
      <c r="Q27">
        <v>64.7700594017345</v>
      </c>
      <c r="S27">
        <v>21.824976091578499</v>
      </c>
      <c r="AA27">
        <v>2.8926208474723598</v>
      </c>
      <c r="AB27">
        <v>9.2185396661620196</v>
      </c>
      <c r="AC27">
        <v>1.2938039930524801</v>
      </c>
      <c r="AJ27">
        <v>0.79005468127540901</v>
      </c>
      <c r="AK27">
        <v>0.136992668111902</v>
      </c>
      <c r="AL27">
        <v>7.2952650612688505E-2</v>
      </c>
    </row>
    <row r="28" spans="1:38" x14ac:dyDescent="0.2">
      <c r="A28">
        <v>32</v>
      </c>
      <c r="B28">
        <v>756</v>
      </c>
      <c r="C28">
        <v>225</v>
      </c>
      <c r="D28">
        <v>0.35534227274935698</v>
      </c>
      <c r="E28">
        <v>2.9449346955313702</v>
      </c>
      <c r="F28">
        <v>2.5776425011650499</v>
      </c>
      <c r="G28">
        <v>-47.802971350705448</v>
      </c>
      <c r="H28">
        <v>-41.427066132692296</v>
      </c>
      <c r="I28">
        <v>6.1953118768042996</v>
      </c>
      <c r="J28">
        <v>3.6007185794276699</v>
      </c>
      <c r="K28">
        <v>1.1424915185873501</v>
      </c>
      <c r="L28">
        <v>3.1434130086922263E-5</v>
      </c>
      <c r="M28">
        <v>1.8064739166014224E-6</v>
      </c>
      <c r="N28" s="1">
        <v>-4.40846863881449E-8</v>
      </c>
      <c r="O28" s="1">
        <v>1.0002998830900901E-11</v>
      </c>
      <c r="P28" s="1">
        <v>1.5308568983248801E-10</v>
      </c>
      <c r="Q28">
        <v>64.902544256450597</v>
      </c>
      <c r="S28">
        <v>21.720454796479199</v>
      </c>
      <c r="AA28">
        <v>2.7754761791389702</v>
      </c>
      <c r="AB28">
        <v>9.2397588975444602</v>
      </c>
      <c r="AC28">
        <v>1.36176587038665</v>
      </c>
      <c r="AJ28">
        <v>0.79179186343747698</v>
      </c>
      <c r="AK28">
        <v>0.13143126572658101</v>
      </c>
      <c r="AL28">
        <v>7.6776870835941896E-2</v>
      </c>
    </row>
    <row r="29" spans="1:38" x14ac:dyDescent="0.2">
      <c r="A29">
        <v>33</v>
      </c>
      <c r="B29">
        <v>754</v>
      </c>
      <c r="C29">
        <v>225</v>
      </c>
      <c r="D29">
        <v>0.35395073747748601</v>
      </c>
      <c r="E29">
        <v>5.3839625387445498</v>
      </c>
      <c r="F29">
        <v>2.5753216241602899</v>
      </c>
      <c r="G29">
        <v>-87.324296325762219</v>
      </c>
      <c r="H29">
        <v>-75.699857937660738</v>
      </c>
      <c r="I29">
        <v>11.317177031690999</v>
      </c>
      <c r="J29">
        <v>6.5873409477083698</v>
      </c>
      <c r="K29">
        <v>2.0905981172351802</v>
      </c>
      <c r="L29">
        <v>3.1580590888552517E-5</v>
      </c>
      <c r="M29">
        <v>1.811109028764785E-6</v>
      </c>
      <c r="N29" s="1">
        <v>-8.5776452214376996E-8</v>
      </c>
      <c r="O29" s="1">
        <v>1.8331888784745101E-11</v>
      </c>
      <c r="P29" s="1">
        <v>2.9471124427964999E-10</v>
      </c>
      <c r="Q29">
        <v>65.111079562709705</v>
      </c>
      <c r="S29">
        <v>21.543406602904799</v>
      </c>
      <c r="AA29">
        <v>2.5807507437563002</v>
      </c>
      <c r="AB29">
        <v>9.2403137890357208</v>
      </c>
      <c r="AC29">
        <v>1.52444930159334</v>
      </c>
      <c r="AJ29">
        <v>0.79184053902253304</v>
      </c>
      <c r="AK29">
        <v>0.122210315155272</v>
      </c>
      <c r="AL29">
        <v>8.5949145822194095E-2</v>
      </c>
    </row>
    <row r="30" spans="1:38" x14ac:dyDescent="0.2">
      <c r="A30">
        <v>34</v>
      </c>
      <c r="B30">
        <v>752</v>
      </c>
      <c r="C30">
        <v>225</v>
      </c>
      <c r="D30">
        <v>0.35255377261864101</v>
      </c>
      <c r="E30">
        <v>7.9632211950279199</v>
      </c>
      <c r="F30">
        <v>2.57285997433755</v>
      </c>
      <c r="G30">
        <v>-129.04196646361035</v>
      </c>
      <c r="H30">
        <v>-111.8970821781211</v>
      </c>
      <c r="I30">
        <v>16.7242689220984</v>
      </c>
      <c r="J30">
        <v>9.7487058879776392</v>
      </c>
      <c r="K30">
        <v>3.0950853425586198</v>
      </c>
      <c r="L30">
        <v>3.1707947396339324E-5</v>
      </c>
      <c r="M30">
        <v>1.8152657765531396E-6</v>
      </c>
      <c r="N30" s="1">
        <v>-1.3460326782577599E-7</v>
      </c>
      <c r="O30" s="1">
        <v>2.7181782256805399E-11</v>
      </c>
      <c r="P30" s="1">
        <v>4.5799211744648298E-10</v>
      </c>
      <c r="Q30">
        <v>65.307199366484198</v>
      </c>
      <c r="S30">
        <v>21.366869627969901</v>
      </c>
      <c r="AA30">
        <v>2.38934405675966</v>
      </c>
      <c r="AB30">
        <v>9.2145416250588301</v>
      </c>
      <c r="AC30">
        <v>1.7220453237273601</v>
      </c>
      <c r="AJ30">
        <v>0.78973622070200999</v>
      </c>
      <c r="AK30">
        <v>0.11316126723311</v>
      </c>
      <c r="AL30">
        <v>9.7102512064879201E-2</v>
      </c>
    </row>
    <row r="31" spans="1:38" x14ac:dyDescent="0.2">
      <c r="A31">
        <v>35</v>
      </c>
      <c r="B31">
        <v>750</v>
      </c>
      <c r="C31">
        <v>225</v>
      </c>
      <c r="D31">
        <v>0.35115134633240402</v>
      </c>
      <c r="E31">
        <v>10.762213005711899</v>
      </c>
      <c r="F31">
        <v>2.57013181574739</v>
      </c>
      <c r="G31">
        <v>-174.21438507841597</v>
      </c>
      <c r="H31">
        <v>-151.11033824128677</v>
      </c>
      <c r="I31">
        <v>22.5812899742258</v>
      </c>
      <c r="J31">
        <v>13.180626755576901</v>
      </c>
      <c r="K31">
        <v>4.1874167463984104</v>
      </c>
      <c r="L31">
        <v>3.1808356128223066E-5</v>
      </c>
      <c r="M31">
        <v>1.8188867610913705E-6</v>
      </c>
      <c r="N31" s="1">
        <v>-1.92175732815474E-7</v>
      </c>
      <c r="O31" s="1">
        <v>3.6839686379096402E-11</v>
      </c>
      <c r="P31" s="1">
        <v>6.4817699658249803E-10</v>
      </c>
      <c r="Q31">
        <v>65.492423890756498</v>
      </c>
      <c r="S31">
        <v>21.185696226448599</v>
      </c>
      <c r="AA31">
        <v>2.1966545348798499</v>
      </c>
      <c r="AB31">
        <v>9.1523349198203192</v>
      </c>
      <c r="AC31">
        <v>1.97289042809465</v>
      </c>
      <c r="AJ31">
        <v>0.78465017274093996</v>
      </c>
      <c r="AK31">
        <v>0.10406788349441901</v>
      </c>
      <c r="AL31">
        <v>0.111281943764639</v>
      </c>
    </row>
    <row r="32" spans="1:38" x14ac:dyDescent="0.2">
      <c r="A32">
        <v>36</v>
      </c>
      <c r="B32">
        <v>748</v>
      </c>
      <c r="C32">
        <v>225</v>
      </c>
      <c r="D32">
        <v>0.34974342652891699</v>
      </c>
      <c r="E32">
        <v>13.97402676884</v>
      </c>
      <c r="F32">
        <v>2.5668525174235701</v>
      </c>
      <c r="G32">
        <v>-225.90228328995846</v>
      </c>
      <c r="H32">
        <v>-195.99369979081698</v>
      </c>
      <c r="I32">
        <v>29.2891186399074</v>
      </c>
      <c r="J32">
        <v>17.115617789127199</v>
      </c>
      <c r="K32">
        <v>5.4440318148337496</v>
      </c>
      <c r="L32">
        <v>3.1864298365349597E-5</v>
      </c>
      <c r="M32">
        <v>1.8218492044055939E-6</v>
      </c>
      <c r="N32" s="1">
        <v>-2.6172517292284902E-7</v>
      </c>
      <c r="O32" s="1">
        <v>4.8011779786840097E-11</v>
      </c>
      <c r="P32" s="1">
        <v>8.7610836631103096E-10</v>
      </c>
      <c r="Q32">
        <v>65.670490604963902</v>
      </c>
      <c r="S32">
        <v>20.9880604408397</v>
      </c>
      <c r="AA32">
        <v>1.9920535546915801</v>
      </c>
      <c r="AB32">
        <v>9.0310191384969105</v>
      </c>
      <c r="AC32">
        <v>2.31837626100786</v>
      </c>
      <c r="AJ32">
        <v>0.77471933480562905</v>
      </c>
      <c r="AK32">
        <v>9.4432053191453105E-2</v>
      </c>
      <c r="AL32">
        <v>0.130848612002917</v>
      </c>
    </row>
    <row r="33" spans="1:38" x14ac:dyDescent="0.2">
      <c r="A33">
        <v>37</v>
      </c>
      <c r="B33">
        <v>746</v>
      </c>
      <c r="C33">
        <v>225</v>
      </c>
      <c r="D33">
        <v>0.34832998086640898</v>
      </c>
      <c r="E33">
        <v>25.7741420622372</v>
      </c>
      <c r="F33">
        <v>2.5668824106515302</v>
      </c>
      <c r="G33">
        <v>-416.51850640888085</v>
      </c>
      <c r="H33">
        <v>-361.52672212371436</v>
      </c>
      <c r="I33">
        <v>53.958479404568997</v>
      </c>
      <c r="J33">
        <v>31.593715872642498</v>
      </c>
      <c r="K33">
        <v>10.041029520980301</v>
      </c>
      <c r="L33">
        <v>3.1949674099428189E-5</v>
      </c>
      <c r="M33">
        <v>1.8220603768299234E-6</v>
      </c>
      <c r="N33" s="1">
        <v>-5.12961802543853E-7</v>
      </c>
      <c r="O33" s="1">
        <v>8.8317602918354098E-11</v>
      </c>
      <c r="P33" s="1">
        <v>1.70229256000204E-9</v>
      </c>
      <c r="Q33">
        <v>65.666287996723796</v>
      </c>
      <c r="S33">
        <v>20.9845328149732</v>
      </c>
      <c r="AA33">
        <v>1.99012384841125</v>
      </c>
      <c r="AB33">
        <v>9.0124057215371494</v>
      </c>
      <c r="AC33">
        <v>2.3466496183544998</v>
      </c>
      <c r="AJ33">
        <v>0.77319409621618396</v>
      </c>
      <c r="AK33">
        <v>9.4349301449083905E-2</v>
      </c>
      <c r="AL33">
        <v>0.132456602334731</v>
      </c>
    </row>
    <row r="34" spans="1:38" x14ac:dyDescent="0.2">
      <c r="A34">
        <v>37</v>
      </c>
      <c r="B34">
        <v>746</v>
      </c>
      <c r="C34">
        <v>225</v>
      </c>
      <c r="D34">
        <v>0.34832998086640898</v>
      </c>
      <c r="E34">
        <v>25.300924977398399</v>
      </c>
      <c r="F34">
        <v>2.5243796996714498</v>
      </c>
      <c r="G34">
        <v>-399.96315079518462</v>
      </c>
      <c r="H34">
        <v>-346.74756487344803</v>
      </c>
      <c r="I34">
        <v>52.215656107282001</v>
      </c>
      <c r="J34">
        <v>30.211430862882501</v>
      </c>
      <c r="K34">
        <v>10.022630502333399</v>
      </c>
      <c r="L34">
        <v>2.9008177367670837E-5</v>
      </c>
      <c r="M34">
        <v>1.8009575099098859E-6</v>
      </c>
      <c r="N34" s="1">
        <v>-2.4931744684557601E-7</v>
      </c>
      <c r="O34" s="1">
        <v>9.48470683287276E-11</v>
      </c>
      <c r="P34" s="1">
        <v>9.2405918107935105E-10</v>
      </c>
      <c r="Q34">
        <v>66.1437003517741</v>
      </c>
      <c r="S34">
        <v>19.0420131806701</v>
      </c>
      <c r="AA34">
        <v>0.27612761389500601</v>
      </c>
      <c r="AB34">
        <v>4.9837257908326604</v>
      </c>
      <c r="AC34">
        <v>9.5544330628280001</v>
      </c>
      <c r="AJ34">
        <v>0.43631041952664401</v>
      </c>
      <c r="AK34">
        <v>1.3358634757579301E-2</v>
      </c>
      <c r="AL34">
        <v>0.55033094571577601</v>
      </c>
    </row>
    <row r="35" spans="1:38" x14ac:dyDescent="0.2">
      <c r="A35">
        <v>38</v>
      </c>
      <c r="B35">
        <v>744</v>
      </c>
      <c r="C35">
        <v>225</v>
      </c>
      <c r="D35">
        <v>0.34691097674876298</v>
      </c>
      <c r="E35">
        <v>28.1753197775868</v>
      </c>
      <c r="F35">
        <v>2.5672661922105098</v>
      </c>
      <c r="G35">
        <v>-455.24435262632051</v>
      </c>
      <c r="H35">
        <v>-395.31583827589316</v>
      </c>
      <c r="I35">
        <v>58.918069459201803</v>
      </c>
      <c r="J35">
        <v>34.574083589346102</v>
      </c>
      <c r="K35">
        <v>10.9748337991109</v>
      </c>
      <c r="L35">
        <v>3.2066589881228554E-5</v>
      </c>
      <c r="M35">
        <v>1.8225194858138148E-6</v>
      </c>
      <c r="N35" s="1">
        <v>-5.9845617302635703E-7</v>
      </c>
      <c r="O35" s="1">
        <v>9.61984993118989E-11</v>
      </c>
      <c r="P35" s="1">
        <v>1.96864205070332E-9</v>
      </c>
      <c r="Q35">
        <v>65.660073143413399</v>
      </c>
      <c r="S35">
        <v>20.995158714110602</v>
      </c>
      <c r="AA35">
        <v>2.00034047505754</v>
      </c>
      <c r="AB35">
        <v>9.0264134302117398</v>
      </c>
      <c r="AC35">
        <v>2.3180142372066701</v>
      </c>
      <c r="AJ35">
        <v>0.77434181007840397</v>
      </c>
      <c r="AK35">
        <v>9.4827041432802905E-2</v>
      </c>
      <c r="AL35">
        <v>0.13083114848879199</v>
      </c>
    </row>
    <row r="36" spans="1:38" x14ac:dyDescent="0.2">
      <c r="A36">
        <v>38</v>
      </c>
      <c r="B36">
        <v>744</v>
      </c>
      <c r="C36">
        <v>225</v>
      </c>
      <c r="D36">
        <v>0.34691097674876298</v>
      </c>
      <c r="E36">
        <v>30.5020962114064</v>
      </c>
      <c r="F36">
        <v>2.5243748918878999</v>
      </c>
      <c r="G36">
        <v>-481.98158760384649</v>
      </c>
      <c r="H36">
        <v>-418.03673347643496</v>
      </c>
      <c r="I36">
        <v>62.866690387269898</v>
      </c>
      <c r="J36">
        <v>36.431656849579298</v>
      </c>
      <c r="K36">
        <v>12.083029469761</v>
      </c>
      <c r="L36">
        <v>2.9035123203895408E-5</v>
      </c>
      <c r="M36">
        <v>1.800958687058916E-6</v>
      </c>
      <c r="N36" s="1">
        <v>-3.19775140499064E-7</v>
      </c>
      <c r="O36" s="1">
        <v>1.1422318001156899E-10</v>
      </c>
      <c r="P36" s="1">
        <v>1.16881539639665E-9</v>
      </c>
      <c r="Q36">
        <v>66.138460536142901</v>
      </c>
      <c r="S36">
        <v>19.033725993637098</v>
      </c>
      <c r="AA36">
        <v>0.27051323908346397</v>
      </c>
      <c r="AB36">
        <v>4.9503232044313599</v>
      </c>
      <c r="AC36">
        <v>9.60697702670506</v>
      </c>
      <c r="AJ36">
        <v>0.43345955198279501</v>
      </c>
      <c r="AK36">
        <v>1.3089237199717999E-2</v>
      </c>
      <c r="AL36">
        <v>0.55345121081748605</v>
      </c>
    </row>
    <row r="37" spans="1:38" x14ac:dyDescent="0.2">
      <c r="A37">
        <v>40</v>
      </c>
      <c r="B37">
        <v>770</v>
      </c>
      <c r="C37">
        <v>200</v>
      </c>
      <c r="D37">
        <v>0.39129607439006903</v>
      </c>
      <c r="E37">
        <v>0.32740814158918802</v>
      </c>
      <c r="F37">
        <v>2.5785468420663902</v>
      </c>
      <c r="G37">
        <v>-5.330217387339415</v>
      </c>
      <c r="H37">
        <v>-4.6063766112490985</v>
      </c>
      <c r="I37">
        <v>0.69389903282396104</v>
      </c>
      <c r="J37">
        <v>0.39866901470411098</v>
      </c>
      <c r="K37">
        <v>0.126973897176446</v>
      </c>
      <c r="L37">
        <v>3.0806149826251113E-5</v>
      </c>
      <c r="M37">
        <v>1.7985653373488098E-6</v>
      </c>
      <c r="N37" s="1">
        <v>-3.0924284283803701E-9</v>
      </c>
      <c r="O37" s="1">
        <v>1.1204358946669401E-12</v>
      </c>
      <c r="P37" s="1">
        <v>1.17852421329206E-11</v>
      </c>
      <c r="Q37">
        <v>64.585289559076301</v>
      </c>
      <c r="S37">
        <v>21.9678581721363</v>
      </c>
      <c r="AA37">
        <v>3.0536135437467999</v>
      </c>
      <c r="AB37">
        <v>9.1813739288814897</v>
      </c>
      <c r="AC37">
        <v>1.2118647961589399</v>
      </c>
      <c r="AJ37">
        <v>0.78701187096120595</v>
      </c>
      <c r="AK37">
        <v>0.14464334990920499</v>
      </c>
      <c r="AL37">
        <v>6.8344779129588307E-2</v>
      </c>
    </row>
    <row r="38" spans="1:38" x14ac:dyDescent="0.2">
      <c r="A38">
        <v>41</v>
      </c>
      <c r="B38">
        <v>768</v>
      </c>
      <c r="C38">
        <v>200</v>
      </c>
      <c r="D38">
        <v>0.38999231618883101</v>
      </c>
      <c r="E38">
        <v>1.1725493297630101</v>
      </c>
      <c r="F38">
        <v>2.5776739712306398</v>
      </c>
      <c r="G38">
        <v>-19.081424793912177</v>
      </c>
      <c r="H38">
        <v>-16.496461275353191</v>
      </c>
      <c r="I38">
        <v>2.4827964448532698</v>
      </c>
      <c r="J38">
        <v>1.4285004067233</v>
      </c>
      <c r="K38">
        <v>0.454886592660596</v>
      </c>
      <c r="L38">
        <v>3.0910934814434324E-5</v>
      </c>
      <c r="M38">
        <v>1.8013218946358452E-6</v>
      </c>
      <c r="N38" s="1">
        <v>-1.18219806221244E-8</v>
      </c>
      <c r="O38" s="1">
        <v>4.0146790082532703E-12</v>
      </c>
      <c r="P38" s="1">
        <v>4.4373085256654099E-11</v>
      </c>
      <c r="Q38">
        <v>64.694898170617904</v>
      </c>
      <c r="S38">
        <v>21.885091099287902</v>
      </c>
      <c r="AA38">
        <v>2.9597541901223101</v>
      </c>
      <c r="AB38">
        <v>9.2086462007973999</v>
      </c>
      <c r="AC38">
        <v>1.2516103391742901</v>
      </c>
      <c r="AJ38">
        <v>0.78924438645041295</v>
      </c>
      <c r="AK38">
        <v>0.14017873886006799</v>
      </c>
      <c r="AL38">
        <v>7.0576874689518204E-2</v>
      </c>
    </row>
    <row r="39" spans="1:38" x14ac:dyDescent="0.2">
      <c r="A39">
        <v>42</v>
      </c>
      <c r="B39">
        <v>766</v>
      </c>
      <c r="C39">
        <v>200</v>
      </c>
      <c r="D39">
        <v>0.38868353943126899</v>
      </c>
      <c r="E39">
        <v>2.0222404443871098</v>
      </c>
      <c r="F39">
        <v>2.5768311973108902</v>
      </c>
      <c r="G39">
        <v>-32.895477772093862</v>
      </c>
      <c r="H39">
        <v>-28.450010004319861</v>
      </c>
      <c r="I39">
        <v>4.2779846680209799</v>
      </c>
      <c r="J39">
        <v>2.46500896646632</v>
      </c>
      <c r="K39">
        <v>0.78477800427806899</v>
      </c>
      <c r="L39">
        <v>3.1015737972373227E-5</v>
      </c>
      <c r="M39">
        <v>1.8039598514641785E-6</v>
      </c>
      <c r="N39" s="1">
        <v>-2.17526747692997E-8</v>
      </c>
      <c r="O39" s="1">
        <v>6.9263224199695598E-12</v>
      </c>
      <c r="P39" s="1">
        <v>8.0478866361685402E-11</v>
      </c>
      <c r="Q39">
        <v>64.799444798346599</v>
      </c>
      <c r="S39">
        <v>21.805570627795699</v>
      </c>
      <c r="AA39">
        <v>2.8697544605802001</v>
      </c>
      <c r="AB39">
        <v>9.2331495007409394</v>
      </c>
      <c r="AC39">
        <v>1.2920806125364599</v>
      </c>
      <c r="AJ39">
        <v>0.79124982176061098</v>
      </c>
      <c r="AK39">
        <v>0.135899947050616</v>
      </c>
      <c r="AL39">
        <v>7.2850231188771999E-2</v>
      </c>
    </row>
    <row r="40" spans="1:38" x14ac:dyDescent="0.2">
      <c r="A40">
        <v>43</v>
      </c>
      <c r="B40">
        <v>764</v>
      </c>
      <c r="C40">
        <v>200</v>
      </c>
      <c r="D40">
        <v>0.38736971508460899</v>
      </c>
      <c r="E40">
        <v>2.8749505028504698</v>
      </c>
      <c r="F40">
        <v>2.5760188671592799</v>
      </c>
      <c r="G40">
        <v>-46.747361449566888</v>
      </c>
      <c r="H40">
        <v>-40.445510298590939</v>
      </c>
      <c r="I40">
        <v>6.0761231750238203</v>
      </c>
      <c r="J40">
        <v>3.5064177111139601</v>
      </c>
      <c r="K40">
        <v>1.1160440397010101</v>
      </c>
      <c r="L40">
        <v>3.1120770626855853E-5</v>
      </c>
      <c r="M40">
        <v>1.8064808105065315E-6</v>
      </c>
      <c r="N40" s="1">
        <v>-3.2978932353629398E-8</v>
      </c>
      <c r="O40" s="1">
        <v>9.8486320717531495E-12</v>
      </c>
      <c r="P40" s="1">
        <v>1.2035641047073E-10</v>
      </c>
      <c r="Q40">
        <v>64.898950461051498</v>
      </c>
      <c r="S40">
        <v>21.729296999793</v>
      </c>
      <c r="AA40">
        <v>2.78360965043588</v>
      </c>
      <c r="AB40">
        <v>9.2549313027412499</v>
      </c>
      <c r="AC40">
        <v>1.3332115859782201</v>
      </c>
      <c r="AJ40">
        <v>0.79303222178035604</v>
      </c>
      <c r="AK40">
        <v>0.13180647876069501</v>
      </c>
      <c r="AL40">
        <v>7.5161299458948103E-2</v>
      </c>
    </row>
    <row r="41" spans="1:38" x14ac:dyDescent="0.2">
      <c r="A41">
        <v>44</v>
      </c>
      <c r="B41">
        <v>762</v>
      </c>
      <c r="C41">
        <v>200</v>
      </c>
      <c r="D41">
        <v>0.38605081389170998</v>
      </c>
      <c r="E41">
        <v>3.7291293836838801</v>
      </c>
      <c r="F41">
        <v>2.5752371166005101</v>
      </c>
      <c r="G41">
        <v>-60.61180213516046</v>
      </c>
      <c r="H41">
        <v>-52.461191975366368</v>
      </c>
      <c r="I41">
        <v>7.87384452474915</v>
      </c>
      <c r="J41">
        <v>4.5509322200812603</v>
      </c>
      <c r="K41">
        <v>1.44807224144337</v>
      </c>
      <c r="L41">
        <v>3.122627827695608E-5</v>
      </c>
      <c r="M41">
        <v>1.8088872106290394E-6</v>
      </c>
      <c r="N41" s="1">
        <v>-4.5601307684429403E-8</v>
      </c>
      <c r="O41" s="1">
        <v>1.27747201771448E-11</v>
      </c>
      <c r="P41" s="1">
        <v>1.6427586630820799E-10</v>
      </c>
      <c r="Q41">
        <v>64.993469055737407</v>
      </c>
      <c r="S41">
        <v>21.656248576919499</v>
      </c>
      <c r="AA41">
        <v>2.7012893316911799</v>
      </c>
      <c r="AB41">
        <v>9.2740549856082204</v>
      </c>
      <c r="AC41">
        <v>1.3749380500436299</v>
      </c>
      <c r="AJ41">
        <v>0.794596910305023</v>
      </c>
      <c r="AK41">
        <v>0.12789662942462901</v>
      </c>
      <c r="AL41">
        <v>7.7506460270346994E-2</v>
      </c>
    </row>
    <row r="42" spans="1:38" x14ac:dyDescent="0.2">
      <c r="A42">
        <v>45</v>
      </c>
      <c r="B42">
        <v>760</v>
      </c>
      <c r="C42">
        <v>200</v>
      </c>
      <c r="D42">
        <v>0.38472680636887402</v>
      </c>
      <c r="E42">
        <v>5.6084528092008297</v>
      </c>
      <c r="F42">
        <v>2.57353440636038</v>
      </c>
      <c r="G42">
        <v>-91.098337792844447</v>
      </c>
      <c r="H42">
        <v>-78.874527865439319</v>
      </c>
      <c r="I42">
        <v>11.8315926316654</v>
      </c>
      <c r="J42">
        <v>6.8481623166566896</v>
      </c>
      <c r="K42">
        <v>2.17928029069274</v>
      </c>
      <c r="L42">
        <v>3.1345260789373948E-5</v>
      </c>
      <c r="M42">
        <v>1.8124984345944213E-6</v>
      </c>
      <c r="N42" s="1">
        <v>-7.2978991511209796E-8</v>
      </c>
      <c r="O42" s="1">
        <v>1.9244023428949401E-11</v>
      </c>
      <c r="P42" s="1">
        <v>2.5971926773578799E-10</v>
      </c>
      <c r="Q42">
        <v>65.152541294299596</v>
      </c>
      <c r="S42">
        <v>21.522623455708899</v>
      </c>
      <c r="AA42">
        <v>2.5539299062689902</v>
      </c>
      <c r="AB42">
        <v>9.2782233124269702</v>
      </c>
      <c r="AC42">
        <v>1.4926820312954301</v>
      </c>
      <c r="AJ42">
        <v>0.79494012597851005</v>
      </c>
      <c r="AK42">
        <v>0.12091755645486001</v>
      </c>
      <c r="AL42">
        <v>8.4142317566628197E-2</v>
      </c>
    </row>
    <row r="43" spans="1:38" x14ac:dyDescent="0.2">
      <c r="A43">
        <v>46</v>
      </c>
      <c r="B43">
        <v>758</v>
      </c>
      <c r="C43">
        <v>200</v>
      </c>
      <c r="D43">
        <v>0.383397662803666</v>
      </c>
      <c r="E43">
        <v>8.0961213583227192</v>
      </c>
      <c r="F43">
        <v>2.5712712068728201</v>
      </c>
      <c r="G43">
        <v>-131.39461343174605</v>
      </c>
      <c r="H43">
        <v>-113.79835102280781</v>
      </c>
      <c r="I43">
        <v>17.0646970944461</v>
      </c>
      <c r="J43">
        <v>9.8900593824741794</v>
      </c>
      <c r="K43">
        <v>3.1486843304130598</v>
      </c>
      <c r="L43">
        <v>3.1456472854709237E-5</v>
      </c>
      <c r="M43">
        <v>1.8163702313443202E-6</v>
      </c>
      <c r="N43" s="1">
        <v>-1.11742555212294E-7</v>
      </c>
      <c r="O43" s="1">
        <v>2.7850365433123401E-11</v>
      </c>
      <c r="P43" s="1">
        <v>3.9325716195120301E-10</v>
      </c>
      <c r="Q43">
        <v>65.335068009836903</v>
      </c>
      <c r="S43">
        <v>21.359061004526801</v>
      </c>
      <c r="AA43">
        <v>2.3763990955276402</v>
      </c>
      <c r="AB43">
        <v>9.2561740809670994</v>
      </c>
      <c r="AC43">
        <v>1.6732978091414601</v>
      </c>
      <c r="AJ43">
        <v>0.79314074394691103</v>
      </c>
      <c r="AK43">
        <v>0.1125249724455</v>
      </c>
      <c r="AL43">
        <v>9.4334283607588595E-2</v>
      </c>
    </row>
    <row r="44" spans="1:38" x14ac:dyDescent="0.2">
      <c r="A44">
        <v>47</v>
      </c>
      <c r="B44">
        <v>756</v>
      </c>
      <c r="C44">
        <v>200</v>
      </c>
      <c r="D44">
        <v>0.38206335325268598</v>
      </c>
      <c r="E44">
        <v>10.7462723711328</v>
      </c>
      <c r="F44">
        <v>2.5688230157315699</v>
      </c>
      <c r="G44">
        <v>-174.23611053724238</v>
      </c>
      <c r="H44">
        <v>-150.94713583025748</v>
      </c>
      <c r="I44">
        <v>22.629329744920401</v>
      </c>
      <c r="J44">
        <v>13.1315001114531</v>
      </c>
      <c r="K44">
        <v>4.1833447868234899</v>
      </c>
      <c r="L44">
        <v>3.1545681439442109E-5</v>
      </c>
      <c r="M44">
        <v>1.8197458463253934E-6</v>
      </c>
      <c r="N44" s="1">
        <v>-1.5674602824536201E-7</v>
      </c>
      <c r="O44" s="1">
        <v>3.70671059516529E-11</v>
      </c>
      <c r="P44" s="1">
        <v>5.4607837554007402E-10</v>
      </c>
      <c r="Q44">
        <v>65.505741253456804</v>
      </c>
      <c r="S44">
        <v>21.1941275735029</v>
      </c>
      <c r="AA44">
        <v>2.2005030580036302</v>
      </c>
      <c r="AB44">
        <v>9.2041158210023504</v>
      </c>
      <c r="AC44">
        <v>1.89551229403419</v>
      </c>
      <c r="AJ44">
        <v>0.788886671302795</v>
      </c>
      <c r="AK44">
        <v>0.10422341763514301</v>
      </c>
      <c r="AL44">
        <v>0.106889911062061</v>
      </c>
    </row>
    <row r="45" spans="1:38" x14ac:dyDescent="0.2">
      <c r="A45">
        <v>48</v>
      </c>
      <c r="B45">
        <v>754</v>
      </c>
      <c r="C45">
        <v>200</v>
      </c>
      <c r="D45">
        <v>0.38072384753930699</v>
      </c>
      <c r="E45">
        <v>13.6763412652467</v>
      </c>
      <c r="F45">
        <v>2.5660183104177898</v>
      </c>
      <c r="G45">
        <v>-221.48453528862845</v>
      </c>
      <c r="H45">
        <v>-191.93369842551289</v>
      </c>
      <c r="I45">
        <v>28.769738463822801</v>
      </c>
      <c r="J45">
        <v>16.713456297916199</v>
      </c>
      <c r="K45">
        <v>5.3297909877423999</v>
      </c>
      <c r="L45">
        <v>3.1602595293156532E-5</v>
      </c>
      <c r="M45">
        <v>1.8225479150331281E-6</v>
      </c>
      <c r="N45" s="1">
        <v>-2.0968518503581501E-7</v>
      </c>
      <c r="O45" s="1">
        <v>4.7325466083409203E-11</v>
      </c>
      <c r="P45" s="1">
        <v>7.2400119554650896E-10</v>
      </c>
      <c r="Q45">
        <v>65.666629684263398</v>
      </c>
      <c r="S45">
        <v>21.0207633518568</v>
      </c>
      <c r="AA45">
        <v>2.0199346841950301</v>
      </c>
      <c r="AB45">
        <v>9.1081502166302304</v>
      </c>
      <c r="AC45">
        <v>2.18452206305437</v>
      </c>
      <c r="AJ45">
        <v>0.78103634582275805</v>
      </c>
      <c r="AK45">
        <v>9.5717021661259102E-2</v>
      </c>
      <c r="AL45">
        <v>0.123246632515982</v>
      </c>
    </row>
    <row r="46" spans="1:38" x14ac:dyDescent="0.2">
      <c r="A46">
        <v>49</v>
      </c>
      <c r="B46">
        <v>752</v>
      </c>
      <c r="C46">
        <v>200</v>
      </c>
      <c r="D46">
        <v>0.37937911525142798</v>
      </c>
      <c r="E46">
        <v>17.266040748840101</v>
      </c>
      <c r="F46">
        <v>2.5632427589436801</v>
      </c>
      <c r="G46">
        <v>-279.25964275551871</v>
      </c>
      <c r="H46">
        <v>-242.06890450103356</v>
      </c>
      <c r="I46">
        <v>36.2783380524656</v>
      </c>
      <c r="J46">
        <v>21.097571652564099</v>
      </c>
      <c r="K46">
        <v>6.7360146395012404</v>
      </c>
      <c r="L46">
        <v>3.1617507461300248E-5</v>
      </c>
      <c r="M46">
        <v>1.8241794276227082E-6</v>
      </c>
      <c r="N46" s="1">
        <v>-2.7676345941453401E-7</v>
      </c>
      <c r="O46" s="1">
        <v>5.9928919321802904E-11</v>
      </c>
      <c r="P46" s="1">
        <v>9.4813604212086703E-10</v>
      </c>
      <c r="Q46">
        <v>65.787414810448993</v>
      </c>
      <c r="S46">
        <v>20.864955454328602</v>
      </c>
      <c r="AA46">
        <v>1.8632080154320501</v>
      </c>
      <c r="AB46">
        <v>8.9688427343162207</v>
      </c>
      <c r="AC46">
        <v>2.5155789854740198</v>
      </c>
      <c r="AJ46">
        <v>0.76962533434726899</v>
      </c>
      <c r="AK46">
        <v>8.8351734638298499E-2</v>
      </c>
      <c r="AL46">
        <v>0.142022931014432</v>
      </c>
    </row>
    <row r="47" spans="1:38" x14ac:dyDescent="0.2">
      <c r="A47">
        <v>49</v>
      </c>
      <c r="B47">
        <v>752</v>
      </c>
      <c r="C47">
        <v>200</v>
      </c>
      <c r="D47">
        <v>0.37937911525142798</v>
      </c>
      <c r="E47">
        <v>2.0640239432722098</v>
      </c>
      <c r="F47">
        <v>2.5236105321362601</v>
      </c>
      <c r="G47">
        <v>-32.708315896188275</v>
      </c>
      <c r="H47">
        <v>-28.320858301315909</v>
      </c>
      <c r="I47">
        <v>4.27982011888247</v>
      </c>
      <c r="J47">
        <v>2.46456569372135</v>
      </c>
      <c r="K47">
        <v>0.81788529449708203</v>
      </c>
      <c r="L47">
        <v>2.9007371538024161E-5</v>
      </c>
      <c r="M47">
        <v>1.8039864129371709E-6</v>
      </c>
      <c r="N47" s="1">
        <v>-1.6997196932339398E-8</v>
      </c>
      <c r="O47" s="1">
        <v>7.7513087340249695E-12</v>
      </c>
      <c r="P47" s="1">
        <v>6.5830443443459201E-11</v>
      </c>
      <c r="Q47">
        <v>66.196966301799193</v>
      </c>
      <c r="S47">
        <v>19.082739096827201</v>
      </c>
      <c r="AA47">
        <v>0.29729803047851999</v>
      </c>
      <c r="AB47">
        <v>5.2091943883935796</v>
      </c>
      <c r="AC47">
        <v>9.2138021825013592</v>
      </c>
      <c r="AJ47">
        <v>0.4555288036663</v>
      </c>
      <c r="AK47">
        <v>1.4366404874912199E-2</v>
      </c>
      <c r="AL47">
        <v>0.53010479145878697</v>
      </c>
    </row>
    <row r="48" spans="1:38" x14ac:dyDescent="0.2">
      <c r="A48">
        <v>50</v>
      </c>
      <c r="B48">
        <v>750</v>
      </c>
      <c r="C48">
        <v>200</v>
      </c>
      <c r="D48">
        <v>0.37802912573913899</v>
      </c>
      <c r="E48">
        <v>26.8149719700098</v>
      </c>
      <c r="F48">
        <v>2.56507808269106</v>
      </c>
      <c r="G48">
        <v>-433.75215217640624</v>
      </c>
      <c r="H48">
        <v>-376.17754312741408</v>
      </c>
      <c r="I48">
        <v>56.271914234464298</v>
      </c>
      <c r="J48">
        <v>32.792885579123798</v>
      </c>
      <c r="K48">
        <v>10.4538618730381</v>
      </c>
      <c r="L48">
        <v>3.167469705925863E-5</v>
      </c>
      <c r="M48">
        <v>1.8222347315375555E-6</v>
      </c>
      <c r="N48" s="1">
        <v>-4.5806142705925202E-7</v>
      </c>
      <c r="O48" s="1">
        <v>9.2561345197181294E-11</v>
      </c>
      <c r="P48" s="1">
        <v>1.55375998660205E-9</v>
      </c>
      <c r="Q48">
        <v>65.663501133348703</v>
      </c>
      <c r="S48">
        <v>20.9738188009586</v>
      </c>
      <c r="AA48">
        <v>1.9819349536161499</v>
      </c>
      <c r="AB48">
        <v>8.9781071652754108</v>
      </c>
      <c r="AC48">
        <v>2.40263794680097</v>
      </c>
      <c r="AJ48">
        <v>0.77038290838196999</v>
      </c>
      <c r="AK48">
        <v>9.3977100476707306E-2</v>
      </c>
      <c r="AL48">
        <v>0.135639991141322</v>
      </c>
    </row>
    <row r="49" spans="1:38" x14ac:dyDescent="0.2">
      <c r="A49">
        <v>50</v>
      </c>
      <c r="B49">
        <v>750</v>
      </c>
      <c r="C49">
        <v>200</v>
      </c>
      <c r="D49">
        <v>0.37802912573913899</v>
      </c>
      <c r="E49">
        <v>28.169390764170299</v>
      </c>
      <c r="F49">
        <v>2.5234114114077402</v>
      </c>
      <c r="G49">
        <v>-446.04146112904408</v>
      </c>
      <c r="H49">
        <v>-386.38341854349716</v>
      </c>
      <c r="I49">
        <v>58.308207580068199</v>
      </c>
      <c r="J49">
        <v>33.6235932682495</v>
      </c>
      <c r="K49">
        <v>11.163217633408101</v>
      </c>
      <c r="L49">
        <v>2.8956944303547275E-5</v>
      </c>
      <c r="M49">
        <v>1.8028961348079603E-6</v>
      </c>
      <c r="N49" s="1">
        <v>-2.4138088850737798E-7</v>
      </c>
      <c r="O49" s="1">
        <v>1.05799861774317E-10</v>
      </c>
      <c r="P49" s="1">
        <v>9.2504878677444602E-10</v>
      </c>
      <c r="Q49">
        <v>66.161625299196203</v>
      </c>
      <c r="S49">
        <v>19.066632822421401</v>
      </c>
      <c r="AA49">
        <v>0.29225652899357002</v>
      </c>
      <c r="AB49">
        <v>5.0882141666882399</v>
      </c>
      <c r="AC49">
        <v>9.3912711827004909</v>
      </c>
      <c r="AJ49">
        <v>0.44522214796678</v>
      </c>
      <c r="AK49">
        <v>1.4131439064198999E-2</v>
      </c>
      <c r="AL49">
        <v>0.54064641296902005</v>
      </c>
    </row>
    <row r="50" spans="1:38" x14ac:dyDescent="0.2">
      <c r="A50">
        <v>51</v>
      </c>
      <c r="B50">
        <v>748</v>
      </c>
      <c r="C50">
        <v>200</v>
      </c>
      <c r="D50">
        <v>0.37667384811242399</v>
      </c>
      <c r="E50">
        <v>28.074496151250202</v>
      </c>
      <c r="F50">
        <v>2.5655653738914501</v>
      </c>
      <c r="G50">
        <v>-454.05744731751844</v>
      </c>
      <c r="H50">
        <v>-393.9648539986905</v>
      </c>
      <c r="I50">
        <v>58.847958986268402</v>
      </c>
      <c r="J50">
        <v>34.3644800039269</v>
      </c>
      <c r="K50">
        <v>10.9428106712661</v>
      </c>
      <c r="L50">
        <v>3.1773375914169004E-5</v>
      </c>
      <c r="M50">
        <v>1.8224786068206331E-6</v>
      </c>
      <c r="N50" s="1">
        <v>-5.1155504450085204E-7</v>
      </c>
      <c r="O50" s="1">
        <v>9.6589339123459097E-11</v>
      </c>
      <c r="P50" s="1">
        <v>1.7184617238897601E-9</v>
      </c>
      <c r="Q50">
        <v>65.648781122247698</v>
      </c>
      <c r="S50">
        <v>20.9915767767034</v>
      </c>
      <c r="AA50">
        <v>2.0000201787877101</v>
      </c>
      <c r="AB50">
        <v>8.99185925190163</v>
      </c>
      <c r="AC50">
        <v>2.3677626703594101</v>
      </c>
      <c r="AJ50">
        <v>0.77150993085354103</v>
      </c>
      <c r="AK50">
        <v>9.4828130361652899E-2</v>
      </c>
      <c r="AL50">
        <v>0.13366193878480501</v>
      </c>
    </row>
    <row r="51" spans="1:38" x14ac:dyDescent="0.2">
      <c r="A51">
        <v>51</v>
      </c>
      <c r="B51">
        <v>748</v>
      </c>
      <c r="C51">
        <v>200</v>
      </c>
      <c r="D51">
        <v>0.37667384811242399</v>
      </c>
      <c r="E51">
        <v>31.311919041632802</v>
      </c>
      <c r="F51">
        <v>2.52338446343086</v>
      </c>
      <c r="G51">
        <v>-495.57877258395331</v>
      </c>
      <c r="H51">
        <v>-429.48373330708642</v>
      </c>
      <c r="I51">
        <v>64.726082629258201</v>
      </c>
      <c r="J51">
        <v>37.380541840038099</v>
      </c>
      <c r="K51">
        <v>12.4086993065893</v>
      </c>
      <c r="L51">
        <v>2.8973174737374972E-5</v>
      </c>
      <c r="M51">
        <v>1.8028094506144996E-6</v>
      </c>
      <c r="N51" s="1">
        <v>-2.8503876274144899E-7</v>
      </c>
      <c r="O51" s="1">
        <v>1.17506446145865E-10</v>
      </c>
      <c r="P51" s="1">
        <v>1.0761211083079601E-9</v>
      </c>
      <c r="Q51">
        <v>66.154601491780994</v>
      </c>
      <c r="S51">
        <v>19.0575020663568</v>
      </c>
      <c r="AA51">
        <v>0.28636247118763802</v>
      </c>
      <c r="AB51">
        <v>5.0486245243625101</v>
      </c>
      <c r="AC51">
        <v>9.4529094463118994</v>
      </c>
      <c r="AJ51">
        <v>0.44184668846291503</v>
      </c>
      <c r="AK51">
        <v>1.38492234893409E-2</v>
      </c>
      <c r="AL51">
        <v>0.544304088047743</v>
      </c>
    </row>
    <row r="52" spans="1:38" x14ac:dyDescent="0.2">
      <c r="A52">
        <v>53</v>
      </c>
      <c r="B52">
        <v>780</v>
      </c>
      <c r="C52">
        <v>175</v>
      </c>
      <c r="D52">
        <v>0.42385272753169101</v>
      </c>
      <c r="E52">
        <v>0.28386165549417203</v>
      </c>
      <c r="F52">
        <v>2.5767111676441199</v>
      </c>
      <c r="G52">
        <v>-4.6302498917017543</v>
      </c>
      <c r="H52">
        <v>-3.993114024764997</v>
      </c>
      <c r="I52">
        <v>0.60498112038812801</v>
      </c>
      <c r="J52">
        <v>0.34507518423997002</v>
      </c>
      <c r="K52">
        <v>0.110164328489213</v>
      </c>
      <c r="L52">
        <v>3.0556237553297342E-5</v>
      </c>
      <c r="M52">
        <v>1.7985066314921861E-6</v>
      </c>
      <c r="N52" s="1">
        <v>-1.9266560590134298E-9</v>
      </c>
      <c r="O52" s="1">
        <v>9.7785847349932409E-13</v>
      </c>
      <c r="P52" s="1">
        <v>8.0123850609010097E-12</v>
      </c>
      <c r="Q52">
        <v>64.579336979458702</v>
      </c>
      <c r="S52">
        <v>21.9747998711706</v>
      </c>
      <c r="AA52">
        <v>3.06072946960423</v>
      </c>
      <c r="AB52">
        <v>9.18630749086919</v>
      </c>
      <c r="AC52">
        <v>1.1988261888970799</v>
      </c>
      <c r="AJ52">
        <v>0.78741537107056103</v>
      </c>
      <c r="AK52">
        <v>0.14497684534941199</v>
      </c>
      <c r="AL52">
        <v>6.7607783580026906E-2</v>
      </c>
    </row>
    <row r="53" spans="1:38" x14ac:dyDescent="0.2">
      <c r="A53">
        <v>54</v>
      </c>
      <c r="B53">
        <v>778</v>
      </c>
      <c r="C53">
        <v>175</v>
      </c>
      <c r="D53">
        <v>0.422623317319128</v>
      </c>
      <c r="E53">
        <v>1.0965525596182999</v>
      </c>
      <c r="F53">
        <v>2.5758816264666402</v>
      </c>
      <c r="G53">
        <v>-17.879475195849686</v>
      </c>
      <c r="H53">
        <v>-15.425120730961828</v>
      </c>
      <c r="I53">
        <v>2.3349231459714099</v>
      </c>
      <c r="J53">
        <v>1.3334990062852099</v>
      </c>
      <c r="K53">
        <v>0.425699903423922</v>
      </c>
      <c r="L53">
        <v>3.064406123574535E-5</v>
      </c>
      <c r="M53">
        <v>1.801122167725283E-6</v>
      </c>
      <c r="N53" s="1">
        <v>-7.9539887336453507E-9</v>
      </c>
      <c r="O53" s="1">
        <v>3.7805736851198096E-12</v>
      </c>
      <c r="P53" s="1">
        <v>3.2443331950229503E-11</v>
      </c>
      <c r="Q53">
        <v>64.6844749692889</v>
      </c>
      <c r="S53">
        <v>21.895567870450702</v>
      </c>
      <c r="AA53">
        <v>2.9708297451410099</v>
      </c>
      <c r="AB53">
        <v>9.2128848731817108</v>
      </c>
      <c r="AC53">
        <v>1.23624254193757</v>
      </c>
      <c r="AJ53">
        <v>0.78959087756399904</v>
      </c>
      <c r="AK53">
        <v>0.14070030274915701</v>
      </c>
      <c r="AL53">
        <v>6.9708819686842394E-2</v>
      </c>
    </row>
    <row r="54" spans="1:38" x14ac:dyDescent="0.2">
      <c r="A54">
        <v>55</v>
      </c>
      <c r="B54">
        <v>776</v>
      </c>
      <c r="C54">
        <v>175</v>
      </c>
      <c r="D54">
        <v>0.42138921984463801</v>
      </c>
      <c r="E54">
        <v>1.9129502572471599</v>
      </c>
      <c r="F54">
        <v>2.57508039152866</v>
      </c>
      <c r="G54">
        <v>-31.178570812508092</v>
      </c>
      <c r="H54">
        <v>-26.908980353482601</v>
      </c>
      <c r="I54">
        <v>4.0695710422965998</v>
      </c>
      <c r="J54">
        <v>2.3271798322127601</v>
      </c>
      <c r="K54">
        <v>0.74287011137215897</v>
      </c>
      <c r="L54">
        <v>3.0731328703589915E-5</v>
      </c>
      <c r="M54">
        <v>1.8036265195810366E-6</v>
      </c>
      <c r="N54" s="1">
        <v>-1.4816722478471201E-8</v>
      </c>
      <c r="O54" s="1">
        <v>6.5998379407293801E-12</v>
      </c>
      <c r="P54" s="1">
        <v>5.9339529776209205E-11</v>
      </c>
      <c r="Q54">
        <v>64.784926349139695</v>
      </c>
      <c r="S54">
        <v>21.819353106685899</v>
      </c>
      <c r="AA54">
        <v>2.88451282842846</v>
      </c>
      <c r="AB54">
        <v>9.23692847538676</v>
      </c>
      <c r="AC54">
        <v>1.2742792403590499</v>
      </c>
      <c r="AJ54">
        <v>0.79155857768197702</v>
      </c>
      <c r="AK54">
        <v>0.13659623963771</v>
      </c>
      <c r="AL54">
        <v>7.1845182680311995E-2</v>
      </c>
    </row>
    <row r="55" spans="1:38" x14ac:dyDescent="0.2">
      <c r="A55">
        <v>56</v>
      </c>
      <c r="B55">
        <v>774</v>
      </c>
      <c r="C55">
        <v>175</v>
      </c>
      <c r="D55">
        <v>0.420150408250972</v>
      </c>
      <c r="E55">
        <v>2.73172188768699</v>
      </c>
      <c r="F55">
        <v>2.5743077192194401</v>
      </c>
      <c r="G55">
        <v>-44.505727374041477</v>
      </c>
      <c r="H55">
        <v>-38.425973473255048</v>
      </c>
      <c r="I55">
        <v>5.8060009557240297</v>
      </c>
      <c r="J55">
        <v>3.3245523073990899</v>
      </c>
      <c r="K55">
        <v>1.0611481554020501</v>
      </c>
      <c r="L55">
        <v>3.0818194205899933E-5</v>
      </c>
      <c r="M55">
        <v>1.806021143040724E-6</v>
      </c>
      <c r="N55" s="1">
        <v>-2.25765983167255E-8</v>
      </c>
      <c r="O55" s="1">
        <v>9.4299227669072606E-12</v>
      </c>
      <c r="P55" s="1">
        <v>8.8865560009504598E-11</v>
      </c>
      <c r="Q55">
        <v>64.880715621998903</v>
      </c>
      <c r="S55">
        <v>21.7461517192286</v>
      </c>
      <c r="AA55">
        <v>2.8017698169554599</v>
      </c>
      <c r="AB55">
        <v>9.2584827798889204</v>
      </c>
      <c r="AC55">
        <v>1.3128800619280001</v>
      </c>
      <c r="AJ55">
        <v>0.793322254989557</v>
      </c>
      <c r="AK55">
        <v>0.13266399068736301</v>
      </c>
      <c r="AL55">
        <v>7.4013754323079398E-2</v>
      </c>
    </row>
    <row r="56" spans="1:38" x14ac:dyDescent="0.2">
      <c r="A56">
        <v>57</v>
      </c>
      <c r="B56">
        <v>772</v>
      </c>
      <c r="C56">
        <v>175</v>
      </c>
      <c r="D56">
        <v>0.418906855475288</v>
      </c>
      <c r="E56">
        <v>3.5515215882394702</v>
      </c>
      <c r="F56">
        <v>2.5735636863816</v>
      </c>
      <c r="G56">
        <v>-57.838968299587037</v>
      </c>
      <c r="H56">
        <v>-49.957206566128889</v>
      </c>
      <c r="I56">
        <v>7.5412732463839296</v>
      </c>
      <c r="J56">
        <v>4.3240394532581199</v>
      </c>
      <c r="K56">
        <v>1.38000143809646</v>
      </c>
      <c r="L56">
        <v>3.0904837670615741E-5</v>
      </c>
      <c r="M56">
        <v>1.8083081834556487E-6</v>
      </c>
      <c r="N56" s="1">
        <v>-3.1299186659046499E-8</v>
      </c>
      <c r="O56" s="1">
        <v>1.22649920653618E-11</v>
      </c>
      <c r="P56" s="1">
        <v>1.21196277250772E-10</v>
      </c>
      <c r="Q56">
        <v>64.971894793559599</v>
      </c>
      <c r="S56">
        <v>21.675941472465201</v>
      </c>
      <c r="AA56">
        <v>2.7225702312956699</v>
      </c>
      <c r="AB56">
        <v>9.2776053850351392</v>
      </c>
      <c r="AC56">
        <v>1.3519881176441999</v>
      </c>
      <c r="AJ56">
        <v>0.79488674710840801</v>
      </c>
      <c r="AK56">
        <v>0.12890187715932599</v>
      </c>
      <c r="AL56">
        <v>7.6211375732265899E-2</v>
      </c>
    </row>
    <row r="57" spans="1:38" x14ac:dyDescent="0.2">
      <c r="A57">
        <v>58</v>
      </c>
      <c r="B57">
        <v>770</v>
      </c>
      <c r="C57">
        <v>175</v>
      </c>
      <c r="D57">
        <v>0.41765853424723398</v>
      </c>
      <c r="E57">
        <v>4.3710135159462498</v>
      </c>
      <c r="F57">
        <v>2.57284819594808</v>
      </c>
      <c r="G57">
        <v>-71.15652457768644</v>
      </c>
      <c r="H57">
        <v>-61.48393478351931</v>
      </c>
      <c r="I57">
        <v>9.2724821877650392</v>
      </c>
      <c r="J57">
        <v>5.3240812023274398</v>
      </c>
      <c r="K57">
        <v>1.6989006669068301</v>
      </c>
      <c r="L57">
        <v>3.0991464094129272E-5</v>
      </c>
      <c r="M57">
        <v>1.8104904217492292E-6</v>
      </c>
      <c r="N57" s="1">
        <v>-4.1054406166879098E-8</v>
      </c>
      <c r="O57" s="1">
        <v>1.5099188260372399E-11</v>
      </c>
      <c r="P57" s="1">
        <v>1.56518430237787E-10</v>
      </c>
      <c r="Q57">
        <v>65.058541365777003</v>
      </c>
      <c r="S57">
        <v>21.608682886230799</v>
      </c>
      <c r="AA57">
        <v>2.6468634158870299</v>
      </c>
      <c r="AB57">
        <v>9.2943654973916505</v>
      </c>
      <c r="AC57">
        <v>1.3915468347133899</v>
      </c>
      <c r="AJ57">
        <v>0.79625782251311905</v>
      </c>
      <c r="AK57">
        <v>0.12530727526594801</v>
      </c>
      <c r="AL57">
        <v>7.8434902220932107E-2</v>
      </c>
    </row>
    <row r="58" spans="1:38" x14ac:dyDescent="0.2">
      <c r="A58">
        <v>59</v>
      </c>
      <c r="B58">
        <v>768</v>
      </c>
      <c r="C58">
        <v>175</v>
      </c>
      <c r="D58">
        <v>0.416405417086878</v>
      </c>
      <c r="E58">
        <v>5.1888934257621298</v>
      </c>
      <c r="F58">
        <v>2.5721609872947901</v>
      </c>
      <c r="G58">
        <v>-84.437184896426018</v>
      </c>
      <c r="H58">
        <v>-72.987864244063999</v>
      </c>
      <c r="I58">
        <v>10.996802240178599</v>
      </c>
      <c r="J58">
        <v>6.3231612164333697</v>
      </c>
      <c r="K58">
        <v>2.0173284065004902</v>
      </c>
      <c r="L58">
        <v>3.1078302669035908E-5</v>
      </c>
      <c r="M58">
        <v>1.8125712076539186E-6</v>
      </c>
      <c r="N58" s="1">
        <v>-5.1917121886328298E-8</v>
      </c>
      <c r="O58" s="1">
        <v>1.7926712912883699E-11</v>
      </c>
      <c r="P58" s="1">
        <v>1.95032491873591E-10</v>
      </c>
      <c r="Q58">
        <v>65.140755751088193</v>
      </c>
      <c r="S58">
        <v>21.544320778434201</v>
      </c>
      <c r="AA58">
        <v>2.5745804150698701</v>
      </c>
      <c r="AB58">
        <v>9.3088422136648301</v>
      </c>
      <c r="AC58">
        <v>1.4315008417427499</v>
      </c>
      <c r="AJ58">
        <v>0.79744204058332502</v>
      </c>
      <c r="AK58">
        <v>0.12187670664263101</v>
      </c>
      <c r="AL58">
        <v>8.0681252774042297E-2</v>
      </c>
    </row>
    <row r="59" spans="1:38" x14ac:dyDescent="0.2">
      <c r="A59">
        <v>60</v>
      </c>
      <c r="B59">
        <v>766</v>
      </c>
      <c r="C59">
        <v>175</v>
      </c>
      <c r="D59">
        <v>0.41514747630275201</v>
      </c>
      <c r="E59">
        <v>6.84977623584013</v>
      </c>
      <c r="F59">
        <v>2.5707389670216299</v>
      </c>
      <c r="G59">
        <v>-111.3971833173906</v>
      </c>
      <c r="H59">
        <v>-96.325916673109759</v>
      </c>
      <c r="I59">
        <v>14.5034563290004</v>
      </c>
      <c r="J59">
        <v>8.3504318090836502</v>
      </c>
      <c r="K59">
        <v>2.6645164381570901</v>
      </c>
      <c r="L59">
        <v>3.1173031196540964E-5</v>
      </c>
      <c r="M59">
        <v>1.8155235518970208E-6</v>
      </c>
      <c r="N59" s="1">
        <v>-7.2861510181275894E-8</v>
      </c>
      <c r="O59" s="1">
        <v>2.36979660993542E-11</v>
      </c>
      <c r="P59" s="1">
        <v>2.6996198113675301E-10</v>
      </c>
      <c r="Q59">
        <v>65.271406082570493</v>
      </c>
      <c r="S59">
        <v>21.4329994198789</v>
      </c>
      <c r="AA59">
        <v>2.4522536856752501</v>
      </c>
      <c r="AB59">
        <v>9.3081460579655406</v>
      </c>
      <c r="AC59">
        <v>1.53519475390965</v>
      </c>
      <c r="AJ59">
        <v>0.79738724677855499</v>
      </c>
      <c r="AK59">
        <v>0.116086650981851</v>
      </c>
      <c r="AL59">
        <v>8.65261022395927E-2</v>
      </c>
    </row>
    <row r="60" spans="1:38" x14ac:dyDescent="0.2">
      <c r="A60">
        <v>61</v>
      </c>
      <c r="B60">
        <v>764</v>
      </c>
      <c r="C60">
        <v>175</v>
      </c>
      <c r="D60">
        <v>0.41388468398978101</v>
      </c>
      <c r="E60">
        <v>9.2928607483627808</v>
      </c>
      <c r="F60">
        <v>2.56861134045297</v>
      </c>
      <c r="G60">
        <v>-151.00281473650398</v>
      </c>
      <c r="H60">
        <v>-130.61380718941015</v>
      </c>
      <c r="I60">
        <v>19.6586873134009</v>
      </c>
      <c r="J60">
        <v>11.3318188232703</v>
      </c>
      <c r="K60">
        <v>3.6178539750291501</v>
      </c>
      <c r="L60">
        <v>3.1261259868815327E-5</v>
      </c>
      <c r="M60">
        <v>1.8189203811244071E-6</v>
      </c>
      <c r="N60" s="1">
        <v>-1.0469680929942999E-7</v>
      </c>
      <c r="O60" s="1">
        <v>3.2233238103494502E-11</v>
      </c>
      <c r="P60" s="1">
        <v>3.8307420295836999E-10</v>
      </c>
      <c r="Q60">
        <v>65.435477920393396</v>
      </c>
      <c r="S60">
        <v>21.282288852107001</v>
      </c>
      <c r="AA60">
        <v>2.2896320037603601</v>
      </c>
      <c r="AB60">
        <v>9.2786640042486397</v>
      </c>
      <c r="AC60">
        <v>1.71393721949053</v>
      </c>
      <c r="AJ60">
        <v>0.79498064789388101</v>
      </c>
      <c r="AK60">
        <v>0.10840456861489101</v>
      </c>
      <c r="AL60">
        <v>9.6614783491226694E-2</v>
      </c>
    </row>
    <row r="61" spans="1:38" x14ac:dyDescent="0.2">
      <c r="A61">
        <v>62</v>
      </c>
      <c r="B61">
        <v>762</v>
      </c>
      <c r="C61">
        <v>175</v>
      </c>
      <c r="D61">
        <v>0.41261701202724399</v>
      </c>
      <c r="E61">
        <v>11.8808242052549</v>
      </c>
      <c r="F61">
        <v>2.5663166705892602</v>
      </c>
      <c r="G61">
        <v>-192.87252555076319</v>
      </c>
      <c r="H61">
        <v>-166.88069692328997</v>
      </c>
      <c r="I61">
        <v>25.109238880812601</v>
      </c>
      <c r="J61">
        <v>14.4897848374479</v>
      </c>
      <c r="K61">
        <v>4.6295238391320099</v>
      </c>
      <c r="L61">
        <v>3.1328927316542546E-5</v>
      </c>
      <c r="M61">
        <v>1.8218438556473361E-6</v>
      </c>
      <c r="N61" s="1">
        <v>-1.41258697639623E-7</v>
      </c>
      <c r="O61" s="1">
        <v>4.1322513260614098E-11</v>
      </c>
      <c r="P61" s="1">
        <v>5.1099711617599902E-10</v>
      </c>
      <c r="Q61">
        <v>65.587927770748294</v>
      </c>
      <c r="S61">
        <v>21.130688257137599</v>
      </c>
      <c r="AA61">
        <v>2.1289878721873601</v>
      </c>
      <c r="AB61">
        <v>9.2209496525960493</v>
      </c>
      <c r="AC61">
        <v>1.9314464473305399</v>
      </c>
      <c r="AJ61">
        <v>0.79026470905947999</v>
      </c>
      <c r="AK61">
        <v>0.100827944836831</v>
      </c>
      <c r="AL61">
        <v>0.10890734610368701</v>
      </c>
    </row>
    <row r="62" spans="1:38" x14ac:dyDescent="0.2">
      <c r="A62">
        <v>63</v>
      </c>
      <c r="B62">
        <v>760</v>
      </c>
      <c r="C62">
        <v>175</v>
      </c>
      <c r="D62">
        <v>0.41134443207665999</v>
      </c>
      <c r="E62">
        <v>14.7179545553068</v>
      </c>
      <c r="F62">
        <v>2.5637090858484299</v>
      </c>
      <c r="G62">
        <v>-238.66091938442349</v>
      </c>
      <c r="H62">
        <v>-206.55821215663462</v>
      </c>
      <c r="I62">
        <v>31.072648916216199</v>
      </c>
      <c r="J62">
        <v>17.949149138267799</v>
      </c>
      <c r="K62">
        <v>5.7408832525301996</v>
      </c>
      <c r="L62">
        <v>3.1367516638129779E-5</v>
      </c>
      <c r="M62">
        <v>1.824225719374744E-6</v>
      </c>
      <c r="N62" s="1">
        <v>-1.8372351210791101E-7</v>
      </c>
      <c r="O62" s="1">
        <v>5.1351623665081998E-11</v>
      </c>
      <c r="P62" s="1">
        <v>6.57954496811608E-10</v>
      </c>
      <c r="Q62">
        <v>65.730382054604405</v>
      </c>
      <c r="S62">
        <v>20.972227029846</v>
      </c>
      <c r="AA62">
        <v>1.96501597749557</v>
      </c>
      <c r="AB62">
        <v>9.1229746773657503</v>
      </c>
      <c r="AC62">
        <v>2.2094002606881902</v>
      </c>
      <c r="AJ62">
        <v>0.78225092054293899</v>
      </c>
      <c r="AK62">
        <v>9.3107891063060999E-2</v>
      </c>
      <c r="AL62">
        <v>0.124641188393998</v>
      </c>
    </row>
    <row r="63" spans="1:38" x14ac:dyDescent="0.2">
      <c r="A63">
        <v>64</v>
      </c>
      <c r="B63">
        <v>758</v>
      </c>
      <c r="C63">
        <v>175</v>
      </c>
      <c r="D63">
        <v>0.41006691557969399</v>
      </c>
      <c r="E63">
        <v>18.064432651149399</v>
      </c>
      <c r="F63">
        <v>2.5604623493560101</v>
      </c>
      <c r="G63">
        <v>-292.49918107396167</v>
      </c>
      <c r="H63">
        <v>-253.22049350002052</v>
      </c>
      <c r="I63">
        <v>38.092118095273399</v>
      </c>
      <c r="J63">
        <v>22.021353132365199</v>
      </c>
      <c r="K63">
        <v>7.0551448083948003</v>
      </c>
      <c r="L63">
        <v>3.1356970094618008E-5</v>
      </c>
      <c r="M63">
        <v>1.8258876265974307E-6</v>
      </c>
      <c r="N63" s="1">
        <v>-2.34652337793853E-7</v>
      </c>
      <c r="O63" s="1">
        <v>6.3290146677090799E-11</v>
      </c>
      <c r="P63" s="1">
        <v>8.3343583478082301E-10</v>
      </c>
      <c r="Q63">
        <v>65.865655249852793</v>
      </c>
      <c r="S63">
        <v>20.793824363202202</v>
      </c>
      <c r="AA63">
        <v>1.7862678000090899</v>
      </c>
      <c r="AB63">
        <v>8.9567179553821799</v>
      </c>
      <c r="AC63">
        <v>2.5975346315536401</v>
      </c>
      <c r="AJ63">
        <v>0.76863245787883405</v>
      </c>
      <c r="AK63">
        <v>8.4708537014087995E-2</v>
      </c>
      <c r="AL63">
        <v>0.146659005107077</v>
      </c>
    </row>
    <row r="64" spans="1:38" x14ac:dyDescent="0.2">
      <c r="A64">
        <v>65</v>
      </c>
      <c r="B64">
        <v>756</v>
      </c>
      <c r="C64">
        <v>175</v>
      </c>
      <c r="D64">
        <v>0.40878443375601398</v>
      </c>
      <c r="E64">
        <v>25.6004149320874</v>
      </c>
      <c r="F64">
        <v>2.5625549100706402</v>
      </c>
      <c r="G64">
        <v>-414.54281233205035</v>
      </c>
      <c r="H64">
        <v>-359.05929086881673</v>
      </c>
      <c r="I64">
        <v>53.911987040988699</v>
      </c>
      <c r="J64">
        <v>31.222354569232401</v>
      </c>
      <c r="K64">
        <v>9.9901917541278102</v>
      </c>
      <c r="L64">
        <v>3.1356835585661226E-5</v>
      </c>
      <c r="M64">
        <v>1.8226607624282892E-6</v>
      </c>
      <c r="N64" s="1">
        <v>-3.5241198989547898E-7</v>
      </c>
      <c r="O64" s="1">
        <v>8.9212116939903799E-11</v>
      </c>
      <c r="P64" s="1">
        <v>1.2385700481208901E-9</v>
      </c>
      <c r="Q64">
        <v>65.693382060261499</v>
      </c>
      <c r="S64">
        <v>20.929768539490802</v>
      </c>
      <c r="AA64">
        <v>1.9386207310699199</v>
      </c>
      <c r="AB64">
        <v>8.9292117213866895</v>
      </c>
      <c r="AC64">
        <v>2.5090169477909599</v>
      </c>
      <c r="AJ64">
        <v>0.76637418862818596</v>
      </c>
      <c r="AK64">
        <v>9.1945693250822302E-2</v>
      </c>
      <c r="AL64">
        <v>0.14168011812099099</v>
      </c>
    </row>
    <row r="65" spans="1:38" x14ac:dyDescent="0.2">
      <c r="A65">
        <v>65</v>
      </c>
      <c r="B65">
        <v>756</v>
      </c>
      <c r="C65">
        <v>175</v>
      </c>
      <c r="D65">
        <v>0.40878443375601398</v>
      </c>
      <c r="E65">
        <v>25.054116370426701</v>
      </c>
      <c r="F65">
        <v>2.5225484811428198</v>
      </c>
      <c r="G65">
        <v>-397.5704761430768</v>
      </c>
      <c r="H65">
        <v>-343.96682479358759</v>
      </c>
      <c r="I65">
        <v>52.085363017528202</v>
      </c>
      <c r="J65">
        <v>29.8975236995276</v>
      </c>
      <c r="K65">
        <v>9.9320653528435194</v>
      </c>
      <c r="L65">
        <v>2.8918541589403289E-5</v>
      </c>
      <c r="M65">
        <v>1.8051241461571225E-6</v>
      </c>
      <c r="N65" s="1">
        <v>-1.7625128007518401E-7</v>
      </c>
      <c r="O65" s="1">
        <v>9.4285781468866902E-11</v>
      </c>
      <c r="P65" s="1">
        <v>7.1222672813824903E-10</v>
      </c>
      <c r="Q65">
        <v>66.189757413535204</v>
      </c>
      <c r="S65">
        <v>19.103138460848701</v>
      </c>
      <c r="AA65">
        <v>0.31580981019364501</v>
      </c>
      <c r="AB65">
        <v>5.2466093523030697</v>
      </c>
      <c r="AC65">
        <v>9.1446849631192197</v>
      </c>
      <c r="AJ65">
        <v>0.45871356709166</v>
      </c>
      <c r="AK65">
        <v>1.525805805815E-2</v>
      </c>
      <c r="AL65">
        <v>0.52602837485018905</v>
      </c>
    </row>
    <row r="66" spans="1:38" x14ac:dyDescent="0.2">
      <c r="A66">
        <v>66</v>
      </c>
      <c r="B66">
        <v>754</v>
      </c>
      <c r="C66">
        <v>175</v>
      </c>
      <c r="D66">
        <v>0.40749695760112897</v>
      </c>
      <c r="E66">
        <v>27.400977422932701</v>
      </c>
      <c r="F66">
        <v>2.5634937198203702</v>
      </c>
      <c r="G66">
        <v>-443.67216250031299</v>
      </c>
      <c r="H66">
        <v>-384.47039155500818</v>
      </c>
      <c r="I66">
        <v>57.636928340850801</v>
      </c>
      <c r="J66">
        <v>33.442518905337103</v>
      </c>
      <c r="K66">
        <v>10.6889192710223</v>
      </c>
      <c r="L66">
        <v>3.1426140692011E-5</v>
      </c>
      <c r="M66">
        <v>1.8221391558885771E-6</v>
      </c>
      <c r="N66" s="1">
        <v>-4.0205726797831699E-7</v>
      </c>
      <c r="O66" s="1">
        <v>9.5148850735504002E-11</v>
      </c>
      <c r="P66" s="1">
        <v>1.3973849616099399E-9</v>
      </c>
      <c r="Q66">
        <v>65.642627430315301</v>
      </c>
      <c r="S66">
        <v>20.977918652595999</v>
      </c>
      <c r="AA66">
        <v>1.99018796643715</v>
      </c>
      <c r="AB66">
        <v>8.9423395313531309</v>
      </c>
      <c r="AC66">
        <v>2.4469264192983</v>
      </c>
      <c r="AJ66">
        <v>0.76745001347983399</v>
      </c>
      <c r="AK66">
        <v>9.4385184435517494E-2</v>
      </c>
      <c r="AL66">
        <v>0.13816480208464799</v>
      </c>
    </row>
    <row r="67" spans="1:38" x14ac:dyDescent="0.2">
      <c r="A67">
        <v>66</v>
      </c>
      <c r="B67">
        <v>754</v>
      </c>
      <c r="C67">
        <v>175</v>
      </c>
      <c r="D67">
        <v>0.40749695760112897</v>
      </c>
      <c r="E67">
        <v>30.9417933455452</v>
      </c>
      <c r="F67">
        <v>2.52244362929879</v>
      </c>
      <c r="G67">
        <v>-490.71975095779942</v>
      </c>
      <c r="H67">
        <v>-424.74468528672105</v>
      </c>
      <c r="I67">
        <v>64.231188892643203</v>
      </c>
      <c r="J67">
        <v>36.920386125510198</v>
      </c>
      <c r="K67">
        <v>12.2665945776344</v>
      </c>
      <c r="L67">
        <v>2.8906779228192622E-5</v>
      </c>
      <c r="M67">
        <v>1.8046899647726618E-6</v>
      </c>
      <c r="N67" s="1">
        <v>-2.2965248982645701E-7</v>
      </c>
      <c r="O67" s="1">
        <v>1.16405308879696E-10</v>
      </c>
      <c r="P67" s="1">
        <v>9.1394474613416997E-10</v>
      </c>
      <c r="Q67">
        <v>66.173879420381894</v>
      </c>
      <c r="S67">
        <v>19.090981144810399</v>
      </c>
      <c r="AA67">
        <v>0.30948481261733102</v>
      </c>
      <c r="AB67">
        <v>5.1793541113514898</v>
      </c>
      <c r="AC67">
        <v>9.2463005108387808</v>
      </c>
      <c r="AJ67">
        <v>0.45298766417450997</v>
      </c>
      <c r="AK67">
        <v>1.495756513689E-2</v>
      </c>
      <c r="AL67">
        <v>0.53205477068859797</v>
      </c>
    </row>
    <row r="68" spans="1:38" x14ac:dyDescent="0.2">
      <c r="A68">
        <v>67</v>
      </c>
      <c r="B68">
        <v>792</v>
      </c>
      <c r="C68">
        <v>150</v>
      </c>
      <c r="D68">
        <v>0.456950194808243</v>
      </c>
      <c r="E68">
        <v>7.1333276943315593E-2</v>
      </c>
      <c r="F68">
        <v>2.5748082092731202</v>
      </c>
      <c r="G68">
        <v>-1.1661408530837438</v>
      </c>
      <c r="H68">
        <v>-1.0031429441483102</v>
      </c>
      <c r="I68">
        <v>0.15302812649432701</v>
      </c>
      <c r="J68">
        <v>8.6618207906542899E-2</v>
      </c>
      <c r="K68">
        <v>2.7704306940769401E-2</v>
      </c>
      <c r="L68">
        <v>3.0338829725523057E-5</v>
      </c>
      <c r="M68">
        <v>1.7981888109497298E-6</v>
      </c>
      <c r="N68" s="1">
        <v>-3.2218818253744401E-10</v>
      </c>
      <c r="O68" s="1">
        <v>2.4709365909968199E-13</v>
      </c>
      <c r="P68" s="1">
        <v>1.5364669079867699E-12</v>
      </c>
      <c r="Q68">
        <v>64.563679657920702</v>
      </c>
      <c r="S68">
        <v>21.988681212219799</v>
      </c>
      <c r="AA68">
        <v>3.0758351400349699</v>
      </c>
      <c r="AB68">
        <v>9.1878077295916007</v>
      </c>
      <c r="AC68">
        <v>1.18399626023279</v>
      </c>
      <c r="AJ68">
        <v>0.78753784833678298</v>
      </c>
      <c r="AK68">
        <v>0.145691220339245</v>
      </c>
      <c r="AL68">
        <v>6.6770931323970995E-2</v>
      </c>
    </row>
    <row r="69" spans="1:38" x14ac:dyDescent="0.2">
      <c r="A69">
        <v>68</v>
      </c>
      <c r="B69">
        <v>790</v>
      </c>
      <c r="C69">
        <v>150</v>
      </c>
      <c r="D69">
        <v>0.45579692423458601</v>
      </c>
      <c r="E69">
        <v>0.85204187236624895</v>
      </c>
      <c r="F69">
        <v>2.5740194949254001</v>
      </c>
      <c r="G69">
        <v>-13.923571101799691</v>
      </c>
      <c r="H69">
        <v>-11.98202074491431</v>
      </c>
      <c r="I69">
        <v>1.82622429279535</v>
      </c>
      <c r="J69">
        <v>1.0348438620595399</v>
      </c>
      <c r="K69">
        <v>0.33101609138781601</v>
      </c>
      <c r="L69">
        <v>3.0412100975684306E-5</v>
      </c>
      <c r="M69">
        <v>1.8006780772160651E-6</v>
      </c>
      <c r="N69" s="1">
        <v>-4.1296712210659102E-9</v>
      </c>
      <c r="O69" s="1">
        <v>2.9545649055048501E-12</v>
      </c>
      <c r="P69" s="1">
        <v>1.9178241507231201E-11</v>
      </c>
      <c r="Q69">
        <v>64.664707885800993</v>
      </c>
      <c r="S69">
        <v>21.912735656558301</v>
      </c>
      <c r="AA69">
        <v>2.9896057231624198</v>
      </c>
      <c r="AB69">
        <v>9.2138425707431892</v>
      </c>
      <c r="AC69">
        <v>1.2191081637349499</v>
      </c>
      <c r="AJ69">
        <v>0.78966888727272899</v>
      </c>
      <c r="AK69">
        <v>0.141588814757489</v>
      </c>
      <c r="AL69">
        <v>6.8742297969780694E-2</v>
      </c>
    </row>
    <row r="70" spans="1:38" x14ac:dyDescent="0.2">
      <c r="A70">
        <v>69</v>
      </c>
      <c r="B70">
        <v>788</v>
      </c>
      <c r="C70">
        <v>150</v>
      </c>
      <c r="D70">
        <v>0.45463930641285699</v>
      </c>
      <c r="E70">
        <v>1.63579163163978</v>
      </c>
      <c r="F70">
        <v>2.5732572586665201</v>
      </c>
      <c r="G70">
        <v>-26.720723991261597</v>
      </c>
      <c r="H70">
        <v>-23.003606458530903</v>
      </c>
      <c r="I70">
        <v>3.5029143219438201</v>
      </c>
      <c r="J70">
        <v>1.9872056240561899</v>
      </c>
      <c r="K70">
        <v>0.63568911585911902</v>
      </c>
      <c r="L70">
        <v>3.0484399908827544E-5</v>
      </c>
      <c r="M70">
        <v>1.8030637150519997E-6</v>
      </c>
      <c r="N70" s="1">
        <v>-8.4955808090028708E-9</v>
      </c>
      <c r="O70" s="1">
        <v>5.6777647907926903E-12</v>
      </c>
      <c r="P70" s="1">
        <v>3.8483260732036703E-11</v>
      </c>
      <c r="Q70">
        <v>64.761414990000006</v>
      </c>
      <c r="S70">
        <v>21.839581321917802</v>
      </c>
      <c r="AA70">
        <v>2.9066873673494702</v>
      </c>
      <c r="AB70">
        <v>9.2375655682505293</v>
      </c>
      <c r="AC70">
        <v>1.25475075248205</v>
      </c>
      <c r="AJ70">
        <v>0.791610295347422</v>
      </c>
      <c r="AK70">
        <v>0.13764581553331501</v>
      </c>
      <c r="AL70">
        <v>7.0743889119262202E-2</v>
      </c>
    </row>
    <row r="71" spans="1:38" x14ac:dyDescent="0.2">
      <c r="A71">
        <v>70</v>
      </c>
      <c r="B71">
        <v>786</v>
      </c>
      <c r="C71">
        <v>150</v>
      </c>
      <c r="D71">
        <v>0.45347731671623798</v>
      </c>
      <c r="E71">
        <v>2.4214317354895298</v>
      </c>
      <c r="F71">
        <v>2.5725216974961098</v>
      </c>
      <c r="G71">
        <v>-39.53873393582041</v>
      </c>
      <c r="H71">
        <v>-34.051747084168746</v>
      </c>
      <c r="I71">
        <v>5.1805569104014104</v>
      </c>
      <c r="J71">
        <v>2.9423374192339802</v>
      </c>
      <c r="K71">
        <v>0.941267759897362</v>
      </c>
      <c r="L71">
        <v>3.055583549345931E-5</v>
      </c>
      <c r="M71">
        <v>1.8053469893809128E-6</v>
      </c>
      <c r="N71" s="1">
        <v>-1.34583757555057E-8</v>
      </c>
      <c r="O71" s="1">
        <v>8.41184331014019E-12</v>
      </c>
      <c r="P71" s="1">
        <v>5.9552423177102096E-11</v>
      </c>
      <c r="Q71">
        <v>64.853825307657601</v>
      </c>
      <c r="S71">
        <v>21.7692128452566</v>
      </c>
      <c r="AA71">
        <v>2.8270699692930301</v>
      </c>
      <c r="AB71">
        <v>9.2590168962136392</v>
      </c>
      <c r="AC71">
        <v>1.2908749815790399</v>
      </c>
      <c r="AJ71">
        <v>0.79336548929042405</v>
      </c>
      <c r="AK71">
        <v>0.133861527402835</v>
      </c>
      <c r="AL71">
        <v>7.2772983306739494E-2</v>
      </c>
    </row>
    <row r="72" spans="1:38" x14ac:dyDescent="0.2">
      <c r="A72">
        <v>71</v>
      </c>
      <c r="B72">
        <v>784</v>
      </c>
      <c r="C72">
        <v>150</v>
      </c>
      <c r="D72">
        <v>0.45231093033155201</v>
      </c>
      <c r="E72">
        <v>3.2078011108185698</v>
      </c>
      <c r="F72">
        <v>2.57181285689119</v>
      </c>
      <c r="G72">
        <v>-52.358605716816378</v>
      </c>
      <c r="H72">
        <v>-45.110152054166186</v>
      </c>
      <c r="I72">
        <v>6.85659902818918</v>
      </c>
      <c r="J72">
        <v>3.89886363417342</v>
      </c>
      <c r="K72">
        <v>1.24729180905338</v>
      </c>
      <c r="L72">
        <v>3.0626535749198241E-5</v>
      </c>
      <c r="M72">
        <v>1.807529732137006E-6</v>
      </c>
      <c r="N72" s="1">
        <v>-1.90586584336393E-8</v>
      </c>
      <c r="O72" s="1">
        <v>1.11518710317905E-11</v>
      </c>
      <c r="P72" s="1">
        <v>8.2492375127653794E-11</v>
      </c>
      <c r="Q72">
        <v>64.941986106886205</v>
      </c>
      <c r="S72">
        <v>21.7016095044536</v>
      </c>
      <c r="AA72">
        <v>2.75072540366302</v>
      </c>
      <c r="AB72">
        <v>9.2782475633523909</v>
      </c>
      <c r="AC72">
        <v>1.3274314216446901</v>
      </c>
      <c r="AJ72">
        <v>0.79493875621694599</v>
      </c>
      <c r="AK72">
        <v>0.13023440893721799</v>
      </c>
      <c r="AL72">
        <v>7.4826834845834203E-2</v>
      </c>
    </row>
    <row r="73" spans="1:38" x14ac:dyDescent="0.2">
      <c r="A73">
        <v>72</v>
      </c>
      <c r="B73">
        <v>782</v>
      </c>
      <c r="C73">
        <v>150</v>
      </c>
      <c r="D73">
        <v>0.451140122257502</v>
      </c>
      <c r="E73">
        <v>3.9937465559820802</v>
      </c>
      <c r="F73">
        <v>2.5711306354954999</v>
      </c>
      <c r="G73">
        <v>-65.161510166134065</v>
      </c>
      <c r="H73">
        <v>-56.162647229069393</v>
      </c>
      <c r="I73">
        <v>8.5285153173147492</v>
      </c>
      <c r="J73">
        <v>4.8554214990293803</v>
      </c>
      <c r="K73">
        <v>1.5533036325913501</v>
      </c>
      <c r="L73">
        <v>3.0696647087516381E-5</v>
      </c>
      <c r="M73">
        <v>1.8096142984930793E-6</v>
      </c>
      <c r="N73" s="1">
        <v>-2.5339464645216302E-8</v>
      </c>
      <c r="O73" s="1">
        <v>1.38929079305037E-11</v>
      </c>
      <c r="P73" s="1">
        <v>1.07416464734375E-10</v>
      </c>
      <c r="Q73">
        <v>65.025965967296401</v>
      </c>
      <c r="S73">
        <v>21.636736132247702</v>
      </c>
      <c r="AA73">
        <v>2.67760865499445</v>
      </c>
      <c r="AB73">
        <v>9.2953182001048393</v>
      </c>
      <c r="AC73">
        <v>1.3643710453564699</v>
      </c>
      <c r="AJ73">
        <v>0.79633515450174397</v>
      </c>
      <c r="AK73">
        <v>0.12676212777214299</v>
      </c>
      <c r="AL73">
        <v>7.6902717726111E-2</v>
      </c>
    </row>
    <row r="74" spans="1:38" x14ac:dyDescent="0.2">
      <c r="A74">
        <v>73</v>
      </c>
      <c r="B74">
        <v>780</v>
      </c>
      <c r="C74">
        <v>150</v>
      </c>
      <c r="D74">
        <v>0.44996486730285301</v>
      </c>
      <c r="E74">
        <v>4.7781397990499102</v>
      </c>
      <c r="F74">
        <v>2.5704747934914298</v>
      </c>
      <c r="G74">
        <v>-77.92906155175838</v>
      </c>
      <c r="H74">
        <v>-67.193413764905088</v>
      </c>
      <c r="I74">
        <v>10.193844928883101</v>
      </c>
      <c r="J74">
        <v>5.8106821835962998</v>
      </c>
      <c r="K74">
        <v>1.8588549520689299</v>
      </c>
      <c r="L74">
        <v>3.0766333456190899E-5</v>
      </c>
      <c r="M74">
        <v>1.8116035132576273E-6</v>
      </c>
      <c r="N74" s="1">
        <v>-3.2346601711782498E-8</v>
      </c>
      <c r="O74" s="1">
        <v>1.66300681978974E-11</v>
      </c>
      <c r="P74" s="1">
        <v>1.34445824475532E-10</v>
      </c>
      <c r="Q74">
        <v>65.105852718494006</v>
      </c>
      <c r="S74">
        <v>21.574544347899799</v>
      </c>
      <c r="AA74">
        <v>2.6076593148443701</v>
      </c>
      <c r="AB74">
        <v>9.3102976936404804</v>
      </c>
      <c r="AC74">
        <v>1.4016459251212601</v>
      </c>
      <c r="AJ74">
        <v>0.79756040256871896</v>
      </c>
      <c r="AK74">
        <v>0.123441632823867</v>
      </c>
      <c r="AL74">
        <v>7.8997964607413498E-2</v>
      </c>
    </row>
    <row r="75" spans="1:38" x14ac:dyDescent="0.2">
      <c r="A75">
        <v>74</v>
      </c>
      <c r="B75">
        <v>778</v>
      </c>
      <c r="C75">
        <v>150</v>
      </c>
      <c r="D75">
        <v>0.44878514008467002</v>
      </c>
      <c r="E75">
        <v>5.5598928784114996</v>
      </c>
      <c r="F75">
        <v>2.5698449639122898</v>
      </c>
      <c r="G75">
        <v>-90.643566798580068</v>
      </c>
      <c r="H75">
        <v>-78.187203318599643</v>
      </c>
      <c r="I75">
        <v>11.8502244969608</v>
      </c>
      <c r="J75">
        <v>6.7633698623677798</v>
      </c>
      <c r="K75">
        <v>2.1635129575860401</v>
      </c>
      <c r="L75">
        <v>3.0835775358125773E-5</v>
      </c>
      <c r="M75">
        <v>1.8135006104040423E-6</v>
      </c>
      <c r="N75" s="1">
        <v>-4.0129033935146101E-8</v>
      </c>
      <c r="O75" s="1">
        <v>1.9358578597033399E-11</v>
      </c>
      <c r="P75" s="1">
        <v>1.6371057334132099E-10</v>
      </c>
      <c r="Q75">
        <v>65.181751056052093</v>
      </c>
      <c r="S75">
        <v>21.514974026356501</v>
      </c>
      <c r="AA75">
        <v>2.5408033501474598</v>
      </c>
      <c r="AB75">
        <v>9.3232617267865407</v>
      </c>
      <c r="AC75">
        <v>1.4392098406573199</v>
      </c>
      <c r="AJ75">
        <v>0.79862076012347505</v>
      </c>
      <c r="AK75">
        <v>0.12026923902561799</v>
      </c>
      <c r="AL75">
        <v>8.1110000850906194E-2</v>
      </c>
    </row>
    <row r="76" spans="1:38" x14ac:dyDescent="0.2">
      <c r="A76">
        <v>75</v>
      </c>
      <c r="B76">
        <v>776</v>
      </c>
      <c r="C76">
        <v>150</v>
      </c>
      <c r="D76">
        <v>0.447600915026452</v>
      </c>
      <c r="E76">
        <v>6.3379713852660302</v>
      </c>
      <c r="F76">
        <v>2.5692406662114</v>
      </c>
      <c r="G76">
        <v>-103.28823916336727</v>
      </c>
      <c r="H76">
        <v>-89.129523170305191</v>
      </c>
      <c r="I76">
        <v>13.4954162827642</v>
      </c>
      <c r="J76">
        <v>7.7122781880162101</v>
      </c>
      <c r="K76">
        <v>2.4668655874157399</v>
      </c>
      <c r="L76">
        <v>3.0905168824712988E-5</v>
      </c>
      <c r="M76">
        <v>1.81530916881269E-6</v>
      </c>
      <c r="N76" s="1">
        <v>-4.87393140588116E-8</v>
      </c>
      <c r="O76" s="1">
        <v>2.20738284999936E-11</v>
      </c>
      <c r="P76" s="1">
        <v>1.95351129751955E-10</v>
      </c>
      <c r="Q76">
        <v>65.253779957477803</v>
      </c>
      <c r="S76">
        <v>21.457954926845101</v>
      </c>
      <c r="AA76">
        <v>2.4769550497721302</v>
      </c>
      <c r="AB76">
        <v>9.3342912892207099</v>
      </c>
      <c r="AC76">
        <v>1.4770187766840901</v>
      </c>
      <c r="AJ76">
        <v>0.79952290735653397</v>
      </c>
      <c r="AK76">
        <v>0.117240720177802</v>
      </c>
      <c r="AL76">
        <v>8.3236372465663303E-2</v>
      </c>
    </row>
    <row r="77" spans="1:38" x14ac:dyDescent="0.2">
      <c r="A77">
        <v>76</v>
      </c>
      <c r="B77">
        <v>774</v>
      </c>
      <c r="C77">
        <v>150</v>
      </c>
      <c r="D77">
        <v>0.44641216635630598</v>
      </c>
      <c r="E77">
        <v>7.3051134652778602</v>
      </c>
      <c r="F77">
        <v>2.5684922206096199</v>
      </c>
      <c r="G77">
        <v>-118.99752689315982</v>
      </c>
      <c r="H77">
        <v>-102.72521772016101</v>
      </c>
      <c r="I77">
        <v>15.539616266054299</v>
      </c>
      <c r="J77">
        <v>8.8919022978493505</v>
      </c>
      <c r="K77">
        <v>2.8441252056990902</v>
      </c>
      <c r="L77">
        <v>3.0976088431050388E-5</v>
      </c>
      <c r="M77">
        <v>1.8172374625435318E-6</v>
      </c>
      <c r="N77" s="1">
        <v>-5.9794730467669205E-8</v>
      </c>
      <c r="O77" s="1">
        <v>2.5454061685638799E-11</v>
      </c>
      <c r="P77" s="1">
        <v>2.3568937401706598E-10</v>
      </c>
      <c r="Q77">
        <v>65.333397769755805</v>
      </c>
      <c r="S77">
        <v>21.3925376236615</v>
      </c>
      <c r="AA77">
        <v>2.4044073767762102</v>
      </c>
      <c r="AB77">
        <v>9.3402153498201397</v>
      </c>
      <c r="AC77">
        <v>1.5294418799862199</v>
      </c>
      <c r="AJ77">
        <v>0.80000807320153</v>
      </c>
      <c r="AK77">
        <v>0.11380368429260999</v>
      </c>
      <c r="AL77">
        <v>8.6188242505858603E-2</v>
      </c>
    </row>
    <row r="78" spans="1:38" x14ac:dyDescent="0.2">
      <c r="A78">
        <v>77</v>
      </c>
      <c r="B78">
        <v>772</v>
      </c>
      <c r="C78">
        <v>150</v>
      </c>
      <c r="D78">
        <v>0.44521886810505501</v>
      </c>
      <c r="E78">
        <v>9.6561092103034802</v>
      </c>
      <c r="F78">
        <v>2.5665396303253498</v>
      </c>
      <c r="G78">
        <v>-157.16966772325878</v>
      </c>
      <c r="H78">
        <v>-135.72093992064447</v>
      </c>
      <c r="I78">
        <v>20.522152612174601</v>
      </c>
      <c r="J78">
        <v>11.7552601446335</v>
      </c>
      <c r="K78">
        <v>3.7623066857063798</v>
      </c>
      <c r="L78">
        <v>3.1048159026743154E-5</v>
      </c>
      <c r="M78">
        <v>1.8203131762667805E-6</v>
      </c>
      <c r="N78" s="1">
        <v>-8.3720447466138395E-8</v>
      </c>
      <c r="O78" s="1">
        <v>3.3732377366445301E-11</v>
      </c>
      <c r="P78" s="1">
        <v>3.25071254006549E-10</v>
      </c>
      <c r="Q78">
        <v>65.483119593234207</v>
      </c>
      <c r="S78">
        <v>21.254261627270498</v>
      </c>
      <c r="AA78">
        <v>2.2553927232403899</v>
      </c>
      <c r="AB78">
        <v>9.3113539040331705</v>
      </c>
      <c r="AC78">
        <v>1.69587215222167</v>
      </c>
      <c r="AJ78">
        <v>0.79765272378557805</v>
      </c>
      <c r="AK78">
        <v>0.10676624881119701</v>
      </c>
      <c r="AL78">
        <v>9.5581027403223703E-2</v>
      </c>
    </row>
    <row r="79" spans="1:38" x14ac:dyDescent="0.2">
      <c r="A79">
        <v>78</v>
      </c>
      <c r="B79">
        <v>770</v>
      </c>
      <c r="C79">
        <v>150</v>
      </c>
      <c r="D79">
        <v>0.44402099410439499</v>
      </c>
      <c r="E79">
        <v>12.1153359943123</v>
      </c>
      <c r="F79">
        <v>2.5644648515668198</v>
      </c>
      <c r="G79">
        <v>-197.02323149567292</v>
      </c>
      <c r="H79">
        <v>-170.1892211648665</v>
      </c>
      <c r="I79">
        <v>25.7240189146397</v>
      </c>
      <c r="J79">
        <v>14.749778385287501</v>
      </c>
      <c r="K79">
        <v>4.7243135295499101</v>
      </c>
      <c r="L79">
        <v>3.1102891240601903E-5</v>
      </c>
      <c r="M79">
        <v>1.8229586628887655E-6</v>
      </c>
      <c r="N79" s="1">
        <v>-1.1088833373741901E-7</v>
      </c>
      <c r="O79" s="1">
        <v>4.2435664809865902E-11</v>
      </c>
      <c r="P79" s="1">
        <v>4.2470927306976401E-10</v>
      </c>
      <c r="Q79">
        <v>65.621430991974194</v>
      </c>
      <c r="S79">
        <v>21.1165618832683</v>
      </c>
      <c r="AA79">
        <v>2.1095159504479701</v>
      </c>
      <c r="AB79">
        <v>9.2585756590747597</v>
      </c>
      <c r="AC79">
        <v>1.8939155152346201</v>
      </c>
      <c r="AJ79">
        <v>0.79334161616165799</v>
      </c>
      <c r="AK79">
        <v>9.9887158881158802E-2</v>
      </c>
      <c r="AL79">
        <v>0.106771224957182</v>
      </c>
    </row>
    <row r="80" spans="1:38" x14ac:dyDescent="0.2">
      <c r="A80">
        <v>79</v>
      </c>
      <c r="B80">
        <v>768</v>
      </c>
      <c r="C80">
        <v>150</v>
      </c>
      <c r="D80">
        <v>0.442818517984921</v>
      </c>
      <c r="E80">
        <v>14.7536536351094</v>
      </c>
      <c r="F80">
        <v>2.5621696815328301</v>
      </c>
      <c r="G80">
        <v>-239.68317637569535</v>
      </c>
      <c r="H80">
        <v>-207.10196877586398</v>
      </c>
      <c r="I80">
        <v>31.293480862345799</v>
      </c>
      <c r="J80">
        <v>17.960021940965198</v>
      </c>
      <c r="K80">
        <v>5.7582656376930501</v>
      </c>
      <c r="L80">
        <v>3.1134830485671352E-5</v>
      </c>
      <c r="M80">
        <v>1.825129406451601E-6</v>
      </c>
      <c r="N80" s="1">
        <v>-1.41925017957885E-7</v>
      </c>
      <c r="O80" s="1">
        <v>5.1827020399989701E-11</v>
      </c>
      <c r="P80" s="1">
        <v>5.3697505927032698E-10</v>
      </c>
      <c r="Q80">
        <v>65.749434840491602</v>
      </c>
      <c r="S80">
        <v>20.975402966124001</v>
      </c>
      <c r="AA80">
        <v>1.9631904503253801</v>
      </c>
      <c r="AB80">
        <v>9.1737589189985904</v>
      </c>
      <c r="AC80">
        <v>2.13821282406029</v>
      </c>
      <c r="AJ80">
        <v>0.78640722233886595</v>
      </c>
      <c r="AK80">
        <v>9.2997953920125498E-2</v>
      </c>
      <c r="AL80">
        <v>0.12059482374100799</v>
      </c>
    </row>
    <row r="81" spans="1:38" x14ac:dyDescent="0.2">
      <c r="A81">
        <v>80</v>
      </c>
      <c r="B81">
        <v>766</v>
      </c>
      <c r="C81">
        <v>150</v>
      </c>
      <c r="D81">
        <v>0.44161141317423203</v>
      </c>
      <c r="E81">
        <v>17.724152353369998</v>
      </c>
      <c r="F81">
        <v>2.5594649932905602</v>
      </c>
      <c r="G81">
        <v>-287.58210307603508</v>
      </c>
      <c r="H81">
        <v>-248.56078943892436</v>
      </c>
      <c r="I81">
        <v>37.551184753991897</v>
      </c>
      <c r="J81">
        <v>21.5688124785794</v>
      </c>
      <c r="K81">
        <v>6.9249442363277298</v>
      </c>
      <c r="L81">
        <v>3.1132739929440784E-5</v>
      </c>
      <c r="M81">
        <v>1.8267204032687193E-6</v>
      </c>
      <c r="N81" s="1">
        <v>-1.78014387229799E-7</v>
      </c>
      <c r="O81" s="1">
        <v>6.2479323222014194E-11</v>
      </c>
      <c r="P81" s="1">
        <v>6.6651556914614302E-10</v>
      </c>
      <c r="Q81">
        <v>65.868633377075497</v>
      </c>
      <c r="S81">
        <v>20.823236436734501</v>
      </c>
      <c r="AA81">
        <v>1.80983815655494</v>
      </c>
      <c r="AB81">
        <v>9.0404621268124803</v>
      </c>
      <c r="AC81">
        <v>2.4578299028224899</v>
      </c>
      <c r="AJ81">
        <v>0.77549606099763402</v>
      </c>
      <c r="AK81">
        <v>8.5790558588961494E-2</v>
      </c>
      <c r="AL81">
        <v>0.138713380413403</v>
      </c>
    </row>
    <row r="82" spans="1:38" x14ac:dyDescent="0.2">
      <c r="A82">
        <v>81</v>
      </c>
      <c r="B82">
        <v>764</v>
      </c>
      <c r="C82">
        <v>150</v>
      </c>
      <c r="D82">
        <v>0.44039965289495597</v>
      </c>
      <c r="E82">
        <v>21.183417267434699</v>
      </c>
      <c r="F82">
        <v>2.5564389024629901</v>
      </c>
      <c r="G82">
        <v>-343.19564651062205</v>
      </c>
      <c r="H82">
        <v>-296.70958207878482</v>
      </c>
      <c r="I82">
        <v>44.820965561237202</v>
      </c>
      <c r="J82">
        <v>25.761410569255599</v>
      </c>
      <c r="K82">
        <v>8.2862990572650208</v>
      </c>
      <c r="L82">
        <v>3.1080598606285506E-5</v>
      </c>
      <c r="M82">
        <v>1.8272611164086075E-6</v>
      </c>
      <c r="N82" s="1">
        <v>-2.2019300302152401E-7</v>
      </c>
      <c r="O82" s="1">
        <v>7.4967812400301305E-11</v>
      </c>
      <c r="P82" s="1">
        <v>8.1756301063703804E-10</v>
      </c>
      <c r="Q82">
        <v>65.960884834649903</v>
      </c>
      <c r="S82">
        <v>20.670023949201401</v>
      </c>
      <c r="AA82">
        <v>1.6619106691029499</v>
      </c>
      <c r="AB82">
        <v>8.8443730986411904</v>
      </c>
      <c r="AC82">
        <v>2.8628074484044799</v>
      </c>
      <c r="AJ82">
        <v>0.75941729317234796</v>
      </c>
      <c r="AK82">
        <v>7.8855482566784804E-2</v>
      </c>
      <c r="AL82">
        <v>0.161727224260866</v>
      </c>
    </row>
    <row r="83" spans="1:38" x14ac:dyDescent="0.2">
      <c r="A83">
        <v>81</v>
      </c>
      <c r="B83">
        <v>764</v>
      </c>
      <c r="C83">
        <v>150</v>
      </c>
      <c r="D83">
        <v>0.44039965289495597</v>
      </c>
      <c r="E83">
        <v>1.05328036980491</v>
      </c>
      <c r="F83">
        <v>2.52240879138989</v>
      </c>
      <c r="G83">
        <v>-16.772464628380433</v>
      </c>
      <c r="H83">
        <v>-14.486469220574444</v>
      </c>
      <c r="I83">
        <v>2.2041126238306701</v>
      </c>
      <c r="J83">
        <v>1.2582651128024001</v>
      </c>
      <c r="K83">
        <v>0.41756925895605501</v>
      </c>
      <c r="L83">
        <v>2.904442089509644E-5</v>
      </c>
      <c r="M83">
        <v>1.8099185557047701E-6</v>
      </c>
      <c r="N83" s="1">
        <v>-6.02416903351793E-9</v>
      </c>
      <c r="O83" s="1">
        <v>3.9629405907971597E-12</v>
      </c>
      <c r="P83" s="1">
        <v>2.59606370535449E-11</v>
      </c>
      <c r="Q83">
        <v>66.287047160573096</v>
      </c>
      <c r="S83">
        <v>19.173639017886298</v>
      </c>
      <c r="AA83">
        <v>0.35127225918237298</v>
      </c>
      <c r="AB83">
        <v>5.6482407130808197</v>
      </c>
      <c r="AC83">
        <v>8.5398008492772899</v>
      </c>
      <c r="AJ83">
        <v>0.49282622851089603</v>
      </c>
      <c r="AK83">
        <v>1.69369521457488E-2</v>
      </c>
      <c r="AL83">
        <v>0.490236819343354</v>
      </c>
    </row>
    <row r="84" spans="1:38" x14ac:dyDescent="0.2">
      <c r="A84">
        <v>82</v>
      </c>
      <c r="B84">
        <v>762</v>
      </c>
      <c r="C84">
        <v>150</v>
      </c>
      <c r="D84">
        <v>0.439183210162781</v>
      </c>
      <c r="E84">
        <v>26.036394093751401</v>
      </c>
      <c r="F84">
        <v>2.5605582301488998</v>
      </c>
      <c r="G84">
        <v>-422.08858073797148</v>
      </c>
      <c r="H84">
        <v>-365.13696727337776</v>
      </c>
      <c r="I84">
        <v>55.017739906867298</v>
      </c>
      <c r="J84">
        <v>31.684626601526599</v>
      </c>
      <c r="K84">
        <v>10.1682491681656</v>
      </c>
      <c r="L84">
        <v>3.1076851994823113E-5</v>
      </c>
      <c r="M84">
        <v>1.8223622941069857E-6</v>
      </c>
      <c r="N84" s="1">
        <v>-2.8902258853993898E-7</v>
      </c>
      <c r="O84" s="1">
        <v>9.1367095987811501E-11</v>
      </c>
      <c r="P84" s="1">
        <v>1.0586527831937101E-9</v>
      </c>
      <c r="Q84">
        <v>65.679650761502003</v>
      </c>
      <c r="S84">
        <v>20.9213886789782</v>
      </c>
      <c r="AA84">
        <v>1.9349112711908301</v>
      </c>
      <c r="AB84">
        <v>8.8766433645541305</v>
      </c>
      <c r="AC84">
        <v>2.58740592377467</v>
      </c>
      <c r="AJ84">
        <v>0.76206146036481104</v>
      </c>
      <c r="AK84">
        <v>9.1793741458314398E-2</v>
      </c>
      <c r="AL84">
        <v>0.14614479817687401</v>
      </c>
    </row>
    <row r="85" spans="1:38" x14ac:dyDescent="0.2">
      <c r="A85">
        <v>82</v>
      </c>
      <c r="B85">
        <v>762</v>
      </c>
      <c r="C85">
        <v>150</v>
      </c>
      <c r="D85">
        <v>0.439183210162781</v>
      </c>
      <c r="E85">
        <v>27.5427203986325</v>
      </c>
      <c r="F85">
        <v>2.52167341918847</v>
      </c>
      <c r="G85">
        <v>-437.94759947090751</v>
      </c>
      <c r="H85">
        <v>-378.43068463144328</v>
      </c>
      <c r="I85">
        <v>57.495932801491797</v>
      </c>
      <c r="J85">
        <v>32.859971052096299</v>
      </c>
      <c r="K85">
        <v>10.9223978763658</v>
      </c>
      <c r="L85">
        <v>2.8874873486411475E-5</v>
      </c>
      <c r="M85">
        <v>1.8069884232131483E-6</v>
      </c>
      <c r="N85" s="1">
        <v>-1.5742402425631101E-7</v>
      </c>
      <c r="O85" s="1">
        <v>1.03824629633035E-10</v>
      </c>
      <c r="P85" s="1">
        <v>6.7787217550660297E-10</v>
      </c>
      <c r="Q85">
        <v>66.204555589199302</v>
      </c>
      <c r="S85">
        <v>19.1387713159836</v>
      </c>
      <c r="AA85">
        <v>0.34175432854399401</v>
      </c>
      <c r="AB85">
        <v>5.3730024556474598</v>
      </c>
      <c r="AC85">
        <v>8.9419163106254498</v>
      </c>
      <c r="AJ85">
        <v>0.46946359628649698</v>
      </c>
      <c r="AK85">
        <v>1.6500978426452501E-2</v>
      </c>
      <c r="AL85">
        <v>0.51403542528704904</v>
      </c>
    </row>
    <row r="86" spans="1:38" x14ac:dyDescent="0.2">
      <c r="A86">
        <v>83</v>
      </c>
      <c r="B86">
        <v>760</v>
      </c>
      <c r="C86">
        <v>150</v>
      </c>
      <c r="D86">
        <v>0.43796205778444602</v>
      </c>
      <c r="E86">
        <v>27.055112097951699</v>
      </c>
      <c r="F86">
        <v>2.5615190726644999</v>
      </c>
      <c r="G86">
        <v>-438.58079883490296</v>
      </c>
      <c r="H86">
        <v>-379.58262591846824</v>
      </c>
      <c r="I86">
        <v>57.105137604834397</v>
      </c>
      <c r="J86">
        <v>32.943566214381498</v>
      </c>
      <c r="K86">
        <v>10.562135721210501</v>
      </c>
      <c r="L86">
        <v>3.1132587796682461E-5</v>
      </c>
      <c r="M86">
        <v>1.8218017625739128E-6</v>
      </c>
      <c r="N86" s="1">
        <v>-3.2010261847314999E-7</v>
      </c>
      <c r="O86" s="1">
        <v>9.4643906277914102E-11</v>
      </c>
      <c r="P86" s="1">
        <v>1.1573867962520499E-9</v>
      </c>
      <c r="Q86">
        <v>65.628468971753094</v>
      </c>
      <c r="S86">
        <v>20.970546912029999</v>
      </c>
      <c r="AA86">
        <v>1.9874098877366</v>
      </c>
      <c r="AB86">
        <v>8.8914621893080596</v>
      </c>
      <c r="AC86">
        <v>2.5221120391721299</v>
      </c>
      <c r="AJ86">
        <v>0.76327658749607197</v>
      </c>
      <c r="AK86">
        <v>9.4277268606060297E-2</v>
      </c>
      <c r="AL86">
        <v>0.142446143897866</v>
      </c>
    </row>
    <row r="87" spans="1:38" x14ac:dyDescent="0.2">
      <c r="A87">
        <v>83</v>
      </c>
      <c r="B87">
        <v>760</v>
      </c>
      <c r="C87">
        <v>150</v>
      </c>
      <c r="D87">
        <v>0.43796205778444602</v>
      </c>
      <c r="E87">
        <v>31.7583972748197</v>
      </c>
      <c r="F87">
        <v>2.5215388307140598</v>
      </c>
      <c r="G87">
        <v>-504.68678482094646</v>
      </c>
      <c r="H87">
        <v>-436.29263407411401</v>
      </c>
      <c r="I87">
        <v>66.199632915677697</v>
      </c>
      <c r="J87">
        <v>37.883856506307097</v>
      </c>
      <c r="K87">
        <v>12.594847593850499</v>
      </c>
      <c r="L87">
        <v>2.8856878824801458E-5</v>
      </c>
      <c r="M87">
        <v>1.8065267104449061E-6</v>
      </c>
      <c r="N87" s="1">
        <v>-1.9150861352047901E-7</v>
      </c>
      <c r="O87" s="1">
        <v>1.19699757114326E-10</v>
      </c>
      <c r="P87" s="1">
        <v>8.1038688527310599E-10</v>
      </c>
      <c r="Q87">
        <v>66.188956626695102</v>
      </c>
      <c r="S87">
        <v>19.125590690572299</v>
      </c>
      <c r="AA87">
        <v>0.334519982269747</v>
      </c>
      <c r="AB87">
        <v>5.3036862809757404</v>
      </c>
      <c r="AC87">
        <v>9.0472464194869797</v>
      </c>
      <c r="AJ87">
        <v>0.46356972664860402</v>
      </c>
      <c r="AK87">
        <v>1.6157348593811901E-2</v>
      </c>
      <c r="AL87">
        <v>0.52027292475758302</v>
      </c>
    </row>
    <row r="88" spans="1:38" x14ac:dyDescent="0.2">
      <c r="A88">
        <v>85</v>
      </c>
      <c r="B88">
        <v>804</v>
      </c>
      <c r="C88">
        <v>125</v>
      </c>
      <c r="D88">
        <v>0.48931021677575198</v>
      </c>
      <c r="E88">
        <v>0.75209536401062105</v>
      </c>
      <c r="F88">
        <v>2.5716602686195502</v>
      </c>
      <c r="G88">
        <v>-12.320307635580233</v>
      </c>
      <c r="H88">
        <v>-10.570781463748849</v>
      </c>
      <c r="I88">
        <v>1.62421777081314</v>
      </c>
      <c r="J88">
        <v>0.91291854830465602</v>
      </c>
      <c r="K88">
        <v>0.29245517893167799</v>
      </c>
      <c r="L88">
        <v>3.02456961563203E-5</v>
      </c>
      <c r="M88">
        <v>1.8010329611959363E-6</v>
      </c>
      <c r="N88" s="1">
        <v>-2.19379861275575E-9</v>
      </c>
      <c r="O88" s="1">
        <v>2.6219203633911401E-12</v>
      </c>
      <c r="P88" s="1">
        <v>1.2620122143517899E-11</v>
      </c>
      <c r="Q88">
        <v>64.680889184014603</v>
      </c>
      <c r="S88">
        <v>21.902387570634399</v>
      </c>
      <c r="AA88">
        <v>2.9772927615936502</v>
      </c>
      <c r="AB88">
        <v>9.2227728736132804</v>
      </c>
      <c r="AC88">
        <v>1.2166576101439099</v>
      </c>
      <c r="AJ88">
        <v>0.79039944502284498</v>
      </c>
      <c r="AK88">
        <v>0.14099945857274401</v>
      </c>
      <c r="AL88">
        <v>6.8601096404409798E-2</v>
      </c>
    </row>
    <row r="89" spans="1:38" x14ac:dyDescent="0.2">
      <c r="A89">
        <v>86</v>
      </c>
      <c r="B89">
        <v>802</v>
      </c>
      <c r="C89">
        <v>125</v>
      </c>
      <c r="D89">
        <v>0.48823001441659297</v>
      </c>
      <c r="E89">
        <v>1.5060731124681901</v>
      </c>
      <c r="F89">
        <v>2.5709455928362801</v>
      </c>
      <c r="G89">
        <v>-24.661995496103881</v>
      </c>
      <c r="H89">
        <v>-21.168175750140975</v>
      </c>
      <c r="I89">
        <v>3.2496114458102601</v>
      </c>
      <c r="J89">
        <v>1.8283321666916701</v>
      </c>
      <c r="K89">
        <v>0.58580512814613495</v>
      </c>
      <c r="L89">
        <v>3.0304692463021365E-5</v>
      </c>
      <c r="M89">
        <v>1.8032689724734049E-6</v>
      </c>
      <c r="N89" s="1">
        <v>-4.7521455264933197E-9</v>
      </c>
      <c r="O89" s="1">
        <v>5.2562731888201803E-12</v>
      </c>
      <c r="P89" s="1">
        <v>2.6332784800351399E-11</v>
      </c>
      <c r="Q89">
        <v>64.772357010132197</v>
      </c>
      <c r="S89">
        <v>21.833235616364199</v>
      </c>
      <c r="AA89">
        <v>2.8988989244820398</v>
      </c>
      <c r="AB89">
        <v>9.2453131813204799</v>
      </c>
      <c r="AC89">
        <v>1.25019526770101</v>
      </c>
      <c r="AJ89">
        <v>0.79224390820131996</v>
      </c>
      <c r="AK89">
        <v>0.13727174188503399</v>
      </c>
      <c r="AL89">
        <v>7.0484349913645605E-2</v>
      </c>
    </row>
    <row r="90" spans="1:38" x14ac:dyDescent="0.2">
      <c r="A90">
        <v>87</v>
      </c>
      <c r="B90">
        <v>800</v>
      </c>
      <c r="C90">
        <v>125</v>
      </c>
      <c r="D90">
        <v>0.48714578577086598</v>
      </c>
      <c r="E90">
        <v>2.2610938667431801</v>
      </c>
      <c r="F90">
        <v>2.5702558225322898</v>
      </c>
      <c r="G90">
        <v>-37.011279775329761</v>
      </c>
      <c r="H90">
        <v>-31.780417877783645</v>
      </c>
      <c r="I90">
        <v>4.8743063854504198</v>
      </c>
      <c r="J90">
        <v>2.7452376519160002</v>
      </c>
      <c r="K90">
        <v>0.87971549248957104</v>
      </c>
      <c r="L90">
        <v>3.0362541346556823E-5</v>
      </c>
      <c r="M90">
        <v>1.8054104425057887E-6</v>
      </c>
      <c r="N90" s="1">
        <v>-7.6985628132440992E-9</v>
      </c>
      <c r="O90" s="1">
        <v>7.8994605689356395E-12</v>
      </c>
      <c r="P90" s="1">
        <v>4.1199359928479001E-11</v>
      </c>
      <c r="Q90">
        <v>64.859886679395103</v>
      </c>
      <c r="S90">
        <v>21.766648520889301</v>
      </c>
      <c r="AA90">
        <v>2.8235400372027302</v>
      </c>
      <c r="AB90">
        <v>9.2658016284192506</v>
      </c>
      <c r="AC90">
        <v>1.28412313409347</v>
      </c>
      <c r="AJ90">
        <v>0.79392018588514202</v>
      </c>
      <c r="AK90">
        <v>0.133689896408937</v>
      </c>
      <c r="AL90">
        <v>7.2389917705919404E-2</v>
      </c>
    </row>
    <row r="91" spans="1:38" x14ac:dyDescent="0.2">
      <c r="A91">
        <v>88</v>
      </c>
      <c r="B91">
        <v>798</v>
      </c>
      <c r="C91">
        <v>125</v>
      </c>
      <c r="D91">
        <v>0.48605750828548999</v>
      </c>
      <c r="E91">
        <v>3.0161593947087799</v>
      </c>
      <c r="F91">
        <v>2.5695909320536501</v>
      </c>
      <c r="G91">
        <v>-49.351805496652879</v>
      </c>
      <c r="H91">
        <v>-42.393514863012591</v>
      </c>
      <c r="I91">
        <v>6.4960935757272802</v>
      </c>
      <c r="J91">
        <v>3.66244112581749</v>
      </c>
      <c r="K91">
        <v>1.17378970990461</v>
      </c>
      <c r="L91">
        <v>3.0419337819321715E-5</v>
      </c>
      <c r="M91">
        <v>1.8074591089160756E-6</v>
      </c>
      <c r="N91" s="1">
        <v>-1.1057265449760399E-8</v>
      </c>
      <c r="O91" s="1">
        <v>1.05473029842052E-11</v>
      </c>
      <c r="P91" s="1">
        <v>5.7281707770133402E-11</v>
      </c>
      <c r="Q91">
        <v>64.943527890029401</v>
      </c>
      <c r="S91">
        <v>21.702602458711901</v>
      </c>
      <c r="AA91">
        <v>2.75118484707418</v>
      </c>
      <c r="AB91">
        <v>9.2842865031007094</v>
      </c>
      <c r="AC91">
        <v>1.3183983010838001</v>
      </c>
      <c r="AJ91">
        <v>0.79543232651108697</v>
      </c>
      <c r="AK91">
        <v>0.13025225899669399</v>
      </c>
      <c r="AL91">
        <v>7.4315414492217804E-2</v>
      </c>
    </row>
    <row r="92" spans="1:38" x14ac:dyDescent="0.2">
      <c r="A92">
        <v>89</v>
      </c>
      <c r="B92">
        <v>796</v>
      </c>
      <c r="C92">
        <v>125</v>
      </c>
      <c r="D92">
        <v>0.48496515923864703</v>
      </c>
      <c r="E92">
        <v>3.77028275995713</v>
      </c>
      <c r="F92">
        <v>2.56895077457109</v>
      </c>
      <c r="G92">
        <v>-61.667434105241249</v>
      </c>
      <c r="H92">
        <v>-52.993636389089062</v>
      </c>
      <c r="I92">
        <v>8.1127977516271805</v>
      </c>
      <c r="J92">
        <v>4.5787647927092197</v>
      </c>
      <c r="K92">
        <v>1.4676352685608001</v>
      </c>
      <c r="L92">
        <v>3.0475190025568979E-5</v>
      </c>
      <c r="M92">
        <v>1.8094171233072573E-6</v>
      </c>
      <c r="N92" s="1">
        <v>-1.4853729749314E-8</v>
      </c>
      <c r="O92" s="1">
        <v>1.3195637018114199E-11</v>
      </c>
      <c r="P92" s="1">
        <v>7.4645219978939803E-11</v>
      </c>
      <c r="Q92">
        <v>65.023347494721605</v>
      </c>
      <c r="S92">
        <v>21.6410619029879</v>
      </c>
      <c r="AA92">
        <v>2.6817884449260299</v>
      </c>
      <c r="AB92">
        <v>9.3008236447527803</v>
      </c>
      <c r="AC92">
        <v>1.3529785126115701</v>
      </c>
      <c r="AJ92">
        <v>0.79678498302317402</v>
      </c>
      <c r="AK92">
        <v>0.126956527808987</v>
      </c>
      <c r="AL92">
        <v>7.6258489167837798E-2</v>
      </c>
    </row>
    <row r="93" spans="1:38" x14ac:dyDescent="0.2">
      <c r="A93">
        <v>90</v>
      </c>
      <c r="B93">
        <v>794</v>
      </c>
      <c r="C93">
        <v>125</v>
      </c>
      <c r="D93">
        <v>0.48386871573818202</v>
      </c>
      <c r="E93">
        <v>4.5225013448172398</v>
      </c>
      <c r="F93">
        <v>2.5683350896629702</v>
      </c>
      <c r="G93">
        <v>-73.942455505520499</v>
      </c>
      <c r="H93">
        <v>-63.567296994934658</v>
      </c>
      <c r="I93">
        <v>9.7223056839111894</v>
      </c>
      <c r="J93">
        <v>5.4930629846503196</v>
      </c>
      <c r="K93">
        <v>1.76086888467917</v>
      </c>
      <c r="L93">
        <v>3.0530218389731755E-5</v>
      </c>
      <c r="M93">
        <v>1.8112870061610237E-6</v>
      </c>
      <c r="N93" s="1">
        <v>-1.91148673214092E-8</v>
      </c>
      <c r="O93" s="1">
        <v>1.5840365727464601E-11</v>
      </c>
      <c r="P93" s="1">
        <v>9.3359413231398896E-11</v>
      </c>
      <c r="Q93">
        <v>65.099427762215797</v>
      </c>
      <c r="S93">
        <v>21.581980676447099</v>
      </c>
      <c r="AA93">
        <v>2.6152935377505901</v>
      </c>
      <c r="AB93">
        <v>9.3154753251423301</v>
      </c>
      <c r="AC93">
        <v>1.38782269844411</v>
      </c>
      <c r="AJ93">
        <v>0.79798332178221298</v>
      </c>
      <c r="AK93">
        <v>0.123799823550633</v>
      </c>
      <c r="AL93">
        <v>7.8216854667153293E-2</v>
      </c>
    </row>
    <row r="94" spans="1:38" x14ac:dyDescent="0.2">
      <c r="A94">
        <v>91</v>
      </c>
      <c r="B94">
        <v>792</v>
      </c>
      <c r="C94">
        <v>125</v>
      </c>
      <c r="D94">
        <v>0.48276815471999501</v>
      </c>
      <c r="E94">
        <v>5.2718885066821004</v>
      </c>
      <c r="F94">
        <v>2.5677435130273101</v>
      </c>
      <c r="G94">
        <v>-86.161777161112184</v>
      </c>
      <c r="H94">
        <v>-74.10151902729568</v>
      </c>
      <c r="I94">
        <v>11.3225913099718</v>
      </c>
      <c r="J94">
        <v>6.4042365383369297</v>
      </c>
      <c r="K94">
        <v>2.0531211470053101</v>
      </c>
      <c r="L94">
        <v>3.0584554687816211E-5</v>
      </c>
      <c r="M94">
        <v>1.813071597338207E-6</v>
      </c>
      <c r="N94" s="1">
        <v>-2.3869224230232699E-8</v>
      </c>
      <c r="O94" s="1">
        <v>1.8477503795424499E-11</v>
      </c>
      <c r="P94" s="1">
        <v>1.13498584044704E-10</v>
      </c>
      <c r="Q94">
        <v>65.171864424968305</v>
      </c>
      <c r="S94">
        <v>21.5253031656842</v>
      </c>
      <c r="AA94">
        <v>2.5516319060592298</v>
      </c>
      <c r="AB94">
        <v>9.3283090811435407</v>
      </c>
      <c r="AC94">
        <v>1.42289142214465</v>
      </c>
      <c r="AJ94">
        <v>0.79903292772892298</v>
      </c>
      <c r="AK94">
        <v>0.120778759199461</v>
      </c>
      <c r="AL94">
        <v>8.0188313071615003E-2</v>
      </c>
    </row>
    <row r="95" spans="1:38" x14ac:dyDescent="0.2">
      <c r="A95">
        <v>92</v>
      </c>
      <c r="B95">
        <v>790</v>
      </c>
      <c r="C95">
        <v>125</v>
      </c>
      <c r="D95">
        <v>0.48166345294643498</v>
      </c>
      <c r="E95">
        <v>6.01756357435253</v>
      </c>
      <c r="F95">
        <v>2.5671755877266298</v>
      </c>
      <c r="G95">
        <v>-98.311085559271135</v>
      </c>
      <c r="H95">
        <v>-84.58397226927714</v>
      </c>
      <c r="I95">
        <v>12.9117370925965</v>
      </c>
      <c r="J95">
        <v>7.3112451472338797</v>
      </c>
      <c r="K95">
        <v>2.3440405101707</v>
      </c>
      <c r="L95">
        <v>3.0638341089930226E-5</v>
      </c>
      <c r="M95">
        <v>1.8147740042483946E-6</v>
      </c>
      <c r="N95" s="1">
        <v>-2.91472049039768E-8</v>
      </c>
      <c r="O95" s="1">
        <v>2.1103216264420301E-11</v>
      </c>
      <c r="P95" s="1">
        <v>1.3514252058830899E-10</v>
      </c>
      <c r="Q95">
        <v>65.2407645987861</v>
      </c>
      <c r="S95">
        <v>21.470965639481399</v>
      </c>
      <c r="AA95">
        <v>2.4907259769354502</v>
      </c>
      <c r="AB95">
        <v>9.3393965349159096</v>
      </c>
      <c r="AC95">
        <v>1.458147249881</v>
      </c>
      <c r="AJ95">
        <v>0.79993970869117703</v>
      </c>
      <c r="AK95">
        <v>0.117889514970434</v>
      </c>
      <c r="AL95">
        <v>8.2170776338388304E-2</v>
      </c>
    </row>
    <row r="96" spans="1:38" x14ac:dyDescent="0.2">
      <c r="A96">
        <v>93</v>
      </c>
      <c r="B96">
        <v>788</v>
      </c>
      <c r="C96">
        <v>125</v>
      </c>
      <c r="D96">
        <v>0.48055458700466802</v>
      </c>
      <c r="E96">
        <v>6.7587000041249299</v>
      </c>
      <c r="F96">
        <v>2.5666307764384499</v>
      </c>
      <c r="G96">
        <v>-110.37697720515487</v>
      </c>
      <c r="H96">
        <v>-95.003087745193284</v>
      </c>
      <c r="I96">
        <v>14.4879512415413</v>
      </c>
      <c r="J96">
        <v>8.2131174714523407</v>
      </c>
      <c r="K96">
        <v>2.6332965637946302</v>
      </c>
      <c r="L96">
        <v>3.069172922934515E-5</v>
      </c>
      <c r="M96">
        <v>1.8163975498318554E-6</v>
      </c>
      <c r="N96" s="1">
        <v>-3.49813203830241E-8</v>
      </c>
      <c r="O96" s="1">
        <v>2.3713850081753401E-11</v>
      </c>
      <c r="P96" s="1">
        <v>1.5837726822262801E-10</v>
      </c>
      <c r="Q96">
        <v>65.306244661463296</v>
      </c>
      <c r="S96">
        <v>21.418897615015801</v>
      </c>
      <c r="AA96">
        <v>2.4324904461614998</v>
      </c>
      <c r="AB96">
        <v>9.3488122482498905</v>
      </c>
      <c r="AC96">
        <v>1.49355502910934</v>
      </c>
      <c r="AJ96">
        <v>0.80070980260775904</v>
      </c>
      <c r="AK96">
        <v>0.115127915370543</v>
      </c>
      <c r="AL96">
        <v>8.4162282021697704E-2</v>
      </c>
    </row>
    <row r="97" spans="1:38" x14ac:dyDescent="0.2">
      <c r="A97">
        <v>94</v>
      </c>
      <c r="B97">
        <v>786</v>
      </c>
      <c r="C97">
        <v>125</v>
      </c>
      <c r="D97">
        <v>0.47944153330501299</v>
      </c>
      <c r="E97">
        <v>7.4945316222538603</v>
      </c>
      <c r="F97">
        <v>2.56610847419162</v>
      </c>
      <c r="G97">
        <v>-122.3470580618949</v>
      </c>
      <c r="H97">
        <v>-105.34814469721195</v>
      </c>
      <c r="I97">
        <v>16.049580668161202</v>
      </c>
      <c r="J97">
        <v>9.1089589187840208</v>
      </c>
      <c r="K97">
        <v>2.9205825465405502</v>
      </c>
      <c r="L97">
        <v>3.0744879341357029E-5</v>
      </c>
      <c r="M97">
        <v>1.8179457220932239E-6</v>
      </c>
      <c r="N97" s="1">
        <v>-4.1406460629496902E-8</v>
      </c>
      <c r="O97" s="1">
        <v>2.6305958108087701E-11</v>
      </c>
      <c r="P97" s="1">
        <v>1.83295946687475E-10</v>
      </c>
      <c r="Q97">
        <v>65.368428163656802</v>
      </c>
      <c r="S97">
        <v>21.369023221925101</v>
      </c>
      <c r="AA97">
        <v>2.3768338910548299</v>
      </c>
      <c r="AB97">
        <v>9.3566326431411806</v>
      </c>
      <c r="AC97">
        <v>1.5290820802219101</v>
      </c>
      <c r="AJ97">
        <v>0.801349490244325</v>
      </c>
      <c r="AK97">
        <v>0.11248950560434599</v>
      </c>
      <c r="AL97">
        <v>8.6161004151327797E-2</v>
      </c>
    </row>
    <row r="98" spans="1:38" x14ac:dyDescent="0.2">
      <c r="A98">
        <v>95</v>
      </c>
      <c r="B98">
        <v>784</v>
      </c>
      <c r="C98">
        <v>125</v>
      </c>
      <c r="D98">
        <v>0.47832426807926898</v>
      </c>
      <c r="E98">
        <v>8.2243569857492105</v>
      </c>
      <c r="F98">
        <v>2.5656080211052998</v>
      </c>
      <c r="G98">
        <v>-134.21001207017946</v>
      </c>
      <c r="H98">
        <v>-115.60933120232571</v>
      </c>
      <c r="I98">
        <v>17.5951197728361</v>
      </c>
      <c r="J98">
        <v>9.9979571391866404</v>
      </c>
      <c r="K98">
        <v>3.20561711613531</v>
      </c>
      <c r="L98">
        <v>3.0797959508574072E-5</v>
      </c>
      <c r="M98">
        <v>1.8194221266493498E-6</v>
      </c>
      <c r="N98" s="1">
        <v>-4.8460190948629698E-8</v>
      </c>
      <c r="O98" s="1">
        <v>2.8876315649842302E-11</v>
      </c>
      <c r="P98" s="1">
        <v>2.0999961861289399E-10</v>
      </c>
      <c r="Q98">
        <v>65.4274438349577</v>
      </c>
      <c r="S98">
        <v>21.321262520282701</v>
      </c>
      <c r="AA98">
        <v>2.32366032306718</v>
      </c>
      <c r="AB98">
        <v>9.3629350136706204</v>
      </c>
      <c r="AC98">
        <v>1.56469830802178</v>
      </c>
      <c r="AJ98">
        <v>0.80186511541027805</v>
      </c>
      <c r="AK98">
        <v>0.109969624946111</v>
      </c>
      <c r="AL98">
        <v>8.8165259643609703E-2</v>
      </c>
    </row>
    <row r="99" spans="1:38" x14ac:dyDescent="0.2">
      <c r="A99">
        <v>96</v>
      </c>
      <c r="B99">
        <v>782</v>
      </c>
      <c r="C99">
        <v>125</v>
      </c>
      <c r="D99">
        <v>0.47720276737904699</v>
      </c>
      <c r="E99">
        <v>10.187617306695801</v>
      </c>
      <c r="F99">
        <v>2.5640718922961598</v>
      </c>
      <c r="G99">
        <v>-166.13291528132422</v>
      </c>
      <c r="H99">
        <v>-143.15702024515826</v>
      </c>
      <c r="I99">
        <v>21.7750035882727</v>
      </c>
      <c r="J99">
        <v>12.385186040514</v>
      </c>
      <c r="K99">
        <v>3.9732182772662901</v>
      </c>
      <c r="L99">
        <v>3.0851667761478592E-5</v>
      </c>
      <c r="M99">
        <v>1.8218594842410394E-6</v>
      </c>
      <c r="N99" s="1">
        <v>-6.3700587403397304E-8</v>
      </c>
      <c r="O99" s="1">
        <v>3.5843887226716697E-11</v>
      </c>
      <c r="P99" s="1">
        <v>2.70811015923252E-10</v>
      </c>
      <c r="Q99">
        <v>65.545762962580895</v>
      </c>
      <c r="S99">
        <v>21.211290850434398</v>
      </c>
      <c r="AA99">
        <v>2.2053244185177898</v>
      </c>
      <c r="AB99">
        <v>9.33829781576123</v>
      </c>
      <c r="AC99">
        <v>1.6993239527055499</v>
      </c>
      <c r="AJ99">
        <v>0.79985484804819196</v>
      </c>
      <c r="AK99">
        <v>0.10438227013061301</v>
      </c>
      <c r="AL99">
        <v>9.5762881821193899E-2</v>
      </c>
    </row>
    <row r="100" spans="1:38" x14ac:dyDescent="0.2">
      <c r="A100">
        <v>97</v>
      </c>
      <c r="B100">
        <v>780</v>
      </c>
      <c r="C100">
        <v>125</v>
      </c>
      <c r="D100">
        <v>0.47607700707401701</v>
      </c>
      <c r="E100">
        <v>12.5306675348443</v>
      </c>
      <c r="F100">
        <v>2.5621914753728201</v>
      </c>
      <c r="G100">
        <v>-204.17086506842799</v>
      </c>
      <c r="H100">
        <v>-175.99145716330182</v>
      </c>
      <c r="I100">
        <v>26.757259559536699</v>
      </c>
      <c r="J100">
        <v>15.232653602735001</v>
      </c>
      <c r="K100">
        <v>4.8906054271455002</v>
      </c>
      <c r="L100">
        <v>3.0892015158312771E-5</v>
      </c>
      <c r="M100">
        <v>1.8241934692806864E-6</v>
      </c>
      <c r="N100" s="1">
        <v>-8.2793310310370903E-8</v>
      </c>
      <c r="O100" s="1">
        <v>4.4201320940219399E-11</v>
      </c>
      <c r="P100" s="1">
        <v>3.4596496176700702E-10</v>
      </c>
      <c r="Q100">
        <v>65.669454825254903</v>
      </c>
      <c r="S100">
        <v>21.086777058765499</v>
      </c>
      <c r="AA100">
        <v>2.0737374602927598</v>
      </c>
      <c r="AB100">
        <v>9.2875094068801101</v>
      </c>
      <c r="AC100">
        <v>1.8825212488066401</v>
      </c>
      <c r="AJ100">
        <v>0.79570727984910805</v>
      </c>
      <c r="AK100">
        <v>9.8179005355782195E-2</v>
      </c>
      <c r="AL100">
        <v>0.106113714795109</v>
      </c>
    </row>
    <row r="101" spans="1:38" x14ac:dyDescent="0.2">
      <c r="A101">
        <v>98</v>
      </c>
      <c r="B101">
        <v>778</v>
      </c>
      <c r="C101">
        <v>125</v>
      </c>
      <c r="D101">
        <v>0.47494696285021398</v>
      </c>
      <c r="E101">
        <v>15.0057477369698</v>
      </c>
      <c r="F101">
        <v>2.56014948166739</v>
      </c>
      <c r="G101">
        <v>-244.26811631229998</v>
      </c>
      <c r="H101">
        <v>-210.62126421342043</v>
      </c>
      <c r="I101">
        <v>32.009562953793001</v>
      </c>
      <c r="J101">
        <v>18.238182246826899</v>
      </c>
      <c r="K101">
        <v>5.86127796225274</v>
      </c>
      <c r="L101">
        <v>3.0913909727990571E-5</v>
      </c>
      <c r="M101">
        <v>1.8261102967243358E-6</v>
      </c>
      <c r="N101" s="1">
        <v>-1.04336358586532E-7</v>
      </c>
      <c r="O101" s="1">
        <v>5.3077076227363999E-11</v>
      </c>
      <c r="P101" s="1">
        <v>4.2928576583549401E-10</v>
      </c>
      <c r="Q101">
        <v>65.783162389825407</v>
      </c>
      <c r="S101">
        <v>20.960728355305999</v>
      </c>
      <c r="AA101">
        <v>1.94321388359267</v>
      </c>
      <c r="AB101">
        <v>9.2104475542011492</v>
      </c>
      <c r="AC101">
        <v>2.1024478170745899</v>
      </c>
      <c r="AJ101">
        <v>0.78940891929520995</v>
      </c>
      <c r="AK101">
        <v>9.2034930801425302E-2</v>
      </c>
      <c r="AL101">
        <v>0.11855614990336399</v>
      </c>
    </row>
    <row r="102" spans="1:38" x14ac:dyDescent="0.2">
      <c r="A102">
        <v>99</v>
      </c>
      <c r="B102">
        <v>776</v>
      </c>
      <c r="C102">
        <v>125</v>
      </c>
      <c r="D102">
        <v>0.47381261020826598</v>
      </c>
      <c r="E102">
        <v>17.7119279900854</v>
      </c>
      <c r="F102">
        <v>2.5578265763853301</v>
      </c>
      <c r="G102">
        <v>-288.00061310691706</v>
      </c>
      <c r="H102">
        <v>-248.40537339042049</v>
      </c>
      <c r="I102">
        <v>37.740303785442002</v>
      </c>
      <c r="J102">
        <v>21.519817440565099</v>
      </c>
      <c r="K102">
        <v>6.9246008128962098</v>
      </c>
      <c r="L102">
        <v>3.0910549208949065E-5</v>
      </c>
      <c r="M102">
        <v>1.8275435918852241E-6</v>
      </c>
      <c r="N102" s="1">
        <v>-1.2887876570937799E-7</v>
      </c>
      <c r="O102" s="1">
        <v>6.2843352921601802E-11</v>
      </c>
      <c r="P102" s="1">
        <v>5.23149833497344E-10</v>
      </c>
      <c r="Q102">
        <v>65.887780090651006</v>
      </c>
      <c r="S102">
        <v>20.828383691755501</v>
      </c>
      <c r="AA102">
        <v>1.80961707079047</v>
      </c>
      <c r="AB102">
        <v>9.0966237496362101</v>
      </c>
      <c r="AC102">
        <v>2.3775953971666701</v>
      </c>
      <c r="AJ102">
        <v>0.78009608858330903</v>
      </c>
      <c r="AK102">
        <v>8.5756163406412206E-2</v>
      </c>
      <c r="AL102">
        <v>0.13414774801027801</v>
      </c>
    </row>
    <row r="103" spans="1:38" x14ac:dyDescent="0.2">
      <c r="A103">
        <v>100</v>
      </c>
      <c r="B103">
        <v>774</v>
      </c>
      <c r="C103">
        <v>125</v>
      </c>
      <c r="D103">
        <v>0.47267392446163797</v>
      </c>
      <c r="E103">
        <v>20.866257545322899</v>
      </c>
      <c r="F103">
        <v>2.5549932451500101</v>
      </c>
      <c r="G103">
        <v>-338.82133617610066</v>
      </c>
      <c r="H103">
        <v>-292.3216271003854</v>
      </c>
      <c r="I103">
        <v>44.405967698720602</v>
      </c>
      <c r="J103">
        <v>25.336191679599199</v>
      </c>
      <c r="K103">
        <v>8.1668542900972607</v>
      </c>
      <c r="L103">
        <v>3.0867585645238476E-5</v>
      </c>
      <c r="M103">
        <v>1.8283327797510746E-6</v>
      </c>
      <c r="N103" s="1">
        <v>-1.57501003587391E-7</v>
      </c>
      <c r="O103" s="1">
        <v>7.4319591675687703E-11</v>
      </c>
      <c r="P103" s="1">
        <v>6.3241732144758595E-10</v>
      </c>
      <c r="Q103">
        <v>65.9839345766745</v>
      </c>
      <c r="S103">
        <v>20.6809579812194</v>
      </c>
      <c r="AA103">
        <v>1.6655530152820901</v>
      </c>
      <c r="AB103">
        <v>8.9244031993214801</v>
      </c>
      <c r="AC103">
        <v>2.7451512275024701</v>
      </c>
      <c r="AJ103">
        <v>0.76598427324294704</v>
      </c>
      <c r="AK103">
        <v>7.8996876744028693E-2</v>
      </c>
      <c r="AL103">
        <v>0.15501885001302401</v>
      </c>
    </row>
    <row r="104" spans="1:38" x14ac:dyDescent="0.2">
      <c r="A104">
        <v>101</v>
      </c>
      <c r="B104">
        <v>772</v>
      </c>
      <c r="C104">
        <v>125</v>
      </c>
      <c r="D104">
        <v>0.47153088073482102</v>
      </c>
      <c r="E104">
        <v>24.147689925222501</v>
      </c>
      <c r="F104">
        <v>2.5546916899554102</v>
      </c>
      <c r="G104">
        <v>-391.77959964254103</v>
      </c>
      <c r="H104">
        <v>-338.14591038253172</v>
      </c>
      <c r="I104">
        <v>51.316738516011398</v>
      </c>
      <c r="J104">
        <v>29.305762247194401</v>
      </c>
      <c r="K104">
        <v>9.4522912569711703</v>
      </c>
      <c r="L104">
        <v>3.0782474168859922E-5</v>
      </c>
      <c r="M104">
        <v>1.8257250214917754E-6</v>
      </c>
      <c r="N104" s="1">
        <v>-1.8943040353050701E-7</v>
      </c>
      <c r="O104" s="1">
        <v>8.5966353141371096E-11</v>
      </c>
      <c r="P104" s="1">
        <v>7.525277624957E-10</v>
      </c>
      <c r="Q104">
        <v>65.898203500323703</v>
      </c>
      <c r="S104">
        <v>20.694424348888798</v>
      </c>
      <c r="AA104">
        <v>1.6966670811414699</v>
      </c>
      <c r="AB104">
        <v>8.7686599259831901</v>
      </c>
      <c r="AC104">
        <v>2.9420451436627002</v>
      </c>
      <c r="AJ104">
        <v>0.75319911429244202</v>
      </c>
      <c r="AK104">
        <v>8.0534876583099005E-2</v>
      </c>
      <c r="AL104">
        <v>0.16626600912445799</v>
      </c>
    </row>
    <row r="105" spans="1:38" x14ac:dyDescent="0.2">
      <c r="A105">
        <v>101</v>
      </c>
      <c r="B105">
        <v>772</v>
      </c>
      <c r="C105">
        <v>125</v>
      </c>
      <c r="D105">
        <v>0.47153088073482102</v>
      </c>
      <c r="E105">
        <v>12.7176320515002</v>
      </c>
      <c r="F105">
        <v>2.5216436778424201</v>
      </c>
      <c r="G105">
        <v>-202.98394814246859</v>
      </c>
      <c r="H105">
        <v>-175.02616110649333</v>
      </c>
      <c r="I105">
        <v>26.7500234760324</v>
      </c>
      <c r="J105">
        <v>15.189407220091701</v>
      </c>
      <c r="K105">
        <v>5.0433898188112396</v>
      </c>
      <c r="L105">
        <v>2.8986077170305787E-5</v>
      </c>
      <c r="M105">
        <v>1.8113340540491415E-6</v>
      </c>
      <c r="N105" s="1">
        <v>-5.4662262438448997E-8</v>
      </c>
      <c r="O105" s="1">
        <v>4.7930465666807003E-11</v>
      </c>
      <c r="P105" s="1">
        <v>2.6080549056780802E-10</v>
      </c>
      <c r="Q105">
        <v>66.2858509304629</v>
      </c>
      <c r="S105">
        <v>19.221206141143</v>
      </c>
      <c r="AA105">
        <v>0.39079474686018301</v>
      </c>
      <c r="AB105">
        <v>5.7702783761847698</v>
      </c>
      <c r="AC105">
        <v>8.3318698053490596</v>
      </c>
      <c r="AJ105">
        <v>0.50316380320667897</v>
      </c>
      <c r="AK105">
        <v>1.8830945796187801E-2</v>
      </c>
      <c r="AL105">
        <v>0.47800525099713198</v>
      </c>
    </row>
    <row r="106" spans="1:38" x14ac:dyDescent="0.2">
      <c r="A106">
        <v>102</v>
      </c>
      <c r="B106">
        <v>770</v>
      </c>
      <c r="C106">
        <v>125</v>
      </c>
      <c r="D106">
        <v>0.47038345396155901</v>
      </c>
      <c r="E106">
        <v>25.830764730637501</v>
      </c>
      <c r="F106">
        <v>2.5581593959429498</v>
      </c>
      <c r="G106">
        <v>-419.30384231951257</v>
      </c>
      <c r="H106">
        <v>-362.11138640691041</v>
      </c>
      <c r="I106">
        <v>54.826684477402097</v>
      </c>
      <c r="J106">
        <v>31.365818504355001</v>
      </c>
      <c r="K106">
        <v>10.097402363434799</v>
      </c>
      <c r="L106">
        <v>3.0783830440318128E-5</v>
      </c>
      <c r="M106">
        <v>1.8218901557822841E-6</v>
      </c>
      <c r="N106" s="1">
        <v>-2.16723802537328E-7</v>
      </c>
      <c r="O106" s="1">
        <v>9.13276353157357E-11</v>
      </c>
      <c r="P106" s="1">
        <v>8.4648525395692897E-10</v>
      </c>
      <c r="Q106">
        <v>65.671876968395395</v>
      </c>
      <c r="S106">
        <v>20.901179738295699</v>
      </c>
      <c r="AA106">
        <v>1.9200525965516</v>
      </c>
      <c r="AB106">
        <v>8.8063395180892901</v>
      </c>
      <c r="AC106">
        <v>2.7005511786679302</v>
      </c>
      <c r="AJ106">
        <v>0.75629034215546698</v>
      </c>
      <c r="AK106">
        <v>9.1120699555990198E-2</v>
      </c>
      <c r="AL106">
        <v>0.15258895828854199</v>
      </c>
    </row>
    <row r="107" spans="1:38" x14ac:dyDescent="0.2">
      <c r="A107">
        <v>102</v>
      </c>
      <c r="B107">
        <v>770</v>
      </c>
      <c r="C107">
        <v>125</v>
      </c>
      <c r="D107">
        <v>0.47038345396155901</v>
      </c>
      <c r="E107">
        <v>28.861103438563902</v>
      </c>
      <c r="F107">
        <v>2.5209178913580002</v>
      </c>
      <c r="G107">
        <v>-460.04242004921696</v>
      </c>
      <c r="H107">
        <v>-396.85753491981325</v>
      </c>
      <c r="I107">
        <v>60.571236283759298</v>
      </c>
      <c r="J107">
        <v>34.432441888871402</v>
      </c>
      <c r="K107">
        <v>11.4486487392164</v>
      </c>
      <c r="L107">
        <v>2.8845299050885108E-5</v>
      </c>
      <c r="M107">
        <v>1.8089093553208689E-6</v>
      </c>
      <c r="N107" s="1">
        <v>-1.2503415401175701E-7</v>
      </c>
      <c r="O107" s="1">
        <v>1.08950054572226E-10</v>
      </c>
      <c r="P107" s="1">
        <v>5.9425714443076902E-10</v>
      </c>
      <c r="Q107">
        <v>66.219881510335298</v>
      </c>
      <c r="S107">
        <v>19.1868422559109</v>
      </c>
      <c r="AA107">
        <v>0.37783725201275498</v>
      </c>
      <c r="AB107">
        <v>5.5331796678237897</v>
      </c>
      <c r="AC107">
        <v>8.68225931391712</v>
      </c>
      <c r="AJ107">
        <v>0.48306726118801002</v>
      </c>
      <c r="AK107">
        <v>1.82283935764442E-2</v>
      </c>
      <c r="AL107">
        <v>0.49870434523554402</v>
      </c>
    </row>
    <row r="108" spans="1:38" x14ac:dyDescent="0.2">
      <c r="A108">
        <v>103</v>
      </c>
      <c r="B108">
        <v>768</v>
      </c>
      <c r="C108">
        <v>125</v>
      </c>
      <c r="D108">
        <v>0.46923161888296799</v>
      </c>
      <c r="E108">
        <v>26.457296849323001</v>
      </c>
      <c r="F108">
        <v>2.55921732880164</v>
      </c>
      <c r="G108">
        <v>-429.46320747722348</v>
      </c>
      <c r="H108">
        <v>-371.06151372432976</v>
      </c>
      <c r="I108">
        <v>56.093448353161101</v>
      </c>
      <c r="J108">
        <v>32.140977957400203</v>
      </c>
      <c r="K108">
        <v>10.3380422411064</v>
      </c>
      <c r="L108">
        <v>3.0824739027130048E-5</v>
      </c>
      <c r="M108">
        <v>1.8211967312865531E-6</v>
      </c>
      <c r="N108" s="1">
        <v>-2.3675361538670499E-7</v>
      </c>
      <c r="O108" s="1">
        <v>9.3273742101635701E-11</v>
      </c>
      <c r="P108" s="1">
        <v>9.1012951085629895E-10</v>
      </c>
      <c r="Q108">
        <v>65.615154605515599</v>
      </c>
      <c r="S108">
        <v>20.956036275574199</v>
      </c>
      <c r="AA108">
        <v>1.97854518942602</v>
      </c>
      <c r="AB108">
        <v>8.8237503180554793</v>
      </c>
      <c r="AC108">
        <v>2.6265136114284999</v>
      </c>
      <c r="AJ108">
        <v>0.75771904809981205</v>
      </c>
      <c r="AK108">
        <v>9.3888361208450802E-2</v>
      </c>
      <c r="AL108">
        <v>0.14839259069173599</v>
      </c>
    </row>
    <row r="109" spans="1:38" x14ac:dyDescent="0.2">
      <c r="A109">
        <v>103</v>
      </c>
      <c r="B109">
        <v>768</v>
      </c>
      <c r="C109">
        <v>125</v>
      </c>
      <c r="D109">
        <v>0.46923161888296799</v>
      </c>
      <c r="E109">
        <v>32.456672673415198</v>
      </c>
      <c r="F109">
        <v>2.5207298389975401</v>
      </c>
      <c r="G109">
        <v>-517.03768785393606</v>
      </c>
      <c r="H109">
        <v>-446.22156458796667</v>
      </c>
      <c r="I109">
        <v>68.017214873908102</v>
      </c>
      <c r="J109">
        <v>38.712626892561602</v>
      </c>
      <c r="K109">
        <v>12.8759029116435</v>
      </c>
      <c r="L109">
        <v>2.8817605150939984E-5</v>
      </c>
      <c r="M109">
        <v>1.8083679133581714E-6</v>
      </c>
      <c r="N109" s="1">
        <v>-1.48281351056072E-7</v>
      </c>
      <c r="O109" s="1">
        <v>1.2253609520355599E-10</v>
      </c>
      <c r="P109" s="1">
        <v>6.9048268351758703E-10</v>
      </c>
      <c r="Q109">
        <v>66.203430960284294</v>
      </c>
      <c r="S109">
        <v>19.171721109259799</v>
      </c>
      <c r="AA109">
        <v>0.36920066215841102</v>
      </c>
      <c r="AB109">
        <v>5.45687844724924</v>
      </c>
      <c r="AC109">
        <v>8.79876882104816</v>
      </c>
      <c r="AJ109">
        <v>0.476589748626708</v>
      </c>
      <c r="AK109">
        <v>1.7818604080978701E-2</v>
      </c>
      <c r="AL109">
        <v>0.50559164729231199</v>
      </c>
    </row>
    <row r="110" spans="1:38" x14ac:dyDescent="0.2">
      <c r="A110">
        <v>105</v>
      </c>
      <c r="B110">
        <v>822</v>
      </c>
      <c r="C110">
        <v>100</v>
      </c>
      <c r="D110">
        <v>0.52396521024517195</v>
      </c>
      <c r="E110">
        <v>0.46229424256757001</v>
      </c>
      <c r="F110">
        <v>2.5689551747623498</v>
      </c>
      <c r="G110">
        <v>-7.5954851204558427</v>
      </c>
      <c r="H110">
        <v>-6.4917539764722125</v>
      </c>
      <c r="I110">
        <v>1.0078355878040699</v>
      </c>
      <c r="J110">
        <v>0.56121293902960601</v>
      </c>
      <c r="K110">
        <v>0.179954188033014</v>
      </c>
      <c r="L110">
        <v>3.0123089243766741E-5</v>
      </c>
      <c r="M110">
        <v>1.8012924223126823E-6</v>
      </c>
      <c r="N110" s="1">
        <v>-5.9178187618750305E-10</v>
      </c>
      <c r="O110" s="1">
        <v>1.61929321452145E-12</v>
      </c>
      <c r="P110" s="1">
        <v>5.4857567215231902E-12</v>
      </c>
      <c r="Q110">
        <v>64.700322007749094</v>
      </c>
      <c r="S110">
        <v>21.8891022675332</v>
      </c>
      <c r="AA110">
        <v>2.96179786674979</v>
      </c>
      <c r="AB110">
        <v>9.2312487300720001</v>
      </c>
      <c r="AC110">
        <v>1.21752912789583</v>
      </c>
      <c r="AJ110">
        <v>0.79109283110844697</v>
      </c>
      <c r="AK110">
        <v>0.14025979582100001</v>
      </c>
      <c r="AL110">
        <v>6.8647373070551396E-2</v>
      </c>
    </row>
    <row r="111" spans="1:38" x14ac:dyDescent="0.2">
      <c r="A111">
        <v>106</v>
      </c>
      <c r="B111">
        <v>820</v>
      </c>
      <c r="C111">
        <v>100</v>
      </c>
      <c r="D111">
        <v>0.52296619860037497</v>
      </c>
      <c r="E111">
        <v>1.1907815238416499</v>
      </c>
      <c r="F111">
        <v>2.5682851981817798</v>
      </c>
      <c r="G111">
        <v>-19.557134188358837</v>
      </c>
      <c r="H111">
        <v>-16.721797183221589</v>
      </c>
      <c r="I111">
        <v>2.5937309656837999</v>
      </c>
      <c r="J111">
        <v>1.4456011363757799</v>
      </c>
      <c r="K111">
        <v>0.463648478247147</v>
      </c>
      <c r="L111">
        <v>3.0170528901194421E-5</v>
      </c>
      <c r="M111">
        <v>1.8033881027665233E-6</v>
      </c>
      <c r="N111" s="1">
        <v>-1.70823306786267E-9</v>
      </c>
      <c r="O111" s="1">
        <v>4.1760977861074498E-12</v>
      </c>
      <c r="P111" s="1">
        <v>1.4678362173103401E-11</v>
      </c>
      <c r="Q111">
        <v>64.786794737739996</v>
      </c>
      <c r="S111">
        <v>21.823747091238499</v>
      </c>
      <c r="AA111">
        <v>2.8877019477377699</v>
      </c>
      <c r="AB111">
        <v>9.25261148096528</v>
      </c>
      <c r="AC111">
        <v>1.24914474231827</v>
      </c>
      <c r="AJ111">
        <v>0.79284079667734497</v>
      </c>
      <c r="AK111">
        <v>0.136736613258197</v>
      </c>
      <c r="AL111">
        <v>7.0422590064457793E-2</v>
      </c>
    </row>
    <row r="112" spans="1:38" x14ac:dyDescent="0.2">
      <c r="A112">
        <v>107</v>
      </c>
      <c r="B112">
        <v>818</v>
      </c>
      <c r="C112">
        <v>100</v>
      </c>
      <c r="D112">
        <v>0.52196352472162699</v>
      </c>
      <c r="E112">
        <v>1.9195414970508</v>
      </c>
      <c r="F112">
        <v>2.5676385307362302</v>
      </c>
      <c r="G112">
        <v>-31.514225177907797</v>
      </c>
      <c r="H112">
        <v>-26.956042752932564</v>
      </c>
      <c r="I112">
        <v>4.1774113778813398</v>
      </c>
      <c r="J112">
        <v>2.3303540263687599</v>
      </c>
      <c r="K112">
        <v>0.74759023673803304</v>
      </c>
      <c r="L112">
        <v>3.0216632884250991E-5</v>
      </c>
      <c r="M112">
        <v>1.8053964942516345E-6</v>
      </c>
      <c r="N112" s="1">
        <v>-3.06240485858139E-9</v>
      </c>
      <c r="O112" s="1">
        <v>6.73963085777095E-12</v>
      </c>
      <c r="P112" s="1">
        <v>2.4581151942539001E-11</v>
      </c>
      <c r="Q112">
        <v>64.869652778646497</v>
      </c>
      <c r="S112">
        <v>21.760757150275602</v>
      </c>
      <c r="AA112">
        <v>2.8164008103743701</v>
      </c>
      <c r="AB112">
        <v>9.2721198629693191</v>
      </c>
      <c r="AC112">
        <v>1.2810693977340799</v>
      </c>
      <c r="AJ112">
        <v>0.79443677529507295</v>
      </c>
      <c r="AK112">
        <v>0.13334770745685401</v>
      </c>
      <c r="AL112">
        <v>7.2215517248071903E-2</v>
      </c>
    </row>
    <row r="113" spans="1:38" x14ac:dyDescent="0.2">
      <c r="A113">
        <v>108</v>
      </c>
      <c r="B113">
        <v>816</v>
      </c>
      <c r="C113">
        <v>100</v>
      </c>
      <c r="D113">
        <v>0.520957168434101</v>
      </c>
      <c r="E113">
        <v>2.6477126774491602</v>
      </c>
      <c r="F113">
        <v>2.56701509272194</v>
      </c>
      <c r="G113">
        <v>-43.452617458655048</v>
      </c>
      <c r="H113">
        <v>-37.182429833741395</v>
      </c>
      <c r="I113">
        <v>5.7569550795699804</v>
      </c>
      <c r="J113">
        <v>3.2144321791291599</v>
      </c>
      <c r="K113">
        <v>1.03143634992876</v>
      </c>
      <c r="L113">
        <v>3.0261472296603465E-5</v>
      </c>
      <c r="M113">
        <v>1.8073192481726463E-6</v>
      </c>
      <c r="N113" s="1">
        <v>-4.6678022921588496E-9</v>
      </c>
      <c r="O113" s="1">
        <v>9.3063190980315001E-12</v>
      </c>
      <c r="P113" s="1">
        <v>3.5226782771554197E-11</v>
      </c>
      <c r="Q113">
        <v>64.948947112099901</v>
      </c>
      <c r="S113">
        <v>21.700106538413099</v>
      </c>
      <c r="AA113">
        <v>2.74786118588686</v>
      </c>
      <c r="AB113">
        <v>9.2898195693627095</v>
      </c>
      <c r="AC113">
        <v>1.3132655942373801</v>
      </c>
      <c r="AJ113">
        <v>0.79588458900641201</v>
      </c>
      <c r="AK113">
        <v>0.13009134274463399</v>
      </c>
      <c r="AL113">
        <v>7.4024068248952996E-2</v>
      </c>
    </row>
    <row r="114" spans="1:38" x14ac:dyDescent="0.2">
      <c r="A114">
        <v>109</v>
      </c>
      <c r="B114">
        <v>814</v>
      </c>
      <c r="C114">
        <v>100</v>
      </c>
      <c r="D114">
        <v>0.51994710941452704</v>
      </c>
      <c r="E114">
        <v>3.3744469473085501</v>
      </c>
      <c r="F114">
        <v>2.5664147042196199</v>
      </c>
      <c r="G114">
        <v>-55.358416561249719</v>
      </c>
      <c r="H114">
        <v>-47.389087857666787</v>
      </c>
      <c r="I114">
        <v>7.3304775822866297</v>
      </c>
      <c r="J114">
        <v>4.09681414538169</v>
      </c>
      <c r="K114">
        <v>1.3148486648554401</v>
      </c>
      <c r="L114">
        <v>3.0305127574100832E-5</v>
      </c>
      <c r="M114">
        <v>1.8091583434786043E-6</v>
      </c>
      <c r="N114" s="1">
        <v>-6.5384813835988497E-9</v>
      </c>
      <c r="O114" s="1">
        <v>1.18726224051056E-11</v>
      </c>
      <c r="P114" s="1">
        <v>4.6649505235425897E-11</v>
      </c>
      <c r="Q114">
        <v>65.0247425322857</v>
      </c>
      <c r="S114">
        <v>21.641759862414201</v>
      </c>
      <c r="AA114">
        <v>2.6820387556549998</v>
      </c>
      <c r="AB114">
        <v>9.3057622025421693</v>
      </c>
      <c r="AC114">
        <v>1.3456966471028899</v>
      </c>
      <c r="AJ114">
        <v>0.79718853221033903</v>
      </c>
      <c r="AK114">
        <v>0.126965267387742</v>
      </c>
      <c r="AL114">
        <v>7.5846200401918501E-2</v>
      </c>
    </row>
    <row r="115" spans="1:38" x14ac:dyDescent="0.2">
      <c r="A115">
        <v>110</v>
      </c>
      <c r="B115">
        <v>812</v>
      </c>
      <c r="C115">
        <v>100</v>
      </c>
      <c r="D115">
        <v>0.51893332718978802</v>
      </c>
      <c r="E115">
        <v>4.0989195431452501</v>
      </c>
      <c r="F115">
        <v>2.56583709194277</v>
      </c>
      <c r="G115">
        <v>-67.218137059067047</v>
      </c>
      <c r="H115">
        <v>-57.56447607718944</v>
      </c>
      <c r="I115">
        <v>8.8961535104617706</v>
      </c>
      <c r="J115">
        <v>4.9765087234749101</v>
      </c>
      <c r="K115">
        <v>1.5974979689929101</v>
      </c>
      <c r="L115">
        <v>3.0347687690229292E-5</v>
      </c>
      <c r="M115">
        <v>1.8109160488799096E-6</v>
      </c>
      <c r="N115" s="1">
        <v>-8.6891246433481197E-9</v>
      </c>
      <c r="O115" s="1">
        <v>1.44350732103545E-11</v>
      </c>
      <c r="P115" s="1">
        <v>5.8885455743535201E-11</v>
      </c>
      <c r="Q115">
        <v>65.097116182908906</v>
      </c>
      <c r="S115">
        <v>21.585673138522498</v>
      </c>
      <c r="AA115">
        <v>2.6188792322005501</v>
      </c>
      <c r="AB115">
        <v>9.3200043639825001</v>
      </c>
      <c r="AC115">
        <v>1.3783270823853899</v>
      </c>
      <c r="AJ115">
        <v>0.79835329762391705</v>
      </c>
      <c r="AK115">
        <v>0.12396676548110599</v>
      </c>
      <c r="AL115">
        <v>7.7679936894975501E-2</v>
      </c>
    </row>
    <row r="116" spans="1:38" x14ac:dyDescent="0.2">
      <c r="A116">
        <v>111</v>
      </c>
      <c r="B116">
        <v>810</v>
      </c>
      <c r="C116">
        <v>100</v>
      </c>
      <c r="D116">
        <v>0.517915801135579</v>
      </c>
      <c r="E116">
        <v>4.8203379366659904</v>
      </c>
      <c r="F116">
        <v>2.5652818975503102</v>
      </c>
      <c r="G116">
        <v>-79.018846865669246</v>
      </c>
      <c r="H116">
        <v>-67.697507562334849</v>
      </c>
      <c r="I116">
        <v>10.4522358891514</v>
      </c>
      <c r="J116">
        <v>5.8525658664138804</v>
      </c>
      <c r="K116">
        <v>1.8790675368929599</v>
      </c>
      <c r="L116">
        <v>3.0389249308692793E-5</v>
      </c>
      <c r="M116">
        <v>1.8125948821955683E-6</v>
      </c>
      <c r="N116" s="1">
        <v>-1.11351286422724E-8</v>
      </c>
      <c r="O116" s="1">
        <v>1.6990311581481801E-11</v>
      </c>
      <c r="P116" s="1">
        <v>7.1972975005785097E-11</v>
      </c>
      <c r="Q116">
        <v>65.166155951991001</v>
      </c>
      <c r="S116">
        <v>21.5317947982311</v>
      </c>
      <c r="AA116">
        <v>2.55831956350884</v>
      </c>
      <c r="AB116">
        <v>9.3326067138812103</v>
      </c>
      <c r="AC116">
        <v>1.4111229723877801</v>
      </c>
      <c r="AJ116">
        <v>0.79938389992195702</v>
      </c>
      <c r="AK116">
        <v>0.121092714487595</v>
      </c>
      <c r="AL116">
        <v>7.9523385590447193E-2</v>
      </c>
    </row>
    <row r="117" spans="1:38" x14ac:dyDescent="0.2">
      <c r="A117">
        <v>112</v>
      </c>
      <c r="B117">
        <v>808</v>
      </c>
      <c r="C117">
        <v>100</v>
      </c>
      <c r="D117">
        <v>0.51689451047495805</v>
      </c>
      <c r="E117">
        <v>5.5379494128643296</v>
      </c>
      <c r="F117">
        <v>2.5647486870098302</v>
      </c>
      <c r="G117">
        <v>-90.748289801239181</v>
      </c>
      <c r="H117">
        <v>-77.777654923144539</v>
      </c>
      <c r="I117">
        <v>11.9970724488689</v>
      </c>
      <c r="J117">
        <v>6.7240859906599999</v>
      </c>
      <c r="K117">
        <v>2.1592561645175699</v>
      </c>
      <c r="L117">
        <v>3.0429915921529182E-5</v>
      </c>
      <c r="M117">
        <v>1.8141975684241939E-6</v>
      </c>
      <c r="N117" s="1">
        <v>-1.38927033240221E-8</v>
      </c>
      <c r="O117" s="1">
        <v>1.95351153142106E-11</v>
      </c>
      <c r="P117" s="1">
        <v>8.5952950331769498E-11</v>
      </c>
      <c r="Q117">
        <v>65.231958789731806</v>
      </c>
      <c r="S117">
        <v>21.480066760277602</v>
      </c>
      <c r="AA117">
        <v>2.50028920994006</v>
      </c>
      <c r="AB117">
        <v>9.3436330329808204</v>
      </c>
      <c r="AC117">
        <v>1.4440522070695301</v>
      </c>
      <c r="AJ117">
        <v>0.80028559967551205</v>
      </c>
      <c r="AK117">
        <v>0.118339646028472</v>
      </c>
      <c r="AL117">
        <v>8.1374754296014595E-2</v>
      </c>
    </row>
    <row r="118" spans="1:38" x14ac:dyDescent="0.2">
      <c r="A118">
        <v>113</v>
      </c>
      <c r="B118">
        <v>806</v>
      </c>
      <c r="C118">
        <v>100</v>
      </c>
      <c r="D118">
        <v>0.51586943427697896</v>
      </c>
      <c r="E118">
        <v>6.2510472373153503</v>
      </c>
      <c r="F118">
        <v>2.56423696065462</v>
      </c>
      <c r="G118">
        <v>-102.39498474390756</v>
      </c>
      <c r="H118">
        <v>-87.795036265246978</v>
      </c>
      <c r="I118">
        <v>13.5291187310944</v>
      </c>
      <c r="J118">
        <v>7.5902275572303504</v>
      </c>
      <c r="K118">
        <v>2.4377806471206598</v>
      </c>
      <c r="L118">
        <v>3.0469797009380218E-5</v>
      </c>
      <c r="M118">
        <v>1.8157269979892684E-6</v>
      </c>
      <c r="N118" s="1">
        <v>-1.6978982776710399E-8</v>
      </c>
      <c r="O118" s="1">
        <v>2.20664245399625E-11</v>
      </c>
      <c r="P118" s="1">
        <v>1.00869179815334E-10</v>
      </c>
      <c r="Q118">
        <v>65.294629008522506</v>
      </c>
      <c r="S118">
        <v>21.430425530876999</v>
      </c>
      <c r="AA118">
        <v>2.4447114486009802</v>
      </c>
      <c r="AB118">
        <v>9.3531493186390993</v>
      </c>
      <c r="AC118">
        <v>1.4770846933602799</v>
      </c>
      <c r="AJ118">
        <v>0.80106383017669003</v>
      </c>
      <c r="AK118">
        <v>0.11570380779812001</v>
      </c>
      <c r="AL118">
        <v>8.3232362025189299E-2</v>
      </c>
    </row>
    <row r="119" spans="1:38" x14ac:dyDescent="0.2">
      <c r="A119">
        <v>114</v>
      </c>
      <c r="B119">
        <v>804</v>
      </c>
      <c r="C119">
        <v>100</v>
      </c>
      <c r="D119">
        <v>0.514840551455232</v>
      </c>
      <c r="E119">
        <v>6.9589753758351804</v>
      </c>
      <c r="F119">
        <v>2.56374616347592</v>
      </c>
      <c r="G119">
        <v>-113.94830084529508</v>
      </c>
      <c r="H119">
        <v>-97.740480876038745</v>
      </c>
      <c r="I119">
        <v>15.0469479359943</v>
      </c>
      <c r="J119">
        <v>8.45021288258671</v>
      </c>
      <c r="K119">
        <v>2.71437768487977</v>
      </c>
      <c r="L119">
        <v>3.0509007251365031E-5</v>
      </c>
      <c r="M119">
        <v>1.8171861864092203E-6</v>
      </c>
      <c r="N119" s="1">
        <v>-2.0412147202048101E-8</v>
      </c>
      <c r="O119" s="1">
        <v>2.4581360660704799E-11</v>
      </c>
      <c r="P119" s="1">
        <v>1.1676875706317799E-10</v>
      </c>
      <c r="Q119">
        <v>65.3542766200747</v>
      </c>
      <c r="S119">
        <v>21.3828032921489</v>
      </c>
      <c r="AA119">
        <v>2.39150465931698</v>
      </c>
      <c r="AB119">
        <v>9.3612229326668501</v>
      </c>
      <c r="AC119">
        <v>1.51019249579245</v>
      </c>
      <c r="AJ119">
        <v>0.80172412854973396</v>
      </c>
      <c r="AK119">
        <v>0.11318122445262201</v>
      </c>
      <c r="AL119">
        <v>8.5094646997643297E-2</v>
      </c>
    </row>
    <row r="120" spans="1:38" x14ac:dyDescent="0.2">
      <c r="A120">
        <v>115</v>
      </c>
      <c r="B120">
        <v>802</v>
      </c>
      <c r="C120">
        <v>100</v>
      </c>
      <c r="D120">
        <v>0.51380784076640695</v>
      </c>
      <c r="E120">
        <v>7.6611317993330497</v>
      </c>
      <c r="F120">
        <v>2.5632756953963001</v>
      </c>
      <c r="G120">
        <v>-125.39850943398056</v>
      </c>
      <c r="H120">
        <v>-107.60557511789101</v>
      </c>
      <c r="I120">
        <v>16.549257606928801</v>
      </c>
      <c r="J120">
        <v>9.3033322223797708</v>
      </c>
      <c r="K120">
        <v>2.98880522804963</v>
      </c>
      <c r="L120">
        <v>3.0547665811768279E-5</v>
      </c>
      <c r="M120">
        <v>1.8185782364039503E-6</v>
      </c>
      <c r="N120" s="1">
        <v>-2.4211555983678101E-8</v>
      </c>
      <c r="O120" s="1">
        <v>2.7077239690848899E-11</v>
      </c>
      <c r="P120" s="1">
        <v>1.33702476141987E-10</v>
      </c>
      <c r="Q120">
        <v>65.411015751341097</v>
      </c>
      <c r="S120">
        <v>21.337128952373</v>
      </c>
      <c r="AA120">
        <v>2.3405835607266301</v>
      </c>
      <c r="AB120">
        <v>9.3679218246715408</v>
      </c>
      <c r="AC120">
        <v>1.5433499108876101</v>
      </c>
      <c r="AJ120">
        <v>0.80227207305888104</v>
      </c>
      <c r="AK120">
        <v>0.11076775599911901</v>
      </c>
      <c r="AL120">
        <v>8.6960170941998496E-2</v>
      </c>
    </row>
    <row r="121" spans="1:38" x14ac:dyDescent="0.2">
      <c r="A121">
        <v>116</v>
      </c>
      <c r="B121">
        <v>800</v>
      </c>
      <c r="C121">
        <v>100</v>
      </c>
      <c r="D121">
        <v>0.51277128080883805</v>
      </c>
      <c r="E121">
        <v>8.3569704509338703</v>
      </c>
      <c r="F121">
        <v>2.5628249211937701</v>
      </c>
      <c r="G121">
        <v>-136.73681394424179</v>
      </c>
      <c r="H121">
        <v>-117.38268961645437</v>
      </c>
      <c r="I121">
        <v>18.034873342764101</v>
      </c>
      <c r="J121">
        <v>10.148946224953701</v>
      </c>
      <c r="K121">
        <v>3.2608432912542198</v>
      </c>
      <c r="L121">
        <v>3.058589571940552E-5</v>
      </c>
      <c r="M121">
        <v>1.8199063031696116E-6</v>
      </c>
      <c r="N121" s="1">
        <v>-2.8397891877512901E-8</v>
      </c>
      <c r="O121" s="1">
        <v>2.9551580270249902E-11</v>
      </c>
      <c r="P121" s="1">
        <v>1.5172525709853701E-10</v>
      </c>
      <c r="Q121">
        <v>65.464963173285696</v>
      </c>
      <c r="S121">
        <v>21.2933291319037</v>
      </c>
      <c r="AA121">
        <v>2.2918603669628999</v>
      </c>
      <c r="AB121">
        <v>9.3733138382044707</v>
      </c>
      <c r="AC121">
        <v>1.5765334896431</v>
      </c>
      <c r="AJ121">
        <v>0.80271322718434202</v>
      </c>
      <c r="AK121">
        <v>0.108459152313105</v>
      </c>
      <c r="AL121">
        <v>8.8827620502552496E-2</v>
      </c>
    </row>
    <row r="122" spans="1:38" x14ac:dyDescent="0.2">
      <c r="A122">
        <v>117</v>
      </c>
      <c r="B122">
        <v>798</v>
      </c>
      <c r="C122">
        <v>100</v>
      </c>
      <c r="D122">
        <v>0.51173085002101004</v>
      </c>
      <c r="E122">
        <v>9.0460020076412295</v>
      </c>
      <c r="F122">
        <v>2.5623931798687201</v>
      </c>
      <c r="G122">
        <v>-147.95536010495573</v>
      </c>
      <c r="H122">
        <v>-127.06498960549968</v>
      </c>
      <c r="I122">
        <v>19.502749847786099</v>
      </c>
      <c r="J122">
        <v>10.986486918962701</v>
      </c>
      <c r="K122">
        <v>3.5302942884450901</v>
      </c>
      <c r="L122">
        <v>3.0623823353677807E-5</v>
      </c>
      <c r="M122">
        <v>1.8211735633570059E-6</v>
      </c>
      <c r="N122" s="1">
        <v>-3.2993316624797797E-8</v>
      </c>
      <c r="O122" s="1">
        <v>3.2002106825584897E-11</v>
      </c>
      <c r="P122" s="1">
        <v>1.70896593650135E-10</v>
      </c>
      <c r="Q122">
        <v>65.516236966703701</v>
      </c>
      <c r="S122">
        <v>21.251329067554199</v>
      </c>
      <c r="AA122">
        <v>2.24524584509189</v>
      </c>
      <c r="AB122">
        <v>9.3774661085725803</v>
      </c>
      <c r="AC122">
        <v>1.60972201207745</v>
      </c>
      <c r="AJ122">
        <v>0.80305309116971701</v>
      </c>
      <c r="AK122">
        <v>0.10625110286665</v>
      </c>
      <c r="AL122">
        <v>9.06958059636324E-2</v>
      </c>
    </row>
    <row r="123" spans="1:38" x14ac:dyDescent="0.2">
      <c r="A123">
        <v>118</v>
      </c>
      <c r="B123">
        <v>796</v>
      </c>
      <c r="C123">
        <v>100</v>
      </c>
      <c r="D123">
        <v>0.51068652668007097</v>
      </c>
      <c r="E123">
        <v>10.0306274013059</v>
      </c>
      <c r="F123">
        <v>2.56173213309311</v>
      </c>
      <c r="G123">
        <v>-163.98652059162831</v>
      </c>
      <c r="H123">
        <v>-140.88804271465341</v>
      </c>
      <c r="I123">
        <v>21.6045249749566</v>
      </c>
      <c r="J123">
        <v>12.182805383890599</v>
      </c>
      <c r="K123">
        <v>3.9155645009592202</v>
      </c>
      <c r="L123">
        <v>3.0661589867127457E-5</v>
      </c>
      <c r="M123">
        <v>1.8226152620253284E-6</v>
      </c>
      <c r="N123" s="1">
        <v>-3.9158500029859301E-8</v>
      </c>
      <c r="O123" s="1">
        <v>3.5513724356081201E-11</v>
      </c>
      <c r="P123" s="1">
        <v>1.97082934090722E-10</v>
      </c>
      <c r="Q123">
        <v>65.579224619485899</v>
      </c>
      <c r="S123">
        <v>21.196151880660899</v>
      </c>
      <c r="AA123">
        <v>2.1850267932553602</v>
      </c>
      <c r="AB123">
        <v>9.3731765465701802</v>
      </c>
      <c r="AC123">
        <v>1.66642016002747</v>
      </c>
      <c r="AJ123">
        <v>0.80270385267412903</v>
      </c>
      <c r="AK123">
        <v>0.10340370674784399</v>
      </c>
      <c r="AL123">
        <v>9.3892440578025899E-2</v>
      </c>
    </row>
    <row r="124" spans="1:38" x14ac:dyDescent="0.2">
      <c r="A124">
        <v>119</v>
      </c>
      <c r="B124">
        <v>794</v>
      </c>
      <c r="C124">
        <v>100</v>
      </c>
      <c r="D124">
        <v>0.50963828890034402</v>
      </c>
      <c r="E124">
        <v>12.2414794541149</v>
      </c>
      <c r="F124">
        <v>2.5600608877068698</v>
      </c>
      <c r="G124">
        <v>-199.9763743356217</v>
      </c>
      <c r="H124">
        <v>-171.86613885930407</v>
      </c>
      <c r="I124">
        <v>26.341409807728599</v>
      </c>
      <c r="J124">
        <v>14.865767480840701</v>
      </c>
      <c r="K124">
        <v>4.7817141822278897</v>
      </c>
      <c r="L124">
        <v>3.0691855579268377E-5</v>
      </c>
      <c r="M124">
        <v>1.8247443337174759E-6</v>
      </c>
      <c r="N124" s="1">
        <v>-5.0760773451335197E-8</v>
      </c>
      <c r="O124" s="1">
        <v>4.3448629239302898E-11</v>
      </c>
      <c r="P124" s="1">
        <v>2.4919172583257598E-10</v>
      </c>
      <c r="Q124">
        <v>65.691526119838898</v>
      </c>
      <c r="S124">
        <v>21.083966618831202</v>
      </c>
      <c r="AA124">
        <v>2.0662687837131002</v>
      </c>
      <c r="AB124">
        <v>9.3293261697750705</v>
      </c>
      <c r="AC124">
        <v>1.82891230784167</v>
      </c>
      <c r="AJ124">
        <v>0.79912432652029797</v>
      </c>
      <c r="AK124">
        <v>9.78051400575876E-2</v>
      </c>
      <c r="AL124">
        <v>0.103070533422113</v>
      </c>
    </row>
    <row r="125" spans="1:38" x14ac:dyDescent="0.2">
      <c r="A125">
        <v>120</v>
      </c>
      <c r="B125">
        <v>792</v>
      </c>
      <c r="C125">
        <v>100</v>
      </c>
      <c r="D125">
        <v>0.50858611463174297</v>
      </c>
      <c r="E125">
        <v>14.5336795921849</v>
      </c>
      <c r="F125">
        <v>2.55828960910668</v>
      </c>
      <c r="G125">
        <v>-237.22008674959741</v>
      </c>
      <c r="H125">
        <v>-203.94202453009706</v>
      </c>
      <c r="I125">
        <v>31.242606411773298</v>
      </c>
      <c r="J125">
        <v>17.645258508261101</v>
      </c>
      <c r="K125">
        <v>5.6810141980992803</v>
      </c>
      <c r="L125">
        <v>3.070801847241717E-5</v>
      </c>
      <c r="M125">
        <v>1.8265178204926094E-6</v>
      </c>
      <c r="N125" s="1">
        <v>-6.3742875177545306E-8</v>
      </c>
      <c r="O125" s="1">
        <v>5.1715651433479102E-11</v>
      </c>
      <c r="P125" s="1">
        <v>3.0597207428810202E-10</v>
      </c>
      <c r="Q125">
        <v>65.794273527484904</v>
      </c>
      <c r="S125">
        <v>20.9722440246634</v>
      </c>
      <c r="AA125">
        <v>1.95012179664964</v>
      </c>
      <c r="AB125">
        <v>9.2653979530791908</v>
      </c>
      <c r="AC125">
        <v>2.01796269812283</v>
      </c>
      <c r="AJ125">
        <v>0.79390204533772502</v>
      </c>
      <c r="AK125">
        <v>9.2336917094830107E-2</v>
      </c>
      <c r="AL125">
        <v>0.113761037567444</v>
      </c>
    </row>
    <row r="126" spans="1:38" x14ac:dyDescent="0.2">
      <c r="A126">
        <v>121</v>
      </c>
      <c r="B126">
        <v>790</v>
      </c>
      <c r="C126">
        <v>100</v>
      </c>
      <c r="D126">
        <v>0.507529981658283</v>
      </c>
      <c r="E126">
        <v>16.961524431168701</v>
      </c>
      <c r="F126">
        <v>2.5563525607559798</v>
      </c>
      <c r="G126">
        <v>-276.58269231843866</v>
      </c>
      <c r="H126">
        <v>-237.85958268857135</v>
      </c>
      <c r="I126">
        <v>36.422997347380203</v>
      </c>
      <c r="J126">
        <v>20.5858310115736</v>
      </c>
      <c r="K126">
        <v>6.6350489723345198</v>
      </c>
      <c r="L126">
        <v>3.0706647272518028E-5</v>
      </c>
      <c r="M126">
        <v>1.827903409120532E-6</v>
      </c>
      <c r="N126" s="1">
        <v>-7.8294797791336394E-8</v>
      </c>
      <c r="O126" s="1">
        <v>6.0518943971479794E-11</v>
      </c>
      <c r="P126" s="1">
        <v>3.68402026350197E-10</v>
      </c>
      <c r="Q126">
        <v>65.888072341523994</v>
      </c>
      <c r="S126">
        <v>20.858303240611701</v>
      </c>
      <c r="AA126">
        <v>1.8342328122026399</v>
      </c>
      <c r="AB126">
        <v>9.17571300217001</v>
      </c>
      <c r="AC126">
        <v>2.2436786034915301</v>
      </c>
      <c r="AJ126">
        <v>0.78656928055009201</v>
      </c>
      <c r="AK126">
        <v>8.6888521699354196E-2</v>
      </c>
      <c r="AL126">
        <v>0.126542197750553</v>
      </c>
    </row>
    <row r="127" spans="1:38" x14ac:dyDescent="0.2">
      <c r="A127">
        <v>122</v>
      </c>
      <c r="B127">
        <v>788</v>
      </c>
      <c r="C127">
        <v>100</v>
      </c>
      <c r="D127">
        <v>0.50646986759647905</v>
      </c>
      <c r="E127">
        <v>19.6252828189089</v>
      </c>
      <c r="F127">
        <v>2.5541428386361602</v>
      </c>
      <c r="G127">
        <v>-319.66189628260969</v>
      </c>
      <c r="H127">
        <v>-274.99307220727871</v>
      </c>
      <c r="I127">
        <v>42.0947312588521</v>
      </c>
      <c r="J127">
        <v>23.806757352446599</v>
      </c>
      <c r="K127">
        <v>7.6837060645317097</v>
      </c>
      <c r="L127">
        <v>3.0681514337854757E-5</v>
      </c>
      <c r="M127">
        <v>1.8288307339671892E-6</v>
      </c>
      <c r="N127" s="1">
        <v>-9.4731238741485197E-8</v>
      </c>
      <c r="O127" s="1">
        <v>7.0237927581402705E-11</v>
      </c>
      <c r="P127" s="1">
        <v>4.3818545038947402E-10</v>
      </c>
      <c r="Q127">
        <v>65.973314120852294</v>
      </c>
      <c r="S127">
        <v>20.737999282726701</v>
      </c>
      <c r="AA127">
        <v>1.71509081125697</v>
      </c>
      <c r="AB127">
        <v>9.0502772707442407</v>
      </c>
      <c r="AC127">
        <v>2.5233185144197501</v>
      </c>
      <c r="AJ127">
        <v>0.77630175168258797</v>
      </c>
      <c r="AK127">
        <v>8.1295515980946101E-2</v>
      </c>
      <c r="AL127">
        <v>0.142402732336465</v>
      </c>
    </row>
    <row r="128" spans="1:38" x14ac:dyDescent="0.2">
      <c r="A128">
        <v>123</v>
      </c>
      <c r="B128">
        <v>786</v>
      </c>
      <c r="C128">
        <v>100</v>
      </c>
      <c r="D128">
        <v>0.50540574989378495</v>
      </c>
      <c r="E128">
        <v>22.726733728824001</v>
      </c>
      <c r="F128">
        <v>2.5514758282608101</v>
      </c>
      <c r="G128">
        <v>-369.67166935642229</v>
      </c>
      <c r="H128">
        <v>-318.10762562139962</v>
      </c>
      <c r="I128">
        <v>48.684363626514298</v>
      </c>
      <c r="J128">
        <v>27.547983688264701</v>
      </c>
      <c r="K128">
        <v>8.9072894507158402</v>
      </c>
      <c r="L128">
        <v>3.0620551335890592E-5</v>
      </c>
      <c r="M128">
        <v>1.8291442563492179E-6</v>
      </c>
      <c r="N128" s="1">
        <v>-1.1362268152428201E-7</v>
      </c>
      <c r="O128" s="1">
        <v>8.1639051313326197E-11</v>
      </c>
      <c r="P128" s="1">
        <v>5.1857143329952695E-10</v>
      </c>
      <c r="Q128">
        <v>66.049531282167393</v>
      </c>
      <c r="S128">
        <v>20.604541215365401</v>
      </c>
      <c r="AA128">
        <v>1.5872023065451</v>
      </c>
      <c r="AB128">
        <v>8.8702454538141797</v>
      </c>
      <c r="AC128">
        <v>2.8884797421077901</v>
      </c>
      <c r="AJ128">
        <v>0.76154209717862398</v>
      </c>
      <c r="AK128">
        <v>7.5301105869860205E-2</v>
      </c>
      <c r="AL128">
        <v>0.163156796951514</v>
      </c>
    </row>
    <row r="129" spans="1:38" x14ac:dyDescent="0.2">
      <c r="A129">
        <v>124</v>
      </c>
      <c r="B129">
        <v>784</v>
      </c>
      <c r="C129">
        <v>100</v>
      </c>
      <c r="D129">
        <v>0.50433760582698905</v>
      </c>
      <c r="E129">
        <v>26.348327486064399</v>
      </c>
      <c r="F129">
        <v>2.5487342573041998</v>
      </c>
      <c r="G129">
        <v>-427.85251888171683</v>
      </c>
      <c r="H129">
        <v>-368.27953618410919</v>
      </c>
      <c r="I129">
        <v>56.352440710975401</v>
      </c>
      <c r="J129">
        <v>31.8980502392142</v>
      </c>
      <c r="K129">
        <v>10.337808820419299</v>
      </c>
      <c r="L129">
        <v>3.0475871835223049E-5</v>
      </c>
      <c r="M129">
        <v>1.8272659186259411E-6</v>
      </c>
      <c r="N129" s="1">
        <v>-1.3397542575299899E-7</v>
      </c>
      <c r="O129" s="1">
        <v>9.4998373996773802E-11</v>
      </c>
      <c r="P129" s="1">
        <v>6.0725825891093797E-10</v>
      </c>
      <c r="Q129">
        <v>66.052911981661296</v>
      </c>
      <c r="S129">
        <v>20.494296234569202</v>
      </c>
      <c r="AA129">
        <v>1.49546022856011</v>
      </c>
      <c r="AB129">
        <v>8.5887576113878996</v>
      </c>
      <c r="AC129">
        <v>3.36857394382137</v>
      </c>
      <c r="AJ129">
        <v>0.73840982594824001</v>
      </c>
      <c r="AK129">
        <v>7.10481507647754E-2</v>
      </c>
      <c r="AL129">
        <v>0.190542023286984</v>
      </c>
    </row>
    <row r="130" spans="1:38" x14ac:dyDescent="0.2">
      <c r="A130">
        <v>124</v>
      </c>
      <c r="B130">
        <v>784</v>
      </c>
      <c r="C130">
        <v>100</v>
      </c>
      <c r="D130">
        <v>0.50433760582698905</v>
      </c>
      <c r="E130">
        <v>5.6190783765566303</v>
      </c>
      <c r="F130">
        <v>2.5222104799062701</v>
      </c>
      <c r="G130">
        <v>-90.06832583914057</v>
      </c>
      <c r="H130">
        <v>-77.465814777165406</v>
      </c>
      <c r="I130">
        <v>11.9212136990731</v>
      </c>
      <c r="J130">
        <v>6.72090242578237</v>
      </c>
      <c r="K130">
        <v>2.2278388030349601</v>
      </c>
      <c r="L130">
        <v>2.9118155058854216E-5</v>
      </c>
      <c r="M130">
        <v>1.8155466945988326E-6</v>
      </c>
      <c r="N130" s="1">
        <v>-1.6712748347816601E-8</v>
      </c>
      <c r="O130" s="1">
        <v>2.1152306932467702E-11</v>
      </c>
      <c r="P130" s="1">
        <v>9.3512832371888502E-11</v>
      </c>
      <c r="Q130">
        <v>66.348226919651694</v>
      </c>
      <c r="S130">
        <v>19.332776531885401</v>
      </c>
      <c r="AA130">
        <v>0.46828687726930701</v>
      </c>
      <c r="AB130">
        <v>6.2017762080967396</v>
      </c>
      <c r="AC130">
        <v>7.6489334630967001</v>
      </c>
      <c r="AJ130">
        <v>0.53961383264974006</v>
      </c>
      <c r="AK130">
        <v>2.2515923348026899E-2</v>
      </c>
      <c r="AL130">
        <v>0.43787024400223201</v>
      </c>
    </row>
    <row r="131" spans="1:38" x14ac:dyDescent="0.2">
      <c r="A131">
        <v>125</v>
      </c>
      <c r="B131">
        <v>782</v>
      </c>
      <c r="C131">
        <v>100</v>
      </c>
      <c r="D131">
        <v>0.50326541250059598</v>
      </c>
      <c r="E131">
        <v>25.0255015854713</v>
      </c>
      <c r="F131">
        <v>2.5540018754004499</v>
      </c>
      <c r="G131">
        <v>-406.80196005422431</v>
      </c>
      <c r="H131">
        <v>-350.38845966012116</v>
      </c>
      <c r="I131">
        <v>53.464910575845202</v>
      </c>
      <c r="J131">
        <v>30.319213986379498</v>
      </c>
      <c r="K131">
        <v>9.79854471780585</v>
      </c>
      <c r="L131">
        <v>3.0475675520196464E-5</v>
      </c>
      <c r="M131">
        <v>1.8222452601904807E-6</v>
      </c>
      <c r="N131" s="1">
        <v>-1.37974603540774E-7</v>
      </c>
      <c r="O131" s="1">
        <v>8.9395977169860602E-11</v>
      </c>
      <c r="P131" s="1">
        <v>6.0898483484089505E-10</v>
      </c>
      <c r="Q131">
        <v>65.740761075547297</v>
      </c>
      <c r="S131">
        <v>20.797914051964799</v>
      </c>
      <c r="AA131">
        <v>1.81878418327475</v>
      </c>
      <c r="AB131">
        <v>8.6891196352876197</v>
      </c>
      <c r="AC131">
        <v>2.9534210539253798</v>
      </c>
      <c r="AJ131">
        <v>0.74666021302015395</v>
      </c>
      <c r="AK131">
        <v>8.6365281356199503E-2</v>
      </c>
      <c r="AL131">
        <v>0.16697450562364499</v>
      </c>
    </row>
    <row r="132" spans="1:38" x14ac:dyDescent="0.2">
      <c r="A132">
        <v>125</v>
      </c>
      <c r="B132">
        <v>782</v>
      </c>
      <c r="C132">
        <v>100</v>
      </c>
      <c r="D132">
        <v>0.50326541250059598</v>
      </c>
      <c r="E132">
        <v>26.126894741953102</v>
      </c>
      <c r="F132">
        <v>2.52067815866222</v>
      </c>
      <c r="G132">
        <v>-417.97104468997588</v>
      </c>
      <c r="H132">
        <v>-359.64638092898008</v>
      </c>
      <c r="I132">
        <v>55.276182306777002</v>
      </c>
      <c r="J132">
        <v>31.1933554074269</v>
      </c>
      <c r="K132">
        <v>10.3650260356202</v>
      </c>
      <c r="L132">
        <v>2.8886731839693129E-5</v>
      </c>
      <c r="M132">
        <v>1.8116349529551672E-6</v>
      </c>
      <c r="N132" s="1">
        <v>-7.4959015997780504E-8</v>
      </c>
      <c r="O132" s="1">
        <v>9.8661057727984604E-11</v>
      </c>
      <c r="P132" s="1">
        <v>4.2618584502397201E-10</v>
      </c>
      <c r="Q132">
        <v>66.252308024565295</v>
      </c>
      <c r="S132">
        <v>19.270424668229602</v>
      </c>
      <c r="AA132">
        <v>0.43922731419439398</v>
      </c>
      <c r="AB132">
        <v>5.8245625764934701</v>
      </c>
      <c r="AC132">
        <v>8.2134774165170796</v>
      </c>
      <c r="AJ132">
        <v>0.50775767418312601</v>
      </c>
      <c r="AK132">
        <v>2.1158910938672601E-2</v>
      </c>
      <c r="AL132">
        <v>0.47108341487819999</v>
      </c>
    </row>
    <row r="133" spans="1:38" x14ac:dyDescent="0.2">
      <c r="A133">
        <v>126</v>
      </c>
      <c r="B133">
        <v>780</v>
      </c>
      <c r="C133">
        <v>100</v>
      </c>
      <c r="D133">
        <v>0.50218914684517901</v>
      </c>
      <c r="E133">
        <v>25.3990409161446</v>
      </c>
      <c r="F133">
        <v>2.5558922732071498</v>
      </c>
      <c r="G133">
        <v>-412.94629914595384</v>
      </c>
      <c r="H133">
        <v>-355.86311001161135</v>
      </c>
      <c r="I133">
        <v>54.202335027624102</v>
      </c>
      <c r="J133">
        <v>30.782907192366199</v>
      </c>
      <c r="K133">
        <v>9.9374457923743797</v>
      </c>
      <c r="L133">
        <v>3.0491967573451902E-5</v>
      </c>
      <c r="M133">
        <v>1.8205288231016565E-6</v>
      </c>
      <c r="N133" s="1">
        <v>-1.4999667159129701E-7</v>
      </c>
      <c r="O133" s="1">
        <v>9.0382555686877504E-11</v>
      </c>
      <c r="P133" s="1">
        <v>6.4754441616399898E-10</v>
      </c>
      <c r="Q133">
        <v>65.629191717782405</v>
      </c>
      <c r="S133">
        <v>20.903922122580799</v>
      </c>
      <c r="AA133">
        <v>1.9322751113523899</v>
      </c>
      <c r="AB133">
        <v>8.7184072427278707</v>
      </c>
      <c r="AC133">
        <v>2.8162038055563499</v>
      </c>
      <c r="AJ133">
        <v>0.749065955690004</v>
      </c>
      <c r="AK133">
        <v>9.1740828575878897E-2</v>
      </c>
      <c r="AL133">
        <v>0.15919321573411599</v>
      </c>
    </row>
    <row r="134" spans="1:38" x14ac:dyDescent="0.2">
      <c r="A134">
        <v>126</v>
      </c>
      <c r="B134">
        <v>780</v>
      </c>
      <c r="C134">
        <v>100</v>
      </c>
      <c r="D134">
        <v>0.50218914684517901</v>
      </c>
      <c r="E134">
        <v>32.0492936957206</v>
      </c>
      <c r="F134">
        <v>2.5202250606896599</v>
      </c>
      <c r="G134">
        <v>-512.26950640983353</v>
      </c>
      <c r="H134">
        <v>-440.98104909101824</v>
      </c>
      <c r="I134">
        <v>67.690696784707896</v>
      </c>
      <c r="J134">
        <v>38.241518566096303</v>
      </c>
      <c r="K134">
        <v>12.716837950555901</v>
      </c>
      <c r="L134">
        <v>2.8816387172129958E-5</v>
      </c>
      <c r="M134">
        <v>1.8104619678308892E-6</v>
      </c>
      <c r="N134" s="1">
        <v>-9.5628430321421395E-8</v>
      </c>
      <c r="O134" s="1">
        <v>1.2112462299408101E-10</v>
      </c>
      <c r="P134" s="1">
        <v>5.33384269933338E-10</v>
      </c>
      <c r="Q134">
        <v>66.221702112606906</v>
      </c>
      <c r="S134">
        <v>19.245584297894599</v>
      </c>
      <c r="AA134">
        <v>0.42587522546878398</v>
      </c>
      <c r="AB134">
        <v>5.6912366824157496</v>
      </c>
      <c r="AC134">
        <v>8.4156016816139001</v>
      </c>
      <c r="AJ134">
        <v>0.49646913258882402</v>
      </c>
      <c r="AK134">
        <v>2.0529518884552199E-2</v>
      </c>
      <c r="AL134">
        <v>0.48300134852662202</v>
      </c>
    </row>
    <row r="135" spans="1:38" x14ac:dyDescent="0.2">
      <c r="A135">
        <v>127</v>
      </c>
      <c r="B135">
        <v>778</v>
      </c>
      <c r="C135">
        <v>100</v>
      </c>
      <c r="D135">
        <v>0.501108785615755</v>
      </c>
      <c r="E135">
        <v>25.681520968352</v>
      </c>
      <c r="F135">
        <v>2.5567759617448602</v>
      </c>
      <c r="G135">
        <v>-417.51565271292731</v>
      </c>
      <c r="H135">
        <v>-359.96967315532623</v>
      </c>
      <c r="I135">
        <v>54.745735202017798</v>
      </c>
      <c r="J135">
        <v>31.135135914455301</v>
      </c>
      <c r="K135">
        <v>10.0444940630722</v>
      </c>
      <c r="L135">
        <v>3.0524903242733518E-5</v>
      </c>
      <c r="M135">
        <v>1.8201039279900251E-6</v>
      </c>
      <c r="N135" s="1">
        <v>-1.6213388522092101E-7</v>
      </c>
      <c r="O135" s="1">
        <v>9.1186523669319797E-11</v>
      </c>
      <c r="P135" s="1">
        <v>6.8552529303851203E-10</v>
      </c>
      <c r="Q135">
        <v>65.587545173308897</v>
      </c>
      <c r="S135">
        <v>20.946746521613999</v>
      </c>
      <c r="AA135">
        <v>1.97732333084967</v>
      </c>
      <c r="AB135">
        <v>8.7378698809842898</v>
      </c>
      <c r="AC135">
        <v>2.7505150932429898</v>
      </c>
      <c r="AJ135">
        <v>0.75066475145062705</v>
      </c>
      <c r="AK135">
        <v>9.38704568055172E-2</v>
      </c>
      <c r="AL135">
        <v>0.155464791743855</v>
      </c>
    </row>
    <row r="136" spans="1:38" x14ac:dyDescent="0.2">
      <c r="A136">
        <v>127</v>
      </c>
      <c r="B136">
        <v>778</v>
      </c>
      <c r="C136">
        <v>100</v>
      </c>
      <c r="D136">
        <v>0.501108785615755</v>
      </c>
      <c r="E136">
        <v>34.085685692882301</v>
      </c>
      <c r="F136">
        <v>2.5200298645926802</v>
      </c>
      <c r="G136">
        <v>-544.50677053159336</v>
      </c>
      <c r="H136">
        <v>-468.93812560943485</v>
      </c>
      <c r="I136">
        <v>71.891399821298904</v>
      </c>
      <c r="J136">
        <v>40.661430284019701</v>
      </c>
      <c r="K136">
        <v>13.5259054552481</v>
      </c>
      <c r="L136">
        <v>2.8791712602812729E-5</v>
      </c>
      <c r="M136">
        <v>1.8100556025088353E-6</v>
      </c>
      <c r="N136" s="1">
        <v>-1.08048203092165E-7</v>
      </c>
      <c r="O136" s="1">
        <v>1.28843754870674E-10</v>
      </c>
      <c r="P136" s="1">
        <v>5.8578965639743801E-10</v>
      </c>
      <c r="Q136">
        <v>66.210430508804293</v>
      </c>
      <c r="S136">
        <v>19.2301468440692</v>
      </c>
      <c r="AA136">
        <v>0.415769242650602</v>
      </c>
      <c r="AB136">
        <v>5.6256472254917602</v>
      </c>
      <c r="AC136">
        <v>8.5180061789840593</v>
      </c>
      <c r="AJ136">
        <v>0.49091020826988901</v>
      </c>
      <c r="AK136">
        <v>2.0049000055733599E-2</v>
      </c>
      <c r="AL136">
        <v>0.48904079167437697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12402-A0B8-446B-9BD7-97B9E836EAF0}">
  <sheetPr codeName="Sheet13"/>
  <dimension ref="A1:AJ73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2</v>
      </c>
      <c r="B2">
        <v>750</v>
      </c>
      <c r="C2">
        <v>300</v>
      </c>
      <c r="D2">
        <v>0.270518008112205</v>
      </c>
      <c r="E2">
        <v>0.37209385997746702</v>
      </c>
      <c r="F2">
        <v>2.5446339321928</v>
      </c>
      <c r="G2">
        <v>-6.058764240263721</v>
      </c>
      <c r="H2">
        <v>-5.3121742281545421</v>
      </c>
      <c r="I2">
        <v>0.72969751464514299</v>
      </c>
      <c r="J2">
        <v>0.430827840346656</v>
      </c>
      <c r="K2">
        <v>0.14622687187733099</v>
      </c>
      <c r="L2">
        <v>0</v>
      </c>
      <c r="M2">
        <v>1.2383389820830548E-6</v>
      </c>
      <c r="N2">
        <v>0</v>
      </c>
      <c r="O2" s="1">
        <v>2.0803301927508301E-13</v>
      </c>
      <c r="P2">
        <v>0</v>
      </c>
      <c r="Q2">
        <v>100</v>
      </c>
      <c r="AJ2">
        <v>1</v>
      </c>
    </row>
    <row r="3" spans="1:36" x14ac:dyDescent="0.2">
      <c r="A3">
        <v>3</v>
      </c>
      <c r="B3">
        <v>748</v>
      </c>
      <c r="C3">
        <v>300</v>
      </c>
      <c r="D3">
        <v>0.26895216177838999</v>
      </c>
      <c r="E3">
        <v>0.80750185752686099</v>
      </c>
      <c r="F3">
        <v>2.5446339321928</v>
      </c>
      <c r="G3">
        <v>-13.145300475691998</v>
      </c>
      <c r="H3">
        <v>-11.5301183844769</v>
      </c>
      <c r="I3">
        <v>1.5817285327474899</v>
      </c>
      <c r="J3">
        <v>0.93472273197004196</v>
      </c>
      <c r="K3">
        <v>0.31733517631394897</v>
      </c>
      <c r="L3">
        <v>0</v>
      </c>
      <c r="M3">
        <v>1.2383389820830548E-6</v>
      </c>
      <c r="N3">
        <v>0</v>
      </c>
      <c r="O3" s="1">
        <v>4.5146418030580702E-13</v>
      </c>
      <c r="P3">
        <v>0</v>
      </c>
      <c r="Q3">
        <v>100</v>
      </c>
      <c r="AJ3">
        <v>1</v>
      </c>
    </row>
    <row r="4" spans="1:36" x14ac:dyDescent="0.2">
      <c r="A4">
        <v>4</v>
      </c>
      <c r="B4">
        <v>746</v>
      </c>
      <c r="C4">
        <v>300</v>
      </c>
      <c r="D4">
        <v>0.26738016974930101</v>
      </c>
      <c r="E4">
        <v>1.23884840084202</v>
      </c>
      <c r="F4">
        <v>2.5446339321928</v>
      </c>
      <c r="G4">
        <v>-20.162328478493315</v>
      </c>
      <c r="H4">
        <v>-17.692076183819246</v>
      </c>
      <c r="I4">
        <v>2.42383583836929</v>
      </c>
      <c r="J4">
        <v>1.43365593625953</v>
      </c>
      <c r="K4">
        <v>0.48684739489206802</v>
      </c>
      <c r="L4">
        <v>0</v>
      </c>
      <c r="M4">
        <v>1.2383389820830548E-6</v>
      </c>
      <c r="N4">
        <v>0</v>
      </c>
      <c r="O4" s="1">
        <v>6.9262463311510101E-13</v>
      </c>
      <c r="P4">
        <v>0</v>
      </c>
      <c r="Q4">
        <v>100</v>
      </c>
      <c r="AJ4">
        <v>1</v>
      </c>
    </row>
    <row r="5" spans="1:36" x14ac:dyDescent="0.2">
      <c r="A5">
        <v>5</v>
      </c>
      <c r="B5">
        <v>744</v>
      </c>
      <c r="C5">
        <v>300</v>
      </c>
      <c r="D5">
        <v>0.26580199577250502</v>
      </c>
      <c r="E5">
        <v>1.66620454250393</v>
      </c>
      <c r="F5">
        <v>2.5446339321928</v>
      </c>
      <c r="G5">
        <v>-27.111057941670545</v>
      </c>
      <c r="H5">
        <v>-23.799033514261666</v>
      </c>
      <c r="I5">
        <v>3.25618092455279</v>
      </c>
      <c r="J5">
        <v>1.92771160190536</v>
      </c>
      <c r="K5">
        <v>0.65479145012740803</v>
      </c>
      <c r="L5">
        <v>0</v>
      </c>
      <c r="M5">
        <v>1.2383389820830548E-6</v>
      </c>
      <c r="N5">
        <v>0</v>
      </c>
      <c r="O5" s="1">
        <v>9.3155410231155799E-13</v>
      </c>
      <c r="P5">
        <v>0</v>
      </c>
      <c r="Q5">
        <v>100</v>
      </c>
      <c r="AJ5">
        <v>1</v>
      </c>
    </row>
    <row r="6" spans="1:36" x14ac:dyDescent="0.2">
      <c r="A6">
        <v>6</v>
      </c>
      <c r="B6">
        <v>742</v>
      </c>
      <c r="C6">
        <v>300</v>
      </c>
      <c r="D6">
        <v>0.264217603309855</v>
      </c>
      <c r="E6">
        <v>2.0896399759544599</v>
      </c>
      <c r="F6">
        <v>2.5446339321928</v>
      </c>
      <c r="G6">
        <v>-33.992675241224411</v>
      </c>
      <c r="H6">
        <v>-29.851957515283107</v>
      </c>
      <c r="I6">
        <v>4.07892205678107</v>
      </c>
      <c r="J6">
        <v>2.4169722368865099</v>
      </c>
      <c r="K6">
        <v>0.821194730415996</v>
      </c>
      <c r="L6">
        <v>0</v>
      </c>
      <c r="M6">
        <v>1.238338982083055E-6</v>
      </c>
      <c r="N6">
        <v>0</v>
      </c>
      <c r="O6" s="1">
        <v>1.16829155262611E-12</v>
      </c>
      <c r="P6">
        <v>0</v>
      </c>
      <c r="Q6">
        <v>100</v>
      </c>
      <c r="AJ6">
        <v>1</v>
      </c>
    </row>
    <row r="7" spans="1:36" x14ac:dyDescent="0.2">
      <c r="A7">
        <v>7</v>
      </c>
      <c r="B7">
        <v>740</v>
      </c>
      <c r="C7">
        <v>300</v>
      </c>
      <c r="D7">
        <v>0.26262695553471999</v>
      </c>
      <c r="E7">
        <v>3.5477442209693399</v>
      </c>
      <c r="F7">
        <v>2.5446339321928</v>
      </c>
      <c r="G7">
        <v>-57.698164989520301</v>
      </c>
      <c r="H7">
        <v>-50.69019463943949</v>
      </c>
      <c r="I7">
        <v>6.9170116469237604</v>
      </c>
      <c r="J7">
        <v>4.1024038473415301</v>
      </c>
      <c r="K7">
        <v>1.3942061276814399</v>
      </c>
      <c r="L7">
        <v>0</v>
      </c>
      <c r="M7">
        <v>1.2383389820830548E-6</v>
      </c>
      <c r="N7">
        <v>0</v>
      </c>
      <c r="O7" s="1">
        <v>1.9834993835928199E-12</v>
      </c>
      <c r="P7">
        <v>0</v>
      </c>
      <c r="Q7">
        <v>100</v>
      </c>
      <c r="AJ7">
        <v>1</v>
      </c>
    </row>
    <row r="8" spans="1:36" x14ac:dyDescent="0.2">
      <c r="A8">
        <v>8</v>
      </c>
      <c r="B8">
        <v>738</v>
      </c>
      <c r="C8">
        <v>300</v>
      </c>
      <c r="D8">
        <v>0.26103001532908299</v>
      </c>
      <c r="E8">
        <v>5.0879394766618598</v>
      </c>
      <c r="F8">
        <v>2.5446339321928</v>
      </c>
      <c r="G8">
        <v>-82.727053489485343</v>
      </c>
      <c r="H8">
        <v>-72.708280637039849</v>
      </c>
      <c r="I8">
        <v>9.9082953591905198</v>
      </c>
      <c r="J8">
        <v>5.8818429845323097</v>
      </c>
      <c r="K8">
        <v>1.9994779650986501</v>
      </c>
      <c r="L8">
        <v>0</v>
      </c>
      <c r="M8">
        <v>1.2383389820830546E-6</v>
      </c>
      <c r="N8">
        <v>0</v>
      </c>
      <c r="O8" s="1">
        <v>2.8446032710213199E-12</v>
      </c>
      <c r="P8">
        <v>0</v>
      </c>
      <c r="Q8">
        <v>100</v>
      </c>
      <c r="AJ8">
        <v>1</v>
      </c>
    </row>
    <row r="9" spans="1:36" x14ac:dyDescent="0.2">
      <c r="A9">
        <v>9</v>
      </c>
      <c r="B9">
        <v>736</v>
      </c>
      <c r="C9">
        <v>300</v>
      </c>
      <c r="D9">
        <v>0.25942674528068399</v>
      </c>
      <c r="E9">
        <v>6.7119259937778004</v>
      </c>
      <c r="F9">
        <v>2.5446339321928</v>
      </c>
      <c r="G9">
        <v>-109.1060406460545</v>
      </c>
      <c r="H9">
        <v>-95.931083209637634</v>
      </c>
      <c r="I9">
        <v>13.0554996149401</v>
      </c>
      <c r="J9">
        <v>7.7571732618259404</v>
      </c>
      <c r="K9">
        <v>2.63767841372526</v>
      </c>
      <c r="L9">
        <v>0</v>
      </c>
      <c r="M9">
        <v>1.238338982083055E-6</v>
      </c>
      <c r="N9">
        <v>0</v>
      </c>
      <c r="O9" s="1">
        <v>3.7525538038199903E-12</v>
      </c>
      <c r="P9">
        <v>0</v>
      </c>
      <c r="Q9">
        <v>100</v>
      </c>
      <c r="AJ9">
        <v>1</v>
      </c>
    </row>
    <row r="10" spans="1:36" x14ac:dyDescent="0.2">
      <c r="A10">
        <v>10</v>
      </c>
      <c r="B10">
        <v>734</v>
      </c>
      <c r="C10">
        <v>300</v>
      </c>
      <c r="D10">
        <v>0.25781710768008598</v>
      </c>
      <c r="E10">
        <v>27.8442720436408</v>
      </c>
      <c r="F10">
        <v>2.5446339321928</v>
      </c>
      <c r="G10">
        <v>-452.51566639991967</v>
      </c>
      <c r="H10">
        <v>-398.03226510539622</v>
      </c>
      <c r="I10">
        <v>54.096610529239399</v>
      </c>
      <c r="J10">
        <v>32.1718844830053</v>
      </c>
      <c r="K10">
        <v>10.9423487957839</v>
      </c>
      <c r="L10">
        <v>0</v>
      </c>
      <c r="M10">
        <v>1.2383389820830548E-6</v>
      </c>
      <c r="N10">
        <v>0</v>
      </c>
      <c r="O10" s="1">
        <v>1.5567383947443099E-11</v>
      </c>
      <c r="P10">
        <v>0</v>
      </c>
      <c r="Q10">
        <v>100</v>
      </c>
      <c r="AJ10">
        <v>1</v>
      </c>
    </row>
    <row r="11" spans="1:36" x14ac:dyDescent="0.2">
      <c r="A11">
        <v>11</v>
      </c>
      <c r="B11">
        <v>732</v>
      </c>
      <c r="C11">
        <v>300</v>
      </c>
      <c r="D11">
        <v>0.256201064517732</v>
      </c>
      <c r="E11">
        <v>31.8527957297188</v>
      </c>
      <c r="F11">
        <v>2.5446339321928</v>
      </c>
      <c r="G11">
        <v>-517.53713809879741</v>
      </c>
      <c r="H11">
        <v>-455.4074773166584</v>
      </c>
      <c r="I11">
        <v>61.811332420175098</v>
      </c>
      <c r="J11">
        <v>36.793571193146697</v>
      </c>
      <c r="K11">
        <v>12.5176338045096</v>
      </c>
      <c r="L11">
        <v>0</v>
      </c>
      <c r="M11">
        <v>1.2383389820830548E-6</v>
      </c>
      <c r="N11">
        <v>0</v>
      </c>
      <c r="O11" s="1">
        <v>1.78084993619813E-11</v>
      </c>
      <c r="P11">
        <v>0</v>
      </c>
      <c r="Q11">
        <v>100</v>
      </c>
      <c r="AJ11">
        <v>1</v>
      </c>
    </row>
    <row r="12" spans="1:36" x14ac:dyDescent="0.2">
      <c r="A12">
        <v>13</v>
      </c>
      <c r="B12">
        <v>750</v>
      </c>
      <c r="C12">
        <v>275</v>
      </c>
      <c r="D12">
        <v>0.29739578751893703</v>
      </c>
      <c r="E12">
        <v>0.23955870050043501</v>
      </c>
      <c r="F12">
        <v>2.54384628309294</v>
      </c>
      <c r="G12">
        <v>-3.9030624468816786</v>
      </c>
      <c r="H12">
        <v>-3.4223984200194506</v>
      </c>
      <c r="I12">
        <v>0.46978842482747102</v>
      </c>
      <c r="J12">
        <v>0.27737237475271398</v>
      </c>
      <c r="K12">
        <v>9.4171846031973094E-2</v>
      </c>
      <c r="L12">
        <v>0</v>
      </c>
      <c r="M12">
        <v>1.2383112330061067E-6</v>
      </c>
      <c r="N12">
        <v>0</v>
      </c>
      <c r="O12" s="1">
        <v>1.33934270674982E-13</v>
      </c>
      <c r="P12">
        <v>0</v>
      </c>
      <c r="Q12">
        <v>100</v>
      </c>
      <c r="AJ12">
        <v>1</v>
      </c>
    </row>
    <row r="13" spans="1:36" x14ac:dyDescent="0.2">
      <c r="A13">
        <v>14</v>
      </c>
      <c r="B13">
        <v>748</v>
      </c>
      <c r="C13">
        <v>275</v>
      </c>
      <c r="D13">
        <v>0.29588258336189799</v>
      </c>
      <c r="E13">
        <v>0.662863749918991</v>
      </c>
      <c r="F13">
        <v>2.54384628309294</v>
      </c>
      <c r="G13">
        <v>-10.79725408626091</v>
      </c>
      <c r="H13">
        <v>-9.4713801606405905</v>
      </c>
      <c r="I13">
        <v>1.29841250121952</v>
      </c>
      <c r="J13">
        <v>0.76729707736625896</v>
      </c>
      <c r="K13">
        <v>0.26057539495391402</v>
      </c>
      <c r="L13">
        <v>0</v>
      </c>
      <c r="M13">
        <v>1.2383112330061072E-6</v>
      </c>
      <c r="N13">
        <v>0</v>
      </c>
      <c r="O13" s="1">
        <v>3.70598824909397E-13</v>
      </c>
      <c r="P13">
        <v>0</v>
      </c>
      <c r="Q13">
        <v>100</v>
      </c>
      <c r="AJ13">
        <v>1</v>
      </c>
    </row>
    <row r="14" spans="1:36" x14ac:dyDescent="0.2">
      <c r="A14">
        <v>15</v>
      </c>
      <c r="B14">
        <v>746</v>
      </c>
      <c r="C14">
        <v>275</v>
      </c>
      <c r="D14">
        <v>0.29436344012167098</v>
      </c>
      <c r="E14">
        <v>1.80719325077909</v>
      </c>
      <c r="F14">
        <v>2.54384628309294</v>
      </c>
      <c r="G14">
        <v>-29.429931063226562</v>
      </c>
      <c r="H14">
        <v>-25.826404375358802</v>
      </c>
      <c r="I14">
        <v>3.5358158150103098</v>
      </c>
      <c r="J14">
        <v>2.09137238276015</v>
      </c>
      <c r="K14">
        <v>0.71041763128148205</v>
      </c>
      <c r="L14">
        <v>0</v>
      </c>
      <c r="M14">
        <v>1.238311233006107E-6</v>
      </c>
      <c r="N14">
        <v>0</v>
      </c>
      <c r="O14" s="1">
        <v>1.0103791242239001E-12</v>
      </c>
      <c r="P14">
        <v>0</v>
      </c>
      <c r="Q14">
        <v>100</v>
      </c>
      <c r="AJ14">
        <v>1</v>
      </c>
    </row>
    <row r="15" spans="1:36" x14ac:dyDescent="0.2">
      <c r="A15">
        <v>16</v>
      </c>
      <c r="B15">
        <v>744</v>
      </c>
      <c r="C15">
        <v>275</v>
      </c>
      <c r="D15">
        <v>0.29283832276459099</v>
      </c>
      <c r="E15">
        <v>3.3610905329341101</v>
      </c>
      <c r="F15">
        <v>2.54384628309294</v>
      </c>
      <c r="G15">
        <v>-54.721822387845741</v>
      </c>
      <c r="H15">
        <v>-48.040761531366769</v>
      </c>
      <c r="I15">
        <v>6.5684125807196301</v>
      </c>
      <c r="J15">
        <v>3.88860614054897</v>
      </c>
      <c r="K15">
        <v>1.3212632206878101</v>
      </c>
      <c r="L15">
        <v>0</v>
      </c>
      <c r="M15">
        <v>1.2383112330061072E-6</v>
      </c>
      <c r="N15">
        <v>0</v>
      </c>
      <c r="O15" s="1">
        <v>1.8791436431268199E-12</v>
      </c>
      <c r="P15">
        <v>0</v>
      </c>
      <c r="Q15">
        <v>100</v>
      </c>
      <c r="AJ15">
        <v>1</v>
      </c>
    </row>
    <row r="16" spans="1:36" x14ac:dyDescent="0.2">
      <c r="A16">
        <v>17</v>
      </c>
      <c r="B16">
        <v>742</v>
      </c>
      <c r="C16">
        <v>275</v>
      </c>
      <c r="D16">
        <v>0.291307195980888</v>
      </c>
      <c r="E16">
        <v>4.9507908159688601</v>
      </c>
      <c r="F16">
        <v>2.54384628309294</v>
      </c>
      <c r="G16">
        <v>-80.58435000758864</v>
      </c>
      <c r="H16">
        <v>-70.774130292708719</v>
      </c>
      <c r="I16">
        <v>9.6638129487069993</v>
      </c>
      <c r="J16">
        <v>5.7263088812052096</v>
      </c>
      <c r="K16">
        <v>1.9461831671485399</v>
      </c>
      <c r="L16">
        <v>0</v>
      </c>
      <c r="M16">
        <v>1.238311233006107E-6</v>
      </c>
      <c r="N16">
        <v>0</v>
      </c>
      <c r="O16" s="1">
        <v>2.76792517164278E-12</v>
      </c>
      <c r="P16">
        <v>0</v>
      </c>
      <c r="Q16">
        <v>100</v>
      </c>
      <c r="AJ16">
        <v>1</v>
      </c>
    </row>
    <row r="17" spans="1:36" x14ac:dyDescent="0.2">
      <c r="A17">
        <v>18</v>
      </c>
      <c r="B17">
        <v>740</v>
      </c>
      <c r="C17">
        <v>275</v>
      </c>
      <c r="D17">
        <v>0.28977002418201098</v>
      </c>
      <c r="E17">
        <v>6.6384361677631096</v>
      </c>
      <c r="F17">
        <v>2.54384628309294</v>
      </c>
      <c r="G17">
        <v>-108.02836420510715</v>
      </c>
      <c r="H17">
        <v>-94.915253186670512</v>
      </c>
      <c r="I17">
        <v>12.942911729197601</v>
      </c>
      <c r="J17">
        <v>7.6762991858307101</v>
      </c>
      <c r="K17">
        <v>2.6096058601826102</v>
      </c>
      <c r="L17">
        <v>0</v>
      </c>
      <c r="M17">
        <v>1.238311233006107E-6</v>
      </c>
      <c r="N17">
        <v>0</v>
      </c>
      <c r="O17" s="1">
        <v>3.7114665620343698E-12</v>
      </c>
      <c r="P17">
        <v>0</v>
      </c>
      <c r="Q17">
        <v>100</v>
      </c>
      <c r="AJ17">
        <v>1</v>
      </c>
    </row>
    <row r="18" spans="1:36" x14ac:dyDescent="0.2">
      <c r="A18">
        <v>19</v>
      </c>
      <c r="B18">
        <v>738</v>
      </c>
      <c r="C18">
        <v>275</v>
      </c>
      <c r="D18">
        <v>0.28822677149780002</v>
      </c>
      <c r="E18">
        <v>25.5350349688335</v>
      </c>
      <c r="F18">
        <v>2.54384628309294</v>
      </c>
      <c r="G18">
        <v>-415.43631356284737</v>
      </c>
      <c r="H18">
        <v>-365.15471797676099</v>
      </c>
      <c r="I18">
        <v>49.727137997415099</v>
      </c>
      <c r="J18">
        <v>29.519428637103299</v>
      </c>
      <c r="K18">
        <v>10.037963039884101</v>
      </c>
      <c r="L18">
        <v>0</v>
      </c>
      <c r="M18">
        <v>1.238311233006107E-6</v>
      </c>
      <c r="N18">
        <v>0</v>
      </c>
      <c r="O18" s="1">
        <v>1.42763184057456E-11</v>
      </c>
      <c r="P18">
        <v>0</v>
      </c>
      <c r="Q18">
        <v>100</v>
      </c>
      <c r="AJ18">
        <v>1</v>
      </c>
    </row>
    <row r="19" spans="1:36" x14ac:dyDescent="0.2">
      <c r="A19">
        <v>20</v>
      </c>
      <c r="B19">
        <v>736</v>
      </c>
      <c r="C19">
        <v>275</v>
      </c>
      <c r="D19">
        <v>0.28667740177377199</v>
      </c>
      <c r="E19">
        <v>30.292200760351999</v>
      </c>
      <c r="F19">
        <v>2.54384628309294</v>
      </c>
      <c r="G19">
        <v>-492.71400292792043</v>
      </c>
      <c r="H19">
        <v>-433.25290993568376</v>
      </c>
      <c r="I19">
        <v>58.9219570849097</v>
      </c>
      <c r="J19">
        <v>35.009600820674002</v>
      </c>
      <c r="K19">
        <v>11.9080311423224</v>
      </c>
      <c r="L19">
        <v>0</v>
      </c>
      <c r="M19">
        <v>1.238311233006107E-6</v>
      </c>
      <c r="N19">
        <v>0</v>
      </c>
      <c r="O19" s="1">
        <v>1.6935990249999301E-11</v>
      </c>
      <c r="P19">
        <v>0</v>
      </c>
      <c r="Q19">
        <v>100</v>
      </c>
      <c r="AJ19">
        <v>1</v>
      </c>
    </row>
    <row r="20" spans="1:36" x14ac:dyDescent="0.2">
      <c r="A20">
        <v>22</v>
      </c>
      <c r="B20">
        <v>752</v>
      </c>
      <c r="C20">
        <v>250</v>
      </c>
      <c r="D20">
        <v>0.32572842998585799</v>
      </c>
      <c r="E20">
        <v>0.17076191173753599</v>
      </c>
      <c r="F20">
        <v>2.5430588954681599</v>
      </c>
      <c r="G20">
        <v>-2.784524321120442</v>
      </c>
      <c r="H20">
        <v>-2.4408324164977331</v>
      </c>
      <c r="I20">
        <v>0.33526011278613699</v>
      </c>
      <c r="J20">
        <v>0.197766956191536</v>
      </c>
      <c r="K20">
        <v>6.71482331934352E-2</v>
      </c>
      <c r="L20">
        <v>0</v>
      </c>
      <c r="M20">
        <v>1.2382833910659956E-6</v>
      </c>
      <c r="N20">
        <v>0</v>
      </c>
      <c r="O20" s="1">
        <v>9.5470847269815397E-14</v>
      </c>
      <c r="P20">
        <v>0</v>
      </c>
      <c r="Q20">
        <v>100</v>
      </c>
      <c r="AJ20">
        <v>1</v>
      </c>
    </row>
    <row r="21" spans="1:36" x14ac:dyDescent="0.2">
      <c r="A21">
        <v>23</v>
      </c>
      <c r="B21">
        <v>750</v>
      </c>
      <c r="C21">
        <v>250</v>
      </c>
      <c r="D21">
        <v>0.324273566925672</v>
      </c>
      <c r="E21">
        <v>1.74849342244352</v>
      </c>
      <c r="F21">
        <v>2.5430588954681599</v>
      </c>
      <c r="G21">
        <v>-28.50489717164653</v>
      </c>
      <c r="H21">
        <v>-24.996621798561943</v>
      </c>
      <c r="I21">
        <v>3.42889642093983</v>
      </c>
      <c r="J21">
        <v>2.0244882436310401</v>
      </c>
      <c r="K21">
        <v>0.68755522161103499</v>
      </c>
      <c r="L21">
        <v>0</v>
      </c>
      <c r="M21">
        <v>1.2382833910659954E-6</v>
      </c>
      <c r="N21">
        <v>0</v>
      </c>
      <c r="O21" s="1">
        <v>9.7756078500079896E-13</v>
      </c>
      <c r="P21">
        <v>0</v>
      </c>
      <c r="Q21">
        <v>100</v>
      </c>
      <c r="AJ21">
        <v>1</v>
      </c>
    </row>
    <row r="22" spans="1:36" x14ac:dyDescent="0.2">
      <c r="A22">
        <v>24</v>
      </c>
      <c r="B22">
        <v>748</v>
      </c>
      <c r="C22">
        <v>250</v>
      </c>
      <c r="D22">
        <v>0.32281300494540499</v>
      </c>
      <c r="E22">
        <v>3.3373522110644598</v>
      </c>
      <c r="F22">
        <v>2.5430588954681599</v>
      </c>
      <c r="G22">
        <v>-54.394261211195769</v>
      </c>
      <c r="H22">
        <v>-47.718819572092009</v>
      </c>
      <c r="I22">
        <v>6.5371802762608402</v>
      </c>
      <c r="J22">
        <v>3.86314774039844</v>
      </c>
      <c r="K22">
        <v>1.31233775867785</v>
      </c>
      <c r="L22">
        <v>0</v>
      </c>
      <c r="M22">
        <v>1.2382833910659954E-6</v>
      </c>
      <c r="N22">
        <v>0</v>
      </c>
      <c r="O22" s="1">
        <v>1.8658718445237399E-12</v>
      </c>
      <c r="P22">
        <v>0</v>
      </c>
      <c r="Q22">
        <v>100</v>
      </c>
      <c r="AJ22">
        <v>1</v>
      </c>
    </row>
    <row r="23" spans="1:36" x14ac:dyDescent="0.2">
      <c r="A23">
        <v>25</v>
      </c>
      <c r="B23">
        <v>746</v>
      </c>
      <c r="C23">
        <v>250</v>
      </c>
      <c r="D23">
        <v>0.32134671049404001</v>
      </c>
      <c r="E23">
        <v>4.9705475443205902</v>
      </c>
      <c r="F23">
        <v>2.5430588954681599</v>
      </c>
      <c r="G23">
        <v>-80.993642652214646</v>
      </c>
      <c r="H23">
        <v>-71.082416654910219</v>
      </c>
      <c r="I23">
        <v>9.72499239297888</v>
      </c>
      <c r="J23">
        <v>5.7521606263784797</v>
      </c>
      <c r="K23">
        <v>1.9545546322888201</v>
      </c>
      <c r="L23">
        <v>0</v>
      </c>
      <c r="M23">
        <v>1.2382833910659954E-6</v>
      </c>
      <c r="N23">
        <v>0</v>
      </c>
      <c r="O23" s="1">
        <v>2.7789709111512299E-12</v>
      </c>
      <c r="P23">
        <v>0</v>
      </c>
      <c r="Q23">
        <v>100</v>
      </c>
      <c r="AJ23">
        <v>1</v>
      </c>
    </row>
    <row r="24" spans="1:36" x14ac:dyDescent="0.2">
      <c r="A24">
        <v>26</v>
      </c>
      <c r="B24">
        <v>744</v>
      </c>
      <c r="C24">
        <v>250</v>
      </c>
      <c r="D24">
        <v>0.31987464975667701</v>
      </c>
      <c r="E24">
        <v>6.7204921022017201</v>
      </c>
      <c r="F24">
        <v>2.5430588954681599</v>
      </c>
      <c r="G24">
        <v>-109.48220359152322</v>
      </c>
      <c r="H24">
        <v>-96.123439142801288</v>
      </c>
      <c r="I24">
        <v>13.1335245034871</v>
      </c>
      <c r="J24">
        <v>7.7752582383786599</v>
      </c>
      <c r="K24">
        <v>2.6426804798653798</v>
      </c>
      <c r="L24">
        <v>0</v>
      </c>
      <c r="M24">
        <v>1.2382833910659952E-6</v>
      </c>
      <c r="N24">
        <v>0</v>
      </c>
      <c r="O24" s="1">
        <v>3.7573430078100103E-12</v>
      </c>
      <c r="P24">
        <v>0</v>
      </c>
      <c r="Q24">
        <v>100</v>
      </c>
      <c r="AJ24">
        <v>1</v>
      </c>
    </row>
    <row r="25" spans="1:36" x14ac:dyDescent="0.2">
      <c r="A25">
        <v>27</v>
      </c>
      <c r="B25">
        <v>742</v>
      </c>
      <c r="C25">
        <v>250</v>
      </c>
      <c r="D25">
        <v>0.318396788651924</v>
      </c>
      <c r="E25">
        <v>25.311093262327301</v>
      </c>
      <c r="F25">
        <v>2.5430588954681599</v>
      </c>
      <c r="G25">
        <v>-412.23912817629434</v>
      </c>
      <c r="H25">
        <v>-362.08403268602882</v>
      </c>
      <c r="I25">
        <v>49.4065857166581</v>
      </c>
      <c r="J25">
        <v>29.2759568175602</v>
      </c>
      <c r="K25">
        <v>9.9530110401425596</v>
      </c>
      <c r="L25">
        <v>0</v>
      </c>
      <c r="M25">
        <v>1.2382833910659956E-6</v>
      </c>
      <c r="N25">
        <v>0</v>
      </c>
      <c r="O25" s="1">
        <v>1.4151115400920701E-11</v>
      </c>
      <c r="P25">
        <v>0</v>
      </c>
      <c r="Q25">
        <v>100</v>
      </c>
      <c r="AJ25">
        <v>1</v>
      </c>
    </row>
    <row r="26" spans="1:36" x14ac:dyDescent="0.2">
      <c r="A26">
        <v>28</v>
      </c>
      <c r="B26">
        <v>740</v>
      </c>
      <c r="C26">
        <v>250</v>
      </c>
      <c r="D26">
        <v>0.31691309282929903</v>
      </c>
      <c r="E26">
        <v>30.178891315035202</v>
      </c>
      <c r="F26">
        <v>2.5430588954681599</v>
      </c>
      <c r="G26">
        <v>-491.40269785348346</v>
      </c>
      <c r="H26">
        <v>-431.78938799759618</v>
      </c>
      <c r="I26">
        <v>58.839569516742003</v>
      </c>
      <c r="J26">
        <v>34.897104224011798</v>
      </c>
      <c r="K26">
        <v>11.867161774670301</v>
      </c>
      <c r="L26">
        <v>0</v>
      </c>
      <c r="M26">
        <v>1.2382833910659956E-6</v>
      </c>
      <c r="N26">
        <v>0</v>
      </c>
      <c r="O26" s="1">
        <v>1.6872640357520399E-11</v>
      </c>
      <c r="P26">
        <v>0</v>
      </c>
      <c r="Q26">
        <v>100</v>
      </c>
      <c r="AJ26">
        <v>1</v>
      </c>
    </row>
    <row r="27" spans="1:36" x14ac:dyDescent="0.2">
      <c r="A27">
        <v>32</v>
      </c>
      <c r="B27">
        <v>756</v>
      </c>
      <c r="C27">
        <v>225</v>
      </c>
      <c r="D27">
        <v>0.35534227274935698</v>
      </c>
      <c r="E27">
        <v>0.38289811608994101</v>
      </c>
      <c r="F27">
        <v>2.5422717692855801</v>
      </c>
      <c r="G27">
        <v>-6.2504925766807524</v>
      </c>
      <c r="H27">
        <v>-5.4750501533938785</v>
      </c>
      <c r="I27">
        <v>0.75347852430342799</v>
      </c>
      <c r="J27">
        <v>0.44367743835246298</v>
      </c>
      <c r="K27">
        <v>0.15061258230371699</v>
      </c>
      <c r="L27">
        <v>0</v>
      </c>
      <c r="M27">
        <v>1.2382554563563434E-6</v>
      </c>
      <c r="N27">
        <v>0</v>
      </c>
      <c r="O27" s="1">
        <v>2.14073543620836E-13</v>
      </c>
      <c r="P27">
        <v>0</v>
      </c>
      <c r="Q27">
        <v>100</v>
      </c>
      <c r="AJ27">
        <v>1</v>
      </c>
    </row>
    <row r="28" spans="1:36" x14ac:dyDescent="0.2">
      <c r="A28">
        <v>33</v>
      </c>
      <c r="B28">
        <v>754</v>
      </c>
      <c r="C28">
        <v>225</v>
      </c>
      <c r="D28">
        <v>0.35395073747748601</v>
      </c>
      <c r="E28">
        <v>1.9827535391129101</v>
      </c>
      <c r="F28">
        <v>2.5422717692855801</v>
      </c>
      <c r="G28">
        <v>-32.358999804576115</v>
      </c>
      <c r="H28">
        <v>-28.355935416548121</v>
      </c>
      <c r="I28">
        <v>3.89725394346297</v>
      </c>
      <c r="J28">
        <v>2.2969016870854402</v>
      </c>
      <c r="K28">
        <v>0.77991407648368705</v>
      </c>
      <c r="L28">
        <v>0</v>
      </c>
      <c r="M28">
        <v>1.2382554563563434E-6</v>
      </c>
      <c r="N28">
        <v>0</v>
      </c>
      <c r="O28" s="1">
        <v>1.10853268378305E-12</v>
      </c>
      <c r="P28">
        <v>0</v>
      </c>
      <c r="Q28">
        <v>100</v>
      </c>
      <c r="AJ28">
        <v>1</v>
      </c>
    </row>
    <row r="29" spans="1:36" x14ac:dyDescent="0.2">
      <c r="A29">
        <v>34</v>
      </c>
      <c r="B29">
        <v>752</v>
      </c>
      <c r="C29">
        <v>225</v>
      </c>
      <c r="D29">
        <v>0.35255377261864101</v>
      </c>
      <c r="E29">
        <v>3.6019121829196501</v>
      </c>
      <c r="F29">
        <v>2.5422717692855801</v>
      </c>
      <c r="G29">
        <v>-58.769894648944344</v>
      </c>
      <c r="H29">
        <v>-51.520338551597874</v>
      </c>
      <c r="I29">
        <v>7.0717027726151898</v>
      </c>
      <c r="J29">
        <v>4.1715345163159601</v>
      </c>
      <c r="K29">
        <v>1.41680847281399</v>
      </c>
      <c r="L29">
        <v>0</v>
      </c>
      <c r="M29">
        <v>1.2382554563563432E-6</v>
      </c>
      <c r="N29">
        <v>0</v>
      </c>
      <c r="O29" s="1">
        <v>2.01378401304944E-12</v>
      </c>
      <c r="P29">
        <v>0</v>
      </c>
      <c r="Q29">
        <v>100</v>
      </c>
      <c r="AJ29">
        <v>1</v>
      </c>
    </row>
    <row r="30" spans="1:36" x14ac:dyDescent="0.2">
      <c r="A30">
        <v>35</v>
      </c>
      <c r="B30">
        <v>750</v>
      </c>
      <c r="C30">
        <v>225</v>
      </c>
      <c r="D30">
        <v>0.35115134633240402</v>
      </c>
      <c r="E30">
        <v>5.2810106014605003</v>
      </c>
      <c r="F30">
        <v>2.5422717692855801</v>
      </c>
      <c r="G30">
        <v>-86.145850442380407</v>
      </c>
      <c r="H30">
        <v>-75.549734265854781</v>
      </c>
      <c r="I30">
        <v>10.3563662967557</v>
      </c>
      <c r="J30">
        <v>6.1146034293949398</v>
      </c>
      <c r="K30">
        <v>2.0772801182245502</v>
      </c>
      <c r="L30">
        <v>0</v>
      </c>
      <c r="M30">
        <v>1.2382554563563434E-6</v>
      </c>
      <c r="N30">
        <v>0</v>
      </c>
      <c r="O30" s="1">
        <v>2.9525469200488299E-12</v>
      </c>
      <c r="P30">
        <v>0</v>
      </c>
      <c r="Q30">
        <v>100</v>
      </c>
      <c r="AJ30">
        <v>1</v>
      </c>
    </row>
    <row r="31" spans="1:36" x14ac:dyDescent="0.2">
      <c r="A31">
        <v>36</v>
      </c>
      <c r="B31">
        <v>748</v>
      </c>
      <c r="C31">
        <v>225</v>
      </c>
      <c r="D31">
        <v>0.34974342652891699</v>
      </c>
      <c r="E31">
        <v>7.1145415252952704</v>
      </c>
      <c r="F31">
        <v>2.5422717692855801</v>
      </c>
      <c r="G31">
        <v>-116.02721523099247</v>
      </c>
      <c r="H31">
        <v>-101.79656058698029</v>
      </c>
      <c r="I31">
        <v>13.9359101444569</v>
      </c>
      <c r="J31">
        <v>8.2354283513423301</v>
      </c>
      <c r="K31">
        <v>2.79849763162597</v>
      </c>
      <c r="L31">
        <v>0</v>
      </c>
      <c r="M31">
        <v>1.2382554563563434E-6</v>
      </c>
      <c r="N31">
        <v>0</v>
      </c>
      <c r="O31" s="1">
        <v>3.9776511075854796E-12</v>
      </c>
      <c r="P31">
        <v>0</v>
      </c>
      <c r="Q31">
        <v>100</v>
      </c>
      <c r="AJ31">
        <v>1</v>
      </c>
    </row>
    <row r="32" spans="1:36" x14ac:dyDescent="0.2">
      <c r="A32">
        <v>37</v>
      </c>
      <c r="B32">
        <v>746</v>
      </c>
      <c r="C32">
        <v>225</v>
      </c>
      <c r="D32">
        <v>0.34832998086640898</v>
      </c>
      <c r="E32">
        <v>26.2950580934919</v>
      </c>
      <c r="F32">
        <v>2.5422717692855801</v>
      </c>
      <c r="G32">
        <v>-428.72894722996034</v>
      </c>
      <c r="H32">
        <v>-376.29684371359195</v>
      </c>
      <c r="I32">
        <v>51.446895468153201</v>
      </c>
      <c r="J32">
        <v>30.429926780711099</v>
      </c>
      <c r="K32">
        <v>10.3431342042874</v>
      </c>
      <c r="L32">
        <v>0</v>
      </c>
      <c r="M32">
        <v>1.2382554563563434E-6</v>
      </c>
      <c r="N32">
        <v>0</v>
      </c>
      <c r="O32" s="1">
        <v>1.4701237820839299E-11</v>
      </c>
      <c r="P32">
        <v>0</v>
      </c>
      <c r="Q32">
        <v>100</v>
      </c>
      <c r="AJ32">
        <v>1</v>
      </c>
    </row>
    <row r="33" spans="1:36" x14ac:dyDescent="0.2">
      <c r="A33">
        <v>38</v>
      </c>
      <c r="B33">
        <v>744</v>
      </c>
      <c r="C33">
        <v>225</v>
      </c>
      <c r="D33">
        <v>0.34691097674876298</v>
      </c>
      <c r="E33">
        <v>30.226653921542098</v>
      </c>
      <c r="F33">
        <v>2.5422717692855801</v>
      </c>
      <c r="G33">
        <v>-492.71361710028998</v>
      </c>
      <c r="H33">
        <v>-432.63010778723964</v>
      </c>
      <c r="I33">
        <v>59.070451077078403</v>
      </c>
      <c r="J33">
        <v>34.970659342802499</v>
      </c>
      <c r="K33">
        <v>11.8896234016854</v>
      </c>
      <c r="L33">
        <v>0</v>
      </c>
      <c r="M33">
        <v>1.2382554563563432E-6</v>
      </c>
      <c r="N33">
        <v>0</v>
      </c>
      <c r="O33" s="1">
        <v>1.68993438329303E-11</v>
      </c>
      <c r="P33">
        <v>0</v>
      </c>
      <c r="Q33">
        <v>100</v>
      </c>
      <c r="AJ33">
        <v>1</v>
      </c>
    </row>
    <row r="34" spans="1:36" x14ac:dyDescent="0.2">
      <c r="A34">
        <v>45</v>
      </c>
      <c r="B34">
        <v>760</v>
      </c>
      <c r="C34">
        <v>200</v>
      </c>
      <c r="D34">
        <v>0.38472680636887402</v>
      </c>
      <c r="E34">
        <v>1.07102090226961</v>
      </c>
      <c r="F34">
        <v>2.5414849045122199</v>
      </c>
      <c r="G34">
        <v>-17.502497210117745</v>
      </c>
      <c r="H34">
        <v>-15.320068267516117</v>
      </c>
      <c r="I34">
        <v>2.1124027901094902</v>
      </c>
      <c r="J34">
        <v>1.24165639973822</v>
      </c>
      <c r="K34">
        <v>0.421415409695367</v>
      </c>
      <c r="L34">
        <v>0</v>
      </c>
      <c r="M34">
        <v>1.2382274289707085E-6</v>
      </c>
      <c r="N34">
        <v>0</v>
      </c>
      <c r="O34" s="1">
        <v>5.9879437951317701E-13</v>
      </c>
      <c r="P34">
        <v>0</v>
      </c>
      <c r="Q34">
        <v>100</v>
      </c>
      <c r="AJ34">
        <v>1</v>
      </c>
    </row>
    <row r="35" spans="1:36" x14ac:dyDescent="0.2">
      <c r="A35">
        <v>46</v>
      </c>
      <c r="B35">
        <v>758</v>
      </c>
      <c r="C35">
        <v>200</v>
      </c>
      <c r="D35">
        <v>0.383397662803666</v>
      </c>
      <c r="E35">
        <v>2.6885930647304201</v>
      </c>
      <c r="F35">
        <v>2.5414849045122199</v>
      </c>
      <c r="G35">
        <v>-43.926071095278395</v>
      </c>
      <c r="H35">
        <v>-38.464333408468754</v>
      </c>
      <c r="I35">
        <v>5.2967441078500999</v>
      </c>
      <c r="J35">
        <v>3.1161555280919799</v>
      </c>
      <c r="K35">
        <v>1.05788275978229</v>
      </c>
      <c r="L35">
        <v>0</v>
      </c>
      <c r="M35">
        <v>1.2382274289707085E-6</v>
      </c>
      <c r="N35">
        <v>0</v>
      </c>
      <c r="O35" s="1">
        <v>1.50315872691849E-12</v>
      </c>
      <c r="P35">
        <v>0</v>
      </c>
      <c r="Q35">
        <v>100</v>
      </c>
      <c r="AJ35">
        <v>1</v>
      </c>
    </row>
    <row r="36" spans="1:36" x14ac:dyDescent="0.2">
      <c r="A36">
        <v>47</v>
      </c>
      <c r="B36">
        <v>756</v>
      </c>
      <c r="C36">
        <v>200</v>
      </c>
      <c r="D36">
        <v>0.38206335325268598</v>
      </c>
      <c r="E36">
        <v>4.3434287213894596</v>
      </c>
      <c r="F36">
        <v>2.5414849045122199</v>
      </c>
      <c r="G36">
        <v>-70.945572061797094</v>
      </c>
      <c r="H36">
        <v>-62.149292447047301</v>
      </c>
      <c r="I36">
        <v>8.5471307532913503</v>
      </c>
      <c r="J36">
        <v>5.03288276383143</v>
      </c>
      <c r="K36">
        <v>1.7090122052969901</v>
      </c>
      <c r="L36">
        <v>0</v>
      </c>
      <c r="M36">
        <v>1.2382274289707083E-6</v>
      </c>
      <c r="N36">
        <v>0</v>
      </c>
      <c r="O36" s="1">
        <v>2.4283566274688898E-12</v>
      </c>
      <c r="P36">
        <v>0</v>
      </c>
      <c r="Q36">
        <v>100</v>
      </c>
      <c r="AJ36">
        <v>1</v>
      </c>
    </row>
    <row r="37" spans="1:36" x14ac:dyDescent="0.2">
      <c r="A37">
        <v>48</v>
      </c>
      <c r="B37">
        <v>754</v>
      </c>
      <c r="C37">
        <v>200</v>
      </c>
      <c r="D37">
        <v>0.38072384753930699</v>
      </c>
      <c r="E37">
        <v>6.09579324217977</v>
      </c>
      <c r="F37">
        <v>2.5414849045122199</v>
      </c>
      <c r="G37">
        <v>-99.544719861151094</v>
      </c>
      <c r="H37">
        <v>-87.237666884980939</v>
      </c>
      <c r="I37">
        <v>11.981748504278899</v>
      </c>
      <c r="J37">
        <v>7.0616128055688501</v>
      </c>
      <c r="K37">
        <v>2.3985164072220599</v>
      </c>
      <c r="L37">
        <v>0</v>
      </c>
      <c r="M37">
        <v>1.2382274289707085E-6</v>
      </c>
      <c r="N37">
        <v>0</v>
      </c>
      <c r="O37" s="1">
        <v>3.4080816950973E-12</v>
      </c>
      <c r="P37">
        <v>0</v>
      </c>
      <c r="Q37">
        <v>100</v>
      </c>
      <c r="AJ37">
        <v>1</v>
      </c>
    </row>
    <row r="38" spans="1:36" x14ac:dyDescent="0.2">
      <c r="A38">
        <v>49</v>
      </c>
      <c r="B38">
        <v>752</v>
      </c>
      <c r="C38">
        <v>200</v>
      </c>
      <c r="D38">
        <v>0.37937911525142798</v>
      </c>
      <c r="E38">
        <v>9.2055441132472193</v>
      </c>
      <c r="F38">
        <v>2.5414849045122199</v>
      </c>
      <c r="G38">
        <v>-150.29099628929549</v>
      </c>
      <c r="H38">
        <v>-131.76302973529474</v>
      </c>
      <c r="I38">
        <v>18.0734200399949</v>
      </c>
      <c r="J38">
        <v>10.6613495997985</v>
      </c>
      <c r="K38">
        <v>3.6221124496562802</v>
      </c>
      <c r="L38">
        <v>0</v>
      </c>
      <c r="M38">
        <v>1.2382274289707083E-6</v>
      </c>
      <c r="N38">
        <v>0</v>
      </c>
      <c r="O38" s="1">
        <v>5.1467044795223301E-12</v>
      </c>
      <c r="P38">
        <v>0</v>
      </c>
      <c r="Q38">
        <v>100</v>
      </c>
      <c r="AJ38">
        <v>1</v>
      </c>
    </row>
    <row r="39" spans="1:36" x14ac:dyDescent="0.2">
      <c r="A39">
        <v>50</v>
      </c>
      <c r="B39">
        <v>750</v>
      </c>
      <c r="C39">
        <v>200</v>
      </c>
      <c r="D39">
        <v>0.37802912573913899</v>
      </c>
      <c r="E39">
        <v>28.167040796361199</v>
      </c>
      <c r="F39">
        <v>2.5414849045122199</v>
      </c>
      <c r="G39">
        <v>-459.74849595157826</v>
      </c>
      <c r="H39">
        <v>-403.23256384103883</v>
      </c>
      <c r="I39">
        <v>55.237191135746798</v>
      </c>
      <c r="J39">
        <v>32.613129805440302</v>
      </c>
      <c r="K39">
        <v>11.082906983375199</v>
      </c>
      <c r="L39">
        <v>0</v>
      </c>
      <c r="M39">
        <v>1.2382274289707085E-6</v>
      </c>
      <c r="N39">
        <v>0</v>
      </c>
      <c r="O39" s="1">
        <v>1.5747839916698199E-11</v>
      </c>
      <c r="P39">
        <v>0</v>
      </c>
      <c r="Q39">
        <v>100</v>
      </c>
      <c r="AJ39">
        <v>1</v>
      </c>
    </row>
    <row r="40" spans="1:36" x14ac:dyDescent="0.2">
      <c r="A40">
        <v>51</v>
      </c>
      <c r="B40">
        <v>748</v>
      </c>
      <c r="C40">
        <v>200</v>
      </c>
      <c r="D40">
        <v>0.37667384811242399</v>
      </c>
      <c r="E40">
        <v>30.517707296068</v>
      </c>
      <c r="F40">
        <v>2.5414849045122199</v>
      </c>
      <c r="G40">
        <v>-497.99695510885465</v>
      </c>
      <c r="H40">
        <v>-436.95479919293007</v>
      </c>
      <c r="I40">
        <v>59.777854297531697</v>
      </c>
      <c r="J40">
        <v>35.3257326547931</v>
      </c>
      <c r="K40">
        <v>12.0078255203822</v>
      </c>
      <c r="L40">
        <v>0</v>
      </c>
      <c r="M40">
        <v>1.2382274289707087E-6</v>
      </c>
      <c r="N40">
        <v>0</v>
      </c>
      <c r="O40" s="1">
        <v>1.7062068131246998E-11</v>
      </c>
      <c r="P40">
        <v>0</v>
      </c>
      <c r="Q40">
        <v>100</v>
      </c>
      <c r="AJ40">
        <v>1</v>
      </c>
    </row>
    <row r="41" spans="1:36" x14ac:dyDescent="0.2">
      <c r="A41">
        <v>60</v>
      </c>
      <c r="B41">
        <v>766</v>
      </c>
      <c r="C41">
        <v>175</v>
      </c>
      <c r="D41">
        <v>0.41514747630275201</v>
      </c>
      <c r="E41">
        <v>0.877084319222873</v>
      </c>
      <c r="F41">
        <v>2.5406983011149902</v>
      </c>
      <c r="G41">
        <v>-14.352234529877499</v>
      </c>
      <c r="H41">
        <v>-12.548491623542203</v>
      </c>
      <c r="I41">
        <v>1.7357868511141701</v>
      </c>
      <c r="J41">
        <v>1.0175837174773501</v>
      </c>
      <c r="K41">
        <v>0.34521388030918798</v>
      </c>
      <c r="L41">
        <v>0</v>
      </c>
      <c r="M41">
        <v>1.238199309002582E-6</v>
      </c>
      <c r="N41">
        <v>0</v>
      </c>
      <c r="O41" s="1">
        <v>4.90366863612891E-13</v>
      </c>
      <c r="P41">
        <v>0</v>
      </c>
      <c r="Q41">
        <v>100</v>
      </c>
      <c r="AJ41">
        <v>1</v>
      </c>
    </row>
    <row r="42" spans="1:36" x14ac:dyDescent="0.2">
      <c r="A42">
        <v>61</v>
      </c>
      <c r="B42">
        <v>764</v>
      </c>
      <c r="C42">
        <v>175</v>
      </c>
      <c r="D42">
        <v>0.41388468398978101</v>
      </c>
      <c r="E42">
        <v>2.49308376241108</v>
      </c>
      <c r="F42">
        <v>2.5406983011149902</v>
      </c>
      <c r="G42">
        <v>-40.785899414823518</v>
      </c>
      <c r="H42">
        <v>-35.674465084476836</v>
      </c>
      <c r="I42">
        <v>4.9283462665445503</v>
      </c>
      <c r="J42">
        <v>2.8917299097464699</v>
      </c>
      <c r="K42">
        <v>0.98125927085359999</v>
      </c>
      <c r="L42">
        <v>0</v>
      </c>
      <c r="M42">
        <v>1.2381993090025822E-6</v>
      </c>
      <c r="N42">
        <v>0</v>
      </c>
      <c r="O42" s="1">
        <v>1.39385192336006E-12</v>
      </c>
      <c r="P42">
        <v>0</v>
      </c>
      <c r="Q42">
        <v>100</v>
      </c>
      <c r="AJ42">
        <v>1</v>
      </c>
    </row>
    <row r="43" spans="1:36" x14ac:dyDescent="0.2">
      <c r="A43">
        <v>62</v>
      </c>
      <c r="B43">
        <v>762</v>
      </c>
      <c r="C43">
        <v>175</v>
      </c>
      <c r="D43">
        <v>0.41261701202724399</v>
      </c>
      <c r="E43">
        <v>4.1431956973891397</v>
      </c>
      <c r="F43">
        <v>2.5406983011149902</v>
      </c>
      <c r="G43">
        <v>-67.764729941046539</v>
      </c>
      <c r="H43">
        <v>-59.296142187594349</v>
      </c>
      <c r="I43">
        <v>8.1810247340503093</v>
      </c>
      <c r="J43">
        <v>4.8044963269222496</v>
      </c>
      <c r="K43">
        <v>1.6307310850607</v>
      </c>
      <c r="L43">
        <v>0</v>
      </c>
      <c r="M43">
        <v>1.2381993090025817E-6</v>
      </c>
      <c r="N43">
        <v>0</v>
      </c>
      <c r="O43" s="1">
        <v>2.3164088502497398E-12</v>
      </c>
      <c r="P43">
        <v>0</v>
      </c>
      <c r="Q43">
        <v>100</v>
      </c>
      <c r="AJ43">
        <v>1</v>
      </c>
    </row>
    <row r="44" spans="1:36" x14ac:dyDescent="0.2">
      <c r="A44">
        <v>63</v>
      </c>
      <c r="B44">
        <v>760</v>
      </c>
      <c r="C44">
        <v>175</v>
      </c>
      <c r="D44">
        <v>0.41134443207665999</v>
      </c>
      <c r="E44">
        <v>5.8825749555820197</v>
      </c>
      <c r="F44">
        <v>2.5406983011149902</v>
      </c>
      <c r="G44">
        <v>-96.190220299886903</v>
      </c>
      <c r="H44">
        <v>-84.203244310081374</v>
      </c>
      <c r="I44">
        <v>11.602357827813499</v>
      </c>
      <c r="J44">
        <v>6.8197892544020204</v>
      </c>
      <c r="K44">
        <v>2.31533785534489</v>
      </c>
      <c r="L44">
        <v>0</v>
      </c>
      <c r="M44">
        <v>1.238199309002582E-6</v>
      </c>
      <c r="N44">
        <v>0</v>
      </c>
      <c r="O44" s="1">
        <v>3.2888740201083198E-12</v>
      </c>
      <c r="P44">
        <v>0</v>
      </c>
      <c r="Q44">
        <v>100</v>
      </c>
      <c r="AJ44">
        <v>1</v>
      </c>
    </row>
    <row r="45" spans="1:36" x14ac:dyDescent="0.2">
      <c r="A45">
        <v>64</v>
      </c>
      <c r="B45">
        <v>758</v>
      </c>
      <c r="C45">
        <v>175</v>
      </c>
      <c r="D45">
        <v>0.41006691557969399</v>
      </c>
      <c r="E45">
        <v>7.84477447978621</v>
      </c>
      <c r="F45">
        <v>2.5406983011149902</v>
      </c>
      <c r="G45">
        <v>-128.24463079062201</v>
      </c>
      <c r="H45">
        <v>-112.30837737137617</v>
      </c>
      <c r="I45">
        <v>15.454835299661299</v>
      </c>
      <c r="J45">
        <v>9.0923158593626106</v>
      </c>
      <c r="K45">
        <v>3.0876450290628701</v>
      </c>
      <c r="L45">
        <v>0</v>
      </c>
      <c r="M45">
        <v>1.238199309002582E-6</v>
      </c>
      <c r="N45">
        <v>0</v>
      </c>
      <c r="O45" s="1">
        <v>4.3859152114492601E-12</v>
      </c>
      <c r="P45">
        <v>0</v>
      </c>
      <c r="Q45">
        <v>100</v>
      </c>
      <c r="AJ45">
        <v>1</v>
      </c>
    </row>
    <row r="46" spans="1:36" x14ac:dyDescent="0.2">
      <c r="A46">
        <v>65</v>
      </c>
      <c r="B46">
        <v>756</v>
      </c>
      <c r="C46">
        <v>175</v>
      </c>
      <c r="D46">
        <v>0.40878443375601398</v>
      </c>
      <c r="E46">
        <v>25.653111295203999</v>
      </c>
      <c r="F46">
        <v>2.5406983011149902</v>
      </c>
      <c r="G46">
        <v>-419.2703459600985</v>
      </c>
      <c r="H46">
        <v>-367.31785533220477</v>
      </c>
      <c r="I46">
        <v>50.480970342412398</v>
      </c>
      <c r="J46">
        <v>29.725157233610499</v>
      </c>
      <c r="K46">
        <v>10.096874266395901</v>
      </c>
      <c r="L46">
        <v>0</v>
      </c>
      <c r="M46">
        <v>1.238199309002582E-6</v>
      </c>
      <c r="N46">
        <v>0</v>
      </c>
      <c r="O46" s="1">
        <v>1.43423334017503E-11</v>
      </c>
      <c r="P46">
        <v>0</v>
      </c>
      <c r="Q46">
        <v>100</v>
      </c>
      <c r="AJ46">
        <v>1</v>
      </c>
    </row>
    <row r="47" spans="1:36" x14ac:dyDescent="0.2">
      <c r="A47">
        <v>66</v>
      </c>
      <c r="B47">
        <v>754</v>
      </c>
      <c r="C47">
        <v>175</v>
      </c>
      <c r="D47">
        <v>0.40749695760112897</v>
      </c>
      <c r="E47">
        <v>29.8702441622709</v>
      </c>
      <c r="F47">
        <v>2.5406983011149902</v>
      </c>
      <c r="G47">
        <v>-488.07699886364918</v>
      </c>
      <c r="H47">
        <v>-427.77070849072447</v>
      </c>
      <c r="I47">
        <v>58.712252711799302</v>
      </c>
      <c r="J47">
        <v>34.602895849914702</v>
      </c>
      <c r="K47">
        <v>11.7567064728473</v>
      </c>
      <c r="L47">
        <v>0</v>
      </c>
      <c r="M47">
        <v>1.238199309002582E-6</v>
      </c>
      <c r="N47">
        <v>0</v>
      </c>
      <c r="O47" s="1">
        <v>1.67000795980278E-11</v>
      </c>
      <c r="P47">
        <v>0</v>
      </c>
      <c r="Q47">
        <v>100</v>
      </c>
      <c r="AJ47">
        <v>1</v>
      </c>
    </row>
    <row r="48" spans="1:36" x14ac:dyDescent="0.2">
      <c r="A48">
        <v>76</v>
      </c>
      <c r="B48">
        <v>774</v>
      </c>
      <c r="C48">
        <v>150</v>
      </c>
      <c r="D48">
        <v>0.44641216635630598</v>
      </c>
      <c r="E48">
        <v>0.20152311955178101</v>
      </c>
      <c r="F48">
        <v>2.53991195906073</v>
      </c>
      <c r="G48">
        <v>-3.3028195869602728</v>
      </c>
      <c r="H48">
        <v>-2.8833137974108194</v>
      </c>
      <c r="I48">
        <v>0.40061671159762502</v>
      </c>
      <c r="J48">
        <v>0.234034887915191</v>
      </c>
      <c r="K48">
        <v>7.9342561002116396E-2</v>
      </c>
      <c r="L48">
        <v>0</v>
      </c>
      <c r="M48">
        <v>1.2381710965453893E-6</v>
      </c>
      <c r="N48">
        <v>0</v>
      </c>
      <c r="O48" s="1">
        <v>1.12669053492657E-13</v>
      </c>
      <c r="P48">
        <v>0</v>
      </c>
      <c r="Q48">
        <v>100</v>
      </c>
      <c r="AJ48">
        <v>1</v>
      </c>
    </row>
    <row r="49" spans="1:36" x14ac:dyDescent="0.2">
      <c r="A49">
        <v>77</v>
      </c>
      <c r="B49">
        <v>772</v>
      </c>
      <c r="C49">
        <v>150</v>
      </c>
      <c r="D49">
        <v>0.44521886810505501</v>
      </c>
      <c r="E49">
        <v>1.80033330722596</v>
      </c>
      <c r="F49">
        <v>2.53991195906073</v>
      </c>
      <c r="G49">
        <v>-29.49901947405252</v>
      </c>
      <c r="H49">
        <v>-25.76264428149376</v>
      </c>
      <c r="I49">
        <v>3.57496550022366</v>
      </c>
      <c r="J49">
        <v>2.0902711843017898</v>
      </c>
      <c r="K49">
        <v>0.70881720951136196</v>
      </c>
      <c r="L49">
        <v>0</v>
      </c>
      <c r="M49">
        <v>1.2381710965453893E-6</v>
      </c>
      <c r="N49">
        <v>0</v>
      </c>
      <c r="O49" s="1">
        <v>1.00654381565552E-12</v>
      </c>
      <c r="P49">
        <v>0</v>
      </c>
      <c r="Q49">
        <v>100</v>
      </c>
      <c r="AJ49">
        <v>1</v>
      </c>
    </row>
    <row r="50" spans="1:36" x14ac:dyDescent="0.2">
      <c r="A50">
        <v>78</v>
      </c>
      <c r="B50">
        <v>770</v>
      </c>
      <c r="C50">
        <v>150</v>
      </c>
      <c r="D50">
        <v>0.44402099410439499</v>
      </c>
      <c r="E50">
        <v>3.4188976812563898</v>
      </c>
      <c r="F50">
        <v>2.53991195906073</v>
      </c>
      <c r="G50">
        <v>-56.006128240240059</v>
      </c>
      <c r="H50">
        <v>-48.932125812058736</v>
      </c>
      <c r="I50">
        <v>6.7813856379056796</v>
      </c>
      <c r="J50">
        <v>3.9685269428491599</v>
      </c>
      <c r="K50">
        <v>1.34606936632587</v>
      </c>
      <c r="L50">
        <v>0</v>
      </c>
      <c r="M50">
        <v>1.2381710965453893E-6</v>
      </c>
      <c r="N50">
        <v>0</v>
      </c>
      <c r="O50" s="1">
        <v>1.911462896129E-12</v>
      </c>
      <c r="P50">
        <v>0</v>
      </c>
      <c r="Q50">
        <v>100</v>
      </c>
      <c r="AJ50">
        <v>1</v>
      </c>
    </row>
    <row r="51" spans="1:36" x14ac:dyDescent="0.2">
      <c r="A51">
        <v>79</v>
      </c>
      <c r="B51">
        <v>768</v>
      </c>
      <c r="C51">
        <v>150</v>
      </c>
      <c r="D51">
        <v>0.442818517984921</v>
      </c>
      <c r="E51">
        <v>5.09638124983959</v>
      </c>
      <c r="F51">
        <v>2.53991195906073</v>
      </c>
      <c r="G51">
        <v>-83.465352341350766</v>
      </c>
      <c r="H51">
        <v>-72.952523600196116</v>
      </c>
      <c r="I51">
        <v>10.097323864145</v>
      </c>
      <c r="J51">
        <v>5.91422943151706</v>
      </c>
      <c r="K51">
        <v>2.0065188604900399</v>
      </c>
      <c r="L51">
        <v>0</v>
      </c>
      <c r="M51">
        <v>1.2381710965453893E-6</v>
      </c>
      <c r="N51">
        <v>0</v>
      </c>
      <c r="O51" s="1">
        <v>2.8493229607316101E-12</v>
      </c>
      <c r="P51">
        <v>0</v>
      </c>
      <c r="Q51">
        <v>100</v>
      </c>
      <c r="AJ51">
        <v>1</v>
      </c>
    </row>
    <row r="52" spans="1:36" x14ac:dyDescent="0.2">
      <c r="A52">
        <v>80</v>
      </c>
      <c r="B52">
        <v>766</v>
      </c>
      <c r="C52">
        <v>150</v>
      </c>
      <c r="D52">
        <v>0.44161141317423203</v>
      </c>
      <c r="E52">
        <v>6.9141929965057702</v>
      </c>
      <c r="F52">
        <v>2.53991195906073</v>
      </c>
      <c r="G52">
        <v>-113.20895655744606</v>
      </c>
      <c r="H52">
        <v>-98.989768849780049</v>
      </c>
      <c r="I52">
        <v>13.683479485796999</v>
      </c>
      <c r="J52">
        <v>8.0217717482102202</v>
      </c>
      <c r="K52">
        <v>2.7222175838971401</v>
      </c>
      <c r="L52">
        <v>0</v>
      </c>
      <c r="M52">
        <v>1.2381710965453889E-6</v>
      </c>
      <c r="N52">
        <v>0</v>
      </c>
      <c r="O52" s="1">
        <v>3.8656387530845902E-12</v>
      </c>
      <c r="P52">
        <v>0</v>
      </c>
      <c r="Q52">
        <v>100</v>
      </c>
      <c r="AJ52">
        <v>1</v>
      </c>
    </row>
    <row r="53" spans="1:36" x14ac:dyDescent="0.2">
      <c r="A53">
        <v>81</v>
      </c>
      <c r="B53">
        <v>764</v>
      </c>
      <c r="C53">
        <v>150</v>
      </c>
      <c r="D53">
        <v>0.44039965289495597</v>
      </c>
      <c r="E53">
        <v>9.5216365362741602</v>
      </c>
      <c r="F53">
        <v>2.53991195906073</v>
      </c>
      <c r="G53">
        <v>-155.86404753046321</v>
      </c>
      <c r="H53">
        <v>-136.34235291017231</v>
      </c>
      <c r="I53">
        <v>18.822440939392401</v>
      </c>
      <c r="J53">
        <v>11.044154062056201</v>
      </c>
      <c r="K53">
        <v>3.74880574198929</v>
      </c>
      <c r="L53">
        <v>0</v>
      </c>
      <c r="M53">
        <v>1.2381710965453891E-6</v>
      </c>
      <c r="N53">
        <v>0</v>
      </c>
      <c r="O53" s="1">
        <v>5.3234277964194498E-12</v>
      </c>
      <c r="P53">
        <v>0</v>
      </c>
      <c r="Q53">
        <v>100</v>
      </c>
      <c r="AJ53">
        <v>1</v>
      </c>
    </row>
    <row r="54" spans="1:36" x14ac:dyDescent="0.2">
      <c r="A54">
        <v>82</v>
      </c>
      <c r="B54">
        <v>762</v>
      </c>
      <c r="C54">
        <v>150</v>
      </c>
      <c r="D54">
        <v>0.439183210162781</v>
      </c>
      <c r="E54">
        <v>27.099606703077399</v>
      </c>
      <c r="F54">
        <v>2.53991195906073</v>
      </c>
      <c r="G54">
        <v>-443.49884466933395</v>
      </c>
      <c r="H54">
        <v>-388.10793045457217</v>
      </c>
      <c r="I54">
        <v>53.510036434103</v>
      </c>
      <c r="J54">
        <v>31.425008707172399</v>
      </c>
      <c r="K54">
        <v>10.6695063214312</v>
      </c>
      <c r="L54">
        <v>0</v>
      </c>
      <c r="M54">
        <v>1.2381710965453893E-6</v>
      </c>
      <c r="N54">
        <v>0</v>
      </c>
      <c r="O54" s="1">
        <v>1.5151050877189599E-11</v>
      </c>
      <c r="P54">
        <v>0</v>
      </c>
      <c r="Q54">
        <v>100</v>
      </c>
      <c r="AJ54">
        <v>1</v>
      </c>
    </row>
    <row r="55" spans="1:36" x14ac:dyDescent="0.2">
      <c r="A55">
        <v>83</v>
      </c>
      <c r="B55">
        <v>760</v>
      </c>
      <c r="C55">
        <v>150</v>
      </c>
      <c r="D55">
        <v>0.43796205778444602</v>
      </c>
      <c r="E55">
        <v>30.051576433963</v>
      </c>
      <c r="F55">
        <v>2.53991195906073</v>
      </c>
      <c r="G55">
        <v>-491.6907200418064</v>
      </c>
      <c r="H55">
        <v>-430.45435197344915</v>
      </c>
      <c r="I55">
        <v>59.2715172708292</v>
      </c>
      <c r="J55">
        <v>34.8394061426633</v>
      </c>
      <c r="K55">
        <v>11.831739413942501</v>
      </c>
      <c r="L55">
        <v>0</v>
      </c>
      <c r="M55">
        <v>1.2381710965453891E-6</v>
      </c>
      <c r="N55">
        <v>0</v>
      </c>
      <c r="O55" s="1">
        <v>1.68014602012294E-11</v>
      </c>
      <c r="P55">
        <v>0</v>
      </c>
      <c r="Q55">
        <v>100</v>
      </c>
      <c r="AJ55">
        <v>1</v>
      </c>
    </row>
    <row r="56" spans="1:36" x14ac:dyDescent="0.2">
      <c r="A56">
        <v>96</v>
      </c>
      <c r="B56">
        <v>782</v>
      </c>
      <c r="C56">
        <v>125</v>
      </c>
      <c r="D56">
        <v>0.47720276737904699</v>
      </c>
      <c r="E56">
        <v>1.26248781771226</v>
      </c>
      <c r="F56">
        <v>2.5391258783161499</v>
      </c>
      <c r="G56">
        <v>-20.723822228943977</v>
      </c>
      <c r="H56">
        <v>-18.063874212540892</v>
      </c>
      <c r="I56">
        <v>2.5209193161191101</v>
      </c>
      <c r="J56">
        <v>1.4675814897308701</v>
      </c>
      <c r="K56">
        <v>0.49721356018374901</v>
      </c>
      <c r="L56">
        <v>0</v>
      </c>
      <c r="M56">
        <v>1.2381427916924881E-6</v>
      </c>
      <c r="N56">
        <v>0</v>
      </c>
      <c r="O56" s="1">
        <v>7.0584113517110095E-13</v>
      </c>
      <c r="P56">
        <v>0</v>
      </c>
      <c r="Q56">
        <v>100</v>
      </c>
      <c r="AJ56">
        <v>1</v>
      </c>
    </row>
    <row r="57" spans="1:36" x14ac:dyDescent="0.2">
      <c r="A57">
        <v>97</v>
      </c>
      <c r="B57">
        <v>780</v>
      </c>
      <c r="C57">
        <v>125</v>
      </c>
      <c r="D57">
        <v>0.47607700707401701</v>
      </c>
      <c r="E57">
        <v>2.84591361236855</v>
      </c>
      <c r="F57">
        <v>2.5391258783161499</v>
      </c>
      <c r="G57">
        <v>-46.704503788641226</v>
      </c>
      <c r="H57">
        <v>-40.726395147725341</v>
      </c>
      <c r="I57">
        <v>5.6764075781378498</v>
      </c>
      <c r="J57">
        <v>3.3074449136079802</v>
      </c>
      <c r="K57">
        <v>1.12082415317505</v>
      </c>
      <c r="L57">
        <v>0</v>
      </c>
      <c r="M57">
        <v>1.2381427916924884E-6</v>
      </c>
      <c r="N57">
        <v>0</v>
      </c>
      <c r="O57" s="1">
        <v>1.5911146757781499E-12</v>
      </c>
      <c r="P57">
        <v>0</v>
      </c>
      <c r="Q57">
        <v>100</v>
      </c>
      <c r="AJ57">
        <v>1</v>
      </c>
    </row>
    <row r="58" spans="1:36" x14ac:dyDescent="0.2">
      <c r="A58">
        <v>98</v>
      </c>
      <c r="B58">
        <v>778</v>
      </c>
      <c r="C58">
        <v>125</v>
      </c>
      <c r="D58">
        <v>0.47494696285021398</v>
      </c>
      <c r="E58">
        <v>4.46839226368086</v>
      </c>
      <c r="F58">
        <v>2.5391258783161499</v>
      </c>
      <c r="G58">
        <v>-73.313308510756471</v>
      </c>
      <c r="H58">
        <v>-63.955231311654842</v>
      </c>
      <c r="I58">
        <v>8.9027038948785897</v>
      </c>
      <c r="J58">
        <v>5.1917958686414902</v>
      </c>
      <c r="K58">
        <v>1.7598151796413199</v>
      </c>
      <c r="L58">
        <v>0</v>
      </c>
      <c r="M58">
        <v>1.2381427916924884E-6</v>
      </c>
      <c r="N58">
        <v>0</v>
      </c>
      <c r="O58" s="1">
        <v>2.4982221796813401E-12</v>
      </c>
      <c r="P58">
        <v>0</v>
      </c>
      <c r="Q58">
        <v>100</v>
      </c>
      <c r="AJ58">
        <v>1</v>
      </c>
    </row>
    <row r="59" spans="1:36" x14ac:dyDescent="0.2">
      <c r="A59">
        <v>99</v>
      </c>
      <c r="B59">
        <v>776</v>
      </c>
      <c r="C59">
        <v>125</v>
      </c>
      <c r="D59">
        <v>0.47381261020826598</v>
      </c>
      <c r="E59">
        <v>6.1844749313097598</v>
      </c>
      <c r="F59">
        <v>2.5391258783161499</v>
      </c>
      <c r="G59">
        <v>-101.44459928651965</v>
      </c>
      <c r="H59">
        <v>-88.531559167345492</v>
      </c>
      <c r="I59">
        <v>12.3080971445209</v>
      </c>
      <c r="J59">
        <v>7.1839630759860498</v>
      </c>
      <c r="K59">
        <v>2.4356708677283301</v>
      </c>
      <c r="L59">
        <v>0</v>
      </c>
      <c r="M59">
        <v>1.2381427916924881E-6</v>
      </c>
      <c r="N59">
        <v>0</v>
      </c>
      <c r="O59" s="1">
        <v>3.4576625173802702E-12</v>
      </c>
      <c r="P59">
        <v>0</v>
      </c>
      <c r="Q59">
        <v>100</v>
      </c>
      <c r="AJ59">
        <v>1</v>
      </c>
    </row>
    <row r="60" spans="1:36" x14ac:dyDescent="0.2">
      <c r="A60">
        <v>100</v>
      </c>
      <c r="B60">
        <v>774</v>
      </c>
      <c r="C60">
        <v>125</v>
      </c>
      <c r="D60">
        <v>0.47267392446163797</v>
      </c>
      <c r="E60">
        <v>8.1110858294916994</v>
      </c>
      <c r="F60">
        <v>2.5391258783161499</v>
      </c>
      <c r="G60">
        <v>-133.01473576416029</v>
      </c>
      <c r="H60">
        <v>-116.13008514654223</v>
      </c>
      <c r="I60">
        <v>16.1243858259256</v>
      </c>
      <c r="J60">
        <v>9.4196490566325508</v>
      </c>
      <c r="K60">
        <v>3.19444022006134</v>
      </c>
      <c r="L60">
        <v>0</v>
      </c>
      <c r="M60">
        <v>1.2381427916924884E-6</v>
      </c>
      <c r="N60">
        <v>0</v>
      </c>
      <c r="O60" s="1">
        <v>4.5348065534074697E-12</v>
      </c>
      <c r="P60">
        <v>0</v>
      </c>
      <c r="Q60">
        <v>100</v>
      </c>
      <c r="AJ60">
        <v>1</v>
      </c>
    </row>
    <row r="61" spans="1:36" x14ac:dyDescent="0.2">
      <c r="A61">
        <v>101</v>
      </c>
      <c r="B61">
        <v>772</v>
      </c>
      <c r="C61">
        <v>125</v>
      </c>
      <c r="D61">
        <v>0.47153088073482102</v>
      </c>
      <c r="E61">
        <v>17.350273088067599</v>
      </c>
      <c r="F61">
        <v>2.5391258783161499</v>
      </c>
      <c r="G61">
        <v>-284.4604071607601</v>
      </c>
      <c r="H61">
        <v>-248.45200266689204</v>
      </c>
      <c r="I61">
        <v>34.452857957104698</v>
      </c>
      <c r="J61">
        <v>20.1444786530312</v>
      </c>
      <c r="K61">
        <v>6.8331677591241</v>
      </c>
      <c r="L61">
        <v>0</v>
      </c>
      <c r="M61">
        <v>1.2381427916924881E-6</v>
      </c>
      <c r="N61">
        <v>0</v>
      </c>
      <c r="O61" s="1">
        <v>9.7003204943411204E-12</v>
      </c>
      <c r="P61">
        <v>0</v>
      </c>
      <c r="Q61">
        <v>100</v>
      </c>
      <c r="AJ61">
        <v>1</v>
      </c>
    </row>
    <row r="62" spans="1:36" x14ac:dyDescent="0.2">
      <c r="A62">
        <v>102</v>
      </c>
      <c r="B62">
        <v>770</v>
      </c>
      <c r="C62">
        <v>125</v>
      </c>
      <c r="D62">
        <v>0.47038345396155901</v>
      </c>
      <c r="E62">
        <v>27.5943622218863</v>
      </c>
      <c r="F62">
        <v>2.5391258783161499</v>
      </c>
      <c r="G62">
        <v>-452.304302541818</v>
      </c>
      <c r="H62">
        <v>-395.20912053859274</v>
      </c>
      <c r="I62">
        <v>54.733434312634998</v>
      </c>
      <c r="J62">
        <v>32.030490572637298</v>
      </c>
      <c r="K62">
        <v>10.867662157886301</v>
      </c>
      <c r="L62">
        <v>0</v>
      </c>
      <c r="M62">
        <v>1.2381427916924884E-6</v>
      </c>
      <c r="N62">
        <v>0</v>
      </c>
      <c r="O62" s="1">
        <v>1.5427662494449402E-11</v>
      </c>
      <c r="P62">
        <v>0</v>
      </c>
      <c r="Q62">
        <v>100</v>
      </c>
      <c r="AJ62">
        <v>1</v>
      </c>
    </row>
    <row r="63" spans="1:36" x14ac:dyDescent="0.2">
      <c r="A63">
        <v>103</v>
      </c>
      <c r="B63">
        <v>768</v>
      </c>
      <c r="C63">
        <v>125</v>
      </c>
      <c r="D63">
        <v>0.46923161888296799</v>
      </c>
      <c r="E63">
        <v>30.036872275018801</v>
      </c>
      <c r="F63">
        <v>2.5391258783161499</v>
      </c>
      <c r="G63">
        <v>-492.22084782925918</v>
      </c>
      <c r="H63">
        <v>-430.26070814050479</v>
      </c>
      <c r="I63">
        <v>59.511251682038399</v>
      </c>
      <c r="J63">
        <v>34.857077077039001</v>
      </c>
      <c r="K63">
        <v>11.8296113365352</v>
      </c>
      <c r="L63">
        <v>0</v>
      </c>
      <c r="M63">
        <v>1.2381427916924884E-6</v>
      </c>
      <c r="N63">
        <v>0</v>
      </c>
      <c r="O63" s="1">
        <v>1.67932392900291E-11</v>
      </c>
      <c r="P63">
        <v>0</v>
      </c>
      <c r="Q63">
        <v>100</v>
      </c>
      <c r="AJ63">
        <v>1</v>
      </c>
    </row>
    <row r="64" spans="1:36" x14ac:dyDescent="0.2">
      <c r="A64">
        <v>118</v>
      </c>
      <c r="B64">
        <v>796</v>
      </c>
      <c r="C64">
        <v>100</v>
      </c>
      <c r="D64">
        <v>0.51068652668007097</v>
      </c>
      <c r="E64">
        <v>0.31134651504384397</v>
      </c>
      <c r="F64">
        <v>2.53834005884787</v>
      </c>
      <c r="G64">
        <v>-5.1225770798139143</v>
      </c>
      <c r="H64">
        <v>-4.4527897014927245</v>
      </c>
      <c r="I64">
        <v>0.62646717328830304</v>
      </c>
      <c r="J64">
        <v>0.36252259982014401</v>
      </c>
      <c r="K64">
        <v>0.122657527291737</v>
      </c>
      <c r="L64">
        <v>0</v>
      </c>
      <c r="M64">
        <v>1.2381143945371711E-6</v>
      </c>
      <c r="N64">
        <v>0</v>
      </c>
      <c r="O64" s="1">
        <v>1.74069939152633E-13</v>
      </c>
      <c r="P64">
        <v>0</v>
      </c>
      <c r="Q64">
        <v>100</v>
      </c>
      <c r="AJ64">
        <v>1</v>
      </c>
    </row>
    <row r="65" spans="1:36" x14ac:dyDescent="0.2">
      <c r="A65">
        <v>119</v>
      </c>
      <c r="B65">
        <v>794</v>
      </c>
      <c r="C65">
        <v>100</v>
      </c>
      <c r="D65">
        <v>0.50963828890034402</v>
      </c>
      <c r="E65">
        <v>1.85177281286018</v>
      </c>
      <c r="F65">
        <v>2.53834005884787</v>
      </c>
      <c r="G65">
        <v>-30.459727720265352</v>
      </c>
      <c r="H65">
        <v>-26.487842243979344</v>
      </c>
      <c r="I65">
        <v>3.7219561226500502</v>
      </c>
      <c r="J65">
        <v>2.1556479706338401</v>
      </c>
      <c r="K65">
        <v>0.72952117128887795</v>
      </c>
      <c r="L65">
        <v>0</v>
      </c>
      <c r="M65">
        <v>1.2381143945371709E-6</v>
      </c>
      <c r="N65">
        <v>0</v>
      </c>
      <c r="O65" s="1">
        <v>1.0353029993403901E-12</v>
      </c>
      <c r="P65">
        <v>0</v>
      </c>
      <c r="Q65">
        <v>100</v>
      </c>
      <c r="AJ65">
        <v>1</v>
      </c>
    </row>
    <row r="66" spans="1:36" x14ac:dyDescent="0.2">
      <c r="A66">
        <v>120</v>
      </c>
      <c r="B66">
        <v>792</v>
      </c>
      <c r="C66">
        <v>100</v>
      </c>
      <c r="D66">
        <v>0.50858611463174297</v>
      </c>
      <c r="E66">
        <v>3.4075084612175299</v>
      </c>
      <c r="F66">
        <v>2.53834005884787</v>
      </c>
      <c r="G66">
        <v>-56.036263083944498</v>
      </c>
      <c r="H66">
        <v>-48.74908790259569</v>
      </c>
      <c r="I66">
        <v>6.8414544255257903</v>
      </c>
      <c r="J66">
        <v>3.9657532821655899</v>
      </c>
      <c r="K66">
        <v>1.3424160601886199</v>
      </c>
      <c r="L66">
        <v>0</v>
      </c>
      <c r="M66">
        <v>1.2381143945371709E-6</v>
      </c>
      <c r="N66">
        <v>0</v>
      </c>
      <c r="O66" s="1">
        <v>1.90509532577453E-12</v>
      </c>
      <c r="P66">
        <v>0</v>
      </c>
      <c r="Q66">
        <v>100</v>
      </c>
      <c r="AJ66">
        <v>1</v>
      </c>
    </row>
    <row r="67" spans="1:36" x14ac:dyDescent="0.2">
      <c r="A67">
        <v>121</v>
      </c>
      <c r="B67">
        <v>790</v>
      </c>
      <c r="C67">
        <v>100</v>
      </c>
      <c r="D67">
        <v>0.507529981658283</v>
      </c>
      <c r="E67">
        <v>5.0099301553922597</v>
      </c>
      <c r="F67">
        <v>2.53834005884787</v>
      </c>
      <c r="G67">
        <v>-82.367880908525109</v>
      </c>
      <c r="H67">
        <v>-71.685590791681491</v>
      </c>
      <c r="I67">
        <v>10.0477732369314</v>
      </c>
      <c r="J67">
        <v>5.8293292504342</v>
      </c>
      <c r="K67">
        <v>1.9737033018602801</v>
      </c>
      <c r="L67">
        <v>0</v>
      </c>
      <c r="M67">
        <v>1.2381143945371711E-6</v>
      </c>
      <c r="N67">
        <v>0</v>
      </c>
      <c r="O67" s="1">
        <v>2.80098923601333E-12</v>
      </c>
      <c r="P67">
        <v>0</v>
      </c>
      <c r="Q67">
        <v>100</v>
      </c>
      <c r="AJ67">
        <v>1</v>
      </c>
    </row>
    <row r="68" spans="1:36" x14ac:dyDescent="0.2">
      <c r="A68">
        <v>122</v>
      </c>
      <c r="B68">
        <v>788</v>
      </c>
      <c r="C68">
        <v>100</v>
      </c>
      <c r="D68">
        <v>0.50646986759647905</v>
      </c>
      <c r="E68">
        <v>6.7150298740326404</v>
      </c>
      <c r="F68">
        <v>2.53834005884787</v>
      </c>
      <c r="G68">
        <v>-110.37437554890343</v>
      </c>
      <c r="H68">
        <v>-96.098976991510483</v>
      </c>
      <c r="I68">
        <v>13.452762151809701</v>
      </c>
      <c r="J68">
        <v>7.8114665429354497</v>
      </c>
      <c r="K68">
        <v>2.6454413980609499</v>
      </c>
      <c r="L68">
        <v>0</v>
      </c>
      <c r="M68">
        <v>1.2381143945371711E-6</v>
      </c>
      <c r="N68">
        <v>0</v>
      </c>
      <c r="O68" s="1">
        <v>3.7542891444163702E-12</v>
      </c>
      <c r="P68">
        <v>0</v>
      </c>
      <c r="Q68">
        <v>100</v>
      </c>
      <c r="AJ68">
        <v>1</v>
      </c>
    </row>
    <row r="69" spans="1:36" x14ac:dyDescent="0.2">
      <c r="A69">
        <v>123</v>
      </c>
      <c r="B69">
        <v>786</v>
      </c>
      <c r="C69">
        <v>100</v>
      </c>
      <c r="D69">
        <v>0.50540574989378495</v>
      </c>
      <c r="E69">
        <v>8.6336765201572998</v>
      </c>
      <c r="F69">
        <v>2.53834005884787</v>
      </c>
      <c r="G69">
        <v>-141.87643332381259</v>
      </c>
      <c r="H69">
        <v>-123.57686625947186</v>
      </c>
      <c r="I69">
        <v>17.277597190521298</v>
      </c>
      <c r="J69">
        <v>10.0410160136947</v>
      </c>
      <c r="K69">
        <v>3.4013080674762</v>
      </c>
      <c r="L69">
        <v>0</v>
      </c>
      <c r="M69">
        <v>1.2381143945371711E-6</v>
      </c>
      <c r="N69">
        <v>0</v>
      </c>
      <c r="O69" s="1">
        <v>4.8269804668141499E-12</v>
      </c>
      <c r="P69">
        <v>0</v>
      </c>
      <c r="Q69">
        <v>100</v>
      </c>
      <c r="AJ69">
        <v>1</v>
      </c>
    </row>
    <row r="70" spans="1:36" x14ac:dyDescent="0.2">
      <c r="A70">
        <v>124</v>
      </c>
      <c r="B70">
        <v>784</v>
      </c>
      <c r="C70">
        <v>100</v>
      </c>
      <c r="D70">
        <v>0.50433760582698905</v>
      </c>
      <c r="E70">
        <v>14.122813235596899</v>
      </c>
      <c r="F70">
        <v>2.53834005884787</v>
      </c>
      <c r="G70">
        <v>-232.02243181739092</v>
      </c>
      <c r="H70">
        <v>-202.17766781812105</v>
      </c>
      <c r="I70">
        <v>28.231342760506902</v>
      </c>
      <c r="J70">
        <v>16.421011464362302</v>
      </c>
      <c r="K70">
        <v>5.5637987457075004</v>
      </c>
      <c r="L70">
        <v>0</v>
      </c>
      <c r="M70">
        <v>1.2381143945371711E-6</v>
      </c>
      <c r="N70">
        <v>0</v>
      </c>
      <c r="O70" s="1">
        <v>7.8958880918842494E-12</v>
      </c>
      <c r="P70">
        <v>0</v>
      </c>
      <c r="Q70">
        <v>100</v>
      </c>
      <c r="AJ70">
        <v>1</v>
      </c>
    </row>
    <row r="71" spans="1:36" x14ac:dyDescent="0.2">
      <c r="A71">
        <v>125</v>
      </c>
      <c r="B71">
        <v>782</v>
      </c>
      <c r="C71">
        <v>100</v>
      </c>
      <c r="D71">
        <v>0.50326541250059598</v>
      </c>
      <c r="E71">
        <v>25.3862872420641</v>
      </c>
      <c r="F71">
        <v>2.53834005884787</v>
      </c>
      <c r="G71">
        <v>-416.96759800112602</v>
      </c>
      <c r="H71">
        <v>-363.48097940093174</v>
      </c>
      <c r="I71">
        <v>50.691009430122897</v>
      </c>
      <c r="J71">
        <v>29.510340398338499</v>
      </c>
      <c r="K71">
        <v>10.001137220986299</v>
      </c>
      <c r="L71">
        <v>0</v>
      </c>
      <c r="M71">
        <v>1.2381143945371709E-6</v>
      </c>
      <c r="N71">
        <v>0</v>
      </c>
      <c r="O71" s="1">
        <v>1.4193155413719799E-11</v>
      </c>
      <c r="P71">
        <v>0</v>
      </c>
      <c r="Q71">
        <v>100</v>
      </c>
      <c r="AJ71">
        <v>1</v>
      </c>
    </row>
    <row r="72" spans="1:36" x14ac:dyDescent="0.2">
      <c r="A72">
        <v>126</v>
      </c>
      <c r="B72">
        <v>780</v>
      </c>
      <c r="C72">
        <v>100</v>
      </c>
      <c r="D72">
        <v>0.50218914684517901</v>
      </c>
      <c r="E72">
        <v>29.1034619786506</v>
      </c>
      <c r="F72">
        <v>2.53834005884787</v>
      </c>
      <c r="G72">
        <v>-477.90571264578693</v>
      </c>
      <c r="H72">
        <v>-416.77115930622244</v>
      </c>
      <c r="I72">
        <v>58.049236423647599</v>
      </c>
      <c r="J72">
        <v>33.823267463680601</v>
      </c>
      <c r="K72">
        <v>11.465548864189699</v>
      </c>
      <c r="L72">
        <v>0</v>
      </c>
      <c r="M72">
        <v>1.2381143945371709E-6</v>
      </c>
      <c r="N72">
        <v>0</v>
      </c>
      <c r="O72" s="1">
        <v>1.62713812776779E-11</v>
      </c>
      <c r="P72">
        <v>0</v>
      </c>
      <c r="Q72">
        <v>100</v>
      </c>
      <c r="AJ72">
        <v>1</v>
      </c>
    </row>
    <row r="73" spans="1:36" x14ac:dyDescent="0.2">
      <c r="A73">
        <v>127</v>
      </c>
      <c r="B73">
        <v>778</v>
      </c>
      <c r="C73">
        <v>100</v>
      </c>
      <c r="D73">
        <v>0.501108785615755</v>
      </c>
      <c r="E73">
        <v>30.478579983677101</v>
      </c>
      <c r="F73">
        <v>2.53834005884787</v>
      </c>
      <c r="G73">
        <v>-500.36490299413981</v>
      </c>
      <c r="H73">
        <v>-436.53413622719256</v>
      </c>
      <c r="I73">
        <v>60.7246984416564</v>
      </c>
      <c r="J73">
        <v>35.412863576790002</v>
      </c>
      <c r="K73">
        <v>12.0072879429366</v>
      </c>
      <c r="L73">
        <v>0</v>
      </c>
      <c r="M73">
        <v>1.2381143945371709E-6</v>
      </c>
      <c r="N73">
        <v>0</v>
      </c>
      <c r="O73" s="1">
        <v>1.70401925406816E-11</v>
      </c>
      <c r="P73">
        <v>0</v>
      </c>
      <c r="Q73">
        <v>100</v>
      </c>
      <c r="AJ73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597C1-E356-450A-BFB1-E929E57BC741}">
  <sheetPr codeName="Sheet14"/>
  <dimension ref="A1:AJ128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752</v>
      </c>
      <c r="C2">
        <v>300</v>
      </c>
      <c r="D2">
        <v>0.27207774472028401</v>
      </c>
      <c r="E2">
        <v>3.3614990480083198</v>
      </c>
      <c r="F2">
        <v>0.58274128751843002</v>
      </c>
      <c r="G2">
        <v>-72.548677304978895</v>
      </c>
      <c r="H2">
        <v>-42.884649648309839</v>
      </c>
      <c r="I2">
        <v>28.9381566725298</v>
      </c>
      <c r="J2">
        <v>12.8858268899726</v>
      </c>
      <c r="K2">
        <v>5.7684243763181202</v>
      </c>
      <c r="L2">
        <v>1.1200314181014448E-3</v>
      </c>
      <c r="M2">
        <v>1.6629686818048775E-4</v>
      </c>
      <c r="N2" s="1">
        <v>4.4243575389246502E-6</v>
      </c>
      <c r="O2" s="1">
        <v>6.8946505099913305E-7</v>
      </c>
      <c r="P2" s="1">
        <v>-2.83620552796647E-6</v>
      </c>
      <c r="AE2">
        <v>100</v>
      </c>
      <c r="AJ2">
        <v>1</v>
      </c>
    </row>
    <row r="3" spans="1:36" x14ac:dyDescent="0.2">
      <c r="A3">
        <v>2</v>
      </c>
      <c r="B3">
        <v>750</v>
      </c>
      <c r="C3">
        <v>300</v>
      </c>
      <c r="D3">
        <v>0.270518008112205</v>
      </c>
      <c r="E3">
        <v>3.38103249583079</v>
      </c>
      <c r="F3">
        <v>0.58404869357908595</v>
      </c>
      <c r="G3">
        <v>-72.912065532242309</v>
      </c>
      <c r="H3">
        <v>-43.15978049971455</v>
      </c>
      <c r="I3">
        <v>29.080994836476599</v>
      </c>
      <c r="J3">
        <v>12.9702878110235</v>
      </c>
      <c r="K3">
        <v>5.7889565253739601</v>
      </c>
      <c r="L3">
        <v>1.1209970776875702E-3</v>
      </c>
      <c r="M3">
        <v>1.656850901827756E-4</v>
      </c>
      <c r="N3" s="1">
        <v>4.5065057693860904E-6</v>
      </c>
      <c r="O3" s="1">
        <v>6.8856738876716E-7</v>
      </c>
      <c r="P3" s="1">
        <v>-2.8486782554891098E-6</v>
      </c>
      <c r="AE3">
        <v>100</v>
      </c>
      <c r="AJ3">
        <v>1</v>
      </c>
    </row>
    <row r="4" spans="1:36" x14ac:dyDescent="0.2">
      <c r="A4">
        <v>3</v>
      </c>
      <c r="B4">
        <v>748</v>
      </c>
      <c r="C4">
        <v>300</v>
      </c>
      <c r="D4">
        <v>0.26895216177838999</v>
      </c>
      <c r="E4">
        <v>3.4037111044011099</v>
      </c>
      <c r="F4">
        <v>0.58536015244613604</v>
      </c>
      <c r="G4">
        <v>-73.342603824882715</v>
      </c>
      <c r="H4">
        <v>-43.475403171576261</v>
      </c>
      <c r="I4">
        <v>29.2505003827177</v>
      </c>
      <c r="J4">
        <v>13.0668987708786</v>
      </c>
      <c r="K4">
        <v>5.8147297696597402</v>
      </c>
      <c r="L4">
        <v>1.1219440257605906E-3</v>
      </c>
      <c r="M4">
        <v>1.6507145334001018E-4</v>
      </c>
      <c r="N4" s="1">
        <v>4.5936090317836899E-6</v>
      </c>
      <c r="O4" s="1">
        <v>6.8825031044913901E-7</v>
      </c>
      <c r="P4" s="1">
        <v>-2.86363638614099E-6</v>
      </c>
      <c r="AE4">
        <v>100</v>
      </c>
      <c r="AJ4">
        <v>1</v>
      </c>
    </row>
    <row r="5" spans="1:36" x14ac:dyDescent="0.2">
      <c r="A5">
        <v>4</v>
      </c>
      <c r="B5">
        <v>746</v>
      </c>
      <c r="C5">
        <v>300</v>
      </c>
      <c r="D5">
        <v>0.26738016974930101</v>
      </c>
      <c r="E5">
        <v>3.4260335691078199</v>
      </c>
      <c r="F5">
        <v>0.58667565617094397</v>
      </c>
      <c r="G5">
        <v>-73.764745718960796</v>
      </c>
      <c r="H5">
        <v>-43.786841544157639</v>
      </c>
      <c r="I5">
        <v>29.416538057787299</v>
      </c>
      <c r="J5">
        <v>13.162233242556701</v>
      </c>
      <c r="K5">
        <v>5.8397404648907898</v>
      </c>
      <c r="L5">
        <v>1.1228720644420383E-3</v>
      </c>
      <c r="M5">
        <v>1.644559839353467E-4</v>
      </c>
      <c r="N5" s="1">
        <v>4.6810337317840097E-6</v>
      </c>
      <c r="O5" s="1">
        <v>6.8779759339272805E-7</v>
      </c>
      <c r="P5" s="1">
        <v>-2.87812446590857E-6</v>
      </c>
      <c r="AE5">
        <v>100</v>
      </c>
      <c r="AJ5">
        <v>1</v>
      </c>
    </row>
    <row r="6" spans="1:36" x14ac:dyDescent="0.2">
      <c r="A6">
        <v>5</v>
      </c>
      <c r="B6">
        <v>744</v>
      </c>
      <c r="C6">
        <v>300</v>
      </c>
      <c r="D6">
        <v>0.26580199577250502</v>
      </c>
      <c r="E6">
        <v>3.4480033712942499</v>
      </c>
      <c r="F6">
        <v>0.58799519642945897</v>
      </c>
      <c r="G6">
        <v>-74.178585612740591</v>
      </c>
      <c r="H6">
        <v>-44.094132234820769</v>
      </c>
      <c r="I6">
        <v>29.579144213911899</v>
      </c>
      <c r="J6">
        <v>13.2562998273263</v>
      </c>
      <c r="K6">
        <v>5.8639992167145296</v>
      </c>
      <c r="L6">
        <v>1.1237809971851975E-3</v>
      </c>
      <c r="M6">
        <v>1.6383870871392441E-4</v>
      </c>
      <c r="N6" s="1">
        <v>4.7687591384898296E-6</v>
      </c>
      <c r="O6" s="1">
        <v>6.8721185972625705E-7</v>
      </c>
      <c r="P6" s="1">
        <v>-2.89214421943212E-6</v>
      </c>
      <c r="AE6">
        <v>100</v>
      </c>
      <c r="AJ6">
        <v>1</v>
      </c>
    </row>
    <row r="7" spans="1:36" x14ac:dyDescent="0.2">
      <c r="A7">
        <v>6</v>
      </c>
      <c r="B7">
        <v>742</v>
      </c>
      <c r="C7">
        <v>300</v>
      </c>
      <c r="D7">
        <v>0.264217603309855</v>
      </c>
      <c r="E7">
        <v>3.4696238463976199</v>
      </c>
      <c r="F7">
        <v>0.58931876451991005</v>
      </c>
      <c r="G7">
        <v>-74.584214500997959</v>
      </c>
      <c r="H7">
        <v>-44.397310084970869</v>
      </c>
      <c r="I7">
        <v>29.738353886471199</v>
      </c>
      <c r="J7">
        <v>13.349106597394499</v>
      </c>
      <c r="K7">
        <v>5.8875163244193702</v>
      </c>
      <c r="L7">
        <v>1.1246706288316102E-3</v>
      </c>
      <c r="M7">
        <v>1.6321965487853322E-4</v>
      </c>
      <c r="N7" s="1">
        <v>4.8567642409810299E-6</v>
      </c>
      <c r="O7" s="1">
        <v>6.8649569300073497E-7</v>
      </c>
      <c r="P7" s="1">
        <v>-2.90569732690851E-6</v>
      </c>
      <c r="AE7">
        <v>100</v>
      </c>
      <c r="AJ7">
        <v>1</v>
      </c>
    </row>
    <row r="8" spans="1:36" x14ac:dyDescent="0.2">
      <c r="A8">
        <v>7</v>
      </c>
      <c r="B8">
        <v>740</v>
      </c>
      <c r="C8">
        <v>300</v>
      </c>
      <c r="D8">
        <v>0.26262695553471999</v>
      </c>
      <c r="E8">
        <v>3.8022001021548801</v>
      </c>
      <c r="F8">
        <v>0.59064635136056898</v>
      </c>
      <c r="G8">
        <v>-81.668237907554158</v>
      </c>
      <c r="H8">
        <v>-48.68222408574691</v>
      </c>
      <c r="I8">
        <v>32.560025340953899</v>
      </c>
      <c r="J8">
        <v>14.639236177768799</v>
      </c>
      <c r="K8">
        <v>6.4373547612652002</v>
      </c>
      <c r="L8">
        <v>1.1255407656673808E-3</v>
      </c>
      <c r="M8">
        <v>1.625988500850754E-4</v>
      </c>
      <c r="N8" s="1">
        <v>5.3860021154822403E-6</v>
      </c>
      <c r="O8" s="1">
        <v>7.4679483444521597E-7</v>
      </c>
      <c r="P8" s="1">
        <v>-3.1790690126169898E-6</v>
      </c>
      <c r="AE8">
        <v>100</v>
      </c>
      <c r="AJ8">
        <v>1</v>
      </c>
    </row>
    <row r="9" spans="1:36" x14ac:dyDescent="0.2">
      <c r="A9">
        <v>8</v>
      </c>
      <c r="B9">
        <v>738</v>
      </c>
      <c r="C9">
        <v>300</v>
      </c>
      <c r="D9">
        <v>0.26103001532908299</v>
      </c>
      <c r="E9">
        <v>4.16967985601236</v>
      </c>
      <c r="F9">
        <v>0.59197794748758203</v>
      </c>
      <c r="G9">
        <v>-89.490028977796101</v>
      </c>
      <c r="H9">
        <v>-53.419443855254507</v>
      </c>
      <c r="I9">
        <v>35.675192868914401</v>
      </c>
      <c r="J9">
        <v>16.0656477144585</v>
      </c>
      <c r="K9">
        <v>7.0436405168620304</v>
      </c>
      <c r="L9">
        <v>1.1263912154793017E-3</v>
      </c>
      <c r="M9">
        <v>1.6197632243779075E-4</v>
      </c>
      <c r="N9" s="1">
        <v>5.9764294002156503E-6</v>
      </c>
      <c r="O9" s="1">
        <v>8.1293971133232304E-7</v>
      </c>
      <c r="P9" s="1">
        <v>-3.4805339892573899E-6</v>
      </c>
      <c r="AE9">
        <v>100</v>
      </c>
      <c r="AJ9">
        <v>1</v>
      </c>
    </row>
    <row r="10" spans="1:36" x14ac:dyDescent="0.2">
      <c r="A10">
        <v>9</v>
      </c>
      <c r="B10">
        <v>736</v>
      </c>
      <c r="C10">
        <v>300</v>
      </c>
      <c r="D10">
        <v>0.25942674528068399</v>
      </c>
      <c r="E10">
        <v>4.5693305808331699</v>
      </c>
      <c r="F10">
        <v>0.59331354305285799</v>
      </c>
      <c r="G10">
        <v>-97.989213087735877</v>
      </c>
      <c r="H10">
        <v>-58.57475343515155</v>
      </c>
      <c r="I10">
        <v>39.059678446347597</v>
      </c>
      <c r="J10">
        <v>17.618080659515599</v>
      </c>
      <c r="K10">
        <v>7.7013758312712</v>
      </c>
      <c r="L10">
        <v>1.1272217876108106E-3</v>
      </c>
      <c r="M10">
        <v>1.6135210048428208E-4</v>
      </c>
      <c r="N10" s="1">
        <v>6.6258316316365201E-6</v>
      </c>
      <c r="O10" s="1">
        <v>8.84251492532649E-7</v>
      </c>
      <c r="P10" s="1">
        <v>-3.8076321696860301E-6</v>
      </c>
      <c r="AE10">
        <v>100</v>
      </c>
      <c r="AJ10">
        <v>1</v>
      </c>
    </row>
    <row r="11" spans="1:36" x14ac:dyDescent="0.2">
      <c r="A11">
        <v>10</v>
      </c>
      <c r="B11">
        <v>734</v>
      </c>
      <c r="C11">
        <v>300</v>
      </c>
      <c r="D11">
        <v>0.25781710768008598</v>
      </c>
      <c r="E11">
        <v>9.1320531194785204</v>
      </c>
      <c r="F11">
        <v>0.59465312782199797</v>
      </c>
      <c r="G11">
        <v>-195.68066093410491</v>
      </c>
      <c r="H11">
        <v>-117.13524408187278</v>
      </c>
      <c r="I11">
        <v>77.9929928747449</v>
      </c>
      <c r="J11">
        <v>35.235732543946597</v>
      </c>
      <c r="K11">
        <v>15.3569412018834</v>
      </c>
      <c r="L11">
        <v>1.1280322930175457E-3</v>
      </c>
      <c r="M11">
        <v>1.6072621321029819E-4</v>
      </c>
      <c r="N11" s="1">
        <v>1.33951247072853E-5</v>
      </c>
      <c r="O11" s="1">
        <v>1.7540318557036901E-6</v>
      </c>
      <c r="P11" s="1">
        <v>-7.5964559466996298E-6</v>
      </c>
      <c r="AE11">
        <v>100</v>
      </c>
      <c r="AJ11">
        <v>1</v>
      </c>
    </row>
    <row r="12" spans="1:36" x14ac:dyDescent="0.2">
      <c r="A12">
        <v>11</v>
      </c>
      <c r="B12">
        <v>732</v>
      </c>
      <c r="C12">
        <v>300</v>
      </c>
      <c r="D12">
        <v>0.256201064517732</v>
      </c>
      <c r="E12">
        <v>9.9008558407241907</v>
      </c>
      <c r="F12">
        <v>0.59599669117238396</v>
      </c>
      <c r="G12">
        <v>-211.98544161293029</v>
      </c>
      <c r="H12">
        <v>-127.07297309956635</v>
      </c>
      <c r="I12">
        <v>84.483046700550304</v>
      </c>
      <c r="J12">
        <v>38.2291654184517</v>
      </c>
      <c r="K12">
        <v>16.612266456124502</v>
      </c>
      <c r="L12">
        <v>1.1288225443230099E-3</v>
      </c>
      <c r="M12">
        <v>1.6009869003430548E-4</v>
      </c>
      <c r="N12" s="1">
        <v>1.46887192419985E-5</v>
      </c>
      <c r="O12" s="1">
        <v>1.88740790504778E-6</v>
      </c>
      <c r="P12" s="1">
        <v>-8.2212215802732097E-6</v>
      </c>
      <c r="AE12">
        <v>100</v>
      </c>
      <c r="AJ12">
        <v>1</v>
      </c>
    </row>
    <row r="13" spans="1:36" x14ac:dyDescent="0.2">
      <c r="A13">
        <v>12</v>
      </c>
      <c r="B13">
        <v>752</v>
      </c>
      <c r="C13">
        <v>275</v>
      </c>
      <c r="D13">
        <v>0.29890308735307097</v>
      </c>
      <c r="E13">
        <v>3.81528228566492</v>
      </c>
      <c r="F13">
        <v>0.55726347778082896</v>
      </c>
      <c r="G13">
        <v>-82.50963662154696</v>
      </c>
      <c r="H13">
        <v>-48.642087063740171</v>
      </c>
      <c r="I13">
        <v>33.038806903005202</v>
      </c>
      <c r="J13">
        <v>14.7611707670507</v>
      </c>
      <c r="K13">
        <v>6.8464603150710399</v>
      </c>
      <c r="L13">
        <v>1.2026398183147555E-3</v>
      </c>
      <c r="M13">
        <v>1.9248008190682315E-4</v>
      </c>
      <c r="N13" s="1">
        <v>5.5740472332622999E-6</v>
      </c>
      <c r="O13" s="1">
        <v>1.06968649210234E-6</v>
      </c>
      <c r="P13" s="1">
        <v>-4.0297335577352799E-6</v>
      </c>
      <c r="AE13">
        <v>100</v>
      </c>
      <c r="AJ13">
        <v>1</v>
      </c>
    </row>
    <row r="14" spans="1:36" x14ac:dyDescent="0.2">
      <c r="A14">
        <v>13</v>
      </c>
      <c r="B14">
        <v>750</v>
      </c>
      <c r="C14">
        <v>275</v>
      </c>
      <c r="D14">
        <v>0.29739578751893703</v>
      </c>
      <c r="E14">
        <v>3.8282096702162298</v>
      </c>
      <c r="F14">
        <v>0.55860616772383997</v>
      </c>
      <c r="G14">
        <v>-82.722932815242117</v>
      </c>
      <c r="H14">
        <v>-48.836536689712311</v>
      </c>
      <c r="I14">
        <v>33.121816803188302</v>
      </c>
      <c r="J14">
        <v>14.823638213561001</v>
      </c>
      <c r="K14">
        <v>6.8531460828925104</v>
      </c>
      <c r="L14">
        <v>1.2038931123682386E-3</v>
      </c>
      <c r="M14">
        <v>1.917644715853801E-4</v>
      </c>
      <c r="N14" s="1">
        <v>5.6763231506000802E-6</v>
      </c>
      <c r="O14" s="1">
        <v>1.0657211190265499E-6</v>
      </c>
      <c r="P14" s="1">
        <v>-4.0390344246363404E-6</v>
      </c>
      <c r="AE14">
        <v>100</v>
      </c>
      <c r="AJ14">
        <v>1</v>
      </c>
    </row>
    <row r="15" spans="1:36" x14ac:dyDescent="0.2">
      <c r="A15">
        <v>14</v>
      </c>
      <c r="B15">
        <v>748</v>
      </c>
      <c r="C15">
        <v>275</v>
      </c>
      <c r="D15">
        <v>0.29588258336189799</v>
      </c>
      <c r="E15">
        <v>3.850237304103</v>
      </c>
      <c r="F15">
        <v>0.55995348386390498</v>
      </c>
      <c r="G15">
        <v>-83.132327434157204</v>
      </c>
      <c r="H15">
        <v>-49.147373948973261</v>
      </c>
      <c r="I15">
        <v>33.283216792245</v>
      </c>
      <c r="J15">
        <v>14.921413016691</v>
      </c>
      <c r="K15">
        <v>6.8759949086034897</v>
      </c>
      <c r="L15">
        <v>1.2051240414215601E-3</v>
      </c>
      <c r="M15">
        <v>1.9104607090488274E-4</v>
      </c>
      <c r="N15" s="1">
        <v>5.7930016582550197E-6</v>
      </c>
      <c r="O15" s="1">
        <v>1.06421487200104E-6</v>
      </c>
      <c r="P15" s="1">
        <v>-4.05770827848428E-6</v>
      </c>
      <c r="AE15">
        <v>100</v>
      </c>
      <c r="AJ15">
        <v>1</v>
      </c>
    </row>
    <row r="16" spans="1:36" x14ac:dyDescent="0.2">
      <c r="A16">
        <v>15</v>
      </c>
      <c r="B16">
        <v>746</v>
      </c>
      <c r="C16">
        <v>275</v>
      </c>
      <c r="D16">
        <v>0.29436344012167098</v>
      </c>
      <c r="E16">
        <v>4.0654369279540798</v>
      </c>
      <c r="F16">
        <v>0.56130541879990004</v>
      </c>
      <c r="G16">
        <v>-87.708550011305221</v>
      </c>
      <c r="H16">
        <v>-51.925870505717711</v>
      </c>
      <c r="I16">
        <v>35.112599713726198</v>
      </c>
      <c r="J16">
        <v>15.7685371256573</v>
      </c>
      <c r="K16">
        <v>7.24282501431429</v>
      </c>
      <c r="L16">
        <v>1.2063323309982944E-3</v>
      </c>
      <c r="M16">
        <v>1.9032491264064461E-4</v>
      </c>
      <c r="N16" s="1">
        <v>6.2056400521577603E-6</v>
      </c>
      <c r="O16" s="1">
        <v>1.11562657243082E-6</v>
      </c>
      <c r="P16" s="1">
        <v>-4.27948154959324E-6</v>
      </c>
      <c r="AE16">
        <v>100</v>
      </c>
      <c r="AJ16">
        <v>1</v>
      </c>
    </row>
    <row r="17" spans="1:36" x14ac:dyDescent="0.2">
      <c r="A17">
        <v>16</v>
      </c>
      <c r="B17">
        <v>744</v>
      </c>
      <c r="C17">
        <v>275</v>
      </c>
      <c r="D17">
        <v>0.29283832276459099</v>
      </c>
      <c r="E17">
        <v>4.3981231394562199</v>
      </c>
      <c r="F17">
        <v>0.56266196465644502</v>
      </c>
      <c r="G17">
        <v>-94.810050509565471</v>
      </c>
      <c r="H17">
        <v>-56.209243471063608</v>
      </c>
      <c r="I17">
        <v>37.952439575911001</v>
      </c>
      <c r="J17">
        <v>17.073069369847399</v>
      </c>
      <c r="K17">
        <v>7.8166348815521403</v>
      </c>
      <c r="L17">
        <v>1.207517708517558E-3</v>
      </c>
      <c r="M17">
        <v>1.8960103036114447E-4</v>
      </c>
      <c r="N17" s="1">
        <v>6.8097229785578097E-6</v>
      </c>
      <c r="O17" s="1">
        <v>1.19818673497579E-6</v>
      </c>
      <c r="P17" s="1">
        <v>-4.6240323857447598E-6</v>
      </c>
      <c r="AE17">
        <v>100</v>
      </c>
      <c r="AJ17">
        <v>1</v>
      </c>
    </row>
    <row r="18" spans="1:36" x14ac:dyDescent="0.2">
      <c r="A18">
        <v>17</v>
      </c>
      <c r="B18">
        <v>742</v>
      </c>
      <c r="C18">
        <v>275</v>
      </c>
      <c r="D18">
        <v>0.291307195980888</v>
      </c>
      <c r="E18">
        <v>4.7483867282845997</v>
      </c>
      <c r="F18">
        <v>0.56402311308061603</v>
      </c>
      <c r="G18">
        <v>-102.27874598259933</v>
      </c>
      <c r="H18">
        <v>-60.722590811872792</v>
      </c>
      <c r="I18">
        <v>40.938651912719102</v>
      </c>
      <c r="J18">
        <v>18.447971775374</v>
      </c>
      <c r="K18">
        <v>8.4187803977563505</v>
      </c>
      <c r="L18">
        <v>1.2086799033924221E-3</v>
      </c>
      <c r="M18">
        <v>1.8887445842331586E-4</v>
      </c>
      <c r="N18" s="1">
        <v>7.4560943010525E-6</v>
      </c>
      <c r="O18" s="1">
        <v>1.28417523605259E-6</v>
      </c>
      <c r="P18" s="1">
        <v>-4.98594962776211E-6</v>
      </c>
      <c r="AE18">
        <v>100</v>
      </c>
      <c r="AJ18">
        <v>1</v>
      </c>
    </row>
    <row r="19" spans="1:36" x14ac:dyDescent="0.2">
      <c r="A19">
        <v>18</v>
      </c>
      <c r="B19">
        <v>740</v>
      </c>
      <c r="C19">
        <v>275</v>
      </c>
      <c r="D19">
        <v>0.28977002418201098</v>
      </c>
      <c r="E19">
        <v>5.1293321787227999</v>
      </c>
      <c r="F19">
        <v>0.56538885523881099</v>
      </c>
      <c r="G19">
        <v>-110.39578359469255</v>
      </c>
      <c r="H19">
        <v>-65.634011336101182</v>
      </c>
      <c r="I19">
        <v>44.183692027282298</v>
      </c>
      <c r="J19">
        <v>19.944352004395402</v>
      </c>
      <c r="K19">
        <v>9.0722201741246806</v>
      </c>
      <c r="L19">
        <v>1.2098186471282174E-3</v>
      </c>
      <c r="M19">
        <v>1.8814523196739467E-4</v>
      </c>
      <c r="N19" s="1">
        <v>8.16678133446765E-6</v>
      </c>
      <c r="O19" s="1">
        <v>1.3770052231711601E-6</v>
      </c>
      <c r="P19" s="1">
        <v>-5.3788514213982801E-6</v>
      </c>
      <c r="AE19">
        <v>100</v>
      </c>
      <c r="AJ19">
        <v>1</v>
      </c>
    </row>
    <row r="20" spans="1:36" x14ac:dyDescent="0.2">
      <c r="A20">
        <v>19</v>
      </c>
      <c r="B20">
        <v>738</v>
      </c>
      <c r="C20">
        <v>275</v>
      </c>
      <c r="D20">
        <v>0.28822677149780002</v>
      </c>
      <c r="E20">
        <v>9.1924261189004195</v>
      </c>
      <c r="F20">
        <v>0.56675918181370799</v>
      </c>
      <c r="G20">
        <v>-197.68521530760478</v>
      </c>
      <c r="H20">
        <v>-117.69614502533611</v>
      </c>
      <c r="I20">
        <v>79.1122293952169</v>
      </c>
      <c r="J20">
        <v>35.772065344518602</v>
      </c>
      <c r="K20">
        <v>16.2192804525607</v>
      </c>
      <c r="L20">
        <v>1.21093367342011E-3</v>
      </c>
      <c r="M20">
        <v>1.8741338691124579E-4</v>
      </c>
      <c r="N20" s="1">
        <v>1.48377331251799E-5</v>
      </c>
      <c r="O20" s="1">
        <v>2.44949647379673E-6</v>
      </c>
      <c r="P20" s="1">
        <v>-9.6264069380510297E-6</v>
      </c>
      <c r="AE20">
        <v>100</v>
      </c>
      <c r="AJ20">
        <v>1</v>
      </c>
    </row>
    <row r="21" spans="1:36" x14ac:dyDescent="0.2">
      <c r="A21">
        <v>20</v>
      </c>
      <c r="B21">
        <v>736</v>
      </c>
      <c r="C21">
        <v>275</v>
      </c>
      <c r="D21">
        <v>0.28667740177377199</v>
      </c>
      <c r="E21">
        <v>10.226702807235799</v>
      </c>
      <c r="F21">
        <v>0.56813408300133506</v>
      </c>
      <c r="G21">
        <v>-219.7516226898552</v>
      </c>
      <c r="H21">
        <v>-131.01823602851198</v>
      </c>
      <c r="I21">
        <v>87.934637079404396</v>
      </c>
      <c r="J21">
        <v>39.8292771114521</v>
      </c>
      <c r="K21">
        <v>18.000509234035501</v>
      </c>
      <c r="L21">
        <v>1.2120247182506815E-3</v>
      </c>
      <c r="M21">
        <v>1.8667895994427743E-4</v>
      </c>
      <c r="N21" s="1">
        <v>1.67318436948035E-5</v>
      </c>
      <c r="O21" s="1">
        <v>2.7047644883353698E-6</v>
      </c>
      <c r="P21" s="1">
        <v>-1.0694323300271601E-5</v>
      </c>
      <c r="AE21">
        <v>100</v>
      </c>
      <c r="AJ21">
        <v>1</v>
      </c>
    </row>
    <row r="22" spans="1:36" x14ac:dyDescent="0.2">
      <c r="A22">
        <v>21</v>
      </c>
      <c r="B22">
        <v>754</v>
      </c>
      <c r="C22">
        <v>250</v>
      </c>
      <c r="D22">
        <v>0.32717762741566497</v>
      </c>
      <c r="E22">
        <v>4.2509880663721002</v>
      </c>
      <c r="F22">
        <v>0.52753998630330401</v>
      </c>
      <c r="G22">
        <v>-92.202029086360852</v>
      </c>
      <c r="H22">
        <v>-54.10871797844716</v>
      </c>
      <c r="I22">
        <v>37.088783317262099</v>
      </c>
      <c r="J22">
        <v>16.5967155227743</v>
      </c>
      <c r="K22">
        <v>8.0581343153920493</v>
      </c>
      <c r="L22">
        <v>1.2977077046387243E-3</v>
      </c>
      <c r="M22">
        <v>2.2771925480444125E-4</v>
      </c>
      <c r="N22" s="1">
        <v>6.5941921450932E-6</v>
      </c>
      <c r="O22" s="1">
        <v>1.69925861111013E-6</v>
      </c>
      <c r="P22" s="1">
        <v>-5.7385913628521103E-6</v>
      </c>
      <c r="AE22">
        <v>100</v>
      </c>
      <c r="AJ22">
        <v>1</v>
      </c>
    </row>
    <row r="23" spans="1:36" x14ac:dyDescent="0.2">
      <c r="A23">
        <v>22</v>
      </c>
      <c r="B23">
        <v>752</v>
      </c>
      <c r="C23">
        <v>250</v>
      </c>
      <c r="D23">
        <v>0.32572842998585799</v>
      </c>
      <c r="E23">
        <v>4.3454345006573796</v>
      </c>
      <c r="F23">
        <v>0.52891186124509804</v>
      </c>
      <c r="G23">
        <v>-94.174737444389208</v>
      </c>
      <c r="H23">
        <v>-55.344827358914578</v>
      </c>
      <c r="I23">
        <v>37.879721806502602</v>
      </c>
      <c r="J23">
        <v>16.982115921706601</v>
      </c>
      <c r="K23">
        <v>8.2158008149560207</v>
      </c>
      <c r="L23">
        <v>1.2994261217443425E-3</v>
      </c>
      <c r="M23">
        <v>2.2688379187760327E-4</v>
      </c>
      <c r="N23" s="1">
        <v>6.8671225268157999E-6</v>
      </c>
      <c r="O23" s="1">
        <v>1.7250500657523701E-6</v>
      </c>
      <c r="P23" s="1">
        <v>-5.8631481888774301E-6</v>
      </c>
      <c r="AE23">
        <v>100</v>
      </c>
      <c r="AJ23">
        <v>1</v>
      </c>
    </row>
    <row r="24" spans="1:36" x14ac:dyDescent="0.2">
      <c r="A24">
        <v>23</v>
      </c>
      <c r="B24">
        <v>750</v>
      </c>
      <c r="C24">
        <v>250</v>
      </c>
      <c r="D24">
        <v>0.324273566925672</v>
      </c>
      <c r="E24">
        <v>4.6502511106373099</v>
      </c>
      <c r="F24">
        <v>0.53028911236263798</v>
      </c>
      <c r="G24">
        <v>-100.699718545929</v>
      </c>
      <c r="H24">
        <v>-59.263432539657316</v>
      </c>
      <c r="I24">
        <v>40.501341118619202</v>
      </c>
      <c r="J24">
        <v>18.191126082338702</v>
      </c>
      <c r="K24">
        <v>8.7692751033840501</v>
      </c>
      <c r="L24">
        <v>1.3011182271658577E-3</v>
      </c>
      <c r="M24">
        <v>2.2604396967675723E-4</v>
      </c>
      <c r="N24" s="1">
        <v>7.4845963611383198E-6</v>
      </c>
      <c r="O24" s="1">
        <v>1.8332294106621401E-6</v>
      </c>
      <c r="P24" s="1">
        <v>-6.2709519424426604E-6</v>
      </c>
      <c r="AE24">
        <v>100</v>
      </c>
      <c r="AJ24">
        <v>1</v>
      </c>
    </row>
    <row r="25" spans="1:36" x14ac:dyDescent="0.2">
      <c r="A25">
        <v>24</v>
      </c>
      <c r="B25">
        <v>748</v>
      </c>
      <c r="C25">
        <v>250</v>
      </c>
      <c r="D25">
        <v>0.32281300494540499</v>
      </c>
      <c r="E25">
        <v>4.9654616181245803</v>
      </c>
      <c r="F25">
        <v>0.53167173486526598</v>
      </c>
      <c r="G25">
        <v>-107.43904716952117</v>
      </c>
      <c r="H25">
        <v>-63.319385411965797</v>
      </c>
      <c r="I25">
        <v>43.208640551934103</v>
      </c>
      <c r="J25">
        <v>19.4431039123766</v>
      </c>
      <c r="K25">
        <v>9.3393372122422598</v>
      </c>
      <c r="L25">
        <v>1.3027836107818852E-3</v>
      </c>
      <c r="M25">
        <v>2.2519982400264781E-4</v>
      </c>
      <c r="N25" s="1">
        <v>8.1373820779034601E-6</v>
      </c>
      <c r="O25" s="1">
        <v>1.9437695491484399E-6</v>
      </c>
      <c r="P25" s="1">
        <v>-6.6919545506087797E-6</v>
      </c>
      <c r="AE25">
        <v>100</v>
      </c>
      <c r="AJ25">
        <v>1</v>
      </c>
    </row>
    <row r="26" spans="1:36" x14ac:dyDescent="0.2">
      <c r="A26">
        <v>25</v>
      </c>
      <c r="B26">
        <v>746</v>
      </c>
      <c r="C26">
        <v>250</v>
      </c>
      <c r="D26">
        <v>0.32134671049404001</v>
      </c>
      <c r="E26">
        <v>5.2970636071306503</v>
      </c>
      <c r="F26">
        <v>0.53305972334802598</v>
      </c>
      <c r="G26">
        <v>-114.52186212649397</v>
      </c>
      <c r="H26">
        <v>-67.589465098967537</v>
      </c>
      <c r="I26">
        <v>46.053503736053898</v>
      </c>
      <c r="J26">
        <v>20.7616609646497</v>
      </c>
      <c r="K26">
        <v>9.9370921777038497</v>
      </c>
      <c r="L26">
        <v>1.3044218645294641E-3</v>
      </c>
      <c r="M26">
        <v>2.2435139205577133E-4</v>
      </c>
      <c r="N26" s="1">
        <v>8.8364571526337598E-6</v>
      </c>
      <c r="O26" s="1">
        <v>2.0589115737740702E-6</v>
      </c>
      <c r="P26" s="1">
        <v>-7.1341368615334603E-6</v>
      </c>
      <c r="AE26">
        <v>100</v>
      </c>
      <c r="AJ26">
        <v>1</v>
      </c>
    </row>
    <row r="27" spans="1:36" x14ac:dyDescent="0.2">
      <c r="A27">
        <v>26</v>
      </c>
      <c r="B27">
        <v>744</v>
      </c>
      <c r="C27">
        <v>250</v>
      </c>
      <c r="D27">
        <v>0.31987464975667701</v>
      </c>
      <c r="E27">
        <v>5.6588989609533398</v>
      </c>
      <c r="F27">
        <v>0.53445307178602697</v>
      </c>
      <c r="G27">
        <v>-122.24634272086477</v>
      </c>
      <c r="H27">
        <v>-72.250792509196629</v>
      </c>
      <c r="I27">
        <v>49.155767174113699</v>
      </c>
      <c r="J27">
        <v>22.201273209388901</v>
      </c>
      <c r="K27">
        <v>10.588205512679499</v>
      </c>
      <c r="L27">
        <v>1.3060325825887276E-3</v>
      </c>
      <c r="M27">
        <v>2.2349871243725612E-4</v>
      </c>
      <c r="N27" s="1">
        <v>9.6068200755891294E-6</v>
      </c>
      <c r="O27" s="1">
        <v>2.18385725433011E-6</v>
      </c>
      <c r="P27" s="1">
        <v>-7.6160085460342497E-6</v>
      </c>
      <c r="AE27">
        <v>100</v>
      </c>
      <c r="AJ27">
        <v>1</v>
      </c>
    </row>
    <row r="28" spans="1:36" x14ac:dyDescent="0.2">
      <c r="A28">
        <v>27</v>
      </c>
      <c r="B28">
        <v>742</v>
      </c>
      <c r="C28">
        <v>250</v>
      </c>
      <c r="D28">
        <v>0.318396788651924</v>
      </c>
      <c r="E28">
        <v>9.3070842358758004</v>
      </c>
      <c r="F28">
        <v>0.53585177352894597</v>
      </c>
      <c r="G28">
        <v>-200.89463162902314</v>
      </c>
      <c r="H28">
        <v>-118.90257690282134</v>
      </c>
      <c r="I28">
        <v>80.773659864376697</v>
      </c>
      <c r="J28">
        <v>36.549097984076802</v>
      </c>
      <c r="K28">
        <v>17.3687663186824</v>
      </c>
      <c r="L28">
        <v>1.3076153615686312E-3</v>
      </c>
      <c r="M28">
        <v>2.2264182514884905E-4</v>
      </c>
      <c r="N28" s="1">
        <v>1.6075142745375302E-5</v>
      </c>
      <c r="O28" s="1">
        <v>3.5658905308668499E-6</v>
      </c>
      <c r="P28" s="1">
        <v>-1.2516255901838301E-5</v>
      </c>
      <c r="AE28">
        <v>100</v>
      </c>
      <c r="AJ28">
        <v>1</v>
      </c>
    </row>
    <row r="29" spans="1:36" x14ac:dyDescent="0.2">
      <c r="A29">
        <v>28</v>
      </c>
      <c r="B29">
        <v>740</v>
      </c>
      <c r="C29">
        <v>250</v>
      </c>
      <c r="D29">
        <v>0.31691309282929903</v>
      </c>
      <c r="E29">
        <v>10.2647324013928</v>
      </c>
      <c r="F29">
        <v>0.53725582129572502</v>
      </c>
      <c r="G29">
        <v>-221.38750248505698</v>
      </c>
      <c r="H29">
        <v>-131.21766121126493</v>
      </c>
      <c r="I29">
        <v>89.005295744952704</v>
      </c>
      <c r="J29">
        <v>40.348344131049799</v>
      </c>
      <c r="K29">
        <v>19.1058560829307</v>
      </c>
      <c r="L29">
        <v>1.3091698006928354E-3</v>
      </c>
      <c r="M29">
        <v>2.2178077159190827E-4</v>
      </c>
      <c r="N29" s="1">
        <v>1.8033204020828699E-5</v>
      </c>
      <c r="O29" s="1">
        <v>3.90423650223565E-6</v>
      </c>
      <c r="P29" s="1">
        <v>-1.3792707784554899E-5</v>
      </c>
      <c r="AE29">
        <v>100</v>
      </c>
      <c r="AJ29">
        <v>1</v>
      </c>
    </row>
    <row r="30" spans="1:36" x14ac:dyDescent="0.2">
      <c r="A30">
        <v>29</v>
      </c>
      <c r="B30">
        <v>762</v>
      </c>
      <c r="C30">
        <v>225</v>
      </c>
      <c r="D30">
        <v>0.35948461575617302</v>
      </c>
      <c r="E30">
        <v>4.6736212725422899</v>
      </c>
      <c r="F30">
        <v>0.49006487950535499</v>
      </c>
      <c r="G30">
        <v>-101.9263292301347</v>
      </c>
      <c r="H30">
        <v>-59.25204509466279</v>
      </c>
      <c r="I30">
        <v>41.227801447671602</v>
      </c>
      <c r="J30">
        <v>18.348420100157</v>
      </c>
      <c r="K30">
        <v>9.5367398644432306</v>
      </c>
      <c r="L30">
        <v>1.4003952185746168E-3</v>
      </c>
      <c r="M30">
        <v>2.7806099651990978E-4</v>
      </c>
      <c r="N30" s="1">
        <v>6.5981466091478898E-6</v>
      </c>
      <c r="O30" s="1">
        <v>2.8264646360049801E-6</v>
      </c>
      <c r="P30" s="1">
        <v>-8.2071578873165593E-6</v>
      </c>
      <c r="AE30">
        <v>100</v>
      </c>
      <c r="AJ30">
        <v>1</v>
      </c>
    </row>
    <row r="31" spans="1:36" x14ac:dyDescent="0.2">
      <c r="A31">
        <v>30</v>
      </c>
      <c r="B31">
        <v>760</v>
      </c>
      <c r="C31">
        <v>225</v>
      </c>
      <c r="D31">
        <v>0.35810918066108399</v>
      </c>
      <c r="E31">
        <v>4.7466877517004296</v>
      </c>
      <c r="F31">
        <v>0.49144061549942197</v>
      </c>
      <c r="G31">
        <v>-103.43611683323736</v>
      </c>
      <c r="H31">
        <v>-60.215672657812945</v>
      </c>
      <c r="I31">
        <v>41.836287588090698</v>
      </c>
      <c r="J31">
        <v>18.657418963138301</v>
      </c>
      <c r="K31">
        <v>9.6587209156016591</v>
      </c>
      <c r="L31">
        <v>1.4029199985897737E-3</v>
      </c>
      <c r="M31">
        <v>2.7711513706788106E-4</v>
      </c>
      <c r="N31" s="1">
        <v>6.8837574681144498E-6</v>
      </c>
      <c r="O31" s="1">
        <v>2.8525645977545101E-6</v>
      </c>
      <c r="P31" s="1">
        <v>-8.3397312513406207E-6</v>
      </c>
      <c r="AE31">
        <v>100</v>
      </c>
      <c r="AJ31">
        <v>1</v>
      </c>
    </row>
    <row r="32" spans="1:36" x14ac:dyDescent="0.2">
      <c r="A32">
        <v>31</v>
      </c>
      <c r="B32">
        <v>758</v>
      </c>
      <c r="C32">
        <v>225</v>
      </c>
      <c r="D32">
        <v>0.356728410027642</v>
      </c>
      <c r="E32">
        <v>4.8249626271820301</v>
      </c>
      <c r="F32">
        <v>0.49282268840091997</v>
      </c>
      <c r="G32">
        <v>-105.05680624171718</v>
      </c>
      <c r="H32">
        <v>-61.246607052440091</v>
      </c>
      <c r="I32">
        <v>42.4894150503603</v>
      </c>
      <c r="J32">
        <v>18.987556678463498</v>
      </c>
      <c r="K32">
        <v>9.7904636713008504</v>
      </c>
      <c r="L32">
        <v>1.4054169480793061E-3</v>
      </c>
      <c r="M32">
        <v>2.7616232173905726E-4</v>
      </c>
      <c r="N32" s="1">
        <v>7.1841119360375698E-6</v>
      </c>
      <c r="O32" s="1">
        <v>2.8811437252748202E-6</v>
      </c>
      <c r="P32" s="1">
        <v>-8.4811534620389705E-6</v>
      </c>
      <c r="AE32">
        <v>100</v>
      </c>
      <c r="AJ32">
        <v>1</v>
      </c>
    </row>
    <row r="33" spans="1:36" x14ac:dyDescent="0.2">
      <c r="A33">
        <v>32</v>
      </c>
      <c r="B33">
        <v>756</v>
      </c>
      <c r="C33">
        <v>225</v>
      </c>
      <c r="D33">
        <v>0.35534227274935698</v>
      </c>
      <c r="E33">
        <v>4.9524474845058899</v>
      </c>
      <c r="F33">
        <v>0.49421110210605401</v>
      </c>
      <c r="G33">
        <v>-107.74542423566336</v>
      </c>
      <c r="H33">
        <v>-62.903862545486</v>
      </c>
      <c r="I33">
        <v>43.574207632262599</v>
      </c>
      <c r="J33">
        <v>19.5122634427313</v>
      </c>
      <c r="K33">
        <v>10.020915077385499</v>
      </c>
      <c r="L33">
        <v>1.4078854248212129E-3</v>
      </c>
      <c r="M33">
        <v>2.7520256945572118E-4</v>
      </c>
      <c r="N33" s="1">
        <v>7.5670766426144001E-6</v>
      </c>
      <c r="O33" s="1">
        <v>2.9382452865211601E-6</v>
      </c>
      <c r="P33" s="1">
        <v>-8.7087827411897408E-6</v>
      </c>
      <c r="AE33">
        <v>100</v>
      </c>
      <c r="AJ33">
        <v>1</v>
      </c>
    </row>
    <row r="34" spans="1:36" x14ac:dyDescent="0.2">
      <c r="A34">
        <v>33</v>
      </c>
      <c r="B34">
        <v>754</v>
      </c>
      <c r="C34">
        <v>225</v>
      </c>
      <c r="D34">
        <v>0.35395073747748601</v>
      </c>
      <c r="E34">
        <v>5.23959916756752</v>
      </c>
      <c r="F34">
        <v>0.49560585974538901</v>
      </c>
      <c r="G34">
        <v>-113.90053362975273</v>
      </c>
      <c r="H34">
        <v>-66.592451539042401</v>
      </c>
      <c r="I34">
        <v>46.060536933361398</v>
      </c>
      <c r="J34">
        <v>20.667922158954099</v>
      </c>
      <c r="K34">
        <v>10.572108994553201</v>
      </c>
      <c r="L34">
        <v>1.4103247859760767E-3</v>
      </c>
      <c r="M34">
        <v>2.7423590143348011E-4</v>
      </c>
      <c r="N34" s="1">
        <v>8.2115844220335297E-6</v>
      </c>
      <c r="O34" s="1">
        <v>3.0884045319315101E-6</v>
      </c>
      <c r="P34" s="1">
        <v>-9.2169846186283001E-6</v>
      </c>
      <c r="AE34">
        <v>100</v>
      </c>
      <c r="AJ34">
        <v>1</v>
      </c>
    </row>
    <row r="35" spans="1:36" x14ac:dyDescent="0.2">
      <c r="A35">
        <v>34</v>
      </c>
      <c r="B35">
        <v>752</v>
      </c>
      <c r="C35">
        <v>225</v>
      </c>
      <c r="D35">
        <v>0.35255377261864101</v>
      </c>
      <c r="E35">
        <v>5.5365230601564601</v>
      </c>
      <c r="F35">
        <v>0.49700696367191499</v>
      </c>
      <c r="G35">
        <v>-120.25788680465837</v>
      </c>
      <c r="H35">
        <v>-70.409896433255327</v>
      </c>
      <c r="I35">
        <v>48.628160473959397</v>
      </c>
      <c r="J35">
        <v>21.864779902348701</v>
      </c>
      <c r="K35">
        <v>11.1397293495695</v>
      </c>
      <c r="L35">
        <v>1.4127343884097433E-3</v>
      </c>
      <c r="M35">
        <v>2.7326234121145604E-4</v>
      </c>
      <c r="N35" s="1">
        <v>8.8957880391562792E-6</v>
      </c>
      <c r="O35" s="1">
        <v>3.2419896247695101E-6</v>
      </c>
      <c r="P35" s="1">
        <v>-9.7422063108240605E-6</v>
      </c>
      <c r="AE35">
        <v>100</v>
      </c>
      <c r="AJ35">
        <v>1</v>
      </c>
    </row>
    <row r="36" spans="1:36" x14ac:dyDescent="0.2">
      <c r="A36">
        <v>35</v>
      </c>
      <c r="B36">
        <v>750</v>
      </c>
      <c r="C36">
        <v>225</v>
      </c>
      <c r="D36">
        <v>0.35115134633240402</v>
      </c>
      <c r="E36">
        <v>5.8499663215830697</v>
      </c>
      <c r="F36">
        <v>0.49841441544936699</v>
      </c>
      <c r="G36">
        <v>-126.96341795610172</v>
      </c>
      <c r="H36">
        <v>-74.442296078670978</v>
      </c>
      <c r="I36">
        <v>51.336040255474799</v>
      </c>
      <c r="J36">
        <v>23.1296358165166</v>
      </c>
      <c r="K36">
        <v>11.737153140542199</v>
      </c>
      <c r="L36">
        <v>1.4151135890225653E-3</v>
      </c>
      <c r="M36">
        <v>2.7228191468116434E-4</v>
      </c>
      <c r="N36" s="1">
        <v>9.6321389065184392E-6</v>
      </c>
      <c r="O36" s="1">
        <v>3.4027998468609699E-6</v>
      </c>
      <c r="P36" s="1">
        <v>-1.02962423294206E-5</v>
      </c>
      <c r="AE36">
        <v>100</v>
      </c>
      <c r="AJ36">
        <v>1</v>
      </c>
    </row>
    <row r="37" spans="1:36" x14ac:dyDescent="0.2">
      <c r="A37">
        <v>36</v>
      </c>
      <c r="B37">
        <v>748</v>
      </c>
      <c r="C37">
        <v>225</v>
      </c>
      <c r="D37">
        <v>0.34974342652891699</v>
      </c>
      <c r="E37">
        <v>6.19648816425617</v>
      </c>
      <c r="F37">
        <v>0.49982821584070197</v>
      </c>
      <c r="G37">
        <v>-134.37537031240498</v>
      </c>
      <c r="H37">
        <v>-78.900901857226103</v>
      </c>
      <c r="I37">
        <v>54.328957025132802</v>
      </c>
      <c r="J37">
        <v>24.5282519114416</v>
      </c>
      <c r="K37">
        <v>12.397235625911501</v>
      </c>
      <c r="L37">
        <v>1.4174617450838844E-3</v>
      </c>
      <c r="M37">
        <v>2.7129465011387983E-4</v>
      </c>
      <c r="N37" s="1">
        <v>1.0450720217055701E-5</v>
      </c>
      <c r="O37" s="1">
        <v>3.5801978975279801E-6</v>
      </c>
      <c r="P37" s="1">
        <v>-1.09081611212527E-5</v>
      </c>
      <c r="AE37">
        <v>100</v>
      </c>
      <c r="AJ37">
        <v>1</v>
      </c>
    </row>
    <row r="38" spans="1:36" x14ac:dyDescent="0.2">
      <c r="A38">
        <v>37</v>
      </c>
      <c r="B38">
        <v>746</v>
      </c>
      <c r="C38">
        <v>225</v>
      </c>
      <c r="D38">
        <v>0.34832998086640898</v>
      </c>
      <c r="E38">
        <v>9.6275762588328408</v>
      </c>
      <c r="F38">
        <v>0.50124836479679802</v>
      </c>
      <c r="G38">
        <v>-208.61227220428515</v>
      </c>
      <c r="H38">
        <v>-122.66577434082936</v>
      </c>
      <c r="I38">
        <v>84.336954671826504</v>
      </c>
      <c r="J38">
        <v>38.1541270771963</v>
      </c>
      <c r="K38">
        <v>19.2071973396577</v>
      </c>
      <c r="L38">
        <v>1.4197782145724304E-3</v>
      </c>
      <c r="M38">
        <v>2.7030057818655594E-4</v>
      </c>
      <c r="N38" s="1">
        <v>1.66250577500278E-5</v>
      </c>
      <c r="O38" s="1">
        <v>5.5249237017023001E-6</v>
      </c>
      <c r="P38" s="1">
        <v>-1.6950337438385501E-5</v>
      </c>
      <c r="AE38">
        <v>100</v>
      </c>
      <c r="AJ38">
        <v>1</v>
      </c>
    </row>
    <row r="39" spans="1:36" x14ac:dyDescent="0.2">
      <c r="A39">
        <v>38</v>
      </c>
      <c r="B39">
        <v>744</v>
      </c>
      <c r="C39">
        <v>225</v>
      </c>
      <c r="D39">
        <v>0.34691097674876298</v>
      </c>
      <c r="E39">
        <v>10.3285807363192</v>
      </c>
      <c r="F39">
        <v>0.502674861445363</v>
      </c>
      <c r="G39">
        <v>-223.62090418490652</v>
      </c>
      <c r="H39">
        <v>-131.67924421798332</v>
      </c>
      <c r="I39">
        <v>90.397257646431697</v>
      </c>
      <c r="J39">
        <v>40.979508499601202</v>
      </c>
      <c r="K39">
        <v>20.5472394354892</v>
      </c>
      <c r="L39">
        <v>1.4220623565214814E-3</v>
      </c>
      <c r="M39">
        <v>2.6929973200613396E-4</v>
      </c>
      <c r="N39" s="1">
        <v>1.8253734321780299E-5</v>
      </c>
      <c r="O39" s="1">
        <v>5.8866351068860902E-6</v>
      </c>
      <c r="P39" s="1">
        <v>-1.8185783037227899E-5</v>
      </c>
      <c r="AE39">
        <v>100</v>
      </c>
      <c r="AJ39">
        <v>1</v>
      </c>
    </row>
    <row r="40" spans="1:36" x14ac:dyDescent="0.2">
      <c r="A40">
        <v>39</v>
      </c>
      <c r="B40">
        <v>772</v>
      </c>
      <c r="C40">
        <v>200</v>
      </c>
      <c r="D40">
        <v>0.39259484284552498</v>
      </c>
      <c r="E40">
        <v>5.0957245232100998</v>
      </c>
      <c r="F40">
        <v>0.446840204205251</v>
      </c>
      <c r="G40">
        <v>-111.8562287554773</v>
      </c>
      <c r="H40">
        <v>-64.263674101239857</v>
      </c>
      <c r="I40">
        <v>45.539368263620403</v>
      </c>
      <c r="J40">
        <v>20.031057628073</v>
      </c>
      <c r="K40">
        <v>11.403907874121</v>
      </c>
      <c r="L40">
        <v>1.5073421466128539E-3</v>
      </c>
      <c r="M40">
        <v>3.4805098602411916E-4</v>
      </c>
      <c r="N40" s="1">
        <v>4.5388358682063996E-6</v>
      </c>
      <c r="O40" s="1">
        <v>4.8832583881724497E-6</v>
      </c>
      <c r="P40" s="1">
        <v>-1.17202003830192E-5</v>
      </c>
      <c r="AE40">
        <v>100</v>
      </c>
      <c r="AJ40">
        <v>1</v>
      </c>
    </row>
    <row r="41" spans="1:36" x14ac:dyDescent="0.2">
      <c r="A41">
        <v>40</v>
      </c>
      <c r="B41">
        <v>770</v>
      </c>
      <c r="C41">
        <v>200</v>
      </c>
      <c r="D41">
        <v>0.39129607439006903</v>
      </c>
      <c r="E41">
        <v>5.1224012479823502</v>
      </c>
      <c r="F41">
        <v>0.44819099547830699</v>
      </c>
      <c r="G41">
        <v>-112.35029246585518</v>
      </c>
      <c r="H41">
        <v>-64.640403333900068</v>
      </c>
      <c r="I41">
        <v>45.739175079806898</v>
      </c>
      <c r="J41">
        <v>20.165325597726</v>
      </c>
      <c r="K41">
        <v>11.429058815685799</v>
      </c>
      <c r="L41">
        <v>1.51107917573961E-3</v>
      </c>
      <c r="M41">
        <v>3.4703954022967967E-4</v>
      </c>
      <c r="N41" s="1">
        <v>4.8057145812275798E-6</v>
      </c>
      <c r="O41" s="1">
        <v>4.8823993622239098E-6</v>
      </c>
      <c r="P41" s="1">
        <v>-1.18033630942164E-5</v>
      </c>
      <c r="AE41">
        <v>100</v>
      </c>
      <c r="AJ41">
        <v>1</v>
      </c>
    </row>
    <row r="42" spans="1:36" x14ac:dyDescent="0.2">
      <c r="A42">
        <v>41</v>
      </c>
      <c r="B42">
        <v>768</v>
      </c>
      <c r="C42">
        <v>200</v>
      </c>
      <c r="D42">
        <v>0.38999231618883101</v>
      </c>
      <c r="E42">
        <v>5.1908462916413702</v>
      </c>
      <c r="F42">
        <v>0.44954921991226099</v>
      </c>
      <c r="G42">
        <v>-113.75884505387435</v>
      </c>
      <c r="H42">
        <v>-65.545021679068952</v>
      </c>
      <c r="I42">
        <v>46.311092441826702</v>
      </c>
      <c r="J42">
        <v>20.4645855941265</v>
      </c>
      <c r="K42">
        <v>11.5467807788754</v>
      </c>
      <c r="L42">
        <v>1.5147933469271625E-3</v>
      </c>
      <c r="M42">
        <v>3.4601758748557565E-4</v>
      </c>
      <c r="N42" s="1">
        <v>5.1196626749748902E-6</v>
      </c>
      <c r="O42" s="1">
        <v>4.9206941856191003E-6</v>
      </c>
      <c r="P42" s="1">
        <v>-1.1982734054119601E-5</v>
      </c>
      <c r="AE42">
        <v>100</v>
      </c>
      <c r="AJ42">
        <v>1</v>
      </c>
    </row>
    <row r="43" spans="1:36" x14ac:dyDescent="0.2">
      <c r="A43">
        <v>42</v>
      </c>
      <c r="B43">
        <v>766</v>
      </c>
      <c r="C43">
        <v>200</v>
      </c>
      <c r="D43">
        <v>0.38868353943126899</v>
      </c>
      <c r="E43">
        <v>5.2596373838574397</v>
      </c>
      <c r="F43">
        <v>0.45091489926683098</v>
      </c>
      <c r="G43">
        <v>-115.17261126448817</v>
      </c>
      <c r="H43">
        <v>-66.455151323524191</v>
      </c>
      <c r="I43">
        <v>46.884925014149701</v>
      </c>
      <c r="J43">
        <v>20.766010466381999</v>
      </c>
      <c r="K43">
        <v>11.6643681377781</v>
      </c>
      <c r="L43">
        <v>1.5184837177288769E-3</v>
      </c>
      <c r="M43">
        <v>3.4498508559460385E-4</v>
      </c>
      <c r="N43" s="1">
        <v>5.4439455647431996E-6</v>
      </c>
      <c r="O43" s="1">
        <v>4.9584351358955797E-6</v>
      </c>
      <c r="P43" s="1">
        <v>-1.21630100390177E-5</v>
      </c>
      <c r="AE43">
        <v>100</v>
      </c>
      <c r="AJ43">
        <v>1</v>
      </c>
    </row>
    <row r="44" spans="1:36" x14ac:dyDescent="0.2">
      <c r="A44">
        <v>43</v>
      </c>
      <c r="B44">
        <v>764</v>
      </c>
      <c r="C44">
        <v>200</v>
      </c>
      <c r="D44">
        <v>0.38736971508460899</v>
      </c>
      <c r="E44">
        <v>5.3286335426551599</v>
      </c>
      <c r="F44">
        <v>0.45228805448552201</v>
      </c>
      <c r="G44">
        <v>-116.58849134815202</v>
      </c>
      <c r="H44">
        <v>-67.369020438716703</v>
      </c>
      <c r="I44">
        <v>47.4594034428616</v>
      </c>
      <c r="J44">
        <v>21.069044330867101</v>
      </c>
      <c r="K44">
        <v>11.781504043294801</v>
      </c>
      <c r="L44">
        <v>1.5221493354871561E-3</v>
      </c>
      <c r="M44">
        <v>3.4394199512921054E-4</v>
      </c>
      <c r="N44" s="1">
        <v>5.7785685125791996E-6</v>
      </c>
      <c r="O44" s="1">
        <v>4.99547747907801E-6</v>
      </c>
      <c r="P44" s="1">
        <v>-1.2343831351737601E-5</v>
      </c>
      <c r="AE44">
        <v>100</v>
      </c>
      <c r="AJ44">
        <v>1</v>
      </c>
    </row>
    <row r="45" spans="1:36" x14ac:dyDescent="0.2">
      <c r="A45">
        <v>44</v>
      </c>
      <c r="B45">
        <v>762</v>
      </c>
      <c r="C45">
        <v>200</v>
      </c>
      <c r="D45">
        <v>0.38605081389170998</v>
      </c>
      <c r="E45">
        <v>5.3976935580164396</v>
      </c>
      <c r="F45">
        <v>0.45366870567212503</v>
      </c>
      <c r="G45">
        <v>-118.00339065761743</v>
      </c>
      <c r="H45">
        <v>-68.28484986337439</v>
      </c>
      <c r="I45">
        <v>48.033260576682899</v>
      </c>
      <c r="J45">
        <v>21.3731268216583</v>
      </c>
      <c r="K45">
        <v>11.897875014366599</v>
      </c>
      <c r="L45">
        <v>1.5257892376992497E-3</v>
      </c>
      <c r="M45">
        <v>3.4288827953132296E-4</v>
      </c>
      <c r="N45" s="1">
        <v>6.1235053633443502E-6</v>
      </c>
      <c r="O45" s="1">
        <v>5.0316792453965101E-6</v>
      </c>
      <c r="P45" s="1">
        <v>-1.2524834169169001E-5</v>
      </c>
      <c r="AE45">
        <v>100</v>
      </c>
      <c r="AJ45">
        <v>1</v>
      </c>
    </row>
    <row r="46" spans="1:36" x14ac:dyDescent="0.2">
      <c r="A46">
        <v>45</v>
      </c>
      <c r="B46">
        <v>760</v>
      </c>
      <c r="C46">
        <v>200</v>
      </c>
      <c r="D46">
        <v>0.38472680636887402</v>
      </c>
      <c r="E46">
        <v>5.59596596550473</v>
      </c>
      <c r="F46">
        <v>0.45505687206717499</v>
      </c>
      <c r="G46">
        <v>-122.2384333612883</v>
      </c>
      <c r="H46">
        <v>-70.837492322659131</v>
      </c>
      <c r="I46">
        <v>49.754772679655701</v>
      </c>
      <c r="J46">
        <v>22.190382757309699</v>
      </c>
      <c r="K46">
        <v>12.297289215926</v>
      </c>
      <c r="L46">
        <v>1.5294024524042339E-3</v>
      </c>
      <c r="M46">
        <v>3.4182390521239175E-4</v>
      </c>
      <c r="N46" s="1">
        <v>6.6319221853816496E-6</v>
      </c>
      <c r="O46" s="1">
        <v>5.1867363662744199E-6</v>
      </c>
      <c r="P46" s="1">
        <v>-1.30061464765544E-5</v>
      </c>
      <c r="AE46">
        <v>100</v>
      </c>
      <c r="AJ46">
        <v>1</v>
      </c>
    </row>
    <row r="47" spans="1:36" x14ac:dyDescent="0.2">
      <c r="A47">
        <v>46</v>
      </c>
      <c r="B47">
        <v>758</v>
      </c>
      <c r="C47">
        <v>200</v>
      </c>
      <c r="D47">
        <v>0.383397662803666</v>
      </c>
      <c r="E47">
        <v>5.8647430148312303</v>
      </c>
      <c r="F47">
        <v>0.45645257202433998</v>
      </c>
      <c r="G47">
        <v>-128.00536259850003</v>
      </c>
      <c r="H47">
        <v>-74.286398669163219</v>
      </c>
      <c r="I47">
        <v>52.099423066892598</v>
      </c>
      <c r="J47">
        <v>23.289895468074299</v>
      </c>
      <c r="K47">
        <v>12.848526603369599</v>
      </c>
      <c r="L47">
        <v>1.5329879985900396E-3</v>
      </c>
      <c r="M47">
        <v>3.4074884165332135E-4</v>
      </c>
      <c r="N47" s="1">
        <v>7.2512051595095004E-6</v>
      </c>
      <c r="O47" s="1">
        <v>5.4044667981516601E-6</v>
      </c>
      <c r="P47" s="1">
        <v>-1.36524931826926E-5</v>
      </c>
      <c r="AE47">
        <v>100</v>
      </c>
      <c r="AJ47">
        <v>1</v>
      </c>
    </row>
    <row r="48" spans="1:36" x14ac:dyDescent="0.2">
      <c r="A48">
        <v>47</v>
      </c>
      <c r="B48">
        <v>756</v>
      </c>
      <c r="C48">
        <v>200</v>
      </c>
      <c r="D48">
        <v>0.38206335325268598</v>
      </c>
      <c r="E48">
        <v>6.14417429156663</v>
      </c>
      <c r="F48">
        <v>0.45785582298683303</v>
      </c>
      <c r="G48">
        <v>-133.99518411355908</v>
      </c>
      <c r="H48">
        <v>-77.874679434274739</v>
      </c>
      <c r="I48">
        <v>54.534344607792299</v>
      </c>
      <c r="J48">
        <v>24.434853069690298</v>
      </c>
      <c r="K48">
        <v>13.419452113735099</v>
      </c>
      <c r="L48">
        <v>1.5365448866216135E-3</v>
      </c>
      <c r="M48">
        <v>3.3966306150425685E-4</v>
      </c>
      <c r="N48" s="1">
        <v>7.9155535220119303E-6</v>
      </c>
      <c r="O48" s="1">
        <v>5.6288811090296796E-6</v>
      </c>
      <c r="P48" s="1">
        <v>-1.43250090150339E-5</v>
      </c>
      <c r="AE48">
        <v>100</v>
      </c>
      <c r="AJ48">
        <v>1</v>
      </c>
    </row>
    <row r="49" spans="1:36" x14ac:dyDescent="0.2">
      <c r="A49">
        <v>48</v>
      </c>
      <c r="B49">
        <v>754</v>
      </c>
      <c r="C49">
        <v>200</v>
      </c>
      <c r="D49">
        <v>0.38072384753930699</v>
      </c>
      <c r="E49">
        <v>6.4436401631978502</v>
      </c>
      <c r="F49">
        <v>0.45926664146385499</v>
      </c>
      <c r="G49">
        <v>-140.41174876049087</v>
      </c>
      <c r="H49">
        <v>-81.721564908348384</v>
      </c>
      <c r="I49">
        <v>57.1424536812818</v>
      </c>
      <c r="J49">
        <v>25.6627894592995</v>
      </c>
      <c r="K49">
        <v>14.0302812820446</v>
      </c>
      <c r="L49">
        <v>1.5400721186903533E-3</v>
      </c>
      <c r="M49">
        <v>3.3856654068413548E-4</v>
      </c>
      <c r="N49" s="1">
        <v>8.6396699225884605E-6</v>
      </c>
      <c r="O49" s="1">
        <v>5.8683227228434697E-6</v>
      </c>
      <c r="P49" s="1">
        <v>-1.50455974938487E-5</v>
      </c>
      <c r="AE49">
        <v>100</v>
      </c>
      <c r="AJ49">
        <v>1</v>
      </c>
    </row>
    <row r="50" spans="1:36" x14ac:dyDescent="0.2">
      <c r="A50">
        <v>49</v>
      </c>
      <c r="B50">
        <v>752</v>
      </c>
      <c r="C50">
        <v>200</v>
      </c>
      <c r="D50">
        <v>0.37937911525142798</v>
      </c>
      <c r="E50">
        <v>6.9631109894173102</v>
      </c>
      <c r="F50">
        <v>0.46068504300701602</v>
      </c>
      <c r="G50">
        <v>-151.60796319059267</v>
      </c>
      <c r="H50">
        <v>-88.365264873002531</v>
      </c>
      <c r="I50">
        <v>61.695052467719101</v>
      </c>
      <c r="J50">
        <v>27.7715994294248</v>
      </c>
      <c r="K50">
        <v>15.114688647079101</v>
      </c>
      <c r="L50">
        <v>1.5435686892833389E-3</v>
      </c>
      <c r="M50">
        <v>3.3745925847954785E-4</v>
      </c>
      <c r="N50" s="1">
        <v>9.7059407043174594E-6</v>
      </c>
      <c r="O50" s="1">
        <v>6.3034631302765196E-6</v>
      </c>
      <c r="P50" s="1">
        <v>-1.6281935821155999E-5</v>
      </c>
      <c r="AE50">
        <v>100</v>
      </c>
      <c r="AJ50">
        <v>1</v>
      </c>
    </row>
    <row r="51" spans="1:36" x14ac:dyDescent="0.2">
      <c r="A51">
        <v>50</v>
      </c>
      <c r="B51">
        <v>750</v>
      </c>
      <c r="C51">
        <v>200</v>
      </c>
      <c r="D51">
        <v>0.37802912573913899</v>
      </c>
      <c r="E51">
        <v>10.0458740565347</v>
      </c>
      <c r="F51">
        <v>0.46211104218689197</v>
      </c>
      <c r="G51">
        <v>-218.55108872250557</v>
      </c>
      <c r="H51">
        <v>-127.56721874919914</v>
      </c>
      <c r="I51">
        <v>88.930869216956296</v>
      </c>
      <c r="J51">
        <v>40.124423722494797</v>
      </c>
      <c r="K51">
        <v>21.739091126222998</v>
      </c>
      <c r="L51">
        <v>1.5470335856745737E-3</v>
      </c>
      <c r="M51">
        <v>3.3634119764314386E-4</v>
      </c>
      <c r="N51" s="1">
        <v>1.4542428240181699E-5</v>
      </c>
      <c r="O51" s="1">
        <v>9.0391042626054303E-6</v>
      </c>
      <c r="P51" s="1">
        <v>-2.35229713073494E-5</v>
      </c>
      <c r="AE51">
        <v>100</v>
      </c>
      <c r="AJ51">
        <v>1</v>
      </c>
    </row>
    <row r="52" spans="1:36" x14ac:dyDescent="0.2">
      <c r="A52">
        <v>51</v>
      </c>
      <c r="B52">
        <v>748</v>
      </c>
      <c r="C52">
        <v>200</v>
      </c>
      <c r="D52">
        <v>0.37667384811242399</v>
      </c>
      <c r="E52">
        <v>10.4249598869221</v>
      </c>
      <c r="F52">
        <v>0.46354465256962502</v>
      </c>
      <c r="G52">
        <v>-226.61372593978896</v>
      </c>
      <c r="H52">
        <v>-132.46436511356924</v>
      </c>
      <c r="I52">
        <v>92.205186924969794</v>
      </c>
      <c r="J52">
        <v>41.698206716758698</v>
      </c>
      <c r="K52">
        <v>22.489656237284098</v>
      </c>
      <c r="L52">
        <v>1.5504657884356861E-3</v>
      </c>
      <c r="M52">
        <v>3.3521234449100613E-4</v>
      </c>
      <c r="N52" s="1">
        <v>1.5657003556081E-5</v>
      </c>
      <c r="O52" s="1">
        <v>9.3227052165919507E-6</v>
      </c>
      <c r="P52" s="1">
        <v>-2.44431471922993E-5</v>
      </c>
      <c r="AE52">
        <v>100</v>
      </c>
      <c r="AJ52">
        <v>1</v>
      </c>
    </row>
    <row r="53" spans="1:36" x14ac:dyDescent="0.2">
      <c r="A53">
        <v>52</v>
      </c>
      <c r="B53">
        <v>782</v>
      </c>
      <c r="C53">
        <v>175</v>
      </c>
      <c r="D53">
        <v>0.42507747713595301</v>
      </c>
      <c r="E53">
        <v>5.5286510965883702</v>
      </c>
      <c r="F53">
        <v>0.39868395404437801</v>
      </c>
      <c r="G53">
        <v>-122.18395122362148</v>
      </c>
      <c r="H53">
        <v>-69.297628244291417</v>
      </c>
      <c r="I53">
        <v>50.125088198820599</v>
      </c>
      <c r="J53">
        <v>21.615239570609699</v>
      </c>
      <c r="K53">
        <v>13.867252595706301</v>
      </c>
      <c r="L53">
        <v>1.6094568511722067E-3</v>
      </c>
      <c r="M53">
        <v>4.4466643715777659E-4</v>
      </c>
      <c r="N53" s="1">
        <v>-1.17369433174356E-6</v>
      </c>
      <c r="O53" s="1">
        <v>8.7514621041434092E-6</v>
      </c>
      <c r="P53" s="1">
        <v>-1.6616680172912599E-5</v>
      </c>
      <c r="AE53">
        <v>100</v>
      </c>
      <c r="AJ53">
        <v>1</v>
      </c>
    </row>
    <row r="54" spans="1:36" x14ac:dyDescent="0.2">
      <c r="A54">
        <v>53</v>
      </c>
      <c r="B54">
        <v>780</v>
      </c>
      <c r="C54">
        <v>175</v>
      </c>
      <c r="D54">
        <v>0.42385272753169101</v>
      </c>
      <c r="E54">
        <v>5.5491586508135997</v>
      </c>
      <c r="F54">
        <v>0.39997149020773798</v>
      </c>
      <c r="G54">
        <v>-122.53659013502568</v>
      </c>
      <c r="H54">
        <v>-69.598104916423821</v>
      </c>
      <c r="I54">
        <v>50.2698198622601</v>
      </c>
      <c r="J54">
        <v>21.733973557193998</v>
      </c>
      <c r="K54">
        <v>13.8738854810163</v>
      </c>
      <c r="L54">
        <v>1.6148045595352158E-3</v>
      </c>
      <c r="M54">
        <v>4.4369429851733819E-4</v>
      </c>
      <c r="N54" s="1">
        <v>-9.0229430699465704E-7</v>
      </c>
      <c r="O54" s="1">
        <v>8.7464061807348398E-6</v>
      </c>
      <c r="P54" s="1">
        <v>-1.6732400383607099E-5</v>
      </c>
      <c r="AE54">
        <v>100</v>
      </c>
      <c r="AJ54">
        <v>1</v>
      </c>
    </row>
    <row r="55" spans="1:36" x14ac:dyDescent="0.2">
      <c r="A55">
        <v>54</v>
      </c>
      <c r="B55">
        <v>778</v>
      </c>
      <c r="C55">
        <v>175</v>
      </c>
      <c r="D55">
        <v>0.422623317319128</v>
      </c>
      <c r="E55">
        <v>5.6085151442732704</v>
      </c>
      <c r="F55">
        <v>0.40126747408564201</v>
      </c>
      <c r="G55">
        <v>-123.74572766601402</v>
      </c>
      <c r="H55">
        <v>-70.386532009572932</v>
      </c>
      <c r="I55">
        <v>50.765737709374399</v>
      </c>
      <c r="J55">
        <v>22.005566437612099</v>
      </c>
      <c r="K55">
        <v>13.9769991501385</v>
      </c>
      <c r="L55">
        <v>1.6201470035558528E-3</v>
      </c>
      <c r="M55">
        <v>4.4270815849281121E-4</v>
      </c>
      <c r="N55" s="1">
        <v>-6.2681561994125804E-7</v>
      </c>
      <c r="O55" s="1">
        <v>8.8017547987570906E-6</v>
      </c>
      <c r="P55" s="1">
        <v>-1.6965977939483399E-5</v>
      </c>
      <c r="AE55">
        <v>100</v>
      </c>
      <c r="AJ55">
        <v>1</v>
      </c>
    </row>
    <row r="56" spans="1:36" x14ac:dyDescent="0.2">
      <c r="A56">
        <v>55</v>
      </c>
      <c r="B56">
        <v>776</v>
      </c>
      <c r="C56">
        <v>175</v>
      </c>
      <c r="D56">
        <v>0.42138921984463801</v>
      </c>
      <c r="E56">
        <v>5.6681455185425804</v>
      </c>
      <c r="F56">
        <v>0.40257195612188401</v>
      </c>
      <c r="G56">
        <v>-124.95883778817742</v>
      </c>
      <c r="H56">
        <v>-71.17940838190043</v>
      </c>
      <c r="I56">
        <v>51.2630920909371</v>
      </c>
      <c r="J56">
        <v>22.279207724560202</v>
      </c>
      <c r="K56">
        <v>14.0798320209529</v>
      </c>
      <c r="L56">
        <v>1.6254830759239616E-3</v>
      </c>
      <c r="M56">
        <v>4.4170785429031877E-4</v>
      </c>
      <c r="N56" s="1">
        <v>-3.3876071423891199E-7</v>
      </c>
      <c r="O56" s="1">
        <v>8.8564271126270108E-6</v>
      </c>
      <c r="P56" s="1">
        <v>-1.72014548090418E-5</v>
      </c>
      <c r="AE56">
        <v>100</v>
      </c>
      <c r="AJ56">
        <v>1</v>
      </c>
    </row>
    <row r="57" spans="1:36" x14ac:dyDescent="0.2">
      <c r="A57">
        <v>56</v>
      </c>
      <c r="B57">
        <v>774</v>
      </c>
      <c r="C57">
        <v>175</v>
      </c>
      <c r="D57">
        <v>0.420150408250972</v>
      </c>
      <c r="E57">
        <v>5.72793896335613</v>
      </c>
      <c r="F57">
        <v>0.40388498624548502</v>
      </c>
      <c r="G57">
        <v>-126.17346772214069</v>
      </c>
      <c r="H57">
        <v>-71.975350868024563</v>
      </c>
      <c r="I57">
        <v>51.760869724993199</v>
      </c>
      <c r="J57">
        <v>22.554466272780399</v>
      </c>
      <c r="K57">
        <v>14.1821042089309</v>
      </c>
      <c r="L57">
        <v>1.6308116413681734E-3</v>
      </c>
      <c r="M57">
        <v>4.4069322403309143E-4</v>
      </c>
      <c r="N57" s="1">
        <v>-3.7818897200458301E-8</v>
      </c>
      <c r="O57" s="1">
        <v>8.9102312122417703E-6</v>
      </c>
      <c r="P57" s="1">
        <v>-1.7438473201385399E-5</v>
      </c>
      <c r="AE57">
        <v>100</v>
      </c>
      <c r="AJ57">
        <v>1</v>
      </c>
    </row>
    <row r="58" spans="1:36" x14ac:dyDescent="0.2">
      <c r="A58">
        <v>57</v>
      </c>
      <c r="B58">
        <v>772</v>
      </c>
      <c r="C58">
        <v>175</v>
      </c>
      <c r="D58">
        <v>0.418906855475288</v>
      </c>
      <c r="E58">
        <v>5.7877846161500797</v>
      </c>
      <c r="F58">
        <v>0.40520661383601803</v>
      </c>
      <c r="G58">
        <v>-127.38717158444098</v>
      </c>
      <c r="H58">
        <v>-72.772972175694747</v>
      </c>
      <c r="I58">
        <v>52.258060120092097</v>
      </c>
      <c r="J58">
        <v>22.830907248528</v>
      </c>
      <c r="K58">
        <v>14.283539356275901</v>
      </c>
      <c r="L58">
        <v>1.6361315365495117E-3</v>
      </c>
      <c r="M58">
        <v>4.3966410692031812E-4</v>
      </c>
      <c r="N58" s="1">
        <v>2.7629773446873003E-7</v>
      </c>
      <c r="O58" s="1">
        <v>8.9629779311730896E-6</v>
      </c>
      <c r="P58" s="1">
        <v>-1.7676668838604199E-5</v>
      </c>
      <c r="AE58">
        <v>100</v>
      </c>
      <c r="AJ58">
        <v>1</v>
      </c>
    </row>
    <row r="59" spans="1:36" x14ac:dyDescent="0.2">
      <c r="A59">
        <v>58</v>
      </c>
      <c r="B59">
        <v>770</v>
      </c>
      <c r="C59">
        <v>175</v>
      </c>
      <c r="D59">
        <v>0.41765853424723398</v>
      </c>
      <c r="E59">
        <v>5.8475733870240401</v>
      </c>
      <c r="F59">
        <v>0.40653688768815099</v>
      </c>
      <c r="G59">
        <v>-128.59755050960237</v>
      </c>
      <c r="H59">
        <v>-73.570903827946225</v>
      </c>
      <c r="I59">
        <v>52.753672072310103</v>
      </c>
      <c r="J59">
        <v>23.108099300337599</v>
      </c>
      <c r="K59">
        <v>14.3838691250808</v>
      </c>
      <c r="L59">
        <v>1.6414415699846272E-3</v>
      </c>
      <c r="M59">
        <v>4.3862034339174855E-4</v>
      </c>
      <c r="N59" s="1">
        <v>6.0385281089705699E-7</v>
      </c>
      <c r="O59" s="1">
        <v>9.0144837270000692E-6</v>
      </c>
      <c r="P59" s="1">
        <v>-1.79156765061012E-5</v>
      </c>
      <c r="AE59">
        <v>100</v>
      </c>
      <c r="AJ59">
        <v>1</v>
      </c>
    </row>
    <row r="60" spans="1:36" x14ac:dyDescent="0.2">
      <c r="A60">
        <v>59</v>
      </c>
      <c r="B60">
        <v>768</v>
      </c>
      <c r="C60">
        <v>175</v>
      </c>
      <c r="D60">
        <v>0.416405417086878</v>
      </c>
      <c r="E60">
        <v>5.9071996408293899</v>
      </c>
      <c r="F60">
        <v>0.407875855975387</v>
      </c>
      <c r="G60">
        <v>-129.80228943514419</v>
      </c>
      <c r="H60">
        <v>-74.367817393039971</v>
      </c>
      <c r="I60">
        <v>53.246748791703702</v>
      </c>
      <c r="J60">
        <v>23.385621243907099</v>
      </c>
      <c r="K60">
        <v>14.4828372513077</v>
      </c>
      <c r="L60">
        <v>1.6467405220001743E-3</v>
      </c>
      <c r="M60">
        <v>4.3756177529812295E-4</v>
      </c>
      <c r="N60" s="1">
        <v>9.4508476356154299E-7</v>
      </c>
      <c r="O60" s="1">
        <v>9.06457326738127E-6</v>
      </c>
      <c r="P60" s="1">
        <v>-1.8155135280026101E-5</v>
      </c>
      <c r="AE60">
        <v>100</v>
      </c>
      <c r="AJ60">
        <v>1</v>
      </c>
    </row>
    <row r="61" spans="1:36" x14ac:dyDescent="0.2">
      <c r="A61">
        <v>60</v>
      </c>
      <c r="B61">
        <v>766</v>
      </c>
      <c r="C61">
        <v>175</v>
      </c>
      <c r="D61">
        <v>0.41514747630275201</v>
      </c>
      <c r="E61">
        <v>6.0648635697962998</v>
      </c>
      <c r="F61">
        <v>0.40922356621307199</v>
      </c>
      <c r="G61">
        <v>-133.15743982790636</v>
      </c>
      <c r="H61">
        <v>-76.400766830338682</v>
      </c>
      <c r="I61">
        <v>54.621703974332398</v>
      </c>
      <c r="J61">
        <v>24.0529240954301</v>
      </c>
      <c r="K61">
        <v>14.8204161991943</v>
      </c>
      <c r="L61">
        <v>1.652027144719714E-3</v>
      </c>
      <c r="M61">
        <v>4.3648824607725819E-4</v>
      </c>
      <c r="N61" s="1">
        <v>1.3216277229557199E-6</v>
      </c>
      <c r="O61" s="1">
        <v>9.2632223636539107E-6</v>
      </c>
      <c r="P61" s="1">
        <v>-1.86977512747208E-5</v>
      </c>
      <c r="AE61">
        <v>100</v>
      </c>
      <c r="AJ61">
        <v>1</v>
      </c>
    </row>
    <row r="62" spans="1:36" x14ac:dyDescent="0.2">
      <c r="A62">
        <v>61</v>
      </c>
      <c r="B62">
        <v>764</v>
      </c>
      <c r="C62">
        <v>175</v>
      </c>
      <c r="D62">
        <v>0.41388468398978101</v>
      </c>
      <c r="E62">
        <v>6.3084749552037902</v>
      </c>
      <c r="F62">
        <v>0.41058006522061502</v>
      </c>
      <c r="G62">
        <v>-138.39247951661918</v>
      </c>
      <c r="H62">
        <v>-79.51969007301453</v>
      </c>
      <c r="I62">
        <v>56.767487384041601</v>
      </c>
      <c r="J62">
        <v>25.064067481721999</v>
      </c>
      <c r="K62">
        <v>15.364786285505801</v>
      </c>
      <c r="L62">
        <v>1.6573001620850661E-3</v>
      </c>
      <c r="M62">
        <v>4.3539960093590097E-4</v>
      </c>
      <c r="N62" s="1">
        <v>1.74778557307629E-6</v>
      </c>
      <c r="O62" s="1">
        <v>9.5899213416081304E-6</v>
      </c>
      <c r="P62" s="1">
        <v>-1.9508898682858701E-5</v>
      </c>
      <c r="AE62">
        <v>100</v>
      </c>
      <c r="AJ62">
        <v>1</v>
      </c>
    </row>
    <row r="63" spans="1:36" x14ac:dyDescent="0.2">
      <c r="A63">
        <v>62</v>
      </c>
      <c r="B63">
        <v>762</v>
      </c>
      <c r="C63">
        <v>175</v>
      </c>
      <c r="D63">
        <v>0.41261701202724399</v>
      </c>
      <c r="E63">
        <v>6.5605615720794201</v>
      </c>
      <c r="F63">
        <v>0.411945399082977</v>
      </c>
      <c r="G63">
        <v>-143.80462056424881</v>
      </c>
      <c r="H63">
        <v>-82.749474502799458</v>
      </c>
      <c r="I63">
        <v>58.985558052113703</v>
      </c>
      <c r="J63">
        <v>26.1125402370347</v>
      </c>
      <c r="K63">
        <v>15.925803727104901</v>
      </c>
      <c r="L63">
        <v>1.6625582699135511E-3</v>
      </c>
      <c r="M63">
        <v>4.3429568703726639E-4</v>
      </c>
      <c r="N63" s="1">
        <v>2.2135965986181998E-6</v>
      </c>
      <c r="O63" s="1">
        <v>9.9255598834661398E-6</v>
      </c>
      <c r="P63" s="1">
        <v>-2.0350648682657499E-5</v>
      </c>
      <c r="AE63">
        <v>100</v>
      </c>
      <c r="AJ63">
        <v>1</v>
      </c>
    </row>
    <row r="64" spans="1:36" x14ac:dyDescent="0.2">
      <c r="A64">
        <v>63</v>
      </c>
      <c r="B64">
        <v>760</v>
      </c>
      <c r="C64">
        <v>175</v>
      </c>
      <c r="D64">
        <v>0.41134443207665999</v>
      </c>
      <c r="E64">
        <v>6.8288755804031203</v>
      </c>
      <c r="F64">
        <v>0.41331961311145299</v>
      </c>
      <c r="G64">
        <v>-149.56320214715686</v>
      </c>
      <c r="H64">
        <v>-86.188174457497453</v>
      </c>
      <c r="I64">
        <v>61.345337648557802</v>
      </c>
      <c r="J64">
        <v>27.2294414274328</v>
      </c>
      <c r="K64">
        <v>16.522021611787601</v>
      </c>
      <c r="L64">
        <v>1.6678001359930622E-3</v>
      </c>
      <c r="M64">
        <v>4.331763536942093E-4</v>
      </c>
      <c r="N64" s="1">
        <v>2.7246501766630498E-6</v>
      </c>
      <c r="O64" s="1">
        <v>1.0281576527066E-5</v>
      </c>
      <c r="P64" s="1">
        <v>-2.1247285762038098E-5</v>
      </c>
      <c r="AE64">
        <v>100</v>
      </c>
      <c r="AJ64">
        <v>1</v>
      </c>
    </row>
    <row r="65" spans="1:36" x14ac:dyDescent="0.2">
      <c r="A65">
        <v>64</v>
      </c>
      <c r="B65">
        <v>758</v>
      </c>
      <c r="C65">
        <v>175</v>
      </c>
      <c r="D65">
        <v>0.41006691557969399</v>
      </c>
      <c r="E65">
        <v>7.1328375202780601</v>
      </c>
      <c r="F65">
        <v>0.41470275180371802</v>
      </c>
      <c r="G65">
        <v>-156.09235388417972</v>
      </c>
      <c r="H65">
        <v>-90.08145389504817</v>
      </c>
      <c r="I65">
        <v>64.020735913074702</v>
      </c>
      <c r="J65">
        <v>28.492702683393201</v>
      </c>
      <c r="K65">
        <v>17.199879888074801</v>
      </c>
      <c r="L65">
        <v>1.6730244002158931E-3</v>
      </c>
      <c r="M65">
        <v>4.3204145256789731E-4</v>
      </c>
      <c r="N65" s="1">
        <v>3.2939343986630798E-6</v>
      </c>
      <c r="O65" s="1">
        <v>1.0686659596430699E-5</v>
      </c>
      <c r="P65" s="1">
        <v>-2.2259788890153701E-5</v>
      </c>
      <c r="AE65">
        <v>100</v>
      </c>
      <c r="AJ65">
        <v>1</v>
      </c>
    </row>
    <row r="66" spans="1:36" x14ac:dyDescent="0.2">
      <c r="A66">
        <v>65</v>
      </c>
      <c r="B66">
        <v>756</v>
      </c>
      <c r="C66">
        <v>175</v>
      </c>
      <c r="D66">
        <v>0.40878443375601398</v>
      </c>
      <c r="E66">
        <v>9.7575325311456194</v>
      </c>
      <c r="F66">
        <v>0.41609485880319902</v>
      </c>
      <c r="G66">
        <v>-213.35511816266327</v>
      </c>
      <c r="H66">
        <v>-123.30706428875705</v>
      </c>
      <c r="I66">
        <v>87.502927399506007</v>
      </c>
      <c r="J66">
        <v>39.0475085401972</v>
      </c>
      <c r="K66">
        <v>23.450259777808601</v>
      </c>
      <c r="L66">
        <v>1.678229674753767E-3</v>
      </c>
      <c r="M66">
        <v>4.3089083787200747E-4</v>
      </c>
      <c r="N66" s="1">
        <v>5.1309107954096096E-6</v>
      </c>
      <c r="O66" s="1">
        <v>1.4546577824615E-5</v>
      </c>
      <c r="P66" s="1">
        <v>-3.0541465645944198E-5</v>
      </c>
      <c r="AE66">
        <v>100</v>
      </c>
      <c r="AJ66">
        <v>1</v>
      </c>
    </row>
    <row r="67" spans="1:36" x14ac:dyDescent="0.2">
      <c r="A67">
        <v>66</v>
      </c>
      <c r="B67">
        <v>754</v>
      </c>
      <c r="C67">
        <v>175</v>
      </c>
      <c r="D67">
        <v>0.40749695760112897</v>
      </c>
      <c r="E67">
        <v>10.3727416844382</v>
      </c>
      <c r="F67">
        <v>0.41749597685781797</v>
      </c>
      <c r="G67">
        <v>-226.62112765387411</v>
      </c>
      <c r="H67">
        <v>-131.16462701140651</v>
      </c>
      <c r="I67">
        <v>92.939138939997704</v>
      </c>
      <c r="J67">
        <v>41.584259826188202</v>
      </c>
      <c r="K67">
        <v>24.845129676472901</v>
      </c>
      <c r="L67">
        <v>1.6834145442753243E-3</v>
      </c>
      <c r="M67">
        <v>4.2972436658222479E-4</v>
      </c>
      <c r="N67" s="1">
        <v>6.1315375599519897E-6</v>
      </c>
      <c r="O67" s="1">
        <v>1.53860466292931E-5</v>
      </c>
      <c r="P67" s="1">
        <v>-3.2562710514194603E-5</v>
      </c>
      <c r="AE67">
        <v>100</v>
      </c>
      <c r="AJ67">
        <v>1</v>
      </c>
    </row>
    <row r="68" spans="1:36" x14ac:dyDescent="0.2">
      <c r="A68">
        <v>67</v>
      </c>
      <c r="B68">
        <v>792</v>
      </c>
      <c r="C68">
        <v>150</v>
      </c>
      <c r="D68">
        <v>0.456950194808243</v>
      </c>
      <c r="E68">
        <v>5.9883035194126402</v>
      </c>
      <c r="F68">
        <v>0.34538998947148503</v>
      </c>
      <c r="G68">
        <v>-133.29221383364688</v>
      </c>
      <c r="H68">
        <v>-74.523850874863555</v>
      </c>
      <c r="I68">
        <v>55.177007777102801</v>
      </c>
      <c r="J68">
        <v>23.0181101471596</v>
      </c>
      <c r="K68">
        <v>17.337802779333298</v>
      </c>
      <c r="L68">
        <v>1.6871577057192089E-3</v>
      </c>
      <c r="M68">
        <v>5.7843369134338157E-4</v>
      </c>
      <c r="N68" s="1">
        <v>-1.2349055472707401E-5</v>
      </c>
      <c r="O68" s="1">
        <v>1.6416140864207299E-5</v>
      </c>
      <c r="P68" s="1">
        <v>-2.33412722230177E-5</v>
      </c>
      <c r="AE68">
        <v>100</v>
      </c>
      <c r="AJ68">
        <v>1</v>
      </c>
    </row>
    <row r="69" spans="1:36" x14ac:dyDescent="0.2">
      <c r="A69">
        <v>68</v>
      </c>
      <c r="B69">
        <v>790</v>
      </c>
      <c r="C69">
        <v>150</v>
      </c>
      <c r="D69">
        <v>0.45579692423458601</v>
      </c>
      <c r="E69">
        <v>6.0389309227986301</v>
      </c>
      <c r="F69">
        <v>0.34655988274475702</v>
      </c>
      <c r="G69">
        <v>-134.30787373293705</v>
      </c>
      <c r="H69">
        <v>-75.200377357374109</v>
      </c>
      <c r="I69">
        <v>55.599823376447098</v>
      </c>
      <c r="J69">
        <v>23.260751483281901</v>
      </c>
      <c r="K69">
        <v>17.425360589835801</v>
      </c>
      <c r="L69">
        <v>1.6942896990151197E-3</v>
      </c>
      <c r="M69">
        <v>5.7768559114277122E-4</v>
      </c>
      <c r="N69" s="1">
        <v>-1.2242271493436699E-5</v>
      </c>
      <c r="O69" s="1">
        <v>1.6502386558667399E-5</v>
      </c>
      <c r="P69" s="1">
        <v>-2.3638114464265299E-5</v>
      </c>
      <c r="AE69">
        <v>100</v>
      </c>
      <c r="AJ69">
        <v>1</v>
      </c>
    </row>
    <row r="70" spans="1:36" x14ac:dyDescent="0.2">
      <c r="A70">
        <v>69</v>
      </c>
      <c r="B70">
        <v>788</v>
      </c>
      <c r="C70">
        <v>150</v>
      </c>
      <c r="D70">
        <v>0.45463930641285699</v>
      </c>
      <c r="E70">
        <v>6.0897776094602198</v>
      </c>
      <c r="F70">
        <v>0.34773870868548101</v>
      </c>
      <c r="G70">
        <v>-135.32662956257178</v>
      </c>
      <c r="H70">
        <v>-75.880512641935397</v>
      </c>
      <c r="I70">
        <v>56.023749578607799</v>
      </c>
      <c r="J70">
        <v>23.505408682736899</v>
      </c>
      <c r="K70">
        <v>17.5125099891258</v>
      </c>
      <c r="L70">
        <v>1.701450157528024E-3</v>
      </c>
      <c r="M70">
        <v>5.7692252058317889E-4</v>
      </c>
      <c r="N70" s="1">
        <v>-1.21237770278301E-5</v>
      </c>
      <c r="O70" s="1">
        <v>1.65879850412356E-5</v>
      </c>
      <c r="P70" s="1">
        <v>-2.3938401603743499E-5</v>
      </c>
      <c r="AE70">
        <v>100</v>
      </c>
      <c r="AJ70">
        <v>1</v>
      </c>
    </row>
    <row r="71" spans="1:36" x14ac:dyDescent="0.2">
      <c r="A71">
        <v>70</v>
      </c>
      <c r="B71">
        <v>786</v>
      </c>
      <c r="C71">
        <v>150</v>
      </c>
      <c r="D71">
        <v>0.45347731671623798</v>
      </c>
      <c r="E71">
        <v>6.1407581782071796</v>
      </c>
      <c r="F71">
        <v>0.34892655104366499</v>
      </c>
      <c r="G71">
        <v>-136.34657556885568</v>
      </c>
      <c r="H71">
        <v>-76.563200184902144</v>
      </c>
      <c r="I71">
        <v>56.447990844421298</v>
      </c>
      <c r="J71">
        <v>23.7517641477098</v>
      </c>
      <c r="K71">
        <v>17.598999445125902</v>
      </c>
      <c r="L71">
        <v>1.7086383482201083E-3</v>
      </c>
      <c r="M71">
        <v>5.7614418624103085E-4</v>
      </c>
      <c r="N71" s="1">
        <v>-1.1992949481389199E-5</v>
      </c>
      <c r="O71" s="1">
        <v>1.66726805184897E-5</v>
      </c>
      <c r="P71" s="1">
        <v>-2.4241823128036801E-5</v>
      </c>
      <c r="AE71">
        <v>100</v>
      </c>
      <c r="AJ71">
        <v>1</v>
      </c>
    </row>
    <row r="72" spans="1:36" x14ac:dyDescent="0.2">
      <c r="A72">
        <v>71</v>
      </c>
      <c r="B72">
        <v>784</v>
      </c>
      <c r="C72">
        <v>150</v>
      </c>
      <c r="D72">
        <v>0.45231093033155201</v>
      </c>
      <c r="E72">
        <v>6.1917871334024497</v>
      </c>
      <c r="F72">
        <v>0.35012349391644099</v>
      </c>
      <c r="G72">
        <v>-137.36581021418115</v>
      </c>
      <c r="H72">
        <v>-77.247379660881165</v>
      </c>
      <c r="I72">
        <v>56.871753179886397</v>
      </c>
      <c r="J72">
        <v>23.999496939997801</v>
      </c>
      <c r="K72">
        <v>17.684580557967699</v>
      </c>
      <c r="L72">
        <v>1.7158534987191801E-3</v>
      </c>
      <c r="M72">
        <v>5.7535029029500307E-4</v>
      </c>
      <c r="N72" s="1">
        <v>-1.18491678868209E-5</v>
      </c>
      <c r="O72" s="1">
        <v>1.67562193644783E-5</v>
      </c>
      <c r="P72" s="1">
        <v>-2.4548061157344901E-5</v>
      </c>
      <c r="AE72">
        <v>100</v>
      </c>
      <c r="AJ72">
        <v>1</v>
      </c>
    </row>
    <row r="73" spans="1:36" x14ac:dyDescent="0.2">
      <c r="A73">
        <v>72</v>
      </c>
      <c r="B73">
        <v>782</v>
      </c>
      <c r="C73">
        <v>150</v>
      </c>
      <c r="D73">
        <v>0.451140122257502</v>
      </c>
      <c r="E73">
        <v>6.2427801736578301</v>
      </c>
      <c r="F73">
        <v>0.35132962172186999</v>
      </c>
      <c r="G73">
        <v>-138.38246473968456</v>
      </c>
      <c r="H73">
        <v>-77.93200303227627</v>
      </c>
      <c r="I73">
        <v>57.294255991635502</v>
      </c>
      <c r="J73">
        <v>24.248287714751001</v>
      </c>
      <c r="K73">
        <v>17.769011741913101</v>
      </c>
      <c r="L73">
        <v>1.7230947961672878E-3</v>
      </c>
      <c r="M73">
        <v>5.7454053056520203E-4</v>
      </c>
      <c r="N73" s="1">
        <v>-1.1691816607318501E-5</v>
      </c>
      <c r="O73" s="1">
        <v>1.6838353640481401E-5</v>
      </c>
      <c r="P73" s="1">
        <v>-2.48567953332351E-5</v>
      </c>
      <c r="AE73">
        <v>100</v>
      </c>
      <c r="AJ73">
        <v>1</v>
      </c>
    </row>
    <row r="74" spans="1:36" x14ac:dyDescent="0.2">
      <c r="A74">
        <v>73</v>
      </c>
      <c r="B74">
        <v>780</v>
      </c>
      <c r="C74">
        <v>150</v>
      </c>
      <c r="D74">
        <v>0.44996486730285301</v>
      </c>
      <c r="E74">
        <v>6.2936553875349803</v>
      </c>
      <c r="F74">
        <v>0.35254501917127701</v>
      </c>
      <c r="G74">
        <v>-139.39472952622256</v>
      </c>
      <c r="H74">
        <v>-78.616049517066813</v>
      </c>
      <c r="I74">
        <v>57.714743033037202</v>
      </c>
      <c r="J74">
        <v>24.497823355961302</v>
      </c>
      <c r="K74">
        <v>17.8520615674258</v>
      </c>
      <c r="L74">
        <v>1.7303613860593157E-3</v>
      </c>
      <c r="M74">
        <v>5.7371460056058565E-4</v>
      </c>
      <c r="N74" s="1">
        <v>-1.1520288627635801E-5</v>
      </c>
      <c r="O74" s="1">
        <v>1.6918844297939799E-5</v>
      </c>
      <c r="P74" s="1">
        <v>-2.5167707465157601E-5</v>
      </c>
      <c r="AE74">
        <v>100</v>
      </c>
      <c r="AJ74">
        <v>1</v>
      </c>
    </row>
    <row r="75" spans="1:36" x14ac:dyDescent="0.2">
      <c r="A75">
        <v>74</v>
      </c>
      <c r="B75">
        <v>778</v>
      </c>
      <c r="C75">
        <v>150</v>
      </c>
      <c r="D75">
        <v>0.44878514008467002</v>
      </c>
      <c r="E75">
        <v>6.3443343151229099</v>
      </c>
      <c r="F75">
        <v>0.353769771240103</v>
      </c>
      <c r="G75">
        <v>-140.40087735581804</v>
      </c>
      <c r="H75">
        <v>-79.298538936135444</v>
      </c>
      <c r="I75">
        <v>58.132492068082001</v>
      </c>
      <c r="J75">
        <v>24.7478011495243</v>
      </c>
      <c r="K75">
        <v>17.9335116533091</v>
      </c>
      <c r="L75">
        <v>1.737652371072844E-3</v>
      </c>
      <c r="M75">
        <v>5.7287218953501983E-4</v>
      </c>
      <c r="N75" s="1">
        <v>-1.13339883478295E-5</v>
      </c>
      <c r="O75" s="1">
        <v>1.69974639586109E-5</v>
      </c>
      <c r="P75" s="1">
        <v>-2.54804857636248E-5</v>
      </c>
      <c r="AE75">
        <v>100</v>
      </c>
      <c r="AJ75">
        <v>1</v>
      </c>
    </row>
    <row r="76" spans="1:36" x14ac:dyDescent="0.2">
      <c r="A76">
        <v>75</v>
      </c>
      <c r="B76">
        <v>776</v>
      </c>
      <c r="C76">
        <v>150</v>
      </c>
      <c r="D76">
        <v>0.447600915026452</v>
      </c>
      <c r="E76">
        <v>6.3947428455599704</v>
      </c>
      <c r="F76">
        <v>0.35500396313718702</v>
      </c>
      <c r="G76">
        <v>-141.39928292929523</v>
      </c>
      <c r="H76">
        <v>-79.978543058868368</v>
      </c>
      <c r="I76">
        <v>58.546822985240702</v>
      </c>
      <c r="J76">
        <v>24.997932370566399</v>
      </c>
      <c r="K76">
        <v>18.013159033632501</v>
      </c>
      <c r="L76">
        <v>1.7449668098908986E-3</v>
      </c>
      <c r="M76">
        <v>5.7201298255247102E-4</v>
      </c>
      <c r="N76" s="1">
        <v>-1.11323338304779E-5</v>
      </c>
      <c r="O76" s="1">
        <v>1.70739991989883E-5</v>
      </c>
      <c r="P76" s="1">
        <v>-2.57948285269201E-5</v>
      </c>
      <c r="AE76">
        <v>100</v>
      </c>
      <c r="AJ76">
        <v>1</v>
      </c>
    </row>
    <row r="77" spans="1:36" x14ac:dyDescent="0.2">
      <c r="A77">
        <v>76</v>
      </c>
      <c r="B77">
        <v>774</v>
      </c>
      <c r="C77">
        <v>150</v>
      </c>
      <c r="D77">
        <v>0.44641216635630598</v>
      </c>
      <c r="E77">
        <v>6.4654599966524602</v>
      </c>
      <c r="F77">
        <v>0.35624768027248299</v>
      </c>
      <c r="G77">
        <v>-142.84462622373488</v>
      </c>
      <c r="H77">
        <v>-80.913600024613373</v>
      </c>
      <c r="I77">
        <v>59.145992582109798</v>
      </c>
      <c r="J77">
        <v>25.328835261300199</v>
      </c>
      <c r="K77">
        <v>18.148777815780299</v>
      </c>
      <c r="L77">
        <v>1.7523037160198554E-3</v>
      </c>
      <c r="M77">
        <v>5.7113666056184315E-4</v>
      </c>
      <c r="N77" s="1">
        <v>-1.0949727488168E-5</v>
      </c>
      <c r="O77" s="1">
        <v>1.7203192338297502E-5</v>
      </c>
      <c r="P77" s="1">
        <v>-2.6194100554140102E-5</v>
      </c>
      <c r="AE77">
        <v>100</v>
      </c>
      <c r="AJ77">
        <v>1</v>
      </c>
    </row>
    <row r="78" spans="1:36" x14ac:dyDescent="0.2">
      <c r="A78">
        <v>77</v>
      </c>
      <c r="B78">
        <v>772</v>
      </c>
      <c r="C78">
        <v>150</v>
      </c>
      <c r="D78">
        <v>0.44521886810505501</v>
      </c>
      <c r="E78">
        <v>6.6808687027831999</v>
      </c>
      <c r="F78">
        <v>0.35750100822311298</v>
      </c>
      <c r="G78">
        <v>-147.48157495500226</v>
      </c>
      <c r="H78">
        <v>-83.661787627745383</v>
      </c>
      <c r="I78">
        <v>61.066459867560603</v>
      </c>
      <c r="J78">
        <v>26.2293640330846</v>
      </c>
      <c r="K78">
        <v>18.6876919200567</v>
      </c>
      <c r="L78">
        <v>1.7596620566039769E-3</v>
      </c>
      <c r="M78">
        <v>5.7024290048188762E-4</v>
      </c>
      <c r="N78" s="1">
        <v>-1.09872471175929E-5</v>
      </c>
      <c r="O78" s="1">
        <v>1.7714255181314098E-5</v>
      </c>
      <c r="P78" s="1">
        <v>-2.7185521746509201E-5</v>
      </c>
      <c r="AE78">
        <v>100</v>
      </c>
      <c r="AJ78">
        <v>1</v>
      </c>
    </row>
    <row r="79" spans="1:36" x14ac:dyDescent="0.2">
      <c r="A79">
        <v>78</v>
      </c>
      <c r="B79">
        <v>770</v>
      </c>
      <c r="C79">
        <v>150</v>
      </c>
      <c r="D79">
        <v>0.44402099410439499</v>
      </c>
      <c r="E79">
        <v>6.9015459640829002</v>
      </c>
      <c r="F79">
        <v>0.35876403269776902</v>
      </c>
      <c r="G79">
        <v>-152.22695648882629</v>
      </c>
      <c r="H79">
        <v>-86.479489107616445</v>
      </c>
      <c r="I79">
        <v>63.031603191884102</v>
      </c>
      <c r="J79">
        <v>27.1546614247303</v>
      </c>
      <c r="K79">
        <v>19.237006319128099</v>
      </c>
      <c r="L79">
        <v>1.767040751239434E-3</v>
      </c>
      <c r="M79">
        <v>5.6933137529686668E-4</v>
      </c>
      <c r="N79" s="1">
        <v>-1.1000041175793801E-5</v>
      </c>
      <c r="O79" s="1">
        <v>1.8234721464226701E-5</v>
      </c>
      <c r="P79" s="1">
        <v>-2.8207041419575898E-5</v>
      </c>
      <c r="AE79">
        <v>100</v>
      </c>
      <c r="AJ79">
        <v>1</v>
      </c>
    </row>
    <row r="80" spans="1:36" x14ac:dyDescent="0.2">
      <c r="A80">
        <v>79</v>
      </c>
      <c r="B80">
        <v>768</v>
      </c>
      <c r="C80">
        <v>150</v>
      </c>
      <c r="D80">
        <v>0.442818517984921</v>
      </c>
      <c r="E80">
        <v>7.1323432936160396</v>
      </c>
      <c r="F80">
        <v>0.36003683949936299</v>
      </c>
      <c r="G80">
        <v>-157.18741331858607</v>
      </c>
      <c r="H80">
        <v>-89.427670633901201</v>
      </c>
      <c r="I80">
        <v>65.085553714156006</v>
      </c>
      <c r="J80">
        <v>28.124025178101601</v>
      </c>
      <c r="K80">
        <v>19.8100375048666</v>
      </c>
      <c r="L80">
        <v>1.7744386707893422E-3</v>
      </c>
      <c r="M80">
        <v>5.6840175416322629E-4</v>
      </c>
      <c r="N80" s="1">
        <v>-1.09933625599126E-5</v>
      </c>
      <c r="O80" s="1">
        <v>1.8777153399503901E-5</v>
      </c>
      <c r="P80" s="1">
        <v>-2.9278922721224501E-5</v>
      </c>
      <c r="AE80">
        <v>100</v>
      </c>
      <c r="AJ80">
        <v>1</v>
      </c>
    </row>
    <row r="81" spans="1:36" x14ac:dyDescent="0.2">
      <c r="A81">
        <v>80</v>
      </c>
      <c r="B81">
        <v>766</v>
      </c>
      <c r="C81">
        <v>150</v>
      </c>
      <c r="D81">
        <v>0.44161141317423203</v>
      </c>
      <c r="E81">
        <v>7.3837765464968701</v>
      </c>
      <c r="F81">
        <v>0.36131951448594002</v>
      </c>
      <c r="G81">
        <v>-162.593965715199</v>
      </c>
      <c r="H81">
        <v>-92.638518324671864</v>
      </c>
      <c r="I81">
        <v>67.323940567658994</v>
      </c>
      <c r="J81">
        <v>29.1793060643638</v>
      </c>
      <c r="K81">
        <v>20.435587479967602</v>
      </c>
      <c r="L81">
        <v>1.7818546362032702E-3</v>
      </c>
      <c r="M81">
        <v>5.6745370252813732E-4</v>
      </c>
      <c r="N81" s="1">
        <v>-1.0979742042026901E-5</v>
      </c>
      <c r="O81" s="1">
        <v>1.93687825266671E-5</v>
      </c>
      <c r="P81" s="1">
        <v>-3.04451357009121E-5</v>
      </c>
      <c r="AE81">
        <v>100</v>
      </c>
      <c r="AJ81">
        <v>1</v>
      </c>
    </row>
    <row r="82" spans="1:36" x14ac:dyDescent="0.2">
      <c r="A82">
        <v>81</v>
      </c>
      <c r="B82">
        <v>764</v>
      </c>
      <c r="C82">
        <v>150</v>
      </c>
      <c r="D82">
        <v>0.44039965289495597</v>
      </c>
      <c r="E82">
        <v>7.7400509505952497</v>
      </c>
      <c r="F82">
        <v>0.36261214352975601</v>
      </c>
      <c r="G82">
        <v>-170.29819697211391</v>
      </c>
      <c r="H82">
        <v>-97.16965872535043</v>
      </c>
      <c r="I82">
        <v>70.513394956574203</v>
      </c>
      <c r="J82">
        <v>30.654570788075802</v>
      </c>
      <c r="K82">
        <v>21.345261290070599</v>
      </c>
      <c r="L82">
        <v>1.7892874173430719E-3</v>
      </c>
      <c r="M82">
        <v>5.6648688226013013E-4</v>
      </c>
      <c r="N82" s="1">
        <v>-1.1074636920217599E-5</v>
      </c>
      <c r="O82" s="1">
        <v>2.0229020645365801E-5</v>
      </c>
      <c r="P82" s="1">
        <v>-3.2055607542960199E-5</v>
      </c>
      <c r="AE82">
        <v>100</v>
      </c>
      <c r="AJ82">
        <v>1</v>
      </c>
    </row>
    <row r="83" spans="1:36" x14ac:dyDescent="0.2">
      <c r="A83">
        <v>82</v>
      </c>
      <c r="B83">
        <v>762</v>
      </c>
      <c r="C83">
        <v>150</v>
      </c>
      <c r="D83">
        <v>0.439183210162781</v>
      </c>
      <c r="E83">
        <v>10.061557422625899</v>
      </c>
      <c r="F83">
        <v>0.363914812474528</v>
      </c>
      <c r="G83">
        <v>-221.19321244499315</v>
      </c>
      <c r="H83">
        <v>-126.39395446364742</v>
      </c>
      <c r="I83">
        <v>91.585775802881997</v>
      </c>
      <c r="J83">
        <v>39.936992091516402</v>
      </c>
      <c r="K83">
        <v>27.648111804545401</v>
      </c>
      <c r="L83">
        <v>1.7967357318186277E-3</v>
      </c>
      <c r="M83">
        <v>5.6550095179265557E-4</v>
      </c>
      <c r="N83" s="1">
        <v>-1.38119157026757E-5</v>
      </c>
      <c r="O83" s="1">
        <v>2.6198956632751E-5</v>
      </c>
      <c r="P83" s="1">
        <v>-4.1855256951432697E-5</v>
      </c>
      <c r="AE83">
        <v>100</v>
      </c>
      <c r="AJ83">
        <v>1</v>
      </c>
    </row>
    <row r="84" spans="1:36" x14ac:dyDescent="0.2">
      <c r="A84">
        <v>83</v>
      </c>
      <c r="B84">
        <v>760</v>
      </c>
      <c r="C84">
        <v>150</v>
      </c>
      <c r="D84">
        <v>0.43796205778444602</v>
      </c>
      <c r="E84">
        <v>10.446592407216601</v>
      </c>
      <c r="F84">
        <v>0.365227607090785</v>
      </c>
      <c r="G84">
        <v>-229.46771810060693</v>
      </c>
      <c r="H84">
        <v>-131.31381207165762</v>
      </c>
      <c r="I84">
        <v>95.010292997743704</v>
      </c>
      <c r="J84">
        <v>41.557279569347003</v>
      </c>
      <c r="K84">
        <v>28.6029648482182</v>
      </c>
      <c r="L84">
        <v>1.8041982438361383E-3</v>
      </c>
      <c r="M84">
        <v>5.6449556628087628E-4</v>
      </c>
      <c r="N84" s="1">
        <v>-1.3713539030011201E-5</v>
      </c>
      <c r="O84" s="1">
        <v>2.70994916965903E-5</v>
      </c>
      <c r="P84" s="1">
        <v>-4.36503065753024E-5</v>
      </c>
      <c r="AE84">
        <v>100</v>
      </c>
      <c r="AJ84">
        <v>1</v>
      </c>
    </row>
    <row r="85" spans="1:36" x14ac:dyDescent="0.2">
      <c r="A85">
        <v>84</v>
      </c>
      <c r="B85">
        <v>806</v>
      </c>
      <c r="C85">
        <v>125</v>
      </c>
      <c r="D85">
        <v>0.490386415234215</v>
      </c>
      <c r="E85">
        <v>6.4763824310304203</v>
      </c>
      <c r="F85">
        <v>0.28550077203207203</v>
      </c>
      <c r="G85">
        <v>-145.5142321783571</v>
      </c>
      <c r="H85">
        <v>-79.833112779582081</v>
      </c>
      <c r="I85">
        <v>60.867187677799599</v>
      </c>
      <c r="J85">
        <v>23.958111768713</v>
      </c>
      <c r="K85">
        <v>22.684290430930499</v>
      </c>
      <c r="L85">
        <v>1.6974068773031822E-3</v>
      </c>
      <c r="M85">
        <v>7.6475014385040882E-4</v>
      </c>
      <c r="N85" s="1">
        <v>-2.95817698540991E-5</v>
      </c>
      <c r="O85" s="1">
        <v>3.2882628879687598E-5</v>
      </c>
      <c r="P85" s="1">
        <v>-3.2428761363716798E-5</v>
      </c>
      <c r="AE85">
        <v>100</v>
      </c>
      <c r="AJ85">
        <v>1</v>
      </c>
    </row>
    <row r="86" spans="1:36" x14ac:dyDescent="0.2">
      <c r="A86">
        <v>85</v>
      </c>
      <c r="B86">
        <v>804</v>
      </c>
      <c r="C86">
        <v>125</v>
      </c>
      <c r="D86">
        <v>0.48931021677575198</v>
      </c>
      <c r="E86">
        <v>6.5187719550200702</v>
      </c>
      <c r="F86">
        <v>0.28647404539289301</v>
      </c>
      <c r="G86">
        <v>-146.34417239497722</v>
      </c>
      <c r="H86">
        <v>-80.403922492374477</v>
      </c>
      <c r="I86">
        <v>61.220795937626001</v>
      </c>
      <c r="J86">
        <v>24.167426973538301</v>
      </c>
      <c r="K86">
        <v>22.755192171352601</v>
      </c>
      <c r="L86">
        <v>1.7058112374922745E-3</v>
      </c>
      <c r="M86">
        <v>7.6448216075012873E-4</v>
      </c>
      <c r="N86" s="1">
        <v>-2.9794333637333601E-5</v>
      </c>
      <c r="O86" s="1">
        <v>3.3022768514508999E-5</v>
      </c>
      <c r="P86" s="1">
        <v>-3.2780943909203601E-5</v>
      </c>
      <c r="AE86">
        <v>100</v>
      </c>
      <c r="AJ86">
        <v>1</v>
      </c>
    </row>
    <row r="87" spans="1:36" x14ac:dyDescent="0.2">
      <c r="A87">
        <v>86</v>
      </c>
      <c r="B87">
        <v>802</v>
      </c>
      <c r="C87">
        <v>125</v>
      </c>
      <c r="D87">
        <v>0.48823001441659297</v>
      </c>
      <c r="E87">
        <v>6.5612956103320101</v>
      </c>
      <c r="F87">
        <v>0.28745548787480801</v>
      </c>
      <c r="G87">
        <v>-147.17561864343054</v>
      </c>
      <c r="H87">
        <v>-80.977121803759545</v>
      </c>
      <c r="I87">
        <v>61.574898029045997</v>
      </c>
      <c r="J87">
        <v>24.3785045190087</v>
      </c>
      <c r="K87">
        <v>22.8254317175866</v>
      </c>
      <c r="L87">
        <v>1.714283524322204E-3</v>
      </c>
      <c r="M87">
        <v>7.6420393047775114E-4</v>
      </c>
      <c r="N87" s="1">
        <v>-3.0002009855742699E-5</v>
      </c>
      <c r="O87" s="1">
        <v>3.3162316981536897E-5</v>
      </c>
      <c r="P87" s="1">
        <v>-3.31376654659552E-5</v>
      </c>
      <c r="AE87">
        <v>100</v>
      </c>
      <c r="AJ87">
        <v>1</v>
      </c>
    </row>
    <row r="88" spans="1:36" x14ac:dyDescent="0.2">
      <c r="A88">
        <v>87</v>
      </c>
      <c r="B88">
        <v>800</v>
      </c>
      <c r="C88">
        <v>125</v>
      </c>
      <c r="D88">
        <v>0.48714578577086598</v>
      </c>
      <c r="E88">
        <v>6.6038979415469097</v>
      </c>
      <c r="F88">
        <v>0.288445199928548</v>
      </c>
      <c r="G88">
        <v>-148.00732262060478</v>
      </c>
      <c r="H88">
        <v>-81.55203211874867</v>
      </c>
      <c r="I88">
        <v>61.928965808865499</v>
      </c>
      <c r="J88">
        <v>24.591157593797899</v>
      </c>
      <c r="K88">
        <v>22.894809631717798</v>
      </c>
      <c r="L88">
        <v>1.7228240599642412E-3</v>
      </c>
      <c r="M88">
        <v>7.6391516372222566E-4</v>
      </c>
      <c r="N88" s="1">
        <v>-3.0204178283748601E-5</v>
      </c>
      <c r="O88" s="1">
        <v>3.3300976269166701E-5</v>
      </c>
      <c r="P88" s="1">
        <v>-3.3498727412853798E-5</v>
      </c>
      <c r="AE88">
        <v>100</v>
      </c>
      <c r="AJ88">
        <v>1</v>
      </c>
    </row>
    <row r="89" spans="1:36" x14ac:dyDescent="0.2">
      <c r="A89">
        <v>88</v>
      </c>
      <c r="B89">
        <v>798</v>
      </c>
      <c r="C89">
        <v>125</v>
      </c>
      <c r="D89">
        <v>0.48605750828548999</v>
      </c>
      <c r="E89">
        <v>6.6465146091821703</v>
      </c>
      <c r="F89">
        <v>0.28944328335734498</v>
      </c>
      <c r="G89">
        <v>-148.83784126233121</v>
      </c>
      <c r="H89">
        <v>-82.127863466028757</v>
      </c>
      <c r="I89">
        <v>62.282389338658902</v>
      </c>
      <c r="J89">
        <v>24.805164534027401</v>
      </c>
      <c r="K89">
        <v>22.963098442247802</v>
      </c>
      <c r="L89">
        <v>1.7314331486484162E-3</v>
      </c>
      <c r="M89">
        <v>7.6361556301935438E-4</v>
      </c>
      <c r="N89" s="1">
        <v>-3.0400161616176398E-5</v>
      </c>
      <c r="O89" s="1">
        <v>3.34384057003007E-5</v>
      </c>
      <c r="P89" s="1">
        <v>-3.3863882310749897E-5</v>
      </c>
      <c r="AE89">
        <v>100</v>
      </c>
      <c r="AJ89">
        <v>1</v>
      </c>
    </row>
    <row r="90" spans="1:36" x14ac:dyDescent="0.2">
      <c r="A90">
        <v>89</v>
      </c>
      <c r="B90">
        <v>796</v>
      </c>
      <c r="C90">
        <v>125</v>
      </c>
      <c r="D90">
        <v>0.48496515923864703</v>
      </c>
      <c r="E90">
        <v>6.6890823727779303</v>
      </c>
      <c r="F90">
        <v>0.29044984132711499</v>
      </c>
      <c r="G90">
        <v>-149.66576093595557</v>
      </c>
      <c r="H90">
        <v>-82.703837588112421</v>
      </c>
      <c r="I90">
        <v>62.634570688428703</v>
      </c>
      <c r="J90">
        <v>25.0203057329554</v>
      </c>
      <c r="K90">
        <v>23.030077559052401</v>
      </c>
      <c r="L90">
        <v>1.7401110754385713E-3</v>
      </c>
      <c r="M90">
        <v>7.6330482253711559E-4</v>
      </c>
      <c r="N90" s="1">
        <v>-3.0589271109418702E-5</v>
      </c>
      <c r="O90" s="1">
        <v>3.3574272561688199E-5</v>
      </c>
      <c r="P90" s="1">
        <v>-3.4232883789753302E-5</v>
      </c>
      <c r="AE90">
        <v>100</v>
      </c>
      <c r="AJ90">
        <v>1</v>
      </c>
    </row>
    <row r="91" spans="1:36" x14ac:dyDescent="0.2">
      <c r="A91">
        <v>90</v>
      </c>
      <c r="B91">
        <v>794</v>
      </c>
      <c r="C91">
        <v>125</v>
      </c>
      <c r="D91">
        <v>0.48386871573818202</v>
      </c>
      <c r="E91">
        <v>6.7315398927825099</v>
      </c>
      <c r="F91">
        <v>0.291464978376057</v>
      </c>
      <c r="G91">
        <v>-150.48971525554612</v>
      </c>
      <c r="H91">
        <v>-83.279197892464907</v>
      </c>
      <c r="I91">
        <v>62.984931418799398</v>
      </c>
      <c r="J91">
        <v>25.236366626318102</v>
      </c>
      <c r="K91">
        <v>23.095535972411898</v>
      </c>
      <c r="L91">
        <v>1.7488581049515789E-3</v>
      </c>
      <c r="M91">
        <v>7.6298262785748935E-4</v>
      </c>
      <c r="N91" s="1">
        <v>-3.0770810312986698E-5</v>
      </c>
      <c r="O91" s="1">
        <v>3.3708256061274699E-5</v>
      </c>
      <c r="P91" s="1">
        <v>-3.4605490565933299E-5</v>
      </c>
      <c r="AE91">
        <v>100</v>
      </c>
      <c r="AJ91">
        <v>1</v>
      </c>
    </row>
    <row r="92" spans="1:36" x14ac:dyDescent="0.2">
      <c r="A92">
        <v>91</v>
      </c>
      <c r="B92">
        <v>792</v>
      </c>
      <c r="C92">
        <v>125</v>
      </c>
      <c r="D92">
        <v>0.48276815471999501</v>
      </c>
      <c r="E92">
        <v>6.7738284388340997</v>
      </c>
      <c r="F92">
        <v>0.29248880042363901</v>
      </c>
      <c r="G92">
        <v>-151.30840071641231</v>
      </c>
      <c r="H92">
        <v>-83.853218280053014</v>
      </c>
      <c r="I92">
        <v>63.332919154065301</v>
      </c>
      <c r="J92">
        <v>25.453140367216498</v>
      </c>
      <c r="K92">
        <v>23.159274574010698</v>
      </c>
      <c r="L92">
        <v>1.7576744800185905E-3</v>
      </c>
      <c r="M92">
        <v>7.6264865575475485E-4</v>
      </c>
      <c r="N92" s="1">
        <v>-3.0944078385148599E-5</v>
      </c>
      <c r="O92" s="1">
        <v>3.3840050760970698E-5</v>
      </c>
      <c r="P92" s="1">
        <v>-3.4981470081799098E-5</v>
      </c>
      <c r="AE92">
        <v>100</v>
      </c>
      <c r="AJ92">
        <v>1</v>
      </c>
    </row>
    <row r="93" spans="1:36" x14ac:dyDescent="0.2">
      <c r="A93">
        <v>92</v>
      </c>
      <c r="B93">
        <v>790</v>
      </c>
      <c r="C93">
        <v>125</v>
      </c>
      <c r="D93">
        <v>0.48166345294643498</v>
      </c>
      <c r="E93">
        <v>6.81589248776611</v>
      </c>
      <c r="F93">
        <v>0.29352141477889798</v>
      </c>
      <c r="G93">
        <v>-152.12058978931094</v>
      </c>
      <c r="H93">
        <v>-84.425210640162533</v>
      </c>
      <c r="I93">
        <v>63.6780130944585</v>
      </c>
      <c r="J93">
        <v>25.6704301236467</v>
      </c>
      <c r="K93">
        <v>23.221108050669201</v>
      </c>
      <c r="L93">
        <v>1.7665604202865043E-3</v>
      </c>
      <c r="M93">
        <v>7.6230257397057058E-4</v>
      </c>
      <c r="N93" s="1">
        <v>-3.1108372902272301E-5</v>
      </c>
      <c r="O93" s="1">
        <v>3.3969369408670001E-5</v>
      </c>
      <c r="P93" s="1">
        <v>-3.5360601674096403E-5</v>
      </c>
      <c r="AE93">
        <v>100</v>
      </c>
      <c r="AJ93">
        <v>1</v>
      </c>
    </row>
    <row r="94" spans="1:36" x14ac:dyDescent="0.2">
      <c r="A94">
        <v>93</v>
      </c>
      <c r="B94">
        <v>788</v>
      </c>
      <c r="C94">
        <v>125</v>
      </c>
      <c r="D94">
        <v>0.48055458700466802</v>
      </c>
      <c r="E94">
        <v>6.8576802014954303</v>
      </c>
      <c r="F94">
        <v>0.29456293014801499</v>
      </c>
      <c r="G94">
        <v>-152.92514126952989</v>
      </c>
      <c r="H94">
        <v>-84.994530883970569</v>
      </c>
      <c r="I94">
        <v>64.019728380794803</v>
      </c>
      <c r="J94">
        <v>25.888050956189801</v>
      </c>
      <c r="K94">
        <v>23.280866326422899</v>
      </c>
      <c r="L94">
        <v>1.7755161207574587E-3</v>
      </c>
      <c r="M94">
        <v>7.6194404098586777E-4</v>
      </c>
      <c r="N94" s="1">
        <v>-3.1262992104376197E-5</v>
      </c>
      <c r="O94" s="1">
        <v>3.4095945128961799E-5</v>
      </c>
      <c r="P94" s="1">
        <v>-3.5742679204171703E-5</v>
      </c>
      <c r="AE94">
        <v>100</v>
      </c>
      <c r="AJ94">
        <v>1</v>
      </c>
    </row>
    <row r="95" spans="1:36" x14ac:dyDescent="0.2">
      <c r="A95">
        <v>94</v>
      </c>
      <c r="B95">
        <v>786</v>
      </c>
      <c r="C95">
        <v>125</v>
      </c>
      <c r="D95">
        <v>0.47944153330501299</v>
      </c>
      <c r="E95">
        <v>6.8991437825879398</v>
      </c>
      <c r="F95">
        <v>0.295613456641098</v>
      </c>
      <c r="G95">
        <v>-153.72100784757407</v>
      </c>
      <c r="H95">
        <v>-85.560583483387816</v>
      </c>
      <c r="I95">
        <v>64.357619296525101</v>
      </c>
      <c r="J95">
        <v>26.1058312612954</v>
      </c>
      <c r="K95">
        <v>23.3383955553962</v>
      </c>
      <c r="L95">
        <v>1.7845417502645993E-3</v>
      </c>
      <c r="M95">
        <v>7.6157270578989535E-4</v>
      </c>
      <c r="N95" s="1">
        <v>-3.1407236556582E-5</v>
      </c>
      <c r="O95" s="1">
        <v>3.4219532970911598E-5</v>
      </c>
      <c r="P95" s="1">
        <v>-3.6127513123337699E-5</v>
      </c>
      <c r="AE95">
        <v>100</v>
      </c>
      <c r="AJ95">
        <v>1</v>
      </c>
    </row>
    <row r="96" spans="1:36" x14ac:dyDescent="0.2">
      <c r="A96">
        <v>95</v>
      </c>
      <c r="B96">
        <v>784</v>
      </c>
      <c r="C96">
        <v>125</v>
      </c>
      <c r="D96">
        <v>0.47832426807926898</v>
      </c>
      <c r="E96">
        <v>6.9402397105395304</v>
      </c>
      <c r="F96">
        <v>0.29667310577810901</v>
      </c>
      <c r="G96">
        <v>-154.5072409852153</v>
      </c>
      <c r="H96">
        <v>-86.122824546587651</v>
      </c>
      <c r="I96">
        <v>64.691281341313399</v>
      </c>
      <c r="J96">
        <v>26.323613785037701</v>
      </c>
      <c r="K96">
        <v>23.393558685870001</v>
      </c>
      <c r="L96">
        <v>1.7936374498817903E-3</v>
      </c>
      <c r="M96">
        <v>7.6118820764652659E-4</v>
      </c>
      <c r="N96" s="1">
        <v>-3.1540410232583898E-5</v>
      </c>
      <c r="O96" s="1">
        <v>3.4339910837575899E-5</v>
      </c>
      <c r="P96" s="1">
        <v>-3.6514931971802997E-5</v>
      </c>
      <c r="AE96">
        <v>100</v>
      </c>
      <c r="AJ96">
        <v>1</v>
      </c>
    </row>
    <row r="97" spans="1:36" x14ac:dyDescent="0.2">
      <c r="A97">
        <v>96</v>
      </c>
      <c r="B97">
        <v>782</v>
      </c>
      <c r="C97">
        <v>125</v>
      </c>
      <c r="D97">
        <v>0.47720276737904699</v>
      </c>
      <c r="E97">
        <v>7.0983552896961699</v>
      </c>
      <c r="F97">
        <v>0.29774199049387401</v>
      </c>
      <c r="G97">
        <v>-157.89501337997029</v>
      </c>
      <c r="H97">
        <v>-88.138823359116984</v>
      </c>
      <c r="I97">
        <v>66.114061636391995</v>
      </c>
      <c r="J97">
        <v>26.987707532606301</v>
      </c>
      <c r="K97">
        <v>23.8406254956578</v>
      </c>
      <c r="L97">
        <v>1.8028033312655959E-3</v>
      </c>
      <c r="M97">
        <v>7.6079017585822524E-4</v>
      </c>
      <c r="N97" s="1">
        <v>-3.2194405534326E-5</v>
      </c>
      <c r="O97" s="1">
        <v>3.5036480100432799E-5</v>
      </c>
      <c r="P97" s="1">
        <v>-3.7525559850841099E-5</v>
      </c>
      <c r="AE97">
        <v>100</v>
      </c>
      <c r="AJ97">
        <v>1</v>
      </c>
    </row>
    <row r="98" spans="1:36" x14ac:dyDescent="0.2">
      <c r="A98">
        <v>97</v>
      </c>
      <c r="B98">
        <v>780</v>
      </c>
      <c r="C98">
        <v>125</v>
      </c>
      <c r="D98">
        <v>0.47607700707401701</v>
      </c>
      <c r="E98">
        <v>7.2882900392181797</v>
      </c>
      <c r="F98">
        <v>0.29882022514210899</v>
      </c>
      <c r="G98">
        <v>-161.98418686885285</v>
      </c>
      <c r="H98">
        <v>-90.552690582883372</v>
      </c>
      <c r="I98">
        <v>67.830477228392994</v>
      </c>
      <c r="J98">
        <v>27.7766362600618</v>
      </c>
      <c r="K98">
        <v>24.390216678781002</v>
      </c>
      <c r="L98">
        <v>1.8120394749271233E-3</v>
      </c>
      <c r="M98">
        <v>7.6037822952778461E-4</v>
      </c>
      <c r="N98" s="1">
        <v>-3.2979467776570602E-5</v>
      </c>
      <c r="O98" s="1">
        <v>3.5885454519857298E-5</v>
      </c>
      <c r="P98" s="1">
        <v>-3.8715858013957902E-5</v>
      </c>
      <c r="AE98">
        <v>100</v>
      </c>
      <c r="AJ98">
        <v>1</v>
      </c>
    </row>
    <row r="99" spans="1:36" x14ac:dyDescent="0.2">
      <c r="A99">
        <v>98</v>
      </c>
      <c r="B99">
        <v>778</v>
      </c>
      <c r="C99">
        <v>125</v>
      </c>
      <c r="D99">
        <v>0.47494696285021398</v>
      </c>
      <c r="E99">
        <v>7.4845194627608098</v>
      </c>
      <c r="F99">
        <v>0.29990792549838502</v>
      </c>
      <c r="G99">
        <v>-166.20617882689191</v>
      </c>
      <c r="H99">
        <v>-93.047843235235064</v>
      </c>
      <c r="I99">
        <v>69.602453211525997</v>
      </c>
      <c r="J99">
        <v>28.593820853135199</v>
      </c>
      <c r="K99">
        <v>24.956057597754601</v>
      </c>
      <c r="L99">
        <v>1.8213459284321186E-3</v>
      </c>
      <c r="M99">
        <v>7.599519773183735E-4</v>
      </c>
      <c r="N99" s="1">
        <v>-3.3778194799102597E-5</v>
      </c>
      <c r="O99" s="1">
        <v>3.6760262403760898E-5</v>
      </c>
      <c r="P99" s="1">
        <v>-3.9952266558298098E-5</v>
      </c>
      <c r="AE99">
        <v>100</v>
      </c>
      <c r="AJ99">
        <v>1</v>
      </c>
    </row>
    <row r="100" spans="1:36" x14ac:dyDescent="0.2">
      <c r="A100">
        <v>99</v>
      </c>
      <c r="B100">
        <v>776</v>
      </c>
      <c r="C100">
        <v>125</v>
      </c>
      <c r="D100">
        <v>0.47381261020826598</v>
      </c>
      <c r="E100">
        <v>7.6932190213924301</v>
      </c>
      <c r="F100">
        <v>0.30100520876195502</v>
      </c>
      <c r="G100">
        <v>-170.69766844778147</v>
      </c>
      <c r="H100">
        <v>-95.701258595850035</v>
      </c>
      <c r="I100">
        <v>71.487215731090103</v>
      </c>
      <c r="J100">
        <v>29.463148454499301</v>
      </c>
      <c r="K100">
        <v>25.558424895817801</v>
      </c>
      <c r="L100">
        <v>1.8307227045269465E-3</v>
      </c>
      <c r="M100">
        <v>7.5951101721206851E-4</v>
      </c>
      <c r="N100" s="1">
        <v>-3.4616858518115799E-5</v>
      </c>
      <c r="O100" s="1">
        <v>3.7690876471446602E-5</v>
      </c>
      <c r="P100" s="1">
        <v>-4.1268663537696399E-5</v>
      </c>
      <c r="AE100">
        <v>100</v>
      </c>
      <c r="AJ100">
        <v>1</v>
      </c>
    </row>
    <row r="101" spans="1:36" x14ac:dyDescent="0.2">
      <c r="A101">
        <v>100</v>
      </c>
      <c r="B101">
        <v>774</v>
      </c>
      <c r="C101">
        <v>125</v>
      </c>
      <c r="D101">
        <v>0.47267392446163797</v>
      </c>
      <c r="E101">
        <v>7.9278842885104499</v>
      </c>
      <c r="F101">
        <v>0.30211219355637597</v>
      </c>
      <c r="G101">
        <v>-175.75715980379269</v>
      </c>
      <c r="H101">
        <v>-98.681220314236015</v>
      </c>
      <c r="I101">
        <v>73.609775401589403</v>
      </c>
      <c r="J101">
        <v>30.436847305133401</v>
      </c>
      <c r="K101">
        <v>26.241523704110399</v>
      </c>
      <c r="L101">
        <v>1.8401697791886685E-3</v>
      </c>
      <c r="M101">
        <v>7.5905493626736138E-4</v>
      </c>
      <c r="N101" s="1">
        <v>-3.5554072466642501E-5</v>
      </c>
      <c r="O101" s="1">
        <v>3.8742732670937703E-5</v>
      </c>
      <c r="P101" s="1">
        <v>-4.2739067125152901E-5</v>
      </c>
      <c r="AE101">
        <v>100</v>
      </c>
      <c r="AJ101">
        <v>1</v>
      </c>
    </row>
    <row r="102" spans="1:36" x14ac:dyDescent="0.2">
      <c r="A102">
        <v>101</v>
      </c>
      <c r="B102">
        <v>772</v>
      </c>
      <c r="C102">
        <v>125</v>
      </c>
      <c r="D102">
        <v>0.47153088073482102</v>
      </c>
      <c r="E102">
        <v>9.0168164578836603</v>
      </c>
      <c r="F102">
        <v>0.30322899992881802</v>
      </c>
      <c r="G102">
        <v>-199.730857156485</v>
      </c>
      <c r="H102">
        <v>-112.30487075491529</v>
      </c>
      <c r="I102">
        <v>83.654161008125897</v>
      </c>
      <c r="J102">
        <v>34.703670222829601</v>
      </c>
      <c r="K102">
        <v>29.735996425145</v>
      </c>
      <c r="L102">
        <v>1.84968708959735E-3</v>
      </c>
      <c r="M102">
        <v>7.5858331037610032E-4</v>
      </c>
      <c r="N102" s="1">
        <v>-4.0288001577886799E-5</v>
      </c>
      <c r="O102" s="1">
        <v>4.3952348641784098E-5</v>
      </c>
      <c r="P102" s="1">
        <v>-4.8853656364455999E-5</v>
      </c>
      <c r="AE102">
        <v>100</v>
      </c>
      <c r="AJ102">
        <v>1</v>
      </c>
    </row>
    <row r="103" spans="1:36" x14ac:dyDescent="0.2">
      <c r="A103">
        <v>102</v>
      </c>
      <c r="B103">
        <v>770</v>
      </c>
      <c r="C103">
        <v>125</v>
      </c>
      <c r="D103">
        <v>0.47038345396155901</v>
      </c>
      <c r="E103">
        <v>10.2111422244382</v>
      </c>
      <c r="F103">
        <v>0.30435574934801402</v>
      </c>
      <c r="G103">
        <v>-225.99688799158946</v>
      </c>
      <c r="H103">
        <v>-127.25895319699727</v>
      </c>
      <c r="I103">
        <v>94.659232360838701</v>
      </c>
      <c r="J103">
        <v>39.398965359132703</v>
      </c>
      <c r="K103">
        <v>33.550022453370197</v>
      </c>
      <c r="L103">
        <v>1.8592745320286448E-3</v>
      </c>
      <c r="M103">
        <v>7.5809570402031576E-4</v>
      </c>
      <c r="N103" s="1">
        <v>-4.5437795798065797E-5</v>
      </c>
      <c r="O103" s="1">
        <v>4.9646649203200298E-5</v>
      </c>
      <c r="P103" s="1">
        <v>-5.5605148499944201E-5</v>
      </c>
      <c r="AE103">
        <v>100</v>
      </c>
      <c r="AJ103">
        <v>1</v>
      </c>
    </row>
    <row r="104" spans="1:36" x14ac:dyDescent="0.2">
      <c r="A104">
        <v>103</v>
      </c>
      <c r="B104">
        <v>768</v>
      </c>
      <c r="C104">
        <v>125</v>
      </c>
      <c r="D104">
        <v>0.46923161888296799</v>
      </c>
      <c r="E104">
        <v>10.4924113729975</v>
      </c>
      <c r="F104">
        <v>0.30549256470070202</v>
      </c>
      <c r="G104">
        <v>-232.02758832373914</v>
      </c>
      <c r="H104">
        <v>-130.8454120326399</v>
      </c>
      <c r="I104">
        <v>97.188859139600098</v>
      </c>
      <c r="J104">
        <v>40.586593064611598</v>
      </c>
      <c r="K104">
        <v>34.345881325384099</v>
      </c>
      <c r="L104">
        <v>1.8689319596645417E-3</v>
      </c>
      <c r="M104">
        <v>7.5759167002939119E-4</v>
      </c>
      <c r="N104" s="1">
        <v>-4.6479366466571099E-5</v>
      </c>
      <c r="O104" s="1">
        <v>5.0882479834301502E-5</v>
      </c>
      <c r="P104" s="1">
        <v>-5.7429308466302999E-5</v>
      </c>
      <c r="AE104">
        <v>100</v>
      </c>
      <c r="AJ104">
        <v>1</v>
      </c>
    </row>
    <row r="105" spans="1:36" x14ac:dyDescent="0.2">
      <c r="A105">
        <v>104</v>
      </c>
      <c r="B105">
        <v>824</v>
      </c>
      <c r="C105">
        <v>100</v>
      </c>
      <c r="D105">
        <v>0.524960579683728</v>
      </c>
      <c r="E105">
        <v>7.0243524790920597</v>
      </c>
      <c r="F105">
        <v>0.22197138876566899</v>
      </c>
      <c r="G105">
        <v>-159.72418356233632</v>
      </c>
      <c r="H105">
        <v>-85.571838128731301</v>
      </c>
      <c r="I105">
        <v>67.589996991695003</v>
      </c>
      <c r="J105">
        <v>24.393690678192598</v>
      </c>
      <c r="K105">
        <v>31.645305812397002</v>
      </c>
      <c r="L105">
        <v>1.6140879589934616E-3</v>
      </c>
      <c r="M105">
        <v>1.0242234996244008E-3</v>
      </c>
      <c r="N105" s="1">
        <v>-4.96650305955196E-5</v>
      </c>
      <c r="O105" s="1">
        <v>7.2649527869418995E-5</v>
      </c>
      <c r="P105" s="1">
        <v>-4.6152072328675602E-5</v>
      </c>
      <c r="AE105">
        <v>100</v>
      </c>
      <c r="AJ105">
        <v>1</v>
      </c>
    </row>
    <row r="106" spans="1:36" x14ac:dyDescent="0.2">
      <c r="A106">
        <v>105</v>
      </c>
      <c r="B106">
        <v>822</v>
      </c>
      <c r="C106">
        <v>100</v>
      </c>
      <c r="D106">
        <v>0.52396521024517195</v>
      </c>
      <c r="E106">
        <v>7.0456717952720798</v>
      </c>
      <c r="F106">
        <v>0.222690974976336</v>
      </c>
      <c r="G106">
        <v>-160.07341008607756</v>
      </c>
      <c r="H106">
        <v>-85.880537019843572</v>
      </c>
      <c r="I106">
        <v>67.750449739569007</v>
      </c>
      <c r="J106">
        <v>24.5157897006853</v>
      </c>
      <c r="K106">
        <v>31.638784625289599</v>
      </c>
      <c r="L106">
        <v>1.6224801710536733E-3</v>
      </c>
      <c r="M106">
        <v>1.0246126876000215E-3</v>
      </c>
      <c r="N106" s="1">
        <v>-5.0152476650511701E-5</v>
      </c>
      <c r="O106" s="1">
        <v>7.2745352071260406E-5</v>
      </c>
      <c r="P106" s="1">
        <v>-4.6445859111217103E-5</v>
      </c>
      <c r="AE106">
        <v>100</v>
      </c>
      <c r="AJ106">
        <v>1</v>
      </c>
    </row>
    <row r="107" spans="1:36" x14ac:dyDescent="0.2">
      <c r="A107">
        <v>106</v>
      </c>
      <c r="B107">
        <v>820</v>
      </c>
      <c r="C107">
        <v>100</v>
      </c>
      <c r="D107">
        <v>0.52296619860037497</v>
      </c>
      <c r="E107">
        <v>7.0803501114906799</v>
      </c>
      <c r="F107">
        <v>0.22341666307939601</v>
      </c>
      <c r="G107">
        <v>-160.72515772047674</v>
      </c>
      <c r="H107">
        <v>-86.352556908221445</v>
      </c>
      <c r="I107">
        <v>68.0388351309265</v>
      </c>
      <c r="J107">
        <v>24.6853927985733</v>
      </c>
      <c r="K107">
        <v>31.691235621823299</v>
      </c>
      <c r="L107">
        <v>1.6309587456016517E-3</v>
      </c>
      <c r="M107">
        <v>1.0250011026478737E-3</v>
      </c>
      <c r="N107" s="1">
        <v>-5.0739105577721102E-5</v>
      </c>
      <c r="O107" s="1">
        <v>7.2978074215149398E-5</v>
      </c>
      <c r="P107" s="1">
        <v>-4.6831363538871999E-5</v>
      </c>
      <c r="AE107">
        <v>100</v>
      </c>
      <c r="AJ107">
        <v>1</v>
      </c>
    </row>
    <row r="108" spans="1:36" x14ac:dyDescent="0.2">
      <c r="A108">
        <v>107</v>
      </c>
      <c r="B108">
        <v>818</v>
      </c>
      <c r="C108">
        <v>100</v>
      </c>
      <c r="D108">
        <v>0.52196352472162699</v>
      </c>
      <c r="E108">
        <v>7.1150615509362103</v>
      </c>
      <c r="F108">
        <v>0.224148536462004</v>
      </c>
      <c r="G108">
        <v>-161.37641398058153</v>
      </c>
      <c r="H108">
        <v>-86.825563145294069</v>
      </c>
      <c r="I108">
        <v>68.326923438960506</v>
      </c>
      <c r="J108">
        <v>24.85624237763</v>
      </c>
      <c r="K108">
        <v>31.742618815368701</v>
      </c>
      <c r="L108">
        <v>1.6395248498985351E-3</v>
      </c>
      <c r="M108">
        <v>1.0253886330700329E-3</v>
      </c>
      <c r="N108" s="1">
        <v>-5.1330651189445402E-5</v>
      </c>
      <c r="O108" s="1">
        <v>7.3209866909276295E-5</v>
      </c>
      <c r="P108" s="1">
        <v>-4.7221122564526698E-5</v>
      </c>
      <c r="AE108">
        <v>100</v>
      </c>
      <c r="AJ108">
        <v>1</v>
      </c>
    </row>
    <row r="109" spans="1:36" x14ac:dyDescent="0.2">
      <c r="A109">
        <v>108</v>
      </c>
      <c r="B109">
        <v>816</v>
      </c>
      <c r="C109">
        <v>100</v>
      </c>
      <c r="D109">
        <v>0.520957168434101</v>
      </c>
      <c r="E109">
        <v>7.1497588209249203</v>
      </c>
      <c r="F109">
        <v>0.22488668000991899</v>
      </c>
      <c r="G109">
        <v>-162.0261069011128</v>
      </c>
      <c r="H109">
        <v>-87.298981746026826</v>
      </c>
      <c r="I109">
        <v>68.614255783068202</v>
      </c>
      <c r="J109">
        <v>25.028192840749899</v>
      </c>
      <c r="K109">
        <v>31.792718095218198</v>
      </c>
      <c r="L109">
        <v>1.6481796669377542E-3</v>
      </c>
      <c r="M109">
        <v>1.0257751624507337E-3</v>
      </c>
      <c r="N109" s="1">
        <v>-5.1926716650610597E-5</v>
      </c>
      <c r="O109" s="1">
        <v>7.3440240051567194E-5</v>
      </c>
      <c r="P109" s="1">
        <v>-4.7614915764408303E-5</v>
      </c>
      <c r="AE109">
        <v>100</v>
      </c>
      <c r="AJ109">
        <v>1</v>
      </c>
    </row>
    <row r="110" spans="1:36" x14ac:dyDescent="0.2">
      <c r="A110">
        <v>109</v>
      </c>
      <c r="B110">
        <v>814</v>
      </c>
      <c r="C110">
        <v>100</v>
      </c>
      <c r="D110">
        <v>0.51994710941452704</v>
      </c>
      <c r="E110">
        <v>7.1843955791554102</v>
      </c>
      <c r="F110">
        <v>0.22563118013883199</v>
      </c>
      <c r="G110">
        <v>-162.67318967861766</v>
      </c>
      <c r="H110">
        <v>-87.77224905862721</v>
      </c>
      <c r="I110">
        <v>68.900383546256904</v>
      </c>
      <c r="J110">
        <v>25.201100924905202</v>
      </c>
      <c r="K110">
        <v>31.841324300722999</v>
      </c>
      <c r="L110">
        <v>1.6569243954755563E-3</v>
      </c>
      <c r="M110">
        <v>1.0261605694645199E-3</v>
      </c>
      <c r="N110" s="1">
        <v>-5.25268959464057E-5</v>
      </c>
      <c r="O110" s="1">
        <v>7.3668716507073494E-5</v>
      </c>
      <c r="P110" s="1">
        <v>-4.8012527380908198E-5</v>
      </c>
      <c r="AE110">
        <v>100</v>
      </c>
      <c r="AJ110">
        <v>1</v>
      </c>
    </row>
    <row r="111" spans="1:36" x14ac:dyDescent="0.2">
      <c r="A111">
        <v>110</v>
      </c>
      <c r="B111">
        <v>812</v>
      </c>
      <c r="C111">
        <v>100</v>
      </c>
      <c r="D111">
        <v>0.51893332718978802</v>
      </c>
      <c r="E111">
        <v>7.2189269589803597</v>
      </c>
      <c r="F111">
        <v>0.22638212482636699</v>
      </c>
      <c r="G111">
        <v>-163.31665245784811</v>
      </c>
      <c r="H111">
        <v>-88.244818212886997</v>
      </c>
      <c r="I111">
        <v>69.184873389171898</v>
      </c>
      <c r="J111">
        <v>25.374827542475799</v>
      </c>
      <c r="K111">
        <v>31.888237485699001</v>
      </c>
      <c r="L111">
        <v>1.665760250045605E-3</v>
      </c>
      <c r="M111">
        <v>1.02654472767636E-3</v>
      </c>
      <c r="N111" s="1">
        <v>-5.3130777481614003E-5</v>
      </c>
      <c r="O111" s="1">
        <v>7.3894837395733804E-5</v>
      </c>
      <c r="P111" s="1">
        <v>-4.8413749867186098E-5</v>
      </c>
      <c r="AE111">
        <v>100</v>
      </c>
      <c r="AJ111">
        <v>1</v>
      </c>
    </row>
    <row r="112" spans="1:36" x14ac:dyDescent="0.2">
      <c r="A112">
        <v>111</v>
      </c>
      <c r="B112">
        <v>810</v>
      </c>
      <c r="C112">
        <v>100</v>
      </c>
      <c r="D112">
        <v>0.517915801135579</v>
      </c>
      <c r="E112">
        <v>7.2533100314062304</v>
      </c>
      <c r="F112">
        <v>0.227139603644743</v>
      </c>
      <c r="G112">
        <v>-163.95553262767459</v>
      </c>
      <c r="H112">
        <v>-88.716164816854231</v>
      </c>
      <c r="I112">
        <v>69.467311637561295</v>
      </c>
      <c r="J112">
        <v>25.5492394229979</v>
      </c>
      <c r="K112">
        <v>31.9332688576437</v>
      </c>
      <c r="L112">
        <v>1.6746884609564285E-3</v>
      </c>
      <c r="M112">
        <v>1.0269275053334547E-3</v>
      </c>
      <c r="N112" s="1">
        <v>-5.3737947356704E-5</v>
      </c>
      <c r="O112" s="1">
        <v>7.4118166677334001E-5</v>
      </c>
      <c r="P112" s="1">
        <v>-4.88183870816923E-5</v>
      </c>
      <c r="AE112">
        <v>100</v>
      </c>
      <c r="AJ112">
        <v>1</v>
      </c>
    </row>
    <row r="113" spans="1:36" x14ac:dyDescent="0.2">
      <c r="A113">
        <v>112</v>
      </c>
      <c r="B113">
        <v>808</v>
      </c>
      <c r="C113">
        <v>100</v>
      </c>
      <c r="D113">
        <v>0.51689451047495805</v>
      </c>
      <c r="E113">
        <v>7.2875041937126603</v>
      </c>
      <c r="F113">
        <v>0.227903707794127</v>
      </c>
      <c r="G113">
        <v>-164.58892340686253</v>
      </c>
      <c r="H113">
        <v>-89.185791775175403</v>
      </c>
      <c r="I113">
        <v>69.747307949027203</v>
      </c>
      <c r="J113">
        <v>25.7242105174088</v>
      </c>
      <c r="K113">
        <v>31.976242353615799</v>
      </c>
      <c r="L113">
        <v>1.6837102742700062E-3</v>
      </c>
      <c r="M113">
        <v>1.0273087651482416E-3</v>
      </c>
      <c r="N113" s="1">
        <v>-5.43479922247668E-5</v>
      </c>
      <c r="O113" s="1">
        <v>7.4338294938294103E-5</v>
      </c>
      <c r="P113" s="1">
        <v>-4.9226257057820802E-5</v>
      </c>
      <c r="AE113">
        <v>100</v>
      </c>
      <c r="AJ113">
        <v>1</v>
      </c>
    </row>
    <row r="114" spans="1:36" x14ac:dyDescent="0.2">
      <c r="A114">
        <v>113</v>
      </c>
      <c r="B114">
        <v>806</v>
      </c>
      <c r="C114">
        <v>100</v>
      </c>
      <c r="D114">
        <v>0.51586943427697896</v>
      </c>
      <c r="E114">
        <v>7.32147148043593</v>
      </c>
      <c r="F114">
        <v>0.22867453013667</v>
      </c>
      <c r="G114">
        <v>-165.21598063363817</v>
      </c>
      <c r="H114">
        <v>-89.653233173508497</v>
      </c>
      <c r="I114">
        <v>70.024498221471106</v>
      </c>
      <c r="J114">
        <v>25.899623146855099</v>
      </c>
      <c r="K114">
        <v>32.016995841470198</v>
      </c>
      <c r="L114">
        <v>1.6928269517603844E-3</v>
      </c>
      <c r="M114">
        <v>1.0276883640724125E-3</v>
      </c>
      <c r="N114" s="1">
        <v>-5.4960501672898497E-5</v>
      </c>
      <c r="O114" s="1">
        <v>7.4554842345963805E-5</v>
      </c>
      <c r="P114" s="1">
        <v>-4.9637194311088798E-5</v>
      </c>
      <c r="AE114">
        <v>100</v>
      </c>
      <c r="AJ114">
        <v>1</v>
      </c>
    </row>
    <row r="115" spans="1:36" x14ac:dyDescent="0.2">
      <c r="A115">
        <v>114</v>
      </c>
      <c r="B115">
        <v>804</v>
      </c>
      <c r="C115">
        <v>100</v>
      </c>
      <c r="D115">
        <v>0.514840551455232</v>
      </c>
      <c r="E115">
        <v>7.3551767951327598</v>
      </c>
      <c r="F115">
        <v>0.22945216523124601</v>
      </c>
      <c r="G115">
        <v>-165.83592773383734</v>
      </c>
      <c r="H115">
        <v>-90.118057205898182</v>
      </c>
      <c r="I115">
        <v>70.298546731431003</v>
      </c>
      <c r="J115">
        <v>26.075368887140399</v>
      </c>
      <c r="K115">
        <v>32.055381947344301</v>
      </c>
      <c r="L115">
        <v>1.7020397708502977E-3</v>
      </c>
      <c r="M115">
        <v>1.0280661530613889E-3</v>
      </c>
      <c r="N115" s="1">
        <v>-5.5575070089289003E-5</v>
      </c>
      <c r="O115" s="1">
        <v>7.4767460763861402E-5</v>
      </c>
      <c r="P115" s="1">
        <v>-5.0051051663003498E-5</v>
      </c>
      <c r="AE115">
        <v>100</v>
      </c>
      <c r="AJ115">
        <v>1</v>
      </c>
    </row>
    <row r="116" spans="1:36" x14ac:dyDescent="0.2">
      <c r="A116">
        <v>115</v>
      </c>
      <c r="B116">
        <v>802</v>
      </c>
      <c r="C116">
        <v>100</v>
      </c>
      <c r="D116">
        <v>0.51380784076640695</v>
      </c>
      <c r="E116">
        <v>7.3885880659794001</v>
      </c>
      <c r="F116">
        <v>0.23023670936889501</v>
      </c>
      <c r="G116">
        <v>-166.44805894714318</v>
      </c>
      <c r="H116">
        <v>-90.57986817873136</v>
      </c>
      <c r="I116">
        <v>70.569147534961999</v>
      </c>
      <c r="J116">
        <v>26.2513491961097</v>
      </c>
      <c r="K116">
        <v>32.091268530688801</v>
      </c>
      <c r="L116">
        <v>1.7113500245243777E-3</v>
      </c>
      <c r="M116">
        <v>1.0284419768289896E-3</v>
      </c>
      <c r="N116" s="1">
        <v>-5.6191298011502497E-5</v>
      </c>
      <c r="O116" s="1">
        <v>7.4975835068613603E-5</v>
      </c>
      <c r="P116" s="1">
        <v>-5.0467701591409802E-5</v>
      </c>
      <c r="AE116">
        <v>100</v>
      </c>
      <c r="AJ116">
        <v>1</v>
      </c>
    </row>
    <row r="117" spans="1:36" x14ac:dyDescent="0.2">
      <c r="A117">
        <v>116</v>
      </c>
      <c r="B117">
        <v>800</v>
      </c>
      <c r="C117">
        <v>100</v>
      </c>
      <c r="D117">
        <v>0.51277128080883805</v>
      </c>
      <c r="E117">
        <v>7.42167632995596</v>
      </c>
      <c r="F117">
        <v>0.23102826060898499</v>
      </c>
      <c r="G117">
        <v>-167.05174092857877</v>
      </c>
      <c r="H117">
        <v>-91.038307645844569</v>
      </c>
      <c r="I117">
        <v>70.836025179772903</v>
      </c>
      <c r="J117">
        <v>26.427475797277499</v>
      </c>
      <c r="K117">
        <v>32.124538835173603</v>
      </c>
      <c r="L117">
        <v>1.7207590212170441E-3</v>
      </c>
      <c r="M117">
        <v>1.0288156735918177E-3</v>
      </c>
      <c r="N117" s="1">
        <v>-5.68087929649645E-5</v>
      </c>
      <c r="O117" s="1">
        <v>7.5179683726074394E-5</v>
      </c>
      <c r="P117" s="1">
        <v>-5.08870371286172E-5</v>
      </c>
      <c r="AE117">
        <v>100</v>
      </c>
      <c r="AJ117">
        <v>1</v>
      </c>
    </row>
    <row r="118" spans="1:36" x14ac:dyDescent="0.2">
      <c r="A118">
        <v>117</v>
      </c>
      <c r="B118">
        <v>798</v>
      </c>
      <c r="C118">
        <v>100</v>
      </c>
      <c r="D118">
        <v>0.51173085002101004</v>
      </c>
      <c r="E118">
        <v>7.4544157531927597</v>
      </c>
      <c r="F118">
        <v>0.231826918816084</v>
      </c>
      <c r="G118">
        <v>-167.64641290523701</v>
      </c>
      <c r="H118">
        <v>-91.493054764277986</v>
      </c>
      <c r="I118">
        <v>71.098934804095094</v>
      </c>
      <c r="J118">
        <v>26.6036708431884</v>
      </c>
      <c r="K118">
        <v>32.155091355488999</v>
      </c>
      <c r="L118">
        <v>1.7302680846730345E-3</v>
      </c>
      <c r="M118">
        <v>1.0291870748029344E-3</v>
      </c>
      <c r="N118" s="1">
        <v>-5.74271698238528E-5</v>
      </c>
      <c r="O118" s="1">
        <v>7.5378758712050294E-5</v>
      </c>
      <c r="P118" s="1">
        <v>-5.1308972348302397E-5</v>
      </c>
      <c r="AE118">
        <v>100</v>
      </c>
      <c r="AJ118">
        <v>1</v>
      </c>
    </row>
    <row r="119" spans="1:36" x14ac:dyDescent="0.2">
      <c r="A119">
        <v>118</v>
      </c>
      <c r="B119">
        <v>796</v>
      </c>
      <c r="C119">
        <v>100</v>
      </c>
      <c r="D119">
        <v>0.51068652668007097</v>
      </c>
      <c r="E119">
        <v>7.5120916139973</v>
      </c>
      <c r="F119">
        <v>0.23263278569757001</v>
      </c>
      <c r="G119">
        <v>-168.80026878062802</v>
      </c>
      <c r="H119">
        <v>-92.254629132524244</v>
      </c>
      <c r="I119">
        <v>71.598876236468698</v>
      </c>
      <c r="J119">
        <v>26.870392455778799</v>
      </c>
      <c r="K119">
        <v>32.291629021556901</v>
      </c>
      <c r="L119">
        <v>1.739878553778659E-3</v>
      </c>
      <c r="M119">
        <v>1.0295560048744364E-3</v>
      </c>
      <c r="N119" s="1">
        <v>-5.8242267239685197E-5</v>
      </c>
      <c r="O119" s="1">
        <v>7.5828308234851305E-5</v>
      </c>
      <c r="P119" s="1">
        <v>-5.1908320109118498E-5</v>
      </c>
      <c r="AE119">
        <v>100</v>
      </c>
      <c r="AJ119">
        <v>1</v>
      </c>
    </row>
    <row r="120" spans="1:36" x14ac:dyDescent="0.2">
      <c r="A120">
        <v>119</v>
      </c>
      <c r="B120">
        <v>794</v>
      </c>
      <c r="C120">
        <v>100</v>
      </c>
      <c r="D120">
        <v>0.50963828890034402</v>
      </c>
      <c r="E120">
        <v>7.6703899908161803</v>
      </c>
      <c r="F120">
        <v>0.23344596484196101</v>
      </c>
      <c r="G120">
        <v>-172.21114465259799</v>
      </c>
      <c r="H120">
        <v>-94.25359877389424</v>
      </c>
      <c r="I120">
        <v>73.056210792177595</v>
      </c>
      <c r="J120">
        <v>27.4996249688466</v>
      </c>
      <c r="K120">
        <v>32.857239558665597</v>
      </c>
      <c r="L120">
        <v>1.7495917823615174E-3</v>
      </c>
      <c r="M120">
        <v>1.029922280888413E-3</v>
      </c>
      <c r="N120" s="1">
        <v>-5.9848155406015598E-5</v>
      </c>
      <c r="O120" s="1">
        <v>7.7289636365770095E-5</v>
      </c>
      <c r="P120" s="1">
        <v>-5.3212315860400902E-5</v>
      </c>
      <c r="AE120">
        <v>100</v>
      </c>
      <c r="AJ120">
        <v>1</v>
      </c>
    </row>
    <row r="121" spans="1:36" x14ac:dyDescent="0.2">
      <c r="A121">
        <v>120</v>
      </c>
      <c r="B121">
        <v>792</v>
      </c>
      <c r="C121">
        <v>100</v>
      </c>
      <c r="D121">
        <v>0.50858611463174297</v>
      </c>
      <c r="E121">
        <v>7.8315346168793196</v>
      </c>
      <c r="F121">
        <v>0.23426656175799099</v>
      </c>
      <c r="G121">
        <v>-175.67994092532612</v>
      </c>
      <c r="H121">
        <v>-96.289960479544959</v>
      </c>
      <c r="I121">
        <v>74.538292382105993</v>
      </c>
      <c r="J121">
        <v>28.1425546164926</v>
      </c>
      <c r="K121">
        <v>33.430014758015901</v>
      </c>
      <c r="L121">
        <v>1.7594091389562811E-3</v>
      </c>
      <c r="M121">
        <v>1.0302857122958353E-3</v>
      </c>
      <c r="N121" s="1">
        <v>-6.1491827155679804E-5</v>
      </c>
      <c r="O121" s="1">
        <v>7.8773872594318497E-5</v>
      </c>
      <c r="P121" s="1">
        <v>-5.4548500205182098E-5</v>
      </c>
      <c r="AE121">
        <v>100</v>
      </c>
      <c r="AJ121">
        <v>1</v>
      </c>
    </row>
    <row r="122" spans="1:36" x14ac:dyDescent="0.2">
      <c r="A122">
        <v>121</v>
      </c>
      <c r="B122">
        <v>790</v>
      </c>
      <c r="C122">
        <v>100</v>
      </c>
      <c r="D122">
        <v>0.507529981658283</v>
      </c>
      <c r="E122">
        <v>7.9985289746515296</v>
      </c>
      <c r="F122">
        <v>0.23509468391441601</v>
      </c>
      <c r="G122">
        <v>-179.27382005106168</v>
      </c>
      <c r="H122">
        <v>-98.400735233593721</v>
      </c>
      <c r="I122">
        <v>76.073613381849398</v>
      </c>
      <c r="J122">
        <v>28.810137637129898</v>
      </c>
      <c r="K122">
        <v>34.0225854599217</v>
      </c>
      <c r="L122">
        <v>1.7693320065342219E-3</v>
      </c>
      <c r="M122">
        <v>1.0306461006029024E-3</v>
      </c>
      <c r="N122" s="1">
        <v>-6.3197226541489206E-5</v>
      </c>
      <c r="O122" s="1">
        <v>8.0311012595459896E-5</v>
      </c>
      <c r="P122" s="1">
        <v>-5.59384333449733E-5</v>
      </c>
      <c r="AE122">
        <v>100</v>
      </c>
      <c r="AJ122">
        <v>1</v>
      </c>
    </row>
    <row r="123" spans="1:36" x14ac:dyDescent="0.2">
      <c r="A123">
        <v>122</v>
      </c>
      <c r="B123">
        <v>788</v>
      </c>
      <c r="C123">
        <v>100</v>
      </c>
      <c r="D123">
        <v>0.50646986759647905</v>
      </c>
      <c r="E123">
        <v>8.1768972383403007</v>
      </c>
      <c r="F123">
        <v>0.23593044078056399</v>
      </c>
      <c r="G123">
        <v>-183.11616552026118</v>
      </c>
      <c r="H123">
        <v>-100.65405975051657</v>
      </c>
      <c r="I123">
        <v>77.714540915481706</v>
      </c>
      <c r="J123">
        <v>29.5225371051881</v>
      </c>
      <c r="K123">
        <v>34.6580848630106</v>
      </c>
      <c r="L123">
        <v>1.779361782193686E-3</v>
      </c>
      <c r="M123">
        <v>1.0310032390443114E-3</v>
      </c>
      <c r="N123" s="1">
        <v>-6.5008900348925702E-5</v>
      </c>
      <c r="O123" s="1">
        <v>8.1956101585273897E-5</v>
      </c>
      <c r="P123" s="1">
        <v>-5.74217414988028E-5</v>
      </c>
      <c r="AE123">
        <v>100</v>
      </c>
      <c r="AJ123">
        <v>1</v>
      </c>
    </row>
    <row r="124" spans="1:36" x14ac:dyDescent="0.2">
      <c r="A124">
        <v>123</v>
      </c>
      <c r="B124">
        <v>786</v>
      </c>
      <c r="C124">
        <v>100</v>
      </c>
      <c r="D124">
        <v>0.50540574989378495</v>
      </c>
      <c r="E124">
        <v>8.3776889440206208</v>
      </c>
      <c r="F124">
        <v>0.23677394386762701</v>
      </c>
      <c r="G124">
        <v>-187.45357328011883</v>
      </c>
      <c r="H124">
        <v>-103.1862860291162</v>
      </c>
      <c r="I124">
        <v>79.565766396700496</v>
      </c>
      <c r="J124">
        <v>30.320110077949501</v>
      </c>
      <c r="K124">
        <v>35.382647292914598</v>
      </c>
      <c r="L124">
        <v>1.7894998768088176E-3</v>
      </c>
      <c r="M124">
        <v>1.0313569122429196E-3</v>
      </c>
      <c r="N124" s="1">
        <v>-6.7016646979136494E-5</v>
      </c>
      <c r="O124" s="1">
        <v>8.3819070749586397E-5</v>
      </c>
      <c r="P124" s="1">
        <v>-5.9077690984020202E-5</v>
      </c>
      <c r="AE124">
        <v>100</v>
      </c>
      <c r="AJ124">
        <v>1</v>
      </c>
    </row>
    <row r="125" spans="1:36" x14ac:dyDescent="0.2">
      <c r="A125">
        <v>124</v>
      </c>
      <c r="B125">
        <v>784</v>
      </c>
      <c r="C125">
        <v>100</v>
      </c>
      <c r="D125">
        <v>0.50433760582698905</v>
      </c>
      <c r="E125">
        <v>8.9424941884285207</v>
      </c>
      <c r="F125">
        <v>0.23762530677069199</v>
      </c>
      <c r="G125">
        <v>-199.92147963099819</v>
      </c>
      <c r="H125">
        <v>-110.20768386727846</v>
      </c>
      <c r="I125">
        <v>84.868668786857398</v>
      </c>
      <c r="J125">
        <v>32.442791075309003</v>
      </c>
      <c r="K125">
        <v>37.632751788756103</v>
      </c>
      <c r="L125">
        <v>1.7997477146335335E-3</v>
      </c>
      <c r="M125">
        <v>1.0317068958552802E-3</v>
      </c>
      <c r="N125" s="1">
        <v>-7.1972708658613394E-5</v>
      </c>
      <c r="O125" s="1">
        <v>8.9310225564951005E-5</v>
      </c>
      <c r="P125" s="1">
        <v>-6.3327689712785296E-5</v>
      </c>
      <c r="AE125">
        <v>100</v>
      </c>
      <c r="AJ125">
        <v>1</v>
      </c>
    </row>
    <row r="126" spans="1:36" x14ac:dyDescent="0.2">
      <c r="A126">
        <v>125</v>
      </c>
      <c r="B126">
        <v>782</v>
      </c>
      <c r="C126">
        <v>100</v>
      </c>
      <c r="D126">
        <v>0.50326541250059598</v>
      </c>
      <c r="E126">
        <v>10.078167179074899</v>
      </c>
      <c r="F126">
        <v>0.238484645211514</v>
      </c>
      <c r="G126">
        <v>-225.11975184966406</v>
      </c>
      <c r="H126">
        <v>-124.27698218413394</v>
      </c>
      <c r="I126">
        <v>95.577441133166204</v>
      </c>
      <c r="J126">
        <v>36.652686793252798</v>
      </c>
      <c r="K126">
        <v>42.259186834173299</v>
      </c>
      <c r="L126">
        <v>1.8101067328576419E-3</v>
      </c>
      <c r="M126">
        <v>1.0320529562025051E-3</v>
      </c>
      <c r="N126" s="1">
        <v>-8.1604980007311101E-5</v>
      </c>
      <c r="O126">
        <v>1.0047222089577199E-4</v>
      </c>
      <c r="P126" s="1">
        <v>-7.16765167000526E-5</v>
      </c>
      <c r="AE126">
        <v>100</v>
      </c>
      <c r="AJ126">
        <v>1</v>
      </c>
    </row>
    <row r="127" spans="1:36" x14ac:dyDescent="0.2">
      <c r="A127">
        <v>126</v>
      </c>
      <c r="B127">
        <v>780</v>
      </c>
      <c r="C127">
        <v>100</v>
      </c>
      <c r="D127">
        <v>0.50218914684517901</v>
      </c>
      <c r="E127">
        <v>10.4493907986603</v>
      </c>
      <c r="F127">
        <v>0.239352077082018</v>
      </c>
      <c r="G127">
        <v>-233.21378746373347</v>
      </c>
      <c r="H127">
        <v>-128.93075456614184</v>
      </c>
      <c r="I127">
        <v>99.025791844155805</v>
      </c>
      <c r="J127">
        <v>38.097087418319397</v>
      </c>
      <c r="K127">
        <v>43.656988174285402</v>
      </c>
      <c r="L127">
        <v>1.8205783811116156E-3</v>
      </c>
      <c r="M127">
        <v>1.0323948498857497E-3</v>
      </c>
      <c r="N127" s="1">
        <v>-8.5118863640424401E-5</v>
      </c>
      <c r="O127">
        <v>1.03986106478356E-4</v>
      </c>
      <c r="P127" s="1">
        <v>-7.4640020454698594E-5</v>
      </c>
      <c r="AE127">
        <v>100</v>
      </c>
      <c r="AJ127">
        <v>1</v>
      </c>
    </row>
    <row r="128" spans="1:36" x14ac:dyDescent="0.2">
      <c r="A128">
        <v>127</v>
      </c>
      <c r="B128">
        <v>778</v>
      </c>
      <c r="C128">
        <v>100</v>
      </c>
      <c r="D128">
        <v>0.501108785615755</v>
      </c>
      <c r="E128">
        <v>10.585608063458601</v>
      </c>
      <c r="F128">
        <v>0.24022772248853699</v>
      </c>
      <c r="G128">
        <v>-236.05338025462098</v>
      </c>
      <c r="H128">
        <v>-130.68876768940459</v>
      </c>
      <c r="I128">
        <v>100.243229130172</v>
      </c>
      <c r="J128">
        <v>38.6905681120409</v>
      </c>
      <c r="K128">
        <v>44.064889571451303</v>
      </c>
      <c r="L128">
        <v>1.831164120916739E-3</v>
      </c>
      <c r="M128">
        <v>1.0327323233859484E-3</v>
      </c>
      <c r="N128" s="1">
        <v>-8.6740667253593903E-5</v>
      </c>
      <c r="O128">
        <v>1.05152110718923E-4</v>
      </c>
      <c r="P128" s="1">
        <v>-7.5946464324264497E-5</v>
      </c>
      <c r="AE128">
        <v>100</v>
      </c>
      <c r="AJ128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ABC33-E071-416D-B9CA-70A658F8D3AF}">
  <sheetPr codeName="Sheet15"/>
  <dimension ref="A1:AU128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752</v>
      </c>
      <c r="C2">
        <v>300</v>
      </c>
      <c r="D2">
        <v>0.27207774472028401</v>
      </c>
      <c r="E2">
        <v>215.34782015985127</v>
      </c>
      <c r="F2">
        <v>60.3407043554407</v>
      </c>
      <c r="G2">
        <v>71.709057655817077</v>
      </c>
      <c r="H2">
        <v>67.098667700666638</v>
      </c>
      <c r="J2">
        <v>64.673948538739936</v>
      </c>
      <c r="L2">
        <v>5.8691227742884511</v>
      </c>
      <c r="M2">
        <v>12.780303653338272</v>
      </c>
      <c r="N2">
        <v>2.6811692270015484</v>
      </c>
      <c r="O2">
        <v>22.371803695097981</v>
      </c>
      <c r="P2">
        <v>12.031068830344424</v>
      </c>
      <c r="Q2">
        <v>0.74505769807714228</v>
      </c>
      <c r="R2">
        <v>13.220903470730478</v>
      </c>
      <c r="S2">
        <v>39.168126501812473</v>
      </c>
      <c r="U2">
        <v>1.0881268323958286</v>
      </c>
      <c r="V2">
        <v>47.125899604260105</v>
      </c>
      <c r="W2">
        <v>20.563479963492725</v>
      </c>
      <c r="X2">
        <v>47.338110789646194</v>
      </c>
      <c r="Y2">
        <v>8.2463044608618787</v>
      </c>
      <c r="Z2">
        <v>28.820815578009022</v>
      </c>
      <c r="AA2">
        <v>4.7658417458270268</v>
      </c>
      <c r="AB2">
        <v>33.394234009709756</v>
      </c>
      <c r="AC2">
        <v>2.7986482314884134E-3</v>
      </c>
      <c r="AD2">
        <v>6.6916469500058513</v>
      </c>
      <c r="AE2">
        <v>11.152118791249707</v>
      </c>
      <c r="AF2">
        <v>12.465690556633181</v>
      </c>
      <c r="AG2">
        <v>18.770815686316329</v>
      </c>
      <c r="AH2">
        <v>7.7243928012203611</v>
      </c>
      <c r="AI2">
        <v>2.630953807289421</v>
      </c>
      <c r="AK2">
        <v>55.442451810111443</v>
      </c>
    </row>
    <row r="3" spans="1:47" x14ac:dyDescent="0.2">
      <c r="A3">
        <v>2</v>
      </c>
      <c r="B3">
        <v>750</v>
      </c>
      <c r="C3">
        <v>300</v>
      </c>
      <c r="D3">
        <v>0.270518008112205</v>
      </c>
      <c r="E3">
        <v>215.11080685244025</v>
      </c>
      <c r="F3">
        <v>59.59915587913887</v>
      </c>
      <c r="G3">
        <v>71.586938507648256</v>
      </c>
      <c r="H3">
        <v>66.971924055596887</v>
      </c>
      <c r="J3">
        <v>64.513147462635118</v>
      </c>
      <c r="L3">
        <v>5.7069035343319703</v>
      </c>
      <c r="M3">
        <v>12.637793916511395</v>
      </c>
      <c r="N3">
        <v>2.6820293874188108</v>
      </c>
      <c r="O3">
        <v>21.626944296096102</v>
      </c>
      <c r="P3">
        <v>11.830774242884102</v>
      </c>
      <c r="Q3">
        <v>0.6021703503576602</v>
      </c>
      <c r="R3">
        <v>12.795972741135817</v>
      </c>
      <c r="S3">
        <v>38.265731411290915</v>
      </c>
      <c r="U3">
        <v>0.924615365075936</v>
      </c>
      <c r="V3">
        <v>46.895988370167615</v>
      </c>
      <c r="W3">
        <v>20.137628226751701</v>
      </c>
      <c r="X3">
        <v>46.912720553012612</v>
      </c>
      <c r="Y3">
        <v>8.0742604392269666</v>
      </c>
      <c r="Z3">
        <v>28.395617209334478</v>
      </c>
      <c r="AA3">
        <v>4.5980459167135628</v>
      </c>
      <c r="AB3">
        <v>33.073217731813045</v>
      </c>
      <c r="AD3">
        <v>6.449709097231568</v>
      </c>
      <c r="AE3">
        <v>10.960499755306762</v>
      </c>
      <c r="AF3">
        <v>12.317867785624818</v>
      </c>
      <c r="AG3">
        <v>18.416691429111509</v>
      </c>
      <c r="AH3">
        <v>7.4589522661107601</v>
      </c>
      <c r="AI3">
        <v>2.6312283169044433</v>
      </c>
      <c r="AK3">
        <v>55.421632657435879</v>
      </c>
    </row>
    <row r="4" spans="1:47" x14ac:dyDescent="0.2">
      <c r="A4">
        <v>3</v>
      </c>
      <c r="B4">
        <v>748</v>
      </c>
      <c r="C4">
        <v>300</v>
      </c>
      <c r="D4">
        <v>0.26895216177838999</v>
      </c>
      <c r="E4">
        <v>214.86810273240695</v>
      </c>
      <c r="F4">
        <v>58.837591604775881</v>
      </c>
      <c r="G4">
        <v>71.461897520690769</v>
      </c>
      <c r="H4">
        <v>66.842311188965184</v>
      </c>
      <c r="J4">
        <v>64.342356004046437</v>
      </c>
      <c r="L4">
        <v>5.5417707876469899</v>
      </c>
      <c r="M4">
        <v>12.486114091369599</v>
      </c>
      <c r="N4">
        <v>2.6859701310093897</v>
      </c>
      <c r="O4">
        <v>20.875372908572814</v>
      </c>
      <c r="P4">
        <v>11.627748115298919</v>
      </c>
      <c r="Q4">
        <v>0.45301644841266669</v>
      </c>
      <c r="R4">
        <v>12.357282544534142</v>
      </c>
      <c r="S4">
        <v>37.319192685165483</v>
      </c>
      <c r="U4">
        <v>0.75344575573502814</v>
      </c>
      <c r="V4">
        <v>46.651523912911017</v>
      </c>
      <c r="W4">
        <v>19.69404251902272</v>
      </c>
      <c r="X4">
        <v>46.461633399948944</v>
      </c>
      <c r="Y4">
        <v>7.8979509151379643</v>
      </c>
      <c r="Z4">
        <v>27.955895377280903</v>
      </c>
      <c r="AA4">
        <v>4.4274094030927449</v>
      </c>
      <c r="AB4">
        <v>32.734887045247795</v>
      </c>
      <c r="AD4">
        <v>6.1985287839168892</v>
      </c>
      <c r="AE4">
        <v>10.762822779929859</v>
      </c>
      <c r="AF4">
        <v>12.163956807679151</v>
      </c>
      <c r="AG4">
        <v>18.048343575324502</v>
      </c>
      <c r="AH4">
        <v>7.1835727914017067</v>
      </c>
      <c r="AI4">
        <v>2.6345800419355894</v>
      </c>
      <c r="AK4">
        <v>55.397764687281253</v>
      </c>
    </row>
    <row r="5" spans="1:47" x14ac:dyDescent="0.2">
      <c r="A5">
        <v>4</v>
      </c>
      <c r="B5">
        <v>746</v>
      </c>
      <c r="C5">
        <v>300</v>
      </c>
      <c r="D5">
        <v>0.26738016974930101</v>
      </c>
      <c r="E5">
        <v>214.62608080596888</v>
      </c>
      <c r="F5">
        <v>58.078897187356027</v>
      </c>
      <c r="G5">
        <v>71.337210873734762</v>
      </c>
      <c r="H5">
        <v>66.71310544839929</v>
      </c>
      <c r="J5">
        <v>64.174152440342283</v>
      </c>
      <c r="L5">
        <v>5.3773323638578772</v>
      </c>
      <c r="M5">
        <v>12.335027051074936</v>
      </c>
      <c r="N5">
        <v>2.6899103710827466</v>
      </c>
      <c r="O5">
        <v>20.126315959565694</v>
      </c>
      <c r="P5">
        <v>11.425461903469079</v>
      </c>
      <c r="Q5">
        <v>0.30432877703921074</v>
      </c>
      <c r="R5">
        <v>11.920070416750711</v>
      </c>
      <c r="S5">
        <v>36.376497233433824</v>
      </c>
      <c r="U5">
        <v>0.58262085117121276</v>
      </c>
      <c r="V5">
        <v>46.407911578293536</v>
      </c>
      <c r="W5">
        <v>19.251547719788803</v>
      </c>
      <c r="X5">
        <v>46.012396431830581</v>
      </c>
      <c r="Y5">
        <v>7.7222947825533366</v>
      </c>
      <c r="Z5">
        <v>27.517194222374201</v>
      </c>
      <c r="AA5">
        <v>4.2574623551854307</v>
      </c>
      <c r="AB5">
        <v>32.397576426916373</v>
      </c>
      <c r="AD5">
        <v>5.9477572228022488</v>
      </c>
      <c r="AE5">
        <v>10.565560888410324</v>
      </c>
      <c r="AF5">
        <v>12.010639454818447</v>
      </c>
      <c r="AG5">
        <v>17.681025563617347</v>
      </c>
      <c r="AH5">
        <v>6.9091077734188113</v>
      </c>
      <c r="AI5">
        <v>2.6379278809720699</v>
      </c>
      <c r="AK5">
        <v>55.375280011824493</v>
      </c>
    </row>
    <row r="6" spans="1:47" x14ac:dyDescent="0.2">
      <c r="A6">
        <v>5</v>
      </c>
      <c r="B6">
        <v>744</v>
      </c>
      <c r="C6">
        <v>300</v>
      </c>
      <c r="D6">
        <v>0.26580199577250502</v>
      </c>
      <c r="E6">
        <v>214.38473889861621</v>
      </c>
      <c r="F6">
        <v>57.323060003105439</v>
      </c>
      <c r="G6">
        <v>71.212877684089221</v>
      </c>
      <c r="H6">
        <v>66.584306120706131</v>
      </c>
      <c r="J6">
        <v>64.008536349539284</v>
      </c>
      <c r="L6">
        <v>5.2135440203896906</v>
      </c>
      <c r="M6">
        <v>12.184528972936365</v>
      </c>
      <c r="N6">
        <v>2.6938501119126048</v>
      </c>
      <c r="O6">
        <v>19.379763244716422</v>
      </c>
      <c r="P6">
        <v>11.223914032312276</v>
      </c>
      <c r="Q6">
        <v>0.15610407083473007</v>
      </c>
      <c r="R6">
        <v>11.484327929386122</v>
      </c>
      <c r="S6">
        <v>35.437624273476828</v>
      </c>
      <c r="U6">
        <v>0.4121382770384403</v>
      </c>
      <c r="V6">
        <v>46.165145976213104</v>
      </c>
      <c r="W6">
        <v>18.810135049584328</v>
      </c>
      <c r="X6">
        <v>45.564999878668068</v>
      </c>
      <c r="Y6">
        <v>7.5472894807415658</v>
      </c>
      <c r="Z6">
        <v>27.079502264755504</v>
      </c>
      <c r="AA6">
        <v>4.0882017625880689</v>
      </c>
      <c r="AB6">
        <v>32.061276283231649</v>
      </c>
      <c r="AD6">
        <v>5.6973914073065197</v>
      </c>
      <c r="AE6">
        <v>10.368708187456722</v>
      </c>
      <c r="AF6">
        <v>11.857911954379521</v>
      </c>
      <c r="AG6">
        <v>17.314727853435901</v>
      </c>
      <c r="AH6">
        <v>6.6355548183608528</v>
      </c>
      <c r="AI6">
        <v>2.641271823564912</v>
      </c>
      <c r="AK6">
        <v>55.35418015778081</v>
      </c>
    </row>
    <row r="7" spans="1:47" x14ac:dyDescent="0.2">
      <c r="A7">
        <v>6</v>
      </c>
      <c r="B7">
        <v>742</v>
      </c>
      <c r="C7">
        <v>300</v>
      </c>
      <c r="D7">
        <v>0.264217603309855</v>
      </c>
      <c r="E7">
        <v>214.1440749507754</v>
      </c>
      <c r="F7">
        <v>56.570067813523472</v>
      </c>
      <c r="G7">
        <v>71.088897121839807</v>
      </c>
      <c r="H7">
        <v>66.455912546137</v>
      </c>
      <c r="J7">
        <v>63.84550758044842</v>
      </c>
      <c r="L7">
        <v>5.0504809738986118</v>
      </c>
      <c r="M7">
        <v>12.034616103963495</v>
      </c>
      <c r="N7">
        <v>2.6977893578158776</v>
      </c>
      <c r="O7">
        <v>18.635704844665291</v>
      </c>
      <c r="P7">
        <v>11.023103033382171</v>
      </c>
      <c r="Q7">
        <v>8.3390760035873084E-3</v>
      </c>
      <c r="R7">
        <v>11.050046876322428</v>
      </c>
      <c r="S7">
        <v>34.502553497594327</v>
      </c>
      <c r="U7">
        <v>0.24199576144964846</v>
      </c>
      <c r="V7">
        <v>45.92322171698067</v>
      </c>
      <c r="W7">
        <v>18.369795834565835</v>
      </c>
      <c r="X7">
        <v>45.119434257660451</v>
      </c>
      <c r="Y7">
        <v>7.3729325584041288</v>
      </c>
      <c r="Z7">
        <v>26.642808051275949</v>
      </c>
      <c r="AA7">
        <v>3.9196247152356154</v>
      </c>
      <c r="AB7">
        <v>31.725977087251227</v>
      </c>
      <c r="AD7">
        <v>5.4474283364400584</v>
      </c>
      <c r="AE7">
        <v>10.172258778980829</v>
      </c>
      <c r="AF7">
        <v>11.705770603653619</v>
      </c>
      <c r="AG7">
        <v>16.94944097122934</v>
      </c>
      <c r="AH7">
        <v>6.3629116493915996</v>
      </c>
      <c r="AI7">
        <v>2.6446118593080987</v>
      </c>
      <c r="AK7">
        <v>55.334466806755572</v>
      </c>
    </row>
    <row r="8" spans="1:47" x14ac:dyDescent="0.2">
      <c r="A8">
        <v>7</v>
      </c>
      <c r="B8">
        <v>740</v>
      </c>
      <c r="C8">
        <v>300</v>
      </c>
      <c r="D8">
        <v>0.26262695553471999</v>
      </c>
      <c r="E8">
        <v>213.70533801049243</v>
      </c>
      <c r="F8">
        <v>54.594714168365464</v>
      </c>
      <c r="G8">
        <v>70.761890938296347</v>
      </c>
      <c r="H8">
        <v>66.124546646838439</v>
      </c>
      <c r="J8">
        <v>63.481651161836318</v>
      </c>
      <c r="L8">
        <v>4.5569766553348305</v>
      </c>
      <c r="M8">
        <v>12.038971619699648</v>
      </c>
      <c r="N8">
        <v>2.7017146257864066</v>
      </c>
      <c r="O8">
        <v>16.564662349644816</v>
      </c>
      <c r="P8">
        <v>10.416259114409794</v>
      </c>
      <c r="R8">
        <v>10.413384243306833</v>
      </c>
      <c r="S8">
        <v>34.025429393479882</v>
      </c>
      <c r="U8">
        <v>0.15229773872291338</v>
      </c>
      <c r="V8">
        <v>46.065949245123981</v>
      </c>
      <c r="W8">
        <v>17.892273283454131</v>
      </c>
      <c r="X8">
        <v>44.928718448117749</v>
      </c>
      <c r="Y8">
        <v>6.8034068038253883</v>
      </c>
      <c r="Z8">
        <v>25.572116679850733</v>
      </c>
      <c r="AA8">
        <v>3.3934251116965535</v>
      </c>
      <c r="AB8">
        <v>31.666055161159335</v>
      </c>
      <c r="AD8">
        <v>4.806502694965701</v>
      </c>
      <c r="AE8">
        <v>9.7586695670971082</v>
      </c>
      <c r="AF8">
        <v>11.707885141344846</v>
      </c>
      <c r="AG8">
        <v>16.859527805561079</v>
      </c>
      <c r="AH8">
        <v>5.5113548225127875</v>
      </c>
      <c r="AI8">
        <v>2.6479344904706799</v>
      </c>
      <c r="AK8">
        <v>55.016561905360945</v>
      </c>
    </row>
    <row r="9" spans="1:47" x14ac:dyDescent="0.2">
      <c r="A9">
        <v>8</v>
      </c>
      <c r="B9">
        <v>738</v>
      </c>
      <c r="C9">
        <v>300</v>
      </c>
      <c r="D9">
        <v>0.26103001532908299</v>
      </c>
      <c r="E9">
        <v>213.24443055730944</v>
      </c>
      <c r="F9">
        <v>52.452036588537389</v>
      </c>
      <c r="G9">
        <v>70.40342973771439</v>
      </c>
      <c r="H9">
        <v>65.761779198576036</v>
      </c>
      <c r="J9">
        <v>63.045629718338404</v>
      </c>
      <c r="L9">
        <v>4.0044146241105993</v>
      </c>
      <c r="M9">
        <v>12.061073562069595</v>
      </c>
      <c r="N9">
        <v>2.7056362376571519</v>
      </c>
      <c r="O9">
        <v>14.295746761884699</v>
      </c>
      <c r="P9">
        <v>9.7465339949126708</v>
      </c>
      <c r="R9">
        <v>9.698415328652672</v>
      </c>
      <c r="S9">
        <v>33.462579861200837</v>
      </c>
      <c r="U9">
        <v>8.0355275681746247E-2</v>
      </c>
      <c r="V9">
        <v>46.201179328699475</v>
      </c>
      <c r="W9">
        <v>17.422789883394209</v>
      </c>
      <c r="X9">
        <v>44.791401502662943</v>
      </c>
      <c r="Y9">
        <v>6.1730664576363896</v>
      </c>
      <c r="Z9">
        <v>24.411976064360719</v>
      </c>
      <c r="AA9">
        <v>2.8111019727461826</v>
      </c>
      <c r="AB9">
        <v>31.573922378840706</v>
      </c>
      <c r="AD9">
        <v>4.1066961203174195</v>
      </c>
      <c r="AE9">
        <v>9.3164403937393931</v>
      </c>
      <c r="AF9">
        <v>11.727743977588007</v>
      </c>
      <c r="AG9">
        <v>16.737410601858628</v>
      </c>
      <c r="AH9">
        <v>4.5681609699219035</v>
      </c>
      <c r="AI9">
        <v>2.6512500241615231</v>
      </c>
      <c r="AK9">
        <v>54.651600322806452</v>
      </c>
    </row>
    <row r="10" spans="1:47" x14ac:dyDescent="0.2">
      <c r="A10">
        <v>9</v>
      </c>
      <c r="B10">
        <v>736</v>
      </c>
      <c r="C10">
        <v>300</v>
      </c>
      <c r="D10">
        <v>0.25942674528068399</v>
      </c>
      <c r="E10">
        <v>212.76238648926892</v>
      </c>
      <c r="F10">
        <v>50.132274805588999</v>
      </c>
      <c r="G10">
        <v>70.012283517959119</v>
      </c>
      <c r="H10">
        <v>65.366380371403466</v>
      </c>
      <c r="J10">
        <v>62.505984738351223</v>
      </c>
      <c r="L10">
        <v>3.3875337908050205</v>
      </c>
      <c r="M10">
        <v>12.094839336645819</v>
      </c>
      <c r="N10">
        <v>2.7095537438087418</v>
      </c>
      <c r="O10">
        <v>11.818340279926241</v>
      </c>
      <c r="P10">
        <v>9.011467411238776</v>
      </c>
      <c r="R10">
        <v>8.8823179407443664</v>
      </c>
      <c r="S10">
        <v>32.714526408591574</v>
      </c>
      <c r="U10">
        <v>2.5441220697836449E-2</v>
      </c>
      <c r="V10">
        <v>46.293405500929431</v>
      </c>
      <c r="W10">
        <v>16.965289403816406</v>
      </c>
      <c r="X10">
        <v>44.704475221386659</v>
      </c>
      <c r="Y10">
        <v>5.4790297166636632</v>
      </c>
      <c r="Z10">
        <v>23.14635163562183</v>
      </c>
      <c r="AA10">
        <v>2.1687340448334362</v>
      </c>
      <c r="AB10">
        <v>31.398161104319236</v>
      </c>
      <c r="AD10">
        <v>3.3389259914490168</v>
      </c>
      <c r="AE10">
        <v>8.8374338347320585</v>
      </c>
      <c r="AF10">
        <v>11.75926411492248</v>
      </c>
      <c r="AG10">
        <v>16.531671324553319</v>
      </c>
      <c r="AH10">
        <v>3.5272772000648951</v>
      </c>
      <c r="AI10">
        <v>2.6545579960380934</v>
      </c>
      <c r="AK10">
        <v>54.233037174123517</v>
      </c>
    </row>
    <row r="11" spans="1:47" x14ac:dyDescent="0.2">
      <c r="A11">
        <v>10</v>
      </c>
      <c r="B11">
        <v>734</v>
      </c>
      <c r="C11">
        <v>300</v>
      </c>
      <c r="D11">
        <v>0.25781710768008598</v>
      </c>
      <c r="E11">
        <v>212.16165585129261</v>
      </c>
      <c r="F11">
        <v>44.484183478866591</v>
      </c>
      <c r="G11">
        <v>69.229450307450804</v>
      </c>
      <c r="H11">
        <v>64.579348366613132</v>
      </c>
      <c r="J11">
        <v>44.725493409651158</v>
      </c>
      <c r="L11">
        <v>1.6838130311341302</v>
      </c>
      <c r="M11">
        <v>11.642714692945384</v>
      </c>
      <c r="N11">
        <v>2.7134630528398245</v>
      </c>
      <c r="O11">
        <v>5.0245039682654307</v>
      </c>
      <c r="P11">
        <v>7.4930515201367891</v>
      </c>
      <c r="R11">
        <v>6.2007684567208621</v>
      </c>
      <c r="S11">
        <v>29.181456621823806</v>
      </c>
      <c r="V11">
        <v>46.496157356260234</v>
      </c>
      <c r="W11">
        <v>16.321314602030917</v>
      </c>
      <c r="X11">
        <v>44.703851918103183</v>
      </c>
      <c r="Y11">
        <v>3.5568246398298053</v>
      </c>
      <c r="Z11">
        <v>17.945202593232892</v>
      </c>
      <c r="AB11">
        <v>29.336086347581436</v>
      </c>
      <c r="AE11">
        <v>6.4425182900050588</v>
      </c>
      <c r="AF11">
        <v>11.30488725826177</v>
      </c>
      <c r="AG11">
        <v>14.439620942581792</v>
      </c>
      <c r="AI11">
        <v>2.6578542999765755</v>
      </c>
      <c r="AK11">
        <v>42.3105769787852</v>
      </c>
    </row>
    <row r="12" spans="1:47" x14ac:dyDescent="0.2">
      <c r="A12">
        <v>11</v>
      </c>
      <c r="B12">
        <v>732</v>
      </c>
      <c r="C12">
        <v>300</v>
      </c>
      <c r="D12">
        <v>0.256201064517732</v>
      </c>
      <c r="E12">
        <v>212.49194375701987</v>
      </c>
      <c r="F12">
        <v>45.496711726270966</v>
      </c>
      <c r="G12">
        <v>69.187425437587294</v>
      </c>
      <c r="H12">
        <v>64.533178689160835</v>
      </c>
      <c r="J12">
        <v>34.229545956938409</v>
      </c>
      <c r="L12">
        <v>1.7126926358089805</v>
      </c>
      <c r="M12">
        <v>10.858305813186821</v>
      </c>
      <c r="N12">
        <v>2.7174278394584128</v>
      </c>
      <c r="O12">
        <v>5.0420229066736635</v>
      </c>
      <c r="P12">
        <v>7.4563408514982283</v>
      </c>
      <c r="R12">
        <v>5.5493907685632546</v>
      </c>
      <c r="S12">
        <v>29.451111356665656</v>
      </c>
      <c r="V12">
        <v>47.344867161794831</v>
      </c>
      <c r="W12">
        <v>15.368105994953375</v>
      </c>
      <c r="X12">
        <v>44.771873417741183</v>
      </c>
      <c r="Y12">
        <v>3.1296462402491425</v>
      </c>
      <c r="Z12">
        <v>18.289806892388189</v>
      </c>
      <c r="AB12">
        <v>29.998232094296572</v>
      </c>
      <c r="AE12">
        <v>6.6236190375876776</v>
      </c>
      <c r="AF12">
        <v>10.518283311538021</v>
      </c>
      <c r="AG12">
        <v>15.071857166997738</v>
      </c>
      <c r="AI12">
        <v>2.6612025959643821</v>
      </c>
      <c r="AK12">
        <v>35.194922991305816</v>
      </c>
    </row>
    <row r="13" spans="1:47" x14ac:dyDescent="0.2">
      <c r="A13">
        <v>12</v>
      </c>
      <c r="B13">
        <v>752</v>
      </c>
      <c r="C13">
        <v>275</v>
      </c>
      <c r="D13">
        <v>0.29890308735307097</v>
      </c>
      <c r="E13">
        <v>200.75416855656732</v>
      </c>
      <c r="F13">
        <v>59.846032705101322</v>
      </c>
      <c r="G13">
        <v>71.709390478595552</v>
      </c>
      <c r="H13">
        <v>67.097772239899655</v>
      </c>
      <c r="J13">
        <v>64.134018008420412</v>
      </c>
      <c r="L13">
        <v>5.7869642093803666</v>
      </c>
      <c r="M13">
        <v>12.752565489984168</v>
      </c>
      <c r="N13">
        <v>2.5952169950424833</v>
      </c>
      <c r="O13">
        <v>22.500090500964202</v>
      </c>
      <c r="P13">
        <v>11.804552625350224</v>
      </c>
      <c r="Q13">
        <v>0.33273682550777894</v>
      </c>
      <c r="R13">
        <v>13.265630706847878</v>
      </c>
      <c r="S13">
        <v>38.677249155110943</v>
      </c>
      <c r="U13">
        <v>0.91303144527088265</v>
      </c>
      <c r="V13">
        <v>46.589772312041475</v>
      </c>
      <c r="W13">
        <v>21.068164895081374</v>
      </c>
      <c r="X13">
        <v>45.825919121960318</v>
      </c>
      <c r="Y13">
        <v>8.052818126534131</v>
      </c>
      <c r="Z13">
        <v>28.851493012495027</v>
      </c>
      <c r="AA13">
        <v>4.7103487940895796</v>
      </c>
      <c r="AB13">
        <v>33.434323354344194</v>
      </c>
      <c r="AC13">
        <v>8.4069448742921313E-3</v>
      </c>
      <c r="AD13">
        <v>6.6915050900348234</v>
      </c>
      <c r="AE13">
        <v>11.351001255655204</v>
      </c>
      <c r="AF13">
        <v>12.429049357268624</v>
      </c>
      <c r="AG13">
        <v>18.833179506506401</v>
      </c>
      <c r="AH13">
        <v>7.2463739813119998</v>
      </c>
      <c r="AI13">
        <v>2.5417393801986146</v>
      </c>
      <c r="AK13">
        <v>55.04482352731857</v>
      </c>
    </row>
    <row r="14" spans="1:47" x14ac:dyDescent="0.2">
      <c r="A14">
        <v>13</v>
      </c>
      <c r="B14">
        <v>750</v>
      </c>
      <c r="C14">
        <v>275</v>
      </c>
      <c r="D14">
        <v>0.29739578751893703</v>
      </c>
      <c r="E14">
        <v>200.52896160580792</v>
      </c>
      <c r="F14">
        <v>59.148732237404808</v>
      </c>
      <c r="G14">
        <v>71.593308144484013</v>
      </c>
      <c r="H14">
        <v>66.977045103865962</v>
      </c>
      <c r="J14">
        <v>63.994593742398926</v>
      </c>
      <c r="L14">
        <v>5.6318946086653741</v>
      </c>
      <c r="M14">
        <v>12.628908426590543</v>
      </c>
      <c r="N14">
        <v>2.5904893125260284</v>
      </c>
      <c r="O14">
        <v>21.772811241634365</v>
      </c>
      <c r="P14">
        <v>11.610724080478834</v>
      </c>
      <c r="Q14">
        <v>0.20267480463553272</v>
      </c>
      <c r="R14">
        <v>12.870142681520754</v>
      </c>
      <c r="S14">
        <v>37.865467628423289</v>
      </c>
      <c r="U14">
        <v>0.76384565849948016</v>
      </c>
      <c r="V14">
        <v>46.389223179388786</v>
      </c>
      <c r="W14">
        <v>20.67809186244471</v>
      </c>
      <c r="X14">
        <v>45.453172997472691</v>
      </c>
      <c r="Y14">
        <v>7.8898976384507753</v>
      </c>
      <c r="Z14">
        <v>28.459083729402231</v>
      </c>
      <c r="AA14">
        <v>4.5496540488185708</v>
      </c>
      <c r="AB14">
        <v>33.149705103931332</v>
      </c>
      <c r="AD14">
        <v>6.4696142854023</v>
      </c>
      <c r="AE14">
        <v>11.173256471442885</v>
      </c>
      <c r="AF14">
        <v>12.294484468857187</v>
      </c>
      <c r="AG14">
        <v>18.509931199866912</v>
      </c>
      <c r="AH14">
        <v>7.0013561115693941</v>
      </c>
      <c r="AI14">
        <v>2.5364283023812608</v>
      </c>
      <c r="AK14">
        <v>55.031349264248419</v>
      </c>
    </row>
    <row r="15" spans="1:47" x14ac:dyDescent="0.2">
      <c r="A15">
        <v>14</v>
      </c>
      <c r="B15">
        <v>748</v>
      </c>
      <c r="C15">
        <v>275</v>
      </c>
      <c r="D15">
        <v>0.29588258336189799</v>
      </c>
      <c r="E15">
        <v>200.28619950645211</v>
      </c>
      <c r="F15">
        <v>58.389869197829761</v>
      </c>
      <c r="G15">
        <v>71.468321068984167</v>
      </c>
      <c r="H15">
        <v>66.847465853142722</v>
      </c>
      <c r="J15">
        <v>63.821573933161709</v>
      </c>
      <c r="L15">
        <v>5.4674380047779083</v>
      </c>
      <c r="M15">
        <v>12.478381798791744</v>
      </c>
      <c r="N15">
        <v>2.5944348350678972</v>
      </c>
      <c r="O15">
        <v>21.022530269213686</v>
      </c>
      <c r="P15">
        <v>11.407790799973387</v>
      </c>
      <c r="Q15">
        <v>5.4037361252610029E-2</v>
      </c>
      <c r="R15">
        <v>12.433226178040547</v>
      </c>
      <c r="S15">
        <v>36.922528106714353</v>
      </c>
      <c r="U15">
        <v>0.59222770669621039</v>
      </c>
      <c r="V15">
        <v>46.145862962482397</v>
      </c>
      <c r="W15">
        <v>20.236357397519932</v>
      </c>
      <c r="X15">
        <v>45.004000984091313</v>
      </c>
      <c r="Y15">
        <v>7.7138172551319428</v>
      </c>
      <c r="Z15">
        <v>28.02523923241904</v>
      </c>
      <c r="AA15">
        <v>4.3797911978158588</v>
      </c>
      <c r="AB15">
        <v>32.815208993373055</v>
      </c>
      <c r="AD15">
        <v>6.2215761398407396</v>
      </c>
      <c r="AE15">
        <v>10.978399075740494</v>
      </c>
      <c r="AF15">
        <v>12.141724543441443</v>
      </c>
      <c r="AG15">
        <v>18.145488467053379</v>
      </c>
      <c r="AH15">
        <v>6.7268392815390001</v>
      </c>
      <c r="AI15">
        <v>2.5397870618653884</v>
      </c>
      <c r="AK15">
        <v>55.006258430658065</v>
      </c>
    </row>
    <row r="16" spans="1:47" x14ac:dyDescent="0.2">
      <c r="A16">
        <v>15</v>
      </c>
      <c r="B16">
        <v>746</v>
      </c>
      <c r="C16">
        <v>275</v>
      </c>
      <c r="D16">
        <v>0.29436344012167098</v>
      </c>
      <c r="E16">
        <v>199.91424012317336</v>
      </c>
      <c r="F16">
        <v>56.826573794241426</v>
      </c>
      <c r="G16">
        <v>71.209963563076656</v>
      </c>
      <c r="H16">
        <v>66.584568967547241</v>
      </c>
      <c r="J16">
        <v>63.524742580288162</v>
      </c>
      <c r="L16">
        <v>5.0856934995660739</v>
      </c>
      <c r="M16">
        <v>12.431103586975762</v>
      </c>
      <c r="N16">
        <v>2.5983713528608736</v>
      </c>
      <c r="O16">
        <v>19.396604093346689</v>
      </c>
      <c r="P16">
        <v>10.938139381005318</v>
      </c>
      <c r="R16">
        <v>11.866621002763218</v>
      </c>
      <c r="S16">
        <v>36.295384999772203</v>
      </c>
      <c r="U16">
        <v>0.47516048673238404</v>
      </c>
      <c r="V16">
        <v>46.161257863818406</v>
      </c>
      <c r="W16">
        <v>19.766921946695373</v>
      </c>
      <c r="X16">
        <v>44.728057224429691</v>
      </c>
      <c r="Y16">
        <v>7.2776769825752643</v>
      </c>
      <c r="Z16">
        <v>27.169189396785296</v>
      </c>
      <c r="AA16">
        <v>3.9745948783508793</v>
      </c>
      <c r="AB16">
        <v>32.664942217529834</v>
      </c>
      <c r="AD16">
        <v>5.7146927975343971</v>
      </c>
      <c r="AE16">
        <v>10.637604777451266</v>
      </c>
      <c r="AF16">
        <v>12.092205397151998</v>
      </c>
      <c r="AG16">
        <v>17.965276341569012</v>
      </c>
      <c r="AH16">
        <v>6.0723624290545324</v>
      </c>
      <c r="AI16">
        <v>2.543133434122947</v>
      </c>
      <c r="AK16">
        <v>54.788432827034185</v>
      </c>
    </row>
    <row r="17" spans="1:37" x14ac:dyDescent="0.2">
      <c r="A17">
        <v>16</v>
      </c>
      <c r="B17">
        <v>744</v>
      </c>
      <c r="C17">
        <v>275</v>
      </c>
      <c r="D17">
        <v>0.29283832276459099</v>
      </c>
      <c r="E17">
        <v>199.46352425267935</v>
      </c>
      <c r="F17">
        <v>54.750771011047192</v>
      </c>
      <c r="G17">
        <v>70.863561143855662</v>
      </c>
      <c r="H17">
        <v>66.233680133672536</v>
      </c>
      <c r="J17">
        <v>63.117909358435881</v>
      </c>
      <c r="L17">
        <v>4.5547276067895002</v>
      </c>
      <c r="M17">
        <v>12.448221341272159</v>
      </c>
      <c r="N17">
        <v>2.6023009320928683</v>
      </c>
      <c r="O17">
        <v>17.199294576030688</v>
      </c>
      <c r="P17">
        <v>10.292423109999785</v>
      </c>
      <c r="R17">
        <v>11.180323380943793</v>
      </c>
      <c r="S17">
        <v>35.766806629720556</v>
      </c>
      <c r="U17">
        <v>0.39872362335073225</v>
      </c>
      <c r="V17">
        <v>46.299845433418483</v>
      </c>
      <c r="W17">
        <v>19.289666345945044</v>
      </c>
      <c r="X17">
        <v>44.578608345313128</v>
      </c>
      <c r="Y17">
        <v>6.6702839511369518</v>
      </c>
      <c r="Z17">
        <v>26.043993598422791</v>
      </c>
      <c r="AA17">
        <v>3.4135592620021562</v>
      </c>
      <c r="AB17">
        <v>32.584705034368987</v>
      </c>
      <c r="AD17">
        <v>5.0395723310303975</v>
      </c>
      <c r="AE17">
        <v>10.205936025847459</v>
      </c>
      <c r="AF17">
        <v>12.107076692059755</v>
      </c>
      <c r="AG17">
        <v>17.855097196328089</v>
      </c>
      <c r="AH17">
        <v>5.1657998405857741</v>
      </c>
      <c r="AI17">
        <v>2.5464694706193836</v>
      </c>
      <c r="AK17">
        <v>54.443499509367321</v>
      </c>
    </row>
    <row r="18" spans="1:37" x14ac:dyDescent="0.2">
      <c r="A18">
        <v>17</v>
      </c>
      <c r="B18">
        <v>742</v>
      </c>
      <c r="C18">
        <v>275</v>
      </c>
      <c r="D18">
        <v>0.291307195980888</v>
      </c>
      <c r="E18">
        <v>199.00040138808339</v>
      </c>
      <c r="F18">
        <v>52.562635777098485</v>
      </c>
      <c r="G18">
        <v>70.494917890169774</v>
      </c>
      <c r="H18">
        <v>65.8606036005324</v>
      </c>
      <c r="J18">
        <v>62.641224694309173</v>
      </c>
      <c r="L18">
        <v>3.979177722823064</v>
      </c>
      <c r="M18">
        <v>12.475042271509574</v>
      </c>
      <c r="N18">
        <v>2.6062273629379096</v>
      </c>
      <c r="O18">
        <v>14.86296229671294</v>
      </c>
      <c r="P18">
        <v>9.6022541219228525</v>
      </c>
      <c r="R18">
        <v>10.421378630399895</v>
      </c>
      <c r="S18">
        <v>35.105566683447748</v>
      </c>
      <c r="U18">
        <v>0.33663330319958135</v>
      </c>
      <c r="V18">
        <v>46.404724830095965</v>
      </c>
      <c r="W18">
        <v>18.823271886382667</v>
      </c>
      <c r="X18">
        <v>44.471645613896364</v>
      </c>
      <c r="Y18">
        <v>6.0197804911106578</v>
      </c>
      <c r="Z18">
        <v>24.854454064588172</v>
      </c>
      <c r="AA18">
        <v>2.8122013282352638</v>
      </c>
      <c r="AB18">
        <v>32.445423946289196</v>
      </c>
      <c r="AD18">
        <v>4.3213029047159006</v>
      </c>
      <c r="AE18">
        <v>9.7534486868158119</v>
      </c>
      <c r="AF18">
        <v>12.131649474133388</v>
      </c>
      <c r="AG18">
        <v>17.685881372978546</v>
      </c>
      <c r="AH18">
        <v>4.1931442552947784</v>
      </c>
      <c r="AI18">
        <v>2.5497989468057978</v>
      </c>
      <c r="AK18">
        <v>54.064601182608094</v>
      </c>
    </row>
    <row r="19" spans="1:37" x14ac:dyDescent="0.2">
      <c r="A19">
        <v>18</v>
      </c>
      <c r="B19">
        <v>740</v>
      </c>
      <c r="C19">
        <v>275</v>
      </c>
      <c r="D19">
        <v>0.28977002418201098</v>
      </c>
      <c r="E19">
        <v>198.51504302250549</v>
      </c>
      <c r="F19">
        <v>50.183296695710752</v>
      </c>
      <c r="G19">
        <v>70.091655416191941</v>
      </c>
      <c r="H19">
        <v>65.452961153136471</v>
      </c>
      <c r="J19">
        <v>62.049104008912806</v>
      </c>
      <c r="L19">
        <v>3.3353027738987038</v>
      </c>
      <c r="M19">
        <v>12.512777853491521</v>
      </c>
      <c r="N19">
        <v>2.6101494967973795</v>
      </c>
      <c r="O19">
        <v>12.302951892941925</v>
      </c>
      <c r="P19">
        <v>8.8428746846646611</v>
      </c>
      <c r="R19">
        <v>9.5542323038728867</v>
      </c>
      <c r="S19">
        <v>34.228643462987215</v>
      </c>
      <c r="U19">
        <v>0.2920278218673984</v>
      </c>
      <c r="V19">
        <v>46.459006453361482</v>
      </c>
      <c r="W19">
        <v>18.369607019296158</v>
      </c>
      <c r="X19">
        <v>44.416422895675488</v>
      </c>
      <c r="Y19">
        <v>5.301437021025337</v>
      </c>
      <c r="Z19">
        <v>23.546255282453419</v>
      </c>
      <c r="AA19">
        <v>2.1465110982729532</v>
      </c>
      <c r="AB19">
        <v>32.205619452543168</v>
      </c>
      <c r="AD19">
        <v>3.5276078122926333</v>
      </c>
      <c r="AE19">
        <v>9.2580655704744981</v>
      </c>
      <c r="AF19">
        <v>12.167134116742874</v>
      </c>
      <c r="AG19">
        <v>17.416148271560541</v>
      </c>
      <c r="AH19">
        <v>3.1161168546719593</v>
      </c>
      <c r="AI19">
        <v>2.5531206993588951</v>
      </c>
      <c r="AK19">
        <v>53.627816508217883</v>
      </c>
    </row>
    <row r="20" spans="1:37" x14ac:dyDescent="0.2">
      <c r="A20">
        <v>19</v>
      </c>
      <c r="B20">
        <v>738</v>
      </c>
      <c r="C20">
        <v>275</v>
      </c>
      <c r="D20">
        <v>0.28822677149780002</v>
      </c>
      <c r="E20">
        <v>197.97389137409212</v>
      </c>
      <c r="F20">
        <v>44.732075694328763</v>
      </c>
      <c r="G20">
        <v>69.482962486616515</v>
      </c>
      <c r="H20">
        <v>64.839941727688228</v>
      </c>
      <c r="J20">
        <v>47.026134265346485</v>
      </c>
      <c r="L20">
        <v>1.6668668781018059</v>
      </c>
      <c r="M20">
        <v>12.123110996987007</v>
      </c>
      <c r="N20">
        <v>2.6140797829260256</v>
      </c>
      <c r="O20">
        <v>5.1579552056770863</v>
      </c>
      <c r="P20">
        <v>7.6726749660652729</v>
      </c>
      <c r="R20">
        <v>7.2138445549167978</v>
      </c>
      <c r="S20">
        <v>31.643011426834025</v>
      </c>
      <c r="U20">
        <v>0.18511185795969237</v>
      </c>
      <c r="V20">
        <v>47.032246955830054</v>
      </c>
      <c r="W20">
        <v>17.799807165901008</v>
      </c>
      <c r="X20">
        <v>44.178430319821587</v>
      </c>
      <c r="Y20">
        <v>3.5681730233632623</v>
      </c>
      <c r="Z20">
        <v>17.758986594549498</v>
      </c>
      <c r="AB20">
        <v>30.24991975047098</v>
      </c>
      <c r="AE20">
        <v>6.4186327119344071</v>
      </c>
      <c r="AF20">
        <v>11.775226025291827</v>
      </c>
      <c r="AG20">
        <v>15.430538588377749</v>
      </c>
      <c r="AI20">
        <v>2.5564471628092131</v>
      </c>
      <c r="AK20">
        <v>43.360939150321492</v>
      </c>
    </row>
    <row r="21" spans="1:37" x14ac:dyDescent="0.2">
      <c r="A21">
        <v>20</v>
      </c>
      <c r="B21">
        <v>736</v>
      </c>
      <c r="C21">
        <v>275</v>
      </c>
      <c r="D21">
        <v>0.28667740177377199</v>
      </c>
      <c r="E21">
        <v>198.25224345670341</v>
      </c>
      <c r="F21">
        <v>45.636901447562394</v>
      </c>
      <c r="G21">
        <v>69.435408301367602</v>
      </c>
      <c r="H21">
        <v>64.788114696302159</v>
      </c>
      <c r="J21">
        <v>35.498661040113305</v>
      </c>
      <c r="L21">
        <v>1.6975528548895891</v>
      </c>
      <c r="M21">
        <v>11.314571709723939</v>
      </c>
      <c r="N21">
        <v>2.6180494437827764</v>
      </c>
      <c r="O21">
        <v>5.1448791363242723</v>
      </c>
      <c r="P21">
        <v>7.6248247786982342</v>
      </c>
      <c r="R21">
        <v>6.5952273807370974</v>
      </c>
      <c r="S21">
        <v>32.62874228294082</v>
      </c>
      <c r="U21">
        <v>0.12681862444063396</v>
      </c>
      <c r="V21">
        <v>48.163641167553614</v>
      </c>
      <c r="W21">
        <v>16.850860689859147</v>
      </c>
      <c r="X21">
        <v>44.079740527605217</v>
      </c>
      <c r="Y21">
        <v>3.1152620167072591</v>
      </c>
      <c r="Z21">
        <v>18.120612612418935</v>
      </c>
      <c r="AB21">
        <v>31.332473472132893</v>
      </c>
      <c r="AE21">
        <v>6.6127144481077709</v>
      </c>
      <c r="AF21">
        <v>10.96448647655091</v>
      </c>
      <c r="AG21">
        <v>16.483232227975837</v>
      </c>
      <c r="AI21">
        <v>2.5598095448922868</v>
      </c>
      <c r="AK21">
        <v>35.422661544766498</v>
      </c>
    </row>
    <row r="22" spans="1:37" x14ac:dyDescent="0.2">
      <c r="A22">
        <v>21</v>
      </c>
      <c r="B22">
        <v>754</v>
      </c>
      <c r="C22">
        <v>250</v>
      </c>
      <c r="D22">
        <v>0.32717762741566497</v>
      </c>
      <c r="E22">
        <v>186.3629341142626</v>
      </c>
      <c r="F22">
        <v>59.963986856442546</v>
      </c>
      <c r="G22">
        <v>71.815276778614276</v>
      </c>
      <c r="H22">
        <v>67.207158349537423</v>
      </c>
      <c r="J22">
        <v>63.713831127406387</v>
      </c>
      <c r="L22">
        <v>5.8440458479738302</v>
      </c>
      <c r="M22">
        <v>12.814569456300289</v>
      </c>
      <c r="N22">
        <v>2.5232927257752777</v>
      </c>
      <c r="O22">
        <v>23.350865096285204</v>
      </c>
      <c r="P22">
        <v>11.76015691494614</v>
      </c>
      <c r="Q22">
        <v>2.0878797763654065E-2</v>
      </c>
      <c r="R22">
        <v>13.649202090879811</v>
      </c>
      <c r="S22">
        <v>38.861291686287139</v>
      </c>
      <c r="U22">
        <v>0.88808600558588635</v>
      </c>
      <c r="V22">
        <v>46.196560021799009</v>
      </c>
      <c r="W22">
        <v>21.932238366441862</v>
      </c>
      <c r="X22">
        <v>44.583922752499888</v>
      </c>
      <c r="Y22">
        <v>8.0040745108284668</v>
      </c>
      <c r="Z22">
        <v>29.207561003389795</v>
      </c>
      <c r="AA22">
        <v>4.8000838163316004</v>
      </c>
      <c r="AB22">
        <v>33.690327410246795</v>
      </c>
      <c r="AC22">
        <v>3.1993653241199072E-2</v>
      </c>
      <c r="AD22">
        <v>6.8735750596497178</v>
      </c>
      <c r="AE22">
        <v>11.700792018864197</v>
      </c>
      <c r="AF22">
        <v>12.502375846756994</v>
      </c>
      <c r="AG22">
        <v>19.159310074886164</v>
      </c>
      <c r="AH22">
        <v>6.9733112280799725</v>
      </c>
      <c r="AI22">
        <v>2.467190124221033</v>
      </c>
      <c r="AK22">
        <v>54.647661366466572</v>
      </c>
    </row>
    <row r="23" spans="1:37" x14ac:dyDescent="0.2">
      <c r="A23">
        <v>22</v>
      </c>
      <c r="B23">
        <v>752</v>
      </c>
      <c r="C23">
        <v>250</v>
      </c>
      <c r="D23">
        <v>0.32572842998585799</v>
      </c>
      <c r="E23">
        <v>186.11319804078414</v>
      </c>
      <c r="F23">
        <v>58.972707706698358</v>
      </c>
      <c r="G23">
        <v>71.646523070742404</v>
      </c>
      <c r="H23">
        <v>67.033687066729215</v>
      </c>
      <c r="J23">
        <v>63.601689027649087</v>
      </c>
      <c r="L23">
        <v>5.5894718041552007</v>
      </c>
      <c r="M23">
        <v>12.827136717219892</v>
      </c>
      <c r="N23">
        <v>2.494995133888434</v>
      </c>
      <c r="O23">
        <v>22.177676378893999</v>
      </c>
      <c r="P23">
        <v>11.437364728295258</v>
      </c>
      <c r="R23">
        <v>13.296468265679104</v>
      </c>
      <c r="S23">
        <v>38.605699512087781</v>
      </c>
      <c r="U23">
        <v>0.83397628180673256</v>
      </c>
      <c r="V23">
        <v>46.269336500695161</v>
      </c>
      <c r="W23">
        <v>21.667559884685037</v>
      </c>
      <c r="X23">
        <v>44.531488726273139</v>
      </c>
      <c r="Y23">
        <v>7.7265673466268394</v>
      </c>
      <c r="Z23">
        <v>28.681309652432567</v>
      </c>
      <c r="AA23">
        <v>4.5287074296934149</v>
      </c>
      <c r="AB23">
        <v>33.65192941211172</v>
      </c>
      <c r="AD23">
        <v>6.5726063447087446</v>
      </c>
      <c r="AE23">
        <v>11.483482381323013</v>
      </c>
      <c r="AF23">
        <v>12.480457124251311</v>
      </c>
      <c r="AG23">
        <v>19.058767696397471</v>
      </c>
      <c r="AH23">
        <v>6.5894491495418697</v>
      </c>
      <c r="AI23">
        <v>2.4383147455735514</v>
      </c>
      <c r="AK23">
        <v>54.557938828358566</v>
      </c>
    </row>
    <row r="24" spans="1:37" x14ac:dyDescent="0.2">
      <c r="A24">
        <v>23</v>
      </c>
      <c r="B24">
        <v>750</v>
      </c>
      <c r="C24">
        <v>250</v>
      </c>
      <c r="D24">
        <v>0.324273566925672</v>
      </c>
      <c r="E24">
        <v>185.66973371111814</v>
      </c>
      <c r="F24">
        <v>56.941028316475823</v>
      </c>
      <c r="G24">
        <v>71.308220321462656</v>
      </c>
      <c r="H24">
        <v>66.690719210506572</v>
      </c>
      <c r="J24">
        <v>63.211657325717589</v>
      </c>
      <c r="L24">
        <v>5.0727399101356783</v>
      </c>
      <c r="M24">
        <v>12.840582477140293</v>
      </c>
      <c r="N24">
        <v>2.4989322655821269</v>
      </c>
      <c r="O24">
        <v>20.026468263137641</v>
      </c>
      <c r="P24">
        <v>10.807740528194984</v>
      </c>
      <c r="R24">
        <v>12.628166158562587</v>
      </c>
      <c r="S24">
        <v>38.093661350505464</v>
      </c>
      <c r="U24">
        <v>0.75461361439033481</v>
      </c>
      <c r="V24">
        <v>46.408219009037339</v>
      </c>
      <c r="W24">
        <v>21.183854568746412</v>
      </c>
      <c r="X24">
        <v>44.374808610939105</v>
      </c>
      <c r="Y24">
        <v>7.1344698560815614</v>
      </c>
      <c r="Z24">
        <v>27.577476824484066</v>
      </c>
      <c r="AA24">
        <v>3.9819637216520132</v>
      </c>
      <c r="AB24">
        <v>33.575629383163843</v>
      </c>
      <c r="AD24">
        <v>5.9137335616782121</v>
      </c>
      <c r="AE24">
        <v>11.057378762213522</v>
      </c>
      <c r="AF24">
        <v>12.491652925462597</v>
      </c>
      <c r="AG24">
        <v>18.952568191447853</v>
      </c>
      <c r="AH24">
        <v>5.7077339458227385</v>
      </c>
      <c r="AI24">
        <v>2.4416707374679207</v>
      </c>
      <c r="AK24">
        <v>54.225853872016216</v>
      </c>
    </row>
    <row r="25" spans="1:37" x14ac:dyDescent="0.2">
      <c r="A25">
        <v>24</v>
      </c>
      <c r="B25">
        <v>748</v>
      </c>
      <c r="C25">
        <v>250</v>
      </c>
      <c r="D25">
        <v>0.32281300494540499</v>
      </c>
      <c r="E25">
        <v>185.2184038040395</v>
      </c>
      <c r="F25">
        <v>54.830204659402732</v>
      </c>
      <c r="G25">
        <v>70.953145927658724</v>
      </c>
      <c r="H25">
        <v>66.331032345930069</v>
      </c>
      <c r="J25">
        <v>62.76913817324079</v>
      </c>
      <c r="L25">
        <v>4.5216857361005749</v>
      </c>
      <c r="M25">
        <v>12.862422296817698</v>
      </c>
      <c r="N25">
        <v>2.5028667634104793</v>
      </c>
      <c r="O25">
        <v>17.772198409555504</v>
      </c>
      <c r="P25">
        <v>10.144601934982322</v>
      </c>
      <c r="R25">
        <v>11.901930537611571</v>
      </c>
      <c r="S25">
        <v>37.475793947885009</v>
      </c>
      <c r="U25">
        <v>0.6880200479936468</v>
      </c>
      <c r="V25">
        <v>46.518270860611935</v>
      </c>
      <c r="W25">
        <v>20.710343832891205</v>
      </c>
      <c r="X25">
        <v>44.255969288757733</v>
      </c>
      <c r="Y25">
        <v>6.5099981234072732</v>
      </c>
      <c r="Z25">
        <v>26.429557406273538</v>
      </c>
      <c r="AA25">
        <v>3.4049481743823997</v>
      </c>
      <c r="AB25">
        <v>33.452488612504759</v>
      </c>
      <c r="AD25">
        <v>5.22403456403591</v>
      </c>
      <c r="AE25">
        <v>10.618154047314205</v>
      </c>
      <c r="AF25">
        <v>12.511241499044365</v>
      </c>
      <c r="AG25">
        <v>18.799535539835084</v>
      </c>
      <c r="AH25">
        <v>4.7762313047488885</v>
      </c>
      <c r="AI25">
        <v>2.4450207277399905</v>
      </c>
      <c r="AK25">
        <v>53.869875216688172</v>
      </c>
    </row>
    <row r="26" spans="1:37" x14ac:dyDescent="0.2">
      <c r="A26">
        <v>25</v>
      </c>
      <c r="B26">
        <v>746</v>
      </c>
      <c r="C26">
        <v>250</v>
      </c>
      <c r="D26">
        <v>0.32134671049404001</v>
      </c>
      <c r="E26">
        <v>184.75410956124674</v>
      </c>
      <c r="F26">
        <v>52.598909215531208</v>
      </c>
      <c r="G26">
        <v>70.574781035262475</v>
      </c>
      <c r="H26">
        <v>65.948107787768208</v>
      </c>
      <c r="J26">
        <v>62.248926914678599</v>
      </c>
      <c r="L26">
        <v>3.9238569424280576</v>
      </c>
      <c r="M26">
        <v>12.8934458482245</v>
      </c>
      <c r="N26">
        <v>2.5067979816025674</v>
      </c>
      <c r="O26">
        <v>15.370201392151101</v>
      </c>
      <c r="P26">
        <v>9.4349107797945759</v>
      </c>
      <c r="R26">
        <v>11.099343784454879</v>
      </c>
      <c r="S26">
        <v>36.703440357086556</v>
      </c>
      <c r="U26">
        <v>0.63600039695213162</v>
      </c>
      <c r="V26">
        <v>46.589062878212765</v>
      </c>
      <c r="W26">
        <v>20.248325764217885</v>
      </c>
      <c r="X26">
        <v>44.18031930230859</v>
      </c>
      <c r="Y26">
        <v>5.8400997033967927</v>
      </c>
      <c r="Z26">
        <v>25.209156625299855</v>
      </c>
      <c r="AA26">
        <v>2.7849868542764744</v>
      </c>
      <c r="AB26">
        <v>33.258129429906923</v>
      </c>
      <c r="AD26">
        <v>4.4866267947263871</v>
      </c>
      <c r="AE26">
        <v>10.154235830741364</v>
      </c>
      <c r="AF26">
        <v>12.540011916748609</v>
      </c>
      <c r="AG26">
        <v>18.575291474010189</v>
      </c>
      <c r="AH26">
        <v>3.7748537003026699</v>
      </c>
      <c r="AI26">
        <v>2.4483640558981188</v>
      </c>
      <c r="AK26">
        <v>53.477468946450543</v>
      </c>
    </row>
    <row r="27" spans="1:37" x14ac:dyDescent="0.2">
      <c r="A27">
        <v>26</v>
      </c>
      <c r="B27">
        <v>744</v>
      </c>
      <c r="C27">
        <v>250</v>
      </c>
      <c r="D27">
        <v>0.31987464975667701</v>
      </c>
      <c r="E27">
        <v>184.2656554375701</v>
      </c>
      <c r="F27">
        <v>50.156175623852889</v>
      </c>
      <c r="G27">
        <v>70.159031234748767</v>
      </c>
      <c r="H27">
        <v>65.527851295994239</v>
      </c>
      <c r="J27">
        <v>61.598403540240831</v>
      </c>
      <c r="L27">
        <v>3.2522182518930056</v>
      </c>
      <c r="M27">
        <v>12.93437274113535</v>
      </c>
      <c r="N27">
        <v>2.5107246923809394</v>
      </c>
      <c r="O27">
        <v>12.723474356438684</v>
      </c>
      <c r="P27">
        <v>8.6504772018789637</v>
      </c>
      <c r="R27">
        <v>10.179193435224537</v>
      </c>
      <c r="S27">
        <v>35.681359750379826</v>
      </c>
      <c r="U27">
        <v>0.60179791116916515</v>
      </c>
      <c r="V27">
        <v>46.601396619857063</v>
      </c>
      <c r="W27">
        <v>19.799775209421469</v>
      </c>
      <c r="X27">
        <v>44.15738890332063</v>
      </c>
      <c r="Y27">
        <v>5.0965390209945856</v>
      </c>
      <c r="Z27">
        <v>23.85255578390024</v>
      </c>
      <c r="AA27">
        <v>2.0947412401072505</v>
      </c>
      <c r="AB27">
        <v>32.944464408007299</v>
      </c>
      <c r="AD27">
        <v>3.6638158713287781</v>
      </c>
      <c r="AE27">
        <v>9.6393342678948652</v>
      </c>
      <c r="AF27">
        <v>12.578682606327707</v>
      </c>
      <c r="AG27">
        <v>18.231747387592076</v>
      </c>
      <c r="AH27">
        <v>2.6598164990944304</v>
      </c>
      <c r="AI27">
        <v>2.4516994794423912</v>
      </c>
      <c r="AK27">
        <v>53.020821874219145</v>
      </c>
    </row>
    <row r="28" spans="1:37" x14ac:dyDescent="0.2">
      <c r="A28">
        <v>27</v>
      </c>
      <c r="B28">
        <v>742</v>
      </c>
      <c r="C28">
        <v>250</v>
      </c>
      <c r="D28">
        <v>0.318396788651924</v>
      </c>
      <c r="E28">
        <v>183.95353403447083</v>
      </c>
      <c r="F28">
        <v>45.374598319209078</v>
      </c>
      <c r="G28">
        <v>69.747406245126172</v>
      </c>
      <c r="H28">
        <v>65.111772759782397</v>
      </c>
      <c r="J28">
        <v>46.73851712501375</v>
      </c>
      <c r="L28">
        <v>1.6397303837635373</v>
      </c>
      <c r="M28">
        <v>12.574347761184253</v>
      </c>
      <c r="N28">
        <v>2.5146715637067687</v>
      </c>
      <c r="O28">
        <v>5.4326691263393618</v>
      </c>
      <c r="P28">
        <v>7.8743454943350324</v>
      </c>
      <c r="R28">
        <v>8.0139254617027351</v>
      </c>
      <c r="S28">
        <v>32.472813211373975</v>
      </c>
      <c r="U28">
        <v>0.54076465652470607</v>
      </c>
      <c r="V28">
        <v>46.954728176646285</v>
      </c>
      <c r="W28">
        <v>19.220053926047992</v>
      </c>
      <c r="X28">
        <v>44.053500973514858</v>
      </c>
      <c r="Y28">
        <v>3.5385632895947237</v>
      </c>
      <c r="Z28">
        <v>17.632815471609444</v>
      </c>
      <c r="AB28">
        <v>30.273652173105241</v>
      </c>
      <c r="AE28">
        <v>6.4204798378950363</v>
      </c>
      <c r="AF28">
        <v>12.216423067340051</v>
      </c>
      <c r="AG28">
        <v>15.531086623915797</v>
      </c>
      <c r="AI28">
        <v>2.4550516516111678</v>
      </c>
      <c r="AK28">
        <v>42.97551632577013</v>
      </c>
    </row>
    <row r="29" spans="1:37" x14ac:dyDescent="0.2">
      <c r="A29">
        <v>28</v>
      </c>
      <c r="B29">
        <v>740</v>
      </c>
      <c r="C29">
        <v>250</v>
      </c>
      <c r="D29">
        <v>0.31691309282929903</v>
      </c>
      <c r="E29">
        <v>184.24475020362962</v>
      </c>
      <c r="F29">
        <v>46.313361138377239</v>
      </c>
      <c r="G29">
        <v>69.699394465906806</v>
      </c>
      <c r="H29">
        <v>65.059360749481499</v>
      </c>
      <c r="J29">
        <v>35.246066138044931</v>
      </c>
      <c r="L29">
        <v>1.6689834028223558</v>
      </c>
      <c r="M29">
        <v>11.760257521548812</v>
      </c>
      <c r="N29">
        <v>2.5186448481599122</v>
      </c>
      <c r="O29">
        <v>5.411812750348032</v>
      </c>
      <c r="P29">
        <v>7.8254988969350263</v>
      </c>
      <c r="R29">
        <v>7.3725136169986163</v>
      </c>
      <c r="S29">
        <v>33.309629122095906</v>
      </c>
      <c r="U29">
        <v>0.49248435144338565</v>
      </c>
      <c r="V29">
        <v>48.041813158597719</v>
      </c>
      <c r="W29">
        <v>18.257055120144628</v>
      </c>
      <c r="X29">
        <v>43.98537409890934</v>
      </c>
      <c r="Y29">
        <v>3.0650258750720831</v>
      </c>
      <c r="Z29">
        <v>18.01157256839517</v>
      </c>
      <c r="AB29">
        <v>31.290526711262142</v>
      </c>
      <c r="AE29">
        <v>6.6243687088370935</v>
      </c>
      <c r="AF29">
        <v>11.400126211711086</v>
      </c>
      <c r="AG29">
        <v>16.518149471009707</v>
      </c>
      <c r="AI29">
        <v>2.4584268102593976</v>
      </c>
      <c r="AK29">
        <v>35.086703802642617</v>
      </c>
    </row>
    <row r="30" spans="1:37" x14ac:dyDescent="0.2">
      <c r="A30">
        <v>29</v>
      </c>
      <c r="B30">
        <v>762</v>
      </c>
      <c r="C30">
        <v>225</v>
      </c>
      <c r="D30">
        <v>0.35948461575617302</v>
      </c>
      <c r="E30">
        <v>172.56830571845376</v>
      </c>
      <c r="F30">
        <v>61.902194258806915</v>
      </c>
      <c r="G30">
        <v>72.234973168582712</v>
      </c>
      <c r="H30">
        <v>67.645140825211129</v>
      </c>
      <c r="J30">
        <v>63.612188542152261</v>
      </c>
      <c r="L30">
        <v>6.318265220457306</v>
      </c>
      <c r="M30">
        <v>13.139947827184409</v>
      </c>
      <c r="N30">
        <v>2.4931635447161526</v>
      </c>
      <c r="O30">
        <v>26.318224552663004</v>
      </c>
      <c r="P30">
        <v>12.256543892963878</v>
      </c>
      <c r="Q30">
        <v>7.3141382730540268E-3</v>
      </c>
      <c r="R30">
        <v>15.038762629662088</v>
      </c>
      <c r="S30">
        <v>40.998975307728749</v>
      </c>
      <c r="U30">
        <v>1.2539765157783147</v>
      </c>
      <c r="V30">
        <v>46.222251978281875</v>
      </c>
      <c r="W30">
        <v>23.813466291265328</v>
      </c>
      <c r="X30">
        <v>44.124902263511409</v>
      </c>
      <c r="Y30">
        <v>8.3875637068141042</v>
      </c>
      <c r="Z30">
        <v>30.566351860007202</v>
      </c>
      <c r="AA30">
        <v>5.3249734195345226</v>
      </c>
      <c r="AB30">
        <v>34.605834099038809</v>
      </c>
      <c r="AC30">
        <v>0.10925530184020954</v>
      </c>
      <c r="AD30">
        <v>7.6088908053924014</v>
      </c>
      <c r="AE30">
        <v>12.51601014366898</v>
      </c>
      <c r="AF30">
        <v>12.899493923897312</v>
      </c>
      <c r="AG30">
        <v>20.288028513216489</v>
      </c>
      <c r="AH30">
        <v>7.3168017763327953</v>
      </c>
      <c r="AI30">
        <v>2.4361843774911969</v>
      </c>
      <c r="AK30">
        <v>54.242571945807086</v>
      </c>
    </row>
    <row r="31" spans="1:37" x14ac:dyDescent="0.2">
      <c r="A31">
        <v>30</v>
      </c>
      <c r="B31">
        <v>760</v>
      </c>
      <c r="C31">
        <v>225</v>
      </c>
      <c r="D31">
        <v>0.35810918066108399</v>
      </c>
      <c r="E31">
        <v>172.33997285495747</v>
      </c>
      <c r="F31">
        <v>60.995530131810732</v>
      </c>
      <c r="G31">
        <v>72.079025875423994</v>
      </c>
      <c r="H31">
        <v>67.484247401499147</v>
      </c>
      <c r="J31">
        <v>63.533365394448282</v>
      </c>
      <c r="L31">
        <v>6.0814621774980768</v>
      </c>
      <c r="M31">
        <v>13.170047511290127</v>
      </c>
      <c r="N31">
        <v>2.4584554938257805</v>
      </c>
      <c r="O31">
        <v>25.198097400654518</v>
      </c>
      <c r="P31">
        <v>11.952811040353614</v>
      </c>
      <c r="R31">
        <v>14.726946213090466</v>
      </c>
      <c r="S31">
        <v>40.837970482902918</v>
      </c>
      <c r="U31">
        <v>1.2173054005111561</v>
      </c>
      <c r="V31">
        <v>46.32171065344918</v>
      </c>
      <c r="W31">
        <v>23.588542456666126</v>
      </c>
      <c r="X31">
        <v>44.132508446820964</v>
      </c>
      <c r="Y31">
        <v>8.1321769433098616</v>
      </c>
      <c r="Z31">
        <v>30.085799798455511</v>
      </c>
      <c r="AA31">
        <v>5.0716062221999891</v>
      </c>
      <c r="AB31">
        <v>34.597338420708503</v>
      </c>
      <c r="AC31">
        <v>7.0589852441860917E-2</v>
      </c>
      <c r="AD31">
        <v>7.3389179296992193</v>
      </c>
      <c r="AE31">
        <v>12.31519387786941</v>
      </c>
      <c r="AF31">
        <v>12.888685341834943</v>
      </c>
      <c r="AG31">
        <v>20.211003513783293</v>
      </c>
      <c r="AH31">
        <v>6.9729850557776167</v>
      </c>
      <c r="AI31">
        <v>2.400914060383164</v>
      </c>
      <c r="AK31">
        <v>54.17195862125152</v>
      </c>
    </row>
    <row r="32" spans="1:37" x14ac:dyDescent="0.2">
      <c r="A32">
        <v>31</v>
      </c>
      <c r="B32">
        <v>758</v>
      </c>
      <c r="C32">
        <v>225</v>
      </c>
      <c r="D32">
        <v>0.356728410027642</v>
      </c>
      <c r="E32">
        <v>172.11155179047657</v>
      </c>
      <c r="F32">
        <v>60.072499359758019</v>
      </c>
      <c r="G32">
        <v>71.919330891505552</v>
      </c>
      <c r="H32">
        <v>67.319658098293672</v>
      </c>
      <c r="J32">
        <v>63.452685497031432</v>
      </c>
      <c r="L32">
        <v>5.8360614038117999</v>
      </c>
      <c r="M32">
        <v>13.209432528883983</v>
      </c>
      <c r="N32">
        <v>2.4222516796376339</v>
      </c>
      <c r="O32">
        <v>24.048189755656733</v>
      </c>
      <c r="P32">
        <v>11.640117650285045</v>
      </c>
      <c r="R32">
        <v>14.411450759766579</v>
      </c>
      <c r="S32">
        <v>40.696579639279491</v>
      </c>
      <c r="U32">
        <v>1.1886156252710729</v>
      </c>
      <c r="V32">
        <v>46.431497809094743</v>
      </c>
      <c r="W32">
        <v>23.373660890641737</v>
      </c>
      <c r="X32">
        <v>44.166517342148921</v>
      </c>
      <c r="Y32">
        <v>7.8684838612626651</v>
      </c>
      <c r="Z32">
        <v>29.597023920761945</v>
      </c>
      <c r="AA32">
        <v>4.8101845254536313</v>
      </c>
      <c r="AB32">
        <v>34.596346029522437</v>
      </c>
      <c r="AC32">
        <v>3.0429217567366516E-2</v>
      </c>
      <c r="AD32">
        <v>7.0631073203179886</v>
      </c>
      <c r="AE32">
        <v>12.112395004023224</v>
      </c>
      <c r="AF32">
        <v>12.885667475884466</v>
      </c>
      <c r="AG32">
        <v>20.139996029439224</v>
      </c>
      <c r="AH32">
        <v>6.6185939482206599</v>
      </c>
      <c r="AI32">
        <v>2.3641446857759045</v>
      </c>
      <c r="AK32">
        <v>54.096799242110116</v>
      </c>
    </row>
    <row r="33" spans="1:37" x14ac:dyDescent="0.2">
      <c r="A33">
        <v>32</v>
      </c>
      <c r="B33">
        <v>756</v>
      </c>
      <c r="C33">
        <v>225</v>
      </c>
      <c r="D33">
        <v>0.35534227274935698</v>
      </c>
      <c r="E33">
        <v>171.83378166674873</v>
      </c>
      <c r="F33">
        <v>58.888107489099639</v>
      </c>
      <c r="G33">
        <v>71.716689207892287</v>
      </c>
      <c r="H33">
        <v>67.112174072239426</v>
      </c>
      <c r="J33">
        <v>63.293642237449824</v>
      </c>
      <c r="L33">
        <v>5.5237075318513966</v>
      </c>
      <c r="M33">
        <v>13.243743261377158</v>
      </c>
      <c r="N33">
        <v>2.3955288478217924</v>
      </c>
      <c r="O33">
        <v>22.656860112978201</v>
      </c>
      <c r="P33">
        <v>11.251042630560875</v>
      </c>
      <c r="R33">
        <v>14.005506949776924</v>
      </c>
      <c r="S33">
        <v>40.449940830650718</v>
      </c>
      <c r="U33">
        <v>1.1503700214377415</v>
      </c>
      <c r="V33">
        <v>46.541089239431393</v>
      </c>
      <c r="W33">
        <v>23.096582413597091</v>
      </c>
      <c r="X33">
        <v>44.163392044567317</v>
      </c>
      <c r="Y33">
        <v>7.5255190358725335</v>
      </c>
      <c r="Z33">
        <v>28.962215647385946</v>
      </c>
      <c r="AA33">
        <v>4.4797703937631814</v>
      </c>
      <c r="AB33">
        <v>34.56841636463821</v>
      </c>
      <c r="AD33">
        <v>6.695942824416993</v>
      </c>
      <c r="AE33">
        <v>11.856784072906251</v>
      </c>
      <c r="AF33">
        <v>12.887057497662175</v>
      </c>
      <c r="AG33">
        <v>20.051542291943761</v>
      </c>
      <c r="AH33">
        <v>6.1373055115809114</v>
      </c>
      <c r="AI33">
        <v>2.3368529846367099</v>
      </c>
      <c r="AK33">
        <v>53.960628069517334</v>
      </c>
    </row>
    <row r="34" spans="1:37" x14ac:dyDescent="0.2">
      <c r="A34">
        <v>33</v>
      </c>
      <c r="B34">
        <v>754</v>
      </c>
      <c r="C34">
        <v>225</v>
      </c>
      <c r="D34">
        <v>0.35395073747748601</v>
      </c>
      <c r="E34">
        <v>171.39067553115393</v>
      </c>
      <c r="F34">
        <v>56.824218068029175</v>
      </c>
      <c r="G34">
        <v>71.369657341835691</v>
      </c>
      <c r="H34">
        <v>66.760352006812241</v>
      </c>
      <c r="J34">
        <v>62.867041874244052</v>
      </c>
      <c r="L34">
        <v>4.9864734846214995</v>
      </c>
      <c r="M34">
        <v>13.26252660696168</v>
      </c>
      <c r="N34">
        <v>2.399470792651436</v>
      </c>
      <c r="O34">
        <v>20.449121181205282</v>
      </c>
      <c r="P34">
        <v>10.603882990956057</v>
      </c>
      <c r="R34">
        <v>13.295474879777119</v>
      </c>
      <c r="S34">
        <v>39.844510017017811</v>
      </c>
      <c r="U34">
        <v>1.0820523211000275</v>
      </c>
      <c r="V34">
        <v>46.649538854507433</v>
      </c>
      <c r="W34">
        <v>22.618223653572905</v>
      </c>
      <c r="X34">
        <v>44.041164752825445</v>
      </c>
      <c r="Y34">
        <v>6.9163596611910485</v>
      </c>
      <c r="Z34">
        <v>27.837446298851841</v>
      </c>
      <c r="AA34">
        <v>3.9169218883820651</v>
      </c>
      <c r="AB34">
        <v>34.447181466609315</v>
      </c>
      <c r="AD34">
        <v>6.0231706885251475</v>
      </c>
      <c r="AE34">
        <v>11.424161148279797</v>
      </c>
      <c r="AF34">
        <v>12.903586144368312</v>
      </c>
      <c r="AG34">
        <v>19.900458183354079</v>
      </c>
      <c r="AH34">
        <v>5.2304605748890349</v>
      </c>
      <c r="AI34">
        <v>2.340222736530964</v>
      </c>
      <c r="AK34">
        <v>53.618042002765591</v>
      </c>
    </row>
    <row r="35" spans="1:37" x14ac:dyDescent="0.2">
      <c r="A35">
        <v>34</v>
      </c>
      <c r="B35">
        <v>752</v>
      </c>
      <c r="C35">
        <v>225</v>
      </c>
      <c r="D35">
        <v>0.35255377261864101</v>
      </c>
      <c r="E35">
        <v>170.93904856977383</v>
      </c>
      <c r="F35">
        <v>54.673203722562782</v>
      </c>
      <c r="G35">
        <v>71.004822287498413</v>
      </c>
      <c r="H35">
        <v>66.390779063046821</v>
      </c>
      <c r="J35">
        <v>62.380368016206191</v>
      </c>
      <c r="L35">
        <v>4.4129030429707523</v>
      </c>
      <c r="M35">
        <v>13.289309268625747</v>
      </c>
      <c r="N35">
        <v>2.4034099618648348</v>
      </c>
      <c r="O35">
        <v>18.129918151502398</v>
      </c>
      <c r="P35">
        <v>9.9211453495451956</v>
      </c>
      <c r="R35">
        <v>12.524350167916237</v>
      </c>
      <c r="S35">
        <v>39.112501264251961</v>
      </c>
      <c r="U35">
        <v>1.0266758206859263</v>
      </c>
      <c r="V35">
        <v>46.723960621010086</v>
      </c>
      <c r="W35">
        <v>22.15070621719299</v>
      </c>
      <c r="X35">
        <v>43.957339419644178</v>
      </c>
      <c r="Y35">
        <v>6.2725707575290821</v>
      </c>
      <c r="Z35">
        <v>26.661018844920758</v>
      </c>
      <c r="AA35">
        <v>3.3214368865437573</v>
      </c>
      <c r="AB35">
        <v>34.267651642667211</v>
      </c>
      <c r="AD35">
        <v>5.3153191655806316</v>
      </c>
      <c r="AE35">
        <v>10.974842354961563</v>
      </c>
      <c r="AF35">
        <v>12.928112611668329</v>
      </c>
      <c r="AG35">
        <v>19.691086506173093</v>
      </c>
      <c r="AH35">
        <v>4.2701898707592232</v>
      </c>
      <c r="AI35">
        <v>2.3435863744852998</v>
      </c>
      <c r="AK35">
        <v>53.249129342301885</v>
      </c>
    </row>
    <row r="36" spans="1:37" x14ac:dyDescent="0.2">
      <c r="A36">
        <v>35</v>
      </c>
      <c r="B36">
        <v>750</v>
      </c>
      <c r="C36">
        <v>225</v>
      </c>
      <c r="D36">
        <v>0.35115134633240402</v>
      </c>
      <c r="E36">
        <v>170.47277628103168</v>
      </c>
      <c r="F36">
        <v>52.384829562269523</v>
      </c>
      <c r="G36">
        <v>70.614400000389963</v>
      </c>
      <c r="H36">
        <v>65.995671363974282</v>
      </c>
      <c r="J36">
        <v>61.803413487552575</v>
      </c>
      <c r="L36">
        <v>3.7881597738026467</v>
      </c>
      <c r="M36">
        <v>13.324552885408572</v>
      </c>
      <c r="N36">
        <v>2.4073456466683489</v>
      </c>
      <c r="O36">
        <v>15.645508450533349</v>
      </c>
      <c r="P36">
        <v>9.1872610915711324</v>
      </c>
      <c r="R36">
        <v>11.669680599187259</v>
      </c>
      <c r="S36">
        <v>38.197017553419222</v>
      </c>
      <c r="U36">
        <v>0.98612199520164967</v>
      </c>
      <c r="V36">
        <v>46.752512574316462</v>
      </c>
      <c r="W36">
        <v>21.695393709004222</v>
      </c>
      <c r="X36">
        <v>43.917470242399396</v>
      </c>
      <c r="Y36">
        <v>5.5785193203345322</v>
      </c>
      <c r="Z36">
        <v>25.397691340764069</v>
      </c>
      <c r="AA36">
        <v>2.6781503165231118</v>
      </c>
      <c r="AB36">
        <v>34.000983448650999</v>
      </c>
      <c r="AD36">
        <v>4.5515574558851473</v>
      </c>
      <c r="AE36">
        <v>10.494195103932764</v>
      </c>
      <c r="AF36">
        <v>12.961097874949596</v>
      </c>
      <c r="AG36">
        <v>19.394583155280291</v>
      </c>
      <c r="AH36">
        <v>3.2323545849056212</v>
      </c>
      <c r="AI36">
        <v>2.3469431749909484</v>
      </c>
      <c r="AK36">
        <v>52.838489693222705</v>
      </c>
    </row>
    <row r="37" spans="1:37" x14ac:dyDescent="0.2">
      <c r="A37">
        <v>36</v>
      </c>
      <c r="B37">
        <v>748</v>
      </c>
      <c r="C37">
        <v>225</v>
      </c>
      <c r="D37">
        <v>0.34974342652891699</v>
      </c>
      <c r="E37">
        <v>169.97742334953023</v>
      </c>
      <c r="F37">
        <v>49.840758608138096</v>
      </c>
      <c r="G37">
        <v>70.18026721386596</v>
      </c>
      <c r="H37">
        <v>65.556905811128047</v>
      </c>
      <c r="J37">
        <v>61.068101221688181</v>
      </c>
      <c r="L37">
        <v>3.076904732644405</v>
      </c>
      <c r="M37">
        <v>13.368311798710199</v>
      </c>
      <c r="N37">
        <v>2.4112764070433301</v>
      </c>
      <c r="O37">
        <v>12.870572827727385</v>
      </c>
      <c r="P37">
        <v>8.3659824277710779</v>
      </c>
      <c r="R37">
        <v>10.677375287525354</v>
      </c>
      <c r="S37">
        <v>36.976692922899815</v>
      </c>
      <c r="U37">
        <v>0.96409230192401374</v>
      </c>
      <c r="V37">
        <v>46.710994014066486</v>
      </c>
      <c r="W37">
        <v>21.254505013369261</v>
      </c>
      <c r="X37">
        <v>43.932372178581588</v>
      </c>
      <c r="Y37">
        <v>4.7978249503596286</v>
      </c>
      <c r="Z37">
        <v>23.963509806062252</v>
      </c>
      <c r="AA37">
        <v>1.9515783968345422</v>
      </c>
      <c r="AB37">
        <v>33.585417912365251</v>
      </c>
      <c r="AD37">
        <v>3.6824023294925117</v>
      </c>
      <c r="AE37">
        <v>9.9471254724069844</v>
      </c>
      <c r="AF37">
        <v>13.002594880937972</v>
      </c>
      <c r="AG37">
        <v>18.949187766601881</v>
      </c>
      <c r="AH37">
        <v>2.060455610836867</v>
      </c>
      <c r="AI37">
        <v>2.3502916833112217</v>
      </c>
      <c r="AK37">
        <v>52.349627706648924</v>
      </c>
    </row>
    <row r="38" spans="1:37" x14ac:dyDescent="0.2">
      <c r="A38">
        <v>37</v>
      </c>
      <c r="B38">
        <v>746</v>
      </c>
      <c r="C38">
        <v>225</v>
      </c>
      <c r="D38">
        <v>0.34832998086640898</v>
      </c>
      <c r="E38">
        <v>169.98195360838019</v>
      </c>
      <c r="F38">
        <v>46.144102911397951</v>
      </c>
      <c r="G38">
        <v>70.011693203853184</v>
      </c>
      <c r="H38">
        <v>65.383751849271562</v>
      </c>
      <c r="J38">
        <v>44.547562774442483</v>
      </c>
      <c r="L38">
        <v>1.6145825381972319</v>
      </c>
      <c r="M38">
        <v>12.936450228743075</v>
      </c>
      <c r="N38">
        <v>2.4152442098595075</v>
      </c>
      <c r="O38">
        <v>5.7981777149616551</v>
      </c>
      <c r="P38">
        <v>8.0758900619362439</v>
      </c>
      <c r="R38">
        <v>8.7407815742887234</v>
      </c>
      <c r="S38">
        <v>33.43056597371752</v>
      </c>
      <c r="U38">
        <v>0.93998367972609409</v>
      </c>
      <c r="V38">
        <v>46.988636289941539</v>
      </c>
      <c r="W38">
        <v>20.606912789236059</v>
      </c>
      <c r="X38">
        <v>43.936238719701109</v>
      </c>
      <c r="Y38">
        <v>3.4491703758293544</v>
      </c>
      <c r="Z38">
        <v>17.558877604548027</v>
      </c>
      <c r="AB38">
        <v>30.400455247327063</v>
      </c>
      <c r="AE38">
        <v>6.4509258275861061</v>
      </c>
      <c r="AF38">
        <v>12.568509862264985</v>
      </c>
      <c r="AG38">
        <v>15.734442568976515</v>
      </c>
      <c r="AI38">
        <v>2.3536738515947819</v>
      </c>
      <c r="AK38">
        <v>41.277215012486266</v>
      </c>
    </row>
    <row r="39" spans="1:37" x14ac:dyDescent="0.2">
      <c r="A39">
        <v>38</v>
      </c>
      <c r="B39">
        <v>744</v>
      </c>
      <c r="C39">
        <v>225</v>
      </c>
      <c r="D39">
        <v>0.34691097674876298</v>
      </c>
      <c r="E39">
        <v>170.27564810165859</v>
      </c>
      <c r="F39">
        <v>47.08711445013541</v>
      </c>
      <c r="G39">
        <v>69.963843957242304</v>
      </c>
      <c r="H39">
        <v>65.331375634794341</v>
      </c>
      <c r="J39">
        <v>34.457397804174022</v>
      </c>
      <c r="L39">
        <v>1.641794994977714</v>
      </c>
      <c r="M39">
        <v>12.135824605741819</v>
      </c>
      <c r="N39">
        <v>2.4192208972224973</v>
      </c>
      <c r="O39">
        <v>5.765886850326841</v>
      </c>
      <c r="P39">
        <v>8.027287996056879</v>
      </c>
      <c r="R39">
        <v>8.0933127402823128</v>
      </c>
      <c r="S39">
        <v>34.118417951013328</v>
      </c>
      <c r="U39">
        <v>0.90009681750899773</v>
      </c>
      <c r="V39">
        <v>48.011661850098832</v>
      </c>
      <c r="W39">
        <v>19.649082043617792</v>
      </c>
      <c r="X39">
        <v>43.894350368285238</v>
      </c>
      <c r="Y39">
        <v>2.97282264129537</v>
      </c>
      <c r="Z39">
        <v>17.935765445342959</v>
      </c>
      <c r="AB39">
        <v>31.333248600115379</v>
      </c>
      <c r="AE39">
        <v>6.653844156454098</v>
      </c>
      <c r="AF39">
        <v>11.765671137026171</v>
      </c>
      <c r="AG39">
        <v>16.637472599845463</v>
      </c>
      <c r="AI39">
        <v>2.3570615072253633</v>
      </c>
      <c r="AK39">
        <v>34.352026244256841</v>
      </c>
    </row>
    <row r="40" spans="1:37" x14ac:dyDescent="0.2">
      <c r="A40">
        <v>39</v>
      </c>
      <c r="B40">
        <v>772</v>
      </c>
      <c r="C40">
        <v>200</v>
      </c>
      <c r="D40">
        <v>0.39259484284552498</v>
      </c>
      <c r="E40">
        <v>158.9527798606097</v>
      </c>
      <c r="F40">
        <v>64.398684673001455</v>
      </c>
      <c r="G40">
        <v>72.758076966948323</v>
      </c>
      <c r="H40">
        <v>68.192753616828455</v>
      </c>
      <c r="J40">
        <v>63.645851567697918</v>
      </c>
      <c r="L40">
        <v>6.9166659674506121</v>
      </c>
      <c r="M40">
        <v>13.546446295325262</v>
      </c>
      <c r="N40">
        <v>2.4699605979230599</v>
      </c>
      <c r="O40">
        <v>30.012920619820019</v>
      </c>
      <c r="P40">
        <v>12.924612241202901</v>
      </c>
      <c r="Q40">
        <v>6.3545871951779992E-2</v>
      </c>
      <c r="R40">
        <v>16.73335667688146</v>
      </c>
      <c r="S40">
        <v>43.799350352547194</v>
      </c>
      <c r="U40">
        <v>1.7679545224240711</v>
      </c>
      <c r="V40">
        <v>46.359584418353094</v>
      </c>
      <c r="W40">
        <v>26.079276300595662</v>
      </c>
      <c r="X40">
        <v>43.862130767050537</v>
      </c>
      <c r="Y40">
        <v>8.9060016370260833</v>
      </c>
      <c r="Z40">
        <v>32.257126916149375</v>
      </c>
      <c r="AA40">
        <v>5.9805948044771577</v>
      </c>
      <c r="AB40">
        <v>35.746658649629751</v>
      </c>
      <c r="AC40">
        <v>0.19745253677832639</v>
      </c>
      <c r="AD40">
        <v>8.5178425725133664</v>
      </c>
      <c r="AE40">
        <v>13.492655530653781</v>
      </c>
      <c r="AF40">
        <v>13.39095528964064</v>
      </c>
      <c r="AG40">
        <v>21.682407035954355</v>
      </c>
      <c r="AH40">
        <v>7.8588731145117743</v>
      </c>
      <c r="AI40">
        <v>2.4126378360487633</v>
      </c>
      <c r="AK40">
        <v>53.828020166346903</v>
      </c>
    </row>
    <row r="41" spans="1:37" x14ac:dyDescent="0.2">
      <c r="A41">
        <v>40</v>
      </c>
      <c r="B41">
        <v>770</v>
      </c>
      <c r="C41">
        <v>200</v>
      </c>
      <c r="D41">
        <v>0.39129607439006903</v>
      </c>
      <c r="E41">
        <v>158.74142396808571</v>
      </c>
      <c r="F41">
        <v>63.66647952631574</v>
      </c>
      <c r="G41">
        <v>72.632509940354737</v>
      </c>
      <c r="H41">
        <v>68.061963465058824</v>
      </c>
      <c r="J41">
        <v>63.549208863716544</v>
      </c>
      <c r="L41">
        <v>6.7375193118097272</v>
      </c>
      <c r="M41">
        <v>13.505630871111377</v>
      </c>
      <c r="N41">
        <v>2.4474553746474212</v>
      </c>
      <c r="O41">
        <v>29.141984977686857</v>
      </c>
      <c r="P41">
        <v>12.693673072853089</v>
      </c>
      <c r="R41">
        <v>16.406603676159424</v>
      </c>
      <c r="S41">
        <v>43.350239524292427</v>
      </c>
      <c r="U41">
        <v>1.6829399046638522</v>
      </c>
      <c r="V41">
        <v>46.316336597535447</v>
      </c>
      <c r="W41">
        <v>25.791834603780003</v>
      </c>
      <c r="X41">
        <v>43.707594911153969</v>
      </c>
      <c r="Y41">
        <v>8.7166986836960341</v>
      </c>
      <c r="Z41">
        <v>31.859603107291989</v>
      </c>
      <c r="AA41">
        <v>5.7909281484165769</v>
      </c>
      <c r="AB41">
        <v>35.610336794369225</v>
      </c>
      <c r="AC41">
        <v>0.17098261993846406</v>
      </c>
      <c r="AD41">
        <v>8.2989221157223412</v>
      </c>
      <c r="AE41">
        <v>13.317103065730658</v>
      </c>
      <c r="AF41">
        <v>13.32142216902686</v>
      </c>
      <c r="AG41">
        <v>21.489775190705959</v>
      </c>
      <c r="AH41">
        <v>7.5969875673257663</v>
      </c>
      <c r="AI41">
        <v>2.3895888527190783</v>
      </c>
      <c r="AK41">
        <v>53.798221257438051</v>
      </c>
    </row>
    <row r="42" spans="1:37" x14ac:dyDescent="0.2">
      <c r="A42">
        <v>41</v>
      </c>
      <c r="B42">
        <v>768</v>
      </c>
      <c r="C42">
        <v>200</v>
      </c>
      <c r="D42">
        <v>0.38999231618883101</v>
      </c>
      <c r="E42">
        <v>158.51507738969232</v>
      </c>
      <c r="F42">
        <v>62.753732652143036</v>
      </c>
      <c r="G42">
        <v>72.474918944655585</v>
      </c>
      <c r="H42">
        <v>67.899200346541718</v>
      </c>
      <c r="J42">
        <v>63.469826457816325</v>
      </c>
      <c r="L42">
        <v>6.497871736022411</v>
      </c>
      <c r="M42">
        <v>13.541400744439184</v>
      </c>
      <c r="N42">
        <v>2.4121944001553466</v>
      </c>
      <c r="O42">
        <v>28.004144606854066</v>
      </c>
      <c r="P42">
        <v>12.385959924453628</v>
      </c>
      <c r="R42">
        <v>16.096668611446674</v>
      </c>
      <c r="S42">
        <v>43.205948083444987</v>
      </c>
      <c r="U42">
        <v>1.6525918901782248</v>
      </c>
      <c r="V42">
        <v>46.425950490707436</v>
      </c>
      <c r="W42">
        <v>25.570095678709908</v>
      </c>
      <c r="X42">
        <v>43.735899485096027</v>
      </c>
      <c r="Y42">
        <v>8.4581553683156407</v>
      </c>
      <c r="Z42">
        <v>31.371317551482338</v>
      </c>
      <c r="AA42">
        <v>5.5344061125828228</v>
      </c>
      <c r="AB42">
        <v>35.605588261834882</v>
      </c>
      <c r="AC42">
        <v>0.1317575473450241</v>
      </c>
      <c r="AD42">
        <v>8.0267509749400148</v>
      </c>
      <c r="AE42">
        <v>13.112547870134591</v>
      </c>
      <c r="AF42">
        <v>13.315719545114025</v>
      </c>
      <c r="AG42">
        <v>21.415970677946522</v>
      </c>
      <c r="AH42">
        <v>7.2494962488178887</v>
      </c>
      <c r="AI42">
        <v>2.3537808973983747</v>
      </c>
      <c r="AK42">
        <v>53.726254540014189</v>
      </c>
    </row>
    <row r="43" spans="1:37" x14ac:dyDescent="0.2">
      <c r="A43">
        <v>42</v>
      </c>
      <c r="B43">
        <v>766</v>
      </c>
      <c r="C43">
        <v>200</v>
      </c>
      <c r="D43">
        <v>0.38868353943126899</v>
      </c>
      <c r="E43">
        <v>158.29042421919203</v>
      </c>
      <c r="F43">
        <v>61.844062918819645</v>
      </c>
      <c r="G43">
        <v>72.31701974021658</v>
      </c>
      <c r="H43">
        <v>67.736180184062249</v>
      </c>
      <c r="J43">
        <v>63.387377135571178</v>
      </c>
      <c r="L43">
        <v>6.2560876567131487</v>
      </c>
      <c r="M43">
        <v>13.578557174852662</v>
      </c>
      <c r="N43">
        <v>2.3767540911826073</v>
      </c>
      <c r="O43">
        <v>26.864768615649204</v>
      </c>
      <c r="P43">
        <v>12.077480908603894</v>
      </c>
      <c r="R43">
        <v>15.781609410541332</v>
      </c>
      <c r="S43">
        <v>43.049882385573042</v>
      </c>
      <c r="U43">
        <v>1.6246396002920209</v>
      </c>
      <c r="V43">
        <v>46.530122213293261</v>
      </c>
      <c r="W43">
        <v>25.351639135728472</v>
      </c>
      <c r="X43">
        <v>43.772039819213163</v>
      </c>
      <c r="Y43">
        <v>8.1986917075076526</v>
      </c>
      <c r="Z43">
        <v>30.884192908967364</v>
      </c>
      <c r="AA43">
        <v>5.2770116617902021</v>
      </c>
      <c r="AB43">
        <v>35.594467408425949</v>
      </c>
      <c r="AC43">
        <v>9.2353732213610706E-2</v>
      </c>
      <c r="AD43">
        <v>7.7542555094128067</v>
      </c>
      <c r="AE43">
        <v>12.908940270719357</v>
      </c>
      <c r="AF43">
        <v>13.31122513772052</v>
      </c>
      <c r="AG43">
        <v>21.335624316282864</v>
      </c>
      <c r="AH43">
        <v>6.9005718721669371</v>
      </c>
      <c r="AI43">
        <v>2.3177903721503679</v>
      </c>
      <c r="AK43">
        <v>53.654534012159445</v>
      </c>
    </row>
    <row r="44" spans="1:37" x14ac:dyDescent="0.2">
      <c r="A44">
        <v>43</v>
      </c>
      <c r="B44">
        <v>764</v>
      </c>
      <c r="C44">
        <v>200</v>
      </c>
      <c r="D44">
        <v>0.38736971508460899</v>
      </c>
      <c r="E44">
        <v>158.06751913034429</v>
      </c>
      <c r="F44">
        <v>60.93789742567197</v>
      </c>
      <c r="G44">
        <v>72.158906056234187</v>
      </c>
      <c r="H44">
        <v>67.572996869858869</v>
      </c>
      <c r="J44">
        <v>63.30179424105841</v>
      </c>
      <c r="L44">
        <v>6.0123420837508856</v>
      </c>
      <c r="M44">
        <v>13.61700856377611</v>
      </c>
      <c r="N44">
        <v>2.3411497742143572</v>
      </c>
      <c r="O44">
        <v>25.724436550285361</v>
      </c>
      <c r="P44">
        <v>11.76843898628168</v>
      </c>
      <c r="R44">
        <v>15.461738856481372</v>
      </c>
      <c r="S44">
        <v>42.881319270065227</v>
      </c>
      <c r="U44">
        <v>1.5989998455497152</v>
      </c>
      <c r="V44">
        <v>46.628606787666804</v>
      </c>
      <c r="W44">
        <v>25.136456052319843</v>
      </c>
      <c r="X44">
        <v>43.815762610767351</v>
      </c>
      <c r="Y44">
        <v>7.9384810202478739</v>
      </c>
      <c r="Z44">
        <v>30.398363475205436</v>
      </c>
      <c r="AA44">
        <v>5.0189160582038017</v>
      </c>
      <c r="AB44">
        <v>35.576549194986306</v>
      </c>
      <c r="AC44">
        <v>5.278649750490421E-2</v>
      </c>
      <c r="AD44">
        <v>7.4815508284515806</v>
      </c>
      <c r="AE44">
        <v>12.706285937712185</v>
      </c>
      <c r="AF44">
        <v>13.307862718497105</v>
      </c>
      <c r="AG44">
        <v>21.248326438807251</v>
      </c>
      <c r="AH44">
        <v>6.5504780088486632</v>
      </c>
      <c r="AI44">
        <v>2.2816325887814046</v>
      </c>
      <c r="AK44">
        <v>53.583159324498034</v>
      </c>
    </row>
    <row r="45" spans="1:37" x14ac:dyDescent="0.2">
      <c r="A45">
        <v>44</v>
      </c>
      <c r="B45">
        <v>762</v>
      </c>
      <c r="C45">
        <v>200</v>
      </c>
      <c r="D45">
        <v>0.38605081389170998</v>
      </c>
      <c r="E45">
        <v>157.84641062438911</v>
      </c>
      <c r="F45">
        <v>60.035660518100407</v>
      </c>
      <c r="G45">
        <v>72.000674381854182</v>
      </c>
      <c r="H45">
        <v>67.409747056749822</v>
      </c>
      <c r="J45">
        <v>63.213052672283261</v>
      </c>
      <c r="L45">
        <v>5.7669778564991869</v>
      </c>
      <c r="M45">
        <v>13.656654227584907</v>
      </c>
      <c r="N45">
        <v>2.3053985459797315</v>
      </c>
      <c r="O45">
        <v>24.583749619350176</v>
      </c>
      <c r="P45">
        <v>11.459044409580141</v>
      </c>
      <c r="R45">
        <v>15.137393895078459</v>
      </c>
      <c r="S45">
        <v>42.699672655458322</v>
      </c>
      <c r="U45">
        <v>1.5755759248895904</v>
      </c>
      <c r="V45">
        <v>46.721211511366704</v>
      </c>
      <c r="W45">
        <v>24.924519498775947</v>
      </c>
      <c r="X45">
        <v>43.86677292966764</v>
      </c>
      <c r="Y45">
        <v>7.6777035068778119</v>
      </c>
      <c r="Z45">
        <v>29.913962709713715</v>
      </c>
      <c r="AA45">
        <v>4.7601246502948928</v>
      </c>
      <c r="AB45">
        <v>35.55147983157805</v>
      </c>
      <c r="AC45">
        <v>1.3072936419374008E-2</v>
      </c>
      <c r="AD45">
        <v>7.2087531420120579</v>
      </c>
      <c r="AE45">
        <v>12.504588310478145</v>
      </c>
      <c r="AF45">
        <v>13.305548744480754</v>
      </c>
      <c r="AG45">
        <v>21.153740398360018</v>
      </c>
      <c r="AH45">
        <v>6.1994858198845959</v>
      </c>
      <c r="AI45">
        <v>2.2453246293343598</v>
      </c>
      <c r="AK45">
        <v>53.51223333453585</v>
      </c>
    </row>
    <row r="46" spans="1:37" x14ac:dyDescent="0.2">
      <c r="A46">
        <v>45</v>
      </c>
      <c r="B46">
        <v>760</v>
      </c>
      <c r="C46">
        <v>200</v>
      </c>
      <c r="D46">
        <v>0.38472680636887402</v>
      </c>
      <c r="E46">
        <v>157.48170918435605</v>
      </c>
      <c r="F46">
        <v>58.372206379635877</v>
      </c>
      <c r="G46">
        <v>71.71775945438452</v>
      </c>
      <c r="H46">
        <v>67.121865646348411</v>
      </c>
      <c r="J46">
        <v>62.894169990829539</v>
      </c>
      <c r="L46">
        <v>5.3272795810309148</v>
      </c>
      <c r="M46">
        <v>13.682834548422907</v>
      </c>
      <c r="N46">
        <v>2.2960377292278813</v>
      </c>
      <c r="O46">
        <v>22.736752740680224</v>
      </c>
      <c r="P46">
        <v>10.926704153913652</v>
      </c>
      <c r="R46">
        <v>14.55080052597976</v>
      </c>
      <c r="S46">
        <v>42.209481120738594</v>
      </c>
      <c r="U46">
        <v>1.5251965841023021</v>
      </c>
      <c r="V46">
        <v>46.81321381633807</v>
      </c>
      <c r="W46">
        <v>24.536004722650222</v>
      </c>
      <c r="X46">
        <v>43.812640754159574</v>
      </c>
      <c r="Y46">
        <v>7.186736629598073</v>
      </c>
      <c r="Z46">
        <v>29.007203887613034</v>
      </c>
      <c r="AA46">
        <v>4.3004252897950934</v>
      </c>
      <c r="AB46">
        <v>35.447388895693074</v>
      </c>
      <c r="AD46">
        <v>6.6728496155899819</v>
      </c>
      <c r="AE46">
        <v>12.150101504745434</v>
      </c>
      <c r="AF46">
        <v>13.316160964700556</v>
      </c>
      <c r="AG46">
        <v>21.006533141525765</v>
      </c>
      <c r="AH46">
        <v>5.4817846935015959</v>
      </c>
      <c r="AI46">
        <v>2.2354038018663074</v>
      </c>
      <c r="AK46">
        <v>53.26314643068531</v>
      </c>
    </row>
    <row r="47" spans="1:37" x14ac:dyDescent="0.2">
      <c r="A47">
        <v>46</v>
      </c>
      <c r="B47">
        <v>758</v>
      </c>
      <c r="C47">
        <v>200</v>
      </c>
      <c r="D47">
        <v>0.383397662803666</v>
      </c>
      <c r="E47">
        <v>157.03871362563481</v>
      </c>
      <c r="F47">
        <v>56.263475523730193</v>
      </c>
      <c r="G47">
        <v>71.359363509459868</v>
      </c>
      <c r="H47">
        <v>66.758555039229321</v>
      </c>
      <c r="J47">
        <v>62.415857723720841</v>
      </c>
      <c r="L47">
        <v>4.7640147185201274</v>
      </c>
      <c r="M47">
        <v>13.70782920635359</v>
      </c>
      <c r="N47">
        <v>2.2999839982828849</v>
      </c>
      <c r="O47">
        <v>20.454549881480734</v>
      </c>
      <c r="P47">
        <v>10.25673954391355</v>
      </c>
      <c r="R47">
        <v>13.788540495563035</v>
      </c>
      <c r="S47">
        <v>41.46967425384841</v>
      </c>
      <c r="U47">
        <v>1.4705638197577773</v>
      </c>
      <c r="V47">
        <v>46.879621617678751</v>
      </c>
      <c r="W47">
        <v>24.066535635081411</v>
      </c>
      <c r="X47">
        <v>43.733059178699179</v>
      </c>
      <c r="Y47">
        <v>6.5552379653489696</v>
      </c>
      <c r="Z47">
        <v>27.850823196896314</v>
      </c>
      <c r="AA47">
        <v>3.7163927984757463</v>
      </c>
      <c r="AB47">
        <v>35.259900000277746</v>
      </c>
      <c r="AD47">
        <v>5.9793830098027225</v>
      </c>
      <c r="AE47">
        <v>11.706728101650377</v>
      </c>
      <c r="AF47">
        <v>13.338895777878978</v>
      </c>
      <c r="AG47">
        <v>20.789245002210908</v>
      </c>
      <c r="AH47">
        <v>4.5412952362301331</v>
      </c>
      <c r="AI47">
        <v>2.238786766003773</v>
      </c>
      <c r="AK47">
        <v>52.90579870633514</v>
      </c>
    </row>
    <row r="48" spans="1:37" x14ac:dyDescent="0.2">
      <c r="A48">
        <v>47</v>
      </c>
      <c r="B48">
        <v>756</v>
      </c>
      <c r="C48">
        <v>200</v>
      </c>
      <c r="D48">
        <v>0.38206335325268598</v>
      </c>
      <c r="E48">
        <v>156.58507393493937</v>
      </c>
      <c r="F48">
        <v>54.047873505643949</v>
      </c>
      <c r="G48">
        <v>70.980441158583162</v>
      </c>
      <c r="H48">
        <v>66.374770012476247</v>
      </c>
      <c r="J48">
        <v>61.863257029983565</v>
      </c>
      <c r="L48">
        <v>4.1591960311722689</v>
      </c>
      <c r="M48">
        <v>13.740188711564359</v>
      </c>
      <c r="N48">
        <v>2.3039272347152622</v>
      </c>
      <c r="O48">
        <v>18.040528109817718</v>
      </c>
      <c r="P48">
        <v>9.5457498641842573</v>
      </c>
      <c r="R48">
        <v>12.95723290959136</v>
      </c>
      <c r="S48">
        <v>40.571735568651683</v>
      </c>
      <c r="U48">
        <v>1.4291469502170577</v>
      </c>
      <c r="V48">
        <v>46.905013046380873</v>
      </c>
      <c r="W48">
        <v>23.608712210260915</v>
      </c>
      <c r="X48">
        <v>43.692746416867422</v>
      </c>
      <c r="Y48">
        <v>5.883426316334667</v>
      </c>
      <c r="Z48">
        <v>26.626680028500665</v>
      </c>
      <c r="AA48">
        <v>3.0938156930206677</v>
      </c>
      <c r="AB48">
        <v>34.996988378352562</v>
      </c>
      <c r="AD48">
        <v>5.2416395251177041</v>
      </c>
      <c r="AE48">
        <v>11.239329837711185</v>
      </c>
      <c r="AF48">
        <v>13.368993620308272</v>
      </c>
      <c r="AG48">
        <v>20.496541141936856</v>
      </c>
      <c r="AH48">
        <v>3.5384309893909851</v>
      </c>
      <c r="AI48">
        <v>2.2421633886143724</v>
      </c>
      <c r="AK48">
        <v>52.51591221357895</v>
      </c>
    </row>
    <row r="49" spans="1:37" x14ac:dyDescent="0.2">
      <c r="A49">
        <v>48</v>
      </c>
      <c r="B49">
        <v>754</v>
      </c>
      <c r="C49">
        <v>200</v>
      </c>
      <c r="D49">
        <v>0.38072384753930699</v>
      </c>
      <c r="E49">
        <v>156.11174538455569</v>
      </c>
      <c r="F49">
        <v>51.650646846856603</v>
      </c>
      <c r="G49">
        <v>70.569571371060832</v>
      </c>
      <c r="H49">
        <v>65.95908970161949</v>
      </c>
      <c r="J49">
        <v>61.192512239548407</v>
      </c>
      <c r="L49">
        <v>3.4906403714552106</v>
      </c>
      <c r="M49">
        <v>13.779881185148211</v>
      </c>
      <c r="N49">
        <v>2.307866528843582</v>
      </c>
      <c r="O49">
        <v>15.415487018713288</v>
      </c>
      <c r="P49">
        <v>8.7708923246841888</v>
      </c>
      <c r="R49">
        <v>12.022967138520466</v>
      </c>
      <c r="S49">
        <v>39.436147675813018</v>
      </c>
      <c r="U49">
        <v>1.4032981310210042</v>
      </c>
      <c r="V49">
        <v>46.873331740112022</v>
      </c>
      <c r="W49">
        <v>23.16409493925277</v>
      </c>
      <c r="X49">
        <v>43.698590760895492</v>
      </c>
      <c r="Y49">
        <v>5.1483291241944773</v>
      </c>
      <c r="Z49">
        <v>25.281602857043428</v>
      </c>
      <c r="AA49">
        <v>2.4104417317606202</v>
      </c>
      <c r="AB49">
        <v>34.618022318263378</v>
      </c>
      <c r="AD49">
        <v>4.4283234178374027</v>
      </c>
      <c r="AE49">
        <v>10.725507351906165</v>
      </c>
      <c r="AF49">
        <v>13.406421748136324</v>
      </c>
      <c r="AG49">
        <v>20.087788986601009</v>
      </c>
      <c r="AH49">
        <v>2.4376210878801814</v>
      </c>
      <c r="AI49">
        <v>2.2455327453087608</v>
      </c>
      <c r="AK49">
        <v>52.070328103460504</v>
      </c>
    </row>
    <row r="50" spans="1:37" x14ac:dyDescent="0.2">
      <c r="A50">
        <v>49</v>
      </c>
      <c r="B50">
        <v>752</v>
      </c>
      <c r="C50">
        <v>200</v>
      </c>
      <c r="D50">
        <v>0.37937911525142798</v>
      </c>
      <c r="E50">
        <v>155.43114156157586</v>
      </c>
      <c r="F50">
        <v>47.635785663020712</v>
      </c>
      <c r="G50">
        <v>69.923412980453506</v>
      </c>
      <c r="H50">
        <v>65.308173107091264</v>
      </c>
      <c r="J50">
        <v>59.713732968019464</v>
      </c>
      <c r="L50">
        <v>2.3595819800526043</v>
      </c>
      <c r="M50">
        <v>13.79999965958886</v>
      </c>
      <c r="N50">
        <v>2.3117923821966819</v>
      </c>
      <c r="O50">
        <v>11.13928435451248</v>
      </c>
      <c r="P50">
        <v>7.525475276099808</v>
      </c>
      <c r="R50">
        <v>10.379844522376064</v>
      </c>
      <c r="S50">
        <v>37.097057706573274</v>
      </c>
      <c r="U50">
        <v>1.3956019808674169</v>
      </c>
      <c r="V50">
        <v>46.674767767478201</v>
      </c>
      <c r="W50">
        <v>22.752627161525421</v>
      </c>
      <c r="X50">
        <v>43.756951883738822</v>
      </c>
      <c r="Y50">
        <v>3.9381923909372953</v>
      </c>
      <c r="Z50">
        <v>22.777812841626215</v>
      </c>
      <c r="AA50">
        <v>1.2640956674215849</v>
      </c>
      <c r="AB50">
        <v>33.612809775702729</v>
      </c>
      <c r="AD50">
        <v>2.9393853755054513</v>
      </c>
      <c r="AE50">
        <v>9.7144658308955929</v>
      </c>
      <c r="AF50">
        <v>13.424263740313393</v>
      </c>
      <c r="AG50">
        <v>19.052787040956158</v>
      </c>
      <c r="AH50">
        <v>0.59593704101004452</v>
      </c>
      <c r="AI50">
        <v>2.2488853229042567</v>
      </c>
      <c r="AK50">
        <v>51.12892220498356</v>
      </c>
    </row>
    <row r="51" spans="1:37" x14ac:dyDescent="0.2">
      <c r="A51">
        <v>50</v>
      </c>
      <c r="B51">
        <v>750</v>
      </c>
      <c r="C51">
        <v>200</v>
      </c>
      <c r="D51">
        <v>0.37802912573913899</v>
      </c>
      <c r="E51">
        <v>156.09770307834404</v>
      </c>
      <c r="F51">
        <v>47.138691015408988</v>
      </c>
      <c r="G51">
        <v>70.275345913044802</v>
      </c>
      <c r="H51">
        <v>65.655400322697744</v>
      </c>
      <c r="J51">
        <v>40.17840212915317</v>
      </c>
      <c r="L51">
        <v>1.5928025231784777</v>
      </c>
      <c r="M51">
        <v>13.143047010415993</v>
      </c>
      <c r="N51">
        <v>2.3157982599579587</v>
      </c>
      <c r="O51">
        <v>6.2815333621847262</v>
      </c>
      <c r="P51">
        <v>8.2763522192272916</v>
      </c>
      <c r="R51">
        <v>9.3339835605321735</v>
      </c>
      <c r="S51">
        <v>34.525840529510788</v>
      </c>
      <c r="U51">
        <v>1.3997484265565692</v>
      </c>
      <c r="V51">
        <v>47.195477145114687</v>
      </c>
      <c r="W51">
        <v>21.90577594518772</v>
      </c>
      <c r="X51">
        <v>43.843249371329065</v>
      </c>
      <c r="Y51">
        <v>3.2505479696710142</v>
      </c>
      <c r="Z51">
        <v>17.577377761020568</v>
      </c>
      <c r="AB51">
        <v>30.676153291712591</v>
      </c>
      <c r="AE51">
        <v>6.5323981492461298</v>
      </c>
      <c r="AF51">
        <v>12.765115982693999</v>
      </c>
      <c r="AG51">
        <v>16.086431359061812</v>
      </c>
      <c r="AI51">
        <v>2.2523145718691264</v>
      </c>
      <c r="AK51">
        <v>38.069782589989892</v>
      </c>
    </row>
    <row r="52" spans="1:37" x14ac:dyDescent="0.2">
      <c r="A52">
        <v>51</v>
      </c>
      <c r="B52">
        <v>748</v>
      </c>
      <c r="C52">
        <v>200</v>
      </c>
      <c r="D52">
        <v>0.37667384811242399</v>
      </c>
      <c r="E52">
        <v>156.37561122024528</v>
      </c>
      <c r="F52">
        <v>48.035165992555356</v>
      </c>
      <c r="G52">
        <v>70.228217682438725</v>
      </c>
      <c r="H52">
        <v>65.603619030219789</v>
      </c>
      <c r="J52">
        <v>32.733263386194857</v>
      </c>
      <c r="L52">
        <v>1.6174907225484858</v>
      </c>
      <c r="M52">
        <v>12.380911974363549</v>
      </c>
      <c r="N52">
        <v>2.3197784825858183</v>
      </c>
      <c r="O52">
        <v>6.2310270584276068</v>
      </c>
      <c r="P52">
        <v>8.2291126858013062</v>
      </c>
      <c r="R52">
        <v>8.7080510667377826</v>
      </c>
      <c r="S52">
        <v>35.122643588863227</v>
      </c>
      <c r="U52">
        <v>1.3618438541996971</v>
      </c>
      <c r="V52">
        <v>48.151166627756673</v>
      </c>
      <c r="W52">
        <v>20.981383815092503</v>
      </c>
      <c r="X52">
        <v>43.809592292622909</v>
      </c>
      <c r="Y52">
        <v>2.7968618139796102</v>
      </c>
      <c r="Z52">
        <v>17.923897598009141</v>
      </c>
      <c r="AB52">
        <v>31.530646790169722</v>
      </c>
      <c r="AE52">
        <v>6.7184133884529711</v>
      </c>
      <c r="AF52">
        <v>12.000761577816817</v>
      </c>
      <c r="AG52">
        <v>16.911210233394829</v>
      </c>
      <c r="AI52">
        <v>2.2557147979437362</v>
      </c>
      <c r="AK52">
        <v>32.929612484310944</v>
      </c>
    </row>
    <row r="53" spans="1:37" x14ac:dyDescent="0.2">
      <c r="A53">
        <v>52</v>
      </c>
      <c r="B53">
        <v>782</v>
      </c>
      <c r="C53">
        <v>175</v>
      </c>
      <c r="D53">
        <v>0.42507747713595301</v>
      </c>
      <c r="E53">
        <v>145.29822234434613</v>
      </c>
      <c r="F53">
        <v>66.794557987440086</v>
      </c>
      <c r="G53">
        <v>73.276414492146145</v>
      </c>
      <c r="H53">
        <v>68.737085823139665</v>
      </c>
      <c r="J53">
        <v>63.703014093872738</v>
      </c>
      <c r="L53">
        <v>7.4866645202052551</v>
      </c>
      <c r="M53">
        <v>13.9379835882125</v>
      </c>
      <c r="N53">
        <v>2.4355489819982297</v>
      </c>
      <c r="O53">
        <v>33.732615424748943</v>
      </c>
      <c r="P53">
        <v>13.57286815314113</v>
      </c>
      <c r="Q53">
        <v>6.6435218075144006E-2</v>
      </c>
      <c r="R53">
        <v>18.368050882620782</v>
      </c>
      <c r="S53">
        <v>46.597460196989275</v>
      </c>
      <c r="U53">
        <v>2.311386127334059</v>
      </c>
      <c r="V53">
        <v>46.443682375759046</v>
      </c>
      <c r="W53">
        <v>28.41877871601114</v>
      </c>
      <c r="X53">
        <v>43.477553562442239</v>
      </c>
      <c r="Y53">
        <v>9.4053533306992083</v>
      </c>
      <c r="Z53">
        <v>33.94464784333276</v>
      </c>
      <c r="AA53">
        <v>6.6087859512424254</v>
      </c>
      <c r="AB53">
        <v>36.893166145087982</v>
      </c>
      <c r="AC53">
        <v>0.27450055939005419</v>
      </c>
      <c r="AD53">
        <v>9.4106285415561874</v>
      </c>
      <c r="AE53">
        <v>14.480554878080033</v>
      </c>
      <c r="AF53">
        <v>13.856352221449569</v>
      </c>
      <c r="AG53">
        <v>23.070823785503439</v>
      </c>
      <c r="AH53">
        <v>8.3832705449367957</v>
      </c>
      <c r="AI53">
        <v>2.3778397971864296</v>
      </c>
      <c r="AK53">
        <v>53.38755938244153</v>
      </c>
    </row>
    <row r="54" spans="1:37" x14ac:dyDescent="0.2">
      <c r="A54">
        <v>53</v>
      </c>
      <c r="B54">
        <v>780</v>
      </c>
      <c r="C54">
        <v>175</v>
      </c>
      <c r="D54">
        <v>0.42385272753169101</v>
      </c>
      <c r="E54">
        <v>145.08938797076351</v>
      </c>
      <c r="F54">
        <v>66.078051457871155</v>
      </c>
      <c r="G54">
        <v>73.153209180564204</v>
      </c>
      <c r="H54">
        <v>68.608384342131714</v>
      </c>
      <c r="J54">
        <v>63.599946687413961</v>
      </c>
      <c r="L54">
        <v>7.312986756370301</v>
      </c>
      <c r="M54">
        <v>13.891392140100107</v>
      </c>
      <c r="N54">
        <v>2.4145163235724763</v>
      </c>
      <c r="O54">
        <v>32.879922569800932</v>
      </c>
      <c r="P54">
        <v>13.34795989095773</v>
      </c>
      <c r="R54">
        <v>18.04112501782933</v>
      </c>
      <c r="S54">
        <v>46.122195937690144</v>
      </c>
      <c r="U54">
        <v>2.2238227105952588</v>
      </c>
      <c r="V54">
        <v>46.389809969554761</v>
      </c>
      <c r="W54">
        <v>28.123943461546375</v>
      </c>
      <c r="X54">
        <v>43.313582302870081</v>
      </c>
      <c r="Y54">
        <v>9.2219442109000074</v>
      </c>
      <c r="Z54">
        <v>33.552731114072849</v>
      </c>
      <c r="AA54">
        <v>6.4249854988972945</v>
      </c>
      <c r="AB54">
        <v>36.74438060629025</v>
      </c>
      <c r="AC54">
        <v>0.2494958244467714</v>
      </c>
      <c r="AD54">
        <v>9.1973099010627575</v>
      </c>
      <c r="AE54">
        <v>14.305927332163906</v>
      </c>
      <c r="AF54">
        <v>13.782504226227719</v>
      </c>
      <c r="AG54">
        <v>22.867218454914212</v>
      </c>
      <c r="AH54">
        <v>8.1284843066707122</v>
      </c>
      <c r="AI54">
        <v>2.3562815182893395</v>
      </c>
      <c r="AK54">
        <v>53.359796782958412</v>
      </c>
    </row>
    <row r="55" spans="1:37" x14ac:dyDescent="0.2">
      <c r="A55">
        <v>54</v>
      </c>
      <c r="B55">
        <v>778</v>
      </c>
      <c r="C55">
        <v>175</v>
      </c>
      <c r="D55">
        <v>0.422623317319128</v>
      </c>
      <c r="E55">
        <v>144.86604690801622</v>
      </c>
      <c r="F55">
        <v>65.176928417707273</v>
      </c>
      <c r="G55">
        <v>72.997401337383948</v>
      </c>
      <c r="H55">
        <v>68.447130538518721</v>
      </c>
      <c r="J55">
        <v>63.518619939745697</v>
      </c>
      <c r="L55">
        <v>7.0778007214182033</v>
      </c>
      <c r="M55">
        <v>13.92435193042909</v>
      </c>
      <c r="N55">
        <v>2.3801525357690152</v>
      </c>
      <c r="O55">
        <v>31.752319904722363</v>
      </c>
      <c r="P55">
        <v>13.044544271209814</v>
      </c>
      <c r="R55">
        <v>17.733516526930725</v>
      </c>
      <c r="S55">
        <v>45.966740421608783</v>
      </c>
      <c r="U55">
        <v>2.1933803673481145</v>
      </c>
      <c r="V55">
        <v>46.495722999315802</v>
      </c>
      <c r="W55">
        <v>27.89688041511841</v>
      </c>
      <c r="X55">
        <v>43.340948507149534</v>
      </c>
      <c r="Y55">
        <v>8.9678643308528567</v>
      </c>
      <c r="Z55">
        <v>33.065587803505188</v>
      </c>
      <c r="AA55">
        <v>6.172916567136701</v>
      </c>
      <c r="AB55">
        <v>36.731796288042631</v>
      </c>
      <c r="AC55">
        <v>0.21116057312509273</v>
      </c>
      <c r="AD55">
        <v>8.9289487907647658</v>
      </c>
      <c r="AE55">
        <v>14.100141861638987</v>
      </c>
      <c r="AF55">
        <v>13.774877099803842</v>
      </c>
      <c r="AG55">
        <v>22.786492753332762</v>
      </c>
      <c r="AH55">
        <v>7.7870116501024995</v>
      </c>
      <c r="AI55">
        <v>2.3213889624741606</v>
      </c>
      <c r="AK55">
        <v>53.290589436731388</v>
      </c>
    </row>
    <row r="56" spans="1:37" x14ac:dyDescent="0.2">
      <c r="A56">
        <v>55</v>
      </c>
      <c r="B56">
        <v>776</v>
      </c>
      <c r="C56">
        <v>175</v>
      </c>
      <c r="D56">
        <v>0.42138921984463801</v>
      </c>
      <c r="E56">
        <v>144.64434468635653</v>
      </c>
      <c r="F56">
        <v>64.279002949744864</v>
      </c>
      <c r="G56">
        <v>72.84135671180924</v>
      </c>
      <c r="H56">
        <v>68.285690320850534</v>
      </c>
      <c r="J56">
        <v>63.434673722681183</v>
      </c>
      <c r="L56">
        <v>6.8406945385740983</v>
      </c>
      <c r="M56">
        <v>13.958561293785321</v>
      </c>
      <c r="N56">
        <v>2.3456361962232832</v>
      </c>
      <c r="O56">
        <v>30.623683946369955</v>
      </c>
      <c r="P56">
        <v>12.740531540376001</v>
      </c>
      <c r="R56">
        <v>17.421221106274025</v>
      </c>
      <c r="S56">
        <v>45.800462098769486</v>
      </c>
      <c r="U56">
        <v>2.1651243583407807</v>
      </c>
      <c r="V56">
        <v>46.596613705342428</v>
      </c>
      <c r="W56">
        <v>27.672822863344216</v>
      </c>
      <c r="X56">
        <v>43.37555518549182</v>
      </c>
      <c r="Y56">
        <v>8.7130292761455443</v>
      </c>
      <c r="Z56">
        <v>32.579602312393028</v>
      </c>
      <c r="AA56">
        <v>5.9200377775115633</v>
      </c>
      <c r="AB56">
        <v>36.71328228430248</v>
      </c>
      <c r="AC56">
        <v>0.17267337956229206</v>
      </c>
      <c r="AD56">
        <v>8.6602644546385115</v>
      </c>
      <c r="AE56">
        <v>13.895266854461052</v>
      </c>
      <c r="AF56">
        <v>13.768347796966744</v>
      </c>
      <c r="AG56">
        <v>22.699694396423688</v>
      </c>
      <c r="AH56">
        <v>7.4442550115910002</v>
      </c>
      <c r="AI56">
        <v>2.2863406927478125</v>
      </c>
      <c r="AK56">
        <v>53.221763792977754</v>
      </c>
    </row>
    <row r="57" spans="1:37" x14ac:dyDescent="0.2">
      <c r="A57">
        <v>56</v>
      </c>
      <c r="B57">
        <v>774</v>
      </c>
      <c r="C57">
        <v>175</v>
      </c>
      <c r="D57">
        <v>0.420150408250972</v>
      </c>
      <c r="E57">
        <v>144.42432413481725</v>
      </c>
      <c r="F57">
        <v>63.384638711521802</v>
      </c>
      <c r="G57">
        <v>72.685156352839513</v>
      </c>
      <c r="H57">
        <v>68.124144898078498</v>
      </c>
      <c r="J57">
        <v>63.348044416016144</v>
      </c>
      <c r="L57">
        <v>6.6018230157382058</v>
      </c>
      <c r="M57">
        <v>13.993939860949384</v>
      </c>
      <c r="N57">
        <v>2.3109812647174786</v>
      </c>
      <c r="O57">
        <v>29.494519723586549</v>
      </c>
      <c r="P57">
        <v>12.436097927597014</v>
      </c>
      <c r="R57">
        <v>17.104521131514499</v>
      </c>
      <c r="S57">
        <v>45.622729915200217</v>
      </c>
      <c r="U57">
        <v>2.1389779360483629</v>
      </c>
      <c r="V57">
        <v>46.692269788254542</v>
      </c>
      <c r="W57">
        <v>27.451760903171667</v>
      </c>
      <c r="X57">
        <v>43.417168876691569</v>
      </c>
      <c r="Y57">
        <v>8.4575888450520385</v>
      </c>
      <c r="Z57">
        <v>32.094896248535541</v>
      </c>
      <c r="AA57">
        <v>5.6665009611169221</v>
      </c>
      <c r="AB57">
        <v>36.688472383986301</v>
      </c>
      <c r="AC57">
        <v>0.134048200037514</v>
      </c>
      <c r="AD57">
        <v>8.3913613307017876</v>
      </c>
      <c r="AE57">
        <v>13.691309010541536</v>
      </c>
      <c r="AF57">
        <v>13.762849951041817</v>
      </c>
      <c r="AG57">
        <v>22.606471177232731</v>
      </c>
      <c r="AH57">
        <v>7.1004461987972736</v>
      </c>
      <c r="AI57">
        <v>2.2511506542544319</v>
      </c>
      <c r="AK57">
        <v>53.153402242252696</v>
      </c>
    </row>
    <row r="58" spans="1:37" x14ac:dyDescent="0.2">
      <c r="A58">
        <v>57</v>
      </c>
      <c r="B58">
        <v>772</v>
      </c>
      <c r="C58">
        <v>175</v>
      </c>
      <c r="D58">
        <v>0.418906855475288</v>
      </c>
      <c r="E58">
        <v>144.20602267320714</v>
      </c>
      <c r="F58">
        <v>62.494195820650951</v>
      </c>
      <c r="G58">
        <v>72.528883371019958</v>
      </c>
      <c r="H58">
        <v>67.962577541311958</v>
      </c>
      <c r="J58">
        <v>63.258703044117688</v>
      </c>
      <c r="L58">
        <v>6.3614965500988836</v>
      </c>
      <c r="M58">
        <v>14.030399862098363</v>
      </c>
      <c r="N58">
        <v>2.2762031468623873</v>
      </c>
      <c r="O58">
        <v>28.365348828305812</v>
      </c>
      <c r="P58">
        <v>12.131425231881133</v>
      </c>
      <c r="R58">
        <v>16.783718422483012</v>
      </c>
      <c r="S58">
        <v>45.433029023115694</v>
      </c>
      <c r="U58">
        <v>2.1148531434411586</v>
      </c>
      <c r="V58">
        <v>46.782523081349268</v>
      </c>
      <c r="W58">
        <v>27.233669654881695</v>
      </c>
      <c r="X58">
        <v>43.465521615161244</v>
      </c>
      <c r="Y58">
        <v>8.2016981040037269</v>
      </c>
      <c r="Z58">
        <v>31.611590374504278</v>
      </c>
      <c r="AA58">
        <v>5.4125460049383474</v>
      </c>
      <c r="AB58">
        <v>36.657061143963205</v>
      </c>
      <c r="AC58">
        <v>9.5300436654416398E-2</v>
      </c>
      <c r="AD58">
        <v>8.1223445685222941</v>
      </c>
      <c r="AE58">
        <v>13.488273230425319</v>
      </c>
      <c r="AF58">
        <v>13.758311240770574</v>
      </c>
      <c r="AG58">
        <v>22.506533102869341</v>
      </c>
      <c r="AH58">
        <v>6.7558226818341529</v>
      </c>
      <c r="AI58">
        <v>2.215834237957429</v>
      </c>
      <c r="AK58">
        <v>53.085589412736802</v>
      </c>
    </row>
    <row r="59" spans="1:37" x14ac:dyDescent="0.2">
      <c r="A59">
        <v>58</v>
      </c>
      <c r="B59">
        <v>770</v>
      </c>
      <c r="C59">
        <v>175</v>
      </c>
      <c r="D59">
        <v>0.41765853424723398</v>
      </c>
      <c r="E59">
        <v>143.98947189293875</v>
      </c>
      <c r="F59">
        <v>61.608025156157488</v>
      </c>
      <c r="G59">
        <v>72.372621590419911</v>
      </c>
      <c r="H59">
        <v>67.801072235799168</v>
      </c>
      <c r="J59">
        <v>63.166654269042077</v>
      </c>
      <c r="L59">
        <v>6.1198193950760942</v>
      </c>
      <c r="M59">
        <v>14.067847699253441</v>
      </c>
      <c r="N59">
        <v>2.2413183896430273</v>
      </c>
      <c r="O59">
        <v>27.236700498959479</v>
      </c>
      <c r="P59">
        <v>11.826697821601249</v>
      </c>
      <c r="R59">
        <v>16.459128968649399</v>
      </c>
      <c r="S59">
        <v>45.230963865701305</v>
      </c>
      <c r="U59">
        <v>2.0926525162515843</v>
      </c>
      <c r="V59">
        <v>46.86724980764032</v>
      </c>
      <c r="W59">
        <v>27.018510205085271</v>
      </c>
      <c r="X59">
        <v>43.520316217892493</v>
      </c>
      <c r="Y59">
        <v>7.9455147921007354</v>
      </c>
      <c r="Z59">
        <v>31.129802497207759</v>
      </c>
      <c r="AA59">
        <v>5.1581542948614665</v>
      </c>
      <c r="AB59">
        <v>36.618806052767511</v>
      </c>
      <c r="AC59">
        <v>5.6446632885767047E-2</v>
      </c>
      <c r="AD59">
        <v>7.8533184987024667</v>
      </c>
      <c r="AE59">
        <v>13.286162407969128</v>
      </c>
      <c r="AF59">
        <v>13.754654658306805</v>
      </c>
      <c r="AG59">
        <v>22.399654253757145</v>
      </c>
      <c r="AH59">
        <v>6.4106240727934507</v>
      </c>
      <c r="AI59">
        <v>2.1804079761853647</v>
      </c>
      <c r="AK59">
        <v>53.018410708680854</v>
      </c>
    </row>
    <row r="60" spans="1:37" x14ac:dyDescent="0.2">
      <c r="A60">
        <v>59</v>
      </c>
      <c r="B60">
        <v>768</v>
      </c>
      <c r="C60">
        <v>175</v>
      </c>
      <c r="D60">
        <v>0.416405417086878</v>
      </c>
      <c r="E60">
        <v>143.77469730332672</v>
      </c>
      <c r="F60">
        <v>60.726463157303336</v>
      </c>
      <c r="G60">
        <v>72.216454249149905</v>
      </c>
      <c r="H60">
        <v>67.639712381446515</v>
      </c>
      <c r="J60">
        <v>63.07193445977758</v>
      </c>
      <c r="L60">
        <v>5.8770576257064571</v>
      </c>
      <c r="M60">
        <v>14.106185581844153</v>
      </c>
      <c r="N60">
        <v>2.2063443613734881</v>
      </c>
      <c r="O60">
        <v>26.109102938100474</v>
      </c>
      <c r="P60">
        <v>11.522099715496395</v>
      </c>
      <c r="R60">
        <v>16.131077581896761</v>
      </c>
      <c r="S60">
        <v>45.016257608113328</v>
      </c>
      <c r="U60">
        <v>2.0722709359075342</v>
      </c>
      <c r="V60">
        <v>46.946369579759107</v>
      </c>
      <c r="W60">
        <v>26.806230864649752</v>
      </c>
      <c r="X60">
        <v>43.581232029971446</v>
      </c>
      <c r="Y60">
        <v>7.6891967877167815</v>
      </c>
      <c r="Z60">
        <v>30.649645516601883</v>
      </c>
      <c r="AA60">
        <v>4.9035708751025373</v>
      </c>
      <c r="AB60">
        <v>36.573527753265644</v>
      </c>
      <c r="AC60">
        <v>1.7504153529912483E-2</v>
      </c>
      <c r="AD60">
        <v>7.5843851758727752</v>
      </c>
      <c r="AE60">
        <v>13.084977275059446</v>
      </c>
      <c r="AF60">
        <v>13.751799824741848</v>
      </c>
      <c r="AG60">
        <v>22.285672686267699</v>
      </c>
      <c r="AH60">
        <v>6.0650887013625558</v>
      </c>
      <c r="AI60">
        <v>2.1448892225888878</v>
      </c>
      <c r="AK60">
        <v>52.951950897278365</v>
      </c>
    </row>
    <row r="61" spans="1:37" x14ac:dyDescent="0.2">
      <c r="A61">
        <v>60</v>
      </c>
      <c r="B61">
        <v>766</v>
      </c>
      <c r="C61">
        <v>175</v>
      </c>
      <c r="D61">
        <v>0.41514747630275201</v>
      </c>
      <c r="E61">
        <v>143.44198559174353</v>
      </c>
      <c r="F61">
        <v>59.213058849250359</v>
      </c>
      <c r="G61">
        <v>71.95622150546734</v>
      </c>
      <c r="H61">
        <v>67.374338298929885</v>
      </c>
      <c r="J61">
        <v>62.78048765674545</v>
      </c>
      <c r="L61">
        <v>5.4703993321058917</v>
      </c>
      <c r="M61">
        <v>14.135337165748318</v>
      </c>
      <c r="N61">
        <v>2.1925647531964558</v>
      </c>
      <c r="O61">
        <v>24.388913132648657</v>
      </c>
      <c r="P61">
        <v>11.030595096381164</v>
      </c>
      <c r="R61">
        <v>15.579489161140017</v>
      </c>
      <c r="S61">
        <v>44.527612432767484</v>
      </c>
      <c r="U61">
        <v>2.0321842525634084</v>
      </c>
      <c r="V61">
        <v>47.0181994740704</v>
      </c>
      <c r="W61">
        <v>26.451848246081553</v>
      </c>
      <c r="X61">
        <v>43.563920874530815</v>
      </c>
      <c r="Y61">
        <v>7.2401949477100667</v>
      </c>
      <c r="Z61">
        <v>29.819776600318569</v>
      </c>
      <c r="AA61">
        <v>4.4804628610544022</v>
      </c>
      <c r="AB61">
        <v>36.453696722309644</v>
      </c>
      <c r="AD61">
        <v>7.0972713977838371</v>
      </c>
      <c r="AE61">
        <v>12.757605385669862</v>
      </c>
      <c r="AF61">
        <v>13.760954130634843</v>
      </c>
      <c r="AG61">
        <v>22.118342613867306</v>
      </c>
      <c r="AH61">
        <v>5.4139958055718465</v>
      </c>
      <c r="AI61">
        <v>2.1305616536379302</v>
      </c>
      <c r="AK61">
        <v>52.736981612032388</v>
      </c>
    </row>
    <row r="62" spans="1:37" x14ac:dyDescent="0.2">
      <c r="A62">
        <v>61</v>
      </c>
      <c r="B62">
        <v>764</v>
      </c>
      <c r="C62">
        <v>175</v>
      </c>
      <c r="D62">
        <v>0.41388468398978101</v>
      </c>
      <c r="E62">
        <v>143.00510443899597</v>
      </c>
      <c r="F62">
        <v>57.115146655570179</v>
      </c>
      <c r="G62">
        <v>71.597801066030442</v>
      </c>
      <c r="H62">
        <v>67.010827857950403</v>
      </c>
      <c r="J62">
        <v>62.285078526284487</v>
      </c>
      <c r="L62">
        <v>4.9042796187698148</v>
      </c>
      <c r="M62">
        <v>14.161251763200237</v>
      </c>
      <c r="N62">
        <v>2.1965171995845267</v>
      </c>
      <c r="O62">
        <v>22.102387985406679</v>
      </c>
      <c r="P62">
        <v>10.360477188174436</v>
      </c>
      <c r="R62">
        <v>14.803299883377003</v>
      </c>
      <c r="S62">
        <v>43.723880204839283</v>
      </c>
      <c r="U62">
        <v>1.9833770490164158</v>
      </c>
      <c r="V62">
        <v>47.061434708314103</v>
      </c>
      <c r="W62">
        <v>25.985436216364203</v>
      </c>
      <c r="X62">
        <v>43.503921566437121</v>
      </c>
      <c r="Y62">
        <v>6.6084012714880069</v>
      </c>
      <c r="Z62">
        <v>28.663164593975758</v>
      </c>
      <c r="AA62">
        <v>3.8957165610238298</v>
      </c>
      <c r="AB62">
        <v>36.231207762229793</v>
      </c>
      <c r="AD62">
        <v>6.4048924927652289</v>
      </c>
      <c r="AE62">
        <v>12.313137171814457</v>
      </c>
      <c r="AF62">
        <v>13.784604566432478</v>
      </c>
      <c r="AG62">
        <v>21.866096519123118</v>
      </c>
      <c r="AH62">
        <v>4.4737598478539109</v>
      </c>
      <c r="AI62">
        <v>2.1339628891268623</v>
      </c>
      <c r="AK62">
        <v>52.381078373829013</v>
      </c>
    </row>
    <row r="63" spans="1:37" x14ac:dyDescent="0.2">
      <c r="A63">
        <v>62</v>
      </c>
      <c r="B63">
        <v>762</v>
      </c>
      <c r="C63">
        <v>175</v>
      </c>
      <c r="D63">
        <v>0.41261701202724399</v>
      </c>
      <c r="E63">
        <v>142.55854326027972</v>
      </c>
      <c r="F63">
        <v>54.916625305646257</v>
      </c>
      <c r="G63">
        <v>71.220207930161223</v>
      </c>
      <c r="H63">
        <v>66.628196221502577</v>
      </c>
      <c r="J63">
        <v>61.717520177830764</v>
      </c>
      <c r="L63">
        <v>4.2991735478277224</v>
      </c>
      <c r="M63">
        <v>14.193550004555691</v>
      </c>
      <c r="N63">
        <v>2.2004667464609966</v>
      </c>
      <c r="O63">
        <v>19.691875423661219</v>
      </c>
      <c r="P63">
        <v>9.652041212541846</v>
      </c>
      <c r="R63">
        <v>13.961989283016162</v>
      </c>
      <c r="S63">
        <v>42.763079073564647</v>
      </c>
      <c r="U63">
        <v>1.9469000848207529</v>
      </c>
      <c r="V63">
        <v>47.063833449487255</v>
      </c>
      <c r="W63">
        <v>25.530578237884498</v>
      </c>
      <c r="X63">
        <v>43.48063895919627</v>
      </c>
      <c r="Y63">
        <v>5.938811266076601</v>
      </c>
      <c r="Z63">
        <v>27.441083548823862</v>
      </c>
      <c r="AA63">
        <v>3.2747309535946041</v>
      </c>
      <c r="AB63">
        <v>35.932745293613131</v>
      </c>
      <c r="AD63">
        <v>5.6699395573045157</v>
      </c>
      <c r="AE63">
        <v>11.844917200014699</v>
      </c>
      <c r="AF63">
        <v>13.814636852348396</v>
      </c>
      <c r="AG63">
        <v>21.537883914594133</v>
      </c>
      <c r="AH63">
        <v>3.4748542764626196</v>
      </c>
      <c r="AI63">
        <v>2.1373579602924884</v>
      </c>
      <c r="AK63">
        <v>51.994335102338461</v>
      </c>
    </row>
    <row r="64" spans="1:37" x14ac:dyDescent="0.2">
      <c r="A64">
        <v>63</v>
      </c>
      <c r="B64">
        <v>760</v>
      </c>
      <c r="C64">
        <v>175</v>
      </c>
      <c r="D64">
        <v>0.41134443207665999</v>
      </c>
      <c r="E64">
        <v>142.09408845679954</v>
      </c>
      <c r="F64">
        <v>52.549189956776019</v>
      </c>
      <c r="G64">
        <v>70.813074306718164</v>
      </c>
      <c r="H64">
        <v>66.216075762748801</v>
      </c>
      <c r="J64">
        <v>61.037656138368064</v>
      </c>
      <c r="L64">
        <v>3.6348862081362823</v>
      </c>
      <c r="M64">
        <v>14.231920397799307</v>
      </c>
      <c r="N64">
        <v>2.2044126138784832</v>
      </c>
      <c r="O64">
        <v>17.085267581661832</v>
      </c>
      <c r="P64">
        <v>8.8845509853278273</v>
      </c>
      <c r="R64">
        <v>13.024542412394599</v>
      </c>
      <c r="S64">
        <v>41.572826688062108</v>
      </c>
      <c r="U64">
        <v>1.9247466158938242</v>
      </c>
      <c r="V64">
        <v>47.010830253609953</v>
      </c>
      <c r="W64">
        <v>25.088621941611635</v>
      </c>
      <c r="X64">
        <v>43.49989493067028</v>
      </c>
      <c r="Y64">
        <v>5.2105357310631639</v>
      </c>
      <c r="Z64">
        <v>26.104724180901531</v>
      </c>
      <c r="AA64">
        <v>2.5971650260650057</v>
      </c>
      <c r="AB64">
        <v>35.521153252166535</v>
      </c>
      <c r="AD64">
        <v>4.863761593364238</v>
      </c>
      <c r="AE64">
        <v>11.332172514156213</v>
      </c>
      <c r="AF64">
        <v>13.850738760554403</v>
      </c>
      <c r="AG64">
        <v>21.0965480023814</v>
      </c>
      <c r="AH64">
        <v>2.3849761781637731</v>
      </c>
      <c r="AI64">
        <v>2.1407460724952307</v>
      </c>
      <c r="AK64">
        <v>51.555442595843346</v>
      </c>
    </row>
    <row r="65" spans="1:37" x14ac:dyDescent="0.2">
      <c r="A65">
        <v>64</v>
      </c>
      <c r="B65">
        <v>758</v>
      </c>
      <c r="C65">
        <v>175</v>
      </c>
      <c r="D65">
        <v>0.41006691557969399</v>
      </c>
      <c r="E65">
        <v>141.59129262967085</v>
      </c>
      <c r="F65">
        <v>49.843145842813342</v>
      </c>
      <c r="G65">
        <v>70.350805595752902</v>
      </c>
      <c r="H65">
        <v>65.748872046681697</v>
      </c>
      <c r="J65">
        <v>60.148093229667808</v>
      </c>
      <c r="L65">
        <v>2.8611147691514636</v>
      </c>
      <c r="M65">
        <v>14.274552217618405</v>
      </c>
      <c r="N65">
        <v>2.2083531172984321</v>
      </c>
      <c r="O65">
        <v>14.104591256772999</v>
      </c>
      <c r="P65">
        <v>8.0068158011619897</v>
      </c>
      <c r="R65">
        <v>11.912104005283881</v>
      </c>
      <c r="S65">
        <v>39.983067911642316</v>
      </c>
      <c r="U65">
        <v>1.921155556443469</v>
      </c>
      <c r="V65">
        <v>46.868690647830377</v>
      </c>
      <c r="W65">
        <v>24.662124669109879</v>
      </c>
      <c r="X65">
        <v>43.573911096911083</v>
      </c>
      <c r="Y65">
        <v>4.3720416331651473</v>
      </c>
      <c r="Z65">
        <v>24.532167985010449</v>
      </c>
      <c r="AA65">
        <v>1.8127923785300373</v>
      </c>
      <c r="AB65">
        <v>34.909115948926264</v>
      </c>
      <c r="AD65">
        <v>3.9148441102360607</v>
      </c>
      <c r="AE65">
        <v>10.722890068802641</v>
      </c>
      <c r="AF65">
        <v>13.891097925535338</v>
      </c>
      <c r="AG65">
        <v>20.454771455622339</v>
      </c>
      <c r="AH65">
        <v>1.124088590828775</v>
      </c>
      <c r="AI65">
        <v>2.1441255264991006</v>
      </c>
      <c r="AK65">
        <v>51.01124065969524</v>
      </c>
    </row>
    <row r="66" spans="1:37" x14ac:dyDescent="0.2">
      <c r="A66">
        <v>65</v>
      </c>
      <c r="B66">
        <v>756</v>
      </c>
      <c r="C66">
        <v>175</v>
      </c>
      <c r="D66">
        <v>0.40878443375601398</v>
      </c>
      <c r="E66">
        <v>141.98904546585391</v>
      </c>
      <c r="F66">
        <v>47.740753494882647</v>
      </c>
      <c r="G66">
        <v>70.534870212265517</v>
      </c>
      <c r="H66">
        <v>65.928053653882117</v>
      </c>
      <c r="J66">
        <v>44.713419542532733</v>
      </c>
      <c r="L66">
        <v>1.5470651268320725</v>
      </c>
      <c r="M66">
        <v>13.894913558175395</v>
      </c>
      <c r="N66">
        <v>2.2123463455901655</v>
      </c>
      <c r="O66">
        <v>7.0459887203222067</v>
      </c>
      <c r="P66">
        <v>8.421830758969957</v>
      </c>
      <c r="R66">
        <v>10.339001148812482</v>
      </c>
      <c r="S66">
        <v>35.489339933539412</v>
      </c>
      <c r="U66">
        <v>1.9615579461351851</v>
      </c>
      <c r="V66">
        <v>46.76827850248506</v>
      </c>
      <c r="W66">
        <v>24.015984674417822</v>
      </c>
      <c r="X66">
        <v>43.768209615696776</v>
      </c>
      <c r="Y66">
        <v>3.351708247292438</v>
      </c>
      <c r="Z66">
        <v>18.18702519813165</v>
      </c>
      <c r="AB66">
        <v>30.910927274931993</v>
      </c>
      <c r="AD66">
        <v>0.67788479616478547</v>
      </c>
      <c r="AE66">
        <v>6.9770293507514394</v>
      </c>
      <c r="AF66">
        <v>13.509240574855987</v>
      </c>
      <c r="AG66">
        <v>16.426906301153888</v>
      </c>
      <c r="AI66">
        <v>2.1475543964705137</v>
      </c>
      <c r="AK66">
        <v>40.853324335444874</v>
      </c>
    </row>
    <row r="67" spans="1:37" x14ac:dyDescent="0.2">
      <c r="A67">
        <v>66</v>
      </c>
      <c r="B67">
        <v>754</v>
      </c>
      <c r="C67">
        <v>175</v>
      </c>
      <c r="D67">
        <v>0.40749695760112897</v>
      </c>
      <c r="E67">
        <v>142.33414334801705</v>
      </c>
      <c r="F67">
        <v>48.438613448863535</v>
      </c>
      <c r="G67">
        <v>70.538076745982067</v>
      </c>
      <c r="H67">
        <v>65.926429340299933</v>
      </c>
      <c r="J67">
        <v>34.760196891240604</v>
      </c>
      <c r="L67">
        <v>1.5757591599723055</v>
      </c>
      <c r="M67">
        <v>13.125574688416508</v>
      </c>
      <c r="N67">
        <v>2.2163345457666628</v>
      </c>
      <c r="O67">
        <v>6.9120449897427303</v>
      </c>
      <c r="P67">
        <v>8.4751554662689799</v>
      </c>
      <c r="R67">
        <v>9.7386884450239375</v>
      </c>
      <c r="S67">
        <v>35.86579110410316</v>
      </c>
      <c r="U67">
        <v>1.9361581415506313</v>
      </c>
      <c r="V67">
        <v>47.673563530428929</v>
      </c>
      <c r="W67">
        <v>23.071579044386628</v>
      </c>
      <c r="X67">
        <v>43.772652059289314</v>
      </c>
      <c r="Y67">
        <v>2.8979192435334227</v>
      </c>
      <c r="Z67">
        <v>17.713859636908069</v>
      </c>
      <c r="AB67">
        <v>31.189185376716154</v>
      </c>
      <c r="AE67">
        <v>6.679287617972598</v>
      </c>
      <c r="AF67">
        <v>12.737679269212919</v>
      </c>
      <c r="AG67">
        <v>16.675492979753823</v>
      </c>
      <c r="AI67">
        <v>2.1509749147146549</v>
      </c>
      <c r="AK67">
        <v>34.073454263316634</v>
      </c>
    </row>
    <row r="68" spans="1:37" x14ac:dyDescent="0.2">
      <c r="A68">
        <v>67</v>
      </c>
      <c r="B68">
        <v>792</v>
      </c>
      <c r="C68">
        <v>150</v>
      </c>
      <c r="D68">
        <v>0.456950194808243</v>
      </c>
      <c r="E68">
        <v>131.5815462293609</v>
      </c>
      <c r="F68">
        <v>69.006585224232595</v>
      </c>
      <c r="G68">
        <v>73.781142575477446</v>
      </c>
      <c r="H68">
        <v>69.269275017046553</v>
      </c>
      <c r="J68">
        <v>63.771954580800319</v>
      </c>
      <c r="L68">
        <v>8.0062048736101232</v>
      </c>
      <c r="M68">
        <v>14.315670001153016</v>
      </c>
      <c r="N68">
        <v>2.3841942533943397</v>
      </c>
      <c r="O68">
        <v>37.436820564363373</v>
      </c>
      <c r="P68">
        <v>14.177867048436173</v>
      </c>
      <c r="R68">
        <v>19.914064127375696</v>
      </c>
      <c r="S68">
        <v>49.415038029714836</v>
      </c>
      <c r="U68">
        <v>2.8979978329616021</v>
      </c>
      <c r="V68">
        <v>46.470464499757412</v>
      </c>
      <c r="W68">
        <v>30.863674038242188</v>
      </c>
      <c r="X68">
        <v>42.936634648711163</v>
      </c>
      <c r="Y68">
        <v>9.8652953139282822</v>
      </c>
      <c r="Z68">
        <v>35.616629563141053</v>
      </c>
      <c r="AA68">
        <v>7.1869666565340884</v>
      </c>
      <c r="AB68">
        <v>38.064128927763385</v>
      </c>
      <c r="AC68">
        <v>0.33466578366952632</v>
      </c>
      <c r="AD68">
        <v>10.275143400707828</v>
      </c>
      <c r="AE68">
        <v>15.480676987917743</v>
      </c>
      <c r="AF68">
        <v>14.291057538136126</v>
      </c>
      <c r="AG68">
        <v>24.466311588530456</v>
      </c>
      <c r="AH68">
        <v>8.8665817588827149</v>
      </c>
      <c r="AI68">
        <v>2.3260577997078249</v>
      </c>
      <c r="AK68">
        <v>52.892444267869983</v>
      </c>
    </row>
    <row r="69" spans="1:37" x14ac:dyDescent="0.2">
      <c r="A69">
        <v>68</v>
      </c>
      <c r="B69">
        <v>790</v>
      </c>
      <c r="C69">
        <v>150</v>
      </c>
      <c r="D69">
        <v>0.45579692423458601</v>
      </c>
      <c r="E69">
        <v>131.36088454203286</v>
      </c>
      <c r="F69">
        <v>68.115964136433504</v>
      </c>
      <c r="G69">
        <v>73.626990348153015</v>
      </c>
      <c r="H69">
        <v>69.10935745003421</v>
      </c>
      <c r="J69">
        <v>63.687240040921836</v>
      </c>
      <c r="L69">
        <v>7.7757002984491406</v>
      </c>
      <c r="M69">
        <v>14.345618984957337</v>
      </c>
      <c r="N69">
        <v>2.3508072781437717</v>
      </c>
      <c r="O69">
        <v>36.318321354651459</v>
      </c>
      <c r="P69">
        <v>13.878550023235507</v>
      </c>
      <c r="R69">
        <v>19.609244934970977</v>
      </c>
      <c r="S69">
        <v>49.248304219044485</v>
      </c>
      <c r="U69">
        <v>2.8674445689583981</v>
      </c>
      <c r="V69">
        <v>46.57305629511773</v>
      </c>
      <c r="W69">
        <v>30.630265424262081</v>
      </c>
      <c r="X69">
        <v>42.962162000542278</v>
      </c>
      <c r="Y69">
        <v>9.6156232259165737</v>
      </c>
      <c r="Z69">
        <v>35.130306811859832</v>
      </c>
      <c r="AA69">
        <v>6.9393070169207203</v>
      </c>
      <c r="AB69">
        <v>38.044128480656838</v>
      </c>
      <c r="AC69">
        <v>0.29729926161358033</v>
      </c>
      <c r="AD69">
        <v>10.011140170491734</v>
      </c>
      <c r="AE69">
        <v>15.27343310082145</v>
      </c>
      <c r="AF69">
        <v>14.281385060512445</v>
      </c>
      <c r="AG69">
        <v>24.379155761217724</v>
      </c>
      <c r="AH69">
        <v>8.5313512405582763</v>
      </c>
      <c r="AI69">
        <v>2.2921629781259165</v>
      </c>
      <c r="AK69">
        <v>52.825211788005262</v>
      </c>
    </row>
    <row r="70" spans="1:37" x14ac:dyDescent="0.2">
      <c r="A70">
        <v>69</v>
      </c>
      <c r="B70">
        <v>788</v>
      </c>
      <c r="C70">
        <v>150</v>
      </c>
      <c r="D70">
        <v>0.45463930641285699</v>
      </c>
      <c r="E70">
        <v>131.14180227631334</v>
      </c>
      <c r="F70">
        <v>67.228613427334651</v>
      </c>
      <c r="G70">
        <v>73.472660723239287</v>
      </c>
      <c r="H70">
        <v>68.94931191616422</v>
      </c>
      <c r="J70">
        <v>63.600332269891631</v>
      </c>
      <c r="L70">
        <v>7.5435014212464706</v>
      </c>
      <c r="M70">
        <v>14.376688360655789</v>
      </c>
      <c r="N70">
        <v>2.3172930760850954</v>
      </c>
      <c r="O70">
        <v>35.199222325942472</v>
      </c>
      <c r="P70">
        <v>13.578778959504016</v>
      </c>
      <c r="R70">
        <v>19.30012243860455</v>
      </c>
      <c r="S70">
        <v>49.071727487053565</v>
      </c>
      <c r="U70">
        <v>2.8388736595084616</v>
      </c>
      <c r="V70">
        <v>46.671056550689187</v>
      </c>
      <c r="W70">
        <v>30.399594108683338</v>
      </c>
      <c r="X70">
        <v>42.994367284561484</v>
      </c>
      <c r="Y70">
        <v>9.3653400751484064</v>
      </c>
      <c r="Z70">
        <v>34.645126732824899</v>
      </c>
      <c r="AA70">
        <v>6.6909620343677885</v>
      </c>
      <c r="AB70">
        <v>38.018666976868239</v>
      </c>
      <c r="AC70">
        <v>0.25980614316759748</v>
      </c>
      <c r="AD70">
        <v>9.746796284287413</v>
      </c>
      <c r="AE70">
        <v>15.067063849686063</v>
      </c>
      <c r="AF70">
        <v>14.272706321870889</v>
      </c>
      <c r="AG70">
        <v>24.286420971955433</v>
      </c>
      <c r="AH70">
        <v>8.1949399395242999</v>
      </c>
      <c r="AI70">
        <v>2.25813785517966</v>
      </c>
      <c r="AK70">
        <v>52.758474626800108</v>
      </c>
    </row>
    <row r="71" spans="1:37" x14ac:dyDescent="0.2">
      <c r="A71">
        <v>70</v>
      </c>
      <c r="B71">
        <v>786</v>
      </c>
      <c r="C71">
        <v>150</v>
      </c>
      <c r="D71">
        <v>0.45347731671623798</v>
      </c>
      <c r="E71">
        <v>130.92433261110497</v>
      </c>
      <c r="F71">
        <v>66.344840278525098</v>
      </c>
      <c r="G71">
        <v>73.31822317933279</v>
      </c>
      <c r="H71">
        <v>68.789208050391053</v>
      </c>
      <c r="J71">
        <v>63.511168459689422</v>
      </c>
      <c r="L71">
        <v>7.3096981289407559</v>
      </c>
      <c r="M71">
        <v>14.408808785765073</v>
      </c>
      <c r="N71">
        <v>2.2836640905848875</v>
      </c>
      <c r="O71">
        <v>34.079958925823114</v>
      </c>
      <c r="P71">
        <v>13.278705423686603</v>
      </c>
      <c r="R71">
        <v>18.986948874567599</v>
      </c>
      <c r="S71">
        <v>48.884750334213969</v>
      </c>
      <c r="U71">
        <v>2.8122157537157721</v>
      </c>
      <c r="V71">
        <v>46.764278656340977</v>
      </c>
      <c r="W71">
        <v>30.171650981584325</v>
      </c>
      <c r="X71">
        <v>43.033039952301444</v>
      </c>
      <c r="Y71">
        <v>9.114573928331021</v>
      </c>
      <c r="Z71">
        <v>34.16119850866631</v>
      </c>
      <c r="AA71">
        <v>6.4420645833629822</v>
      </c>
      <c r="AB71">
        <v>37.987425479628911</v>
      </c>
      <c r="AC71">
        <v>0.22219886822443788</v>
      </c>
      <c r="AD71">
        <v>9.4822062448228905</v>
      </c>
      <c r="AE71">
        <v>14.861576511962689</v>
      </c>
      <c r="AF71">
        <v>14.264964464711003</v>
      </c>
      <c r="AG71">
        <v>24.187800770065543</v>
      </c>
      <c r="AH71">
        <v>7.8575510099212158</v>
      </c>
      <c r="AI71">
        <v>2.2239948596608996</v>
      </c>
      <c r="AK71">
        <v>52.692300142997951</v>
      </c>
    </row>
    <row r="72" spans="1:37" x14ac:dyDescent="0.2">
      <c r="A72">
        <v>71</v>
      </c>
      <c r="B72">
        <v>784</v>
      </c>
      <c r="C72">
        <v>150</v>
      </c>
      <c r="D72">
        <v>0.45231093033155201</v>
      </c>
      <c r="E72">
        <v>130.70850407338645</v>
      </c>
      <c r="F72">
        <v>65.464948395154622</v>
      </c>
      <c r="G72">
        <v>73.163748812469322</v>
      </c>
      <c r="H72">
        <v>68.629117105700672</v>
      </c>
      <c r="J72">
        <v>63.419714541606083</v>
      </c>
      <c r="L72">
        <v>7.0745776415307882</v>
      </c>
      <c r="M72">
        <v>14.441904828141084</v>
      </c>
      <c r="N72">
        <v>2.2499339603049733</v>
      </c>
      <c r="O72">
        <v>32.960979782842628</v>
      </c>
      <c r="P72">
        <v>12.97848541330707</v>
      </c>
      <c r="R72">
        <v>18.669992420954202</v>
      </c>
      <c r="S72">
        <v>48.686912662002939</v>
      </c>
      <c r="U72">
        <v>2.7873921455293371</v>
      </c>
      <c r="V72">
        <v>46.852572872144627</v>
      </c>
      <c r="W72">
        <v>29.946414506446271</v>
      </c>
      <c r="X72">
        <v>43.07794068797368</v>
      </c>
      <c r="Y72">
        <v>8.8634570281824132</v>
      </c>
      <c r="Z72">
        <v>33.678630682780224</v>
      </c>
      <c r="AA72">
        <v>6.1927499562834418</v>
      </c>
      <c r="AB72">
        <v>37.95013623567398</v>
      </c>
      <c r="AC72">
        <v>0.18449107196708761</v>
      </c>
      <c r="AD72">
        <v>9.2174650760372447</v>
      </c>
      <c r="AE72">
        <v>14.6569769480963</v>
      </c>
      <c r="AF72">
        <v>14.258097737354202</v>
      </c>
      <c r="AG72">
        <v>24.083041083932187</v>
      </c>
      <c r="AH72">
        <v>7.5193919723610936</v>
      </c>
      <c r="AI72">
        <v>2.1897476156461337</v>
      </c>
      <c r="AK72">
        <v>52.626757317565456</v>
      </c>
    </row>
    <row r="73" spans="1:37" x14ac:dyDescent="0.2">
      <c r="A73">
        <v>72</v>
      </c>
      <c r="B73">
        <v>782</v>
      </c>
      <c r="C73">
        <v>150</v>
      </c>
      <c r="D73">
        <v>0.451140122257502</v>
      </c>
      <c r="E73">
        <v>130.49434025516877</v>
      </c>
      <c r="F73">
        <v>64.589233597380996</v>
      </c>
      <c r="G73">
        <v>73.009309284693941</v>
      </c>
      <c r="H73">
        <v>68.469110901681617</v>
      </c>
      <c r="J73">
        <v>63.325964502388288</v>
      </c>
      <c r="L73">
        <v>6.8382153507969781</v>
      </c>
      <c r="M73">
        <v>14.475896208055653</v>
      </c>
      <c r="N73">
        <v>2.2161172723764491</v>
      </c>
      <c r="O73">
        <v>31.842739686542597</v>
      </c>
      <c r="P73">
        <v>12.678277007284116</v>
      </c>
      <c r="R73">
        <v>18.349532966748161</v>
      </c>
      <c r="S73">
        <v>48.477854309310054</v>
      </c>
      <c r="U73">
        <v>2.7643161512235666</v>
      </c>
      <c r="V73">
        <v>46.935826555511674</v>
      </c>
      <c r="W73">
        <v>29.72385146337578</v>
      </c>
      <c r="X73">
        <v>43.128805687314397</v>
      </c>
      <c r="Y73">
        <v>8.6121237694532518</v>
      </c>
      <c r="Z73">
        <v>33.197529434763197</v>
      </c>
      <c r="AA73">
        <v>5.9431541509876045</v>
      </c>
      <c r="AB73">
        <v>37.906584375949642</v>
      </c>
      <c r="AC73">
        <v>0.14669733804279778</v>
      </c>
      <c r="AD73">
        <v>8.9526670907647592</v>
      </c>
      <c r="AE73">
        <v>14.453269406999114</v>
      </c>
      <c r="AF73">
        <v>14.252040489199544</v>
      </c>
      <c r="AG73">
        <v>23.971941674891195</v>
      </c>
      <c r="AH73">
        <v>7.1806719796987712</v>
      </c>
      <c r="AI73">
        <v>2.1554106956691417</v>
      </c>
      <c r="AK73">
        <v>52.561915666078299</v>
      </c>
    </row>
    <row r="74" spans="1:37" x14ac:dyDescent="0.2">
      <c r="A74">
        <v>73</v>
      </c>
      <c r="B74">
        <v>780</v>
      </c>
      <c r="C74">
        <v>150</v>
      </c>
      <c r="D74">
        <v>0.44996486730285301</v>
      </c>
      <c r="E74">
        <v>130.28185965583813</v>
      </c>
      <c r="F74">
        <v>63.717979786761056</v>
      </c>
      <c r="G74">
        <v>72.854975808701525</v>
      </c>
      <c r="H74">
        <v>68.309260809169189</v>
      </c>
      <c r="J74">
        <v>63.229938989086662</v>
      </c>
      <c r="L74">
        <v>6.600854644768857</v>
      </c>
      <c r="M74">
        <v>14.510699089095564</v>
      </c>
      <c r="N74">
        <v>2.1822293038907281</v>
      </c>
      <c r="O74">
        <v>30.725692743571877</v>
      </c>
      <c r="P74">
        <v>12.378238076710645</v>
      </c>
      <c r="R74">
        <v>18.025857828846153</v>
      </c>
      <c r="S74">
        <v>48.257314789913565</v>
      </c>
      <c r="U74">
        <v>2.742894602383247</v>
      </c>
      <c r="V74">
        <v>47.013963427742873</v>
      </c>
      <c r="W74">
        <v>29.503917932383825</v>
      </c>
      <c r="X74">
        <v>43.185351288941789</v>
      </c>
      <c r="Y74">
        <v>8.3607087210797193</v>
      </c>
      <c r="Z74">
        <v>32.717996971827155</v>
      </c>
      <c r="AA74">
        <v>5.693492779496351</v>
      </c>
      <c r="AB74">
        <v>37.856608128089057</v>
      </c>
      <c r="AC74">
        <v>0.10883294005459698</v>
      </c>
      <c r="AD74">
        <v>8.6879047125176072</v>
      </c>
      <c r="AE74">
        <v>14.25045637083077</v>
      </c>
      <c r="AF74">
        <v>14.246724203108547</v>
      </c>
      <c r="AG74">
        <v>23.854356091194123</v>
      </c>
      <c r="AH74">
        <v>6.841599148832926</v>
      </c>
      <c r="AI74">
        <v>2.1209993622137753</v>
      </c>
      <c r="AK74">
        <v>52.497844186103983</v>
      </c>
    </row>
    <row r="75" spans="1:37" x14ac:dyDescent="0.2">
      <c r="A75">
        <v>74</v>
      </c>
      <c r="B75">
        <v>778</v>
      </c>
      <c r="C75">
        <v>150</v>
      </c>
      <c r="D75">
        <v>0.44878514008467002</v>
      </c>
      <c r="E75">
        <v>130.0710756468616</v>
      </c>
      <c r="F75">
        <v>62.851455420170154</v>
      </c>
      <c r="G75">
        <v>72.700818205691121</v>
      </c>
      <c r="H75">
        <v>68.149636808103594</v>
      </c>
      <c r="J75">
        <v>63.131683318148106</v>
      </c>
      <c r="L75">
        <v>6.3626759825229859</v>
      </c>
      <c r="M75">
        <v>14.546227363909695</v>
      </c>
      <c r="N75">
        <v>2.1482857627234124</v>
      </c>
      <c r="O75">
        <v>29.610285967046195</v>
      </c>
      <c r="P75">
        <v>12.078524141392503</v>
      </c>
      <c r="R75">
        <v>17.699257584242545</v>
      </c>
      <c r="S75">
        <v>48.025130475482932</v>
      </c>
      <c r="U75">
        <v>2.7230293882791945</v>
      </c>
      <c r="V75">
        <v>47.086941992589857</v>
      </c>
      <c r="W75">
        <v>29.28656046068237</v>
      </c>
      <c r="X75">
        <v>43.247278746972597</v>
      </c>
      <c r="Y75">
        <v>8.1093447687029911</v>
      </c>
      <c r="Z75">
        <v>32.240130097669315</v>
      </c>
      <c r="AA75">
        <v>5.4437305535077245</v>
      </c>
      <c r="AB75">
        <v>37.800097657883143</v>
      </c>
      <c r="AC75">
        <v>7.0913582383997725E-2</v>
      </c>
      <c r="AD75">
        <v>8.4232673954124486</v>
      </c>
      <c r="AE75">
        <v>14.048538444290871</v>
      </c>
      <c r="AF75">
        <v>14.24207852198227</v>
      </c>
      <c r="AG75">
        <v>23.730190250305728</v>
      </c>
      <c r="AH75">
        <v>6.5023780605424646</v>
      </c>
      <c r="AI75">
        <v>2.0865293085360834</v>
      </c>
      <c r="AK75">
        <v>52.434610379208898</v>
      </c>
    </row>
    <row r="76" spans="1:37" x14ac:dyDescent="0.2">
      <c r="A76">
        <v>75</v>
      </c>
      <c r="B76">
        <v>776</v>
      </c>
      <c r="C76">
        <v>150</v>
      </c>
      <c r="D76">
        <v>0.447600915026452</v>
      </c>
      <c r="E76">
        <v>129.86199654998597</v>
      </c>
      <c r="F76">
        <v>61.98991058512771</v>
      </c>
      <c r="G76">
        <v>72.546904066005098</v>
      </c>
      <c r="H76">
        <v>67.990306648173203</v>
      </c>
      <c r="J76">
        <v>63.031265027161979</v>
      </c>
      <c r="L76">
        <v>6.1238552351610673</v>
      </c>
      <c r="M76">
        <v>14.582393886862191</v>
      </c>
      <c r="N76">
        <v>2.1143025377617271</v>
      </c>
      <c r="O76">
        <v>28.496953508163816</v>
      </c>
      <c r="P76">
        <v>11.779286441360927</v>
      </c>
      <c r="R76">
        <v>17.370022162493328</v>
      </c>
      <c r="S76">
        <v>47.781229590084685</v>
      </c>
      <c r="U76">
        <v>2.7046189843649726</v>
      </c>
      <c r="V76">
        <v>47.154753255054132</v>
      </c>
      <c r="W76">
        <v>29.071717353388252</v>
      </c>
      <c r="X76">
        <v>43.314278957119157</v>
      </c>
      <c r="Y76">
        <v>7.8581614380857392</v>
      </c>
      <c r="Z76">
        <v>31.764019001874455</v>
      </c>
      <c r="AA76">
        <v>5.1941637623135106</v>
      </c>
      <c r="AB76">
        <v>37.736992722372591</v>
      </c>
      <c r="AC76">
        <v>3.2955150420293552E-2</v>
      </c>
      <c r="AD76">
        <v>8.1588406771115878</v>
      </c>
      <c r="AE76">
        <v>13.847514291154106</v>
      </c>
      <c r="AF76">
        <v>14.238032231638872</v>
      </c>
      <c r="AG76">
        <v>23.599399842225285</v>
      </c>
      <c r="AH76">
        <v>6.1632075044010826</v>
      </c>
      <c r="AI76">
        <v>2.0520164088953572</v>
      </c>
      <c r="AK76">
        <v>52.372279379949994</v>
      </c>
    </row>
    <row r="77" spans="1:37" x14ac:dyDescent="0.2">
      <c r="A77">
        <v>76</v>
      </c>
      <c r="B77">
        <v>774</v>
      </c>
      <c r="C77">
        <v>150</v>
      </c>
      <c r="D77">
        <v>0.44641216635630598</v>
      </c>
      <c r="E77">
        <v>129.62710728228234</v>
      </c>
      <c r="F77">
        <v>60.986278271570747</v>
      </c>
      <c r="G77">
        <v>72.369117070808272</v>
      </c>
      <c r="H77">
        <v>67.807154170494272</v>
      </c>
      <c r="J77">
        <v>62.883131786190617</v>
      </c>
      <c r="L77">
        <v>5.8464801500814172</v>
      </c>
      <c r="M77">
        <v>14.617129789360199</v>
      </c>
      <c r="N77">
        <v>2.085086560177587</v>
      </c>
      <c r="O77">
        <v>27.247672883716088</v>
      </c>
      <c r="P77">
        <v>11.43709944150749</v>
      </c>
      <c r="R77">
        <v>16.986632071361566</v>
      </c>
      <c r="S77">
        <v>47.462805288330813</v>
      </c>
      <c r="U77">
        <v>2.6829836377732144</v>
      </c>
      <c r="V77">
        <v>47.216094142715185</v>
      </c>
      <c r="W77">
        <v>28.826349715608981</v>
      </c>
      <c r="X77">
        <v>43.367947991615374</v>
      </c>
      <c r="Y77">
        <v>7.562474332312437</v>
      </c>
      <c r="Z77">
        <v>31.208679335309871</v>
      </c>
      <c r="AA77">
        <v>4.9054941173888507</v>
      </c>
      <c r="AB77">
        <v>37.650482708251864</v>
      </c>
      <c r="AD77">
        <v>7.8443560465503941</v>
      </c>
      <c r="AE77">
        <v>13.618081928375414</v>
      </c>
      <c r="AF77">
        <v>14.237323437419917</v>
      </c>
      <c r="AG77">
        <v>23.449981229166539</v>
      </c>
      <c r="AH77">
        <v>5.7535988755563858</v>
      </c>
      <c r="AI77">
        <v>2.022267579824983</v>
      </c>
      <c r="AK77">
        <v>52.276320284719667</v>
      </c>
    </row>
    <row r="78" spans="1:37" x14ac:dyDescent="0.2">
      <c r="A78">
        <v>77</v>
      </c>
      <c r="B78">
        <v>772</v>
      </c>
      <c r="C78">
        <v>150</v>
      </c>
      <c r="D78">
        <v>0.44521886810505501</v>
      </c>
      <c r="E78">
        <v>129.19970998704738</v>
      </c>
      <c r="F78">
        <v>58.930802068568241</v>
      </c>
      <c r="G78">
        <v>72.016865391124497</v>
      </c>
      <c r="H78">
        <v>67.449587706656175</v>
      </c>
      <c r="J78">
        <v>62.390554042915142</v>
      </c>
      <c r="L78">
        <v>5.2902911309829541</v>
      </c>
      <c r="M78">
        <v>14.641463153462954</v>
      </c>
      <c r="N78">
        <v>2.0890464085504243</v>
      </c>
      <c r="O78">
        <v>24.995655328526844</v>
      </c>
      <c r="P78">
        <v>10.779188234791787</v>
      </c>
      <c r="R78">
        <v>16.21753215134974</v>
      </c>
      <c r="S78">
        <v>46.639375342528602</v>
      </c>
      <c r="U78">
        <v>2.6360421006917596</v>
      </c>
      <c r="V78">
        <v>47.24800758174468</v>
      </c>
      <c r="W78">
        <v>28.359571027468942</v>
      </c>
      <c r="X78">
        <v>43.315752014530354</v>
      </c>
      <c r="Y78">
        <v>6.942603512649848</v>
      </c>
      <c r="Z78">
        <v>30.070935190491273</v>
      </c>
      <c r="AA78">
        <v>4.3317463440078718</v>
      </c>
      <c r="AB78">
        <v>37.4135848909985</v>
      </c>
      <c r="AD78">
        <v>7.1663640616123434</v>
      </c>
      <c r="AE78">
        <v>13.178838753605381</v>
      </c>
      <c r="AF78">
        <v>14.259388842917708</v>
      </c>
      <c r="AG78">
        <v>23.183360309815772</v>
      </c>
      <c r="AH78">
        <v>4.8326848744502939</v>
      </c>
      <c r="AI78">
        <v>2.025691385257367</v>
      </c>
      <c r="AK78">
        <v>51.930778005211707</v>
      </c>
    </row>
    <row r="79" spans="1:37" x14ac:dyDescent="0.2">
      <c r="A79">
        <v>78</v>
      </c>
      <c r="B79">
        <v>770</v>
      </c>
      <c r="C79">
        <v>150</v>
      </c>
      <c r="D79">
        <v>0.44402099410439499</v>
      </c>
      <c r="E79">
        <v>128.76515262497824</v>
      </c>
      <c r="F79">
        <v>56.79462221205042</v>
      </c>
      <c r="G79">
        <v>71.64887880890025</v>
      </c>
      <c r="H79">
        <v>67.076337199782017</v>
      </c>
      <c r="J79">
        <v>61.836698347978412</v>
      </c>
      <c r="L79">
        <v>4.7017552870007018</v>
      </c>
      <c r="M79">
        <v>14.671235350540234</v>
      </c>
      <c r="N79">
        <v>2.0930036543507096</v>
      </c>
      <c r="O79">
        <v>22.642109303836886</v>
      </c>
      <c r="P79">
        <v>10.089834129854074</v>
      </c>
      <c r="R79">
        <v>15.393533979719665</v>
      </c>
      <c r="S79">
        <v>45.677317551664686</v>
      </c>
      <c r="U79">
        <v>2.6000316828945658</v>
      </c>
      <c r="V79">
        <v>47.243085772096954</v>
      </c>
      <c r="W79">
        <v>27.903805773004709</v>
      </c>
      <c r="X79">
        <v>43.296226718715069</v>
      </c>
      <c r="Y79">
        <v>6.2916774762442209</v>
      </c>
      <c r="Z79">
        <v>28.880006835588869</v>
      </c>
      <c r="AA79">
        <v>3.7281195674509147</v>
      </c>
      <c r="AB79">
        <v>37.109177469138821</v>
      </c>
      <c r="AD79">
        <v>6.4533632495494553</v>
      </c>
      <c r="AE79">
        <v>12.720396356436893</v>
      </c>
      <c r="AF79">
        <v>14.286891434121369</v>
      </c>
      <c r="AG79">
        <v>22.84923689907421</v>
      </c>
      <c r="AH79">
        <v>3.8633178533878594</v>
      </c>
      <c r="AI79">
        <v>2.0291093820066388</v>
      </c>
      <c r="AK79">
        <v>51.560337779601198</v>
      </c>
    </row>
    <row r="80" spans="1:37" x14ac:dyDescent="0.2">
      <c r="A80">
        <v>79</v>
      </c>
      <c r="B80">
        <v>768</v>
      </c>
      <c r="C80">
        <v>150</v>
      </c>
      <c r="D80">
        <v>0.442818517984921</v>
      </c>
      <c r="E80">
        <v>128.31768233406848</v>
      </c>
      <c r="F80">
        <v>54.529660725684309</v>
      </c>
      <c r="G80">
        <v>71.257905184569566</v>
      </c>
      <c r="H80">
        <v>66.680150672104006</v>
      </c>
      <c r="J80">
        <v>61.19300010129006</v>
      </c>
      <c r="L80">
        <v>4.0666868646665639</v>
      </c>
      <c r="M80">
        <v>14.706102963948016</v>
      </c>
      <c r="N80">
        <v>2.0969577580872554</v>
      </c>
      <c r="O80">
        <v>20.136416627781834</v>
      </c>
      <c r="P80">
        <v>9.3545324823006624</v>
      </c>
      <c r="R80">
        <v>14.493042330178648</v>
      </c>
      <c r="S80">
        <v>44.524951997035167</v>
      </c>
      <c r="U80">
        <v>2.5762777138011304</v>
      </c>
      <c r="V80">
        <v>47.190930060905316</v>
      </c>
      <c r="W80">
        <v>27.460029616004203</v>
      </c>
      <c r="X80">
        <v>43.313246387466933</v>
      </c>
      <c r="Y80">
        <v>5.5950511907355764</v>
      </c>
      <c r="Z80">
        <v>27.601469641747716</v>
      </c>
      <c r="AA80">
        <v>3.0803351274168818</v>
      </c>
      <c r="AB80">
        <v>36.710608306134887</v>
      </c>
      <c r="AD80">
        <v>5.6852258303409284</v>
      </c>
      <c r="AE80">
        <v>12.227939744444221</v>
      </c>
      <c r="AF80">
        <v>14.319487298242006</v>
      </c>
      <c r="AG80">
        <v>22.420958366103047</v>
      </c>
      <c r="AH80">
        <v>2.8229266829072781</v>
      </c>
      <c r="AI80">
        <v>2.032521015917589</v>
      </c>
      <c r="AK80">
        <v>51.149902898358285</v>
      </c>
    </row>
    <row r="81" spans="1:37" x14ac:dyDescent="0.2">
      <c r="A81">
        <v>80</v>
      </c>
      <c r="B81">
        <v>766</v>
      </c>
      <c r="C81">
        <v>150</v>
      </c>
      <c r="D81">
        <v>0.44161141317423203</v>
      </c>
      <c r="E81">
        <v>127.84494349216777</v>
      </c>
      <c r="F81">
        <v>52.03271941819245</v>
      </c>
      <c r="G81">
        <v>70.828401675282791</v>
      </c>
      <c r="H81">
        <v>66.24548544319002</v>
      </c>
      <c r="J81">
        <v>60.399642671599345</v>
      </c>
      <c r="L81">
        <v>3.3547213377681655</v>
      </c>
      <c r="M81">
        <v>14.744859427966501</v>
      </c>
      <c r="N81">
        <v>2.1009077067542115</v>
      </c>
      <c r="O81">
        <v>17.370325910577918</v>
      </c>
      <c r="P81">
        <v>8.542196768614053</v>
      </c>
      <c r="R81">
        <v>13.468326602843581</v>
      </c>
      <c r="S81">
        <v>43.077336076460625</v>
      </c>
      <c r="U81">
        <v>2.567363319670299</v>
      </c>
      <c r="V81">
        <v>47.070671261600189</v>
      </c>
      <c r="W81">
        <v>27.029848338215842</v>
      </c>
      <c r="X81">
        <v>43.374268497684135</v>
      </c>
      <c r="Y81">
        <v>4.8213851626196309</v>
      </c>
      <c r="Z81">
        <v>26.161247116954726</v>
      </c>
      <c r="AA81">
        <v>2.3578316852634451</v>
      </c>
      <c r="AB81">
        <v>36.16384551293131</v>
      </c>
      <c r="AD81">
        <v>4.8185932749727538</v>
      </c>
      <c r="AE81">
        <v>11.669612285824615</v>
      </c>
      <c r="AF81">
        <v>14.355968900092599</v>
      </c>
      <c r="AG81">
        <v>21.844491854314505</v>
      </c>
      <c r="AH81">
        <v>1.6630110600008949</v>
      </c>
      <c r="AI81">
        <v>2.0359252593123118</v>
      </c>
      <c r="AK81">
        <v>50.666988156302942</v>
      </c>
    </row>
    <row r="82" spans="1:37" x14ac:dyDescent="0.2">
      <c r="A82">
        <v>81</v>
      </c>
      <c r="B82">
        <v>764</v>
      </c>
      <c r="C82">
        <v>150</v>
      </c>
      <c r="D82">
        <v>0.44039965289495597</v>
      </c>
      <c r="E82">
        <v>127.24667531594322</v>
      </c>
      <c r="F82">
        <v>48.517127703874301</v>
      </c>
      <c r="G82">
        <v>70.247614936385148</v>
      </c>
      <c r="H82">
        <v>65.659588331428196</v>
      </c>
      <c r="J82">
        <v>59.055908684722091</v>
      </c>
      <c r="L82">
        <v>2.3436430725603024</v>
      </c>
      <c r="M82">
        <v>14.770566489294028</v>
      </c>
      <c r="N82">
        <v>2.1048486271853686</v>
      </c>
      <c r="O82">
        <v>13.548554374194499</v>
      </c>
      <c r="P82">
        <v>7.4273156024723903</v>
      </c>
      <c r="R82">
        <v>11.97423670028385</v>
      </c>
      <c r="S82">
        <v>40.735099853348096</v>
      </c>
      <c r="U82">
        <v>2.5775023774644303</v>
      </c>
      <c r="V82">
        <v>46.795705530171134</v>
      </c>
      <c r="W82">
        <v>26.623722842039538</v>
      </c>
      <c r="X82">
        <v>43.490454249050771</v>
      </c>
      <c r="Y82">
        <v>3.7423771842099454</v>
      </c>
      <c r="Z82">
        <v>23.993125557862047</v>
      </c>
      <c r="AA82">
        <v>1.3375261034709403</v>
      </c>
      <c r="AB82">
        <v>35.154988469297137</v>
      </c>
      <c r="AD82">
        <v>3.5254639904902154</v>
      </c>
      <c r="AE82">
        <v>10.79753450081405</v>
      </c>
      <c r="AF82">
        <v>14.379393156945889</v>
      </c>
      <c r="AG82">
        <v>20.805931916074176</v>
      </c>
      <c r="AH82">
        <v>2.8740834068402346E-2</v>
      </c>
      <c r="AI82">
        <v>2.0393172243457882</v>
      </c>
      <c r="AK82">
        <v>49.866457763699927</v>
      </c>
    </row>
    <row r="83" spans="1:37" x14ac:dyDescent="0.2">
      <c r="A83">
        <v>82</v>
      </c>
      <c r="B83">
        <v>762</v>
      </c>
      <c r="C83">
        <v>150</v>
      </c>
      <c r="D83">
        <v>0.439183210162781</v>
      </c>
      <c r="E83">
        <v>128.16315175515217</v>
      </c>
      <c r="F83">
        <v>48.615757109287358</v>
      </c>
      <c r="G83">
        <v>70.853365848298836</v>
      </c>
      <c r="H83">
        <v>66.26028038091232</v>
      </c>
      <c r="J83">
        <v>41.672068335068296</v>
      </c>
      <c r="L83">
        <v>1.518451991357022</v>
      </c>
      <c r="M83">
        <v>14.24055994854317</v>
      </c>
      <c r="N83">
        <v>2.1088724294528625</v>
      </c>
      <c r="O83">
        <v>7.953593565524236</v>
      </c>
      <c r="P83">
        <v>8.6856228319174562</v>
      </c>
      <c r="R83">
        <v>11.064059980271395</v>
      </c>
      <c r="S83">
        <v>36.764521406874913</v>
      </c>
      <c r="U83">
        <v>2.638906268376374</v>
      </c>
      <c r="V83">
        <v>46.816183854196737</v>
      </c>
      <c r="W83">
        <v>25.85019226319843</v>
      </c>
      <c r="X83">
        <v>43.746198633587348</v>
      </c>
      <c r="Y83">
        <v>3.2067108737367844</v>
      </c>
      <c r="Z83">
        <v>18.010594132363561</v>
      </c>
      <c r="AB83">
        <v>30.953021460018888</v>
      </c>
      <c r="AD83">
        <v>0.59199461404550102</v>
      </c>
      <c r="AE83">
        <v>6.9503833123948526</v>
      </c>
      <c r="AF83">
        <v>13.847187823420569</v>
      </c>
      <c r="AG83">
        <v>16.57435479228949</v>
      </c>
      <c r="AI83">
        <v>2.04278880640378</v>
      </c>
      <c r="AK83">
        <v>38.445025877577393</v>
      </c>
    </row>
    <row r="84" spans="1:37" x14ac:dyDescent="0.2">
      <c r="A84">
        <v>83</v>
      </c>
      <c r="B84">
        <v>760</v>
      </c>
      <c r="C84">
        <v>150</v>
      </c>
      <c r="D84">
        <v>0.43796205778444602</v>
      </c>
      <c r="E84">
        <v>128.48292180471498</v>
      </c>
      <c r="F84">
        <v>49.322955883149227</v>
      </c>
      <c r="G84">
        <v>70.84667098918122</v>
      </c>
      <c r="H84">
        <v>66.248578334105503</v>
      </c>
      <c r="J84">
        <v>33.6626284163004</v>
      </c>
      <c r="L84">
        <v>1.5439182850084654</v>
      </c>
      <c r="M84">
        <v>13.500938129828855</v>
      </c>
      <c r="N84">
        <v>2.1128650791963022</v>
      </c>
      <c r="O84">
        <v>7.8183974742448932</v>
      </c>
      <c r="P84">
        <v>8.7190377570070492</v>
      </c>
      <c r="R84">
        <v>10.474056451122671</v>
      </c>
      <c r="S84">
        <v>37.111573274057513</v>
      </c>
      <c r="U84">
        <v>2.6121722768348681</v>
      </c>
      <c r="V84">
        <v>47.682667586753432</v>
      </c>
      <c r="W84">
        <v>24.930829819962728</v>
      </c>
      <c r="X84">
        <v>43.749422983789501</v>
      </c>
      <c r="Y84">
        <v>2.7608506336941274</v>
      </c>
      <c r="Z84">
        <v>17.688896780596991</v>
      </c>
      <c r="AB84">
        <v>31.293942200366477</v>
      </c>
      <c r="AE84">
        <v>6.7425870693610159</v>
      </c>
      <c r="AF84">
        <v>13.105337233406662</v>
      </c>
      <c r="AG84">
        <v>16.885644210212682</v>
      </c>
      <c r="AI84">
        <v>2.0462259564340508</v>
      </c>
      <c r="AK84">
        <v>32.971879030728871</v>
      </c>
    </row>
    <row r="85" spans="1:37" x14ac:dyDescent="0.2">
      <c r="A85">
        <v>84</v>
      </c>
      <c r="B85">
        <v>806</v>
      </c>
      <c r="C85">
        <v>125</v>
      </c>
      <c r="D85">
        <v>0.490386415234215</v>
      </c>
      <c r="E85">
        <v>118.17832981552758</v>
      </c>
      <c r="F85">
        <v>72.262257881407137</v>
      </c>
      <c r="G85">
        <v>74.492948078567835</v>
      </c>
      <c r="H85">
        <v>70.022195988135621</v>
      </c>
      <c r="J85">
        <v>64.092531641791595</v>
      </c>
      <c r="L85">
        <v>8.7609553210711404</v>
      </c>
      <c r="M85">
        <v>14.812369750663539</v>
      </c>
      <c r="N85">
        <v>2.3408815910681753</v>
      </c>
      <c r="O85">
        <v>42.669587942682952</v>
      </c>
      <c r="P85">
        <v>15.121589082919884</v>
      </c>
      <c r="Q85">
        <v>8.4258252896682957E-4</v>
      </c>
      <c r="R85">
        <v>21.99316741178443</v>
      </c>
      <c r="S85">
        <v>53.418129191782718</v>
      </c>
      <c r="U85">
        <v>3.7466722493872222</v>
      </c>
      <c r="V85">
        <v>46.615778665124239</v>
      </c>
      <c r="W85">
        <v>34.102420122223485</v>
      </c>
      <c r="X85">
        <v>42.596051627703709</v>
      </c>
      <c r="Y85">
        <v>10.590877280034196</v>
      </c>
      <c r="Z85">
        <v>37.996342192439734</v>
      </c>
      <c r="AA85">
        <v>8.0169683327202215</v>
      </c>
      <c r="AB85">
        <v>39.656339972394811</v>
      </c>
      <c r="AC85">
        <v>0.41091040758375469</v>
      </c>
      <c r="AD85">
        <v>11.484386628634727</v>
      </c>
      <c r="AE85">
        <v>16.831059397558562</v>
      </c>
      <c r="AF85">
        <v>14.865407316839335</v>
      </c>
      <c r="AG85">
        <v>26.358168097397318</v>
      </c>
      <c r="AH85">
        <v>9.7464147714033551</v>
      </c>
      <c r="AI85">
        <v>2.2832509231598253</v>
      </c>
      <c r="AK85">
        <v>52.350227429558558</v>
      </c>
    </row>
    <row r="86" spans="1:37" x14ac:dyDescent="0.2">
      <c r="A86">
        <v>85</v>
      </c>
      <c r="B86">
        <v>804</v>
      </c>
      <c r="C86">
        <v>125</v>
      </c>
      <c r="D86">
        <v>0.48931021677575198</v>
      </c>
      <c r="E86">
        <v>117.96051742590396</v>
      </c>
      <c r="F86">
        <v>71.381293721909145</v>
      </c>
      <c r="G86">
        <v>74.340075455814699</v>
      </c>
      <c r="H86">
        <v>69.863195778964183</v>
      </c>
      <c r="J86">
        <v>64.001272715228509</v>
      </c>
      <c r="L86">
        <v>8.5344730421911876</v>
      </c>
      <c r="M86">
        <v>14.839731863776352</v>
      </c>
      <c r="N86">
        <v>2.3084464837456369</v>
      </c>
      <c r="O86">
        <v>41.557266201990885</v>
      </c>
      <c r="P86">
        <v>14.825573057440264</v>
      </c>
      <c r="R86">
        <v>21.68946594952795</v>
      </c>
      <c r="S86">
        <v>53.235758657623826</v>
      </c>
      <c r="U86">
        <v>3.7172506621466859</v>
      </c>
      <c r="V86">
        <v>46.713636010375474</v>
      </c>
      <c r="W86">
        <v>33.862692761888134</v>
      </c>
      <c r="X86">
        <v>42.621959687656791</v>
      </c>
      <c r="Y86">
        <v>10.344977814732916</v>
      </c>
      <c r="Z86">
        <v>37.510574308059951</v>
      </c>
      <c r="AA86">
        <v>7.7730703708448488</v>
      </c>
      <c r="AB86">
        <v>39.62719990838977</v>
      </c>
      <c r="AC86">
        <v>0.37448689073003039</v>
      </c>
      <c r="AD86">
        <v>11.225251952352281</v>
      </c>
      <c r="AE86">
        <v>16.62236460856348</v>
      </c>
      <c r="AF86">
        <v>14.854089369123811</v>
      </c>
      <c r="AG86">
        <v>26.262826210744453</v>
      </c>
      <c r="AH86">
        <v>9.4169619062436816</v>
      </c>
      <c r="AI86">
        <v>2.2503313399008951</v>
      </c>
      <c r="AK86">
        <v>52.283895997379012</v>
      </c>
    </row>
    <row r="87" spans="1:37" x14ac:dyDescent="0.2">
      <c r="A87">
        <v>86</v>
      </c>
      <c r="B87">
        <v>802</v>
      </c>
      <c r="C87">
        <v>125</v>
      </c>
      <c r="D87">
        <v>0.48823001441659297</v>
      </c>
      <c r="E87">
        <v>117.74424455640585</v>
      </c>
      <c r="F87">
        <v>70.503829696877133</v>
      </c>
      <c r="G87">
        <v>74.187112838418571</v>
      </c>
      <c r="H87">
        <v>69.704153937097985</v>
      </c>
      <c r="J87">
        <v>63.908177135555704</v>
      </c>
      <c r="L87">
        <v>8.3064372591726379</v>
      </c>
      <c r="M87">
        <v>14.868040261477594</v>
      </c>
      <c r="N87">
        <v>2.2759176073780178</v>
      </c>
      <c r="O87">
        <v>40.444986056379648</v>
      </c>
      <c r="P87">
        <v>14.529310107163568</v>
      </c>
      <c r="R87">
        <v>21.381880756470252</v>
      </c>
      <c r="S87">
        <v>53.044165487489565</v>
      </c>
      <c r="U87">
        <v>3.6895704834215977</v>
      </c>
      <c r="V87">
        <v>46.807195209304645</v>
      </c>
      <c r="W87">
        <v>33.625424400366306</v>
      </c>
      <c r="X87">
        <v>42.653883913499115</v>
      </c>
      <c r="Y87">
        <v>10.098667737245091</v>
      </c>
      <c r="Z87">
        <v>37.026005290882843</v>
      </c>
      <c r="AA87">
        <v>7.5287535551721012</v>
      </c>
      <c r="AB87">
        <v>39.592888199137349</v>
      </c>
      <c r="AC87">
        <v>0.33797025941420694</v>
      </c>
      <c r="AD87">
        <v>10.965799888085588</v>
      </c>
      <c r="AE87">
        <v>16.414526381305183</v>
      </c>
      <c r="AF87">
        <v>14.84362424889161</v>
      </c>
      <c r="AG87">
        <v>26.162227939535406</v>
      </c>
      <c r="AH87">
        <v>9.0864891622407686</v>
      </c>
      <c r="AI87">
        <v>2.2173150146963665</v>
      </c>
      <c r="AK87">
        <v>52.218193548056341</v>
      </c>
    </row>
    <row r="88" spans="1:37" x14ac:dyDescent="0.2">
      <c r="A88">
        <v>87</v>
      </c>
      <c r="B88">
        <v>800</v>
      </c>
      <c r="C88">
        <v>125</v>
      </c>
      <c r="D88">
        <v>0.48714578577086598</v>
      </c>
      <c r="E88">
        <v>117.52953076398282</v>
      </c>
      <c r="F88">
        <v>69.630067705841242</v>
      </c>
      <c r="G88">
        <v>74.034110671426419</v>
      </c>
      <c r="H88">
        <v>69.545121059900396</v>
      </c>
      <c r="J88">
        <v>63.813201780403986</v>
      </c>
      <c r="L88">
        <v>8.0770524429789514</v>
      </c>
      <c r="M88">
        <v>14.89725752377872</v>
      </c>
      <c r="N88">
        <v>2.2433022643386162</v>
      </c>
      <c r="O88">
        <v>39.333043524802264</v>
      </c>
      <c r="P88">
        <v>14.232908584322759</v>
      </c>
      <c r="R88">
        <v>21.070650410444848</v>
      </c>
      <c r="S88">
        <v>52.842988473548701</v>
      </c>
      <c r="U88">
        <v>3.663583417823709</v>
      </c>
      <c r="V88">
        <v>46.896353850233744</v>
      </c>
      <c r="W88">
        <v>33.390622774174076</v>
      </c>
      <c r="X88">
        <v>42.691683831190154</v>
      </c>
      <c r="Y88">
        <v>9.852036802975805</v>
      </c>
      <c r="Z88">
        <v>36.54270275894082</v>
      </c>
      <c r="AA88">
        <v>7.2840290675884241</v>
      </c>
      <c r="AB88">
        <v>39.553185015274273</v>
      </c>
      <c r="AC88">
        <v>0.30136781257439971</v>
      </c>
      <c r="AD88">
        <v>10.706099947075185</v>
      </c>
      <c r="AE88">
        <v>16.207541347904243</v>
      </c>
      <c r="AF88">
        <v>14.833981878845957</v>
      </c>
      <c r="AG88">
        <v>26.056160797701924</v>
      </c>
      <c r="AH88">
        <v>8.7551525199093518</v>
      </c>
      <c r="AI88">
        <v>2.184209235438519</v>
      </c>
      <c r="AK88">
        <v>52.153163997230166</v>
      </c>
    </row>
    <row r="89" spans="1:37" x14ac:dyDescent="0.2">
      <c r="A89">
        <v>88</v>
      </c>
      <c r="B89">
        <v>798</v>
      </c>
      <c r="C89">
        <v>125</v>
      </c>
      <c r="D89">
        <v>0.48605750828548999</v>
      </c>
      <c r="E89">
        <v>117.31639560624693</v>
      </c>
      <c r="F89">
        <v>68.760260568910482</v>
      </c>
      <c r="G89">
        <v>73.881129946874836</v>
      </c>
      <c r="H89">
        <v>69.386158292293928</v>
      </c>
      <c r="J89">
        <v>63.716318350723824</v>
      </c>
      <c r="L89">
        <v>7.8465365199559782</v>
      </c>
      <c r="M89">
        <v>14.927317432469813</v>
      </c>
      <c r="N89">
        <v>2.2106127937313991</v>
      </c>
      <c r="O89">
        <v>38.221825966649369</v>
      </c>
      <c r="P89">
        <v>13.936502972728579</v>
      </c>
      <c r="R89">
        <v>20.756017789318637</v>
      </c>
      <c r="S89">
        <v>52.631848311223813</v>
      </c>
      <c r="U89">
        <v>3.6392163745414972</v>
      </c>
      <c r="V89">
        <v>46.980990523165502</v>
      </c>
      <c r="W89">
        <v>33.1582655082697</v>
      </c>
      <c r="X89">
        <v>42.735137858691367</v>
      </c>
      <c r="Y89">
        <v>9.6051982881789826</v>
      </c>
      <c r="Z89">
        <v>36.060763330697419</v>
      </c>
      <c r="AA89">
        <v>7.0391004261806156</v>
      </c>
      <c r="AB89">
        <v>39.507872301116414</v>
      </c>
      <c r="AC89">
        <v>0.26469188587310571</v>
      </c>
      <c r="AD89">
        <v>10.446238200169299</v>
      </c>
      <c r="AE89">
        <v>16.001415343877159</v>
      </c>
      <c r="AF89">
        <v>14.825108420380159</v>
      </c>
      <c r="AG89">
        <v>25.944419109838559</v>
      </c>
      <c r="AH89">
        <v>8.4231352655702132</v>
      </c>
      <c r="AI89">
        <v>2.1510263267360985</v>
      </c>
      <c r="AK89">
        <v>52.088863614828377</v>
      </c>
    </row>
    <row r="90" spans="1:37" x14ac:dyDescent="0.2">
      <c r="A90">
        <v>89</v>
      </c>
      <c r="B90">
        <v>796</v>
      </c>
      <c r="C90">
        <v>125</v>
      </c>
      <c r="D90">
        <v>0.48496515923864703</v>
      </c>
      <c r="E90">
        <v>117.10485441801305</v>
      </c>
      <c r="F90">
        <v>67.89465316600257</v>
      </c>
      <c r="G90">
        <v>73.728231796817312</v>
      </c>
      <c r="H90">
        <v>69.227326919786563</v>
      </c>
      <c r="J90">
        <v>63.617521578571115</v>
      </c>
      <c r="L90">
        <v>7.614941727903628</v>
      </c>
      <c r="M90">
        <v>14.95815014315502</v>
      </c>
      <c r="N90">
        <v>2.1778622452100977</v>
      </c>
      <c r="O90">
        <v>37.11172361979682</v>
      </c>
      <c r="P90">
        <v>13.640228747633323</v>
      </c>
      <c r="R90">
        <v>20.438234161525415</v>
      </c>
      <c r="S90">
        <v>52.410449460606429</v>
      </c>
      <c r="U90">
        <v>3.6163900215317102</v>
      </c>
      <c r="V90">
        <v>47.061014584608337</v>
      </c>
      <c r="W90">
        <v>32.928320789313631</v>
      </c>
      <c r="X90">
        <v>42.784005319220405</v>
      </c>
      <c r="Y90">
        <v>9.3582665955431885</v>
      </c>
      <c r="Z90">
        <v>35.58028125824525</v>
      </c>
      <c r="AA90">
        <v>6.7939116497274226</v>
      </c>
      <c r="AB90">
        <v>39.456776558023243</v>
      </c>
      <c r="AC90">
        <v>0.22795552551769716</v>
      </c>
      <c r="AD90">
        <v>10.186299704638916</v>
      </c>
      <c r="AE90">
        <v>15.796152867567841</v>
      </c>
      <c r="AF90">
        <v>14.81694711943646</v>
      </c>
      <c r="AG90">
        <v>25.826842468383266</v>
      </c>
      <c r="AH90">
        <v>8.0906210380467876</v>
      </c>
      <c r="AI90">
        <v>2.1177793237337612</v>
      </c>
      <c r="AK90">
        <v>52.025348722383434</v>
      </c>
    </row>
    <row r="91" spans="1:37" x14ac:dyDescent="0.2">
      <c r="A91">
        <v>90</v>
      </c>
      <c r="B91">
        <v>794</v>
      </c>
      <c r="C91">
        <v>125</v>
      </c>
      <c r="D91">
        <v>0.48386871573818202</v>
      </c>
      <c r="E91">
        <v>116.89491825600902</v>
      </c>
      <c r="F91">
        <v>67.033479450587606</v>
      </c>
      <c r="G91">
        <v>73.575476719454457</v>
      </c>
      <c r="H91">
        <v>69.068687594609855</v>
      </c>
      <c r="J91">
        <v>63.516828049660418</v>
      </c>
      <c r="L91">
        <v>7.3824899126297971</v>
      </c>
      <c r="M91">
        <v>14.989683202498249</v>
      </c>
      <c r="N91">
        <v>2.1450641699387809</v>
      </c>
      <c r="O91">
        <v>36.00312432332823</v>
      </c>
      <c r="P91">
        <v>13.344220618971455</v>
      </c>
      <c r="R91">
        <v>20.11755577581555</v>
      </c>
      <c r="S91">
        <v>52.178579337560478</v>
      </c>
      <c r="U91">
        <v>3.5950200035875168</v>
      </c>
      <c r="V91">
        <v>47.136365378223793</v>
      </c>
      <c r="W91">
        <v>32.700748187397714</v>
      </c>
      <c r="X91">
        <v>42.838030218014595</v>
      </c>
      <c r="Y91">
        <v>9.1113557433727195</v>
      </c>
      <c r="Z91">
        <v>35.101347150257965</v>
      </c>
      <c r="AA91">
        <v>6.5486677714287795</v>
      </c>
      <c r="AB91">
        <v>39.399768640973207</v>
      </c>
      <c r="AC91">
        <v>0.1911722792198304</v>
      </c>
      <c r="AD91">
        <v>9.9263675730597729</v>
      </c>
      <c r="AE91">
        <v>15.591756944132152</v>
      </c>
      <c r="AF91">
        <v>14.809439114711246</v>
      </c>
      <c r="AG91">
        <v>25.703315321162592</v>
      </c>
      <c r="AH91">
        <v>7.7577918034989874</v>
      </c>
      <c r="AI91">
        <v>2.0844817630726498</v>
      </c>
      <c r="AK91">
        <v>51.962674930539038</v>
      </c>
    </row>
    <row r="92" spans="1:37" x14ac:dyDescent="0.2">
      <c r="A92">
        <v>91</v>
      </c>
      <c r="B92">
        <v>792</v>
      </c>
      <c r="C92">
        <v>125</v>
      </c>
      <c r="D92">
        <v>0.48276815471999501</v>
      </c>
      <c r="E92">
        <v>116.68659393290899</v>
      </c>
      <c r="F92">
        <v>66.176959867984479</v>
      </c>
      <c r="G92">
        <v>73.422923867184622</v>
      </c>
      <c r="H92">
        <v>68.91029962376966</v>
      </c>
      <c r="J92">
        <v>63.414274594837295</v>
      </c>
      <c r="L92">
        <v>7.1493397439203035</v>
      </c>
      <c r="M92">
        <v>15.021842550333476</v>
      </c>
      <c r="N92">
        <v>2.1122324137916788</v>
      </c>
      <c r="O92">
        <v>34.896408618809353</v>
      </c>
      <c r="P92">
        <v>13.048610900658277</v>
      </c>
      <c r="R92">
        <v>19.794240577112262</v>
      </c>
      <c r="S92">
        <v>51.936105626019781</v>
      </c>
      <c r="U92">
        <v>3.5750181831420553</v>
      </c>
      <c r="V92">
        <v>47.207010840419251</v>
      </c>
      <c r="W92">
        <v>32.475499603828986</v>
      </c>
      <c r="X92">
        <v>42.896945079711664</v>
      </c>
      <c r="Y92">
        <v>8.8645779595033769</v>
      </c>
      <c r="Z92">
        <v>34.624046842299165</v>
      </c>
      <c r="AA92">
        <v>6.3035660513503391</v>
      </c>
      <c r="AB92">
        <v>39.336762545013165</v>
      </c>
      <c r="AC92">
        <v>0.15435598939561782</v>
      </c>
      <c r="AD92">
        <v>9.6665221263610697</v>
      </c>
      <c r="AE92">
        <v>15.38822902522236</v>
      </c>
      <c r="AF92">
        <v>14.802524232967052</v>
      </c>
      <c r="AG92">
        <v>25.573765551036239</v>
      </c>
      <c r="AH92">
        <v>7.4248259714800406</v>
      </c>
      <c r="AI92">
        <v>2.0511474760902115</v>
      </c>
      <c r="AK92">
        <v>51.90089643780707</v>
      </c>
    </row>
    <row r="93" spans="1:37" x14ac:dyDescent="0.2">
      <c r="A93">
        <v>92</v>
      </c>
      <c r="B93">
        <v>790</v>
      </c>
      <c r="C93">
        <v>125</v>
      </c>
      <c r="D93">
        <v>0.48166345294643498</v>
      </c>
      <c r="E93">
        <v>116.47988413183685</v>
      </c>
      <c r="F93">
        <v>65.325299233035608</v>
      </c>
      <c r="G93">
        <v>73.270630415673921</v>
      </c>
      <c r="H93">
        <v>68.752220338119287</v>
      </c>
      <c r="J93">
        <v>63.309916350508132</v>
      </c>
      <c r="L93">
        <v>6.9156453350101659</v>
      </c>
      <c r="M93">
        <v>15.054553473906942</v>
      </c>
      <c r="N93">
        <v>2.0793809196294406</v>
      </c>
      <c r="O93">
        <v>33.791945366671683</v>
      </c>
      <c r="P93">
        <v>12.75352805101814</v>
      </c>
      <c r="R93">
        <v>19.468545147373693</v>
      </c>
      <c r="S93">
        <v>51.682971993641729</v>
      </c>
      <c r="U93">
        <v>3.5562938584813626</v>
      </c>
      <c r="V93">
        <v>47.272945602811781</v>
      </c>
      <c r="W93">
        <v>32.252520302406737</v>
      </c>
      <c r="X93">
        <v>42.960474710461263</v>
      </c>
      <c r="Y93">
        <v>8.6180424191828493</v>
      </c>
      <c r="Z93">
        <v>34.148460442407249</v>
      </c>
      <c r="AA93">
        <v>6.0585449236273492</v>
      </c>
      <c r="AB93">
        <v>39.267713325371801</v>
      </c>
      <c r="AC93">
        <v>0.117520595443051</v>
      </c>
      <c r="AD93">
        <v>9.4068401542840032</v>
      </c>
      <c r="AE93">
        <v>15.185568925868951</v>
      </c>
      <c r="AF93">
        <v>14.796141745553577</v>
      </c>
      <c r="AG93">
        <v>25.438162198292108</v>
      </c>
      <c r="AH93">
        <v>7.0918966982050726</v>
      </c>
      <c r="AI93">
        <v>2.0177903910982073</v>
      </c>
      <c r="AK93">
        <v>51.840065409680889</v>
      </c>
    </row>
    <row r="94" spans="1:37" x14ac:dyDescent="0.2">
      <c r="A94">
        <v>93</v>
      </c>
      <c r="B94">
        <v>788</v>
      </c>
      <c r="C94">
        <v>125</v>
      </c>
      <c r="D94">
        <v>0.48055458700466802</v>
      </c>
      <c r="E94">
        <v>116.27478759059919</v>
      </c>
      <c r="F94">
        <v>64.478685096405172</v>
      </c>
      <c r="G94">
        <v>73.118651026966035</v>
      </c>
      <c r="H94">
        <v>68.594504555474487</v>
      </c>
      <c r="J94">
        <v>63.20382459339001</v>
      </c>
      <c r="L94">
        <v>6.6815549930422202</v>
      </c>
      <c r="M94">
        <v>15.08774148831924</v>
      </c>
      <c r="N94">
        <v>2.0465235445155527</v>
      </c>
      <c r="O94">
        <v>32.6900879739337</v>
      </c>
      <c r="P94">
        <v>12.459095416220055</v>
      </c>
      <c r="R94">
        <v>19.140721949118607</v>
      </c>
      <c r="S94">
        <v>51.419192537896173</v>
      </c>
      <c r="U94">
        <v>3.5387549232135611</v>
      </c>
      <c r="V94">
        <v>47.334188714069128</v>
      </c>
      <c r="W94">
        <v>32.031749981458347</v>
      </c>
      <c r="X94">
        <v>43.028339771750396</v>
      </c>
      <c r="Y94">
        <v>8.3718541548782799</v>
      </c>
      <c r="Z94">
        <v>33.674661568970052</v>
      </c>
      <c r="AA94">
        <v>5.8138005814805291</v>
      </c>
      <c r="AB94">
        <v>39.192614319454478</v>
      </c>
      <c r="AC94">
        <v>8.0679950956907151E-2</v>
      </c>
      <c r="AD94">
        <v>9.1473942990314772</v>
      </c>
      <c r="AE94">
        <v>14.983774798540514</v>
      </c>
      <c r="AF94">
        <v>14.790231066060244</v>
      </c>
      <c r="AG94">
        <v>25.296512499861205</v>
      </c>
      <c r="AH94">
        <v>6.7591704424706034</v>
      </c>
      <c r="AI94">
        <v>1.9844243505983148</v>
      </c>
      <c r="AK94">
        <v>51.780231452604824</v>
      </c>
    </row>
    <row r="95" spans="1:37" x14ac:dyDescent="0.2">
      <c r="A95">
        <v>94</v>
      </c>
      <c r="B95">
        <v>786</v>
      </c>
      <c r="C95">
        <v>125</v>
      </c>
      <c r="D95">
        <v>0.47944153330501299</v>
      </c>
      <c r="E95">
        <v>116.07129934163675</v>
      </c>
      <c r="F95">
        <v>63.6372865995734</v>
      </c>
      <c r="G95">
        <v>72.967037413585345</v>
      </c>
      <c r="H95">
        <v>68.437204144718478</v>
      </c>
      <c r="J95">
        <v>63.096084450202618</v>
      </c>
      <c r="L95">
        <v>6.4472102220218552</v>
      </c>
      <c r="M95">
        <v>15.121333122703362</v>
      </c>
      <c r="N95">
        <v>2.0136738960898364</v>
      </c>
      <c r="O95">
        <v>31.591171289870235</v>
      </c>
      <c r="P95">
        <v>12.165430194867257</v>
      </c>
      <c r="R95">
        <v>18.811016923216343</v>
      </c>
      <c r="S95">
        <v>51.144845303831929</v>
      </c>
      <c r="U95">
        <v>3.5223089359065565</v>
      </c>
      <c r="V95">
        <v>47.390781102504107</v>
      </c>
      <c r="W95">
        <v>31.813123847869157</v>
      </c>
      <c r="X95">
        <v>43.100260069123422</v>
      </c>
      <c r="Y95">
        <v>8.126113154195421</v>
      </c>
      <c r="Z95">
        <v>33.202716787686505</v>
      </c>
      <c r="AA95">
        <v>5.5695096297622735</v>
      </c>
      <c r="AB95">
        <v>39.111493849733911</v>
      </c>
      <c r="AC95">
        <v>4.3847660103172439E-2</v>
      </c>
      <c r="AD95">
        <v>8.8882525705059017</v>
      </c>
      <c r="AE95">
        <v>14.782843143172329</v>
      </c>
      <c r="AF95">
        <v>14.784732372876011</v>
      </c>
      <c r="AG95">
        <v>25.148858428579079</v>
      </c>
      <c r="AH95">
        <v>6.4268057475191593</v>
      </c>
      <c r="AI95">
        <v>1.9510629476555041</v>
      </c>
      <c r="AK95">
        <v>51.721441189340382</v>
      </c>
    </row>
    <row r="96" spans="1:37" x14ac:dyDescent="0.2">
      <c r="A96">
        <v>95</v>
      </c>
      <c r="B96">
        <v>784</v>
      </c>
      <c r="C96">
        <v>125</v>
      </c>
      <c r="D96">
        <v>0.47832426807926898</v>
      </c>
      <c r="E96">
        <v>115.86941099494582</v>
      </c>
      <c r="F96">
        <v>62.80125379935857</v>
      </c>
      <c r="G96">
        <v>72.815838005032631</v>
      </c>
      <c r="H96">
        <v>68.280367692301766</v>
      </c>
      <c r="J96">
        <v>62.986792575779283</v>
      </c>
      <c r="L96">
        <v>6.2127449542055002</v>
      </c>
      <c r="M96">
        <v>15.155256600536053</v>
      </c>
      <c r="N96">
        <v>1.9808451910275497</v>
      </c>
      <c r="O96">
        <v>30.495509186097991</v>
      </c>
      <c r="P96">
        <v>11.872642629453656</v>
      </c>
      <c r="R96">
        <v>18.479667471695002</v>
      </c>
      <c r="S96">
        <v>50.860065211956496</v>
      </c>
      <c r="U96">
        <v>3.5068640789262839</v>
      </c>
      <c r="V96">
        <v>47.442782897555531</v>
      </c>
      <c r="W96">
        <v>31.596573659979843</v>
      </c>
      <c r="X96">
        <v>43.175957495453233</v>
      </c>
      <c r="Y96">
        <v>7.8809136513630405</v>
      </c>
      <c r="Z96">
        <v>32.732685242670392</v>
      </c>
      <c r="AA96">
        <v>5.3256104160426041</v>
      </c>
      <c r="AB96">
        <v>39.024411584335908</v>
      </c>
      <c r="AC96">
        <v>7.0369360784997949E-3</v>
      </c>
      <c r="AD96">
        <v>8.6294779936983801</v>
      </c>
      <c r="AE96">
        <v>14.582768849419663</v>
      </c>
      <c r="AF96">
        <v>14.779587147957631</v>
      </c>
      <c r="AG96">
        <v>24.99527291223572</v>
      </c>
      <c r="AH96">
        <v>6.0949523150771912</v>
      </c>
      <c r="AI96">
        <v>1.9177193843599407</v>
      </c>
      <c r="AK96">
        <v>51.663737938302638</v>
      </c>
    </row>
    <row r="97" spans="1:37" x14ac:dyDescent="0.2">
      <c r="A97">
        <v>96</v>
      </c>
      <c r="B97">
        <v>782</v>
      </c>
      <c r="C97">
        <v>125</v>
      </c>
      <c r="D97">
        <v>0.47720276737904699</v>
      </c>
      <c r="E97">
        <v>115.49410986853674</v>
      </c>
      <c r="F97">
        <v>61.014705413795028</v>
      </c>
      <c r="G97">
        <v>72.506853245405622</v>
      </c>
      <c r="H97">
        <v>67.965795799865532</v>
      </c>
      <c r="J97">
        <v>62.564099664814073</v>
      </c>
      <c r="L97">
        <v>5.7252488616497432</v>
      </c>
      <c r="M97">
        <v>15.18083041561569</v>
      </c>
      <c r="N97">
        <v>1.9775423643123717</v>
      </c>
      <c r="O97">
        <v>28.490187697498872</v>
      </c>
      <c r="P97">
        <v>11.293838710882714</v>
      </c>
      <c r="R97">
        <v>17.79720009929294</v>
      </c>
      <c r="S97">
        <v>50.109139537706518</v>
      </c>
      <c r="U97">
        <v>3.4693564495100158</v>
      </c>
      <c r="V97">
        <v>47.464595525188329</v>
      </c>
      <c r="W97">
        <v>31.180521117674466</v>
      </c>
      <c r="X97">
        <v>43.1600394892195</v>
      </c>
      <c r="Y97">
        <v>7.3419401404583891</v>
      </c>
      <c r="Z97">
        <v>31.737540852456483</v>
      </c>
      <c r="AA97">
        <v>4.8232883591825377</v>
      </c>
      <c r="AB97">
        <v>38.796555537284647</v>
      </c>
      <c r="AD97">
        <v>8.0434823698026481</v>
      </c>
      <c r="AE97">
        <v>14.193284570208053</v>
      </c>
      <c r="AF97">
        <v>14.795618862082931</v>
      </c>
      <c r="AG97">
        <v>24.730448943096704</v>
      </c>
      <c r="AH97">
        <v>5.3019723858282033</v>
      </c>
      <c r="AI97">
        <v>1.9138985810977533</v>
      </c>
      <c r="AK97">
        <v>51.380741812133301</v>
      </c>
    </row>
    <row r="98" spans="1:37" x14ac:dyDescent="0.2">
      <c r="A98">
        <v>97</v>
      </c>
      <c r="B98">
        <v>780</v>
      </c>
      <c r="C98">
        <v>125</v>
      </c>
      <c r="D98">
        <v>0.47607700707401701</v>
      </c>
      <c r="E98">
        <v>115.07086564523951</v>
      </c>
      <c r="F98">
        <v>58.932249261374537</v>
      </c>
      <c r="G98">
        <v>72.146914016385608</v>
      </c>
      <c r="H98">
        <v>67.600319507231518</v>
      </c>
      <c r="J98">
        <v>62.01570497762269</v>
      </c>
      <c r="L98">
        <v>5.1503982791977538</v>
      </c>
      <c r="M98">
        <v>15.208383195010821</v>
      </c>
      <c r="N98">
        <v>1.9815075556707127</v>
      </c>
      <c r="O98">
        <v>26.182599630574046</v>
      </c>
      <c r="P98">
        <v>10.620422510885687</v>
      </c>
      <c r="R98">
        <v>16.985596197364753</v>
      </c>
      <c r="S98">
        <v>49.131394867764357</v>
      </c>
      <c r="U98">
        <v>3.435002811196711</v>
      </c>
      <c r="V98">
        <v>47.449200179259712</v>
      </c>
      <c r="W98">
        <v>30.724514761112854</v>
      </c>
      <c r="X98">
        <v>43.147240398522889</v>
      </c>
      <c r="Y98">
        <v>6.7067260945837495</v>
      </c>
      <c r="Z98">
        <v>30.57173743377437</v>
      </c>
      <c r="AA98">
        <v>4.2342123795945081</v>
      </c>
      <c r="AB98">
        <v>38.479100992377681</v>
      </c>
      <c r="AD98">
        <v>7.3496472029584172</v>
      </c>
      <c r="AE98">
        <v>13.742081605516493</v>
      </c>
      <c r="AF98">
        <v>14.820898324229734</v>
      </c>
      <c r="AG98">
        <v>24.38330398821228</v>
      </c>
      <c r="AH98">
        <v>4.357949422968276</v>
      </c>
      <c r="AI98">
        <v>1.9173426629879071</v>
      </c>
      <c r="AK98">
        <v>51.023088771784757</v>
      </c>
    </row>
    <row r="99" spans="1:37" x14ac:dyDescent="0.2">
      <c r="A99">
        <v>98</v>
      </c>
      <c r="B99">
        <v>778</v>
      </c>
      <c r="C99">
        <v>125</v>
      </c>
      <c r="D99">
        <v>0.47494696285021398</v>
      </c>
      <c r="E99">
        <v>114.63800090391145</v>
      </c>
      <c r="F99">
        <v>56.747904578502009</v>
      </c>
      <c r="G99">
        <v>71.768511389704727</v>
      </c>
      <c r="H99">
        <v>67.216430044872524</v>
      </c>
      <c r="J99">
        <v>61.392825504663577</v>
      </c>
      <c r="L99">
        <v>4.5379438633306233</v>
      </c>
      <c r="M99">
        <v>15.24009307517867</v>
      </c>
      <c r="N99">
        <v>1.9854699645330121</v>
      </c>
      <c r="O99">
        <v>23.752914502788485</v>
      </c>
      <c r="P99">
        <v>9.9101055419117667</v>
      </c>
      <c r="R99">
        <v>16.111198900423815</v>
      </c>
      <c r="S99">
        <v>47.990959581220011</v>
      </c>
      <c r="U99">
        <v>3.4111916035472567</v>
      </c>
      <c r="V99">
        <v>47.392694707066951</v>
      </c>
      <c r="W99">
        <v>30.279716875367555</v>
      </c>
      <c r="X99">
        <v>43.166040046606653</v>
      </c>
      <c r="Y99">
        <v>6.0347459886044756</v>
      </c>
      <c r="Z99">
        <v>29.335869667719098</v>
      </c>
      <c r="AA99">
        <v>3.6094934125822618</v>
      </c>
      <c r="AB99">
        <v>38.08070016381663</v>
      </c>
      <c r="AD99">
        <v>6.6114000009625293</v>
      </c>
      <c r="AE99">
        <v>13.263602190087784</v>
      </c>
      <c r="AF99">
        <v>14.850332912662976</v>
      </c>
      <c r="AG99">
        <v>23.95521950501276</v>
      </c>
      <c r="AH99">
        <v>3.356543318726021</v>
      </c>
      <c r="AI99">
        <v>1.9207808148412886</v>
      </c>
      <c r="AK99">
        <v>50.633519741615359</v>
      </c>
    </row>
    <row r="100" spans="1:37" x14ac:dyDescent="0.2">
      <c r="A100">
        <v>99</v>
      </c>
      <c r="B100">
        <v>776</v>
      </c>
      <c r="C100">
        <v>125</v>
      </c>
      <c r="D100">
        <v>0.47381261020826598</v>
      </c>
      <c r="E100">
        <v>114.18726895466637</v>
      </c>
      <c r="F100">
        <v>54.392456892470776</v>
      </c>
      <c r="G100">
        <v>71.361262295064719</v>
      </c>
      <c r="H100">
        <v>66.803744501836803</v>
      </c>
      <c r="J100">
        <v>60.65509456956174</v>
      </c>
      <c r="L100">
        <v>3.8673831997853632</v>
      </c>
      <c r="M100">
        <v>15.274998307653343</v>
      </c>
      <c r="N100">
        <v>1.9894289199736723</v>
      </c>
      <c r="O100">
        <v>21.128657392713503</v>
      </c>
      <c r="P100">
        <v>9.1421211629294739</v>
      </c>
      <c r="R100">
        <v>15.142189254570779</v>
      </c>
      <c r="S100">
        <v>46.617110760626339</v>
      </c>
      <c r="U100">
        <v>3.3995799274200849</v>
      </c>
      <c r="V100">
        <v>47.281066410959667</v>
      </c>
      <c r="W100">
        <v>29.847192851887893</v>
      </c>
      <c r="X100">
        <v>43.221218793025216</v>
      </c>
      <c r="Y100">
        <v>5.3050276237001261</v>
      </c>
      <c r="Z100">
        <v>27.980304630554382</v>
      </c>
      <c r="AA100">
        <v>2.9285981449246465</v>
      </c>
      <c r="AB100">
        <v>37.564816798560621</v>
      </c>
      <c r="AD100">
        <v>5.7998303241537474</v>
      </c>
      <c r="AE100">
        <v>12.736275552281647</v>
      </c>
      <c r="AF100">
        <v>14.882960250556909</v>
      </c>
      <c r="AG100">
        <v>23.409658613604289</v>
      </c>
      <c r="AH100">
        <v>2.2654237263204875</v>
      </c>
      <c r="AI100">
        <v>1.9242123511044829</v>
      </c>
      <c r="AK100">
        <v>50.190112780812285</v>
      </c>
    </row>
    <row r="101" spans="1:37" x14ac:dyDescent="0.2">
      <c r="A101">
        <v>100</v>
      </c>
      <c r="B101">
        <v>774</v>
      </c>
      <c r="C101">
        <v>125</v>
      </c>
      <c r="D101">
        <v>0.47267392446163797</v>
      </c>
      <c r="E101">
        <v>113.70021425636651</v>
      </c>
      <c r="F101">
        <v>51.71122599809425</v>
      </c>
      <c r="G101">
        <v>70.902080709259963</v>
      </c>
      <c r="H101">
        <v>66.339177014870572</v>
      </c>
      <c r="J101">
        <v>59.713430340051737</v>
      </c>
      <c r="L101">
        <v>3.0932461124646942</v>
      </c>
      <c r="M101">
        <v>15.310154356166358</v>
      </c>
      <c r="N101">
        <v>1.9933831150096328</v>
      </c>
      <c r="O101">
        <v>18.14870072596738</v>
      </c>
      <c r="P101">
        <v>8.2702961919602878</v>
      </c>
      <c r="R101">
        <v>14.006063217429855</v>
      </c>
      <c r="S101">
        <v>44.856775240032988</v>
      </c>
      <c r="U101">
        <v>3.4033420469542883</v>
      </c>
      <c r="V101">
        <v>47.084106425918243</v>
      </c>
      <c r="W101">
        <v>29.429001762853577</v>
      </c>
      <c r="X101">
        <v>43.321784823101432</v>
      </c>
      <c r="Y101">
        <v>4.4709528870212818</v>
      </c>
      <c r="Z101">
        <v>26.393570990781274</v>
      </c>
      <c r="AA101">
        <v>2.1461429213321828</v>
      </c>
      <c r="AB101">
        <v>36.852396633193891</v>
      </c>
      <c r="AD101">
        <v>4.8499793838550449</v>
      </c>
      <c r="AE101">
        <v>12.111593019765223</v>
      </c>
      <c r="AF101">
        <v>14.91583453742412</v>
      </c>
      <c r="AG101">
        <v>22.6675657879345</v>
      </c>
      <c r="AH101">
        <v>1.0124097051383119</v>
      </c>
      <c r="AI101">
        <v>1.9276359501557843</v>
      </c>
      <c r="AK101">
        <v>49.643662755182099</v>
      </c>
    </row>
    <row r="102" spans="1:37" x14ac:dyDescent="0.2">
      <c r="A102">
        <v>101</v>
      </c>
      <c r="B102">
        <v>772</v>
      </c>
      <c r="C102">
        <v>125</v>
      </c>
      <c r="D102">
        <v>0.47153088073482102</v>
      </c>
      <c r="E102">
        <v>113.77231513064811</v>
      </c>
      <c r="F102">
        <v>50.744580364754832</v>
      </c>
      <c r="G102">
        <v>70.90100955617649</v>
      </c>
      <c r="H102">
        <v>66.332770668424544</v>
      </c>
      <c r="J102">
        <v>53.622900343052983</v>
      </c>
      <c r="L102">
        <v>1.5897568622400213</v>
      </c>
      <c r="M102">
        <v>15.258607838353477</v>
      </c>
      <c r="N102">
        <v>1.9973637536584719</v>
      </c>
      <c r="O102">
        <v>10.567089922262127</v>
      </c>
      <c r="P102">
        <v>8.3147478531547474</v>
      </c>
      <c r="R102">
        <v>12.301131814482321</v>
      </c>
      <c r="S102">
        <v>39.730003702135569</v>
      </c>
      <c r="U102">
        <v>3.4643686511480287</v>
      </c>
      <c r="V102">
        <v>46.511447869992104</v>
      </c>
      <c r="W102">
        <v>28.971186645716248</v>
      </c>
      <c r="X102">
        <v>43.58508059270175</v>
      </c>
      <c r="Y102">
        <v>3.3930978180133997</v>
      </c>
      <c r="Z102">
        <v>24.069669655661475</v>
      </c>
      <c r="AA102">
        <v>0.44620175368724452</v>
      </c>
      <c r="AB102">
        <v>34.866904480519302</v>
      </c>
      <c r="AD102">
        <v>3.5853241282611172</v>
      </c>
      <c r="AE102">
        <v>10.708775004365719</v>
      </c>
      <c r="AF102">
        <v>14.862033637869841</v>
      </c>
      <c r="AG102">
        <v>20.65243708945372</v>
      </c>
      <c r="AI102">
        <v>1.931082801365628</v>
      </c>
      <c r="AK102">
        <v>45.829456597535042</v>
      </c>
    </row>
    <row r="103" spans="1:37" x14ac:dyDescent="0.2">
      <c r="A103">
        <v>102</v>
      </c>
      <c r="B103">
        <v>770</v>
      </c>
      <c r="C103">
        <v>125</v>
      </c>
      <c r="D103">
        <v>0.47038345396155901</v>
      </c>
      <c r="E103">
        <v>114.34422773215795</v>
      </c>
      <c r="F103">
        <v>49.625091886587619</v>
      </c>
      <c r="G103">
        <v>71.174171721490794</v>
      </c>
      <c r="H103">
        <v>66.600648509353164</v>
      </c>
      <c r="J103">
        <v>40.27037181678368</v>
      </c>
      <c r="L103">
        <v>1.4797181089980223</v>
      </c>
      <c r="M103">
        <v>14.707630049338663</v>
      </c>
      <c r="N103">
        <v>2.0013757031392054</v>
      </c>
      <c r="O103">
        <v>9.3293107564822826</v>
      </c>
      <c r="P103">
        <v>8.9077269583865686</v>
      </c>
      <c r="R103">
        <v>11.86875727289574</v>
      </c>
      <c r="S103">
        <v>38.344104522250589</v>
      </c>
      <c r="U103">
        <v>3.5029365508783088</v>
      </c>
      <c r="V103">
        <v>46.757435286024077</v>
      </c>
      <c r="W103">
        <v>28.184912444609676</v>
      </c>
      <c r="X103">
        <v>43.777164846324617</v>
      </c>
      <c r="Y103">
        <v>3.0817701544000173</v>
      </c>
      <c r="Z103">
        <v>18.510600220156856</v>
      </c>
      <c r="AB103">
        <v>31.341662920191489</v>
      </c>
      <c r="AD103">
        <v>0.83598779789044675</v>
      </c>
      <c r="AE103">
        <v>7.3307024632946201</v>
      </c>
      <c r="AF103">
        <v>14.308833757386274</v>
      </c>
      <c r="AG103">
        <v>17.097600009939672</v>
      </c>
      <c r="AI103">
        <v>1.9345577572968073</v>
      </c>
      <c r="AK103">
        <v>37.028590748573777</v>
      </c>
    </row>
    <row r="104" spans="1:37" x14ac:dyDescent="0.2">
      <c r="A104">
        <v>103</v>
      </c>
      <c r="B104">
        <v>768</v>
      </c>
      <c r="C104">
        <v>125</v>
      </c>
      <c r="D104">
        <v>0.46923161888296799</v>
      </c>
      <c r="E104">
        <v>114.67506298497264</v>
      </c>
      <c r="F104">
        <v>50.128090707418451</v>
      </c>
      <c r="G104">
        <v>71.19973526651286</v>
      </c>
      <c r="H104">
        <v>66.620978760762739</v>
      </c>
      <c r="J104">
        <v>33.324312657322324</v>
      </c>
      <c r="L104">
        <v>1.5053812734595777</v>
      </c>
      <c r="M104">
        <v>14.012874705656058</v>
      </c>
      <c r="N104">
        <v>2.0053765815861637</v>
      </c>
      <c r="O104">
        <v>9.132299637613853</v>
      </c>
      <c r="P104">
        <v>9.0055274226693314</v>
      </c>
      <c r="R104">
        <v>11.338611312425412</v>
      </c>
      <c r="S104">
        <v>38.589508289493409</v>
      </c>
      <c r="U104">
        <v>3.4769296458421293</v>
      </c>
      <c r="V104">
        <v>47.559511547573443</v>
      </c>
      <c r="W104">
        <v>27.303331392737622</v>
      </c>
      <c r="X104">
        <v>43.784287467816604</v>
      </c>
      <c r="Y104">
        <v>2.6727445221108197</v>
      </c>
      <c r="Z104">
        <v>17.642658841968647</v>
      </c>
      <c r="AB104">
        <v>31.304126059269603</v>
      </c>
      <c r="AE104">
        <v>6.8000640342369536</v>
      </c>
      <c r="AF104">
        <v>13.611846273989373</v>
      </c>
      <c r="AG104">
        <v>17.030466319775947</v>
      </c>
      <c r="AI104">
        <v>1.9380184214197447</v>
      </c>
      <c r="AK104">
        <v>32.285136549926506</v>
      </c>
    </row>
    <row r="105" spans="1:37" x14ac:dyDescent="0.2">
      <c r="A105">
        <v>104</v>
      </c>
      <c r="B105">
        <v>824</v>
      </c>
      <c r="C105">
        <v>100</v>
      </c>
      <c r="D105">
        <v>0.524960579683728</v>
      </c>
      <c r="E105">
        <v>105.04039637498093</v>
      </c>
      <c r="F105">
        <v>76.378138552835679</v>
      </c>
      <c r="G105">
        <v>75.395012233775645</v>
      </c>
      <c r="H105">
        <v>70.981143045956813</v>
      </c>
      <c r="J105">
        <v>64.736943274971935</v>
      </c>
      <c r="L105">
        <v>9.6978434429231442</v>
      </c>
      <c r="M105">
        <v>15.444185131689689</v>
      </c>
      <c r="N105">
        <v>2.2872584947597421</v>
      </c>
      <c r="O105">
        <v>49.384840943675783</v>
      </c>
      <c r="P105">
        <v>16.35323553683433</v>
      </c>
      <c r="Q105">
        <v>3.5692021843780196E-2</v>
      </c>
      <c r="R105">
        <v>24.552551592276174</v>
      </c>
      <c r="S105">
        <v>58.783020437191745</v>
      </c>
      <c r="U105">
        <v>4.8923560828101902</v>
      </c>
      <c r="V105">
        <v>46.892180043406796</v>
      </c>
      <c r="W105">
        <v>38.271273963175695</v>
      </c>
      <c r="X105">
        <v>42.403430514833907</v>
      </c>
      <c r="Y105">
        <v>11.534913231978816</v>
      </c>
      <c r="Z105">
        <v>41.046479290783971</v>
      </c>
      <c r="AA105">
        <v>9.0433901627131199</v>
      </c>
      <c r="AB105">
        <v>41.735944092911957</v>
      </c>
      <c r="AC105">
        <v>0.48493692211755052</v>
      </c>
      <c r="AD105">
        <v>12.974279193684643</v>
      </c>
      <c r="AE105">
        <v>18.529860082033547</v>
      </c>
      <c r="AF105">
        <v>15.577202034063683</v>
      </c>
      <c r="AG105">
        <v>28.794159315249395</v>
      </c>
      <c r="AH105">
        <v>10.970516551735587</v>
      </c>
      <c r="AI105">
        <v>2.2309324775314376</v>
      </c>
      <c r="AK105">
        <v>51.726380217914475</v>
      </c>
    </row>
    <row r="106" spans="1:37" x14ac:dyDescent="0.2">
      <c r="A106">
        <v>105</v>
      </c>
      <c r="B106">
        <v>822</v>
      </c>
      <c r="C106">
        <v>100</v>
      </c>
      <c r="D106">
        <v>0.52396521024517195</v>
      </c>
      <c r="E106">
        <v>104.83108855804909</v>
      </c>
      <c r="F106">
        <v>75.597609314508503</v>
      </c>
      <c r="G106">
        <v>75.259170664346982</v>
      </c>
      <c r="H106">
        <v>70.838724748718292</v>
      </c>
      <c r="J106">
        <v>64.619122648696177</v>
      </c>
      <c r="L106">
        <v>9.5048151641864553</v>
      </c>
      <c r="M106">
        <v>15.427321570513692</v>
      </c>
      <c r="N106">
        <v>2.2629091525967766</v>
      </c>
      <c r="O106">
        <v>48.416381956961594</v>
      </c>
      <c r="P106">
        <v>16.099114399172961</v>
      </c>
      <c r="R106">
        <v>24.236370750455546</v>
      </c>
      <c r="S106">
        <v>58.411104596448254</v>
      </c>
      <c r="U106">
        <v>4.8349520218936011</v>
      </c>
      <c r="V106">
        <v>46.900444439896248</v>
      </c>
      <c r="W106">
        <v>37.989567977873818</v>
      </c>
      <c r="X106">
        <v>42.327323951985377</v>
      </c>
      <c r="Y106">
        <v>11.327345519777959</v>
      </c>
      <c r="Z106">
        <v>40.612179963915928</v>
      </c>
      <c r="AA106">
        <v>8.8369779340365859</v>
      </c>
      <c r="AB106">
        <v>41.627351290713591</v>
      </c>
      <c r="AC106">
        <v>0.45658877258555236</v>
      </c>
      <c r="AD106">
        <v>12.74986542587072</v>
      </c>
      <c r="AE106">
        <v>18.337690429146395</v>
      </c>
      <c r="AF106">
        <v>15.529735337360574</v>
      </c>
      <c r="AG106">
        <v>28.627436754865784</v>
      </c>
      <c r="AH106">
        <v>10.688124775738949</v>
      </c>
      <c r="AI106">
        <v>2.2061270219719105</v>
      </c>
      <c r="AK106">
        <v>51.677714993036361</v>
      </c>
    </row>
    <row r="107" spans="1:37" x14ac:dyDescent="0.2">
      <c r="A107">
        <v>106</v>
      </c>
      <c r="B107">
        <v>820</v>
      </c>
      <c r="C107">
        <v>100</v>
      </c>
      <c r="D107">
        <v>0.52296619860037497</v>
      </c>
      <c r="E107">
        <v>104.6169071123719</v>
      </c>
      <c r="F107">
        <v>74.726275368963826</v>
      </c>
      <c r="G107">
        <v>75.107027835218915</v>
      </c>
      <c r="H107">
        <v>70.680052217380833</v>
      </c>
      <c r="J107">
        <v>64.51632326900382</v>
      </c>
      <c r="L107">
        <v>9.2805149966397451</v>
      </c>
      <c r="M107">
        <v>15.453047267893481</v>
      </c>
      <c r="N107">
        <v>2.2313055104425126</v>
      </c>
      <c r="O107">
        <v>47.306045821317539</v>
      </c>
      <c r="P107">
        <v>15.805161861729502</v>
      </c>
      <c r="R107">
        <v>23.929849658247598</v>
      </c>
      <c r="S107">
        <v>58.203511157353184</v>
      </c>
      <c r="U107">
        <v>4.809376869073553</v>
      </c>
      <c r="V107">
        <v>46.990026515043766</v>
      </c>
      <c r="W107">
        <v>37.744536341538051</v>
      </c>
      <c r="X107">
        <v>42.358881076495173</v>
      </c>
      <c r="Y107">
        <v>11.084152746852517</v>
      </c>
      <c r="Z107">
        <v>40.12687316490247</v>
      </c>
      <c r="AA107">
        <v>8.5959452743615845</v>
      </c>
      <c r="AB107">
        <v>41.584676900855094</v>
      </c>
      <c r="AC107">
        <v>0.42098700829285146</v>
      </c>
      <c r="AD107">
        <v>12.496385103476554</v>
      </c>
      <c r="AE107">
        <v>18.127855477438768</v>
      </c>
      <c r="AF107">
        <v>15.517603580552892</v>
      </c>
      <c r="AG107">
        <v>28.519386979278625</v>
      </c>
      <c r="AH107">
        <v>10.363400888656464</v>
      </c>
      <c r="AI107">
        <v>2.1740644231376187</v>
      </c>
      <c r="AK107">
        <v>51.611045647723607</v>
      </c>
    </row>
    <row r="108" spans="1:37" x14ac:dyDescent="0.2">
      <c r="A108">
        <v>107</v>
      </c>
      <c r="B108">
        <v>818</v>
      </c>
      <c r="C108">
        <v>100</v>
      </c>
      <c r="D108">
        <v>0.52196352472162699</v>
      </c>
      <c r="E108">
        <v>104.40424002570103</v>
      </c>
      <c r="F108">
        <v>73.858768943162389</v>
      </c>
      <c r="G108">
        <v>74.954906207992465</v>
      </c>
      <c r="H108">
        <v>70.521448060892752</v>
      </c>
      <c r="J108">
        <v>64.411968827377734</v>
      </c>
      <c r="L108">
        <v>9.0550344876011764</v>
      </c>
      <c r="M108">
        <v>15.479546709173976</v>
      </c>
      <c r="N108">
        <v>2.1996427742761155</v>
      </c>
      <c r="O108">
        <v>46.196514256180208</v>
      </c>
      <c r="P108">
        <v>15.5112182059865</v>
      </c>
      <c r="R108">
        <v>23.620022983164905</v>
      </c>
      <c r="S108">
        <v>57.987059895653026</v>
      </c>
      <c r="U108">
        <v>4.7852887967223436</v>
      </c>
      <c r="V108">
        <v>47.075553110579129</v>
      </c>
      <c r="W108">
        <v>37.501731397557286</v>
      </c>
      <c r="X108">
        <v>42.395779246983693</v>
      </c>
      <c r="Y108">
        <v>10.84078905817012</v>
      </c>
      <c r="Z108">
        <v>39.64285465394412</v>
      </c>
      <c r="AA108">
        <v>8.3546288141230107</v>
      </c>
      <c r="AB108">
        <v>41.536960169350088</v>
      </c>
      <c r="AC108">
        <v>0.38532683183767985</v>
      </c>
      <c r="AD108">
        <v>12.242643191240592</v>
      </c>
      <c r="AE108">
        <v>17.918853480267099</v>
      </c>
      <c r="AF108">
        <v>15.506186493672235</v>
      </c>
      <c r="AG108">
        <v>28.406244479223602</v>
      </c>
      <c r="AH108">
        <v>10.037865478221619</v>
      </c>
      <c r="AI108">
        <v>2.1419398726730439</v>
      </c>
      <c r="AK108">
        <v>51.545141285856268</v>
      </c>
    </row>
    <row r="109" spans="1:37" x14ac:dyDescent="0.2">
      <c r="A109">
        <v>108</v>
      </c>
      <c r="B109">
        <v>816</v>
      </c>
      <c r="C109">
        <v>100</v>
      </c>
      <c r="D109">
        <v>0.520957168434101</v>
      </c>
      <c r="E109">
        <v>104.19309959742615</v>
      </c>
      <c r="F109">
        <v>72.995300597348702</v>
      </c>
      <c r="G109">
        <v>74.802858371794116</v>
      </c>
      <c r="H109">
        <v>70.362965016266699</v>
      </c>
      <c r="J109">
        <v>64.306035981987065</v>
      </c>
      <c r="L109">
        <v>8.828580217841699</v>
      </c>
      <c r="M109">
        <v>15.506761633861959</v>
      </c>
      <c r="N109">
        <v>2.1679321216603453</v>
      </c>
      <c r="O109">
        <v>45.088122953964309</v>
      </c>
      <c r="P109">
        <v>15.217399940876975</v>
      </c>
      <c r="R109">
        <v>23.307112592893496</v>
      </c>
      <c r="S109">
        <v>57.76143791519781</v>
      </c>
      <c r="U109">
        <v>4.7626196666665264</v>
      </c>
      <c r="V109">
        <v>47.156925967142321</v>
      </c>
      <c r="W109">
        <v>37.261130360989462</v>
      </c>
      <c r="X109">
        <v>42.437812798252459</v>
      </c>
      <c r="Y109">
        <v>10.597351797123348</v>
      </c>
      <c r="Z109">
        <v>39.160210777067867</v>
      </c>
      <c r="AA109">
        <v>8.1131341386531712</v>
      </c>
      <c r="AB109">
        <v>41.484023614059723</v>
      </c>
      <c r="AC109">
        <v>0.34961941739662444</v>
      </c>
      <c r="AD109">
        <v>11.988718809954934</v>
      </c>
      <c r="AE109">
        <v>17.710690073943457</v>
      </c>
      <c r="AF109">
        <v>15.495437032667489</v>
      </c>
      <c r="AG109">
        <v>28.287842989100362</v>
      </c>
      <c r="AH109">
        <v>9.7116836262072468</v>
      </c>
      <c r="AI109">
        <v>2.1097645337879833</v>
      </c>
      <c r="AK109">
        <v>51.48004794517999</v>
      </c>
    </row>
    <row r="110" spans="1:37" x14ac:dyDescent="0.2">
      <c r="A110">
        <v>109</v>
      </c>
      <c r="B110">
        <v>814</v>
      </c>
      <c r="C110">
        <v>100</v>
      </c>
      <c r="D110">
        <v>0.51994710941452704</v>
      </c>
      <c r="E110">
        <v>103.98349450787532</v>
      </c>
      <c r="F110">
        <v>72.136073121151412</v>
      </c>
      <c r="G110">
        <v>74.650936759081461</v>
      </c>
      <c r="H110">
        <v>70.20465566439114</v>
      </c>
      <c r="J110">
        <v>64.198520458024419</v>
      </c>
      <c r="L110">
        <v>8.601182203091037</v>
      </c>
      <c r="M110">
        <v>15.534631103398425</v>
      </c>
      <c r="N110">
        <v>2.1361852589753747</v>
      </c>
      <c r="O110">
        <v>43.981208135376022</v>
      </c>
      <c r="P110">
        <v>14.923823791623363</v>
      </c>
      <c r="R110">
        <v>22.991346253381913</v>
      </c>
      <c r="S110">
        <v>57.526402976519606</v>
      </c>
      <c r="U110">
        <v>4.7412964454007644</v>
      </c>
      <c r="V110">
        <v>47.23407244220747</v>
      </c>
      <c r="W110">
        <v>37.022702774589163</v>
      </c>
      <c r="X110">
        <v>42.484761204907734</v>
      </c>
      <c r="Y110">
        <v>10.353938693050003</v>
      </c>
      <c r="Z110">
        <v>38.679025559944435</v>
      </c>
      <c r="AA110">
        <v>7.8715658401559701</v>
      </c>
      <c r="AB110">
        <v>41.425727510929867</v>
      </c>
      <c r="AC110">
        <v>0.31387646795670138</v>
      </c>
      <c r="AD110">
        <v>11.734689703690304</v>
      </c>
      <c r="AE110">
        <v>17.503369773307458</v>
      </c>
      <c r="AF110">
        <v>15.485306004417627</v>
      </c>
      <c r="AG110">
        <v>28.164054530450127</v>
      </c>
      <c r="AH110">
        <v>9.3850197357342342</v>
      </c>
      <c r="AI110">
        <v>2.0775500984935849</v>
      </c>
      <c r="AK110">
        <v>51.415811410711171</v>
      </c>
    </row>
    <row r="111" spans="1:37" x14ac:dyDescent="0.2">
      <c r="A111">
        <v>110</v>
      </c>
      <c r="B111">
        <v>812</v>
      </c>
      <c r="C111">
        <v>100</v>
      </c>
      <c r="D111">
        <v>0.51893332718978802</v>
      </c>
      <c r="E111">
        <v>103.77542982980076</v>
      </c>
      <c r="F111">
        <v>71.28127932088681</v>
      </c>
      <c r="G111">
        <v>74.499193052825561</v>
      </c>
      <c r="H111">
        <v>70.046571837212468</v>
      </c>
      <c r="J111">
        <v>64.089436048367787</v>
      </c>
      <c r="L111">
        <v>8.3730470829543417</v>
      </c>
      <c r="M111">
        <v>15.563092304526508</v>
      </c>
      <c r="N111">
        <v>2.1044142520142421</v>
      </c>
      <c r="O111">
        <v>42.876102462767321</v>
      </c>
      <c r="P111">
        <v>14.630605344713709</v>
      </c>
      <c r="R111">
        <v>22.672954888381881</v>
      </c>
      <c r="S111">
        <v>57.28178237281422</v>
      </c>
      <c r="U111">
        <v>4.7212422011406439</v>
      </c>
      <c r="V111">
        <v>47.306944734726905</v>
      </c>
      <c r="W111">
        <v>36.786411194141813</v>
      </c>
      <c r="X111">
        <v>42.536392172738857</v>
      </c>
      <c r="Y111">
        <v>10.110646703297617</v>
      </c>
      <c r="Z111">
        <v>38.199379687608605</v>
      </c>
      <c r="AA111">
        <v>7.6300265521321853</v>
      </c>
      <c r="AB111">
        <v>41.36196943271073</v>
      </c>
      <c r="AC111">
        <v>0.27811004591138883</v>
      </c>
      <c r="AD111">
        <v>11.480631505007789</v>
      </c>
      <c r="AE111">
        <v>17.296895853343646</v>
      </c>
      <c r="AF111">
        <v>15.475742700693926</v>
      </c>
      <c r="AG111">
        <v>28.034788781267814</v>
      </c>
      <c r="AH111">
        <v>9.0580360032433465</v>
      </c>
      <c r="AI111">
        <v>2.0453086181960471</v>
      </c>
      <c r="AK111">
        <v>51.352476662862138</v>
      </c>
    </row>
    <row r="112" spans="1:37" x14ac:dyDescent="0.2">
      <c r="A112">
        <v>111</v>
      </c>
      <c r="B112">
        <v>810</v>
      </c>
      <c r="C112">
        <v>100</v>
      </c>
      <c r="D112">
        <v>0.517915801135579</v>
      </c>
      <c r="E112">
        <v>103.56890710442609</v>
      </c>
      <c r="F112">
        <v>70.431100126108376</v>
      </c>
      <c r="G112">
        <v>74.347677645286609</v>
      </c>
      <c r="H112">
        <v>69.888764076516551</v>
      </c>
      <c r="J112">
        <v>63.978813299361143</v>
      </c>
      <c r="L112">
        <v>8.1443161926194811</v>
      </c>
      <c r="M112">
        <v>15.592081333264154</v>
      </c>
      <c r="N112">
        <v>2.0726313600501562</v>
      </c>
      <c r="O112">
        <v>41.773131276317081</v>
      </c>
      <c r="P112">
        <v>14.33785779952172</v>
      </c>
      <c r="R112">
        <v>22.352169964835703</v>
      </c>
      <c r="S112">
        <v>57.027470409408203</v>
      </c>
      <c r="U112">
        <v>4.7023771072841027</v>
      </c>
      <c r="V112">
        <v>47.375518663547496</v>
      </c>
      <c r="W112">
        <v>36.552211961944451</v>
      </c>
      <c r="X112">
        <v>42.592464740850389</v>
      </c>
      <c r="Y112">
        <v>9.8675709441663848</v>
      </c>
      <c r="Z112">
        <v>37.721349605255121</v>
      </c>
      <c r="AA112">
        <v>7.3886968773731567</v>
      </c>
      <c r="AB112">
        <v>41.292683040751903</v>
      </c>
      <c r="AC112">
        <v>0.24233240712874629</v>
      </c>
      <c r="AD112">
        <v>11.226617071973964</v>
      </c>
      <c r="AE112">
        <v>17.091270259133999</v>
      </c>
      <c r="AF112">
        <v>15.466695516201229</v>
      </c>
      <c r="AG112">
        <v>27.899991701868817</v>
      </c>
      <c r="AH112">
        <v>8.730891003271406</v>
      </c>
      <c r="AI112">
        <v>2.0130523377655591</v>
      </c>
      <c r="AK112">
        <v>51.290087373873249</v>
      </c>
    </row>
    <row r="113" spans="1:37" x14ac:dyDescent="0.2">
      <c r="A113">
        <v>112</v>
      </c>
      <c r="B113">
        <v>808</v>
      </c>
      <c r="C113">
        <v>100</v>
      </c>
      <c r="D113">
        <v>0.51689451047495805</v>
      </c>
      <c r="E113">
        <v>103.36392447542228</v>
      </c>
      <c r="F113">
        <v>69.585703053140293</v>
      </c>
      <c r="G113">
        <v>74.196439161439727</v>
      </c>
      <c r="H113">
        <v>69.731281157355596</v>
      </c>
      <c r="J113">
        <v>63.866697955728505</v>
      </c>
      <c r="L113">
        <v>7.9151263675020562</v>
      </c>
      <c r="M113">
        <v>15.621533936359596</v>
      </c>
      <c r="N113">
        <v>2.0408488785726653</v>
      </c>
      <c r="O113">
        <v>40.672609247761173</v>
      </c>
      <c r="P113">
        <v>14.045690857896449</v>
      </c>
      <c r="R113">
        <v>22.029221073240457</v>
      </c>
      <c r="S113">
        <v>56.763424710252096</v>
      </c>
      <c r="U113">
        <v>4.6846194200372855</v>
      </c>
      <c r="V113">
        <v>47.439792082205308</v>
      </c>
      <c r="W113">
        <v>36.320056035665658</v>
      </c>
      <c r="X113">
        <v>42.652732297539856</v>
      </c>
      <c r="Y113">
        <v>9.6248037378454399</v>
      </c>
      <c r="Z113">
        <v>37.245006760478951</v>
      </c>
      <c r="AA113">
        <v>7.1475056852810228</v>
      </c>
      <c r="AB113">
        <v>41.217836240126111</v>
      </c>
      <c r="AC113">
        <v>0.20655584368665508</v>
      </c>
      <c r="AD113">
        <v>10.972715914722938</v>
      </c>
      <c r="AE113">
        <v>16.886493545710454</v>
      </c>
      <c r="AF113">
        <v>15.458112532771917</v>
      </c>
      <c r="AG113">
        <v>27.759643532751586</v>
      </c>
      <c r="AH113">
        <v>8.4037384242785187</v>
      </c>
      <c r="AI113">
        <v>1.9807935382727002</v>
      </c>
      <c r="AK113">
        <v>51.228685466092109</v>
      </c>
    </row>
    <row r="114" spans="1:37" x14ac:dyDescent="0.2">
      <c r="A114">
        <v>113</v>
      </c>
      <c r="B114">
        <v>806</v>
      </c>
      <c r="C114">
        <v>100</v>
      </c>
      <c r="D114">
        <v>0.51586943427697896</v>
      </c>
      <c r="E114">
        <v>103.16047687045487</v>
      </c>
      <c r="F114">
        <v>68.745241035594589</v>
      </c>
      <c r="G114">
        <v>74.045524054669514</v>
      </c>
      <c r="H114">
        <v>69.574169683747201</v>
      </c>
      <c r="J114">
        <v>63.753149240624474</v>
      </c>
      <c r="L114">
        <v>7.6856090522102782</v>
      </c>
      <c r="M114">
        <v>15.651386192922621</v>
      </c>
      <c r="N114">
        <v>2.0090789944224108</v>
      </c>
      <c r="O114">
        <v>39.574837510334469</v>
      </c>
      <c r="P114">
        <v>13.754209770698928</v>
      </c>
      <c r="R114">
        <v>21.704333754338215</v>
      </c>
      <c r="S114">
        <v>56.489661598451292</v>
      </c>
      <c r="U114">
        <v>4.667886404516854</v>
      </c>
      <c r="V114">
        <v>47.499783020817588</v>
      </c>
      <c r="W114">
        <v>36.089889843178547</v>
      </c>
      <c r="X114">
        <v>42.716945428918983</v>
      </c>
      <c r="Y114">
        <v>9.3824337918472658</v>
      </c>
      <c r="Z114">
        <v>36.770416997590004</v>
      </c>
      <c r="AA114">
        <v>6.9067143427368718</v>
      </c>
      <c r="AB114">
        <v>41.137428827967554</v>
      </c>
      <c r="AC114">
        <v>0.1707925390075708</v>
      </c>
      <c r="AD114">
        <v>10.718993721867742</v>
      </c>
      <c r="AE114">
        <v>16.682564848074335</v>
      </c>
      <c r="AF114">
        <v>15.44994205612482</v>
      </c>
      <c r="AG114">
        <v>27.613756298068203</v>
      </c>
      <c r="AH114">
        <v>8.0767259835815643</v>
      </c>
      <c r="AI114">
        <v>1.9485443921223797</v>
      </c>
      <c r="AK114">
        <v>51.168310739089769</v>
      </c>
    </row>
    <row r="115" spans="1:37" x14ac:dyDescent="0.2">
      <c r="A115">
        <v>114</v>
      </c>
      <c r="B115">
        <v>804</v>
      </c>
      <c r="C115">
        <v>100</v>
      </c>
      <c r="D115">
        <v>0.514840551455232</v>
      </c>
      <c r="E115">
        <v>102.95855622132835</v>
      </c>
      <c r="F115">
        <v>67.909851622048507</v>
      </c>
      <c r="G115">
        <v>73.894976279346025</v>
      </c>
      <c r="H115">
        <v>69.417473761252808</v>
      </c>
      <c r="J115">
        <v>63.638238043132844</v>
      </c>
      <c r="L115">
        <v>7.4558895839069956</v>
      </c>
      <c r="M115">
        <v>15.681575122566333</v>
      </c>
      <c r="N115">
        <v>1.9773336564214599</v>
      </c>
      <c r="O115">
        <v>38.480101301443888</v>
      </c>
      <c r="P115">
        <v>13.463514553581522</v>
      </c>
      <c r="R115">
        <v>21.377727607465921</v>
      </c>
      <c r="S115">
        <v>56.206250798870016</v>
      </c>
      <c r="U115">
        <v>4.6520951877686532</v>
      </c>
      <c r="V115">
        <v>47.555527642776774</v>
      </c>
      <c r="W115">
        <v>35.861656135511801</v>
      </c>
      <c r="X115">
        <v>42.784854535845824</v>
      </c>
      <c r="Y115">
        <v>9.1405455218251035</v>
      </c>
      <c r="Z115">
        <v>36.297640107147927</v>
      </c>
      <c r="AA115">
        <v>6.666238288371467</v>
      </c>
      <c r="AB115">
        <v>41.051489764459021</v>
      </c>
      <c r="AC115">
        <v>0.13505443849048349</v>
      </c>
      <c r="AD115">
        <v>10.465511991995491</v>
      </c>
      <c r="AE115">
        <v>16.479481879632683</v>
      </c>
      <c r="AF115">
        <v>15.442133094653274</v>
      </c>
      <c r="AG115">
        <v>27.46237094724853</v>
      </c>
      <c r="AH115">
        <v>7.7499945136738271</v>
      </c>
      <c r="AI115">
        <v>1.9163168336866121</v>
      </c>
      <c r="AK115">
        <v>51.109000570519861</v>
      </c>
    </row>
    <row r="116" spans="1:37" x14ac:dyDescent="0.2">
      <c r="A116">
        <v>115</v>
      </c>
      <c r="B116">
        <v>802</v>
      </c>
      <c r="C116">
        <v>100</v>
      </c>
      <c r="D116">
        <v>0.51380784076640695</v>
      </c>
      <c r="E116">
        <v>102.75815171166454</v>
      </c>
      <c r="F116">
        <v>67.079656519581761</v>
      </c>
      <c r="G116">
        <v>73.744837039988482</v>
      </c>
      <c r="H116">
        <v>69.261234746143685</v>
      </c>
      <c r="J116">
        <v>63.522045080922943</v>
      </c>
      <c r="L116">
        <v>7.2260866381472519</v>
      </c>
      <c r="M116">
        <v>15.712039212991852</v>
      </c>
      <c r="N116">
        <v>1.9456244632326345</v>
      </c>
      <c r="O116">
        <v>37.388668122369225</v>
      </c>
      <c r="P116">
        <v>13.173699373188382</v>
      </c>
      <c r="R116">
        <v>21.049614699348357</v>
      </c>
      <c r="S116">
        <v>55.913309714117617</v>
      </c>
      <c r="U116">
        <v>4.6371635247730287</v>
      </c>
      <c r="V116">
        <v>47.607078102359615</v>
      </c>
      <c r="W116">
        <v>35.635294814815147</v>
      </c>
      <c r="X116">
        <v>42.856212177481964</v>
      </c>
      <c r="Y116">
        <v>8.8992185190437016</v>
      </c>
      <c r="Z116">
        <v>35.826729526694123</v>
      </c>
      <c r="AA116">
        <v>6.4262503568308968</v>
      </c>
      <c r="AB116">
        <v>40.960074199422088</v>
      </c>
      <c r="AC116">
        <v>9.9353137368387412E-2</v>
      </c>
      <c r="AD116">
        <v>10.212327769558813</v>
      </c>
      <c r="AE116">
        <v>16.277240957110184</v>
      </c>
      <c r="AF116">
        <v>15.434635774852028</v>
      </c>
      <c r="AG116">
        <v>27.305554269448852</v>
      </c>
      <c r="AH116">
        <v>7.4236772881503779</v>
      </c>
      <c r="AI116">
        <v>1.8841224471622193</v>
      </c>
      <c r="AK116">
        <v>51.050789690614714</v>
      </c>
    </row>
    <row r="117" spans="1:37" x14ac:dyDescent="0.2">
      <c r="A117">
        <v>116</v>
      </c>
      <c r="B117">
        <v>800</v>
      </c>
      <c r="C117">
        <v>100</v>
      </c>
      <c r="D117">
        <v>0.51277128080883805</v>
      </c>
      <c r="E117">
        <v>102.55925004267498</v>
      </c>
      <c r="F117">
        <v>66.254761457058109</v>
      </c>
      <c r="G117">
        <v>73.595144614894537</v>
      </c>
      <c r="H117">
        <v>69.105491069034798</v>
      </c>
      <c r="J117">
        <v>63.404659094418015</v>
      </c>
      <c r="L117">
        <v>6.9963118297542675</v>
      </c>
      <c r="M117">
        <v>15.742718861640798</v>
      </c>
      <c r="N117">
        <v>1.9139625695819662</v>
      </c>
      <c r="O117">
        <v>36.300786405814236</v>
      </c>
      <c r="P117">
        <v>12.884852100637492</v>
      </c>
      <c r="R117">
        <v>20.720198276977527</v>
      </c>
      <c r="S117">
        <v>55.610997492058601</v>
      </c>
      <c r="U117">
        <v>4.6230104669757468</v>
      </c>
      <c r="V117">
        <v>47.654500374941371</v>
      </c>
      <c r="W117">
        <v>35.410743717293414</v>
      </c>
      <c r="X117">
        <v>42.930775107991373</v>
      </c>
      <c r="Y117">
        <v>8.6585271601728273</v>
      </c>
      <c r="Z117">
        <v>35.357732184496939</v>
      </c>
      <c r="AA117">
        <v>6.1869044407618201</v>
      </c>
      <c r="AB117">
        <v>40.863260370787295</v>
      </c>
      <c r="AC117">
        <v>6.3699786932363361E-2</v>
      </c>
      <c r="AD117">
        <v>9.9594934814374767</v>
      </c>
      <c r="AE117">
        <v>16.075837048979473</v>
      </c>
      <c r="AF117">
        <v>15.427401689209292</v>
      </c>
      <c r="AG117">
        <v>27.143395698247708</v>
      </c>
      <c r="AH117">
        <v>7.0978994720697282</v>
      </c>
      <c r="AI117">
        <v>1.8519723727946795</v>
      </c>
      <c r="AK117">
        <v>50.993710028184623</v>
      </c>
    </row>
    <row r="118" spans="1:37" x14ac:dyDescent="0.2">
      <c r="A118">
        <v>117</v>
      </c>
      <c r="B118">
        <v>798</v>
      </c>
      <c r="C118">
        <v>100</v>
      </c>
      <c r="D118">
        <v>0.51173085002101004</v>
      </c>
      <c r="E118">
        <v>102.36183570822564</v>
      </c>
      <c r="F118">
        <v>65.435256328869343</v>
      </c>
      <c r="G118">
        <v>73.445934248382017</v>
      </c>
      <c r="H118">
        <v>68.950278127128527</v>
      </c>
      <c r="J118">
        <v>63.286175120112098</v>
      </c>
      <c r="L118">
        <v>6.7666006399838556</v>
      </c>
      <c r="M118">
        <v>15.773556733506165</v>
      </c>
      <c r="N118">
        <v>1.8823586107205177</v>
      </c>
      <c r="O118">
        <v>35.216684654534035</v>
      </c>
      <c r="P118">
        <v>12.597054020472116</v>
      </c>
      <c r="R118">
        <v>20.389671776989687</v>
      </c>
      <c r="S118">
        <v>55.299509087256489</v>
      </c>
      <c r="U118">
        <v>4.6095569307411992</v>
      </c>
      <c r="V118">
        <v>47.697872126211855</v>
      </c>
      <c r="W118">
        <v>35.187939337888892</v>
      </c>
      <c r="X118">
        <v>43.008306002779015</v>
      </c>
      <c r="Y118">
        <v>8.4185403495207218</v>
      </c>
      <c r="Z118">
        <v>34.890688471258144</v>
      </c>
      <c r="AA118">
        <v>5.9481135415921234</v>
      </c>
      <c r="AB118">
        <v>40.761146482248847</v>
      </c>
      <c r="AC118">
        <v>2.810501899177166E-2</v>
      </c>
      <c r="AD118">
        <v>9.7070568653993696</v>
      </c>
      <c r="AE118">
        <v>15.875263843395743</v>
      </c>
      <c r="AF118">
        <v>15.42038417846641</v>
      </c>
      <c r="AG118">
        <v>26.976004113764269</v>
      </c>
      <c r="AH118">
        <v>6.7727778422899618</v>
      </c>
      <c r="AI118">
        <v>1.819877231339486</v>
      </c>
      <c r="AK118">
        <v>50.937790622963611</v>
      </c>
    </row>
    <row r="119" spans="1:37" x14ac:dyDescent="0.2">
      <c r="A119">
        <v>118</v>
      </c>
      <c r="B119">
        <v>796</v>
      </c>
      <c r="C119">
        <v>100</v>
      </c>
      <c r="D119">
        <v>0.51068652668007097</v>
      </c>
      <c r="E119">
        <v>102.12274845618897</v>
      </c>
      <c r="F119">
        <v>64.384466571652538</v>
      </c>
      <c r="G119">
        <v>73.258007430382349</v>
      </c>
      <c r="H119">
        <v>68.756397563813536</v>
      </c>
      <c r="J119">
        <v>63.088801481425961</v>
      </c>
      <c r="L119">
        <v>6.4742284059104893</v>
      </c>
      <c r="M119">
        <v>15.802692063139183</v>
      </c>
      <c r="N119">
        <v>1.8579944719869106</v>
      </c>
      <c r="O119">
        <v>33.909383922738073</v>
      </c>
      <c r="P119">
        <v>12.239090159419501</v>
      </c>
      <c r="R119">
        <v>19.970888177336779</v>
      </c>
      <c r="S119">
        <v>54.863498855780371</v>
      </c>
      <c r="U119">
        <v>4.591281375603069</v>
      </c>
      <c r="V119">
        <v>47.729959260305016</v>
      </c>
      <c r="W119">
        <v>34.917167639436187</v>
      </c>
      <c r="X119">
        <v>43.066336380152229</v>
      </c>
      <c r="Y119">
        <v>8.1061703326069718</v>
      </c>
      <c r="Z119">
        <v>34.295361978661646</v>
      </c>
      <c r="AA119">
        <v>5.6457252826332773</v>
      </c>
      <c r="AB119">
        <v>40.619027922386358</v>
      </c>
      <c r="AD119">
        <v>9.3743182474987528</v>
      </c>
      <c r="AE119">
        <v>15.628398824301081</v>
      </c>
      <c r="AF119">
        <v>15.418904403198521</v>
      </c>
      <c r="AG119">
        <v>26.775856831342683</v>
      </c>
      <c r="AH119">
        <v>6.3344145891989907</v>
      </c>
      <c r="AI119">
        <v>1.7950188936263018</v>
      </c>
      <c r="AK119">
        <v>50.827032661605678</v>
      </c>
    </row>
    <row r="120" spans="1:37" x14ac:dyDescent="0.2">
      <c r="A120">
        <v>119</v>
      </c>
      <c r="B120">
        <v>794</v>
      </c>
      <c r="C120">
        <v>100</v>
      </c>
      <c r="D120">
        <v>0.50963828890034402</v>
      </c>
      <c r="E120">
        <v>101.71172783131738</v>
      </c>
      <c r="F120">
        <v>62.369953145634355</v>
      </c>
      <c r="G120">
        <v>72.909056007532115</v>
      </c>
      <c r="H120">
        <v>68.401541379754605</v>
      </c>
      <c r="J120">
        <v>62.556510404230089</v>
      </c>
      <c r="L120">
        <v>5.9200018404875552</v>
      </c>
      <c r="M120">
        <v>15.826957827080868</v>
      </c>
      <c r="N120">
        <v>1.8619690641614202</v>
      </c>
      <c r="O120">
        <v>31.665829352563716</v>
      </c>
      <c r="P120">
        <v>11.587443283924914</v>
      </c>
      <c r="R120">
        <v>19.183488646707506</v>
      </c>
      <c r="S120">
        <v>53.902114244923403</v>
      </c>
      <c r="U120">
        <v>4.5567824658370499</v>
      </c>
      <c r="V120">
        <v>47.713717093605666</v>
      </c>
      <c r="W120">
        <v>34.457045315536718</v>
      </c>
      <c r="X120">
        <v>43.052868942959755</v>
      </c>
      <c r="Y120">
        <v>7.4927230035159464</v>
      </c>
      <c r="Z120">
        <v>33.165031167434037</v>
      </c>
      <c r="AA120">
        <v>5.0771231458052934</v>
      </c>
      <c r="AB120">
        <v>40.304906597148452</v>
      </c>
      <c r="AD120">
        <v>8.7085180706166874</v>
      </c>
      <c r="AE120">
        <v>15.188050283020594</v>
      </c>
      <c r="AF120">
        <v>15.440894291595331</v>
      </c>
      <c r="AG120">
        <v>26.432054709394933</v>
      </c>
      <c r="AH120">
        <v>5.4262503171566721</v>
      </c>
      <c r="AI120">
        <v>1.798496255912591</v>
      </c>
      <c r="AK120">
        <v>50.485690476212703</v>
      </c>
    </row>
    <row r="121" spans="1:37" x14ac:dyDescent="0.2">
      <c r="A121">
        <v>120</v>
      </c>
      <c r="B121">
        <v>792</v>
      </c>
      <c r="C121">
        <v>100</v>
      </c>
      <c r="D121">
        <v>0.50858611463174297</v>
      </c>
      <c r="E121">
        <v>101.29484071346667</v>
      </c>
      <c r="F121">
        <v>60.284929199958647</v>
      </c>
      <c r="G121">
        <v>72.546785446606194</v>
      </c>
      <c r="H121">
        <v>68.033415196334559</v>
      </c>
      <c r="J121">
        <v>61.968207260702435</v>
      </c>
      <c r="L121">
        <v>5.3380577549616648</v>
      </c>
      <c r="M121">
        <v>15.854669920223193</v>
      </c>
      <c r="N121">
        <v>1.8659412361078387</v>
      </c>
      <c r="O121">
        <v>29.334833873419299</v>
      </c>
      <c r="P121">
        <v>10.909183339675545</v>
      </c>
      <c r="R121">
        <v>18.348943036847523</v>
      </c>
      <c r="S121">
        <v>52.811899648548845</v>
      </c>
      <c r="U121">
        <v>4.5310601439220823</v>
      </c>
      <c r="V121">
        <v>47.66389296596995</v>
      </c>
      <c r="W121">
        <v>34.007226504867418</v>
      </c>
      <c r="X121">
        <v>43.065920041137112</v>
      </c>
      <c r="Y121">
        <v>6.8527439543554465</v>
      </c>
      <c r="Z121">
        <v>31.985693768254457</v>
      </c>
      <c r="AA121">
        <v>4.4827682598063259</v>
      </c>
      <c r="AB121">
        <v>39.926471062534084</v>
      </c>
      <c r="AD121">
        <v>8.0110516886598457</v>
      </c>
      <c r="AE121">
        <v>14.728863291558691</v>
      </c>
      <c r="AF121">
        <v>15.466328628466703</v>
      </c>
      <c r="AG121">
        <v>26.023945194722856</v>
      </c>
      <c r="AH121">
        <v>4.4762538137772676</v>
      </c>
      <c r="AI121">
        <v>1.8019681525252484</v>
      </c>
      <c r="AK121">
        <v>50.122016312904712</v>
      </c>
    </row>
    <row r="122" spans="1:37" x14ac:dyDescent="0.2">
      <c r="A122">
        <v>121</v>
      </c>
      <c r="B122">
        <v>790</v>
      </c>
      <c r="C122">
        <v>100</v>
      </c>
      <c r="D122">
        <v>0.507529981658283</v>
      </c>
      <c r="E122">
        <v>100.86740405680882</v>
      </c>
      <c r="F122">
        <v>58.090006965136119</v>
      </c>
      <c r="G122">
        <v>72.165329529148394</v>
      </c>
      <c r="H122">
        <v>67.646152950284403</v>
      </c>
      <c r="J122">
        <v>61.300750746931321</v>
      </c>
      <c r="L122">
        <v>4.7170747425844386</v>
      </c>
      <c r="M122">
        <v>15.885196630310626</v>
      </c>
      <c r="N122">
        <v>1.8699105890930949</v>
      </c>
      <c r="O122">
        <v>26.875293896792499</v>
      </c>
      <c r="P122">
        <v>10.192577655184245</v>
      </c>
      <c r="R122">
        <v>17.44949836158203</v>
      </c>
      <c r="S122">
        <v>51.552368603470704</v>
      </c>
      <c r="U122">
        <v>4.5149846783295882</v>
      </c>
      <c r="V122">
        <v>47.572554534418735</v>
      </c>
      <c r="W122">
        <v>33.568319314185047</v>
      </c>
      <c r="X122">
        <v>43.108003801735251</v>
      </c>
      <c r="Y122">
        <v>6.1743524913221757</v>
      </c>
      <c r="Z122">
        <v>30.729177514590532</v>
      </c>
      <c r="AA122">
        <v>3.8509916153515804</v>
      </c>
      <c r="AB122">
        <v>39.462701432536178</v>
      </c>
      <c r="AD122">
        <v>7.265711830336941</v>
      </c>
      <c r="AE122">
        <v>14.238415404074942</v>
      </c>
      <c r="AF122">
        <v>15.494575344066606</v>
      </c>
      <c r="AG122">
        <v>25.530508044784895</v>
      </c>
      <c r="AH122">
        <v>3.4662298155017619</v>
      </c>
      <c r="AI122">
        <v>1.8054341701823142</v>
      </c>
      <c r="AK122">
        <v>49.72344908650598</v>
      </c>
    </row>
    <row r="123" spans="1:37" x14ac:dyDescent="0.2">
      <c r="A123">
        <v>122</v>
      </c>
      <c r="B123">
        <v>788</v>
      </c>
      <c r="C123">
        <v>100</v>
      </c>
      <c r="D123">
        <v>0.50646986759647905</v>
      </c>
      <c r="E123">
        <v>100.4206662290936</v>
      </c>
      <c r="F123">
        <v>55.711461571166723</v>
      </c>
      <c r="G123">
        <v>71.753694883159241</v>
      </c>
      <c r="H123">
        <v>67.228761425378153</v>
      </c>
      <c r="J123">
        <v>60.511378225314743</v>
      </c>
      <c r="L123">
        <v>4.0352695373340248</v>
      </c>
      <c r="M123">
        <v>15.9171154115795</v>
      </c>
      <c r="N123">
        <v>1.8738764583113123</v>
      </c>
      <c r="O123">
        <v>24.210376267519667</v>
      </c>
      <c r="P123">
        <v>9.4156389866931995</v>
      </c>
      <c r="R123">
        <v>16.450958097469954</v>
      </c>
      <c r="S123">
        <v>50.049977466211871</v>
      </c>
      <c r="U123">
        <v>4.5100960342982521</v>
      </c>
      <c r="V123">
        <v>47.425293369142835</v>
      </c>
      <c r="W123">
        <v>33.141302122577429</v>
      </c>
      <c r="X123">
        <v>43.183504774390869</v>
      </c>
      <c r="Y123">
        <v>5.4353147486536431</v>
      </c>
      <c r="Z123">
        <v>29.342646811408397</v>
      </c>
      <c r="AA123">
        <v>3.1600203402623448</v>
      </c>
      <c r="AB123">
        <v>38.875515499583969</v>
      </c>
      <c r="AD123">
        <v>6.4419946311946132</v>
      </c>
      <c r="AE123">
        <v>13.693466238351656</v>
      </c>
      <c r="AF123">
        <v>15.524211269251303</v>
      </c>
      <c r="AG123">
        <v>24.913660429665597</v>
      </c>
      <c r="AH123">
        <v>2.3619712476975612</v>
      </c>
      <c r="AI123">
        <v>1.808893629515868</v>
      </c>
      <c r="AK123">
        <v>49.266428368294676</v>
      </c>
    </row>
    <row r="124" spans="1:37" x14ac:dyDescent="0.2">
      <c r="A124">
        <v>123</v>
      </c>
      <c r="B124">
        <v>786</v>
      </c>
      <c r="C124">
        <v>100</v>
      </c>
      <c r="D124">
        <v>0.50540574989378495</v>
      </c>
      <c r="E124">
        <v>99.936307966784483</v>
      </c>
      <c r="F124">
        <v>52.995166855462315</v>
      </c>
      <c r="G124">
        <v>71.289055599068206</v>
      </c>
      <c r="H124">
        <v>66.758414868403136</v>
      </c>
      <c r="J124">
        <v>59.511448175953959</v>
      </c>
      <c r="L124">
        <v>3.2475674867691087</v>
      </c>
      <c r="M124">
        <v>15.946601909361203</v>
      </c>
      <c r="N124">
        <v>1.8778376459199586</v>
      </c>
      <c r="O124">
        <v>21.180409351868896</v>
      </c>
      <c r="P124">
        <v>8.5327144831626374</v>
      </c>
      <c r="R124">
        <v>15.280767267911294</v>
      </c>
      <c r="S124">
        <v>48.154874415892493</v>
      </c>
      <c r="U124">
        <v>4.5190284169002792</v>
      </c>
      <c r="V124">
        <v>47.192858785838418</v>
      </c>
      <c r="W124">
        <v>32.728078501911178</v>
      </c>
      <c r="X124">
        <v>43.299744461744254</v>
      </c>
      <c r="Y124">
        <v>4.5894474536725456</v>
      </c>
      <c r="Z124">
        <v>27.714915952875057</v>
      </c>
      <c r="AA124">
        <v>2.364854905785978</v>
      </c>
      <c r="AB124">
        <v>38.087264070136541</v>
      </c>
      <c r="AD124">
        <v>5.4756408671982184</v>
      </c>
      <c r="AE124">
        <v>13.045008059458926</v>
      </c>
      <c r="AF124">
        <v>15.551410893125691</v>
      </c>
      <c r="AG124">
        <v>24.095752000705819</v>
      </c>
      <c r="AH124">
        <v>1.0920762964541706</v>
      </c>
      <c r="AI124">
        <v>1.8123453181089948</v>
      </c>
      <c r="AK124">
        <v>48.701407858482625</v>
      </c>
    </row>
    <row r="125" spans="1:37" x14ac:dyDescent="0.2">
      <c r="A125">
        <v>124</v>
      </c>
      <c r="B125">
        <v>784</v>
      </c>
      <c r="C125">
        <v>100</v>
      </c>
      <c r="D125">
        <v>0.50433760582698905</v>
      </c>
      <c r="E125">
        <v>99.895375499838877</v>
      </c>
      <c r="F125">
        <v>52.09028301236355</v>
      </c>
      <c r="G125">
        <v>71.205407493910684</v>
      </c>
      <c r="H125">
        <v>66.669109253344516</v>
      </c>
      <c r="J125">
        <v>56.034434321916017</v>
      </c>
      <c r="L125">
        <v>2.3406077931502112</v>
      </c>
      <c r="M125">
        <v>15.957070480098603</v>
      </c>
      <c r="N125">
        <v>1.8818158508390901</v>
      </c>
      <c r="O125">
        <v>16.615308571807994</v>
      </c>
      <c r="P125">
        <v>8.4118176444254757</v>
      </c>
      <c r="R125">
        <v>14.177377493836142</v>
      </c>
      <c r="S125">
        <v>44.782206058370413</v>
      </c>
      <c r="U125">
        <v>4.579662398699532</v>
      </c>
      <c r="V125">
        <v>46.698316111681237</v>
      </c>
      <c r="W125">
        <v>32.284676618346815</v>
      </c>
      <c r="X125">
        <v>43.56608315083043</v>
      </c>
      <c r="Y125">
        <v>3.8986886071526126</v>
      </c>
      <c r="Z125">
        <v>26.232217660739895</v>
      </c>
      <c r="AA125">
        <v>1.3444234773061325</v>
      </c>
      <c r="AB125">
        <v>36.67279869330541</v>
      </c>
      <c r="AD125">
        <v>4.6824126650152458</v>
      </c>
      <c r="AE125">
        <v>12.178077527565534</v>
      </c>
      <c r="AF125">
        <v>15.559610312857661</v>
      </c>
      <c r="AG125">
        <v>22.651656048925844</v>
      </c>
      <c r="AI125">
        <v>1.815810920296308</v>
      </c>
      <c r="AK125">
        <v>46.620758332855146</v>
      </c>
    </row>
    <row r="126" spans="1:37" x14ac:dyDescent="0.2">
      <c r="A126">
        <v>125</v>
      </c>
      <c r="B126">
        <v>782</v>
      </c>
      <c r="C126">
        <v>100</v>
      </c>
      <c r="D126">
        <v>0.50326541250059598</v>
      </c>
      <c r="E126">
        <v>100.37528141485087</v>
      </c>
      <c r="F126">
        <v>50.962148519486611</v>
      </c>
      <c r="G126">
        <v>71.446108337554776</v>
      </c>
      <c r="H126">
        <v>66.904202507613391</v>
      </c>
      <c r="J126">
        <v>44.240893963760804</v>
      </c>
      <c r="L126">
        <v>1.4146287113123581</v>
      </c>
      <c r="M126">
        <v>15.588630805662717</v>
      </c>
      <c r="N126">
        <v>1.8858307339992053</v>
      </c>
      <c r="O126">
        <v>11.593628228969822</v>
      </c>
      <c r="P126">
        <v>8.9396838389020861</v>
      </c>
      <c r="R126">
        <v>12.955322639572254</v>
      </c>
      <c r="S126">
        <v>40.630986975595548</v>
      </c>
      <c r="U126">
        <v>4.6493505138985123</v>
      </c>
      <c r="V126">
        <v>46.36657055543408</v>
      </c>
      <c r="W126">
        <v>31.644101617132769</v>
      </c>
      <c r="X126">
        <v>43.847447312033125</v>
      </c>
      <c r="Y126">
        <v>3.1165330809964864</v>
      </c>
      <c r="Z126">
        <v>21.252729549770308</v>
      </c>
      <c r="AB126">
        <v>32.969972882113019</v>
      </c>
      <c r="AD126">
        <v>2.2024679855006393</v>
      </c>
      <c r="AE126">
        <v>9.0730750888019163</v>
      </c>
      <c r="AF126">
        <v>15.188938913244046</v>
      </c>
      <c r="AG126">
        <v>18.919245791535612</v>
      </c>
      <c r="AI126">
        <v>1.8193100824108723</v>
      </c>
      <c r="AK126">
        <v>39.012360900500894</v>
      </c>
    </row>
    <row r="127" spans="1:37" x14ac:dyDescent="0.2">
      <c r="A127">
        <v>126</v>
      </c>
      <c r="B127">
        <v>780</v>
      </c>
      <c r="C127">
        <v>100</v>
      </c>
      <c r="D127">
        <v>0.50218914684517901</v>
      </c>
      <c r="E127">
        <v>100.80336659805724</v>
      </c>
      <c r="F127">
        <v>50.749411337222163</v>
      </c>
      <c r="G127">
        <v>71.592265829083559</v>
      </c>
      <c r="H127">
        <v>67.044802488434172</v>
      </c>
      <c r="J127">
        <v>36.128489875112244</v>
      </c>
      <c r="L127">
        <v>1.4468618702118983</v>
      </c>
      <c r="M127">
        <v>14.980078188103501</v>
      </c>
      <c r="N127">
        <v>1.8898469973416574</v>
      </c>
      <c r="O127">
        <v>11.228253797509939</v>
      </c>
      <c r="P127">
        <v>9.2784933353677026</v>
      </c>
      <c r="R127">
        <v>12.574070777812487</v>
      </c>
      <c r="S127">
        <v>40.425638982148854</v>
      </c>
      <c r="U127">
        <v>4.6432229096336064</v>
      </c>
      <c r="V127">
        <v>46.957739323566706</v>
      </c>
      <c r="W127">
        <v>30.825921117324256</v>
      </c>
      <c r="X127">
        <v>43.910694302277669</v>
      </c>
      <c r="Y127">
        <v>2.8016997831927508</v>
      </c>
      <c r="Z127">
        <v>18.266163059567823</v>
      </c>
      <c r="AB127">
        <v>31.430501534713731</v>
      </c>
      <c r="AD127">
        <v>0.65662656388190721</v>
      </c>
      <c r="AE127">
        <v>7.2707142015972712</v>
      </c>
      <c r="AF127">
        <v>14.57815674045983</v>
      </c>
      <c r="AG127">
        <v>17.350200872157956</v>
      </c>
      <c r="AI127">
        <v>1.822807491786596</v>
      </c>
      <c r="AK127">
        <v>33.571002509466489</v>
      </c>
    </row>
    <row r="128" spans="1:37" x14ac:dyDescent="0.2">
      <c r="A128">
        <v>127</v>
      </c>
      <c r="B128">
        <v>778</v>
      </c>
      <c r="C128">
        <v>100</v>
      </c>
      <c r="D128">
        <v>0.501108785615755</v>
      </c>
      <c r="E128">
        <v>101.08301696904192</v>
      </c>
      <c r="F128">
        <v>51.291076596396699</v>
      </c>
      <c r="G128">
        <v>71.594747824373599</v>
      </c>
      <c r="H128">
        <v>67.041777210423206</v>
      </c>
      <c r="J128">
        <v>31.237827862054075</v>
      </c>
      <c r="L128">
        <v>1.4680012214377749</v>
      </c>
      <c r="M128">
        <v>14.327856452588097</v>
      </c>
      <c r="N128">
        <v>1.8938544188501953</v>
      </c>
      <c r="O128">
        <v>11.041986720369502</v>
      </c>
      <c r="P128">
        <v>9.3299717931438533</v>
      </c>
      <c r="R128">
        <v>12.059296529475569</v>
      </c>
      <c r="S128">
        <v>40.716471179653674</v>
      </c>
      <c r="U128">
        <v>4.6107086932506158</v>
      </c>
      <c r="V128">
        <v>47.733521870647856</v>
      </c>
      <c r="W128">
        <v>29.98441336533304</v>
      </c>
      <c r="X128">
        <v>43.898892956469865</v>
      </c>
      <c r="Y128">
        <v>2.4100381453580404</v>
      </c>
      <c r="Z128">
        <v>17.75202446993767</v>
      </c>
      <c r="AB128">
        <v>31.60757877707162</v>
      </c>
      <c r="AE128">
        <v>6.9506448041227484</v>
      </c>
      <c r="AF128">
        <v>13.923697440031427</v>
      </c>
      <c r="AG128">
        <v>17.497705238538817</v>
      </c>
      <c r="AI128">
        <v>1.8262929117877909</v>
      </c>
      <c r="AK128">
        <v>30.199242849579207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885D9-A4A6-4CB5-868B-0D5333BA463D}">
  <sheetPr codeName="Sheet16"/>
  <dimension ref="A1:H20"/>
  <sheetViews>
    <sheetView workbookViewId="0"/>
  </sheetViews>
  <sheetFormatPr defaultRowHeight="15" x14ac:dyDescent="0.2"/>
  <cols>
    <col min="1" max="1" width="6.5546875" bestFit="1" customWidth="1"/>
    <col min="2" max="2" width="18.33203125" bestFit="1" customWidth="1"/>
    <col min="4" max="4" width="11.21875" bestFit="1" customWidth="1"/>
    <col min="5" max="5" width="4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950.00000000000011</v>
      </c>
      <c r="G1" t="s">
        <v>30</v>
      </c>
      <c r="H1" t="s">
        <v>32</v>
      </c>
    </row>
    <row r="2" spans="1:8" x14ac:dyDescent="0.2">
      <c r="A2" t="s">
        <v>2</v>
      </c>
      <c r="B2">
        <v>75.819999999999993</v>
      </c>
      <c r="D2" t="s">
        <v>22</v>
      </c>
      <c r="E2">
        <v>700</v>
      </c>
      <c r="G2" t="s">
        <v>31</v>
      </c>
      <c r="H2" t="s">
        <v>33</v>
      </c>
    </row>
    <row r="3" spans="1:8" x14ac:dyDescent="0.2">
      <c r="A3" t="s">
        <v>3</v>
      </c>
      <c r="B3">
        <v>8.2000000000000003E-2</v>
      </c>
      <c r="D3" t="s">
        <v>23</v>
      </c>
      <c r="E3">
        <v>2</v>
      </c>
    </row>
    <row r="4" spans="1:8" x14ac:dyDescent="0.2">
      <c r="A4" t="s">
        <v>4</v>
      </c>
      <c r="B4">
        <v>12.95</v>
      </c>
    </row>
    <row r="5" spans="1:8" x14ac:dyDescent="0.2">
      <c r="A5" t="s">
        <v>5</v>
      </c>
      <c r="D5" t="s">
        <v>24</v>
      </c>
      <c r="E5">
        <v>300</v>
      </c>
    </row>
    <row r="6" spans="1:8" x14ac:dyDescent="0.2">
      <c r="A6" t="s">
        <v>6</v>
      </c>
      <c r="D6" t="s">
        <v>25</v>
      </c>
      <c r="E6">
        <v>100</v>
      </c>
    </row>
    <row r="7" spans="1:8" x14ac:dyDescent="0.2">
      <c r="A7" t="s">
        <v>7</v>
      </c>
      <c r="B7">
        <v>0.66</v>
      </c>
      <c r="D7" t="s">
        <v>26</v>
      </c>
      <c r="E7">
        <v>25</v>
      </c>
    </row>
    <row r="8" spans="1:8" x14ac:dyDescent="0.2">
      <c r="A8" t="s">
        <v>8</v>
      </c>
      <c r="B8">
        <v>3.1E-2</v>
      </c>
    </row>
    <row r="9" spans="1:8" x14ac:dyDescent="0.2">
      <c r="A9" t="s">
        <v>9</v>
      </c>
      <c r="B9">
        <v>0.09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0.7</v>
      </c>
    </row>
    <row r="13" spans="1:8" x14ac:dyDescent="0.2">
      <c r="A13" t="s">
        <v>13</v>
      </c>
      <c r="B13">
        <v>4.37</v>
      </c>
    </row>
    <row r="14" spans="1:8" x14ac:dyDescent="0.2">
      <c r="A14" t="s">
        <v>14</v>
      </c>
      <c r="B14">
        <v>4.01</v>
      </c>
    </row>
    <row r="15" spans="1:8" x14ac:dyDescent="0.2">
      <c r="A15" t="s">
        <v>15</v>
      </c>
      <c r="B15">
        <v>8.9999999999999993E-3</v>
      </c>
    </row>
    <row r="16" spans="1:8" x14ac:dyDescent="0.2">
      <c r="A16" t="s">
        <v>16</v>
      </c>
      <c r="B16">
        <v>10.85843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Charts</vt:lpstr>
      </vt:variant>
      <vt:variant>
        <vt:i4>1</vt:i4>
      </vt:variant>
    </vt:vector>
  </HeadingPairs>
  <TitlesOfParts>
    <vt:vector size="17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leucite</vt:lpstr>
      <vt:lpstr>orthopyroxene</vt:lpstr>
      <vt:lpstr>feldspar1</vt:lpstr>
      <vt:lpstr>feldspar2</vt:lpstr>
      <vt:lpstr>feldspar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2025-06-09T21:17:30Z</dcterms:created>
  <dcterms:modified xsi:type="dcterms:W3CDTF">2025-06-09T21:18:32Z</dcterms:modified>
</cp:coreProperties>
</file>