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3D0F7FFE-970E-474B-BAED-51832CF7052A}" xr6:coauthVersionLast="47" xr6:coauthVersionMax="47" xr10:uidLastSave="{00000000-0000-0000-0000-000000000000}"/>
  <bookViews>
    <workbookView xWindow="28680" yWindow="4920" windowWidth="29040" windowHeight="15720" activeTab="1" xr2:uid="{B2A7FA92-5FF9-4426-8A35-7DCEC7998291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B1" i="18"/>
  <c r="C2" i="14"/>
  <c r="E3" i="14"/>
  <c r="G4" i="14"/>
  <c r="I5" i="14"/>
  <c r="C8" i="14"/>
  <c r="E9" i="14"/>
  <c r="G10" i="14"/>
  <c r="I11" i="14"/>
  <c r="H4" i="14"/>
  <c r="D8" i="14"/>
  <c r="H10" i="14"/>
  <c r="G3" i="14"/>
  <c r="K5" i="14"/>
  <c r="C7" i="14"/>
  <c r="G9" i="14"/>
  <c r="K11" i="14"/>
  <c r="J4" i="14"/>
  <c r="D7" i="14"/>
  <c r="J10" i="14"/>
  <c r="H8" i="14"/>
  <c r="I8" i="14"/>
  <c r="H7" i="14"/>
  <c r="C4" i="14"/>
  <c r="C10" i="14"/>
  <c r="L8" i="14"/>
  <c r="C3" i="14"/>
  <c r="E10" i="14"/>
  <c r="H11" i="14"/>
  <c r="D2" i="14"/>
  <c r="F3" i="14"/>
  <c r="J5" i="14"/>
  <c r="F9" i="14"/>
  <c r="J11" i="14"/>
  <c r="I4" i="14"/>
  <c r="E8" i="14"/>
  <c r="I10" i="14"/>
  <c r="H3" i="14"/>
  <c r="L5" i="14"/>
  <c r="H9" i="14"/>
  <c r="L11" i="14"/>
  <c r="L10" i="14"/>
  <c r="L9" i="14"/>
  <c r="I7" i="14"/>
  <c r="L2" i="14"/>
  <c r="D10" i="14"/>
  <c r="K7" i="14"/>
  <c r="H5" i="14"/>
  <c r="E2" i="14"/>
  <c r="F8" i="14"/>
  <c r="I2" i="14"/>
  <c r="C11" i="14"/>
  <c r="J8" i="14"/>
  <c r="F5" i="14"/>
  <c r="F11" i="14"/>
  <c r="C9" i="14"/>
  <c r="F2" i="14"/>
  <c r="D11" i="14"/>
  <c r="D4" i="14"/>
  <c r="L7" i="14"/>
  <c r="G2" i="14"/>
  <c r="I3" i="14"/>
  <c r="K4" i="14"/>
  <c r="E7" i="14"/>
  <c r="G8" i="14"/>
  <c r="I9" i="14"/>
  <c r="K10" i="14"/>
  <c r="L4" i="14"/>
  <c r="F7" i="14"/>
  <c r="J9" i="14"/>
  <c r="C5" i="14"/>
  <c r="K9" i="14"/>
  <c r="K2" i="14"/>
  <c r="E11" i="14"/>
  <c r="J7" i="14"/>
  <c r="G5" i="14"/>
  <c r="G11" i="14"/>
  <c r="D9" i="14"/>
  <c r="H2" i="14"/>
  <c r="G7" i="14"/>
  <c r="D5" i="14"/>
  <c r="E5" i="14"/>
  <c r="K8" i="14"/>
  <c r="E4" i="14"/>
  <c r="F10" i="14"/>
  <c r="J2" i="14"/>
  <c r="F4" i="14"/>
  <c r="D3" i="14"/>
  <c r="B11" i="14"/>
  <c r="B10" i="14"/>
  <c r="B9" i="14"/>
  <c r="B8" i="14"/>
  <c r="B7" i="14"/>
  <c r="B6" i="14"/>
  <c r="B5" i="14"/>
  <c r="B4" i="14"/>
  <c r="B3" i="14"/>
  <c r="B2" i="14"/>
  <c r="K4" i="18" l="1"/>
  <c r="G3" i="18"/>
  <c r="D2" i="18"/>
  <c r="J3" i="18"/>
  <c r="K2" i="18"/>
  <c r="J2" i="18"/>
  <c r="F3" i="18"/>
  <c r="I2" i="18"/>
  <c r="G4" i="18"/>
  <c r="E3" i="18"/>
  <c r="L3" i="18"/>
  <c r="C2" i="18"/>
  <c r="J4" i="18"/>
  <c r="F4" i="18"/>
  <c r="K3" i="18"/>
  <c r="I3" i="18"/>
  <c r="L2" i="18"/>
  <c r="H2" i="18"/>
  <c r="E4" i="18"/>
  <c r="F2" i="18"/>
  <c r="L4" i="18"/>
  <c r="H3" i="18"/>
  <c r="I4" i="18"/>
  <c r="H4" i="18"/>
  <c r="D3" i="18"/>
  <c r="G2" i="18"/>
  <c r="C3" i="18"/>
  <c r="D4" i="18"/>
  <c r="E2" i="18"/>
  <c r="C4" i="18"/>
  <c r="B4" i="18"/>
  <c r="B3" i="18"/>
  <c r="B2" i="18"/>
  <c r="C7" i="18" l="1"/>
  <c r="C6" i="18"/>
  <c r="E6" i="18"/>
  <c r="E7" i="18"/>
  <c r="L6" i="18"/>
  <c r="L7" i="18"/>
  <c r="K6" i="18"/>
  <c r="K7" i="18"/>
  <c r="F7" i="18"/>
  <c r="F6" i="18"/>
  <c r="H6" i="18"/>
  <c r="H7" i="18"/>
  <c r="D6" i="18"/>
  <c r="D7" i="18"/>
  <c r="I7" i="18"/>
  <c r="I6" i="18"/>
  <c r="J7" i="18"/>
  <c r="J6" i="18"/>
  <c r="G6" i="18"/>
  <c r="G7" i="18"/>
  <c r="B6" i="18"/>
  <c r="B7" i="18"/>
  <c r="N6" i="18" l="1"/>
  <c r="B13" i="18" s="1"/>
  <c r="N7" i="18"/>
  <c r="P7" i="18"/>
  <c r="O6" i="18"/>
  <c r="P6" i="18"/>
  <c r="R6" i="18" s="1" a="1"/>
  <c r="R7" i="18" a="1"/>
  <c r="O7" i="18" l="1"/>
  <c r="R7" i="18"/>
  <c r="S7" i="18"/>
  <c r="T7" i="18"/>
  <c r="T6" i="18"/>
  <c r="S6" i="18"/>
  <c r="R6" i="18"/>
  <c r="B9" i="18"/>
  <c r="E10" i="18" l="1"/>
  <c r="F10" i="18"/>
  <c r="K10" i="18"/>
  <c r="G10" i="18"/>
  <c r="H10" i="18"/>
  <c r="J10" i="18"/>
  <c r="L10" i="18"/>
  <c r="I10" i="18"/>
  <c r="C10" i="18"/>
  <c r="D10" i="18"/>
  <c r="C9" i="18"/>
  <c r="K9" i="18"/>
  <c r="D9" i="18"/>
  <c r="H9" i="18"/>
  <c r="I9" i="18"/>
  <c r="E9" i="18"/>
  <c r="L9" i="18"/>
  <c r="F9" i="18"/>
  <c r="G9" i="18"/>
  <c r="J9" i="18"/>
  <c r="B14" i="18"/>
  <c r="C14" i="18" s="1"/>
  <c r="C13" i="18"/>
  <c r="B10" i="18"/>
</calcChain>
</file>

<file path=xl/sharedStrings.xml><?xml version="1.0" encoding="utf-8"?>
<sst xmlns="http://schemas.openxmlformats.org/spreadsheetml/2006/main" count="754" uniqueCount="152">
  <si>
    <t xml:space="preserve"> </t>
  </si>
  <si>
    <t>060925-KCP109A-c3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</si>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</sst>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Phase_Data!$B$2:$L$2</c:f>
              <c:numCache>
                <c:formatCode>General</c:formatCode>
                <c:ptCount val="11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763</c:v>
                </c:pt>
                <c:pt idx="5">
                  <c:v>764</c:v>
                </c:pt>
                <c:pt idx="6">
                  <c:v>765</c:v>
                </c:pt>
                <c:pt idx="7">
                  <c:v>771</c:v>
                </c:pt>
                <c:pt idx="8">
                  <c:v>780</c:v>
                </c:pt>
                <c:pt idx="9">
                  <c:v>791</c:v>
                </c:pt>
                <c:pt idx="10">
                  <c:v>804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2-4377-BB2E-BA0FCB30165E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Phase_Data!$B$3:$L$3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740</c:v>
                </c:pt>
                <c:pt idx="3">
                  <c:v>743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2-4377-BB2E-BA0FCB30165E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Phase_Data!$B$4:$L$4</c:f>
              <c:numCache>
                <c:formatCode>General</c:formatCode>
                <c:ptCount val="11"/>
                <c:pt idx="0">
                  <c:v>734</c:v>
                </c:pt>
                <c:pt idx="1">
                  <c:v>738</c:v>
                </c:pt>
                <c:pt idx="2">
                  <c:v>741</c:v>
                </c:pt>
                <c:pt idx="3">
                  <c:v>744</c:v>
                </c:pt>
                <c:pt idx="4">
                  <c:v>748</c:v>
                </c:pt>
                <c:pt idx="5">
                  <c:v>752</c:v>
                </c:pt>
                <c:pt idx="6">
                  <c:v>756</c:v>
                </c:pt>
                <c:pt idx="7">
                  <c:v>761</c:v>
                </c:pt>
                <c:pt idx="8">
                  <c:v>767</c:v>
                </c:pt>
                <c:pt idx="9">
                  <c:v>775</c:v>
                </c:pt>
                <c:pt idx="10">
                  <c:v>784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62-4377-BB2E-BA0FCB30165E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Phase_Data!$B$5:$L$5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740</c:v>
                </c:pt>
                <c:pt idx="3">
                  <c:v>744</c:v>
                </c:pt>
                <c:pt idx="4">
                  <c:v>747</c:v>
                </c:pt>
                <c:pt idx="5">
                  <c:v>751</c:v>
                </c:pt>
                <c:pt idx="6">
                  <c:v>755</c:v>
                </c:pt>
                <c:pt idx="7">
                  <c:v>760</c:v>
                </c:pt>
                <c:pt idx="8">
                  <c:v>766</c:v>
                </c:pt>
                <c:pt idx="9">
                  <c:v>773</c:v>
                </c:pt>
                <c:pt idx="10">
                  <c:v>782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62-4377-BB2E-BA0FCB30165E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Phase_Data!$B$6:$L$6</c:f>
              <c:numCache>
                <c:formatCode>General</c:formatCode>
                <c:ptCount val="11"/>
                <c:pt idx="0">
                  <c:v>735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2-4377-BB2E-BA0FCB30165E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Phase_Data!$B$7:$L$7</c:f>
              <c:numCache>
                <c:formatCode>General</c:formatCode>
                <c:ptCount val="11"/>
                <c:pt idx="0">
                  <c:v>737</c:v>
                </c:pt>
                <c:pt idx="1">
                  <c:v>740</c:v>
                </c:pt>
                <c:pt idx="2">
                  <c:v>742</c:v>
                </c:pt>
                <c:pt idx="3">
                  <c:v>747</c:v>
                </c:pt>
                <c:pt idx="4">
                  <c:v>752</c:v>
                </c:pt>
                <c:pt idx="5">
                  <c:v>757</c:v>
                </c:pt>
                <c:pt idx="6">
                  <c:v>762</c:v>
                </c:pt>
                <c:pt idx="7">
                  <c:v>770</c:v>
                </c:pt>
                <c:pt idx="8">
                  <c:v>779</c:v>
                </c:pt>
                <c:pt idx="9">
                  <c:v>790</c:v>
                </c:pt>
                <c:pt idx="10">
                  <c:v>804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62-4377-BB2E-BA0FCB30165E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Phase_Data!$B$8:$L$8</c:f>
              <c:numCache>
                <c:formatCode>General</c:formatCode>
                <c:ptCount val="11"/>
                <c:pt idx="0">
                  <c:v>736</c:v>
                </c:pt>
                <c:pt idx="1">
                  <c:v>739</c:v>
                </c:pt>
                <c:pt idx="2">
                  <c:v>742</c:v>
                </c:pt>
                <c:pt idx="3">
                  <c:v>746</c:v>
                </c:pt>
                <c:pt idx="4">
                  <c:v>749</c:v>
                </c:pt>
                <c:pt idx="5">
                  <c:v>753</c:v>
                </c:pt>
                <c:pt idx="6">
                  <c:v>757</c:v>
                </c:pt>
                <c:pt idx="7">
                  <c:v>763</c:v>
                </c:pt>
                <c:pt idx="8">
                  <c:v>769</c:v>
                </c:pt>
                <c:pt idx="9">
                  <c:v>776</c:v>
                </c:pt>
                <c:pt idx="10">
                  <c:v>786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2-4377-BB2E-BA0FCB30165E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Phase_Data!$B$9:$L$9</c:f>
              <c:numCache>
                <c:formatCode>General</c:formatCode>
                <c:ptCount val="11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763</c:v>
                </c:pt>
                <c:pt idx="6">
                  <c:v>764</c:v>
                </c:pt>
                <c:pt idx="7">
                  <c:v>768</c:v>
                </c:pt>
                <c:pt idx="8">
                  <c:v>774</c:v>
                </c:pt>
                <c:pt idx="9">
                  <c:v>782</c:v>
                </c:pt>
                <c:pt idx="10">
                  <c:v>793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562-4377-BB2E-BA0FCB30165E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Phase_Data!$B$10:$L$10</c:f>
              <c:numCache>
                <c:formatCode>General</c:formatCode>
                <c:ptCount val="11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763</c:v>
                </c:pt>
                <c:pt idx="5">
                  <c:v>764</c:v>
                </c:pt>
                <c:pt idx="6">
                  <c:v>765</c:v>
                </c:pt>
                <c:pt idx="7">
                  <c:v>771</c:v>
                </c:pt>
                <c:pt idx="8">
                  <c:v>780</c:v>
                </c:pt>
                <c:pt idx="9">
                  <c:v>791</c:v>
                </c:pt>
                <c:pt idx="10">
                  <c:v>804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562-4377-BB2E-BA0FCB301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10879"/>
        <c:axId val="669119599"/>
      </c:scatterChart>
      <c:valAx>
        <c:axId val="670410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669119599"/>
        <c:crosses val="autoZero"/>
        <c:crossBetween val="midCat"/>
      </c:valAx>
      <c:valAx>
        <c:axId val="669119599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670410879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P_Calc!$B$2:$L$2</c:f>
              <c:numCache>
                <c:formatCode>General</c:formatCode>
                <c:ptCount val="11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763</c:v>
                </c:pt>
                <c:pt idx="6">
                  <c:v>764</c:v>
                </c:pt>
                <c:pt idx="7">
                  <c:v>768</c:v>
                </c:pt>
                <c:pt idx="8">
                  <c:v>774</c:v>
                </c:pt>
                <c:pt idx="9">
                  <c:v>782</c:v>
                </c:pt>
                <c:pt idx="10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EA-444D-8405-3006C4890C7D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P_Calc!$B$3:$L$3</c:f>
              <c:numCache>
                <c:formatCode>General</c:formatCode>
                <c:ptCount val="11"/>
                <c:pt idx="0">
                  <c:v>737</c:v>
                </c:pt>
                <c:pt idx="1">
                  <c:v>740</c:v>
                </c:pt>
                <c:pt idx="2">
                  <c:v>742</c:v>
                </c:pt>
                <c:pt idx="3">
                  <c:v>747</c:v>
                </c:pt>
                <c:pt idx="4">
                  <c:v>752</c:v>
                </c:pt>
                <c:pt idx="5">
                  <c:v>757</c:v>
                </c:pt>
                <c:pt idx="6">
                  <c:v>762</c:v>
                </c:pt>
                <c:pt idx="7">
                  <c:v>770</c:v>
                </c:pt>
                <c:pt idx="8">
                  <c:v>779</c:v>
                </c:pt>
                <c:pt idx="9">
                  <c:v>790</c:v>
                </c:pt>
                <c:pt idx="10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EA-444D-8405-3006C4890C7D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P_Calc!$B$4:$L$4</c:f>
              <c:numCache>
                <c:formatCode>General</c:formatCode>
                <c:ptCount val="11"/>
                <c:pt idx="0">
                  <c:v>736</c:v>
                </c:pt>
                <c:pt idx="1">
                  <c:v>739</c:v>
                </c:pt>
                <c:pt idx="2">
                  <c:v>742</c:v>
                </c:pt>
                <c:pt idx="3">
                  <c:v>746</c:v>
                </c:pt>
                <c:pt idx="4">
                  <c:v>749</c:v>
                </c:pt>
                <c:pt idx="5">
                  <c:v>753</c:v>
                </c:pt>
                <c:pt idx="6">
                  <c:v>757</c:v>
                </c:pt>
                <c:pt idx="7">
                  <c:v>763</c:v>
                </c:pt>
                <c:pt idx="8">
                  <c:v>769</c:v>
                </c:pt>
                <c:pt idx="9">
                  <c:v>776</c:v>
                </c:pt>
                <c:pt idx="10">
                  <c:v>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EA-444D-8405-3006C4890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46463"/>
        <c:axId val="472846943"/>
      </c:scatterChart>
      <c:valAx>
        <c:axId val="47284646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72846943"/>
        <c:crosses val="autoZero"/>
        <c:crossBetween val="midCat"/>
      </c:valAx>
      <c:valAx>
        <c:axId val="47284694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7284646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P_Calc!$B$2:$L$2</c:f>
              <c:numCache>
                <c:formatCode>General</c:formatCode>
                <c:ptCount val="11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763</c:v>
                </c:pt>
                <c:pt idx="6">
                  <c:v>764</c:v>
                </c:pt>
                <c:pt idx="7">
                  <c:v>768</c:v>
                </c:pt>
                <c:pt idx="8">
                  <c:v>774</c:v>
                </c:pt>
                <c:pt idx="9">
                  <c:v>782</c:v>
                </c:pt>
                <c:pt idx="10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87-4C38-AC12-F67B5419ACA1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P_Calc!$B$3:$L$3</c:f>
              <c:numCache>
                <c:formatCode>General</c:formatCode>
                <c:ptCount val="11"/>
                <c:pt idx="0">
                  <c:v>737</c:v>
                </c:pt>
                <c:pt idx="1">
                  <c:v>740</c:v>
                </c:pt>
                <c:pt idx="2">
                  <c:v>742</c:v>
                </c:pt>
                <c:pt idx="3">
                  <c:v>747</c:v>
                </c:pt>
                <c:pt idx="4">
                  <c:v>752</c:v>
                </c:pt>
                <c:pt idx="5">
                  <c:v>757</c:v>
                </c:pt>
                <c:pt idx="6">
                  <c:v>762</c:v>
                </c:pt>
                <c:pt idx="7">
                  <c:v>770</c:v>
                </c:pt>
                <c:pt idx="8">
                  <c:v>779</c:v>
                </c:pt>
                <c:pt idx="9">
                  <c:v>790</c:v>
                </c:pt>
                <c:pt idx="10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87-4C38-AC12-F67B5419A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46463"/>
        <c:axId val="472849823"/>
      </c:scatterChart>
      <c:valAx>
        <c:axId val="47284646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72849823"/>
        <c:crosses val="autoZero"/>
        <c:crossBetween val="midCat"/>
      </c:valAx>
      <c:valAx>
        <c:axId val="47284982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7284646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P_Calc!$B$6:$L$6</c:f>
              <c:numCache>
                <c:formatCode>General</c:formatCode>
                <c:ptCount val="11"/>
                <c:pt idx="0">
                  <c:v>26</c:v>
                </c:pt>
                <c:pt idx="1">
                  <c:v>23</c:v>
                </c:pt>
                <c:pt idx="2">
                  <c:v>20</c:v>
                </c:pt>
                <c:pt idx="3">
                  <c:v>16</c:v>
                </c:pt>
                <c:pt idx="4">
                  <c:v>13</c:v>
                </c:pt>
                <c:pt idx="5">
                  <c:v>10</c:v>
                </c:pt>
                <c:pt idx="6">
                  <c:v>7</c:v>
                </c:pt>
                <c:pt idx="7">
                  <c:v>7</c:v>
                </c:pt>
                <c:pt idx="8">
                  <c:v>10</c:v>
                </c:pt>
                <c:pt idx="9">
                  <c:v>14</c:v>
                </c:pt>
                <c:pt idx="1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65-4EE0-A452-73FBFC082A79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P_Calc!$B$9:$L$9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65-4EE0-A452-73FBFC082A79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65-4EE0-A452-73FBFC08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121519"/>
        <c:axId val="669121999"/>
      </c:scatterChart>
      <c:valAx>
        <c:axId val="66912151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69121999"/>
        <c:crosses val="autoZero"/>
        <c:crossBetween val="midCat"/>
      </c:valAx>
      <c:valAx>
        <c:axId val="66912199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6912151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P_Calc!$B$7:$L$7</c:f>
              <c:numCache>
                <c:formatCode>General</c:formatCode>
                <c:ptCount val="11"/>
                <c:pt idx="0">
                  <c:v>25</c:v>
                </c:pt>
                <c:pt idx="1">
                  <c:v>22</c:v>
                </c:pt>
                <c:pt idx="2">
                  <c:v>20</c:v>
                </c:pt>
                <c:pt idx="3">
                  <c:v>15</c:v>
                </c:pt>
                <c:pt idx="4">
                  <c:v>10</c:v>
                </c:pt>
                <c:pt idx="5">
                  <c:v>6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8</c:v>
                </c:pt>
                <c:pt idx="1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A6-496D-8975-DDA199B565AE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P_Calc!$B$10:$L$10</c:f>
              <c:numCache>
                <c:formatCode>General</c:formatCode>
                <c:ptCount val="11"/>
                <c:pt idx="0">
                  <c:v>57.114285714294169</c:v>
                </c:pt>
                <c:pt idx="1">
                  <c:v>41.571428571436968</c:v>
                </c:pt>
                <c:pt idx="2">
                  <c:v>28.600000000008208</c:v>
                </c:pt>
                <c:pt idx="3">
                  <c:v>18.200000000007947</c:v>
                </c:pt>
                <c:pt idx="4">
                  <c:v>10.371428571436184</c:v>
                </c:pt>
                <c:pt idx="5">
                  <c:v>5.1142857142929188</c:v>
                </c:pt>
                <c:pt idx="6">
                  <c:v>2.4285714285781239</c:v>
                </c:pt>
                <c:pt idx="7">
                  <c:v>2.3142857142918274</c:v>
                </c:pt>
                <c:pt idx="8">
                  <c:v>4.7714285714340292</c:v>
                </c:pt>
                <c:pt idx="9">
                  <c:v>9.8000000000047152</c:v>
                </c:pt>
                <c:pt idx="10">
                  <c:v>17.400000000003899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A6-496D-8975-DDA199B565AE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169.1111111111066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2.0474603174667152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A6-496D-8975-DDA199B56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460367"/>
        <c:axId val="672457007"/>
      </c:scatterChart>
      <c:valAx>
        <c:axId val="67246036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2457007"/>
        <c:crosses val="autoZero"/>
        <c:crossBetween val="midCat"/>
      </c:valAx>
      <c:valAx>
        <c:axId val="67245700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246036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9413D5D-074F-4690-9FA7-2F18F5F4A840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B2AE22-8ED9-2B25-D360-418FBFC1F84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75F281-0619-FED3-9256-383FA645C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904958-79F2-1BB2-4AA7-89F2FF9E70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822AD1-7B94-E5FC-657A-2618F9600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6B56F97-1D59-D482-4C24-BD329191C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2FC5-A49E-41A5-B513-FE17BABCB6FC}">
  <dimension ref="A1:T14"/>
  <sheetViews>
    <sheetView tabSelected="1" workbookViewId="0"/>
  </sheetViews>
  <sheetFormatPr defaultRowHeight="15" x14ac:dyDescent="0.2"/>
  <sheetData>
    <row r="1" spans="1:20" x14ac:dyDescent="0.2">
      <c r="A1" t="s">
        <v>137</v>
      </c>
      <c r="B1">
        <f>Phase_Data!B1</f>
        <v>300</v>
      </c>
      <c r="C1">
        <f>Phase_Data!C1</f>
        <v>280</v>
      </c>
      <c r="D1">
        <f>Phase_Data!D1</f>
        <v>260</v>
      </c>
      <c r="E1">
        <f>Phase_Data!E1</f>
        <v>240</v>
      </c>
      <c r="F1">
        <f>Phase_Data!F1</f>
        <v>220</v>
      </c>
      <c r="G1">
        <f>Phase_Data!G1</f>
        <v>200</v>
      </c>
      <c r="H1">
        <f>Phase_Data!H1</f>
        <v>180</v>
      </c>
      <c r="I1">
        <f>Phase_Data!I1</f>
        <v>160</v>
      </c>
      <c r="J1">
        <f>Phase_Data!J1</f>
        <v>140</v>
      </c>
      <c r="K1">
        <f>Phase_Data!K1</f>
        <v>120</v>
      </c>
      <c r="L1">
        <f>Phase_Data!L1</f>
        <v>100</v>
      </c>
      <c r="N1" t="s">
        <v>144</v>
      </c>
      <c r="O1" t="s">
        <v>145</v>
      </c>
      <c r="P1" t="s">
        <v>146</v>
      </c>
      <c r="R1" t="s">
        <v>147</v>
      </c>
      <c r="S1" t="s">
        <v>148</v>
      </c>
      <c r="T1" t="s">
        <v>149</v>
      </c>
    </row>
    <row r="2" spans="1:20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762</v>
      </c>
      <c r="F2">
        <f ca="1">IFERROR(VLOOKUP($A2,Phase_Data!$1:$1048576,COLUMN(),0),"-")</f>
        <v>762</v>
      </c>
      <c r="G2">
        <f ca="1">IFERROR(VLOOKUP($A2,Phase_Data!$1:$1048576,COLUMN(),0),"-")</f>
        <v>763</v>
      </c>
      <c r="H2">
        <f ca="1">IFERROR(VLOOKUP($A2,Phase_Data!$1:$1048576,COLUMN(),0),"-")</f>
        <v>764</v>
      </c>
      <c r="I2">
        <f ca="1">IFERROR(VLOOKUP($A2,Phase_Data!$1:$1048576,COLUMN(),0),"-")</f>
        <v>768</v>
      </c>
      <c r="J2">
        <f ca="1">IFERROR(VLOOKUP($A2,Phase_Data!$1:$1048576,COLUMN(),0),"-")</f>
        <v>774</v>
      </c>
      <c r="K2">
        <f ca="1">IFERROR(VLOOKUP($A2,Phase_Data!$1:$1048576,COLUMN(),0),"-")</f>
        <v>782</v>
      </c>
      <c r="L2">
        <f ca="1">IFERROR(VLOOKUP($A2,Phase_Data!$1:$1048576,COLUMN(),0),"-")</f>
        <v>793</v>
      </c>
    </row>
    <row r="3" spans="1:20" x14ac:dyDescent="0.2">
      <c r="A3" t="s">
        <v>135</v>
      </c>
      <c r="B3">
        <f ca="1">IFERROR(VLOOKUP($A3,Phase_Data!$1:$1048576,COLUMN(),0),"-")</f>
        <v>737</v>
      </c>
      <c r="C3">
        <f ca="1">IFERROR(VLOOKUP($A3,Phase_Data!$1:$1048576,COLUMN(),0),"-")</f>
        <v>740</v>
      </c>
      <c r="D3">
        <f ca="1">IFERROR(VLOOKUP($A3,Phase_Data!$1:$1048576,COLUMN(),0),"-")</f>
        <v>742</v>
      </c>
      <c r="E3">
        <f ca="1">IFERROR(VLOOKUP($A3,Phase_Data!$1:$1048576,COLUMN(),0),"-")</f>
        <v>747</v>
      </c>
      <c r="F3">
        <f ca="1">IFERROR(VLOOKUP($A3,Phase_Data!$1:$1048576,COLUMN(),0),"-")</f>
        <v>752</v>
      </c>
      <c r="G3">
        <f ca="1">IFERROR(VLOOKUP($A3,Phase_Data!$1:$1048576,COLUMN(),0),"-")</f>
        <v>757</v>
      </c>
      <c r="H3">
        <f ca="1">IFERROR(VLOOKUP($A3,Phase_Data!$1:$1048576,COLUMN(),0),"-")</f>
        <v>762</v>
      </c>
      <c r="I3">
        <f ca="1">IFERROR(VLOOKUP($A3,Phase_Data!$1:$1048576,COLUMN(),0),"-")</f>
        <v>770</v>
      </c>
      <c r="J3">
        <f ca="1">IFERROR(VLOOKUP($A3,Phase_Data!$1:$1048576,COLUMN(),0),"-")</f>
        <v>779</v>
      </c>
      <c r="K3">
        <f ca="1">IFERROR(VLOOKUP($A3,Phase_Data!$1:$1048576,COLUMN(),0),"-")</f>
        <v>790</v>
      </c>
      <c r="L3">
        <f ca="1">IFERROR(VLOOKUP($A3,Phase_Data!$1:$1048576,COLUMN(),0),"-")</f>
        <v>804</v>
      </c>
    </row>
    <row r="4" spans="1:20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739</v>
      </c>
      <c r="D4">
        <f ca="1">IFERROR(VLOOKUP($A4,Phase_Data!$1:$1048576,COLUMN(),0),"-")</f>
        <v>742</v>
      </c>
      <c r="E4">
        <f ca="1">IFERROR(VLOOKUP($A4,Phase_Data!$1:$1048576,COLUMN(),0),"-")</f>
        <v>746</v>
      </c>
      <c r="F4">
        <f ca="1">IFERROR(VLOOKUP($A4,Phase_Data!$1:$1048576,COLUMN(),0),"-")</f>
        <v>749</v>
      </c>
      <c r="G4">
        <f ca="1">IFERROR(VLOOKUP($A4,Phase_Data!$1:$1048576,COLUMN(),0),"-")</f>
        <v>753</v>
      </c>
      <c r="H4">
        <f ca="1">IFERROR(VLOOKUP($A4,Phase_Data!$1:$1048576,COLUMN(),0),"-")</f>
        <v>757</v>
      </c>
      <c r="I4">
        <f ca="1">IFERROR(VLOOKUP($A4,Phase_Data!$1:$1048576,COLUMN(),0),"-")</f>
        <v>763</v>
      </c>
      <c r="J4">
        <f ca="1">IFERROR(VLOOKUP($A4,Phase_Data!$1:$1048576,COLUMN(),0),"-")</f>
        <v>769</v>
      </c>
      <c r="K4">
        <f ca="1">IFERROR(VLOOKUP($A4,Phase_Data!$1:$1048576,COLUMN(),0),"-")</f>
        <v>776</v>
      </c>
      <c r="L4">
        <f ca="1">IFERROR(VLOOKUP($A4,Phase_Data!$1:$1048576,COLUMN(),0),"-")</f>
        <v>786</v>
      </c>
    </row>
    <row r="6" spans="1:20" x14ac:dyDescent="0.2">
      <c r="A6" t="s">
        <v>138</v>
      </c>
      <c r="B6">
        <f ca="1">IF(AND(B2&lt;&gt;0,B3&lt;&gt;0,B4&lt;&gt;0),MAX(B2:B4)-MIN(B2:B4),"-")</f>
        <v>26</v>
      </c>
      <c r="C6">
        <f t="shared" ref="C6:L6" ca="1" si="0">IF(AND(C2&lt;&gt;0,C3&lt;&gt;0,C4&lt;&gt;0),MAX(C2:C4)-MIN(C2:C4),"-")</f>
        <v>23</v>
      </c>
      <c r="D6">
        <f t="shared" ca="1" si="0"/>
        <v>20</v>
      </c>
      <c r="E6">
        <f t="shared" ca="1" si="0"/>
        <v>16</v>
      </c>
      <c r="F6">
        <f t="shared" ca="1" si="0"/>
        <v>13</v>
      </c>
      <c r="G6">
        <f t="shared" ca="1" si="0"/>
        <v>10</v>
      </c>
      <c r="H6">
        <f t="shared" ca="1" si="0"/>
        <v>7</v>
      </c>
      <c r="I6">
        <f t="shared" ca="1" si="0"/>
        <v>7</v>
      </c>
      <c r="J6">
        <f t="shared" ca="1" si="0"/>
        <v>10</v>
      </c>
      <c r="K6">
        <f t="shared" ca="1" si="0"/>
        <v>14</v>
      </c>
      <c r="L6">
        <f t="shared" ca="1" si="0"/>
        <v>18</v>
      </c>
      <c r="N6">
        <f ca="1">MIN(B6:L6)</f>
        <v>7</v>
      </c>
      <c r="O6" t="str">
        <f ca="1">IF(N6&lt;=5,INDEX(B$1:L$1,1,MATCH(N6,B6:L6,0)),"-")</f>
        <v>-</v>
      </c>
      <c r="P6" t="str">
        <f ca="1">IF(N6&lt;=5,MATCH(N6,B6:L6,0),"-")</f>
        <v>-</v>
      </c>
      <c r="R6" t="str">
        <f t="array" aca="1" ref="R6:T6" ca="1">IF(P6="-","-",TRANSPOSE(MMULT(MINVERSE(MMULT(TRANSPOSE(generate_matrix(TRANSPOSE(INDEX(B$1:L$1,1,MAX(P6-2,1)):INDEX(B$1:L$1,1,MIN(P6+2,COUNT(B$1:L$1)))))),generate_matrix(TRANSPOSE(INDEX(B$1:L$1,1,MAX(P6-2,1)):INDEX(B$1:L$1,1,MIN(P6+2,COUNT(B$1:L$1))))))),MMULT(TRANSPOSE(generate_matrix(TRANSPOSE(INDEX(B$1:L$1,1,MAX(P6-2,1)):INDEX(B$1:L$1,1,MIN(P6+2,COUNT(B$1:L$1)))))),TRANSPOSE(INDEX(B6:L6,1,MAX(P6-2,1)):INDEX(B6:L6,1,MIN(P6+2,COUNT(B$1:L$1))))))))</f>
        <v>-</v>
      </c>
      <c r="S6" t="str">
        <f ca="1"/>
        <v>-</v>
      </c>
      <c r="T6" t="str">
        <f ca="1"/>
        <v>-</v>
      </c>
    </row>
    <row r="7" spans="1:20" x14ac:dyDescent="0.2">
      <c r="A7" t="s">
        <v>139</v>
      </c>
      <c r="B7">
        <f ca="1">IF(AND(MAX(B2:B4)&lt;&gt;0,LARGE(B2:B4,2)&lt;&gt;0),MAX(B2:B4)-LARGE(B2:B4,2),"-")</f>
        <v>25</v>
      </c>
      <c r="C7">
        <f t="shared" ref="C7:L7" ca="1" si="1">IF(AND(MAX(C2:C4)&lt;&gt;0,LARGE(C2:C4,2)&lt;&gt;0),MAX(C2:C4)-LARGE(C2:C4,2),"-")</f>
        <v>22</v>
      </c>
      <c r="D7">
        <f t="shared" ca="1" si="1"/>
        <v>20</v>
      </c>
      <c r="E7">
        <f t="shared" ca="1" si="1"/>
        <v>15</v>
      </c>
      <c r="F7">
        <f t="shared" ca="1" si="1"/>
        <v>10</v>
      </c>
      <c r="G7">
        <f t="shared" ca="1" si="1"/>
        <v>6</v>
      </c>
      <c r="H7">
        <f t="shared" ca="1" si="1"/>
        <v>2</v>
      </c>
      <c r="I7">
        <f t="shared" ca="1" si="1"/>
        <v>2</v>
      </c>
      <c r="J7">
        <f t="shared" ca="1" si="1"/>
        <v>5</v>
      </c>
      <c r="K7">
        <f t="shared" ca="1" si="1"/>
        <v>8</v>
      </c>
      <c r="L7">
        <f t="shared" ca="1" si="1"/>
        <v>11</v>
      </c>
      <c r="N7">
        <f ca="1">MIN(B7:L7)</f>
        <v>2</v>
      </c>
      <c r="O7">
        <f ca="1">IF(N7&lt;=5,INDEX(B$1:L$1,1,MATCH(N7,B7:L7,0)),"-")</f>
        <v>180</v>
      </c>
      <c r="P7">
        <f ca="1">IF(N7&lt;=5,MATCH(N7,B7:L7,0),"-")</f>
        <v>7</v>
      </c>
      <c r="R7">
        <f t="array" aca="1" ref="R7:T7" ca="1">IF(P7="-","-",TRANSPOSE(MMULT(MINVERSE(MMULT(TRANSPOSE(generate_matrix(TRANSPOSE(INDEX(B$1:L$1,1,MAX(P7-2,1)):INDEX(B$1:L$1,1,MIN(P7+2,COUNT(B$1:L$1)))))),generate_matrix(TRANSPOSE(INDEX(B$1:L$1,1,MAX(P7-2,1)):INDEX(B$1:L$1,1,MIN(P7+2,COUNT(B$1:L$1))))))),MMULT(TRANSPOSE(generate_matrix(TRANSPOSE(INDEX(B$1:L$1,1,MAX(P7-2,1)):INDEX(B$1:L$1,1,MIN(P7+2,COUNT(B$1:L$1)))))),TRANSPOSE(INDEX(B7:L7,1,MAX(P7-2,1)):INDEX(B7:L7,1,MIN(P7+2,COUNT(B$1:L$1))))))))</f>
        <v>93.971428571427168</v>
      </c>
      <c r="S7">
        <f ca="1"/>
        <v>-1.0871428571427941</v>
      </c>
      <c r="T7">
        <f ca="1"/>
        <v>3.214285714285614E-3</v>
      </c>
    </row>
    <row r="9" spans="1:20" x14ac:dyDescent="0.2">
      <c r="A9" t="s">
        <v>140</v>
      </c>
      <c r="B9" t="str">
        <f ca="1">IFERROR(IF($T6&gt;0,$T6*B$1^2+$S6*B$1+$R6,"-"),"-")</f>
        <v>-</v>
      </c>
      <c r="C9" t="str">
        <f ca="1">IFERROR(IF($T6&gt;0,$T6*C$1^2+$S6*C$1+$R6,"-"),"-")</f>
        <v>-</v>
      </c>
      <c r="D9" t="str">
        <f ca="1">IFERROR(IF($T6&gt;0,$T6*D$1^2+$S6*D$1+$R6,"-"),"-")</f>
        <v>-</v>
      </c>
      <c r="E9" t="str">
        <f ca="1">IFERROR(IF($T6&gt;0,$T6*E$1^2+$S6*E$1+$R6,"-"),"-")</f>
        <v>-</v>
      </c>
      <c r="F9" t="str">
        <f ca="1">IFERROR(IF($T6&gt;0,$T6*F$1^2+$S6*F$1+$R6,"-"),"-")</f>
        <v>-</v>
      </c>
      <c r="G9" t="str">
        <f ca="1">IFERROR(IF($T6&gt;0,$T6*G$1^2+$S6*G$1+$R6,"-"),"-")</f>
        <v>-</v>
      </c>
      <c r="H9" t="str">
        <f ca="1">IFERROR(IF($T6&gt;0,$T6*H$1^2+$S6*H$1+$R6,"-"),"-")</f>
        <v>-</v>
      </c>
      <c r="I9" t="str">
        <f ca="1">IFERROR(IF($T6&gt;0,$T6*I$1^2+$S6*I$1+$R6,"-"),"-")</f>
        <v>-</v>
      </c>
      <c r="J9" t="str">
        <f ca="1">IFERROR(IF($T6&gt;0,$T6*J$1^2+$S6*J$1+$R6,"-"),"-")</f>
        <v>-</v>
      </c>
      <c r="K9" t="str">
        <f ca="1">IFERROR(IF($T6&gt;0,$T6*K$1^2+$S6*K$1+$R6,"-"),"-")</f>
        <v>-</v>
      </c>
      <c r="L9" t="str">
        <f ca="1">IFERROR(IF($T6&gt;0,$T6*L$1^2+$S6*L$1+$R6,"-"),"-")</f>
        <v>-</v>
      </c>
    </row>
    <row r="10" spans="1:20" x14ac:dyDescent="0.2">
      <c r="A10" t="s">
        <v>141</v>
      </c>
      <c r="B10">
        <f ca="1">IFERROR(IF($T7&gt;0,$T7*B$1^2+$S7*B$1+$R7,"-"),"-")</f>
        <v>57.114285714294169</v>
      </c>
      <c r="C10">
        <f ca="1">IFERROR(IF($T7&gt;0,$T7*C$1^2+$S7*C$1+$R7,"-"),"-")</f>
        <v>41.571428571436968</v>
      </c>
      <c r="D10">
        <f ca="1">IFERROR(IF($T7&gt;0,$T7*D$1^2+$S7*D$1+$R7,"-"),"-")</f>
        <v>28.600000000008208</v>
      </c>
      <c r="E10">
        <f ca="1">IFERROR(IF($T7&gt;0,$T7*E$1^2+$S7*E$1+$R7,"-"),"-")</f>
        <v>18.200000000007947</v>
      </c>
      <c r="F10">
        <f ca="1">IFERROR(IF($T7&gt;0,$T7*F$1^2+$S7*F$1+$R7,"-"),"-")</f>
        <v>10.371428571436184</v>
      </c>
      <c r="G10">
        <f ca="1">IFERROR(IF($T7&gt;0,$T7*G$1^2+$S7*G$1+$R7,"-"),"-")</f>
        <v>5.1142857142929188</v>
      </c>
      <c r="H10">
        <f ca="1">IFERROR(IF($T7&gt;0,$T7*H$1^2+$S7*H$1+$R7,"-"),"-")</f>
        <v>2.4285714285781239</v>
      </c>
      <c r="I10">
        <f ca="1">IFERROR(IF($T7&gt;0,$T7*I$1^2+$S7*I$1+$R7,"-"),"-")</f>
        <v>2.3142857142918274</v>
      </c>
      <c r="J10">
        <f ca="1">IFERROR(IF($T7&gt;0,$T7*J$1^2+$S7*J$1+$R7,"-"),"-")</f>
        <v>4.7714285714340292</v>
      </c>
      <c r="K10">
        <f ca="1">IFERROR(IF($T7&gt;0,$T7*K$1^2+$S7*K$1+$R7,"-"),"-")</f>
        <v>9.8000000000047152</v>
      </c>
      <c r="L10">
        <f ca="1">IFERROR(IF($T7&gt;0,$T7*L$1^2+$S7*L$1+$R7,"-"),"-")</f>
        <v>17.400000000003899</v>
      </c>
    </row>
    <row r="12" spans="1:20" x14ac:dyDescent="0.2">
      <c r="B12" t="s">
        <v>150</v>
      </c>
      <c r="C12" t="s">
        <v>151</v>
      </c>
    </row>
    <row r="13" spans="1:20" x14ac:dyDescent="0.2">
      <c r="A13" t="s">
        <v>142</v>
      </c>
      <c r="B13" s="2" t="str">
        <f ca="1">IFERROR(IF($N6&lt;=5,IF($T6&gt;0,-$S6/(2*$T6),"-"),"-"),"-")</f>
        <v>-</v>
      </c>
      <c r="C13" s="2" t="str">
        <f ca="1">IFERROR(IF($T6&gt;0,$T6*B13^2+$S6*B13+$R6,"-"),"-")</f>
        <v>-</v>
      </c>
    </row>
    <row r="14" spans="1:20" x14ac:dyDescent="0.2">
      <c r="A14" t="s">
        <v>143</v>
      </c>
      <c r="B14" s="2">
        <f ca="1">IFERROR(IF($N7&lt;=5,IF($T7&gt;0,-$S7/(2*$T7),"-"),"-"),"-")</f>
        <v>169.1111111111066</v>
      </c>
      <c r="C14" s="2">
        <f ca="1">IFERROR(IF($T7&gt;0,$T7*B14^2+$S7*B14+$R7,"-"),"-")</f>
        <v>2.0474603174667152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309A-CADD-4F44-89F4-3BA997F232CF}">
  <sheetPr codeName="Sheet2"/>
  <dimension ref="A1:L11"/>
  <sheetViews>
    <sheetView workbookViewId="0"/>
  </sheetViews>
  <sheetFormatPr defaultRowHeight="15" x14ac:dyDescent="0.2"/>
  <sheetData>
    <row r="1" spans="1:12" x14ac:dyDescent="0.2">
      <c r="A1">
        <v>300</v>
      </c>
      <c r="B1">
        <v>300</v>
      </c>
      <c r="C1">
        <v>280</v>
      </c>
      <c r="D1">
        <v>260</v>
      </c>
      <c r="E1">
        <v>240</v>
      </c>
      <c r="F1">
        <v>220</v>
      </c>
      <c r="G1">
        <v>200</v>
      </c>
      <c r="H1">
        <v>180</v>
      </c>
      <c r="I1">
        <v>160</v>
      </c>
      <c r="J1">
        <v>140</v>
      </c>
      <c r="K1">
        <v>120</v>
      </c>
      <c r="L1">
        <v>100</v>
      </c>
    </row>
    <row r="2" spans="1:12" x14ac:dyDescent="0.2">
      <c r="A2" t="s">
        <v>134</v>
      </c>
      <c r="B2">
        <f ca="1">_xlfn.IFNA(INDEX(INDIRECT("'"&amp;$A2&amp;"'!$B:$B"),MATCH(B$1,INDIRECT("'"&amp;$A2&amp;"'!$c:$c"),0)),"")</f>
        <v>763</v>
      </c>
      <c r="C2">
        <f t="shared" ref="C2:L11" ca="1" si="0">_xlfn.IFNA(INDEX(INDIRECT("'"&amp;$A2&amp;"'!$B:$B"),MATCH(C$1,INDIRECT("'"&amp;$A2&amp;"'!$c:$c"),0)),"")</f>
        <v>763</v>
      </c>
      <c r="D2">
        <f t="shared" ca="1" si="0"/>
        <v>763</v>
      </c>
      <c r="E2">
        <f t="shared" ca="1" si="0"/>
        <v>763</v>
      </c>
      <c r="F2">
        <f t="shared" ca="1" si="0"/>
        <v>763</v>
      </c>
      <c r="G2">
        <f t="shared" ca="1" si="0"/>
        <v>764</v>
      </c>
      <c r="H2">
        <f t="shared" ca="1" si="0"/>
        <v>765</v>
      </c>
      <c r="I2">
        <f t="shared" ca="1" si="0"/>
        <v>771</v>
      </c>
      <c r="J2">
        <f t="shared" ca="1" si="0"/>
        <v>780</v>
      </c>
      <c r="K2">
        <f t="shared" ca="1" si="0"/>
        <v>791</v>
      </c>
      <c r="L2">
        <f t="shared" ca="1" si="0"/>
        <v>804</v>
      </c>
    </row>
    <row r="3" spans="1:12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737</v>
      </c>
      <c r="D3">
        <f t="shared" ca="1" si="0"/>
        <v>740</v>
      </c>
      <c r="E3">
        <f t="shared" ca="1" si="0"/>
        <v>743</v>
      </c>
      <c r="F3">
        <f t="shared" ca="1" si="0"/>
        <v>746</v>
      </c>
      <c r="G3">
        <f t="shared" ca="1" si="0"/>
        <v>750</v>
      </c>
      <c r="H3">
        <f t="shared" ca="1" si="0"/>
        <v>754</v>
      </c>
      <c r="I3">
        <f t="shared" ca="1" si="0"/>
        <v>758</v>
      </c>
    </row>
    <row r="4" spans="1:12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738</v>
      </c>
      <c r="D4">
        <f t="shared" ca="1" si="0"/>
        <v>741</v>
      </c>
      <c r="E4">
        <f t="shared" ca="1" si="0"/>
        <v>744</v>
      </c>
      <c r="F4">
        <f t="shared" ca="1" si="0"/>
        <v>748</v>
      </c>
      <c r="G4">
        <f t="shared" ca="1" si="0"/>
        <v>752</v>
      </c>
      <c r="H4">
        <f t="shared" ca="1" si="0"/>
        <v>756</v>
      </c>
      <c r="I4">
        <f t="shared" ca="1" si="0"/>
        <v>761</v>
      </c>
      <c r="J4">
        <f t="shared" ca="1" si="0"/>
        <v>767</v>
      </c>
      <c r="K4">
        <f t="shared" ca="1" si="0"/>
        <v>775</v>
      </c>
      <c r="L4">
        <f t="shared" ca="1" si="0"/>
        <v>784</v>
      </c>
    </row>
    <row r="5" spans="1:12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737</v>
      </c>
      <c r="D5">
        <f t="shared" ca="1" si="0"/>
        <v>740</v>
      </c>
      <c r="E5">
        <f t="shared" ca="1" si="0"/>
        <v>744</v>
      </c>
      <c r="F5">
        <f t="shared" ca="1" si="0"/>
        <v>747</v>
      </c>
      <c r="G5">
        <f t="shared" ca="1" si="0"/>
        <v>751</v>
      </c>
      <c r="H5">
        <f t="shared" ca="1" si="0"/>
        <v>755</v>
      </c>
      <c r="I5">
        <f t="shared" ca="1" si="0"/>
        <v>760</v>
      </c>
      <c r="J5">
        <f t="shared" ca="1" si="0"/>
        <v>766</v>
      </c>
      <c r="K5">
        <f t="shared" ca="1" si="0"/>
        <v>773</v>
      </c>
      <c r="L5">
        <f t="shared" ca="1" si="0"/>
        <v>782</v>
      </c>
    </row>
    <row r="6" spans="1:12" x14ac:dyDescent="0.2">
      <c r="A6" t="s">
        <v>88</v>
      </c>
      <c r="B6">
        <f ca="1">_xlfn.IFNA(INDEX(INDIRECT("'"&amp;$A6&amp;"'!$B:$B"),MATCH(B$1,INDIRECT("'"&amp;$A6&amp;"'!$c:$c"),0)),"")</f>
        <v>735</v>
      </c>
    </row>
    <row r="7" spans="1:12" x14ac:dyDescent="0.2">
      <c r="A7" t="s">
        <v>135</v>
      </c>
      <c r="B7">
        <f ca="1">_xlfn.IFNA(INDEX(INDIRECT("'"&amp;$A7&amp;"'!$B:$B"),MATCH(B$1,INDIRECT("'"&amp;$A7&amp;"'!$c:$c"),0)),"")</f>
        <v>737</v>
      </c>
      <c r="C7">
        <f t="shared" ca="1" si="0"/>
        <v>740</v>
      </c>
      <c r="D7">
        <f t="shared" ca="1" si="0"/>
        <v>742</v>
      </c>
      <c r="E7">
        <f t="shared" ca="1" si="0"/>
        <v>747</v>
      </c>
      <c r="F7">
        <f t="shared" ca="1" si="0"/>
        <v>752</v>
      </c>
      <c r="G7">
        <f t="shared" ca="1" si="0"/>
        <v>757</v>
      </c>
      <c r="H7">
        <f t="shared" ca="1" si="0"/>
        <v>762</v>
      </c>
      <c r="I7">
        <f t="shared" ca="1" si="0"/>
        <v>770</v>
      </c>
      <c r="J7">
        <f t="shared" ca="1" si="0"/>
        <v>779</v>
      </c>
      <c r="K7">
        <f t="shared" ca="1" si="0"/>
        <v>790</v>
      </c>
      <c r="L7">
        <f t="shared" ca="1" si="0"/>
        <v>804</v>
      </c>
    </row>
    <row r="8" spans="1:12" x14ac:dyDescent="0.2">
      <c r="A8" t="s">
        <v>136</v>
      </c>
      <c r="B8">
        <f ca="1">_xlfn.IFNA(INDEX(INDIRECT("'"&amp;$A8&amp;"'!$B:$B"),MATCH(B$1,INDIRECT("'"&amp;$A8&amp;"'!$c:$c"),0)),"")</f>
        <v>736</v>
      </c>
      <c r="C8">
        <f t="shared" ca="1" si="0"/>
        <v>739</v>
      </c>
      <c r="D8">
        <f t="shared" ca="1" si="0"/>
        <v>742</v>
      </c>
      <c r="E8">
        <f t="shared" ca="1" si="0"/>
        <v>746</v>
      </c>
      <c r="F8">
        <f t="shared" ca="1" si="0"/>
        <v>749</v>
      </c>
      <c r="G8">
        <f t="shared" ca="1" si="0"/>
        <v>753</v>
      </c>
      <c r="H8">
        <f t="shared" ca="1" si="0"/>
        <v>757</v>
      </c>
      <c r="I8">
        <f t="shared" ca="1" si="0"/>
        <v>763</v>
      </c>
      <c r="J8">
        <f t="shared" ca="1" si="0"/>
        <v>769</v>
      </c>
      <c r="K8">
        <f t="shared" ca="1" si="0"/>
        <v>776</v>
      </c>
      <c r="L8">
        <f t="shared" ca="1" si="0"/>
        <v>786</v>
      </c>
    </row>
    <row r="9" spans="1:12" x14ac:dyDescent="0.2">
      <c r="A9" t="s">
        <v>96</v>
      </c>
      <c r="B9">
        <f ca="1">_xlfn.IFNA(INDEX(INDIRECT("'"&amp;$A9&amp;"'!$B:$B"),MATCH(B$1,INDIRECT("'"&amp;$A9&amp;"'!$c:$c"),0)),"")</f>
        <v>762</v>
      </c>
      <c r="C9">
        <f t="shared" ca="1" si="0"/>
        <v>762</v>
      </c>
      <c r="D9">
        <f t="shared" ca="1" si="0"/>
        <v>762</v>
      </c>
      <c r="E9">
        <f t="shared" ca="1" si="0"/>
        <v>762</v>
      </c>
      <c r="F9">
        <f t="shared" ca="1" si="0"/>
        <v>762</v>
      </c>
      <c r="G9">
        <f t="shared" ca="1" si="0"/>
        <v>763</v>
      </c>
      <c r="H9">
        <f t="shared" ca="1" si="0"/>
        <v>764</v>
      </c>
      <c r="I9">
        <f t="shared" ca="1" si="0"/>
        <v>768</v>
      </c>
      <c r="J9">
        <f t="shared" ca="1" si="0"/>
        <v>774</v>
      </c>
      <c r="K9">
        <f t="shared" ca="1" si="0"/>
        <v>782</v>
      </c>
      <c r="L9">
        <f t="shared" ca="1" si="0"/>
        <v>793</v>
      </c>
    </row>
    <row r="10" spans="1:12" x14ac:dyDescent="0.2">
      <c r="A10" t="s">
        <v>71</v>
      </c>
      <c r="B10">
        <f ca="1">_xlfn.IFNA(INDEX(INDIRECT("'"&amp;$A10&amp;"'!$B:$B"),MATCH(B$1,INDIRECT("'"&amp;$A10&amp;"'!$c:$c"),0)),"")</f>
        <v>763</v>
      </c>
      <c r="C10">
        <f t="shared" ca="1" si="0"/>
        <v>763</v>
      </c>
      <c r="D10">
        <f t="shared" ca="1" si="0"/>
        <v>763</v>
      </c>
      <c r="E10">
        <f t="shared" ca="1" si="0"/>
        <v>763</v>
      </c>
      <c r="F10">
        <f t="shared" ca="1" si="0"/>
        <v>763</v>
      </c>
      <c r="G10">
        <f t="shared" ca="1" si="0"/>
        <v>764</v>
      </c>
      <c r="H10">
        <f t="shared" ca="1" si="0"/>
        <v>765</v>
      </c>
      <c r="I10">
        <f t="shared" ca="1" si="0"/>
        <v>771</v>
      </c>
      <c r="J10">
        <f t="shared" ca="1" si="0"/>
        <v>780</v>
      </c>
      <c r="K10">
        <f t="shared" ca="1" si="0"/>
        <v>791</v>
      </c>
      <c r="L10">
        <f t="shared" ca="1" si="0"/>
        <v>804</v>
      </c>
    </row>
    <row r="11" spans="1:12" x14ac:dyDescent="0.2">
      <c r="A11" t="s">
        <v>84</v>
      </c>
      <c r="B11">
        <f ca="1">_xlfn.IFNA(INDEX(INDIRECT("'"&amp;$A11&amp;"'!$B:$B"),MATCH(B$1,INDIRECT("'"&amp;$A11&amp;"'!$c:$c"),0)),"")</f>
        <v>737</v>
      </c>
      <c r="C11">
        <f t="shared" ca="1" si="0"/>
        <v>740</v>
      </c>
      <c r="D11">
        <f t="shared" ca="1" si="0"/>
        <v>742</v>
      </c>
      <c r="E11">
        <f t="shared" ca="1" si="0"/>
        <v>747</v>
      </c>
      <c r="F11">
        <f t="shared" ca="1" si="0"/>
        <v>752</v>
      </c>
      <c r="G11">
        <f t="shared" ca="1" si="0"/>
        <v>757</v>
      </c>
      <c r="H11">
        <f t="shared" ca="1" si="0"/>
        <v>762</v>
      </c>
      <c r="I11">
        <f t="shared" ca="1" si="0"/>
        <v>770</v>
      </c>
      <c r="J11">
        <f t="shared" ca="1" si="0"/>
        <v>779</v>
      </c>
      <c r="K11">
        <f t="shared" ca="1" si="0"/>
        <v>790</v>
      </c>
      <c r="L11">
        <f t="shared" ca="1" si="0"/>
        <v>804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78D8C-80F0-4DBB-8CD0-E6E51E6EAFDE}">
  <sheetPr codeName="Sheet3"/>
  <dimension ref="A1:Q232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763</v>
      </c>
      <c r="C2">
        <v>300</v>
      </c>
      <c r="D2">
        <v>0.280548665733729</v>
      </c>
      <c r="E2">
        <v>109.75124135330999</v>
      </c>
      <c r="F2">
        <v>2.0013070641492101</v>
      </c>
      <c r="G2">
        <v>-1817.989285180354</v>
      </c>
      <c r="H2">
        <v>-1492.5958029634387</v>
      </c>
      <c r="I2">
        <v>314.04292718910602</v>
      </c>
      <c r="J2">
        <v>158.032535818648</v>
      </c>
      <c r="K2">
        <v>54.839781120728503</v>
      </c>
      <c r="L2">
        <v>0.88405763425836048</v>
      </c>
      <c r="M2">
        <v>-0.88390859561385338</v>
      </c>
      <c r="N2">
        <v>48.474438138525798</v>
      </c>
      <c r="O2">
        <v>48.474434431595299</v>
      </c>
      <c r="P2">
        <v>48.474430537661497</v>
      </c>
      <c r="Q2" t="s">
        <v>51</v>
      </c>
    </row>
    <row r="3" spans="1:17" x14ac:dyDescent="0.2">
      <c r="A3">
        <v>2</v>
      </c>
      <c r="B3">
        <v>762</v>
      </c>
      <c r="C3">
        <v>300</v>
      </c>
      <c r="D3">
        <v>0.27978602134956498</v>
      </c>
      <c r="E3">
        <v>109.751272066917</v>
      </c>
      <c r="F3">
        <v>2.0018469957446001</v>
      </c>
      <c r="G3">
        <v>-1817.6758158587572</v>
      </c>
      <c r="H3">
        <v>-1492.7688877513026</v>
      </c>
      <c r="I3">
        <v>313.87627674039601</v>
      </c>
      <c r="J3">
        <v>158.02896544873099</v>
      </c>
      <c r="K3">
        <v>54.825005257754299</v>
      </c>
      <c r="L3">
        <v>0.88338093111662863</v>
      </c>
      <c r="M3">
        <v>-0.88323177946053266</v>
      </c>
      <c r="N3">
        <v>48.424269668107101</v>
      </c>
      <c r="O3">
        <v>48.4242659229065</v>
      </c>
      <c r="P3">
        <v>48.424262027942099</v>
      </c>
      <c r="Q3" t="s">
        <v>51</v>
      </c>
    </row>
    <row r="4" spans="1:17" x14ac:dyDescent="0.2">
      <c r="A4">
        <v>3</v>
      </c>
      <c r="B4">
        <v>761</v>
      </c>
      <c r="C4">
        <v>300</v>
      </c>
      <c r="D4">
        <v>0.27902190204515798</v>
      </c>
      <c r="E4">
        <v>109.75130690367401</v>
      </c>
      <c r="F4">
        <v>2.0023936791694599</v>
      </c>
      <c r="G4">
        <v>-1817.3625959493233</v>
      </c>
      <c r="H4">
        <v>-1492.9653126367343</v>
      </c>
      <c r="I4">
        <v>313.68697997823602</v>
      </c>
      <c r="J4">
        <v>158.03260905142201</v>
      </c>
      <c r="K4">
        <v>54.810054608840197</v>
      </c>
      <c r="L4">
        <v>0.88148905666763033</v>
      </c>
      <c r="M4">
        <v>-0.88133948584270461</v>
      </c>
      <c r="N4">
        <v>48.3073488253223</v>
      </c>
      <c r="O4">
        <v>48.307345033989499</v>
      </c>
      <c r="P4">
        <v>48.307341130068203</v>
      </c>
      <c r="Q4" t="s">
        <v>51</v>
      </c>
    </row>
    <row r="5" spans="1:17" x14ac:dyDescent="0.2">
      <c r="A5">
        <v>4</v>
      </c>
      <c r="B5">
        <v>760</v>
      </c>
      <c r="C5">
        <v>300</v>
      </c>
      <c r="D5">
        <v>0.27825630353772701</v>
      </c>
      <c r="E5">
        <v>109.751341875309</v>
      </c>
      <c r="F5">
        <v>2.0029418582607201</v>
      </c>
      <c r="G5">
        <v>-1817.0495674627675</v>
      </c>
      <c r="H5">
        <v>-1493.1615537150606</v>
      </c>
      <c r="I5">
        <v>313.49767991229203</v>
      </c>
      <c r="J5">
        <v>158.03618119671299</v>
      </c>
      <c r="K5">
        <v>54.795071271121699</v>
      </c>
      <c r="L5">
        <v>0.87960759983188863</v>
      </c>
      <c r="M5">
        <v>-0.87945761455182103</v>
      </c>
      <c r="N5">
        <v>48.191026863136301</v>
      </c>
      <c r="O5">
        <v>48.1910230255044</v>
      </c>
      <c r="P5">
        <v>48.191019112780303</v>
      </c>
      <c r="Q5" t="s">
        <v>51</v>
      </c>
    </row>
    <row r="6" spans="1:17" x14ac:dyDescent="0.2">
      <c r="A6">
        <v>5</v>
      </c>
      <c r="B6">
        <v>759</v>
      </c>
      <c r="C6">
        <v>300</v>
      </c>
      <c r="D6">
        <v>0.27748922152788302</v>
      </c>
      <c r="E6">
        <v>109.751376982499</v>
      </c>
      <c r="F6">
        <v>2.00349152225645</v>
      </c>
      <c r="G6">
        <v>-1816.7367304138247</v>
      </c>
      <c r="H6">
        <v>-1493.3576125611828</v>
      </c>
      <c r="I6">
        <v>313.30837502172398</v>
      </c>
      <c r="J6">
        <v>158.03968173899301</v>
      </c>
      <c r="K6">
        <v>54.780055599581999</v>
      </c>
      <c r="L6">
        <v>0.8777364676444096</v>
      </c>
      <c r="M6">
        <v>-0.87758607259778654</v>
      </c>
      <c r="N6">
        <v>48.0752987155889</v>
      </c>
      <c r="O6">
        <v>48.075294831493601</v>
      </c>
      <c r="P6">
        <v>48.075290910120003</v>
      </c>
      <c r="Q6" t="s">
        <v>51</v>
      </c>
    </row>
    <row r="7" spans="1:17" x14ac:dyDescent="0.2">
      <c r="A7">
        <v>6</v>
      </c>
      <c r="B7">
        <v>758</v>
      </c>
      <c r="C7">
        <v>300</v>
      </c>
      <c r="D7">
        <v>0.27672065169955901</v>
      </c>
      <c r="E7">
        <v>109.751412225804</v>
      </c>
      <c r="F7">
        <v>2.00404266052149</v>
      </c>
      <c r="G7">
        <v>-1816.4240848168104</v>
      </c>
      <c r="H7">
        <v>-1493.5534907302783</v>
      </c>
      <c r="I7">
        <v>313.119063798512</v>
      </c>
      <c r="J7">
        <v>158.04311052665301</v>
      </c>
      <c r="K7">
        <v>54.765007945112501</v>
      </c>
      <c r="L7">
        <v>0.87587556822336299</v>
      </c>
      <c r="M7">
        <v>-0.8757247680739989</v>
      </c>
      <c r="N7">
        <v>47.960159373380101</v>
      </c>
      <c r="O7">
        <v>47.960155442659797</v>
      </c>
      <c r="P7">
        <v>47.960151512789501</v>
      </c>
      <c r="Q7" t="s">
        <v>51</v>
      </c>
    </row>
    <row r="8" spans="1:17" x14ac:dyDescent="0.2">
      <c r="A8">
        <v>7</v>
      </c>
      <c r="B8">
        <v>757</v>
      </c>
      <c r="C8">
        <v>300</v>
      </c>
      <c r="D8">
        <v>0.27595058971994302</v>
      </c>
      <c r="E8">
        <v>109.751447605888</v>
      </c>
      <c r="F8">
        <v>2.0045952625485102</v>
      </c>
      <c r="G8">
        <v>-1816.1116306892784</v>
      </c>
      <c r="H8">
        <v>-1493.7491897615214</v>
      </c>
      <c r="I8">
        <v>312.92974474745301</v>
      </c>
      <c r="J8">
        <v>158.046467402384</v>
      </c>
      <c r="K8">
        <v>54.749928654603998</v>
      </c>
      <c r="L8">
        <v>0.8740248107411035</v>
      </c>
      <c r="M8">
        <v>-0.87387361012836329</v>
      </c>
      <c r="N8">
        <v>47.845603882385703</v>
      </c>
      <c r="O8">
        <v>47.845599904881297</v>
      </c>
      <c r="P8">
        <v>47.845595966666401</v>
      </c>
      <c r="Q8" t="s">
        <v>51</v>
      </c>
    </row>
    <row r="9" spans="1:17" x14ac:dyDescent="0.2">
      <c r="A9">
        <v>8</v>
      </c>
      <c r="B9">
        <v>756</v>
      </c>
      <c r="C9">
        <v>300</v>
      </c>
      <c r="D9">
        <v>0.27517903123937498</v>
      </c>
      <c r="E9">
        <v>109.751483123444</v>
      </c>
      <c r="F9">
        <v>2.0051493179592002</v>
      </c>
      <c r="G9">
        <v>-1815.7993680507116</v>
      </c>
      <c r="H9">
        <v>-1493.9447111769791</v>
      </c>
      <c r="I9">
        <v>312.74041638602603</v>
      </c>
      <c r="J9">
        <v>158.04975220291499</v>
      </c>
      <c r="K9">
        <v>54.734818070878902</v>
      </c>
      <c r="L9">
        <v>0.8721841054237125</v>
      </c>
      <c r="M9">
        <v>-0.87203250896283768</v>
      </c>
      <c r="N9">
        <v>47.731627343595299</v>
      </c>
      <c r="O9">
        <v>47.731623319150302</v>
      </c>
      <c r="P9">
        <v>47.731619372742301</v>
      </c>
      <c r="Q9" t="s">
        <v>51</v>
      </c>
    </row>
    <row r="10" spans="1:17" x14ac:dyDescent="0.2">
      <c r="A10">
        <v>9</v>
      </c>
      <c r="B10">
        <v>755</v>
      </c>
      <c r="C10">
        <v>300</v>
      </c>
      <c r="D10">
        <v>0.27440597189125798</v>
      </c>
      <c r="E10">
        <v>109.751518779118</v>
      </c>
      <c r="F10">
        <v>2.0057048164976501</v>
      </c>
      <c r="G10">
        <v>-1815.4872969213188</v>
      </c>
      <c r="H10">
        <v>-1494.1400564806709</v>
      </c>
      <c r="I10">
        <v>312.55107724419798</v>
      </c>
      <c r="J10">
        <v>158.052964759167</v>
      </c>
      <c r="K10">
        <v>54.719676532843899</v>
      </c>
      <c r="L10">
        <v>0.87035336353831572</v>
      </c>
      <c r="M10">
        <v>-0.87020137582073764</v>
      </c>
      <c r="N10">
        <v>47.618224912571698</v>
      </c>
      <c r="O10">
        <v>47.618220841032198</v>
      </c>
      <c r="P10">
        <v>47.618216886581997</v>
      </c>
      <c r="Q10" t="s">
        <v>51</v>
      </c>
    </row>
    <row r="11" spans="1:17" x14ac:dyDescent="0.2">
      <c r="A11">
        <v>10</v>
      </c>
      <c r="B11">
        <v>754</v>
      </c>
      <c r="C11">
        <v>300</v>
      </c>
      <c r="D11">
        <v>0.27363140729202201</v>
      </c>
      <c r="E11">
        <v>109.75155457354001</v>
      </c>
      <c r="F11">
        <v>2.0062617480347198</v>
      </c>
      <c r="G11">
        <v>-1815.1754173224829</v>
      </c>
      <c r="H11">
        <v>-1494.3352271596141</v>
      </c>
      <c r="I11">
        <v>312.36172586390001</v>
      </c>
      <c r="J11">
        <v>158.056104896172</v>
      </c>
      <c r="K11">
        <v>54.704504375388701</v>
      </c>
      <c r="L11">
        <v>0.86853249736240734</v>
      </c>
      <c r="M11">
        <v>-0.86838012295606171</v>
      </c>
      <c r="N11">
        <v>47.505391797703702</v>
      </c>
      <c r="O11">
        <v>47.505387678918602</v>
      </c>
      <c r="P11">
        <v>47.505383716576603</v>
      </c>
      <c r="Q11" t="s">
        <v>51</v>
      </c>
    </row>
    <row r="12" spans="1:17" x14ac:dyDescent="0.2">
      <c r="A12">
        <v>11</v>
      </c>
      <c r="B12">
        <v>753</v>
      </c>
      <c r="C12">
        <v>300</v>
      </c>
      <c r="D12">
        <v>0.27285533304097898</v>
      </c>
      <c r="E12">
        <v>109.751590507383</v>
      </c>
      <c r="F12">
        <v>2.0068201025624299</v>
      </c>
      <c r="G12">
        <v>-1814.8637292777521</v>
      </c>
      <c r="H12">
        <v>-1494.5302246846111</v>
      </c>
      <c r="I12">
        <v>312.17236079928699</v>
      </c>
      <c r="J12">
        <v>158.05917243330401</v>
      </c>
      <c r="K12">
        <v>54.689301929577603</v>
      </c>
      <c r="L12">
        <v>0.86672142018140197</v>
      </c>
      <c r="M12">
        <v>-0.86656866363103335</v>
      </c>
      <c r="N12">
        <v>47.393123260258903</v>
      </c>
      <c r="O12">
        <v>47.393119094079502</v>
      </c>
      <c r="P12">
        <v>47.393115123995301</v>
      </c>
      <c r="Q12" t="s">
        <v>51</v>
      </c>
    </row>
    <row r="13" spans="1:17" x14ac:dyDescent="0.2">
      <c r="A13">
        <v>12</v>
      </c>
      <c r="B13">
        <v>752</v>
      </c>
      <c r="C13">
        <v>300</v>
      </c>
      <c r="D13">
        <v>0.27207774472028401</v>
      </c>
      <c r="E13">
        <v>109.75162658130699</v>
      </c>
      <c r="F13">
        <v>2.0073798701981098</v>
      </c>
      <c r="G13">
        <v>-1814.5522328119387</v>
      </c>
      <c r="H13">
        <v>-1494.7250505099059</v>
      </c>
      <c r="I13">
        <v>311.98298061625599</v>
      </c>
      <c r="J13">
        <v>158.06216718403101</v>
      </c>
      <c r="K13">
        <v>54.674069522514401</v>
      </c>
      <c r="L13">
        <v>0.86492004626960906</v>
      </c>
      <c r="M13">
        <v>-0.86476691209707701</v>
      </c>
      <c r="N13">
        <v>47.281414613243101</v>
      </c>
      <c r="O13">
        <v>47.281410399523502</v>
      </c>
      <c r="P13">
        <v>47.281406421846299</v>
      </c>
      <c r="Q13" t="s">
        <v>51</v>
      </c>
    </row>
    <row r="14" spans="1:17" x14ac:dyDescent="0.2">
      <c r="A14">
        <v>13</v>
      </c>
      <c r="B14">
        <v>751</v>
      </c>
      <c r="C14">
        <v>300</v>
      </c>
      <c r="D14">
        <v>0.27129863789483999</v>
      </c>
      <c r="E14">
        <v>109.75166279601</v>
      </c>
      <c r="F14">
        <v>2.0079410411784</v>
      </c>
      <c r="G14">
        <v>-1814.240927951819</v>
      </c>
      <c r="H14">
        <v>-1494.9197060738265</v>
      </c>
      <c r="I14">
        <v>311.79358389255202</v>
      </c>
      <c r="J14">
        <v>158.065088956187</v>
      </c>
      <c r="K14">
        <v>54.658807477534303</v>
      </c>
      <c r="L14">
        <v>0.8631282908813166</v>
      </c>
      <c r="M14">
        <v>-0.8629747835858943</v>
      </c>
      <c r="N14">
        <v>47.170261221097697</v>
      </c>
      <c r="O14">
        <v>47.170256959694598</v>
      </c>
      <c r="P14">
        <v>47.170252974573003</v>
      </c>
      <c r="Q14" t="s">
        <v>51</v>
      </c>
    </row>
    <row r="15" spans="1:17" x14ac:dyDescent="0.2">
      <c r="A15">
        <v>14</v>
      </c>
      <c r="B15">
        <v>750</v>
      </c>
      <c r="C15">
        <v>300</v>
      </c>
      <c r="D15">
        <v>0.270518008112205</v>
      </c>
      <c r="E15">
        <v>109.75169915213</v>
      </c>
      <c r="F15">
        <v>2.0085036058611898</v>
      </c>
      <c r="G15">
        <v>-1813.9298147246911</v>
      </c>
      <c r="H15">
        <v>-1495.1141927978535</v>
      </c>
      <c r="I15">
        <v>311.60416921733901</v>
      </c>
      <c r="J15">
        <v>158.067937551748</v>
      </c>
      <c r="K15">
        <v>54.643516114113098</v>
      </c>
      <c r="L15">
        <v>0.86134607023628929</v>
      </c>
      <c r="M15">
        <v>-0.86119219429495886</v>
      </c>
      <c r="N15">
        <v>47.059658498843802</v>
      </c>
      <c r="O15">
        <v>47.059654189616602</v>
      </c>
      <c r="P15">
        <v>47.059650197198501</v>
      </c>
      <c r="Q15" t="s">
        <v>51</v>
      </c>
    </row>
    <row r="16" spans="1:17" x14ac:dyDescent="0.2">
      <c r="A16">
        <v>15</v>
      </c>
      <c r="B16">
        <v>749</v>
      </c>
      <c r="C16">
        <v>300</v>
      </c>
      <c r="D16">
        <v>0.26973585090251001</v>
      </c>
      <c r="E16">
        <v>109.751735650329</v>
      </c>
      <c r="F16">
        <v>2.0090675547235901</v>
      </c>
      <c r="G16">
        <v>-1813.61889315958</v>
      </c>
      <c r="H16">
        <v>-1495.3085120880826</v>
      </c>
      <c r="I16">
        <v>311.41473519098901</v>
      </c>
      <c r="J16">
        <v>158.070712767076</v>
      </c>
      <c r="K16">
        <v>54.6281957479666</v>
      </c>
      <c r="L16">
        <v>0.85957330149438982</v>
      </c>
      <c r="M16">
        <v>-0.85941906136213175</v>
      </c>
      <c r="N16">
        <v>46.949601910797803</v>
      </c>
      <c r="O16">
        <v>46.949597553608697</v>
      </c>
      <c r="P16">
        <v>46.949593554041599</v>
      </c>
      <c r="Q16" t="s">
        <v>51</v>
      </c>
    </row>
    <row r="17" spans="1:17" x14ac:dyDescent="0.2">
      <c r="A17">
        <v>16</v>
      </c>
      <c r="B17">
        <v>748</v>
      </c>
      <c r="C17">
        <v>300</v>
      </c>
      <c r="D17">
        <v>0.26895216177838999</v>
      </c>
      <c r="E17">
        <v>109.751772291279</v>
      </c>
      <c r="F17">
        <v>2.0096328783615198</v>
      </c>
      <c r="G17">
        <v>-1813.3081632871113</v>
      </c>
      <c r="H17">
        <v>-1495.5026653351101</v>
      </c>
      <c r="I17">
        <v>311.22528042513602</v>
      </c>
      <c r="J17">
        <v>158.07341439282999</v>
      </c>
      <c r="K17">
        <v>54.612846691064</v>
      </c>
      <c r="L17">
        <v>0.85780990275550872</v>
      </c>
      <c r="M17">
        <v>-0.85765530286558844</v>
      </c>
      <c r="N17">
        <v>46.840086970594598</v>
      </c>
      <c r="O17">
        <v>46.8400825653084</v>
      </c>
      <c r="P17">
        <v>46.840078558739002</v>
      </c>
      <c r="Q17" t="s">
        <v>51</v>
      </c>
    </row>
    <row r="18" spans="1:17" x14ac:dyDescent="0.2">
      <c r="A18">
        <v>17</v>
      </c>
      <c r="B18">
        <v>747</v>
      </c>
      <c r="C18">
        <v>300</v>
      </c>
      <c r="D18">
        <v>0.26816693623486898</v>
      </c>
      <c r="E18">
        <v>109.751809075683</v>
      </c>
      <c r="F18">
        <v>2.0101995674892699</v>
      </c>
      <c r="G18">
        <v>-1812.9976251397743</v>
      </c>
      <c r="H18">
        <v>-1495.6966539145114</v>
      </c>
      <c r="I18">
        <v>311.03580354251898</v>
      </c>
      <c r="J18">
        <v>158.076042213976</v>
      </c>
      <c r="K18">
        <v>54.597469251653798</v>
      </c>
      <c r="L18">
        <v>0.85605579304555657</v>
      </c>
      <c r="M18">
        <v>-0.85590083780981019</v>
      </c>
      <c r="N18">
        <v>46.731109240458998</v>
      </c>
      <c r="O18">
        <v>46.731104786943099</v>
      </c>
      <c r="P18">
        <v>46.731100773517802</v>
      </c>
      <c r="Q18" t="s">
        <v>51</v>
      </c>
    </row>
    <row r="19" spans="1:17" x14ac:dyDescent="0.2">
      <c r="A19">
        <v>18</v>
      </c>
      <c r="B19">
        <v>746</v>
      </c>
      <c r="C19">
        <v>300</v>
      </c>
      <c r="D19">
        <v>0.26738016974930101</v>
      </c>
      <c r="E19">
        <v>109.75184600419701</v>
      </c>
      <c r="F19">
        <v>2.0107676129394099</v>
      </c>
      <c r="G19">
        <v>-1812.6872787506547</v>
      </c>
      <c r="H19">
        <v>-1495.890479186053</v>
      </c>
      <c r="I19">
        <v>310.84630317656001</v>
      </c>
      <c r="J19">
        <v>158.07859600971199</v>
      </c>
      <c r="K19">
        <v>54.582063734236101</v>
      </c>
      <c r="L19">
        <v>0.85431089229930623</v>
      </c>
      <c r="M19">
        <v>-0.85415558610842002</v>
      </c>
      <c r="N19">
        <v>46.6226643302588</v>
      </c>
      <c r="O19">
        <v>46.622659828383597</v>
      </c>
      <c r="P19">
        <v>46.622655808247998</v>
      </c>
      <c r="Q19" t="s">
        <v>51</v>
      </c>
    </row>
    <row r="20" spans="1:17" x14ac:dyDescent="0.2">
      <c r="A20">
        <v>19</v>
      </c>
      <c r="B20">
        <v>745</v>
      </c>
      <c r="C20">
        <v>300</v>
      </c>
      <c r="D20">
        <v>0.26659185778126798</v>
      </c>
      <c r="E20">
        <v>109.751883077494</v>
      </c>
      <c r="F20">
        <v>2.0113370056567001</v>
      </c>
      <c r="G20">
        <v>-1812.3771241545173</v>
      </c>
      <c r="H20">
        <v>-1496.0841424949856</v>
      </c>
      <c r="I20">
        <v>310.65677797121799</v>
      </c>
      <c r="J20">
        <v>158.081075553885</v>
      </c>
      <c r="K20">
        <v>54.566630439765802</v>
      </c>
      <c r="L20">
        <v>0.85257512133513913</v>
      </c>
      <c r="M20">
        <v>-0.85241946855891704</v>
      </c>
      <c r="N20">
        <v>46.514747896313402</v>
      </c>
      <c r="O20">
        <v>46.514743345951899</v>
      </c>
      <c r="P20">
        <v>46.514739319251099</v>
      </c>
      <c r="Q20" t="s">
        <v>51</v>
      </c>
    </row>
    <row r="21" spans="1:17" x14ac:dyDescent="0.2">
      <c r="A21">
        <v>20</v>
      </c>
      <c r="B21">
        <v>744</v>
      </c>
      <c r="C21">
        <v>300</v>
      </c>
      <c r="D21">
        <v>0.26580199577250502</v>
      </c>
      <c r="E21">
        <v>109.75192029630099</v>
      </c>
      <c r="F21">
        <v>2.0119077367072</v>
      </c>
      <c r="G21">
        <v>-1812.0671613882791</v>
      </c>
      <c r="H21">
        <v>-1496.2776451720028</v>
      </c>
      <c r="I21">
        <v>310.46722658154198</v>
      </c>
      <c r="J21">
        <v>158.083480614302</v>
      </c>
      <c r="K21">
        <v>54.551169665427501</v>
      </c>
      <c r="L21">
        <v>0.85084840188798549</v>
      </c>
      <c r="M21">
        <v>-0.85069240687563585</v>
      </c>
      <c r="N21">
        <v>46.407355643012899</v>
      </c>
      <c r="O21">
        <v>46.407351044040702</v>
      </c>
      <c r="P21">
        <v>46.407347010919402</v>
      </c>
      <c r="Q21" t="s">
        <v>51</v>
      </c>
    </row>
    <row r="22" spans="1:17" x14ac:dyDescent="0.2">
      <c r="A22">
        <v>21</v>
      </c>
      <c r="B22">
        <v>743</v>
      </c>
      <c r="C22">
        <v>300</v>
      </c>
      <c r="D22">
        <v>0.265010579146782</v>
      </c>
      <c r="E22">
        <v>109.75195766124899</v>
      </c>
      <c r="F22">
        <v>2.0124797972689801</v>
      </c>
      <c r="G22">
        <v>-1811.7573904887261</v>
      </c>
      <c r="H22">
        <v>-1496.4709885325594</v>
      </c>
      <c r="I22">
        <v>310.27764767214597</v>
      </c>
      <c r="J22">
        <v>158.085810953384</v>
      </c>
      <c r="K22">
        <v>54.535681704823702</v>
      </c>
      <c r="L22">
        <v>0.84913065653064923</v>
      </c>
      <c r="M22">
        <v>-0.84897432361104019</v>
      </c>
      <c r="N22">
        <v>46.300483318696003</v>
      </c>
      <c r="O22">
        <v>46.3004786709919</v>
      </c>
      <c r="P22">
        <v>46.300474631594</v>
      </c>
      <c r="Q22" t="s">
        <v>51</v>
      </c>
    </row>
    <row r="23" spans="1:17" x14ac:dyDescent="0.2">
      <c r="A23">
        <v>22</v>
      </c>
      <c r="B23">
        <v>742</v>
      </c>
      <c r="C23">
        <v>300</v>
      </c>
      <c r="D23">
        <v>0.264217603309855</v>
      </c>
      <c r="E23">
        <v>109.75199517306</v>
      </c>
      <c r="F23">
        <v>2.0130531786343302</v>
      </c>
      <c r="G23">
        <v>-1811.4478114953693</v>
      </c>
      <c r="H23">
        <v>-1496.6641738786607</v>
      </c>
      <c r="I23">
        <v>310.08803991831797</v>
      </c>
      <c r="J23">
        <v>158.088066327945</v>
      </c>
      <c r="K23">
        <v>54.520166848009801</v>
      </c>
      <c r="L23">
        <v>0.84742180871220507</v>
      </c>
      <c r="M23">
        <v>-0.84726514219413407</v>
      </c>
      <c r="N23">
        <v>46.194126717788002</v>
      </c>
      <c r="O23">
        <v>46.194122021233099</v>
      </c>
      <c r="P23">
        <v>46.194117975702099</v>
      </c>
      <c r="Q23" t="s">
        <v>51</v>
      </c>
    </row>
    <row r="24" spans="1:17" x14ac:dyDescent="0.2">
      <c r="A24">
        <v>23</v>
      </c>
      <c r="B24">
        <v>741</v>
      </c>
      <c r="C24">
        <v>300</v>
      </c>
      <c r="D24">
        <v>0.26342306364936202</v>
      </c>
      <c r="E24">
        <v>109.752032832419</v>
      </c>
      <c r="F24">
        <v>2.01362787221069</v>
      </c>
      <c r="G24">
        <v>-1811.1384244484893</v>
      </c>
      <c r="H24">
        <v>-1496.8572024975992</v>
      </c>
      <c r="I24">
        <v>309.89840200537702</v>
      </c>
      <c r="J24">
        <v>158.09024648904099</v>
      </c>
      <c r="K24">
        <v>54.504625381415003</v>
      </c>
      <c r="L24">
        <v>0.84572178273553766</v>
      </c>
      <c r="M24">
        <v>-0.84556478690799519</v>
      </c>
      <c r="N24">
        <v>46.088281679518403</v>
      </c>
      <c r="O24">
        <v>46.088276933996703</v>
      </c>
      <c r="P24">
        <v>46.0882728824757</v>
      </c>
      <c r="Q24" t="s">
        <v>51</v>
      </c>
    </row>
    <row r="25" spans="1:17" x14ac:dyDescent="0.2">
      <c r="A25">
        <v>24</v>
      </c>
      <c r="B25">
        <v>740</v>
      </c>
      <c r="C25">
        <v>300</v>
      </c>
      <c r="D25">
        <v>0.26262695553471999</v>
      </c>
      <c r="E25">
        <v>109.752070640036</v>
      </c>
      <c r="F25">
        <v>2.0142038695184898</v>
      </c>
      <c r="G25">
        <v>-1810.8292293900415</v>
      </c>
      <c r="H25">
        <v>-1497.0500756632252</v>
      </c>
      <c r="I25">
        <v>309.70873262837398</v>
      </c>
      <c r="J25">
        <v>158.092351182236</v>
      </c>
      <c r="K25">
        <v>54.489057587935797</v>
      </c>
      <c r="L25">
        <v>0.84403050372930566</v>
      </c>
      <c r="M25">
        <v>-0.84387318286173074</v>
      </c>
      <c r="N25">
        <v>45.9829440864821</v>
      </c>
      <c r="O25">
        <v>45.982939291880697</v>
      </c>
      <c r="P25">
        <v>45.982935234511899</v>
      </c>
      <c r="Q25" t="s">
        <v>51</v>
      </c>
    </row>
    <row r="26" spans="1:17" x14ac:dyDescent="0.2">
      <c r="A26">
        <v>25</v>
      </c>
      <c r="B26">
        <v>739</v>
      </c>
      <c r="C26">
        <v>300</v>
      </c>
      <c r="D26">
        <v>0.261829274317047</v>
      </c>
      <c r="E26">
        <v>109.75210859659499</v>
      </c>
      <c r="F26">
        <v>2.0147811621907801</v>
      </c>
      <c r="G26">
        <v>-1810.5202263628983</v>
      </c>
      <c r="H26">
        <v>-1497.2427946350879</v>
      </c>
      <c r="I26">
        <v>309.51903049222898</v>
      </c>
      <c r="J26">
        <v>158.094380147393</v>
      </c>
      <c r="K26">
        <v>54.473463746929099</v>
      </c>
      <c r="L26">
        <v>0.84234789765766738</v>
      </c>
      <c r="M26">
        <v>-0.84219025600020536</v>
      </c>
      <c r="N26">
        <v>45.878109865174302</v>
      </c>
      <c r="O26">
        <v>45.878105021382801</v>
      </c>
      <c r="P26">
        <v>45.878100958308103</v>
      </c>
      <c r="Q26" t="s">
        <v>51</v>
      </c>
    </row>
    <row r="27" spans="1:17" x14ac:dyDescent="0.2">
      <c r="A27">
        <v>26</v>
      </c>
      <c r="B27">
        <v>738</v>
      </c>
      <c r="C27">
        <v>300</v>
      </c>
      <c r="D27">
        <v>0.26103001532908299</v>
      </c>
      <c r="E27">
        <v>109.752146702784</v>
      </c>
      <c r="F27">
        <v>2.0153597419720799</v>
      </c>
      <c r="G27">
        <v>-1810.2114154112639</v>
      </c>
      <c r="H27">
        <v>-1497.4353606594066</v>
      </c>
      <c r="I27">
        <v>309.32929431123802</v>
      </c>
      <c r="J27">
        <v>158.096333118898</v>
      </c>
      <c r="K27">
        <v>54.457844134263198</v>
      </c>
      <c r="L27">
        <v>0.84067389128646997</v>
      </c>
      <c r="M27">
        <v>-0.84051593307021943</v>
      </c>
      <c r="N27">
        <v>45.773774984200202</v>
      </c>
      <c r="O27">
        <v>45.773770091110997</v>
      </c>
      <c r="P27">
        <v>45.773766022471797</v>
      </c>
      <c r="Q27" t="s">
        <v>51</v>
      </c>
    </row>
    <row r="28" spans="1:17" x14ac:dyDescent="0.2">
      <c r="A28">
        <v>27</v>
      </c>
      <c r="B28">
        <v>737</v>
      </c>
      <c r="C28">
        <v>300</v>
      </c>
      <c r="D28">
        <v>0.260229173885068</v>
      </c>
      <c r="E28">
        <v>109.75217205934599</v>
      </c>
      <c r="F28">
        <v>2.0133898264521299</v>
      </c>
      <c r="G28">
        <v>-1809.902813816909</v>
      </c>
      <c r="H28">
        <v>-1498.2118440504159</v>
      </c>
      <c r="I28">
        <v>308.56146163288503</v>
      </c>
      <c r="J28">
        <v>158.10188946902201</v>
      </c>
      <c r="K28">
        <v>54.511138686314297</v>
      </c>
      <c r="L28">
        <v>0.80754615573752409</v>
      </c>
      <c r="M28">
        <v>-0.80737896349183258</v>
      </c>
      <c r="N28">
        <v>44.012297019507201</v>
      </c>
      <c r="O28">
        <v>44.012291836559598</v>
      </c>
      <c r="P28">
        <v>44.012287540951903</v>
      </c>
      <c r="Q28" t="s">
        <v>51</v>
      </c>
    </row>
    <row r="29" spans="1:17" x14ac:dyDescent="0.2">
      <c r="A29">
        <v>28</v>
      </c>
      <c r="B29">
        <v>736</v>
      </c>
      <c r="C29">
        <v>300</v>
      </c>
      <c r="D29">
        <v>0.25942674528068399</v>
      </c>
      <c r="E29">
        <v>109.75217735269101</v>
      </c>
      <c r="F29">
        <v>2.0034872720637602</v>
      </c>
      <c r="G29">
        <v>-1809.5950367827068</v>
      </c>
      <c r="H29">
        <v>-1500.326432393249</v>
      </c>
      <c r="I29">
        <v>306.46727306611098</v>
      </c>
      <c r="J29">
        <v>158.249299670152</v>
      </c>
      <c r="K29">
        <v>54.780571298383002</v>
      </c>
      <c r="L29">
        <v>0.70404112335252167</v>
      </c>
      <c r="M29">
        <v>-0.70384176068864024</v>
      </c>
      <c r="N29">
        <v>38.558224307266201</v>
      </c>
      <c r="O29">
        <v>38.5582182261901</v>
      </c>
      <c r="P29">
        <v>38.558213123246901</v>
      </c>
      <c r="Q29" t="s">
        <v>51</v>
      </c>
    </row>
    <row r="30" spans="1:17" x14ac:dyDescent="0.2">
      <c r="A30">
        <v>29</v>
      </c>
      <c r="B30">
        <v>735</v>
      </c>
      <c r="C30">
        <v>300</v>
      </c>
      <c r="D30">
        <v>0.25862272479293502</v>
      </c>
      <c r="E30">
        <v>109.752145051912</v>
      </c>
      <c r="F30">
        <v>1.9885165918643199</v>
      </c>
      <c r="G30">
        <v>-1809.2897678059558</v>
      </c>
      <c r="H30">
        <v>-1503.5754338912168</v>
      </c>
      <c r="I30">
        <v>303.24639605162798</v>
      </c>
      <c r="J30">
        <v>158.67485086022899</v>
      </c>
      <c r="K30">
        <v>55.192974250727701</v>
      </c>
      <c r="L30">
        <v>0.54885830119531365</v>
      </c>
      <c r="M30">
        <v>-0.5486116976159473</v>
      </c>
      <c r="N30">
        <v>30.281210269847701</v>
      </c>
      <c r="O30">
        <v>30.2812028467944</v>
      </c>
      <c r="P30">
        <v>30.2811965403301</v>
      </c>
      <c r="Q30" t="s">
        <v>51</v>
      </c>
    </row>
    <row r="31" spans="1:17" x14ac:dyDescent="0.2">
      <c r="A31">
        <v>30</v>
      </c>
      <c r="B31">
        <v>734</v>
      </c>
      <c r="C31">
        <v>300</v>
      </c>
      <c r="D31">
        <v>0.25781710768008598</v>
      </c>
      <c r="E31">
        <v>109.761016780988</v>
      </c>
      <c r="F31">
        <v>1.94702850145999</v>
      </c>
      <c r="G31">
        <v>-1809.1368793776269</v>
      </c>
      <c r="H31">
        <v>-1512.4381901856968</v>
      </c>
      <c r="I31">
        <v>294.59769947959501</v>
      </c>
      <c r="J31">
        <v>159.62523447433</v>
      </c>
      <c r="K31">
        <v>56.373605573150897</v>
      </c>
      <c r="L31">
        <v>0.13880873142948891</v>
      </c>
      <c r="M31">
        <v>-0.13843559414818687</v>
      </c>
      <c r="N31">
        <v>7.8067207846897304</v>
      </c>
      <c r="O31">
        <v>7.8067097172562097</v>
      </c>
      <c r="P31">
        <v>7.8067000870776102</v>
      </c>
      <c r="Q31" t="s">
        <v>51</v>
      </c>
    </row>
    <row r="32" spans="1:17" x14ac:dyDescent="0.2">
      <c r="A32">
        <v>31</v>
      </c>
      <c r="B32">
        <v>733</v>
      </c>
      <c r="C32">
        <v>300</v>
      </c>
      <c r="D32">
        <v>0.257009889181535</v>
      </c>
      <c r="E32">
        <v>109.76153526698</v>
      </c>
      <c r="F32">
        <v>1.94228180436072</v>
      </c>
      <c r="G32">
        <v>-1808.8515257817635</v>
      </c>
      <c r="H32">
        <v>-1513.8774263786536</v>
      </c>
      <c r="I32">
        <v>293.17670338266203</v>
      </c>
      <c r="J32">
        <v>159.811808436668</v>
      </c>
      <c r="K32">
        <v>56.511642656873001</v>
      </c>
      <c r="L32">
        <v>8.0949128985195185E-2</v>
      </c>
      <c r="M32">
        <v>-8.0559154690404852E-2</v>
      </c>
      <c r="N32">
        <v>4.5552552936227997</v>
      </c>
      <c r="O32">
        <v>4.5552436631814102</v>
      </c>
      <c r="P32">
        <v>4.5552335881225599</v>
      </c>
      <c r="Q32" t="s">
        <v>51</v>
      </c>
    </row>
    <row r="33" spans="1:17" x14ac:dyDescent="0.2">
      <c r="A33">
        <v>32</v>
      </c>
      <c r="B33">
        <v>763</v>
      </c>
      <c r="C33">
        <v>280</v>
      </c>
      <c r="D33">
        <v>0.30178111277325198</v>
      </c>
      <c r="E33">
        <v>109.7514201732</v>
      </c>
      <c r="F33">
        <v>1.97702514385434</v>
      </c>
      <c r="G33">
        <v>-1819.0955894947176</v>
      </c>
      <c r="H33">
        <v>-1493.3871828355993</v>
      </c>
      <c r="I33">
        <v>314.34705220391999</v>
      </c>
      <c r="J33">
        <v>158.67444939346001</v>
      </c>
      <c r="K33">
        <v>55.513416465322599</v>
      </c>
      <c r="L33">
        <v>0.87025803001697744</v>
      </c>
      <c r="M33">
        <v>-0.87008025410061407</v>
      </c>
      <c r="N33">
        <v>48.302506069648302</v>
      </c>
      <c r="O33">
        <v>48.302501876107002</v>
      </c>
      <c r="P33">
        <v>48.302496723784998</v>
      </c>
      <c r="Q33" t="s">
        <v>51</v>
      </c>
    </row>
    <row r="34" spans="1:17" x14ac:dyDescent="0.2">
      <c r="A34">
        <v>33</v>
      </c>
      <c r="B34">
        <v>762</v>
      </c>
      <c r="C34">
        <v>280</v>
      </c>
      <c r="D34">
        <v>0.30103897985799499</v>
      </c>
      <c r="E34">
        <v>109.751450478778</v>
      </c>
      <c r="F34">
        <v>1.97758637436608</v>
      </c>
      <c r="G34">
        <v>-1818.7818086193913</v>
      </c>
      <c r="H34">
        <v>-1493.5564033161554</v>
      </c>
      <c r="I34">
        <v>314.18412694294102</v>
      </c>
      <c r="J34">
        <v>158.67101300233301</v>
      </c>
      <c r="K34">
        <v>55.4976773209005</v>
      </c>
      <c r="L34">
        <v>0.86982660685679647</v>
      </c>
      <c r="M34">
        <v>-0.86964877665401807</v>
      </c>
      <c r="N34">
        <v>48.264863097362799</v>
      </c>
      <c r="O34">
        <v>48.264858855256001</v>
      </c>
      <c r="P34">
        <v>48.264853703476298</v>
      </c>
      <c r="Q34" t="s">
        <v>51</v>
      </c>
    </row>
    <row r="35" spans="1:17" x14ac:dyDescent="0.2">
      <c r="A35">
        <v>34</v>
      </c>
      <c r="B35">
        <v>761</v>
      </c>
      <c r="C35">
        <v>280</v>
      </c>
      <c r="D35">
        <v>0.30029541169076102</v>
      </c>
      <c r="E35">
        <v>109.751485605556</v>
      </c>
      <c r="F35">
        <v>1.97815196670085</v>
      </c>
      <c r="G35">
        <v>-1818.4682855180934</v>
      </c>
      <c r="H35">
        <v>-1493.7521439435463</v>
      </c>
      <c r="I35">
        <v>313.99549610425902</v>
      </c>
      <c r="J35">
        <v>158.67564537110201</v>
      </c>
      <c r="K35">
        <v>55.481827206935598</v>
      </c>
      <c r="L35">
        <v>0.86801090127453473</v>
      </c>
      <c r="M35">
        <v>-0.86783264414667471</v>
      </c>
      <c r="N35">
        <v>48.150316999299299</v>
      </c>
      <c r="O35">
        <v>48.150312699515503</v>
      </c>
      <c r="P35">
        <v>48.1503075375647</v>
      </c>
      <c r="Q35" t="s">
        <v>51</v>
      </c>
    </row>
    <row r="36" spans="1:17" x14ac:dyDescent="0.2">
      <c r="A36">
        <v>35</v>
      </c>
      <c r="B36">
        <v>760</v>
      </c>
      <c r="C36">
        <v>280</v>
      </c>
      <c r="D36">
        <v>0.29955040410395301</v>
      </c>
      <c r="E36">
        <v>109.75152086834299</v>
      </c>
      <c r="F36">
        <v>1.97871907939361</v>
      </c>
      <c r="G36">
        <v>-1818.15495319755</v>
      </c>
      <c r="H36">
        <v>-1493.9477093591347</v>
      </c>
      <c r="I36">
        <v>313.80685431474302</v>
      </c>
      <c r="J36">
        <v>158.680216545153</v>
      </c>
      <c r="K36">
        <v>55.465943605282597</v>
      </c>
      <c r="L36">
        <v>0.86620506275078879</v>
      </c>
      <c r="M36">
        <v>-0.86602638356485384</v>
      </c>
      <c r="N36">
        <v>48.036346977967902</v>
      </c>
      <c r="O36">
        <v>48.0363426202657</v>
      </c>
      <c r="P36">
        <v>48.036337448323998</v>
      </c>
      <c r="Q36" t="s">
        <v>51</v>
      </c>
    </row>
    <row r="37" spans="1:17" x14ac:dyDescent="0.2">
      <c r="A37">
        <v>36</v>
      </c>
      <c r="B37">
        <v>759</v>
      </c>
      <c r="C37">
        <v>280</v>
      </c>
      <c r="D37">
        <v>0.298803952913825</v>
      </c>
      <c r="E37">
        <v>109.751556267759</v>
      </c>
      <c r="F37">
        <v>1.9792877002537299</v>
      </c>
      <c r="G37">
        <v>-1817.8418116792084</v>
      </c>
      <c r="H37">
        <v>-1494.1431010385743</v>
      </c>
      <c r="I37">
        <v>313.61820013397403</v>
      </c>
      <c r="J37">
        <v>158.684726328891</v>
      </c>
      <c r="K37">
        <v>55.450026923165296</v>
      </c>
      <c r="L37">
        <v>0.86440900383886488</v>
      </c>
      <c r="M37">
        <v>-0.86422990743749928</v>
      </c>
      <c r="N37">
        <v>47.922948246584802</v>
      </c>
      <c r="O37">
        <v>47.922943830726098</v>
      </c>
      <c r="P37">
        <v>47.9229386489733</v>
      </c>
      <c r="Q37" t="s">
        <v>51</v>
      </c>
    </row>
    <row r="38" spans="1:17" x14ac:dyDescent="0.2">
      <c r="A38">
        <v>37</v>
      </c>
      <c r="B38">
        <v>758</v>
      </c>
      <c r="C38">
        <v>280</v>
      </c>
      <c r="D38">
        <v>0.29805605392037998</v>
      </c>
      <c r="E38">
        <v>109.75159180449199</v>
      </c>
      <c r="F38">
        <v>1.9798578172068699</v>
      </c>
      <c r="G38">
        <v>-1817.5288609870213</v>
      </c>
      <c r="H38">
        <v>-1494.3383204420818</v>
      </c>
      <c r="I38">
        <v>313.429532133343</v>
      </c>
      <c r="J38">
        <v>158.68917452210499</v>
      </c>
      <c r="K38">
        <v>55.434077563876102</v>
      </c>
      <c r="L38">
        <v>0.86262263806701878</v>
      </c>
      <c r="M38">
        <v>-0.86244312926879496</v>
      </c>
      <c r="N38">
        <v>47.810116069720102</v>
      </c>
      <c r="O38">
        <v>47.810111595470097</v>
      </c>
      <c r="P38">
        <v>47.810106404085403</v>
      </c>
      <c r="Q38" t="s">
        <v>51</v>
      </c>
    </row>
    <row r="39" spans="1:17" x14ac:dyDescent="0.2">
      <c r="A39">
        <v>38</v>
      </c>
      <c r="B39">
        <v>757</v>
      </c>
      <c r="C39">
        <v>280</v>
      </c>
      <c r="D39">
        <v>0.29730670290734501</v>
      </c>
      <c r="E39">
        <v>109.751627479159</v>
      </c>
      <c r="F39">
        <v>1.9804294182898099</v>
      </c>
      <c r="G39">
        <v>-1817.2161011452147</v>
      </c>
      <c r="H39">
        <v>-1494.5333690117006</v>
      </c>
      <c r="I39">
        <v>313.24084889659503</v>
      </c>
      <c r="J39">
        <v>158.69356091967899</v>
      </c>
      <c r="K39">
        <v>55.418095926859202</v>
      </c>
      <c r="L39">
        <v>0.86084587997533646</v>
      </c>
      <c r="M39">
        <v>-0.86066596357504943</v>
      </c>
      <c r="N39">
        <v>47.697845765437897</v>
      </c>
      <c r="O39">
        <v>47.697841232565096</v>
      </c>
      <c r="P39">
        <v>47.6978360317271</v>
      </c>
      <c r="Q39" t="s">
        <v>51</v>
      </c>
    </row>
    <row r="40" spans="1:17" x14ac:dyDescent="0.2">
      <c r="A40">
        <v>39</v>
      </c>
      <c r="B40">
        <v>756</v>
      </c>
      <c r="C40">
        <v>280</v>
      </c>
      <c r="D40">
        <v>0.29655589564203599</v>
      </c>
      <c r="E40">
        <v>109.75166329241399</v>
      </c>
      <c r="F40">
        <v>1.9810024916520399</v>
      </c>
      <c r="G40">
        <v>-1816.9035321800379</v>
      </c>
      <c r="H40">
        <v>-1494.7282481739792</v>
      </c>
      <c r="I40">
        <v>313.05214901898898</v>
      </c>
      <c r="J40">
        <v>158.697885311932</v>
      </c>
      <c r="K40">
        <v>55.402082407724897</v>
      </c>
      <c r="L40">
        <v>0.85907864505569542</v>
      </c>
      <c r="M40">
        <v>-0.85889832582464343</v>
      </c>
      <c r="N40">
        <v>47.586132702002701</v>
      </c>
      <c r="O40">
        <v>47.5861281102788</v>
      </c>
      <c r="P40">
        <v>47.586122900165599</v>
      </c>
      <c r="Q40" t="s">
        <v>51</v>
      </c>
    </row>
    <row r="41" spans="1:17" x14ac:dyDescent="0.2">
      <c r="A41">
        <v>40</v>
      </c>
      <c r="B41">
        <v>755</v>
      </c>
      <c r="C41">
        <v>280</v>
      </c>
      <c r="D41">
        <v>0.29580362787530801</v>
      </c>
      <c r="E41">
        <v>109.751699244961</v>
      </c>
      <c r="F41">
        <v>1.9815770255537599</v>
      </c>
      <c r="G41">
        <v>-1816.5911541199091</v>
      </c>
      <c r="H41">
        <v>-1494.9229593398379</v>
      </c>
      <c r="I41">
        <v>312.863431107623</v>
      </c>
      <c r="J41">
        <v>158.70214748453699</v>
      </c>
      <c r="K41">
        <v>55.386037398314201</v>
      </c>
      <c r="L41">
        <v>0.85732084976330258</v>
      </c>
      <c r="M41">
        <v>-0.85714013244956999</v>
      </c>
      <c r="N41">
        <v>47.474972298595901</v>
      </c>
      <c r="O41">
        <v>47.474967647796099</v>
      </c>
      <c r="P41">
        <v>47.474962428585201</v>
      </c>
      <c r="Q41" t="s">
        <v>51</v>
      </c>
    </row>
    <row r="42" spans="1:17" x14ac:dyDescent="0.2">
      <c r="A42">
        <v>41</v>
      </c>
      <c r="B42">
        <v>754</v>
      </c>
      <c r="C42">
        <v>280</v>
      </c>
      <c r="D42">
        <v>0.29504989534147702</v>
      </c>
      <c r="E42">
        <v>109.751735337437</v>
      </c>
      <c r="F42">
        <v>1.9821530083635299</v>
      </c>
      <c r="G42">
        <v>-1816.2789669936096</v>
      </c>
      <c r="H42">
        <v>-1495.1175039034476</v>
      </c>
      <c r="I42">
        <v>312.67469378083001</v>
      </c>
      <c r="J42">
        <v>158.70634721854299</v>
      </c>
      <c r="K42">
        <v>55.369961286716297</v>
      </c>
      <c r="L42">
        <v>0.85557241149072716</v>
      </c>
      <c r="M42">
        <v>-0.85539130081945658</v>
      </c>
      <c r="N42">
        <v>47.3643600239132</v>
      </c>
      <c r="O42">
        <v>47.364355313815899</v>
      </c>
      <c r="P42">
        <v>47.3643500856844</v>
      </c>
      <c r="Q42" t="s">
        <v>51</v>
      </c>
    </row>
    <row r="43" spans="1:17" x14ac:dyDescent="0.2">
      <c r="A43">
        <v>42</v>
      </c>
      <c r="B43">
        <v>753</v>
      </c>
      <c r="C43">
        <v>280</v>
      </c>
      <c r="D43">
        <v>0.29429469375822398</v>
      </c>
      <c r="E43">
        <v>109.751771570465</v>
      </c>
      <c r="F43">
        <v>1.9827304285563301</v>
      </c>
      <c r="G43">
        <v>-1815.9669708310048</v>
      </c>
      <c r="H43">
        <v>-1495.3118832428916</v>
      </c>
      <c r="I43">
        <v>312.48593566828703</v>
      </c>
      <c r="J43">
        <v>158.71048429043401</v>
      </c>
      <c r="K43">
        <v>55.353854457349399</v>
      </c>
      <c r="L43">
        <v>0.85383324856369647</v>
      </c>
      <c r="M43">
        <v>-0.85365174923735876</v>
      </c>
      <c r="N43">
        <v>47.254291396020299</v>
      </c>
      <c r="O43">
        <v>47.254286626407399</v>
      </c>
      <c r="P43">
        <v>47.254281389531499</v>
      </c>
      <c r="Q43" t="s">
        <v>51</v>
      </c>
    </row>
    <row r="44" spans="1:17" x14ac:dyDescent="0.2">
      <c r="A44">
        <v>43</v>
      </c>
      <c r="B44">
        <v>752</v>
      </c>
      <c r="C44">
        <v>280</v>
      </c>
      <c r="D44">
        <v>0.29353801882651298</v>
      </c>
      <c r="E44">
        <v>109.75180794475099</v>
      </c>
      <c r="F44">
        <v>1.9833092747141401</v>
      </c>
      <c r="G44">
        <v>-1815.6551656647152</v>
      </c>
      <c r="H44">
        <v>-1495.5060987221602</v>
      </c>
      <c r="I44">
        <v>312.29715541075302</v>
      </c>
      <c r="J44">
        <v>158.71455847233</v>
      </c>
      <c r="K44">
        <v>55.337717291000899</v>
      </c>
      <c r="L44">
        <v>0.85210328021242132</v>
      </c>
      <c r="M44">
        <v>-0.85192139691107804</v>
      </c>
      <c r="N44">
        <v>47.144761980818302</v>
      </c>
      <c r="O44">
        <v>47.144757151474899</v>
      </c>
      <c r="P44">
        <v>47.144751906030699</v>
      </c>
      <c r="Q44" t="s">
        <v>51</v>
      </c>
    </row>
    <row r="45" spans="1:17" x14ac:dyDescent="0.2">
      <c r="A45">
        <v>44</v>
      </c>
      <c r="B45">
        <v>751</v>
      </c>
      <c r="C45">
        <v>280</v>
      </c>
      <c r="D45">
        <v>0.29277986623053498</v>
      </c>
      <c r="E45">
        <v>109.751844460944</v>
      </c>
      <c r="F45">
        <v>1.98388953552603</v>
      </c>
      <c r="G45">
        <v>-1815.3435515277547</v>
      </c>
      <c r="H45">
        <v>-1495.7001516886544</v>
      </c>
      <c r="I45">
        <v>312.10835166025799</v>
      </c>
      <c r="J45">
        <v>158.718569531545</v>
      </c>
      <c r="K45">
        <v>55.321550164759302</v>
      </c>
      <c r="L45">
        <v>0.85038242659538987</v>
      </c>
      <c r="M45">
        <v>-0.85020016397696452</v>
      </c>
      <c r="N45">
        <v>47.035767393321102</v>
      </c>
      <c r="O45">
        <v>47.035762504036001</v>
      </c>
      <c r="P45">
        <v>47.035757250198699</v>
      </c>
      <c r="Q45" t="s">
        <v>51</v>
      </c>
    </row>
    <row r="46" spans="1:17" x14ac:dyDescent="0.2">
      <c r="A46">
        <v>45</v>
      </c>
      <c r="B46">
        <v>750</v>
      </c>
      <c r="C46">
        <v>280</v>
      </c>
      <c r="D46">
        <v>0.292020231637589</v>
      </c>
      <c r="E46">
        <v>109.751881119722</v>
      </c>
      <c r="F46">
        <v>1.98447119978245</v>
      </c>
      <c r="G46">
        <v>-1815.0321284549634</v>
      </c>
      <c r="H46">
        <v>-1495.8940434755004</v>
      </c>
      <c r="I46">
        <v>311.91952307929699</v>
      </c>
      <c r="J46">
        <v>158.72251723124501</v>
      </c>
      <c r="K46">
        <v>55.305353452221198</v>
      </c>
      <c r="L46">
        <v>0.84867060873697797</v>
      </c>
      <c r="M46">
        <v>-0.84848797143750143</v>
      </c>
      <c r="N46">
        <v>46.927303294395401</v>
      </c>
      <c r="O46">
        <v>46.927298344960697</v>
      </c>
      <c r="P46">
        <v>46.927293082905102</v>
      </c>
      <c r="Q46" t="s">
        <v>51</v>
      </c>
    </row>
    <row r="47" spans="1:17" x14ac:dyDescent="0.2">
      <c r="A47">
        <v>46</v>
      </c>
      <c r="B47">
        <v>749</v>
      </c>
      <c r="C47">
        <v>280</v>
      </c>
      <c r="D47">
        <v>0.291259110698039</v>
      </c>
      <c r="E47">
        <v>109.751917921805</v>
      </c>
      <c r="F47">
        <v>1.9850542563781901</v>
      </c>
      <c r="G47">
        <v>-1814.7208964832221</v>
      </c>
      <c r="H47">
        <v>-1496.0877754013904</v>
      </c>
      <c r="I47">
        <v>311.73066834124199</v>
      </c>
      <c r="J47">
        <v>158.72640133011299</v>
      </c>
      <c r="K47">
        <v>55.289127523421897</v>
      </c>
      <c r="L47">
        <v>0.84696774854793067</v>
      </c>
      <c r="M47">
        <v>-0.84678474118179814</v>
      </c>
      <c r="N47">
        <v>46.819365391851797</v>
      </c>
      <c r="O47">
        <v>46.819360382063103</v>
      </c>
      <c r="P47">
        <v>46.819355111963503</v>
      </c>
      <c r="Q47" t="s">
        <v>51</v>
      </c>
    </row>
    <row r="48" spans="1:17" x14ac:dyDescent="0.2">
      <c r="A48">
        <v>47</v>
      </c>
      <c r="B48">
        <v>748</v>
      </c>
      <c r="C48">
        <v>280</v>
      </c>
      <c r="D48">
        <v>0.29049649904519698</v>
      </c>
      <c r="E48">
        <v>109.75195486781401</v>
      </c>
      <c r="F48">
        <v>1.9856386943086299</v>
      </c>
      <c r="G48">
        <v>-1814.4098556490658</v>
      </c>
      <c r="H48">
        <v>-1496.2813487687579</v>
      </c>
      <c r="I48">
        <v>311.54178612984799</v>
      </c>
      <c r="J48">
        <v>158.73022158234801</v>
      </c>
      <c r="K48">
        <v>55.272872744871698</v>
      </c>
      <c r="L48">
        <v>0.84527376880893546</v>
      </c>
      <c r="M48">
        <v>-0.84509039596915381</v>
      </c>
      <c r="N48">
        <v>46.711949439582597</v>
      </c>
      <c r="O48">
        <v>46.7119443692389</v>
      </c>
      <c r="P48">
        <v>46.711939091269002</v>
      </c>
      <c r="Q48" t="s">
        <v>51</v>
      </c>
    </row>
    <row r="49" spans="1:17" x14ac:dyDescent="0.2">
      <c r="A49">
        <v>48</v>
      </c>
      <c r="B49">
        <v>747</v>
      </c>
      <c r="C49">
        <v>280</v>
      </c>
      <c r="D49">
        <v>0.28973239229525299</v>
      </c>
      <c r="E49">
        <v>109.751991958438</v>
      </c>
      <c r="F49">
        <v>1.9862245026715</v>
      </c>
      <c r="G49">
        <v>-1814.0990059914891</v>
      </c>
      <c r="H49">
        <v>-1496.4747648666478</v>
      </c>
      <c r="I49">
        <v>311.35287513924402</v>
      </c>
      <c r="J49">
        <v>158.73397773783799</v>
      </c>
      <c r="K49">
        <v>55.256589479598198</v>
      </c>
      <c r="L49">
        <v>0.84358859314896251</v>
      </c>
      <c r="M49">
        <v>-0.8434048594073944</v>
      </c>
      <c r="N49">
        <v>46.605051236414603</v>
      </c>
      <c r="O49">
        <v>46.605046105318301</v>
      </c>
      <c r="P49">
        <v>46.6050408196514</v>
      </c>
      <c r="Q49" t="s">
        <v>51</v>
      </c>
    </row>
    <row r="50" spans="1:17" x14ac:dyDescent="0.2">
      <c r="A50">
        <v>49</v>
      </c>
      <c r="B50">
        <v>746</v>
      </c>
      <c r="C50">
        <v>280</v>
      </c>
      <c r="D50">
        <v>0.288966786047197</v>
      </c>
      <c r="E50">
        <v>109.752029194347</v>
      </c>
      <c r="F50">
        <v>1.9868116706616801</v>
      </c>
      <c r="G50">
        <v>-1813.7883475504452</v>
      </c>
      <c r="H50">
        <v>-1496.6680249694391</v>
      </c>
      <c r="I50">
        <v>311.16393407375801</v>
      </c>
      <c r="J50">
        <v>158.73766954224499</v>
      </c>
      <c r="K50">
        <v>55.240278087250999</v>
      </c>
      <c r="L50">
        <v>0.84191214603834397</v>
      </c>
      <c r="M50">
        <v>-0.84172805594594458</v>
      </c>
      <c r="N50">
        <v>46.498666625829401</v>
      </c>
      <c r="O50">
        <v>46.498661433786602</v>
      </c>
      <c r="P50">
        <v>46.498656140595401</v>
      </c>
      <c r="Q50" t="s">
        <v>51</v>
      </c>
    </row>
    <row r="51" spans="1:17" x14ac:dyDescent="0.2">
      <c r="A51">
        <v>50</v>
      </c>
      <c r="B51">
        <v>745</v>
      </c>
      <c r="C51">
        <v>280</v>
      </c>
      <c r="D51">
        <v>0.28819967588272899</v>
      </c>
      <c r="E51">
        <v>109.75206657624599</v>
      </c>
      <c r="F51">
        <v>1.9874001875751499</v>
      </c>
      <c r="G51">
        <v>-1813.4778803677698</v>
      </c>
      <c r="H51">
        <v>-1496.8611303378345</v>
      </c>
      <c r="I51">
        <v>310.97496164790698</v>
      </c>
      <c r="J51">
        <v>158.74129673684399</v>
      </c>
      <c r="K51">
        <v>55.223938924025198</v>
      </c>
      <c r="L51">
        <v>0.84024435278297904</v>
      </c>
      <c r="M51">
        <v>-0.84005991087003573</v>
      </c>
      <c r="N51">
        <v>46.392791495592</v>
      </c>
      <c r="O51">
        <v>46.392786242412399</v>
      </c>
      <c r="P51">
        <v>46.392780941868999</v>
      </c>
      <c r="Q51" t="s">
        <v>51</v>
      </c>
    </row>
    <row r="52" spans="1:17" x14ac:dyDescent="0.2">
      <c r="A52">
        <v>51</v>
      </c>
      <c r="B52">
        <v>744</v>
      </c>
      <c r="C52">
        <v>280</v>
      </c>
      <c r="D52">
        <v>0.28743105736617303</v>
      </c>
      <c r="E52">
        <v>109.752104104816</v>
      </c>
      <c r="F52">
        <v>1.98799004280353</v>
      </c>
      <c r="G52">
        <v>-1813.1676044861852</v>
      </c>
      <c r="H52">
        <v>-1497.0540822182788</v>
      </c>
      <c r="I52">
        <v>310.78595658603803</v>
      </c>
      <c r="J52">
        <v>158.74485905873399</v>
      </c>
      <c r="K52">
        <v>55.207572342787103</v>
      </c>
      <c r="L52">
        <v>0.83858513950346558</v>
      </c>
      <c r="M52">
        <v>-0.83840035027982607</v>
      </c>
      <c r="N52">
        <v>46.287421776716698</v>
      </c>
      <c r="O52">
        <v>46.287416462213301</v>
      </c>
      <c r="P52">
        <v>46.287411154489398</v>
      </c>
      <c r="Q52" t="s">
        <v>51</v>
      </c>
    </row>
    <row r="53" spans="1:17" x14ac:dyDescent="0.2">
      <c r="A53">
        <v>52</v>
      </c>
      <c r="B53">
        <v>743</v>
      </c>
      <c r="C53">
        <v>280</v>
      </c>
      <c r="D53">
        <v>0.28666092604438298</v>
      </c>
      <c r="E53">
        <v>109.75214178076899</v>
      </c>
      <c r="F53">
        <v>1.9885812258345299</v>
      </c>
      <c r="G53">
        <v>-1812.8575199501659</v>
      </c>
      <c r="H53">
        <v>-1497.2468818437362</v>
      </c>
      <c r="I53">
        <v>310.59691762246302</v>
      </c>
      <c r="J53">
        <v>158.74835624081501</v>
      </c>
      <c r="K53">
        <v>55.1911786930958</v>
      </c>
      <c r="L53">
        <v>0.83693443313400373</v>
      </c>
      <c r="M53">
        <v>-0.83674930108930445</v>
      </c>
      <c r="N53">
        <v>46.1825534434358</v>
      </c>
      <c r="O53">
        <v>46.182548067425401</v>
      </c>
      <c r="P53">
        <v>46.182542752692001</v>
      </c>
      <c r="Q53" t="s">
        <v>51</v>
      </c>
    </row>
    <row r="54" spans="1:17" x14ac:dyDescent="0.2">
      <c r="A54">
        <v>53</v>
      </c>
      <c r="B54">
        <v>742</v>
      </c>
      <c r="C54">
        <v>280</v>
      </c>
      <c r="D54">
        <v>0.28588927744668102</v>
      </c>
      <c r="E54">
        <v>109.75217960477799</v>
      </c>
      <c r="F54">
        <v>1.98917372625475</v>
      </c>
      <c r="G54">
        <v>-1812.5476268048385</v>
      </c>
      <c r="H54">
        <v>-1497.4395304332506</v>
      </c>
      <c r="I54">
        <v>310.40784350086</v>
      </c>
      <c r="J54">
        <v>158.75178801164699</v>
      </c>
      <c r="K54">
        <v>55.174758321095197</v>
      </c>
      <c r="L54">
        <v>0.83529216139798523</v>
      </c>
      <c r="M54">
        <v>-0.83510669100187784</v>
      </c>
      <c r="N54">
        <v>46.078182511774202</v>
      </c>
      <c r="O54">
        <v>46.078177074076898</v>
      </c>
      <c r="P54">
        <v>46.078171752504801</v>
      </c>
      <c r="Q54" t="s">
        <v>51</v>
      </c>
    </row>
    <row r="55" spans="1:17" x14ac:dyDescent="0.2">
      <c r="A55">
        <v>54</v>
      </c>
      <c r="B55">
        <v>741</v>
      </c>
      <c r="C55">
        <v>280</v>
      </c>
      <c r="D55">
        <v>0.28511610708475299</v>
      </c>
      <c r="E55">
        <v>109.752217577518</v>
      </c>
      <c r="F55">
        <v>1.98976753374233</v>
      </c>
      <c r="G55">
        <v>-1812.2379250965748</v>
      </c>
      <c r="H55">
        <v>-1497.6320291922605</v>
      </c>
      <c r="I55">
        <v>310.21873297459001</v>
      </c>
      <c r="J55">
        <v>158.75515409572299</v>
      </c>
      <c r="K55">
        <v>55.158311569742601</v>
      </c>
      <c r="L55">
        <v>0.83365825281098938</v>
      </c>
      <c r="M55">
        <v>-0.83347244851335767</v>
      </c>
      <c r="N55">
        <v>45.974305039915699</v>
      </c>
      <c r="O55">
        <v>45.974299540355602</v>
      </c>
      <c r="P55">
        <v>45.9742942121147</v>
      </c>
      <c r="Q55" t="s">
        <v>51</v>
      </c>
    </row>
    <row r="56" spans="1:17" x14ac:dyDescent="0.2">
      <c r="A56">
        <v>55</v>
      </c>
      <c r="B56">
        <v>740</v>
      </c>
      <c r="C56">
        <v>280</v>
      </c>
      <c r="D56">
        <v>0.28434141045255101</v>
      </c>
      <c r="E56">
        <v>109.75225189531</v>
      </c>
      <c r="F56">
        <v>1.98955143628696</v>
      </c>
      <c r="G56">
        <v>-1811.9283709545409</v>
      </c>
      <c r="H56">
        <v>-1498.0037179907395</v>
      </c>
      <c r="I56">
        <v>309.85256710603801</v>
      </c>
      <c r="J56">
        <v>158.757549633873</v>
      </c>
      <c r="K56">
        <v>55.164319903253002</v>
      </c>
      <c r="L56">
        <v>0.82240423387337047</v>
      </c>
      <c r="M56">
        <v>-0.82221518426648632</v>
      </c>
      <c r="N56">
        <v>45.358334340469497</v>
      </c>
      <c r="O56">
        <v>45.358328702411598</v>
      </c>
      <c r="P56">
        <v>45.358323286498099</v>
      </c>
      <c r="Q56" t="s">
        <v>51</v>
      </c>
    </row>
    <row r="57" spans="1:17" x14ac:dyDescent="0.2">
      <c r="A57">
        <v>56</v>
      </c>
      <c r="B57">
        <v>739</v>
      </c>
      <c r="C57">
        <v>280</v>
      </c>
      <c r="D57">
        <v>0.28356518302623301</v>
      </c>
      <c r="E57">
        <v>109.752241865063</v>
      </c>
      <c r="F57">
        <v>1.97391065250758</v>
      </c>
      <c r="G57">
        <v>-1811.6196212159548</v>
      </c>
      <c r="H57">
        <v>-1501.1280232193899</v>
      </c>
      <c r="I57">
        <v>306.76751731447303</v>
      </c>
      <c r="J57">
        <v>158.933464183316</v>
      </c>
      <c r="K57">
        <v>55.601423360088901</v>
      </c>
      <c r="L57">
        <v>0.66710938687604227</v>
      </c>
      <c r="M57">
        <v>-0.66686879936162613</v>
      </c>
      <c r="N57">
        <v>37.080628287184901</v>
      </c>
      <c r="O57">
        <v>37.0806212519254</v>
      </c>
      <c r="P57">
        <v>37.080614381393197</v>
      </c>
      <c r="Q57" t="s">
        <v>51</v>
      </c>
    </row>
    <row r="58" spans="1:17" x14ac:dyDescent="0.2">
      <c r="A58">
        <v>57</v>
      </c>
      <c r="B58">
        <v>738</v>
      </c>
      <c r="C58">
        <v>280</v>
      </c>
      <c r="D58">
        <v>0.28278742026405701</v>
      </c>
      <c r="E58">
        <v>109.75756945434701</v>
      </c>
      <c r="F58">
        <v>1.94604961386589</v>
      </c>
      <c r="G58">
        <v>-1811.4013188403342</v>
      </c>
      <c r="H58">
        <v>-1506.5431407100427</v>
      </c>
      <c r="I58">
        <v>301.50076285204102</v>
      </c>
      <c r="J58">
        <v>159.265692070364</v>
      </c>
      <c r="K58">
        <v>56.400190761997102</v>
      </c>
      <c r="L58">
        <v>0.40580032853723158</v>
      </c>
      <c r="M58">
        <v>-0.4054715158255906</v>
      </c>
      <c r="N58">
        <v>22.871112296009599</v>
      </c>
      <c r="O58">
        <v>22.871102838798699</v>
      </c>
      <c r="P58">
        <v>22.871093417613402</v>
      </c>
      <c r="Q58" t="s">
        <v>51</v>
      </c>
    </row>
    <row r="59" spans="1:17" x14ac:dyDescent="0.2">
      <c r="A59">
        <v>58</v>
      </c>
      <c r="B59">
        <v>737</v>
      </c>
      <c r="C59">
        <v>280</v>
      </c>
      <c r="D59">
        <v>0.28200811760629901</v>
      </c>
      <c r="E59">
        <v>109.761439229931</v>
      </c>
      <c r="F59">
        <v>1.91774186513031</v>
      </c>
      <c r="G59">
        <v>-1811.165917977592</v>
      </c>
      <c r="H59">
        <v>-1512.1978846846152</v>
      </c>
      <c r="I59">
        <v>295.96948934306999</v>
      </c>
      <c r="J59">
        <v>159.61427200194899</v>
      </c>
      <c r="K59">
        <v>57.234730714121902</v>
      </c>
      <c r="L59">
        <v>0.14186035749957854</v>
      </c>
      <c r="M59">
        <v>-0.141441984488376</v>
      </c>
      <c r="N59">
        <v>8.0985299190495699</v>
      </c>
      <c r="O59">
        <v>8.0985179126526106</v>
      </c>
      <c r="P59">
        <v>8.0985058289526108</v>
      </c>
      <c r="Q59" t="s">
        <v>51</v>
      </c>
    </row>
    <row r="60" spans="1:17" x14ac:dyDescent="0.2">
      <c r="A60">
        <v>59</v>
      </c>
      <c r="B60">
        <v>736</v>
      </c>
      <c r="C60">
        <v>280</v>
      </c>
      <c r="D60">
        <v>0.281227270475152</v>
      </c>
      <c r="E60">
        <v>109.761906496737</v>
      </c>
      <c r="F60">
        <v>1.91201299370786</v>
      </c>
      <c r="G60">
        <v>-1810.8783454266002</v>
      </c>
      <c r="H60">
        <v>-1513.6061137369932</v>
      </c>
      <c r="I60">
        <v>294.58262716196901</v>
      </c>
      <c r="J60">
        <v>159.73251988938401</v>
      </c>
      <c r="K60">
        <v>57.406464735305903</v>
      </c>
      <c r="L60">
        <v>8.2849642090139231E-2</v>
      </c>
      <c r="M60">
        <v>-8.2411424102522432E-2</v>
      </c>
      <c r="N60">
        <v>4.7342345818972698</v>
      </c>
      <c r="O60">
        <v>4.7342219308155098</v>
      </c>
      <c r="P60">
        <v>4.7342092541147203</v>
      </c>
      <c r="Q60" t="s">
        <v>51</v>
      </c>
    </row>
    <row r="61" spans="1:17" x14ac:dyDescent="0.2">
      <c r="A61">
        <v>60</v>
      </c>
      <c r="B61">
        <v>763</v>
      </c>
      <c r="C61">
        <v>260</v>
      </c>
      <c r="D61">
        <v>0.32301355981277102</v>
      </c>
      <c r="E61">
        <v>109.75160029822</v>
      </c>
      <c r="F61">
        <v>1.9506329361105199</v>
      </c>
      <c r="G61">
        <v>-1820.2161268401392</v>
      </c>
      <c r="H61">
        <v>-1494.1683973084123</v>
      </c>
      <c r="I61">
        <v>314.67471940181701</v>
      </c>
      <c r="J61">
        <v>159.32239251619501</v>
      </c>
      <c r="K61">
        <v>56.264609433418002</v>
      </c>
      <c r="L61">
        <v>0.85567641870966848</v>
      </c>
      <c r="M61">
        <v>-0.85546451694127246</v>
      </c>
      <c r="N61">
        <v>48.1341407892983</v>
      </c>
      <c r="O61">
        <v>48.134136277663302</v>
      </c>
      <c r="P61">
        <v>48.134129420779303</v>
      </c>
      <c r="Q61" t="s">
        <v>51</v>
      </c>
    </row>
    <row r="62" spans="1:17" x14ac:dyDescent="0.2">
      <c r="A62">
        <v>61</v>
      </c>
      <c r="B62">
        <v>762</v>
      </c>
      <c r="C62">
        <v>260</v>
      </c>
      <c r="D62">
        <v>0.322291938366422</v>
      </c>
      <c r="E62">
        <v>109.751630728202</v>
      </c>
      <c r="F62">
        <v>1.95122403594881</v>
      </c>
      <c r="G62">
        <v>-1819.9020206360728</v>
      </c>
      <c r="H62">
        <v>-1494.3369988402351</v>
      </c>
      <c r="I62">
        <v>314.51239414025503</v>
      </c>
      <c r="J62">
        <v>159.320266294276</v>
      </c>
      <c r="K62">
        <v>56.247580342476397</v>
      </c>
      <c r="L62">
        <v>0.85532702257726712</v>
      </c>
      <c r="M62">
        <v>-0.85511508620596466</v>
      </c>
      <c r="N62">
        <v>48.099914578645901</v>
      </c>
      <c r="O62">
        <v>48.099910003007203</v>
      </c>
      <c r="P62">
        <v>48.099903147069298</v>
      </c>
      <c r="Q62" t="s">
        <v>51</v>
      </c>
    </row>
    <row r="63" spans="1:17" x14ac:dyDescent="0.2">
      <c r="A63">
        <v>62</v>
      </c>
      <c r="B63">
        <v>761</v>
      </c>
      <c r="C63">
        <v>260</v>
      </c>
      <c r="D63">
        <v>0.321568921336364</v>
      </c>
      <c r="E63">
        <v>109.751666129676</v>
      </c>
      <c r="F63">
        <v>1.9518146963845</v>
      </c>
      <c r="G63">
        <v>-1819.5881736682243</v>
      </c>
      <c r="H63">
        <v>-1494.5320277086851</v>
      </c>
      <c r="I63">
        <v>314.324455515198</v>
      </c>
      <c r="J63">
        <v>159.32604976894399</v>
      </c>
      <c r="K63">
        <v>56.230576771953601</v>
      </c>
      <c r="L63">
        <v>0.85359459122373893</v>
      </c>
      <c r="M63">
        <v>-0.85338222009560749</v>
      </c>
      <c r="N63">
        <v>47.987934099416201</v>
      </c>
      <c r="O63">
        <v>47.987929450807997</v>
      </c>
      <c r="P63">
        <v>47.987922582954504</v>
      </c>
      <c r="Q63" t="s">
        <v>51</v>
      </c>
    </row>
    <row r="64" spans="1:17" x14ac:dyDescent="0.2">
      <c r="A64">
        <v>63</v>
      </c>
      <c r="B64">
        <v>760</v>
      </c>
      <c r="C64">
        <v>260</v>
      </c>
      <c r="D64">
        <v>0.320844504670183</v>
      </c>
      <c r="E64">
        <v>109.751701668218</v>
      </c>
      <c r="F64">
        <v>1.95240694201148</v>
      </c>
      <c r="G64">
        <v>-1819.2745168121128</v>
      </c>
      <c r="H64">
        <v>-1494.7268910673863</v>
      </c>
      <c r="I64">
        <v>314.13649724548998</v>
      </c>
      <c r="J64">
        <v>159.331781936456</v>
      </c>
      <c r="K64">
        <v>56.213537919070397</v>
      </c>
      <c r="L64">
        <v>0.85187145624760674</v>
      </c>
      <c r="M64">
        <v>-0.85165865545931363</v>
      </c>
      <c r="N64">
        <v>47.876505314943202</v>
      </c>
      <c r="O64">
        <v>47.876500593008203</v>
      </c>
      <c r="P64">
        <v>47.876493713453698</v>
      </c>
      <c r="Q64" t="s">
        <v>51</v>
      </c>
    </row>
    <row r="65" spans="1:17" x14ac:dyDescent="0.2">
      <c r="A65">
        <v>64</v>
      </c>
      <c r="B65">
        <v>759</v>
      </c>
      <c r="C65">
        <v>260</v>
      </c>
      <c r="D65">
        <v>0.32011868429976698</v>
      </c>
      <c r="E65">
        <v>109.75173734445301</v>
      </c>
      <c r="F65">
        <v>1.9530007594069001</v>
      </c>
      <c r="G65">
        <v>-1818.9610500978958</v>
      </c>
      <c r="H65">
        <v>-1494.9215902945698</v>
      </c>
      <c r="I65">
        <v>313.94851796824702</v>
      </c>
      <c r="J65">
        <v>159.33746251661401</v>
      </c>
      <c r="K65">
        <v>56.196464243968201</v>
      </c>
      <c r="L65">
        <v>0.85015753590075727</v>
      </c>
      <c r="M65">
        <v>-0.84994431052649932</v>
      </c>
      <c r="N65">
        <v>47.765623728629699</v>
      </c>
      <c r="O65">
        <v>47.765618933014402</v>
      </c>
      <c r="P65">
        <v>47.765612041973299</v>
      </c>
      <c r="Q65" t="s">
        <v>51</v>
      </c>
    </row>
    <row r="66" spans="1:17" x14ac:dyDescent="0.2">
      <c r="A66">
        <v>65</v>
      </c>
      <c r="B66">
        <v>758</v>
      </c>
      <c r="C66">
        <v>260</v>
      </c>
      <c r="D66">
        <v>0.31939145614120401</v>
      </c>
      <c r="E66">
        <v>109.751773159037</v>
      </c>
      <c r="F66">
        <v>1.9535961352512199</v>
      </c>
      <c r="G66">
        <v>-1818.6477735576464</v>
      </c>
      <c r="H66">
        <v>-1495.1161267535424</v>
      </c>
      <c r="I66">
        <v>313.76051633163303</v>
      </c>
      <c r="J66">
        <v>159.34309122514901</v>
      </c>
      <c r="K66">
        <v>56.179356202976997</v>
      </c>
      <c r="L66">
        <v>0.84845274933887271</v>
      </c>
      <c r="M66">
        <v>-0.84823910443063155</v>
      </c>
      <c r="N66">
        <v>47.655284891918498</v>
      </c>
      <c r="O66">
        <v>47.6552800222738</v>
      </c>
      <c r="P66">
        <v>47.655273119959801</v>
      </c>
      <c r="Q66" t="s">
        <v>51</v>
      </c>
    </row>
    <row r="67" spans="1:17" x14ac:dyDescent="0.2">
      <c r="A67">
        <v>66</v>
      </c>
      <c r="B67">
        <v>757</v>
      </c>
      <c r="C67">
        <v>260</v>
      </c>
      <c r="D67">
        <v>0.318662816094747</v>
      </c>
      <c r="E67">
        <v>109.75180911262299</v>
      </c>
      <c r="F67">
        <v>1.95419305632483</v>
      </c>
      <c r="G67">
        <v>-1818.3346872246555</v>
      </c>
      <c r="H67">
        <v>-1495.3105017916769</v>
      </c>
      <c r="I67">
        <v>313.572490995203</v>
      </c>
      <c r="J67">
        <v>159.34866777360401</v>
      </c>
      <c r="K67">
        <v>56.162214248693203</v>
      </c>
      <c r="L67">
        <v>0.84675701663923031</v>
      </c>
      <c r="M67">
        <v>-0.84654295722702932</v>
      </c>
      <c r="N67">
        <v>47.545484405383696</v>
      </c>
      <c r="O67">
        <v>47.545479461364501</v>
      </c>
      <c r="P67">
        <v>47.545472547991203</v>
      </c>
      <c r="Q67" t="s">
        <v>51</v>
      </c>
    </row>
    <row r="68" spans="1:17" x14ac:dyDescent="0.2">
      <c r="A68">
        <v>67</v>
      </c>
      <c r="B68">
        <v>756</v>
      </c>
      <c r="C68">
        <v>260</v>
      </c>
      <c r="D68">
        <v>0.317932760044698</v>
      </c>
      <c r="E68">
        <v>109.75184520589499</v>
      </c>
      <c r="F68">
        <v>1.9547915095086901</v>
      </c>
      <c r="G68">
        <v>-1818.021791134101</v>
      </c>
      <c r="H68">
        <v>-1495.504716742103</v>
      </c>
      <c r="I68">
        <v>313.384440628974</v>
      </c>
      <c r="J68">
        <v>159.35419186962699</v>
      </c>
      <c r="K68">
        <v>56.145038829987499</v>
      </c>
      <c r="L68">
        <v>0.84507025874271458</v>
      </c>
      <c r="M68">
        <v>-0.84485578983485998</v>
      </c>
      <c r="N68">
        <v>47.436217915502098</v>
      </c>
      <c r="O68">
        <v>47.436212896767799</v>
      </c>
      <c r="P68">
        <v>47.4362059725484</v>
      </c>
      <c r="Q68" t="s">
        <v>51</v>
      </c>
    </row>
    <row r="69" spans="1:17" x14ac:dyDescent="0.2">
      <c r="A69">
        <v>68</v>
      </c>
      <c r="B69">
        <v>755</v>
      </c>
      <c r="C69">
        <v>260</v>
      </c>
      <c r="D69">
        <v>0.31720128385935797</v>
      </c>
      <c r="E69">
        <v>109.751881439492</v>
      </c>
      <c r="F69">
        <v>1.95539148177947</v>
      </c>
      <c r="G69">
        <v>-1817.7090853217373</v>
      </c>
      <c r="H69">
        <v>-1495.6987729218611</v>
      </c>
      <c r="I69">
        <v>313.19636391399803</v>
      </c>
      <c r="J69">
        <v>159.35966321678899</v>
      </c>
      <c r="K69">
        <v>56.127830392108599</v>
      </c>
      <c r="L69">
        <v>0.84339239748654005</v>
      </c>
      <c r="M69">
        <v>-0.84317752406986568</v>
      </c>
      <c r="N69">
        <v>47.327481116602698</v>
      </c>
      <c r="O69">
        <v>47.327476022817002</v>
      </c>
      <c r="P69">
        <v>47.327469087963998</v>
      </c>
      <c r="Q69" t="s">
        <v>51</v>
      </c>
    </row>
    <row r="70" spans="1:17" x14ac:dyDescent="0.2">
      <c r="A70">
        <v>69</v>
      </c>
      <c r="B70">
        <v>754</v>
      </c>
      <c r="C70">
        <v>260</v>
      </c>
      <c r="D70">
        <v>0.31646838339093702</v>
      </c>
      <c r="E70">
        <v>109.75191781407</v>
      </c>
      <c r="F70">
        <v>1.95599296021213</v>
      </c>
      <c r="G70">
        <v>-1817.3965698249069</v>
      </c>
      <c r="H70">
        <v>-1495.8926716335391</v>
      </c>
      <c r="I70">
        <v>313.00825954179902</v>
      </c>
      <c r="J70">
        <v>159.36508151469701</v>
      </c>
      <c r="K70">
        <v>56.1105893766441</v>
      </c>
      <c r="L70">
        <v>0.84172335556643985</v>
      </c>
      <c r="M70">
        <v>-0.84150808260654419</v>
      </c>
      <c r="N70">
        <v>47.219269748730703</v>
      </c>
      <c r="O70">
        <v>47.219264579561298</v>
      </c>
      <c r="P70">
        <v>47.219257634287302</v>
      </c>
      <c r="Q70" t="s">
        <v>51</v>
      </c>
    </row>
    <row r="71" spans="1:17" x14ac:dyDescent="0.2">
      <c r="A71">
        <v>70</v>
      </c>
      <c r="B71">
        <v>753</v>
      </c>
      <c r="C71">
        <v>260</v>
      </c>
      <c r="D71">
        <v>0.31573405447546998</v>
      </c>
      <c r="E71">
        <v>109.751954330296</v>
      </c>
      <c r="F71">
        <v>1.9565959319756101</v>
      </c>
      <c r="G71">
        <v>-1817.0842446824611</v>
      </c>
      <c r="H71">
        <v>-1496.0864141651336</v>
      </c>
      <c r="I71">
        <v>312.82012621449002</v>
      </c>
      <c r="J71">
        <v>159.37044645908799</v>
      </c>
      <c r="K71">
        <v>56.0933162216472</v>
      </c>
      <c r="L71">
        <v>0.84006305653600399</v>
      </c>
      <c r="M71">
        <v>-0.83984738897748268</v>
      </c>
      <c r="N71">
        <v>47.111579597738</v>
      </c>
      <c r="O71">
        <v>47.111574352857403</v>
      </c>
      <c r="P71">
        <v>47.111567397374202</v>
      </c>
      <c r="Q71" t="s">
        <v>51</v>
      </c>
    </row>
    <row r="72" spans="1:17" x14ac:dyDescent="0.2">
      <c r="A72">
        <v>71</v>
      </c>
      <c r="B72">
        <v>752</v>
      </c>
      <c r="C72">
        <v>260</v>
      </c>
      <c r="D72">
        <v>0.31499829293274201</v>
      </c>
      <c r="E72">
        <v>109.75199098884799</v>
      </c>
      <c r="F72">
        <v>1.9572003843333501</v>
      </c>
      <c r="G72">
        <v>-1816.7721099346486</v>
      </c>
      <c r="H72">
        <v>-1496.2800017905636</v>
      </c>
      <c r="I72">
        <v>312.63196264421401</v>
      </c>
      <c r="J72">
        <v>159.37575774192101</v>
      </c>
      <c r="K72">
        <v>56.0760113616222</v>
      </c>
      <c r="L72">
        <v>0.83841142477515418</v>
      </c>
      <c r="M72">
        <v>-0.83819536754182322</v>
      </c>
      <c r="N72">
        <v>47.004406493521699</v>
      </c>
      <c r="O72">
        <v>47.004401172606499</v>
      </c>
      <c r="P72">
        <v>47.004394207125699</v>
      </c>
      <c r="Q72" t="s">
        <v>51</v>
      </c>
    </row>
    <row r="73" spans="1:17" x14ac:dyDescent="0.2">
      <c r="A73">
        <v>72</v>
      </c>
      <c r="B73">
        <v>751</v>
      </c>
      <c r="C73">
        <v>260</v>
      </c>
      <c r="D73">
        <v>0.31426109456622597</v>
      </c>
      <c r="E73">
        <v>109.75202779037799</v>
      </c>
      <c r="F73">
        <v>1.9578063046403</v>
      </c>
      <c r="G73">
        <v>-1816.4601656226548</v>
      </c>
      <c r="H73">
        <v>-1496.4734357688465</v>
      </c>
      <c r="I73">
        <v>312.44376755353898</v>
      </c>
      <c r="J73">
        <v>159.381015051259</v>
      </c>
      <c r="K73">
        <v>56.058675227599899</v>
      </c>
      <c r="L73">
        <v>0.83676838550917565</v>
      </c>
      <c r="M73">
        <v>-0.83655194350429718</v>
      </c>
      <c r="N73">
        <v>46.8977463111746</v>
      </c>
      <c r="O73">
        <v>46.897740913905899</v>
      </c>
      <c r="P73">
        <v>46.897733938638801</v>
      </c>
      <c r="Q73" t="s">
        <v>51</v>
      </c>
    </row>
    <row r="74" spans="1:17" x14ac:dyDescent="0.2">
      <c r="A74">
        <v>73</v>
      </c>
      <c r="B74">
        <v>750</v>
      </c>
      <c r="C74">
        <v>260</v>
      </c>
      <c r="D74">
        <v>0.313522455162978</v>
      </c>
      <c r="E74">
        <v>109.752064735587</v>
      </c>
      <c r="F74">
        <v>1.9584136803443699</v>
      </c>
      <c r="G74">
        <v>-1816.1484117896987</v>
      </c>
      <c r="H74">
        <v>-1496.6667173457151</v>
      </c>
      <c r="I74">
        <v>312.25553967501497</v>
      </c>
      <c r="J74">
        <v>159.386218071435</v>
      </c>
      <c r="K74">
        <v>56.0413082471363</v>
      </c>
      <c r="L74">
        <v>0.83513386477535867</v>
      </c>
      <c r="M74">
        <v>-0.83491704288185897</v>
      </c>
      <c r="N74">
        <v>46.791594969129697</v>
      </c>
      <c r="O74">
        <v>46.7915894951932</v>
      </c>
      <c r="P74">
        <v>46.791582510350501</v>
      </c>
      <c r="Q74" t="s">
        <v>51</v>
      </c>
    </row>
    <row r="75" spans="1:17" x14ac:dyDescent="0.2">
      <c r="A75">
        <v>74</v>
      </c>
      <c r="B75">
        <v>749</v>
      </c>
      <c r="C75">
        <v>260</v>
      </c>
      <c r="D75">
        <v>0.312782370493568</v>
      </c>
      <c r="E75">
        <v>109.752101825146</v>
      </c>
      <c r="F75">
        <v>1.95902249898004</v>
      </c>
      <c r="G75">
        <v>-1815.8368484797572</v>
      </c>
      <c r="H75">
        <v>-1496.8598477526093</v>
      </c>
      <c r="I75">
        <v>312.06727775094799</v>
      </c>
      <c r="J75">
        <v>159.39136648320601</v>
      </c>
      <c r="K75">
        <v>56.023910844458399</v>
      </c>
      <c r="L75">
        <v>0.83350778941107229</v>
      </c>
      <c r="M75">
        <v>-0.83329059249174797</v>
      </c>
      <c r="N75">
        <v>46.685948428631598</v>
      </c>
      <c r="O75">
        <v>46.685942877717402</v>
      </c>
      <c r="P75">
        <v>46.6859358835096</v>
      </c>
      <c r="Q75" t="s">
        <v>51</v>
      </c>
    </row>
    <row r="76" spans="1:17" x14ac:dyDescent="0.2">
      <c r="A76">
        <v>75</v>
      </c>
      <c r="B76">
        <v>748</v>
      </c>
      <c r="C76">
        <v>260</v>
      </c>
      <c r="D76">
        <v>0.31204083631200402</v>
      </c>
      <c r="E76">
        <v>109.75213905973899</v>
      </c>
      <c r="F76">
        <v>1.9596327481734801</v>
      </c>
      <c r="G76">
        <v>-1815.5254757383186</v>
      </c>
      <c r="H76">
        <v>-1497.0528282072814</v>
      </c>
      <c r="I76">
        <v>311.87898053360198</v>
      </c>
      <c r="J76">
        <v>159.39645996349401</v>
      </c>
      <c r="K76">
        <v>56.006483440346798</v>
      </c>
      <c r="L76">
        <v>0.83189008706167678</v>
      </c>
      <c r="M76">
        <v>-0.83167251995941138</v>
      </c>
      <c r="N76">
        <v>46.580802694098203</v>
      </c>
      <c r="O76">
        <v>46.580797065901002</v>
      </c>
      <c r="P76">
        <v>46.580790062538199</v>
      </c>
      <c r="Q76" t="s">
        <v>51</v>
      </c>
    </row>
    <row r="77" spans="1:17" x14ac:dyDescent="0.2">
      <c r="A77">
        <v>76</v>
      </c>
      <c r="B77">
        <v>747</v>
      </c>
      <c r="C77">
        <v>260</v>
      </c>
      <c r="D77">
        <v>0.31129784835563601</v>
      </c>
      <c r="E77">
        <v>109.75217644001</v>
      </c>
      <c r="F77">
        <v>1.96024441563622</v>
      </c>
      <c r="G77">
        <v>-1815.2142936113946</v>
      </c>
      <c r="H77">
        <v>-1497.2456599135003</v>
      </c>
      <c r="I77">
        <v>311.69064678456499</v>
      </c>
      <c r="J77">
        <v>159.401498185706</v>
      </c>
      <c r="K77">
        <v>55.989026452290297</v>
      </c>
      <c r="L77">
        <v>0.83028068614445272</v>
      </c>
      <c r="M77">
        <v>-0.83006275368241278</v>
      </c>
      <c r="N77">
        <v>46.476153811243698</v>
      </c>
      <c r="O77">
        <v>46.476148105462897</v>
      </c>
      <c r="P77">
        <v>46.476141093154901</v>
      </c>
      <c r="Q77" t="s">
        <v>51</v>
      </c>
    </row>
    <row r="78" spans="1:17" x14ac:dyDescent="0.2">
      <c r="A78">
        <v>77</v>
      </c>
      <c r="B78">
        <v>746</v>
      </c>
      <c r="C78">
        <v>260</v>
      </c>
      <c r="D78">
        <v>0.31055340234509199</v>
      </c>
      <c r="E78">
        <v>109.75221396667099</v>
      </c>
      <c r="F78">
        <v>1.96085748916606</v>
      </c>
      <c r="G78">
        <v>-1814.9033021473729</v>
      </c>
      <c r="H78">
        <v>-1497.4383440624244</v>
      </c>
      <c r="I78">
        <v>311.50227527526499</v>
      </c>
      <c r="J78">
        <v>159.40648081970599</v>
      </c>
      <c r="K78">
        <v>55.971540294520601</v>
      </c>
      <c r="L78">
        <v>0.82867951586158306</v>
      </c>
      <c r="M78">
        <v>-0.82846122284342116</v>
      </c>
      <c r="N78">
        <v>46.371997867849899</v>
      </c>
      <c r="O78">
        <v>46.371992084189401</v>
      </c>
      <c r="P78">
        <v>46.371985063145402</v>
      </c>
      <c r="Q78" t="s">
        <v>51</v>
      </c>
    </row>
    <row r="79" spans="1:17" x14ac:dyDescent="0.2">
      <c r="A79">
        <v>78</v>
      </c>
      <c r="B79">
        <v>745</v>
      </c>
      <c r="C79">
        <v>260</v>
      </c>
      <c r="D79">
        <v>0.309807493984187</v>
      </c>
      <c r="E79">
        <v>109.752251640411</v>
      </c>
      <c r="F79">
        <v>1.9614719566471801</v>
      </c>
      <c r="G79">
        <v>-1814.5925013955202</v>
      </c>
      <c r="H79">
        <v>-1497.6308818318175</v>
      </c>
      <c r="I79">
        <v>311.31386478632101</v>
      </c>
      <c r="J79">
        <v>159.411407531789</v>
      </c>
      <c r="K79">
        <v>55.954025377969302</v>
      </c>
      <c r="L79">
        <v>0.8270865061735323</v>
      </c>
      <c r="M79">
        <v>-0.82686785738358204</v>
      </c>
      <c r="N79">
        <v>46.268330992252999</v>
      </c>
      <c r="O79">
        <v>46.268325130421303</v>
      </c>
      <c r="P79">
        <v>46.268318100850301</v>
      </c>
      <c r="Q79" t="s">
        <v>51</v>
      </c>
    </row>
    <row r="80" spans="1:17" x14ac:dyDescent="0.2">
      <c r="A80">
        <v>79</v>
      </c>
      <c r="B80">
        <v>744</v>
      </c>
      <c r="C80">
        <v>260</v>
      </c>
      <c r="D80">
        <v>0.30906011895984098</v>
      </c>
      <c r="E80">
        <v>109.752289461933</v>
      </c>
      <c r="F80">
        <v>1.96208780604577</v>
      </c>
      <c r="G80">
        <v>-1814.2818914064785</v>
      </c>
      <c r="H80">
        <v>-1497.8232743866752</v>
      </c>
      <c r="I80">
        <v>311.125414107457</v>
      </c>
      <c r="J80">
        <v>159.41627798492999</v>
      </c>
      <c r="K80">
        <v>55.936482110410203</v>
      </c>
      <c r="L80">
        <v>0.82550158778398586</v>
      </c>
      <c r="M80">
        <v>-0.82528258798744625</v>
      </c>
      <c r="N80">
        <v>46.165149352632703</v>
      </c>
      <c r="O80">
        <v>46.165143412343198</v>
      </c>
      <c r="P80">
        <v>46.165136374453802</v>
      </c>
      <c r="Q80" t="s">
        <v>51</v>
      </c>
    </row>
    <row r="81" spans="1:17" x14ac:dyDescent="0.2">
      <c r="A81">
        <v>80</v>
      </c>
      <c r="B81">
        <v>743</v>
      </c>
      <c r="C81">
        <v>260</v>
      </c>
      <c r="D81">
        <v>0.30831127294198801</v>
      </c>
      <c r="E81">
        <v>109.75232743190899</v>
      </c>
      <c r="F81">
        <v>1.96270502541227</v>
      </c>
      <c r="G81">
        <v>-1813.9714722316405</v>
      </c>
      <c r="H81">
        <v>-1498.0155228783592</v>
      </c>
      <c r="I81">
        <v>310.93692203778897</v>
      </c>
      <c r="J81">
        <v>159.421091838454</v>
      </c>
      <c r="K81">
        <v>55.918910896381703</v>
      </c>
      <c r="L81">
        <v>0.82392469215931574</v>
      </c>
      <c r="M81">
        <v>-0.82370534610244528</v>
      </c>
      <c r="N81">
        <v>46.062449158050299</v>
      </c>
      <c r="O81">
        <v>46.0624431390209</v>
      </c>
      <c r="P81">
        <v>46.062436093021397</v>
      </c>
      <c r="Q81" t="s">
        <v>51</v>
      </c>
    </row>
    <row r="82" spans="1:17" x14ac:dyDescent="0.2">
      <c r="A82">
        <v>81</v>
      </c>
      <c r="B82">
        <v>742</v>
      </c>
      <c r="C82">
        <v>260</v>
      </c>
      <c r="D82">
        <v>0.30756095158350699</v>
      </c>
      <c r="E82">
        <v>109.75230189240401</v>
      </c>
      <c r="F82">
        <v>1.9414077943347401</v>
      </c>
      <c r="G82">
        <v>-1813.6623129028715</v>
      </c>
      <c r="H82">
        <v>-1502.0668660500899</v>
      </c>
      <c r="I82">
        <v>306.94863175103097</v>
      </c>
      <c r="J82">
        <v>159.58778114604601</v>
      </c>
      <c r="K82">
        <v>56.532327835849301</v>
      </c>
      <c r="L82">
        <v>0.62233626758018745</v>
      </c>
      <c r="M82">
        <v>-0.62204517641507862</v>
      </c>
      <c r="N82">
        <v>35.167982124109997</v>
      </c>
      <c r="O82">
        <v>35.167974281545597</v>
      </c>
      <c r="P82">
        <v>35.167964940052599</v>
      </c>
      <c r="Q82" t="s">
        <v>51</v>
      </c>
    </row>
    <row r="83" spans="1:17" x14ac:dyDescent="0.2">
      <c r="A83">
        <v>82</v>
      </c>
      <c r="B83">
        <v>741</v>
      </c>
      <c r="C83">
        <v>260</v>
      </c>
      <c r="D83">
        <v>0.30680915052014102</v>
      </c>
      <c r="E83">
        <v>109.760172933059</v>
      </c>
      <c r="F83">
        <v>1.90969662486083</v>
      </c>
      <c r="G83">
        <v>-1813.4857804966616</v>
      </c>
      <c r="H83">
        <v>-1508.3059421016785</v>
      </c>
      <c r="I83">
        <v>300.926474610002</v>
      </c>
      <c r="J83">
        <v>159.78990244996999</v>
      </c>
      <c r="K83">
        <v>57.475188207476897</v>
      </c>
      <c r="L83">
        <v>0.32659507539161442</v>
      </c>
      <c r="M83">
        <v>-0.32619859067459872</v>
      </c>
      <c r="N83">
        <v>18.751516150671101</v>
      </c>
      <c r="O83">
        <v>18.7515055477581</v>
      </c>
      <c r="P83">
        <v>18.751492738550098</v>
      </c>
      <c r="Q83" t="s">
        <v>51</v>
      </c>
    </row>
    <row r="84" spans="1:17" x14ac:dyDescent="0.2">
      <c r="A84">
        <v>83</v>
      </c>
      <c r="B84">
        <v>740</v>
      </c>
      <c r="C84">
        <v>260</v>
      </c>
      <c r="D84">
        <v>0.30605586537038199</v>
      </c>
      <c r="E84">
        <v>109.76209186022101</v>
      </c>
      <c r="F84">
        <v>1.88819734599093</v>
      </c>
      <c r="G84">
        <v>-1813.2187431477646</v>
      </c>
      <c r="H84">
        <v>-1512.7582838004425</v>
      </c>
      <c r="I84">
        <v>296.566275122626</v>
      </c>
      <c r="J84">
        <v>159.93058174292</v>
      </c>
      <c r="K84">
        <v>58.130625007641001</v>
      </c>
      <c r="L84">
        <v>0.12263314932407832</v>
      </c>
      <c r="M84">
        <v>-0.12216393988199981</v>
      </c>
      <c r="N84">
        <v>7.1052689547951902</v>
      </c>
      <c r="O84">
        <v>7.10525633469405</v>
      </c>
      <c r="P84">
        <v>7.1052410708567502</v>
      </c>
      <c r="Q84" t="s">
        <v>51</v>
      </c>
    </row>
    <row r="85" spans="1:17" x14ac:dyDescent="0.2">
      <c r="A85">
        <v>84</v>
      </c>
      <c r="B85">
        <v>739</v>
      </c>
      <c r="C85">
        <v>260</v>
      </c>
      <c r="D85">
        <v>0.30530109173541498</v>
      </c>
      <c r="E85">
        <v>109.76239106740501</v>
      </c>
      <c r="F85">
        <v>1.8839776337845</v>
      </c>
      <c r="G85">
        <v>-1812.9276838735661</v>
      </c>
      <c r="H85">
        <v>-1513.9067537804233</v>
      </c>
      <c r="I85">
        <v>295.437240694747</v>
      </c>
      <c r="J85">
        <v>159.997793578797</v>
      </c>
      <c r="K85">
        <v>58.260984153467</v>
      </c>
      <c r="L85">
        <v>7.6378773007424655E-2</v>
      </c>
      <c r="M85">
        <v>-7.5893300912842299E-2</v>
      </c>
      <c r="N85">
        <v>4.4255518896854698</v>
      </c>
      <c r="O85">
        <v>4.4255387138532596</v>
      </c>
      <c r="P85">
        <v>4.4255229012550403</v>
      </c>
      <c r="Q85" t="s">
        <v>51</v>
      </c>
    </row>
    <row r="86" spans="1:17" x14ac:dyDescent="0.2">
      <c r="A86">
        <v>85</v>
      </c>
      <c r="B86">
        <v>763</v>
      </c>
      <c r="C86">
        <v>240</v>
      </c>
      <c r="D86">
        <v>0.34424600685229401</v>
      </c>
      <c r="E86">
        <v>109.751781960945</v>
      </c>
      <c r="F86">
        <v>1.92139958805843</v>
      </c>
      <c r="G86">
        <v>-1821.3527097343331</v>
      </c>
      <c r="H86">
        <v>-1494.9339071551437</v>
      </c>
      <c r="I86">
        <v>315.03302568369202</v>
      </c>
      <c r="J86">
        <v>159.978863740295</v>
      </c>
      <c r="K86">
        <v>57.120748147890097</v>
      </c>
      <c r="L86">
        <v>0.83994481859280001</v>
      </c>
      <c r="M86">
        <v>-0.83969157650048865</v>
      </c>
      <c r="N86">
        <v>47.9660931586196</v>
      </c>
      <c r="O86">
        <v>47.966088728436503</v>
      </c>
      <c r="P86">
        <v>47.966079518540802</v>
      </c>
      <c r="Q86" t="s">
        <v>51</v>
      </c>
    </row>
    <row r="87" spans="1:17" x14ac:dyDescent="0.2">
      <c r="A87">
        <v>86</v>
      </c>
      <c r="B87">
        <v>762</v>
      </c>
      <c r="C87">
        <v>240</v>
      </c>
      <c r="D87">
        <v>0.34354489687485301</v>
      </c>
      <c r="E87">
        <v>109.75181337135299</v>
      </c>
      <c r="F87">
        <v>1.9220283521051</v>
      </c>
      <c r="G87">
        <v>-1821.0382628286811</v>
      </c>
      <c r="H87">
        <v>-1495.106518382371</v>
      </c>
      <c r="I87">
        <v>314.86684443702302</v>
      </c>
      <c r="J87">
        <v>159.979706075921</v>
      </c>
      <c r="K87">
        <v>57.102078255582299</v>
      </c>
      <c r="L87">
        <v>0.83944077597294187</v>
      </c>
      <c r="M87">
        <v>-0.83918744422506231</v>
      </c>
      <c r="N87">
        <v>47.921624547038697</v>
      </c>
      <c r="O87">
        <v>47.921620030501003</v>
      </c>
      <c r="P87">
        <v>47.921610818813498</v>
      </c>
      <c r="Q87" t="s">
        <v>51</v>
      </c>
    </row>
    <row r="88" spans="1:17" x14ac:dyDescent="0.2">
      <c r="A88">
        <v>87</v>
      </c>
      <c r="B88">
        <v>761</v>
      </c>
      <c r="C88">
        <v>240</v>
      </c>
      <c r="D88">
        <v>0.34284243098196698</v>
      </c>
      <c r="E88">
        <v>109.751849031578</v>
      </c>
      <c r="F88">
        <v>1.92265138715238</v>
      </c>
      <c r="G88">
        <v>-1820.7240655334988</v>
      </c>
      <c r="H88">
        <v>-1495.3007864323431</v>
      </c>
      <c r="I88">
        <v>314.67964514586401</v>
      </c>
      <c r="J88">
        <v>159.986916993666</v>
      </c>
      <c r="K88">
        <v>57.083592878546</v>
      </c>
      <c r="L88">
        <v>0.83780048921242667</v>
      </c>
      <c r="M88">
        <v>-0.83754671225192867</v>
      </c>
      <c r="N88">
        <v>47.812451567632699</v>
      </c>
      <c r="O88">
        <v>47.812446957875203</v>
      </c>
      <c r="P88">
        <v>47.8124377315307</v>
      </c>
      <c r="Q88" t="s">
        <v>51</v>
      </c>
    </row>
    <row r="89" spans="1:17" x14ac:dyDescent="0.2">
      <c r="A89">
        <v>88</v>
      </c>
      <c r="B89">
        <v>760</v>
      </c>
      <c r="C89">
        <v>240</v>
      </c>
      <c r="D89">
        <v>0.34213860523641398</v>
      </c>
      <c r="E89">
        <v>109.75188482979701</v>
      </c>
      <c r="F89">
        <v>1.9232761151200299</v>
      </c>
      <c r="G89">
        <v>-1820.4100576323169</v>
      </c>
      <c r="H89">
        <v>-1495.4948998438808</v>
      </c>
      <c r="I89">
        <v>314.49241642826001</v>
      </c>
      <c r="J89">
        <v>159.994087188245</v>
      </c>
      <c r="K89">
        <v>57.065069319465302</v>
      </c>
      <c r="L89">
        <v>0.83616890151014045</v>
      </c>
      <c r="M89">
        <v>-0.83591468474862096</v>
      </c>
      <c r="N89">
        <v>47.7038039884157</v>
      </c>
      <c r="O89">
        <v>47.703799284890501</v>
      </c>
      <c r="P89">
        <v>47.703790044146999</v>
      </c>
      <c r="Q89" t="s">
        <v>51</v>
      </c>
    </row>
    <row r="90" spans="1:17" x14ac:dyDescent="0.2">
      <c r="A90">
        <v>89</v>
      </c>
      <c r="B90">
        <v>759</v>
      </c>
      <c r="C90">
        <v>240</v>
      </c>
      <c r="D90">
        <v>0.34143341568570601</v>
      </c>
      <c r="E90">
        <v>109.751920766702</v>
      </c>
      <c r="F90">
        <v>1.9239025215098999</v>
      </c>
      <c r="G90">
        <v>-1820.0962391661599</v>
      </c>
      <c r="H90">
        <v>-1495.6888598986532</v>
      </c>
      <c r="I90">
        <v>314.30515699696201</v>
      </c>
      <c r="J90">
        <v>160.00121625871299</v>
      </c>
      <c r="K90">
        <v>57.046508094686203</v>
      </c>
      <c r="L90">
        <v>0.83454593701314383</v>
      </c>
      <c r="M90">
        <v>-0.83429128584335666</v>
      </c>
      <c r="N90">
        <v>47.595677615791203</v>
      </c>
      <c r="O90">
        <v>47.595672817955503</v>
      </c>
      <c r="P90">
        <v>47.595663563071</v>
      </c>
      <c r="Q90" t="s">
        <v>51</v>
      </c>
    </row>
    <row r="91" spans="1:17" x14ac:dyDescent="0.2">
      <c r="A91">
        <v>90</v>
      </c>
      <c r="B91">
        <v>758</v>
      </c>
      <c r="C91">
        <v>240</v>
      </c>
      <c r="D91">
        <v>0.34072685836202499</v>
      </c>
      <c r="E91">
        <v>109.751956842936</v>
      </c>
      <c r="F91">
        <v>1.9245305919161699</v>
      </c>
      <c r="G91">
        <v>-1819.7826101765252</v>
      </c>
      <c r="H91">
        <v>-1495.8826678631474</v>
      </c>
      <c r="I91">
        <v>314.11786557489899</v>
      </c>
      <c r="J91">
        <v>160.00830379969301</v>
      </c>
      <c r="K91">
        <v>57.027909716758998</v>
      </c>
      <c r="L91">
        <v>0.83293152070488086</v>
      </c>
      <c r="M91">
        <v>-0.83267644050096368</v>
      </c>
      <c r="N91">
        <v>47.488068301023503</v>
      </c>
      <c r="O91">
        <v>47.488063408339599</v>
      </c>
      <c r="P91">
        <v>47.488054139572</v>
      </c>
      <c r="Q91" t="s">
        <v>51</v>
      </c>
    </row>
    <row r="92" spans="1:17" x14ac:dyDescent="0.2">
      <c r="A92">
        <v>91</v>
      </c>
      <c r="B92">
        <v>757</v>
      </c>
      <c r="C92">
        <v>240</v>
      </c>
      <c r="D92">
        <v>0.340018929282145</v>
      </c>
      <c r="E92">
        <v>109.751993059176</v>
      </c>
      <c r="F92">
        <v>1.92516031201949</v>
      </c>
      <c r="G92">
        <v>-1819.4691707067345</v>
      </c>
      <c r="H92">
        <v>-1496.0763249902611</v>
      </c>
      <c r="I92">
        <v>313.93054089500799</v>
      </c>
      <c r="J92">
        <v>160.01534940179499</v>
      </c>
      <c r="K92">
        <v>57.0092746946601</v>
      </c>
      <c r="L92">
        <v>0.83132557837779975</v>
      </c>
      <c r="M92">
        <v>-0.83107007449548453</v>
      </c>
      <c r="N92">
        <v>47.380971938885402</v>
      </c>
      <c r="O92">
        <v>47.380966950820998</v>
      </c>
      <c r="P92">
        <v>47.380957668428302</v>
      </c>
      <c r="Q92" t="s">
        <v>51</v>
      </c>
    </row>
    <row r="93" spans="1:17" x14ac:dyDescent="0.2">
      <c r="A93">
        <v>92</v>
      </c>
      <c r="B93">
        <v>756</v>
      </c>
      <c r="C93">
        <v>240</v>
      </c>
      <c r="D93">
        <v>0.33930962444735902</v>
      </c>
      <c r="E93">
        <v>109.752029416078</v>
      </c>
      <c r="F93">
        <v>1.92579166758658</v>
      </c>
      <c r="G93">
        <v>-1819.1559208010171</v>
      </c>
      <c r="H93">
        <v>-1496.2698325184142</v>
      </c>
      <c r="I93">
        <v>313.74318170024202</v>
      </c>
      <c r="J93">
        <v>160.02235265149</v>
      </c>
      <c r="K93">
        <v>56.990603533776998</v>
      </c>
      <c r="L93">
        <v>0.82972803663753514</v>
      </c>
      <c r="M93">
        <v>-0.8294721144143582</v>
      </c>
      <c r="N93">
        <v>47.274384467909101</v>
      </c>
      <c r="O93">
        <v>47.274379383937102</v>
      </c>
      <c r="P93">
        <v>47.2743700881772</v>
      </c>
      <c r="Q93" t="s">
        <v>51</v>
      </c>
    </row>
    <row r="94" spans="1:17" x14ac:dyDescent="0.2">
      <c r="A94">
        <v>93</v>
      </c>
      <c r="B94">
        <v>755</v>
      </c>
      <c r="C94">
        <v>240</v>
      </c>
      <c r="D94">
        <v>0.338598939843407</v>
      </c>
      <c r="E94">
        <v>109.752065914312</v>
      </c>
      <c r="F94">
        <v>1.92642464447053</v>
      </c>
      <c r="G94">
        <v>-1818.8428605051242</v>
      </c>
      <c r="H94">
        <v>-1496.4631916724634</v>
      </c>
      <c r="I94">
        <v>313.55578674333799</v>
      </c>
      <c r="J94">
        <v>160.02931313117699</v>
      </c>
      <c r="K94">
        <v>56.971896735923103</v>
      </c>
      <c r="L94">
        <v>0.82813882288336238</v>
      </c>
      <c r="M94">
        <v>-0.82788248763886929</v>
      </c>
      <c r="N94">
        <v>47.168301869306397</v>
      </c>
      <c r="O94">
        <v>47.168296688905102</v>
      </c>
      <c r="P94">
        <v>47.168287380035999</v>
      </c>
      <c r="Q94" t="s">
        <v>51</v>
      </c>
    </row>
    <row r="95" spans="1:17" x14ac:dyDescent="0.2">
      <c r="A95">
        <v>94</v>
      </c>
      <c r="B95">
        <v>754</v>
      </c>
      <c r="C95">
        <v>240</v>
      </c>
      <c r="D95">
        <v>0.33788687144039198</v>
      </c>
      <c r="E95">
        <v>109.752102554506</v>
      </c>
      <c r="F95">
        <v>1.9270592286072299</v>
      </c>
      <c r="G95">
        <v>-1818.5299898653045</v>
      </c>
      <c r="H95">
        <v>-1496.6564036628815</v>
      </c>
      <c r="I95">
        <v>313.36835478665802</v>
      </c>
      <c r="J95">
        <v>160.036230419238</v>
      </c>
      <c r="K95">
        <v>56.953154799413198</v>
      </c>
      <c r="L95">
        <v>0.82655786530108033</v>
      </c>
      <c r="M95">
        <v>-0.82630112233702335</v>
      </c>
      <c r="N95">
        <v>47.062720166648397</v>
      </c>
      <c r="O95">
        <v>47.062714889301603</v>
      </c>
      <c r="P95">
        <v>47.062705567581098</v>
      </c>
      <c r="Q95" t="s">
        <v>51</v>
      </c>
    </row>
    <row r="96" spans="1:17" x14ac:dyDescent="0.2">
      <c r="A96">
        <v>95</v>
      </c>
      <c r="B96">
        <v>753</v>
      </c>
      <c r="C96">
        <v>240</v>
      </c>
      <c r="D96">
        <v>0.33717341519271199</v>
      </c>
      <c r="E96">
        <v>109.752139337336</v>
      </c>
      <c r="F96">
        <v>1.9276954060159199</v>
      </c>
      <c r="G96">
        <v>-1818.2173089298724</v>
      </c>
      <c r="H96">
        <v>-1496.8494696873902</v>
      </c>
      <c r="I96">
        <v>313.180884602177</v>
      </c>
      <c r="J96">
        <v>160.04310409015</v>
      </c>
      <c r="K96">
        <v>56.934378219101902</v>
      </c>
      <c r="L96">
        <v>0.82498509284909516</v>
      </c>
      <c r="M96">
        <v>-0.82472794744962741</v>
      </c>
      <c r="N96">
        <v>46.957635425125197</v>
      </c>
      <c r="O96">
        <v>46.957630050322102</v>
      </c>
      <c r="P96">
        <v>46.9576207160083</v>
      </c>
      <c r="Q96" t="s">
        <v>51</v>
      </c>
    </row>
    <row r="97" spans="1:17" x14ac:dyDescent="0.2">
      <c r="A97">
        <v>96</v>
      </c>
      <c r="B97">
        <v>752</v>
      </c>
      <c r="C97">
        <v>240</v>
      </c>
      <c r="D97">
        <v>0.33645856703896998</v>
      </c>
      <c r="E97">
        <v>109.752176263499</v>
      </c>
      <c r="F97">
        <v>1.92833316279498</v>
      </c>
      <c r="G97">
        <v>-1817.9048177486868</v>
      </c>
      <c r="H97">
        <v>-1497.0423909305923</v>
      </c>
      <c r="I97">
        <v>312.99337497137998</v>
      </c>
      <c r="J97">
        <v>160.04993371461401</v>
      </c>
      <c r="K97">
        <v>56.915567486492499</v>
      </c>
      <c r="L97">
        <v>0.8234204352501735</v>
      </c>
      <c r="M97">
        <v>-0.82316289268203358</v>
      </c>
      <c r="N97">
        <v>46.853043751186902</v>
      </c>
      <c r="O97">
        <v>46.853038278422297</v>
      </c>
      <c r="P97">
        <v>46.853028931773203</v>
      </c>
      <c r="Q97" t="s">
        <v>51</v>
      </c>
    </row>
    <row r="98" spans="1:17" x14ac:dyDescent="0.2">
      <c r="A98">
        <v>97</v>
      </c>
      <c r="B98">
        <v>751</v>
      </c>
      <c r="C98">
        <v>240</v>
      </c>
      <c r="D98">
        <v>0.33574232290192102</v>
      </c>
      <c r="E98">
        <v>109.752213333669</v>
      </c>
      <c r="F98">
        <v>1.9289724851238199</v>
      </c>
      <c r="G98">
        <v>-1817.5925163724164</v>
      </c>
      <c r="H98">
        <v>-1497.2351685634719</v>
      </c>
      <c r="I98">
        <v>312.80582468507799</v>
      </c>
      <c r="J98">
        <v>160.05671885939299</v>
      </c>
      <c r="K98">
        <v>56.896723089662899</v>
      </c>
      <c r="L98">
        <v>0.82186382298583571</v>
      </c>
      <c r="M98">
        <v>-0.82160588849853255</v>
      </c>
      <c r="N98">
        <v>46.748941292181598</v>
      </c>
      <c r="O98">
        <v>46.748935720956197</v>
      </c>
      <c r="P98">
        <v>46.748926362229703</v>
      </c>
      <c r="Q98" t="s">
        <v>51</v>
      </c>
    </row>
    <row r="99" spans="1:17" x14ac:dyDescent="0.2">
      <c r="A99">
        <v>98</v>
      </c>
      <c r="B99">
        <v>750</v>
      </c>
      <c r="C99">
        <v>240</v>
      </c>
      <c r="D99">
        <v>0.335024678688366</v>
      </c>
      <c r="E99">
        <v>109.752250548476</v>
      </c>
      <c r="F99">
        <v>1.9296133592587801</v>
      </c>
      <c r="G99">
        <v>-1817.2804048522603</v>
      </c>
      <c r="H99">
        <v>-1497.4278037435502</v>
      </c>
      <c r="I99">
        <v>312.61823254302698</v>
      </c>
      <c r="J99">
        <v>160.06345908754801</v>
      </c>
      <c r="K99">
        <v>56.877845513380699</v>
      </c>
      <c r="L99">
        <v>0.82031518727179498</v>
      </c>
      <c r="M99">
        <v>-0.82005686609778172</v>
      </c>
      <c r="N99">
        <v>46.645324235071797</v>
      </c>
      <c r="O99">
        <v>46.645318564891902</v>
      </c>
      <c r="P99">
        <v>46.645309194345899</v>
      </c>
      <c r="Q99" t="s">
        <v>51</v>
      </c>
    </row>
    <row r="100" spans="1:17" x14ac:dyDescent="0.2">
      <c r="A100">
        <v>99</v>
      </c>
      <c r="B100">
        <v>749</v>
      </c>
      <c r="C100">
        <v>240</v>
      </c>
      <c r="D100">
        <v>0.33430563028909699</v>
      </c>
      <c r="E100">
        <v>109.75228790865999</v>
      </c>
      <c r="F100">
        <v>1.93025577153325</v>
      </c>
      <c r="G100">
        <v>-1816.9684832423707</v>
      </c>
      <c r="H100">
        <v>-1497.620297617</v>
      </c>
      <c r="I100">
        <v>312.43059735427897</v>
      </c>
      <c r="J100">
        <v>160.07015395857499</v>
      </c>
      <c r="K100">
        <v>56.858935239178898</v>
      </c>
      <c r="L100">
        <v>0.81877446005706422</v>
      </c>
      <c r="M100">
        <v>-0.81851575741190774</v>
      </c>
      <c r="N100">
        <v>46.542188806463102</v>
      </c>
      <c r="O100">
        <v>46.542183036840697</v>
      </c>
      <c r="P100">
        <v>46.542173654733297</v>
      </c>
      <c r="Q100" t="s">
        <v>51</v>
      </c>
    </row>
    <row r="101" spans="1:17" x14ac:dyDescent="0.2">
      <c r="A101">
        <v>100</v>
      </c>
      <c r="B101">
        <v>748</v>
      </c>
      <c r="C101">
        <v>240</v>
      </c>
      <c r="D101">
        <v>0.33358517357881101</v>
      </c>
      <c r="E101">
        <v>109.752325414835</v>
      </c>
      <c r="F101">
        <v>1.93089970835602</v>
      </c>
      <c r="G101">
        <v>-1816.6567515960362</v>
      </c>
      <c r="H101">
        <v>-1497.8126513152818</v>
      </c>
      <c r="I101">
        <v>312.24291793677497</v>
      </c>
      <c r="J101">
        <v>160.07680302812301</v>
      </c>
      <c r="K101">
        <v>56.839992745287901</v>
      </c>
      <c r="L101">
        <v>0.81724157402548314</v>
      </c>
      <c r="M101">
        <v>-0.81698249510803489</v>
      </c>
      <c r="N101">
        <v>46.439531272652097</v>
      </c>
      <c r="O101">
        <v>46.4395254031053</v>
      </c>
      <c r="P101">
        <v>46.439516009694501</v>
      </c>
      <c r="Q101" t="s">
        <v>51</v>
      </c>
    </row>
    <row r="102" spans="1:17" x14ac:dyDescent="0.2">
      <c r="A102">
        <v>101</v>
      </c>
      <c r="B102">
        <v>747</v>
      </c>
      <c r="C102">
        <v>240</v>
      </c>
      <c r="D102">
        <v>0.33286330441601902</v>
      </c>
      <c r="E102">
        <v>109.752363206767</v>
      </c>
      <c r="F102">
        <v>1.9297665065032901</v>
      </c>
      <c r="G102">
        <v>-1816.3452864775393</v>
      </c>
      <c r="H102">
        <v>-1498.246920633891</v>
      </c>
      <c r="I102">
        <v>311.81804991206201</v>
      </c>
      <c r="J102">
        <v>160.10554424496601</v>
      </c>
      <c r="K102">
        <v>56.873390038071101</v>
      </c>
      <c r="L102">
        <v>0.80361131664583951</v>
      </c>
      <c r="M102">
        <v>-0.80334659187704582</v>
      </c>
      <c r="N102">
        <v>45.6913408321848</v>
      </c>
      <c r="O102">
        <v>45.691334757435001</v>
      </c>
      <c r="P102">
        <v>45.691325160513102</v>
      </c>
      <c r="Q102" t="s">
        <v>51</v>
      </c>
    </row>
    <row r="103" spans="1:17" x14ac:dyDescent="0.2">
      <c r="A103">
        <v>102</v>
      </c>
      <c r="B103">
        <v>746</v>
      </c>
      <c r="C103">
        <v>240</v>
      </c>
      <c r="D103">
        <v>0.33214001864298798</v>
      </c>
      <c r="E103">
        <v>109.752382480747</v>
      </c>
      <c r="F103">
        <v>1.9215030939636799</v>
      </c>
      <c r="G103">
        <v>-1816.0342162815027</v>
      </c>
      <c r="H103">
        <v>-1499.909866700307</v>
      </c>
      <c r="I103">
        <v>310.18739960287701</v>
      </c>
      <c r="J103">
        <v>160.154564123386</v>
      </c>
      <c r="K103">
        <v>57.117983741754003</v>
      </c>
      <c r="L103">
        <v>0.72634142801193202</v>
      </c>
      <c r="M103">
        <v>-0.72604686404289143</v>
      </c>
      <c r="N103">
        <v>41.472888389210603</v>
      </c>
      <c r="O103">
        <v>41.472881603450503</v>
      </c>
      <c r="P103">
        <v>41.4728709240269</v>
      </c>
      <c r="Q103" t="s">
        <v>51</v>
      </c>
    </row>
    <row r="104" spans="1:17" x14ac:dyDescent="0.2">
      <c r="A104">
        <v>103</v>
      </c>
      <c r="B104">
        <v>745</v>
      </c>
      <c r="C104">
        <v>240</v>
      </c>
      <c r="D104">
        <v>0.33141531208564601</v>
      </c>
      <c r="E104">
        <v>109.75235389393301</v>
      </c>
      <c r="F104">
        <v>1.9044103198587601</v>
      </c>
      <c r="G104">
        <v>-1815.7253128363873</v>
      </c>
      <c r="H104">
        <v>-1503.2338007444655</v>
      </c>
      <c r="I104">
        <v>306.92463036093602</v>
      </c>
      <c r="J104">
        <v>160.20740465214701</v>
      </c>
      <c r="K104">
        <v>57.630623374312002</v>
      </c>
      <c r="L104">
        <v>0.56463258667572391</v>
      </c>
      <c r="M104">
        <v>-0.56427707595069798</v>
      </c>
      <c r="N104">
        <v>32.522733813587401</v>
      </c>
      <c r="O104">
        <v>32.522725625205801</v>
      </c>
      <c r="P104">
        <v>32.522712707912603</v>
      </c>
      <c r="Q104" t="s">
        <v>51</v>
      </c>
    </row>
    <row r="105" spans="1:17" x14ac:dyDescent="0.2">
      <c r="A105">
        <v>104</v>
      </c>
      <c r="B105">
        <v>744</v>
      </c>
      <c r="C105">
        <v>240</v>
      </c>
      <c r="D105">
        <v>0.33068918055350899</v>
      </c>
      <c r="E105">
        <v>109.761988994652</v>
      </c>
      <c r="F105">
        <v>1.8672895580575399</v>
      </c>
      <c r="G105">
        <v>-1815.5787833348891</v>
      </c>
      <c r="H105">
        <v>-1510.5221652869186</v>
      </c>
      <c r="I105">
        <v>299.91825887928201</v>
      </c>
      <c r="J105">
        <v>160.2243819155</v>
      </c>
      <c r="K105">
        <v>58.7814506438053</v>
      </c>
      <c r="L105">
        <v>0.22531081587503277</v>
      </c>
      <c r="M105">
        <v>-0.22482660412176006</v>
      </c>
      <c r="N105">
        <v>13.2199034254923</v>
      </c>
      <c r="O105">
        <v>13.219892249094499</v>
      </c>
      <c r="P105">
        <v>13.219874460364901</v>
      </c>
      <c r="Q105" t="s">
        <v>51</v>
      </c>
    </row>
    <row r="106" spans="1:17" x14ac:dyDescent="0.2">
      <c r="A106">
        <v>105</v>
      </c>
      <c r="B106">
        <v>743</v>
      </c>
      <c r="C106">
        <v>240</v>
      </c>
      <c r="D106">
        <v>0.32996161983958999</v>
      </c>
      <c r="E106">
        <v>109.762664794649</v>
      </c>
      <c r="F106">
        <v>1.8546913793543001</v>
      </c>
      <c r="G106">
        <v>-1815.2915184087915</v>
      </c>
      <c r="H106">
        <v>-1513.2870186687744</v>
      </c>
      <c r="I106">
        <v>297.210322243549</v>
      </c>
      <c r="J106">
        <v>160.24274837259199</v>
      </c>
      <c r="K106">
        <v>59.181093963385898</v>
      </c>
      <c r="L106">
        <v>0.10332852187900343</v>
      </c>
      <c r="M106">
        <v>-0.1027983071044227</v>
      </c>
      <c r="N106">
        <v>6.0884076541483303</v>
      </c>
      <c r="O106">
        <v>6.08839525973044</v>
      </c>
      <c r="P106">
        <v>6.08837569062573</v>
      </c>
      <c r="Q106" t="s">
        <v>51</v>
      </c>
    </row>
    <row r="107" spans="1:17" x14ac:dyDescent="0.2">
      <c r="A107">
        <v>106</v>
      </c>
      <c r="B107">
        <v>742</v>
      </c>
      <c r="C107">
        <v>240</v>
      </c>
      <c r="D107">
        <v>0.32923262572033701</v>
      </c>
      <c r="E107">
        <v>109.762840277907</v>
      </c>
      <c r="F107">
        <v>1.85180917953504</v>
      </c>
      <c r="G107">
        <v>-1814.9976546648466</v>
      </c>
      <c r="H107">
        <v>-1514.1879350925335</v>
      </c>
      <c r="I107">
        <v>296.32629560194403</v>
      </c>
      <c r="J107">
        <v>160.27921843263701</v>
      </c>
      <c r="K107">
        <v>59.273299587739601</v>
      </c>
      <c r="L107">
        <v>6.9064870430507824E-2</v>
      </c>
      <c r="M107">
        <v>-6.8521959516430253E-2</v>
      </c>
      <c r="N107">
        <v>4.0663220583201403</v>
      </c>
      <c r="O107">
        <v>4.0663091991508802</v>
      </c>
      <c r="P107">
        <v>4.0662891411840896</v>
      </c>
      <c r="Q107" t="s">
        <v>51</v>
      </c>
    </row>
    <row r="108" spans="1:17" x14ac:dyDescent="0.2">
      <c r="A108">
        <v>107</v>
      </c>
      <c r="B108">
        <v>763</v>
      </c>
      <c r="C108">
        <v>220</v>
      </c>
      <c r="D108">
        <v>0.36547845389181399</v>
      </c>
      <c r="E108">
        <v>109.751965431908</v>
      </c>
      <c r="F108">
        <v>1.8883125507274301</v>
      </c>
      <c r="G108">
        <v>-1822.5078143780659</v>
      </c>
      <c r="H108">
        <v>-1495.6766796161417</v>
      </c>
      <c r="I108">
        <v>315.43114998334801</v>
      </c>
      <c r="J108">
        <v>160.64187304348101</v>
      </c>
      <c r="K108">
        <v>58.121715808978998</v>
      </c>
      <c r="L108">
        <v>0.82257499934624989</v>
      </c>
      <c r="M108">
        <v>-0.82227067904103057</v>
      </c>
      <c r="N108">
        <v>47.794782850681898</v>
      </c>
      <c r="O108">
        <v>47.794779343496302</v>
      </c>
      <c r="P108">
        <v>47.794766824259497</v>
      </c>
      <c r="Q108" t="s">
        <v>51</v>
      </c>
    </row>
    <row r="109" spans="1:17" x14ac:dyDescent="0.2">
      <c r="A109">
        <v>108</v>
      </c>
      <c r="B109">
        <v>762</v>
      </c>
      <c r="C109">
        <v>220</v>
      </c>
      <c r="D109">
        <v>0.36479785538328002</v>
      </c>
      <c r="E109">
        <v>109.751999107473</v>
      </c>
      <c r="F109">
        <v>1.88898247664125</v>
      </c>
      <c r="G109">
        <v>-1822.1930117972279</v>
      </c>
      <c r="H109">
        <v>-1495.8595937930929</v>
      </c>
      <c r="I109">
        <v>315.255058161894</v>
      </c>
      <c r="J109">
        <v>160.647895472908</v>
      </c>
      <c r="K109">
        <v>58.101120822793597</v>
      </c>
      <c r="L109">
        <v>0.82159081087448105</v>
      </c>
      <c r="M109">
        <v>-0.82128621466981344</v>
      </c>
      <c r="N109">
        <v>47.720645005528603</v>
      </c>
      <c r="O109">
        <v>47.720641382096801</v>
      </c>
      <c r="P109">
        <v>47.720628851273098</v>
      </c>
      <c r="Q109" t="s">
        <v>51</v>
      </c>
    </row>
    <row r="110" spans="1:17" x14ac:dyDescent="0.2">
      <c r="A110">
        <v>109</v>
      </c>
      <c r="B110">
        <v>761</v>
      </c>
      <c r="C110">
        <v>220</v>
      </c>
      <c r="D110">
        <v>0.36411594062757002</v>
      </c>
      <c r="E110">
        <v>109.752035009266</v>
      </c>
      <c r="F110">
        <v>1.8896467258276399</v>
      </c>
      <c r="G110">
        <v>-1821.8784301017006</v>
      </c>
      <c r="H110">
        <v>-1496.0530265671446</v>
      </c>
      <c r="I110">
        <v>315.06866985448897</v>
      </c>
      <c r="J110">
        <v>160.65695466910299</v>
      </c>
      <c r="K110">
        <v>58.080716098505597</v>
      </c>
      <c r="L110">
        <v>0.82005372432754797</v>
      </c>
      <c r="M110">
        <v>-0.81974866484347853</v>
      </c>
      <c r="N110">
        <v>47.614582051698299</v>
      </c>
      <c r="O110">
        <v>47.614578308912698</v>
      </c>
      <c r="P110">
        <v>47.6145657588334</v>
      </c>
      <c r="Q110" t="s">
        <v>51</v>
      </c>
    </row>
    <row r="111" spans="1:17" x14ac:dyDescent="0.2">
      <c r="A111">
        <v>110</v>
      </c>
      <c r="B111">
        <v>760</v>
      </c>
      <c r="C111">
        <v>220</v>
      </c>
      <c r="D111">
        <v>0.36343270580264397</v>
      </c>
      <c r="E111">
        <v>109.752071050014</v>
      </c>
      <c r="F111">
        <v>1.89031282662364</v>
      </c>
      <c r="G111">
        <v>-1821.5640370119916</v>
      </c>
      <c r="H111">
        <v>-1496.2463168520642</v>
      </c>
      <c r="I111">
        <v>314.88224117216203</v>
      </c>
      <c r="J111">
        <v>160.66598620609901</v>
      </c>
      <c r="K111">
        <v>58.060268916466597</v>
      </c>
      <c r="L111">
        <v>0.81852470893546769</v>
      </c>
      <c r="M111">
        <v>-0.81821919198371484</v>
      </c>
      <c r="N111">
        <v>47.509015981400601</v>
      </c>
      <c r="O111">
        <v>47.509012118393201</v>
      </c>
      <c r="P111">
        <v>47.508999549365797</v>
      </c>
      <c r="Q111" t="s">
        <v>51</v>
      </c>
    </row>
    <row r="112" spans="1:17" x14ac:dyDescent="0.2">
      <c r="A112">
        <v>111</v>
      </c>
      <c r="B112">
        <v>759</v>
      </c>
      <c r="C112">
        <v>220</v>
      </c>
      <c r="D112">
        <v>0.36274814707164799</v>
      </c>
      <c r="E112">
        <v>109.752107230359</v>
      </c>
      <c r="F112">
        <v>1.8909807636623901</v>
      </c>
      <c r="G112">
        <v>-1821.2498325792092</v>
      </c>
      <c r="H112">
        <v>-1496.439465831892</v>
      </c>
      <c r="I112">
        <v>314.69577090016901</v>
      </c>
      <c r="J112">
        <v>160.674989525748</v>
      </c>
      <c r="K112">
        <v>58.039779853600898</v>
      </c>
      <c r="L112">
        <v>0.81700369496692737</v>
      </c>
      <c r="M112">
        <v>-0.81669772634676896</v>
      </c>
      <c r="N112">
        <v>47.403942917930898</v>
      </c>
      <c r="O112">
        <v>47.4039389338392</v>
      </c>
      <c r="P112">
        <v>47.403926346172199</v>
      </c>
      <c r="Q112" t="s">
        <v>51</v>
      </c>
    </row>
    <row r="113" spans="1:17" x14ac:dyDescent="0.2">
      <c r="A113">
        <v>112</v>
      </c>
      <c r="B113">
        <v>758</v>
      </c>
      <c r="C113">
        <v>220</v>
      </c>
      <c r="D113">
        <v>0.36206226058284502</v>
      </c>
      <c r="E113">
        <v>109.75214355097199</v>
      </c>
      <c r="F113">
        <v>1.8916505216498101</v>
      </c>
      <c r="G113">
        <v>-1820.9358168561751</v>
      </c>
      <c r="H113">
        <v>-1496.6324746779212</v>
      </c>
      <c r="I113">
        <v>314.50925783307702</v>
      </c>
      <c r="J113">
        <v>160.68396406454701</v>
      </c>
      <c r="K113">
        <v>58.019249483383</v>
      </c>
      <c r="L113">
        <v>0.81549061343308971</v>
      </c>
      <c r="M113">
        <v>-0.81518419893155614</v>
      </c>
      <c r="N113">
        <v>47.2993590250354</v>
      </c>
      <c r="O113">
        <v>47.299354919002504</v>
      </c>
      <c r="P113">
        <v>47.2993423130048</v>
      </c>
      <c r="Q113" t="s">
        <v>51</v>
      </c>
    </row>
    <row r="114" spans="1:17" x14ac:dyDescent="0.2">
      <c r="A114">
        <v>113</v>
      </c>
      <c r="B114">
        <v>757</v>
      </c>
      <c r="C114">
        <v>220</v>
      </c>
      <c r="D114">
        <v>0.36137504246954599</v>
      </c>
      <c r="E114">
        <v>109.752180012502</v>
      </c>
      <c r="F114">
        <v>1.89232208536397</v>
      </c>
      <c r="G114">
        <v>-1820.6219898965526</v>
      </c>
      <c r="H114">
        <v>-1496.8253445483958</v>
      </c>
      <c r="I114">
        <v>314.32270077425102</v>
      </c>
      <c r="J114">
        <v>160.69290925365399</v>
      </c>
      <c r="K114">
        <v>57.998678375828902</v>
      </c>
      <c r="L114">
        <v>0.8139853960630965</v>
      </c>
      <c r="M114">
        <v>-0.81367854145515639</v>
      </c>
      <c r="N114">
        <v>47.195260505507498</v>
      </c>
      <c r="O114">
        <v>47.195256276682301</v>
      </c>
      <c r="P114">
        <v>47.195243652663898</v>
      </c>
      <c r="Q114" t="s">
        <v>51</v>
      </c>
    </row>
    <row r="115" spans="1:17" x14ac:dyDescent="0.2">
      <c r="A115">
        <v>114</v>
      </c>
      <c r="B115">
        <v>756</v>
      </c>
      <c r="C115">
        <v>220</v>
      </c>
      <c r="D115">
        <v>0.36068648885002402</v>
      </c>
      <c r="E115">
        <v>109.75221661559</v>
      </c>
      <c r="F115">
        <v>1.89299543965331</v>
      </c>
      <c r="G115">
        <v>-1820.3083517550172</v>
      </c>
      <c r="H115">
        <v>-1497.0180765882371</v>
      </c>
      <c r="I115">
        <v>314.13609853633699</v>
      </c>
      <c r="J115">
        <v>160.70182451883699</v>
      </c>
      <c r="K115">
        <v>57.978067097557599</v>
      </c>
      <c r="L115">
        <v>0.81248797532492667</v>
      </c>
      <c r="M115">
        <v>-0.81218068637367302</v>
      </c>
      <c r="N115">
        <v>47.0916436024728</v>
      </c>
      <c r="O115">
        <v>47.091639250009997</v>
      </c>
      <c r="P115">
        <v>47.091626608281501</v>
      </c>
      <c r="Q115" t="s">
        <v>51</v>
      </c>
    </row>
    <row r="116" spans="1:17" x14ac:dyDescent="0.2">
      <c r="A116">
        <v>115</v>
      </c>
      <c r="B116">
        <v>755</v>
      </c>
      <c r="C116">
        <v>220</v>
      </c>
      <c r="D116">
        <v>0.35999659582745702</v>
      </c>
      <c r="E116">
        <v>109.752253360935</v>
      </c>
      <c r="F116">
        <v>1.89367056943449</v>
      </c>
      <c r="G116">
        <v>-1819.9949024884324</v>
      </c>
      <c r="H116">
        <v>-1497.2106719308051</v>
      </c>
      <c r="I116">
        <v>313.94944994072603</v>
      </c>
      <c r="J116">
        <v>160.710709280814</v>
      </c>
      <c r="K116">
        <v>57.957416211897403</v>
      </c>
      <c r="L116">
        <v>0.81099828438412946</v>
      </c>
      <c r="M116">
        <v>-0.81069056684094887</v>
      </c>
      <c r="N116">
        <v>46.988504597103699</v>
      </c>
      <c r="O116">
        <v>46.988500120164097</v>
      </c>
      <c r="P116">
        <v>46.988487461036797</v>
      </c>
      <c r="Q116" t="s">
        <v>51</v>
      </c>
    </row>
    <row r="117" spans="1:17" x14ac:dyDescent="0.2">
      <c r="A117">
        <v>116</v>
      </c>
      <c r="B117">
        <v>754</v>
      </c>
      <c r="C117">
        <v>220</v>
      </c>
      <c r="D117">
        <v>0.35930535948985198</v>
      </c>
      <c r="E117">
        <v>109.752290249155</v>
      </c>
      <c r="F117">
        <v>1.8943474596899199</v>
      </c>
      <c r="G117">
        <v>-1819.6816421534661</v>
      </c>
      <c r="H117">
        <v>-1497.4031316956691</v>
      </c>
      <c r="I117">
        <v>313.76275381745802</v>
      </c>
      <c r="J117">
        <v>160.71956295508599</v>
      </c>
      <c r="K117">
        <v>57.936726278884599</v>
      </c>
      <c r="L117">
        <v>0.80951625711054886</v>
      </c>
      <c r="M117">
        <v>-0.80920811671528903</v>
      </c>
      <c r="N117">
        <v>46.885839809031197</v>
      </c>
      <c r="O117">
        <v>46.885835206781898</v>
      </c>
      <c r="P117">
        <v>46.885822530568099</v>
      </c>
      <c r="Q117" t="s">
        <v>51</v>
      </c>
    </row>
    <row r="118" spans="1:17" x14ac:dyDescent="0.2">
      <c r="A118">
        <v>117</v>
      </c>
      <c r="B118">
        <v>753</v>
      </c>
      <c r="C118">
        <v>220</v>
      </c>
      <c r="D118">
        <v>0.35861277590995699</v>
      </c>
      <c r="E118">
        <v>109.752327280952</v>
      </c>
      <c r="F118">
        <v>1.8950260954712299</v>
      </c>
      <c r="G118">
        <v>-1819.3685708093501</v>
      </c>
      <c r="H118">
        <v>-1497.5954569911232</v>
      </c>
      <c r="I118">
        <v>313.57600900548999</v>
      </c>
      <c r="J118">
        <v>160.72838495200699</v>
      </c>
      <c r="K118">
        <v>57.915997855248797</v>
      </c>
      <c r="L118">
        <v>0.80804182807445757</v>
      </c>
      <c r="M118">
        <v>-0.8077332705555943</v>
      </c>
      <c r="N118">
        <v>46.783645596130299</v>
      </c>
      <c r="O118">
        <v>46.783640867744602</v>
      </c>
      <c r="P118">
        <v>46.783628174757297</v>
      </c>
      <c r="Q118" t="s">
        <v>51</v>
      </c>
    </row>
    <row r="119" spans="1:17" x14ac:dyDescent="0.2">
      <c r="A119">
        <v>118</v>
      </c>
      <c r="B119">
        <v>752</v>
      </c>
      <c r="C119">
        <v>220</v>
      </c>
      <c r="D119">
        <v>0.35791884114519901</v>
      </c>
      <c r="E119">
        <v>109.75236454088299</v>
      </c>
      <c r="F119">
        <v>1.8951618850178</v>
      </c>
      <c r="G119">
        <v>-1819.0556968960718</v>
      </c>
      <c r="H119">
        <v>-1497.8599154016501</v>
      </c>
      <c r="I119">
        <v>313.31874458527102</v>
      </c>
      <c r="J119">
        <v>160.74099831693201</v>
      </c>
      <c r="K119">
        <v>57.911867797959601</v>
      </c>
      <c r="L119">
        <v>0.80300869819553244</v>
      </c>
      <c r="M119">
        <v>-0.80269805882446399</v>
      </c>
      <c r="N119">
        <v>46.488724150889702</v>
      </c>
      <c r="O119">
        <v>46.488719273216702</v>
      </c>
      <c r="P119">
        <v>46.488706493868698</v>
      </c>
      <c r="Q119" t="s">
        <v>51</v>
      </c>
    </row>
    <row r="120" spans="1:17" x14ac:dyDescent="0.2">
      <c r="A120">
        <v>119</v>
      </c>
      <c r="B120">
        <v>751</v>
      </c>
      <c r="C120">
        <v>220</v>
      </c>
      <c r="D120">
        <v>0.35722355123761301</v>
      </c>
      <c r="E120">
        <v>109.75240177035</v>
      </c>
      <c r="F120">
        <v>1.89302699646883</v>
      </c>
      <c r="G120">
        <v>-1818.7432540696163</v>
      </c>
      <c r="H120">
        <v>-1498.4281855914044</v>
      </c>
      <c r="I120">
        <v>312.76481675913499</v>
      </c>
      <c r="J120">
        <v>160.77139548074001</v>
      </c>
      <c r="K120">
        <v>57.977198410311999</v>
      </c>
      <c r="L120">
        <v>0.78293593353826274</v>
      </c>
      <c r="M120">
        <v>-0.78261620732340798</v>
      </c>
      <c r="N120">
        <v>45.376957683637201</v>
      </c>
      <c r="O120">
        <v>45.376952558778797</v>
      </c>
      <c r="P120">
        <v>45.376939399613903</v>
      </c>
      <c r="Q120" t="s">
        <v>51</v>
      </c>
    </row>
    <row r="121" spans="1:17" x14ac:dyDescent="0.2">
      <c r="A121">
        <v>120</v>
      </c>
      <c r="B121">
        <v>750</v>
      </c>
      <c r="C121">
        <v>220</v>
      </c>
      <c r="D121">
        <v>0.356526902213751</v>
      </c>
      <c r="E121">
        <v>109.752438010376</v>
      </c>
      <c r="F121">
        <v>1.8906770704574101</v>
      </c>
      <c r="G121">
        <v>-1818.4313644541837</v>
      </c>
      <c r="H121">
        <v>-1499.0309317242679</v>
      </c>
      <c r="I121">
        <v>312.17665834177598</v>
      </c>
      <c r="J121">
        <v>160.80615550104099</v>
      </c>
      <c r="K121">
        <v>58.0492775446968</v>
      </c>
      <c r="L121">
        <v>0.76103722226419179</v>
      </c>
      <c r="M121">
        <v>-0.7607076546957986</v>
      </c>
      <c r="N121">
        <v>44.161681797753303</v>
      </c>
      <c r="O121">
        <v>44.161676408485</v>
      </c>
      <c r="P121">
        <v>44.161662837267897</v>
      </c>
      <c r="Q121" t="s">
        <v>51</v>
      </c>
    </row>
    <row r="122" spans="1:17" x14ac:dyDescent="0.2">
      <c r="A122">
        <v>121</v>
      </c>
      <c r="B122">
        <v>749</v>
      </c>
      <c r="C122">
        <v>220</v>
      </c>
      <c r="D122">
        <v>0.35582889008462698</v>
      </c>
      <c r="E122">
        <v>109.752422569662</v>
      </c>
      <c r="F122">
        <v>1.87430845599342</v>
      </c>
      <c r="G122">
        <v>-1818.1202421596004</v>
      </c>
      <c r="H122">
        <v>-1502.0870132357381</v>
      </c>
      <c r="I122">
        <v>309.18840314951899</v>
      </c>
      <c r="J122">
        <v>160.783051801775</v>
      </c>
      <c r="K122">
        <v>58.556222279587701</v>
      </c>
      <c r="L122">
        <v>0.61326975505714243</v>
      </c>
      <c r="M122">
        <v>-0.61288006578274157</v>
      </c>
      <c r="N122">
        <v>35.891680421557403</v>
      </c>
      <c r="O122">
        <v>35.891673999164098</v>
      </c>
      <c r="P122">
        <v>35.891657903588502</v>
      </c>
      <c r="Q122" t="s">
        <v>51</v>
      </c>
    </row>
    <row r="123" spans="1:17" x14ac:dyDescent="0.2">
      <c r="A123">
        <v>122</v>
      </c>
      <c r="B123">
        <v>748</v>
      </c>
      <c r="C123">
        <v>220</v>
      </c>
      <c r="D123">
        <v>0.355129510845618</v>
      </c>
      <c r="E123">
        <v>109.75964311601599</v>
      </c>
      <c r="F123">
        <v>1.84369164289846</v>
      </c>
      <c r="G123">
        <v>-1817.9306598631081</v>
      </c>
      <c r="H123">
        <v>-1507.8976523353062</v>
      </c>
      <c r="I123">
        <v>303.61631525269399</v>
      </c>
      <c r="J123">
        <v>160.660714610382</v>
      </c>
      <c r="K123">
        <v>59.532538176212199</v>
      </c>
      <c r="L123">
        <v>0.34201966244609339</v>
      </c>
      <c r="M123">
        <v>-0.34151968041249142</v>
      </c>
      <c r="N123">
        <v>20.336380560308001</v>
      </c>
      <c r="O123">
        <v>20.336372242697198</v>
      </c>
      <c r="P123">
        <v>20.336351393697001</v>
      </c>
      <c r="Q123" t="s">
        <v>51</v>
      </c>
    </row>
    <row r="124" spans="1:17" x14ac:dyDescent="0.2">
      <c r="A124">
        <v>123</v>
      </c>
      <c r="B124">
        <v>747</v>
      </c>
      <c r="C124">
        <v>220</v>
      </c>
      <c r="D124">
        <v>0.35442876047640198</v>
      </c>
      <c r="E124">
        <v>109.762960123461</v>
      </c>
      <c r="F124">
        <v>1.8221217058797099</v>
      </c>
      <c r="G124">
        <v>-1817.6833270436098</v>
      </c>
      <c r="H124">
        <v>-1512.2457892609896</v>
      </c>
      <c r="I124">
        <v>299.41002931412498</v>
      </c>
      <c r="J124">
        <v>160.550250091024</v>
      </c>
      <c r="K124">
        <v>60.239093672652203</v>
      </c>
      <c r="L124">
        <v>0.14690057735692288</v>
      </c>
      <c r="M124">
        <v>-0.14632138195985722</v>
      </c>
      <c r="N124">
        <v>8.8199255068628499</v>
      </c>
      <c r="O124">
        <v>8.8199156836561201</v>
      </c>
      <c r="P124">
        <v>8.8198913253339093</v>
      </c>
      <c r="Q124" t="s">
        <v>51</v>
      </c>
    </row>
    <row r="125" spans="1:17" x14ac:dyDescent="0.2">
      <c r="A125">
        <v>124</v>
      </c>
      <c r="B125">
        <v>746</v>
      </c>
      <c r="C125">
        <v>220</v>
      </c>
      <c r="D125">
        <v>0.35372663494088302</v>
      </c>
      <c r="E125">
        <v>109.763167549622</v>
      </c>
      <c r="F125">
        <v>1.81585422081519</v>
      </c>
      <c r="G125">
        <v>-1817.3882030207524</v>
      </c>
      <c r="H125">
        <v>-1513.7884075140425</v>
      </c>
      <c r="I125">
        <v>297.90086485337002</v>
      </c>
      <c r="J125">
        <v>160.53514859739099</v>
      </c>
      <c r="K125">
        <v>60.447125265565603</v>
      </c>
      <c r="L125">
        <v>8.3315478951417832E-2</v>
      </c>
      <c r="M125">
        <v>-8.271075381327829E-2</v>
      </c>
      <c r="N125">
        <v>5.0055388894739501</v>
      </c>
      <c r="O125">
        <v>5.0055284119262904</v>
      </c>
      <c r="P125">
        <v>5.00550291048999</v>
      </c>
      <c r="Q125" t="s">
        <v>51</v>
      </c>
    </row>
    <row r="126" spans="1:17" x14ac:dyDescent="0.2">
      <c r="A126">
        <v>125</v>
      </c>
      <c r="B126">
        <v>745</v>
      </c>
      <c r="C126">
        <v>220</v>
      </c>
      <c r="D126">
        <v>0.35302313018710402</v>
      </c>
      <c r="E126">
        <v>109.76325773675801</v>
      </c>
      <c r="F126">
        <v>1.81420051360959</v>
      </c>
      <c r="G126">
        <v>-1817.0921240239547</v>
      </c>
      <c r="H126">
        <v>-1514.4550001210334</v>
      </c>
      <c r="I126">
        <v>297.24804040789797</v>
      </c>
      <c r="J126">
        <v>160.55799061250201</v>
      </c>
      <c r="K126">
        <v>60.502274645689198</v>
      </c>
      <c r="L126">
        <v>6.0237636049585978E-2</v>
      </c>
      <c r="M126">
        <v>-5.9623828133871355E-2</v>
      </c>
      <c r="N126">
        <v>3.6133686865369001</v>
      </c>
      <c r="O126">
        <v>3.6133578256912302</v>
      </c>
      <c r="P126">
        <v>3.6133319199415599</v>
      </c>
      <c r="Q126" t="s">
        <v>51</v>
      </c>
    </row>
    <row r="127" spans="1:17" x14ac:dyDescent="0.2">
      <c r="A127">
        <v>126</v>
      </c>
      <c r="B127">
        <v>764</v>
      </c>
      <c r="C127">
        <v>200</v>
      </c>
      <c r="D127">
        <v>0.38736971508460899</v>
      </c>
      <c r="E127">
        <v>109.752121484233</v>
      </c>
      <c r="F127">
        <v>1.84918424908989</v>
      </c>
      <c r="G127">
        <v>-1824.0003828976105</v>
      </c>
      <c r="H127">
        <v>-1496.2257706110215</v>
      </c>
      <c r="I127">
        <v>316.03687776669199</v>
      </c>
      <c r="J127">
        <v>161.297726969694</v>
      </c>
      <c r="K127">
        <v>59.351641967667497</v>
      </c>
      <c r="L127">
        <v>0.80270103632624357</v>
      </c>
      <c r="M127">
        <v>-0.80233229716452248</v>
      </c>
      <c r="N127">
        <v>47.623778699336199</v>
      </c>
      <c r="O127">
        <v>47.623777919810202</v>
      </c>
      <c r="P127">
        <v>47.623760659438197</v>
      </c>
      <c r="Q127" t="s">
        <v>51</v>
      </c>
    </row>
    <row r="128" spans="1:17" x14ac:dyDescent="0.2">
      <c r="A128">
        <v>127</v>
      </c>
      <c r="B128">
        <v>763</v>
      </c>
      <c r="C128">
        <v>200</v>
      </c>
      <c r="D128">
        <v>0.38671090093133698</v>
      </c>
      <c r="E128">
        <v>109.752152853686</v>
      </c>
      <c r="F128">
        <v>1.84992345181256</v>
      </c>
      <c r="G128">
        <v>-1823.6849318077323</v>
      </c>
      <c r="H128">
        <v>-1496.3964940927206</v>
      </c>
      <c r="I128">
        <v>315.87267777152198</v>
      </c>
      <c r="J128">
        <v>161.30310247620901</v>
      </c>
      <c r="K128">
        <v>59.327942864960299</v>
      </c>
      <c r="L128">
        <v>0.80242720080173768</v>
      </c>
      <c r="M128">
        <v>-0.80205839223341169</v>
      </c>
      <c r="N128">
        <v>47.588504274075198</v>
      </c>
      <c r="O128">
        <v>47.588503347707601</v>
      </c>
      <c r="P128">
        <v>47.588486080317999</v>
      </c>
      <c r="Q128" t="s">
        <v>51</v>
      </c>
    </row>
    <row r="129" spans="1:17" x14ac:dyDescent="0.2">
      <c r="A129">
        <v>128</v>
      </c>
      <c r="B129">
        <v>762</v>
      </c>
      <c r="C129">
        <v>200</v>
      </c>
      <c r="D129">
        <v>0.38605081389170998</v>
      </c>
      <c r="E129">
        <v>109.75218883936699</v>
      </c>
      <c r="F129">
        <v>1.8506374554484</v>
      </c>
      <c r="G129">
        <v>-1823.3697337305398</v>
      </c>
      <c r="H129">
        <v>-1496.5891137249469</v>
      </c>
      <c r="I129">
        <v>315.68725583108397</v>
      </c>
      <c r="J129">
        <v>161.31460561223099</v>
      </c>
      <c r="K129">
        <v>59.305072701435698</v>
      </c>
      <c r="L129">
        <v>0.80099948300753632</v>
      </c>
      <c r="M129">
        <v>-0.8006301698547903</v>
      </c>
      <c r="N129">
        <v>47.485455441276599</v>
      </c>
      <c r="O129">
        <v>47.485454365718603</v>
      </c>
      <c r="P129">
        <v>47.485437070792898</v>
      </c>
      <c r="Q129" t="s">
        <v>51</v>
      </c>
    </row>
    <row r="130" spans="1:17" x14ac:dyDescent="0.2">
      <c r="A130">
        <v>129</v>
      </c>
      <c r="B130">
        <v>761</v>
      </c>
      <c r="C130">
        <v>200</v>
      </c>
      <c r="D130">
        <v>0.38538945027317301</v>
      </c>
      <c r="E130">
        <v>109.752224964226</v>
      </c>
      <c r="F130">
        <v>1.85135355133237</v>
      </c>
      <c r="G130">
        <v>-1823.054723303962</v>
      </c>
      <c r="H130">
        <v>-1496.7816033077013</v>
      </c>
      <c r="I130">
        <v>315.50178247469</v>
      </c>
      <c r="J130">
        <v>161.32610045143301</v>
      </c>
      <c r="K130">
        <v>59.282153257674999</v>
      </c>
      <c r="L130">
        <v>0.79957924223755272</v>
      </c>
      <c r="M130">
        <v>-0.79920943076253692</v>
      </c>
      <c r="N130">
        <v>47.382876085333599</v>
      </c>
      <c r="O130">
        <v>47.382874859181598</v>
      </c>
      <c r="P130">
        <v>47.382857537068602</v>
      </c>
      <c r="Q130" t="s">
        <v>51</v>
      </c>
    </row>
    <row r="131" spans="1:17" x14ac:dyDescent="0.2">
      <c r="A131">
        <v>130</v>
      </c>
      <c r="B131">
        <v>760</v>
      </c>
      <c r="C131">
        <v>200</v>
      </c>
      <c r="D131">
        <v>0.38472680636887402</v>
      </c>
      <c r="E131">
        <v>109.752261228859</v>
      </c>
      <c r="F131">
        <v>1.8520717235608299</v>
      </c>
      <c r="G131">
        <v>-1822.7399005894151</v>
      </c>
      <c r="H131">
        <v>-1496.9739639435206</v>
      </c>
      <c r="I131">
        <v>315.31625654555199</v>
      </c>
      <c r="J131">
        <v>161.33758626611501</v>
      </c>
      <c r="K131">
        <v>59.259185177692601</v>
      </c>
      <c r="L131">
        <v>0.79816641446635228</v>
      </c>
      <c r="M131">
        <v>-0.79779611092921998</v>
      </c>
      <c r="N131">
        <v>47.280762622057097</v>
      </c>
      <c r="O131">
        <v>47.280761243911002</v>
      </c>
      <c r="P131">
        <v>47.280743894961297</v>
      </c>
      <c r="Q131" t="s">
        <v>51</v>
      </c>
    </row>
    <row r="132" spans="1:17" x14ac:dyDescent="0.2">
      <c r="A132">
        <v>131</v>
      </c>
      <c r="B132">
        <v>759</v>
      </c>
      <c r="C132">
        <v>200</v>
      </c>
      <c r="D132">
        <v>0.38406287845759102</v>
      </c>
      <c r="E132">
        <v>109.75229763396401</v>
      </c>
      <c r="F132">
        <v>1.85279195628551</v>
      </c>
      <c r="G132">
        <v>-1822.4252656511028</v>
      </c>
      <c r="H132">
        <v>-1497.1661967239866</v>
      </c>
      <c r="I132">
        <v>315.13067689571199</v>
      </c>
      <c r="J132">
        <v>161.34906232000901</v>
      </c>
      <c r="K132">
        <v>59.236169102329299</v>
      </c>
      <c r="L132">
        <v>0.79676093634573408</v>
      </c>
      <c r="M132">
        <v>-0.79639014700487076</v>
      </c>
      <c r="N132">
        <v>47.179111504918502</v>
      </c>
      <c r="O132">
        <v>47.179109973382097</v>
      </c>
      <c r="P132">
        <v>47.179092597948397</v>
      </c>
      <c r="Q132" t="s">
        <v>51</v>
      </c>
    </row>
    <row r="133" spans="1:17" x14ac:dyDescent="0.2">
      <c r="A133">
        <v>132</v>
      </c>
      <c r="B133">
        <v>758</v>
      </c>
      <c r="C133">
        <v>200</v>
      </c>
      <c r="D133">
        <v>0.383397662803666</v>
      </c>
      <c r="E133">
        <v>109.752334180153</v>
      </c>
      <c r="F133">
        <v>1.8535142337041599</v>
      </c>
      <c r="G133">
        <v>-1822.1108185530013</v>
      </c>
      <c r="H133">
        <v>-1497.3583027280101</v>
      </c>
      <c r="I133">
        <v>314.94504238482602</v>
      </c>
      <c r="J133">
        <v>161.360527868585</v>
      </c>
      <c r="K133">
        <v>59.213105669449398</v>
      </c>
      <c r="L133">
        <v>0.79536274515003802</v>
      </c>
      <c r="M133">
        <v>-0.7949914762622573</v>
      </c>
      <c r="N133">
        <v>47.077919221989198</v>
      </c>
      <c r="O133">
        <v>47.077917535669798</v>
      </c>
      <c r="P133">
        <v>47.077900134106798</v>
      </c>
      <c r="Q133" t="s">
        <v>51</v>
      </c>
    </row>
    <row r="134" spans="1:17" x14ac:dyDescent="0.2">
      <c r="A134">
        <v>133</v>
      </c>
      <c r="B134">
        <v>757</v>
      </c>
      <c r="C134">
        <v>200</v>
      </c>
      <c r="D134">
        <v>0.38273115565694399</v>
      </c>
      <c r="E134">
        <v>109.75237092351099</v>
      </c>
      <c r="F134">
        <v>1.85387260411522</v>
      </c>
      <c r="G134">
        <v>-1821.7965632797814</v>
      </c>
      <c r="H134">
        <v>-1497.5968627028194</v>
      </c>
      <c r="I134">
        <v>314.71414879417398</v>
      </c>
      <c r="J134">
        <v>161.37262884846601</v>
      </c>
      <c r="K134">
        <v>59.201679058141799</v>
      </c>
      <c r="L134">
        <v>0.7917014286575853</v>
      </c>
      <c r="M134">
        <v>-0.79132853563530414</v>
      </c>
      <c r="N134">
        <v>46.851990612238701</v>
      </c>
      <c r="O134">
        <v>46.851988766252099</v>
      </c>
      <c r="P134">
        <v>46.851971283287597</v>
      </c>
      <c r="Q134" t="s">
        <v>51</v>
      </c>
    </row>
    <row r="135" spans="1:17" x14ac:dyDescent="0.2">
      <c r="A135">
        <v>134</v>
      </c>
      <c r="B135">
        <v>756</v>
      </c>
      <c r="C135">
        <v>200</v>
      </c>
      <c r="D135">
        <v>0.38206335325268598</v>
      </c>
      <c r="E135">
        <v>109.75240775864501</v>
      </c>
      <c r="F135">
        <v>1.8518005274228899</v>
      </c>
      <c r="G135">
        <v>-1821.4827096582073</v>
      </c>
      <c r="H135">
        <v>-1498.1467670865125</v>
      </c>
      <c r="I135">
        <v>314.18073468562</v>
      </c>
      <c r="J135">
        <v>161.390582333564</v>
      </c>
      <c r="K135">
        <v>59.267942812061399</v>
      </c>
      <c r="L135">
        <v>0.77283259665281567</v>
      </c>
      <c r="M135">
        <v>-0.77245040075036786</v>
      </c>
      <c r="N135">
        <v>45.785652544411903</v>
      </c>
      <c r="O135">
        <v>45.785650510390198</v>
      </c>
      <c r="P135">
        <v>45.785632574296898</v>
      </c>
      <c r="Q135" t="s">
        <v>51</v>
      </c>
    </row>
    <row r="136" spans="1:17" x14ac:dyDescent="0.2">
      <c r="A136">
        <v>135</v>
      </c>
      <c r="B136">
        <v>755</v>
      </c>
      <c r="C136">
        <v>200</v>
      </c>
      <c r="D136">
        <v>0.38139425181150599</v>
      </c>
      <c r="E136">
        <v>109.752443853492</v>
      </c>
      <c r="F136">
        <v>1.84958584135626</v>
      </c>
      <c r="G136">
        <v>-1821.1693876730885</v>
      </c>
      <c r="H136">
        <v>-1498.719200701097</v>
      </c>
      <c r="I136">
        <v>313.62489227427898</v>
      </c>
      <c r="J136">
        <v>161.41139061104701</v>
      </c>
      <c r="K136">
        <v>59.338929504895603</v>
      </c>
      <c r="L136">
        <v>0.75278239457980245</v>
      </c>
      <c r="M136">
        <v>-0.75239036914447954</v>
      </c>
      <c r="N136">
        <v>44.650244794794297</v>
      </c>
      <c r="O136">
        <v>44.650242562815798</v>
      </c>
      <c r="P136">
        <v>44.650224147039602</v>
      </c>
      <c r="Q136" t="s">
        <v>51</v>
      </c>
    </row>
    <row r="137" spans="1:17" x14ac:dyDescent="0.2">
      <c r="A137">
        <v>136</v>
      </c>
      <c r="B137">
        <v>754</v>
      </c>
      <c r="C137">
        <v>200</v>
      </c>
      <c r="D137">
        <v>0.38072384753930699</v>
      </c>
      <c r="E137">
        <v>109.752478789682</v>
      </c>
      <c r="F137">
        <v>1.8471249259190801</v>
      </c>
      <c r="G137">
        <v>-1820.8566195732401</v>
      </c>
      <c r="H137">
        <v>-1499.3299304238803</v>
      </c>
      <c r="I137">
        <v>313.03123068690797</v>
      </c>
      <c r="J137">
        <v>161.43480258508899</v>
      </c>
      <c r="K137">
        <v>59.418005382105903</v>
      </c>
      <c r="L137">
        <v>0.73071621996871383</v>
      </c>
      <c r="M137">
        <v>-0.7303134704110027</v>
      </c>
      <c r="N137">
        <v>43.398084494568202</v>
      </c>
      <c r="O137">
        <v>43.398082052388801</v>
      </c>
      <c r="P137">
        <v>43.398063112396798</v>
      </c>
      <c r="Q137" t="s">
        <v>51</v>
      </c>
    </row>
    <row r="138" spans="1:17" x14ac:dyDescent="0.2">
      <c r="A138">
        <v>137</v>
      </c>
      <c r="B138">
        <v>753</v>
      </c>
      <c r="C138">
        <v>200</v>
      </c>
      <c r="D138">
        <v>0.380052136627202</v>
      </c>
      <c r="E138">
        <v>109.75247267565901</v>
      </c>
      <c r="F138">
        <v>1.83332344332116</v>
      </c>
      <c r="G138">
        <v>-1820.5444004327658</v>
      </c>
      <c r="H138">
        <v>-1501.8147345155878</v>
      </c>
      <c r="I138">
        <v>310.61097691468399</v>
      </c>
      <c r="J138">
        <v>161.35896349463999</v>
      </c>
      <c r="K138">
        <v>59.865308042336999</v>
      </c>
      <c r="L138">
        <v>0.61320589725881869</v>
      </c>
      <c r="M138">
        <v>-0.61275106924766154</v>
      </c>
      <c r="N138">
        <v>36.687418672225</v>
      </c>
      <c r="O138">
        <v>36.687415795540097</v>
      </c>
      <c r="P138">
        <v>36.687394318392499</v>
      </c>
      <c r="Q138" t="s">
        <v>51</v>
      </c>
    </row>
    <row r="139" spans="1:17" x14ac:dyDescent="0.2">
      <c r="A139">
        <v>138</v>
      </c>
      <c r="B139">
        <v>752</v>
      </c>
      <c r="C139">
        <v>200</v>
      </c>
      <c r="D139">
        <v>0.37937911525142798</v>
      </c>
      <c r="E139">
        <v>109.75830860654899</v>
      </c>
      <c r="F139">
        <v>1.8048884133798799</v>
      </c>
      <c r="G139">
        <v>-1820.3305461933544</v>
      </c>
      <c r="H139">
        <v>-1506.951974063325</v>
      </c>
      <c r="I139">
        <v>305.695054259286</v>
      </c>
      <c r="J139">
        <v>161.11139942463799</v>
      </c>
      <c r="K139">
        <v>60.811686635526399</v>
      </c>
      <c r="L139">
        <v>0.37501912045029961</v>
      </c>
      <c r="M139">
        <v>-0.37445933040748841</v>
      </c>
      <c r="N139">
        <v>22.777579300563101</v>
      </c>
      <c r="O139">
        <v>22.777575637729399</v>
      </c>
      <c r="P139">
        <v>22.777548927073699</v>
      </c>
      <c r="Q139" t="s">
        <v>51</v>
      </c>
    </row>
    <row r="140" spans="1:17" x14ac:dyDescent="0.2">
      <c r="A140">
        <v>139</v>
      </c>
      <c r="B140">
        <v>751</v>
      </c>
      <c r="C140">
        <v>200</v>
      </c>
      <c r="D140">
        <v>0.378704779573308</v>
      </c>
      <c r="E140">
        <v>109.763289868021</v>
      </c>
      <c r="F140">
        <v>1.78079857029751</v>
      </c>
      <c r="G140">
        <v>-1820.1082737442732</v>
      </c>
      <c r="H140">
        <v>-1511.5624204154205</v>
      </c>
      <c r="I140">
        <v>301.27557916498102</v>
      </c>
      <c r="J140">
        <v>160.85917783076101</v>
      </c>
      <c r="K140">
        <v>61.637117020867599</v>
      </c>
      <c r="L140">
        <v>0.17021844292925559</v>
      </c>
      <c r="M140">
        <v>-0.16956854976943236</v>
      </c>
      <c r="N140">
        <v>10.4588354743947</v>
      </c>
      <c r="O140">
        <v>10.458831012948799</v>
      </c>
      <c r="P140">
        <v>10.458799675254401</v>
      </c>
      <c r="Q140" t="s">
        <v>51</v>
      </c>
    </row>
    <row r="141" spans="1:17" x14ac:dyDescent="0.2">
      <c r="A141">
        <v>140</v>
      </c>
      <c r="B141">
        <v>750</v>
      </c>
      <c r="C141">
        <v>200</v>
      </c>
      <c r="D141">
        <v>0.37802912573913899</v>
      </c>
      <c r="E141">
        <v>109.763528561483</v>
      </c>
      <c r="F141">
        <v>1.7724253981068301</v>
      </c>
      <c r="G141">
        <v>-1819.8119411510697</v>
      </c>
      <c r="H141">
        <v>-1513.4330625168491</v>
      </c>
      <c r="I141">
        <v>299.45240260329501</v>
      </c>
      <c r="J141">
        <v>160.77599403236101</v>
      </c>
      <c r="K141">
        <v>61.928433590900099</v>
      </c>
      <c r="L141">
        <v>9.2279457679858373E-2</v>
      </c>
      <c r="M141">
        <v>-9.1595522533010038E-2</v>
      </c>
      <c r="N141">
        <v>5.6798726932264296</v>
      </c>
      <c r="O141">
        <v>5.6798677294501001</v>
      </c>
      <c r="P141">
        <v>5.6798346131028099</v>
      </c>
      <c r="Q141" t="s">
        <v>51</v>
      </c>
    </row>
    <row r="142" spans="1:17" x14ac:dyDescent="0.2">
      <c r="A142">
        <v>141</v>
      </c>
      <c r="B142">
        <v>749</v>
      </c>
      <c r="C142">
        <v>200</v>
      </c>
      <c r="D142">
        <v>0.37735214988015597</v>
      </c>
      <c r="E142">
        <v>109.763600589156</v>
      </c>
      <c r="F142">
        <v>1.7701166895036</v>
      </c>
      <c r="G142">
        <v>-1819.5140812789361</v>
      </c>
      <c r="H142">
        <v>-1514.2141431478094</v>
      </c>
      <c r="I142">
        <v>298.68991749176399</v>
      </c>
      <c r="J142">
        <v>160.77417483764199</v>
      </c>
      <c r="K142">
        <v>62.009245627720702</v>
      </c>
      <c r="L142">
        <v>6.4319195145788141E-2</v>
      </c>
      <c r="M142">
        <v>-6.3623210579771827E-2</v>
      </c>
      <c r="N142">
        <v>3.9528560563554</v>
      </c>
      <c r="O142">
        <v>3.9528507197266101</v>
      </c>
      <c r="P142">
        <v>3.9528169704079201</v>
      </c>
      <c r="Q142" t="s">
        <v>51</v>
      </c>
    </row>
    <row r="143" spans="1:17" x14ac:dyDescent="0.2">
      <c r="A143">
        <v>142</v>
      </c>
      <c r="B143">
        <v>765</v>
      </c>
      <c r="C143">
        <v>180</v>
      </c>
      <c r="D143">
        <v>0.409218802677841</v>
      </c>
      <c r="E143">
        <v>109.75227966092601</v>
      </c>
      <c r="F143">
        <v>1.80252363797674</v>
      </c>
      <c r="G143">
        <v>-1825.521090262637</v>
      </c>
      <c r="H143">
        <v>-1496.7298183732125</v>
      </c>
      <c r="I143">
        <v>316.711934028673</v>
      </c>
      <c r="J143">
        <v>161.914511690057</v>
      </c>
      <c r="K143">
        <v>60.888122268464898</v>
      </c>
      <c r="L143">
        <v>0.77948744850511642</v>
      </c>
      <c r="M143">
        <v>-0.77903633673581041</v>
      </c>
      <c r="N143">
        <v>47.439643197447602</v>
      </c>
      <c r="O143">
        <v>47.439648317231402</v>
      </c>
      <c r="P143">
        <v>47.439624156527202</v>
      </c>
      <c r="Q143" t="s">
        <v>51</v>
      </c>
    </row>
    <row r="144" spans="1:17" x14ac:dyDescent="0.2">
      <c r="A144">
        <v>143</v>
      </c>
      <c r="B144">
        <v>764</v>
      </c>
      <c r="C144">
        <v>180</v>
      </c>
      <c r="D144">
        <v>0.40858169020874802</v>
      </c>
      <c r="E144">
        <v>109.752311525708</v>
      </c>
      <c r="F144">
        <v>1.8033335338775101</v>
      </c>
      <c r="G144">
        <v>-1825.2049732253454</v>
      </c>
      <c r="H144">
        <v>-1496.9024486047219</v>
      </c>
      <c r="I144">
        <v>316.54606275106102</v>
      </c>
      <c r="J144">
        <v>161.92402667728399</v>
      </c>
      <c r="K144">
        <v>60.860794447558099</v>
      </c>
      <c r="L144">
        <v>0.77918800434254742</v>
      </c>
      <c r="M144">
        <v>-0.77873673246955255</v>
      </c>
      <c r="N144">
        <v>47.400106808070298</v>
      </c>
      <c r="O144">
        <v>47.400111748426298</v>
      </c>
      <c r="P144">
        <v>47.400087569335497</v>
      </c>
      <c r="Q144" t="s">
        <v>51</v>
      </c>
    </row>
    <row r="145" spans="1:17" x14ac:dyDescent="0.2">
      <c r="A145">
        <v>144</v>
      </c>
      <c r="B145">
        <v>763</v>
      </c>
      <c r="C145">
        <v>180</v>
      </c>
      <c r="D145">
        <v>0.40794334797085602</v>
      </c>
      <c r="E145">
        <v>109.752347574133</v>
      </c>
      <c r="F145">
        <v>1.80410889694121</v>
      </c>
      <c r="G145">
        <v>-1824.8891025717048</v>
      </c>
      <c r="H145">
        <v>-1497.094070000426</v>
      </c>
      <c r="I145">
        <v>316.36178347882401</v>
      </c>
      <c r="J145">
        <v>161.93863958086601</v>
      </c>
      <c r="K145">
        <v>60.8346579079641</v>
      </c>
      <c r="L145">
        <v>0.7778874458271211</v>
      </c>
      <c r="M145">
        <v>-0.77743559414308927</v>
      </c>
      <c r="N145">
        <v>47.300591473073901</v>
      </c>
      <c r="O145">
        <v>47.300596236725802</v>
      </c>
      <c r="P145">
        <v>47.300572016315598</v>
      </c>
      <c r="Q145" t="s">
        <v>51</v>
      </c>
    </row>
    <row r="146" spans="1:17" x14ac:dyDescent="0.2">
      <c r="A146">
        <v>145</v>
      </c>
      <c r="B146">
        <v>762</v>
      </c>
      <c r="C146">
        <v>180</v>
      </c>
      <c r="D146">
        <v>0.40730377240013699</v>
      </c>
      <c r="E146">
        <v>109.75238389618001</v>
      </c>
      <c r="F146">
        <v>1.80315638500343</v>
      </c>
      <c r="G146">
        <v>-1824.5734819146437</v>
      </c>
      <c r="H146">
        <v>-1497.4934448092372</v>
      </c>
      <c r="I146">
        <v>315.97673081472902</v>
      </c>
      <c r="J146">
        <v>161.9473887053</v>
      </c>
      <c r="K146">
        <v>60.866813776649401</v>
      </c>
      <c r="L146">
        <v>0.76659372235521239</v>
      </c>
      <c r="M146">
        <v>-0.76613577879628481</v>
      </c>
      <c r="N146">
        <v>46.637871038354703</v>
      </c>
      <c r="O146">
        <v>46.637875690854202</v>
      </c>
      <c r="P146">
        <v>46.637851118780702</v>
      </c>
      <c r="Q146" t="s">
        <v>51</v>
      </c>
    </row>
    <row r="147" spans="1:17" x14ac:dyDescent="0.2">
      <c r="A147">
        <v>146</v>
      </c>
      <c r="B147">
        <v>761</v>
      </c>
      <c r="C147">
        <v>180</v>
      </c>
      <c r="D147">
        <v>0.40666295991877599</v>
      </c>
      <c r="E147">
        <v>109.75241989678</v>
      </c>
      <c r="F147">
        <v>1.80104180392889</v>
      </c>
      <c r="G147">
        <v>-1824.2583476068057</v>
      </c>
      <c r="H147">
        <v>-1498.035016865688</v>
      </c>
      <c r="I147">
        <v>315.45392966410202</v>
      </c>
      <c r="J147">
        <v>161.95410010341399</v>
      </c>
      <c r="K147">
        <v>60.938296744339901</v>
      </c>
      <c r="L147">
        <v>0.74842006679985729</v>
      </c>
      <c r="M147">
        <v>-0.74795227188679003</v>
      </c>
      <c r="N147">
        <v>45.584677619450602</v>
      </c>
      <c r="O147">
        <v>45.584682199408597</v>
      </c>
      <c r="P147">
        <v>45.584657062666302</v>
      </c>
      <c r="Q147" t="s">
        <v>51</v>
      </c>
    </row>
    <row r="148" spans="1:17" x14ac:dyDescent="0.2">
      <c r="A148">
        <v>147</v>
      </c>
      <c r="B148">
        <v>760</v>
      </c>
      <c r="C148">
        <v>180</v>
      </c>
      <c r="D148">
        <v>0.40602090693510101</v>
      </c>
      <c r="E148">
        <v>109.752455200228</v>
      </c>
      <c r="F148">
        <v>1.7988003426158501</v>
      </c>
      <c r="G148">
        <v>-1823.9437335762266</v>
      </c>
      <c r="H148">
        <v>-1498.5959149961377</v>
      </c>
      <c r="I148">
        <v>314.91191784366202</v>
      </c>
      <c r="J148">
        <v>161.96255386344899</v>
      </c>
      <c r="K148">
        <v>61.014250775949797</v>
      </c>
      <c r="L148">
        <v>0.72924292876267338</v>
      </c>
      <c r="M148">
        <v>-0.72876479615439571</v>
      </c>
      <c r="N148">
        <v>44.470896969980302</v>
      </c>
      <c r="O148">
        <v>44.470901473938497</v>
      </c>
      <c r="P148">
        <v>44.470875743341402</v>
      </c>
      <c r="Q148" t="s">
        <v>51</v>
      </c>
    </row>
    <row r="149" spans="1:17" x14ac:dyDescent="0.2">
      <c r="A149">
        <v>148</v>
      </c>
      <c r="B149">
        <v>759</v>
      </c>
      <c r="C149">
        <v>180</v>
      </c>
      <c r="D149">
        <v>0.40537760984353299</v>
      </c>
      <c r="E149">
        <v>109.752489466255</v>
      </c>
      <c r="F149">
        <v>1.7963478302057601</v>
      </c>
      <c r="G149">
        <v>-1823.6296586171793</v>
      </c>
      <c r="H149">
        <v>-1499.1881554780323</v>
      </c>
      <c r="I149">
        <v>314.33901796929302</v>
      </c>
      <c r="J149">
        <v>161.972036919196</v>
      </c>
      <c r="K149">
        <v>61.097571205730297</v>
      </c>
      <c r="L149">
        <v>0.70843294122030465</v>
      </c>
      <c r="M149">
        <v>-0.70794368260982932</v>
      </c>
      <c r="N149">
        <v>43.259627177863003</v>
      </c>
      <c r="O149">
        <v>43.2596316049707</v>
      </c>
      <c r="P149">
        <v>43.2596052340581</v>
      </c>
      <c r="Q149" t="s">
        <v>51</v>
      </c>
    </row>
    <row r="150" spans="1:17" x14ac:dyDescent="0.2">
      <c r="A150">
        <v>149</v>
      </c>
      <c r="B150">
        <v>758</v>
      </c>
      <c r="C150">
        <v>180</v>
      </c>
      <c r="D150">
        <v>0.40473306502448703</v>
      </c>
      <c r="E150">
        <v>109.752521865446</v>
      </c>
      <c r="F150">
        <v>1.7934800941151501</v>
      </c>
      <c r="G150">
        <v>-1823.316151879375</v>
      </c>
      <c r="H150">
        <v>-1499.8409129166776</v>
      </c>
      <c r="I150">
        <v>313.70688058587803</v>
      </c>
      <c r="J150">
        <v>161.98074826229399</v>
      </c>
      <c r="K150">
        <v>61.195282972791802</v>
      </c>
      <c r="L150">
        <v>0.68446490064442567</v>
      </c>
      <c r="M150">
        <v>-0.68396299554119255</v>
      </c>
      <c r="N150">
        <v>41.861444708987001</v>
      </c>
      <c r="O150">
        <v>41.861449064998197</v>
      </c>
      <c r="P150">
        <v>41.861421965444997</v>
      </c>
      <c r="Q150" t="s">
        <v>51</v>
      </c>
    </row>
    <row r="151" spans="1:17" x14ac:dyDescent="0.2">
      <c r="A151">
        <v>150</v>
      </c>
      <c r="B151">
        <v>757</v>
      </c>
      <c r="C151">
        <v>180</v>
      </c>
      <c r="D151">
        <v>0.40408726884434598</v>
      </c>
      <c r="E151">
        <v>109.752495420694</v>
      </c>
      <c r="F151">
        <v>1.77575995985609</v>
      </c>
      <c r="G151">
        <v>-1823.003502503117</v>
      </c>
      <c r="H151">
        <v>-1502.7993082259977</v>
      </c>
      <c r="I151">
        <v>310.83659412542102</v>
      </c>
      <c r="J151">
        <v>161.77953463824801</v>
      </c>
      <c r="K151">
        <v>61.805929800099698</v>
      </c>
      <c r="L151">
        <v>0.54498287981922255</v>
      </c>
      <c r="M151">
        <v>-0.54441379531338108</v>
      </c>
      <c r="N151">
        <v>33.654995583413601</v>
      </c>
      <c r="O151">
        <v>33.655000394493698</v>
      </c>
      <c r="P151">
        <v>33.6549694478962</v>
      </c>
      <c r="Q151" t="s">
        <v>51</v>
      </c>
    </row>
    <row r="152" spans="1:17" x14ac:dyDescent="0.2">
      <c r="A152">
        <v>151</v>
      </c>
      <c r="B152">
        <v>756</v>
      </c>
      <c r="C152">
        <v>180</v>
      </c>
      <c r="D152">
        <v>0.40344021765534699</v>
      </c>
      <c r="E152">
        <v>109.761185273522</v>
      </c>
      <c r="F152">
        <v>1.74244840651822</v>
      </c>
      <c r="G152">
        <v>-1822.8366570597925</v>
      </c>
      <c r="H152">
        <v>-1508.501569292049</v>
      </c>
      <c r="I152">
        <v>305.43670160894698</v>
      </c>
      <c r="J152">
        <v>161.29358520347299</v>
      </c>
      <c r="K152">
        <v>62.992502310497699</v>
      </c>
      <c r="L152">
        <v>0.28867726738901894</v>
      </c>
      <c r="M152">
        <v>-0.2879846336155808</v>
      </c>
      <c r="N152">
        <v>18.149504019348999</v>
      </c>
      <c r="O152">
        <v>18.1495097967132</v>
      </c>
      <c r="P152">
        <v>18.1494715624519</v>
      </c>
      <c r="Q152" t="s">
        <v>51</v>
      </c>
    </row>
    <row r="153" spans="1:17" x14ac:dyDescent="0.2">
      <c r="A153">
        <v>152</v>
      </c>
      <c r="B153">
        <v>755</v>
      </c>
      <c r="C153">
        <v>180</v>
      </c>
      <c r="D153">
        <v>0.40279190779555302</v>
      </c>
      <c r="E153">
        <v>109.76383059073601</v>
      </c>
      <c r="F153">
        <v>1.7241820438008699</v>
      </c>
      <c r="G153">
        <v>-1822.5760176378526</v>
      </c>
      <c r="H153">
        <v>-1511.9080328670252</v>
      </c>
      <c r="I153">
        <v>302.16762884858599</v>
      </c>
      <c r="J153">
        <v>160.99582049601301</v>
      </c>
      <c r="K153">
        <v>63.661392940137098</v>
      </c>
      <c r="L153">
        <v>0.14233336362033813</v>
      </c>
      <c r="M153">
        <v>-0.14157041554797439</v>
      </c>
      <c r="N153">
        <v>9.0221443089251601</v>
      </c>
      <c r="O153">
        <v>9.02215046372873</v>
      </c>
      <c r="P153">
        <v>9.0221079538364304</v>
      </c>
      <c r="Q153" t="s">
        <v>51</v>
      </c>
    </row>
    <row r="154" spans="1:17" x14ac:dyDescent="0.2">
      <c r="A154">
        <v>153</v>
      </c>
      <c r="B154">
        <v>754</v>
      </c>
      <c r="C154">
        <v>180</v>
      </c>
      <c r="D154">
        <v>0.402142335588766</v>
      </c>
      <c r="E154">
        <v>109.763915966071</v>
      </c>
      <c r="F154">
        <v>1.7177474735553599</v>
      </c>
      <c r="G154">
        <v>-1822.2760393456454</v>
      </c>
      <c r="H154">
        <v>-1513.3643815918285</v>
      </c>
      <c r="I154">
        <v>300.75212783855</v>
      </c>
      <c r="J154">
        <v>160.89648725937201</v>
      </c>
      <c r="K154">
        <v>63.8999140769414</v>
      </c>
      <c r="L154">
        <v>8.4456345860399365E-2</v>
      </c>
      <c r="M154">
        <v>-8.366572771007709E-2</v>
      </c>
      <c r="N154">
        <v>5.3561646123936502</v>
      </c>
      <c r="O154">
        <v>5.3561706922270202</v>
      </c>
      <c r="P154">
        <v>5.3561264708521303</v>
      </c>
      <c r="Q154" t="s">
        <v>51</v>
      </c>
    </row>
    <row r="155" spans="1:17" x14ac:dyDescent="0.2">
      <c r="A155">
        <v>154</v>
      </c>
      <c r="B155">
        <v>753</v>
      </c>
      <c r="C155">
        <v>180</v>
      </c>
      <c r="D155">
        <v>0.401491497344444</v>
      </c>
      <c r="E155">
        <v>109.763949399655</v>
      </c>
      <c r="F155">
        <v>1.71579169901243</v>
      </c>
      <c r="G155">
        <v>-1821.9762035175684</v>
      </c>
      <c r="H155">
        <v>-1514.0642891185248</v>
      </c>
      <c r="I155">
        <v>300.071041016538</v>
      </c>
      <c r="J155">
        <v>160.88302736134</v>
      </c>
      <c r="K155">
        <v>63.972770973791903</v>
      </c>
      <c r="L155">
        <v>6.0638549099537378E-2</v>
      </c>
      <c r="M155">
        <v>-5.9836611294320816E-2</v>
      </c>
      <c r="N155">
        <v>3.8379745746457101</v>
      </c>
      <c r="O155">
        <v>3.8379804083500701</v>
      </c>
      <c r="P155">
        <v>3.8379354781989199</v>
      </c>
      <c r="Q155" t="s">
        <v>51</v>
      </c>
    </row>
    <row r="156" spans="1:17" x14ac:dyDescent="0.2">
      <c r="A156">
        <v>155</v>
      </c>
      <c r="B156">
        <v>771</v>
      </c>
      <c r="C156">
        <v>160</v>
      </c>
      <c r="D156">
        <v>0.43408561988220001</v>
      </c>
      <c r="E156">
        <v>109.75229324434</v>
      </c>
      <c r="F156">
        <v>1.7406279415121999</v>
      </c>
      <c r="G156">
        <v>-1828.6645456003491</v>
      </c>
      <c r="H156">
        <v>-1496.3590555087121</v>
      </c>
      <c r="I156">
        <v>318.25782153366998</v>
      </c>
      <c r="J156">
        <v>162.37958741538199</v>
      </c>
      <c r="K156">
        <v>63.053275560422698</v>
      </c>
      <c r="L156">
        <v>0.75010882527402634</v>
      </c>
      <c r="M156">
        <v>-0.74955126466953292</v>
      </c>
      <c r="N156">
        <v>47.269735660907699</v>
      </c>
      <c r="O156">
        <v>47.269753165315699</v>
      </c>
      <c r="P156">
        <v>47.2697188410568</v>
      </c>
      <c r="Q156" t="s">
        <v>51</v>
      </c>
    </row>
    <row r="157" spans="1:17" x14ac:dyDescent="0.2">
      <c r="A157">
        <v>156</v>
      </c>
      <c r="B157">
        <v>770</v>
      </c>
      <c r="C157">
        <v>160</v>
      </c>
      <c r="D157">
        <v>0.43347601016152998</v>
      </c>
      <c r="E157">
        <v>109.752321957601</v>
      </c>
      <c r="F157">
        <v>1.7414862247799301</v>
      </c>
      <c r="G157">
        <v>-1828.3468301108278</v>
      </c>
      <c r="H157">
        <v>-1496.5272728443274</v>
      </c>
      <c r="I157">
        <v>318.09708355298301</v>
      </c>
      <c r="J157">
        <v>162.38956373246</v>
      </c>
      <c r="K157">
        <v>63.0222165389048</v>
      </c>
      <c r="L157">
        <v>0.75015828693863074</v>
      </c>
      <c r="M157">
        <v>-0.74960052191643545</v>
      </c>
      <c r="N157">
        <v>47.2495408891442</v>
      </c>
      <c r="O157">
        <v>47.249558209100698</v>
      </c>
      <c r="P157">
        <v>47.249523855319197</v>
      </c>
      <c r="Q157" t="s">
        <v>51</v>
      </c>
    </row>
    <row r="158" spans="1:17" x14ac:dyDescent="0.2">
      <c r="A158">
        <v>157</v>
      </c>
      <c r="B158">
        <v>769</v>
      </c>
      <c r="C158">
        <v>160</v>
      </c>
      <c r="D158">
        <v>0.43286523053303499</v>
      </c>
      <c r="E158">
        <v>109.752343990459</v>
      </c>
      <c r="F158">
        <v>1.7414825440622499</v>
      </c>
      <c r="G158">
        <v>-1828.0292047622406</v>
      </c>
      <c r="H158">
        <v>-1496.7702549519352</v>
      </c>
      <c r="I158">
        <v>317.86439707078102</v>
      </c>
      <c r="J158">
        <v>162.38307624599301</v>
      </c>
      <c r="K158">
        <v>63.022362391555603</v>
      </c>
      <c r="L158">
        <v>0.74684469058445313</v>
      </c>
      <c r="M158">
        <v>-0.74628447729273295</v>
      </c>
      <c r="N158">
        <v>47.040681949447098</v>
      </c>
      <c r="O158">
        <v>47.040699161176498</v>
      </c>
      <c r="P158">
        <v>47.040664627192498</v>
      </c>
      <c r="Q158" t="s">
        <v>51</v>
      </c>
    </row>
    <row r="159" spans="1:17" x14ac:dyDescent="0.2">
      <c r="A159">
        <v>158</v>
      </c>
      <c r="B159">
        <v>768</v>
      </c>
      <c r="C159">
        <v>160</v>
      </c>
      <c r="D159">
        <v>0.43225327762570398</v>
      </c>
      <c r="E159">
        <v>109.75236945332399</v>
      </c>
      <c r="F159">
        <v>1.7409420905578501</v>
      </c>
      <c r="G159">
        <v>-1827.7118767431632</v>
      </c>
      <c r="H159">
        <v>-1497.0842359908922</v>
      </c>
      <c r="I159">
        <v>317.56336879186301</v>
      </c>
      <c r="J159">
        <v>162.376715427042</v>
      </c>
      <c r="K159">
        <v>63.0419415146403</v>
      </c>
      <c r="L159">
        <v>0.74008179515524308</v>
      </c>
      <c r="M159">
        <v>-0.73951716334105566</v>
      </c>
      <c r="N159">
        <v>46.628715920896198</v>
      </c>
      <c r="O159">
        <v>46.628733086337398</v>
      </c>
      <c r="P159">
        <v>46.628698242010699</v>
      </c>
      <c r="Q159" t="s">
        <v>51</v>
      </c>
    </row>
    <row r="160" spans="1:17" x14ac:dyDescent="0.2">
      <c r="A160">
        <v>159</v>
      </c>
      <c r="B160">
        <v>767</v>
      </c>
      <c r="C160">
        <v>160</v>
      </c>
      <c r="D160">
        <v>0.43164014805557099</v>
      </c>
      <c r="E160">
        <v>109.752404641551</v>
      </c>
      <c r="F160">
        <v>1.7387757316940899</v>
      </c>
      <c r="G160">
        <v>-1827.3951356170458</v>
      </c>
      <c r="H160">
        <v>-1497.6125562555444</v>
      </c>
      <c r="I160">
        <v>317.05629776174101</v>
      </c>
      <c r="J160">
        <v>162.36961732735799</v>
      </c>
      <c r="K160">
        <v>63.120506366062301</v>
      </c>
      <c r="L160">
        <v>0.72290846358977678</v>
      </c>
      <c r="M160">
        <v>-0.72233346880956306</v>
      </c>
      <c r="N160">
        <v>45.602311086175199</v>
      </c>
      <c r="O160">
        <v>45.602328397289099</v>
      </c>
      <c r="P160">
        <v>45.602292849287899</v>
      </c>
      <c r="Q160" t="s">
        <v>51</v>
      </c>
    </row>
    <row r="161" spans="1:17" x14ac:dyDescent="0.2">
      <c r="A161">
        <v>160</v>
      </c>
      <c r="B161">
        <v>766</v>
      </c>
      <c r="C161">
        <v>160</v>
      </c>
      <c r="D161">
        <v>0.43102583842564002</v>
      </c>
      <c r="E161">
        <v>109.752439221461</v>
      </c>
      <c r="F161">
        <v>1.7365068484942501</v>
      </c>
      <c r="G161">
        <v>-1827.0788985093366</v>
      </c>
      <c r="H161">
        <v>-1498.1558197443169</v>
      </c>
      <c r="I161">
        <v>316.5343583623</v>
      </c>
      <c r="J161">
        <v>162.36343191691901</v>
      </c>
      <c r="K161">
        <v>63.202998201031299</v>
      </c>
      <c r="L161">
        <v>0.70497131033166049</v>
      </c>
      <c r="M161">
        <v>-0.70438554520378238</v>
      </c>
      <c r="N161">
        <v>44.527679608563297</v>
      </c>
      <c r="O161">
        <v>44.527697070107898</v>
      </c>
      <c r="P161">
        <v>44.527660788740299</v>
      </c>
      <c r="Q161" t="s">
        <v>51</v>
      </c>
    </row>
    <row r="162" spans="1:17" x14ac:dyDescent="0.2">
      <c r="A162">
        <v>161</v>
      </c>
      <c r="B162">
        <v>765</v>
      </c>
      <c r="C162">
        <v>160</v>
      </c>
      <c r="D162">
        <v>0.43041034532582101</v>
      </c>
      <c r="E162">
        <v>109.752472954398</v>
      </c>
      <c r="F162">
        <v>1.7340752797696299</v>
      </c>
      <c r="G162">
        <v>-1826.7631798296472</v>
      </c>
      <c r="H162">
        <v>-1498.7219400355625</v>
      </c>
      <c r="I162">
        <v>315.98990012262902</v>
      </c>
      <c r="J162">
        <v>162.357269130394</v>
      </c>
      <c r="K162">
        <v>63.291642660968598</v>
      </c>
      <c r="L162">
        <v>0.68586191062432711</v>
      </c>
      <c r="M162">
        <v>-0.68526475331502423</v>
      </c>
      <c r="N162">
        <v>43.380086852405398</v>
      </c>
      <c r="O162">
        <v>43.380104475632301</v>
      </c>
      <c r="P162">
        <v>43.380067416675899</v>
      </c>
      <c r="Q162" t="s">
        <v>51</v>
      </c>
    </row>
    <row r="163" spans="1:17" x14ac:dyDescent="0.2">
      <c r="A163">
        <v>162</v>
      </c>
      <c r="B163">
        <v>764</v>
      </c>
      <c r="C163">
        <v>160</v>
      </c>
      <c r="D163">
        <v>0.42979366533288699</v>
      </c>
      <c r="E163">
        <v>109.75250535211499</v>
      </c>
      <c r="F163">
        <v>1.73135838919298</v>
      </c>
      <c r="G163">
        <v>-1826.4480009047668</v>
      </c>
      <c r="H163">
        <v>-1499.3270394086971</v>
      </c>
      <c r="I163">
        <v>315.40733649916803</v>
      </c>
      <c r="J163">
        <v>162.34931174992801</v>
      </c>
      <c r="K163">
        <v>63.390980190573202</v>
      </c>
      <c r="L163">
        <v>0.6647505947282083</v>
      </c>
      <c r="M163">
        <v>-0.66414098685766043</v>
      </c>
      <c r="N163">
        <v>42.109272766172197</v>
      </c>
      <c r="O163">
        <v>42.109290575761598</v>
      </c>
      <c r="P163">
        <v>42.109252665422702</v>
      </c>
      <c r="Q163" t="s">
        <v>51</v>
      </c>
    </row>
    <row r="164" spans="1:17" x14ac:dyDescent="0.2">
      <c r="A164">
        <v>163</v>
      </c>
      <c r="B164">
        <v>763</v>
      </c>
      <c r="C164">
        <v>160</v>
      </c>
      <c r="D164">
        <v>0.42917579501038</v>
      </c>
      <c r="E164">
        <v>109.75253404688701</v>
      </c>
      <c r="F164">
        <v>1.7276837346234499</v>
      </c>
      <c r="G164">
        <v>-1826.1333785173679</v>
      </c>
      <c r="H164">
        <v>-1500.0621789540351</v>
      </c>
      <c r="I164">
        <v>314.69870475327599</v>
      </c>
      <c r="J164">
        <v>162.32808370597701</v>
      </c>
      <c r="K164">
        <v>63.525824690829602</v>
      </c>
      <c r="L164">
        <v>0.63703756287704172</v>
      </c>
      <c r="M164">
        <v>-0.63641203909210275</v>
      </c>
      <c r="N164">
        <v>40.437547211093502</v>
      </c>
      <c r="O164">
        <v>40.437565307555701</v>
      </c>
      <c r="P164">
        <v>40.437526310116603</v>
      </c>
      <c r="Q164" t="s">
        <v>51</v>
      </c>
    </row>
    <row r="165" spans="1:17" x14ac:dyDescent="0.2">
      <c r="A165">
        <v>164</v>
      </c>
      <c r="B165">
        <v>762</v>
      </c>
      <c r="C165">
        <v>160</v>
      </c>
      <c r="D165">
        <v>0.428556730908567</v>
      </c>
      <c r="E165">
        <v>109.752507620495</v>
      </c>
      <c r="F165">
        <v>1.71034393759086</v>
      </c>
      <c r="G165">
        <v>-1825.8196153498222</v>
      </c>
      <c r="H165">
        <v>-1502.7465288449773</v>
      </c>
      <c r="I165">
        <v>312.10683378943799</v>
      </c>
      <c r="J165">
        <v>162.039517941669</v>
      </c>
      <c r="K165">
        <v>64.169846314706106</v>
      </c>
      <c r="L165">
        <v>0.51354763337127884</v>
      </c>
      <c r="M165">
        <v>-0.51285657797232687</v>
      </c>
      <c r="N165">
        <v>32.919873741003698</v>
      </c>
      <c r="O165">
        <v>32.919893691653698</v>
      </c>
      <c r="P165">
        <v>32.9198502400723</v>
      </c>
      <c r="Q165" t="s">
        <v>51</v>
      </c>
    </row>
    <row r="166" spans="1:17" x14ac:dyDescent="0.2">
      <c r="A166">
        <v>165</v>
      </c>
      <c r="B166">
        <v>761</v>
      </c>
      <c r="C166">
        <v>160</v>
      </c>
      <c r="D166">
        <v>0.42793646956437897</v>
      </c>
      <c r="E166">
        <v>109.761163241101</v>
      </c>
      <c r="F166">
        <v>1.67666729997755</v>
      </c>
      <c r="G166">
        <v>-1825.6509272626797</v>
      </c>
      <c r="H166">
        <v>-1508.0795138734552</v>
      </c>
      <c r="I166">
        <v>307.08946851511098</v>
      </c>
      <c r="J166">
        <v>161.363129733096</v>
      </c>
      <c r="K166">
        <v>65.463889730879004</v>
      </c>
      <c r="L166">
        <v>0.27977780379022416</v>
      </c>
      <c r="M166">
        <v>-0.27896270132574313</v>
      </c>
      <c r="N166">
        <v>18.2738951934477</v>
      </c>
      <c r="O166">
        <v>18.273918909795501</v>
      </c>
      <c r="P166">
        <v>18.273866767695999</v>
      </c>
      <c r="Q166" t="s">
        <v>51</v>
      </c>
    </row>
    <row r="167" spans="1:17" x14ac:dyDescent="0.2">
      <c r="A167">
        <v>166</v>
      </c>
      <c r="B167">
        <v>760</v>
      </c>
      <c r="C167">
        <v>160</v>
      </c>
      <c r="D167">
        <v>0.427315007501331</v>
      </c>
      <c r="E167">
        <v>109.76420317373901</v>
      </c>
      <c r="F167">
        <v>1.65866811965991</v>
      </c>
      <c r="G167">
        <v>-1825.3948862378929</v>
      </c>
      <c r="H167">
        <v>-1511.2092884049541</v>
      </c>
      <c r="I167">
        <v>304.110003857008</v>
      </c>
      <c r="J167">
        <v>160.96698055081001</v>
      </c>
      <c r="K167">
        <v>66.176109537961693</v>
      </c>
      <c r="L167">
        <v>0.14926914551862841</v>
      </c>
      <c r="M167">
        <v>-0.14838493403678957</v>
      </c>
      <c r="N167">
        <v>9.8325564612649092</v>
      </c>
      <c r="O167">
        <v>9.8325821421820407</v>
      </c>
      <c r="P167">
        <v>9.8325249989414107</v>
      </c>
      <c r="Q167" t="s">
        <v>51</v>
      </c>
    </row>
    <row r="168" spans="1:17" x14ac:dyDescent="0.2">
      <c r="A168">
        <v>167</v>
      </c>
      <c r="B168">
        <v>759</v>
      </c>
      <c r="C168">
        <v>160</v>
      </c>
      <c r="D168">
        <v>0.42669234122947503</v>
      </c>
      <c r="E168">
        <v>109.764262873432</v>
      </c>
      <c r="F168">
        <v>1.65125255518428</v>
      </c>
      <c r="G168">
        <v>-1825.0925896086628</v>
      </c>
      <c r="H168">
        <v>-1512.7275709033074</v>
      </c>
      <c r="I168">
        <v>302.64099013530802</v>
      </c>
      <c r="J168">
        <v>160.80175659944899</v>
      </c>
      <c r="K168">
        <v>66.473334154012306</v>
      </c>
      <c r="L168">
        <v>8.9929248213304044E-2</v>
      </c>
      <c r="M168">
        <v>-8.901358534780382E-2</v>
      </c>
      <c r="N168">
        <v>5.9305357814370296</v>
      </c>
      <c r="O168">
        <v>5.9305621501896599</v>
      </c>
      <c r="P168">
        <v>5.9305026869017299</v>
      </c>
      <c r="Q168" t="s">
        <v>51</v>
      </c>
    </row>
    <row r="169" spans="1:17" x14ac:dyDescent="0.2">
      <c r="A169">
        <v>168</v>
      </c>
      <c r="B169">
        <v>758</v>
      </c>
      <c r="C169">
        <v>160</v>
      </c>
      <c r="D169">
        <v>0.426068467245311</v>
      </c>
      <c r="E169">
        <v>109.764271259624</v>
      </c>
      <c r="F169">
        <v>1.64856662027496</v>
      </c>
      <c r="G169">
        <v>-1824.7905130491129</v>
      </c>
      <c r="H169">
        <v>-1513.5189779376572</v>
      </c>
      <c r="I169">
        <v>301.874139025761</v>
      </c>
      <c r="J169">
        <v>160.75166284435701</v>
      </c>
      <c r="K169">
        <v>66.581641232864797</v>
      </c>
      <c r="L169">
        <v>6.2751010056050036E-2</v>
      </c>
      <c r="M169">
        <v>-6.1820889588905137E-2</v>
      </c>
      <c r="N169">
        <v>4.1298441408180002</v>
      </c>
      <c r="O169">
        <v>4.1298706134534102</v>
      </c>
      <c r="P169">
        <v>4.1298100678575898</v>
      </c>
      <c r="Q169" t="s">
        <v>51</v>
      </c>
    </row>
    <row r="170" spans="1:17" x14ac:dyDescent="0.2">
      <c r="A170">
        <v>169</v>
      </c>
      <c r="B170">
        <v>780</v>
      </c>
      <c r="C170">
        <v>140</v>
      </c>
      <c r="D170">
        <v>0.46040972321132001</v>
      </c>
      <c r="E170">
        <v>109.752226618208</v>
      </c>
      <c r="F170">
        <v>1.6595690972124599</v>
      </c>
      <c r="G170">
        <v>-1832.8274097460924</v>
      </c>
      <c r="H170">
        <v>-1495.4169168462497</v>
      </c>
      <c r="I170">
        <v>320.38561440249799</v>
      </c>
      <c r="J170">
        <v>162.56598240764299</v>
      </c>
      <c r="K170">
        <v>66.132965962403205</v>
      </c>
      <c r="L170">
        <v>0.71247997021412002</v>
      </c>
      <c r="M170">
        <v>-0.71178600441559425</v>
      </c>
      <c r="N170">
        <v>47.084698335818103</v>
      </c>
      <c r="O170">
        <v>47.084737343241798</v>
      </c>
      <c r="P170">
        <v>47.0846876032371</v>
      </c>
      <c r="Q170" t="s">
        <v>51</v>
      </c>
    </row>
    <row r="171" spans="1:17" x14ac:dyDescent="0.2">
      <c r="A171">
        <v>170</v>
      </c>
      <c r="B171">
        <v>779</v>
      </c>
      <c r="C171">
        <v>140</v>
      </c>
      <c r="D171">
        <v>0.45983034738392797</v>
      </c>
      <c r="E171">
        <v>109.75225157089599</v>
      </c>
      <c r="F171">
        <v>1.6601380809175801</v>
      </c>
      <c r="G171">
        <v>-1832.5075132226734</v>
      </c>
      <c r="H171">
        <v>-1495.6163313013571</v>
      </c>
      <c r="I171">
        <v>320.196555116262</v>
      </c>
      <c r="J171">
        <v>162.56971559913799</v>
      </c>
      <c r="K171">
        <v>66.1103150589949</v>
      </c>
      <c r="L171">
        <v>0.71124575968472514</v>
      </c>
      <c r="M171">
        <v>-0.71055040976913908</v>
      </c>
      <c r="N171">
        <v>46.986884386392099</v>
      </c>
      <c r="O171">
        <v>46.9869233258622</v>
      </c>
      <c r="P171">
        <v>46.986873461027599</v>
      </c>
      <c r="Q171" t="s">
        <v>51</v>
      </c>
    </row>
    <row r="172" spans="1:17" x14ac:dyDescent="0.2">
      <c r="A172">
        <v>171</v>
      </c>
      <c r="B172">
        <v>778</v>
      </c>
      <c r="C172">
        <v>140</v>
      </c>
      <c r="D172">
        <v>0.45924986919088701</v>
      </c>
      <c r="E172">
        <v>109.75227281462899</v>
      </c>
      <c r="F172">
        <v>1.6602231534825</v>
      </c>
      <c r="G172">
        <v>-1832.1877734561101</v>
      </c>
      <c r="H172">
        <v>-1495.8558796665577</v>
      </c>
      <c r="I172">
        <v>319.96911136126198</v>
      </c>
      <c r="J172">
        <v>162.56150562692</v>
      </c>
      <c r="K172">
        <v>66.106940253429997</v>
      </c>
      <c r="L172">
        <v>0.7082673960406205</v>
      </c>
      <c r="M172">
        <v>-0.70756939988970502</v>
      </c>
      <c r="N172">
        <v>46.787440080883997</v>
      </c>
      <c r="O172">
        <v>46.787479030339703</v>
      </c>
      <c r="P172">
        <v>46.787428937883597</v>
      </c>
      <c r="Q172" t="s">
        <v>51</v>
      </c>
    </row>
    <row r="173" spans="1:17" x14ac:dyDescent="0.2">
      <c r="A173">
        <v>172</v>
      </c>
      <c r="B173">
        <v>777</v>
      </c>
      <c r="C173">
        <v>140</v>
      </c>
      <c r="D173">
        <v>0.45866828548302802</v>
      </c>
      <c r="E173">
        <v>109.752294054969</v>
      </c>
      <c r="F173">
        <v>1.66031409038416</v>
      </c>
      <c r="G173">
        <v>-1831.8682610847277</v>
      </c>
      <c r="H173">
        <v>-1496.0952874224909</v>
      </c>
      <c r="I173">
        <v>319.74158487436603</v>
      </c>
      <c r="J173">
        <v>162.55402220807801</v>
      </c>
      <c r="K173">
        <v>66.103332309596098</v>
      </c>
      <c r="L173">
        <v>0.70528801291942267</v>
      </c>
      <c r="M173">
        <v>-0.70458737112775827</v>
      </c>
      <c r="N173">
        <v>46.587784001455503</v>
      </c>
      <c r="O173">
        <v>46.587822957178503</v>
      </c>
      <c r="P173">
        <v>46.587772636553403</v>
      </c>
      <c r="Q173" t="s">
        <v>51</v>
      </c>
    </row>
    <row r="174" spans="1:17" x14ac:dyDescent="0.2">
      <c r="A174">
        <v>173</v>
      </c>
      <c r="B174">
        <v>776</v>
      </c>
      <c r="C174">
        <v>140</v>
      </c>
      <c r="D174">
        <v>0.45808559309917701</v>
      </c>
      <c r="E174">
        <v>109.752315294418</v>
      </c>
      <c r="F174">
        <v>1.6604113037458299</v>
      </c>
      <c r="G174">
        <v>-1831.5489762184129</v>
      </c>
      <c r="H174">
        <v>-1496.3345256072621</v>
      </c>
      <c r="I174">
        <v>319.51400312269101</v>
      </c>
      <c r="J174">
        <v>162.54727216891999</v>
      </c>
      <c r="K174">
        <v>66.099474899274099</v>
      </c>
      <c r="L174">
        <v>0.70230892864980465</v>
      </c>
      <c r="M174">
        <v>-0.70160564295986672</v>
      </c>
      <c r="N174">
        <v>46.387993982762602</v>
      </c>
      <c r="O174">
        <v>46.388032940898903</v>
      </c>
      <c r="P174">
        <v>46.387982391645103</v>
      </c>
      <c r="Q174" t="s">
        <v>51</v>
      </c>
    </row>
    <row r="175" spans="1:17" x14ac:dyDescent="0.2">
      <c r="A175">
        <v>174</v>
      </c>
      <c r="B175">
        <v>775</v>
      </c>
      <c r="C175">
        <v>140</v>
      </c>
      <c r="D175">
        <v>0.45750178886609999</v>
      </c>
      <c r="E175">
        <v>109.752336535512</v>
      </c>
      <c r="F175">
        <v>1.66051519075554</v>
      </c>
      <c r="G175">
        <v>-1831.229918940511</v>
      </c>
      <c r="H175">
        <v>-1496.5735661343617</v>
      </c>
      <c r="I175">
        <v>319.28639281783302</v>
      </c>
      <c r="J175">
        <v>162.54126207534301</v>
      </c>
      <c r="K175">
        <v>66.095352301820597</v>
      </c>
      <c r="L175">
        <v>0.69933142417570859</v>
      </c>
      <c r="M175">
        <v>-0.69862549745050118</v>
      </c>
      <c r="N175">
        <v>46.188145986461002</v>
      </c>
      <c r="O175">
        <v>46.1881849430223</v>
      </c>
      <c r="P175">
        <v>46.188134164765899</v>
      </c>
      <c r="Q175" t="s">
        <v>51</v>
      </c>
    </row>
    <row r="176" spans="1:17" x14ac:dyDescent="0.2">
      <c r="A176">
        <v>175</v>
      </c>
      <c r="B176">
        <v>774</v>
      </c>
      <c r="C176">
        <v>140</v>
      </c>
      <c r="D176">
        <v>0.45691686959843703</v>
      </c>
      <c r="E176">
        <v>109.75236626496201</v>
      </c>
      <c r="F176">
        <v>1.6590534217837101</v>
      </c>
      <c r="G176">
        <v>-1830.9112855694784</v>
      </c>
      <c r="H176">
        <v>-1496.9965907054743</v>
      </c>
      <c r="I176">
        <v>318.88308300976598</v>
      </c>
      <c r="J176">
        <v>162.523128386362</v>
      </c>
      <c r="K176">
        <v>66.153605920033201</v>
      </c>
      <c r="L176">
        <v>0.68761767536420848</v>
      </c>
      <c r="M176">
        <v>-0.68690361263262911</v>
      </c>
      <c r="N176">
        <v>45.453522070175403</v>
      </c>
      <c r="O176">
        <v>45.453561358857698</v>
      </c>
      <c r="P176">
        <v>45.453509914419598</v>
      </c>
      <c r="Q176" t="s">
        <v>51</v>
      </c>
    </row>
    <row r="177" spans="1:17" x14ac:dyDescent="0.2">
      <c r="A177">
        <v>176</v>
      </c>
      <c r="B177">
        <v>773</v>
      </c>
      <c r="C177">
        <v>140</v>
      </c>
      <c r="D177">
        <v>0.456330832098647</v>
      </c>
      <c r="E177">
        <v>109.752399867573</v>
      </c>
      <c r="F177">
        <v>1.6567126313662</v>
      </c>
      <c r="G177">
        <v>-1830.5931974959617</v>
      </c>
      <c r="H177">
        <v>-1497.5241784301932</v>
      </c>
      <c r="I177">
        <v>318.379590249606</v>
      </c>
      <c r="J177">
        <v>162.498568295496</v>
      </c>
      <c r="K177">
        <v>66.247095476700693</v>
      </c>
      <c r="L177">
        <v>0.67091641670192859</v>
      </c>
      <c r="M177">
        <v>-0.67019109966562707</v>
      </c>
      <c r="N177">
        <v>44.410767993119798</v>
      </c>
      <c r="O177">
        <v>44.410807799793503</v>
      </c>
      <c r="P177">
        <v>44.410755438207097</v>
      </c>
      <c r="Q177" t="s">
        <v>51</v>
      </c>
    </row>
    <row r="178" spans="1:17" x14ac:dyDescent="0.2">
      <c r="A178">
        <v>177</v>
      </c>
      <c r="B178">
        <v>772</v>
      </c>
      <c r="C178">
        <v>140</v>
      </c>
      <c r="D178">
        <v>0.45574367315696301</v>
      </c>
      <c r="E178">
        <v>109.75243273462</v>
      </c>
      <c r="F178">
        <v>1.65423662242974</v>
      </c>
      <c r="G178">
        <v>-1830.2756089483928</v>
      </c>
      <c r="H178">
        <v>-1498.0695279493505</v>
      </c>
      <c r="I178">
        <v>317.85862050896901</v>
      </c>
      <c r="J178">
        <v>162.47309010297599</v>
      </c>
      <c r="K178">
        <v>66.346271897557301</v>
      </c>
      <c r="L178">
        <v>0.65332611438045041</v>
      </c>
      <c r="M178">
        <v>-0.65258902149378395</v>
      </c>
      <c r="N178">
        <v>43.309595470281899</v>
      </c>
      <c r="O178">
        <v>43.3096358206746</v>
      </c>
      <c r="P178">
        <v>43.309582496366303</v>
      </c>
      <c r="Q178" t="s">
        <v>51</v>
      </c>
    </row>
    <row r="179" spans="1:17" x14ac:dyDescent="0.2">
      <c r="A179">
        <v>178</v>
      </c>
      <c r="B179">
        <v>771</v>
      </c>
      <c r="C179">
        <v>140</v>
      </c>
      <c r="D179">
        <v>0.45515538955130802</v>
      </c>
      <c r="E179">
        <v>109.75246452482099</v>
      </c>
      <c r="F179">
        <v>1.6515371186672601</v>
      </c>
      <c r="G179">
        <v>-1829.9585363535127</v>
      </c>
      <c r="H179">
        <v>-1498.6432061752284</v>
      </c>
      <c r="I179">
        <v>317.31002092686401</v>
      </c>
      <c r="J179">
        <v>162.44480196976701</v>
      </c>
      <c r="K179">
        <v>66.454736792950996</v>
      </c>
      <c r="L179">
        <v>0.63431633573169677</v>
      </c>
      <c r="M179">
        <v>-0.63356663917008216</v>
      </c>
      <c r="N179">
        <v>42.116459103055</v>
      </c>
      <c r="O179">
        <v>42.116500041362997</v>
      </c>
      <c r="P179">
        <v>42.116445683655101</v>
      </c>
      <c r="Q179" t="s">
        <v>51</v>
      </c>
    </row>
    <row r="180" spans="1:17" x14ac:dyDescent="0.2">
      <c r="A180">
        <v>179</v>
      </c>
      <c r="B180">
        <v>770</v>
      </c>
      <c r="C180">
        <v>140</v>
      </c>
      <c r="D180">
        <v>0.45456597804726301</v>
      </c>
      <c r="E180">
        <v>109.752494492675</v>
      </c>
      <c r="F180">
        <v>1.64842387975577</v>
      </c>
      <c r="G180">
        <v>-1829.6420045806606</v>
      </c>
      <c r="H180">
        <v>-1499.2680475865702</v>
      </c>
      <c r="I180">
        <v>316.711849688276</v>
      </c>
      <c r="J180">
        <v>162.409604355026</v>
      </c>
      <c r="K180">
        <v>66.580262419479297</v>
      </c>
      <c r="L180">
        <v>0.6127446796751066</v>
      </c>
      <c r="M180">
        <v>-0.61198089178981108</v>
      </c>
      <c r="N180">
        <v>40.759039506981203</v>
      </c>
      <c r="O180">
        <v>40.759081117458102</v>
      </c>
      <c r="P180">
        <v>40.759025601584099</v>
      </c>
      <c r="Q180" t="s">
        <v>51</v>
      </c>
    </row>
    <row r="181" spans="1:17" x14ac:dyDescent="0.2">
      <c r="A181">
        <v>180</v>
      </c>
      <c r="B181">
        <v>769</v>
      </c>
      <c r="C181">
        <v>140</v>
      </c>
      <c r="D181">
        <v>0.45397543539797802</v>
      </c>
      <c r="E181">
        <v>109.752516391782</v>
      </c>
      <c r="F181">
        <v>1.64304726882638</v>
      </c>
      <c r="G181">
        <v>-1829.3259938153485</v>
      </c>
      <c r="H181">
        <v>-1500.1747588196204</v>
      </c>
      <c r="I181">
        <v>315.842605745904</v>
      </c>
      <c r="J181">
        <v>162.32320511614799</v>
      </c>
      <c r="K181">
        <v>66.798149069793695</v>
      </c>
      <c r="L181">
        <v>0.57735817386472377</v>
      </c>
      <c r="M181">
        <v>-0.57657235566737841</v>
      </c>
      <c r="N181">
        <v>38.527546701881398</v>
      </c>
      <c r="O181">
        <v>38.527589462531701</v>
      </c>
      <c r="P181">
        <v>38.527532138958897</v>
      </c>
      <c r="Q181" t="s">
        <v>51</v>
      </c>
    </row>
    <row r="182" spans="1:17" x14ac:dyDescent="0.2">
      <c r="A182">
        <v>181</v>
      </c>
      <c r="B182">
        <v>768</v>
      </c>
      <c r="C182">
        <v>140</v>
      </c>
      <c r="D182">
        <v>0.45338375834414102</v>
      </c>
      <c r="E182">
        <v>109.752492077477</v>
      </c>
      <c r="F182">
        <v>1.62687552073812</v>
      </c>
      <c r="G182">
        <v>-1829.0109189132859</v>
      </c>
      <c r="H182">
        <v>-1502.493876713025</v>
      </c>
      <c r="I182">
        <v>313.616225802391</v>
      </c>
      <c r="J182">
        <v>161.957634810266</v>
      </c>
      <c r="K182">
        <v>67.462132583863493</v>
      </c>
      <c r="L182">
        <v>0.47481446593168647</v>
      </c>
      <c r="M182">
        <v>-0.47396844892591122</v>
      </c>
      <c r="N182">
        <v>31.989639167346802</v>
      </c>
      <c r="O182">
        <v>31.989685422884801</v>
      </c>
      <c r="P182">
        <v>31.989623139006301</v>
      </c>
      <c r="Q182" t="s">
        <v>51</v>
      </c>
    </row>
    <row r="183" spans="1:17" x14ac:dyDescent="0.2">
      <c r="A183">
        <v>182</v>
      </c>
      <c r="B183">
        <v>767</v>
      </c>
      <c r="C183">
        <v>140</v>
      </c>
      <c r="D183">
        <v>0.45279094361390498</v>
      </c>
      <c r="E183">
        <v>109.761013232694</v>
      </c>
      <c r="F183">
        <v>1.5933249062580901</v>
      </c>
      <c r="G183">
        <v>-1828.8384887053812</v>
      </c>
      <c r="H183">
        <v>-1507.3740028067009</v>
      </c>
      <c r="I183">
        <v>309.060917688291</v>
      </c>
      <c r="J183">
        <v>161.077781138435</v>
      </c>
      <c r="K183">
        <v>68.888029554792297</v>
      </c>
      <c r="L183">
        <v>0.26863745256836075</v>
      </c>
      <c r="M183">
        <v>-0.26767069250617526</v>
      </c>
      <c r="N183">
        <v>18.456408834636399</v>
      </c>
      <c r="O183">
        <v>18.456462498712501</v>
      </c>
      <c r="P183">
        <v>18.456389951098998</v>
      </c>
      <c r="Q183" t="s">
        <v>51</v>
      </c>
    </row>
    <row r="184" spans="1:17" x14ac:dyDescent="0.2">
      <c r="A184">
        <v>183</v>
      </c>
      <c r="B184">
        <v>766</v>
      </c>
      <c r="C184">
        <v>140</v>
      </c>
      <c r="D184">
        <v>0.45219698792282498</v>
      </c>
      <c r="E184">
        <v>109.76452330213201</v>
      </c>
      <c r="F184">
        <v>1.57603503022465</v>
      </c>
      <c r="G184">
        <v>-1828.5879962740601</v>
      </c>
      <c r="H184">
        <v>-1510.1625663740658</v>
      </c>
      <c r="I184">
        <v>306.434168608775</v>
      </c>
      <c r="J184">
        <v>160.588782496552</v>
      </c>
      <c r="K184">
        <v>69.645992123973301</v>
      </c>
      <c r="L184">
        <v>0.1573199507665064</v>
      </c>
      <c r="M184">
        <v>-0.15628796066989042</v>
      </c>
      <c r="N184">
        <v>10.903231305749401</v>
      </c>
      <c r="O184">
        <v>10.9032889303187</v>
      </c>
      <c r="P184">
        <v>10.903210652842001</v>
      </c>
      <c r="Q184" t="s">
        <v>51</v>
      </c>
    </row>
    <row r="185" spans="1:17" x14ac:dyDescent="0.2">
      <c r="A185">
        <v>184</v>
      </c>
      <c r="B185">
        <v>765</v>
      </c>
      <c r="C185">
        <v>140</v>
      </c>
      <c r="D185">
        <v>0.45160188797380102</v>
      </c>
      <c r="E185">
        <v>109.764659856469</v>
      </c>
      <c r="F185">
        <v>1.56681430795125</v>
      </c>
      <c r="G185">
        <v>-1828.2847057558549</v>
      </c>
      <c r="H185">
        <v>-1511.8341893841896</v>
      </c>
      <c r="I185">
        <v>304.82723134374402</v>
      </c>
      <c r="J185">
        <v>160.31269843669199</v>
      </c>
      <c r="K185">
        <v>70.055946833926797</v>
      </c>
      <c r="L185">
        <v>9.3550029168759374E-2</v>
      </c>
      <c r="M185">
        <v>-9.2480481545180931E-2</v>
      </c>
      <c r="N185">
        <v>6.49794052050287</v>
      </c>
      <c r="O185">
        <v>6.4980003057654203</v>
      </c>
      <c r="P185">
        <v>6.4979186709588097</v>
      </c>
      <c r="Q185" t="s">
        <v>51</v>
      </c>
    </row>
    <row r="186" spans="1:17" x14ac:dyDescent="0.2">
      <c r="A186">
        <v>185</v>
      </c>
      <c r="B186">
        <v>764</v>
      </c>
      <c r="C186">
        <v>140</v>
      </c>
      <c r="D186">
        <v>0.45100564045702202</v>
      </c>
      <c r="E186">
        <v>109.764542382147</v>
      </c>
      <c r="F186">
        <v>1.5636743862069999</v>
      </c>
      <c r="G186">
        <v>-1827.9783900184755</v>
      </c>
      <c r="H186">
        <v>-1512.6410477687166</v>
      </c>
      <c r="I186">
        <v>304.04793666347098</v>
      </c>
      <c r="J186">
        <v>160.22425114481399</v>
      </c>
      <c r="K186">
        <v>70.196546896442996</v>
      </c>
      <c r="L186">
        <v>6.6486460581656415E-2</v>
      </c>
      <c r="M186">
        <v>-6.5400664547217255E-2</v>
      </c>
      <c r="N186">
        <v>4.6103172510936501</v>
      </c>
      <c r="O186">
        <v>4.6103777815719402</v>
      </c>
      <c r="P186">
        <v>4.61029467605296</v>
      </c>
      <c r="Q186" t="s">
        <v>51</v>
      </c>
    </row>
    <row r="187" spans="1:17" x14ac:dyDescent="0.2">
      <c r="A187">
        <v>186</v>
      </c>
      <c r="B187">
        <v>791</v>
      </c>
      <c r="C187">
        <v>120</v>
      </c>
      <c r="D187">
        <v>0.48738476718508</v>
      </c>
      <c r="E187">
        <v>109.75211523918701</v>
      </c>
      <c r="F187">
        <v>1.5533583223288201</v>
      </c>
      <c r="G187">
        <v>-1837.728861358926</v>
      </c>
      <c r="H187">
        <v>-1494.0497837237326</v>
      </c>
      <c r="I187">
        <v>322.96472628524901</v>
      </c>
      <c r="J187">
        <v>162.35707261475301</v>
      </c>
      <c r="K187">
        <v>70.654731533317502</v>
      </c>
      <c r="L187">
        <v>0.66385285003427597</v>
      </c>
      <c r="M187">
        <v>-0.66298488745504358</v>
      </c>
      <c r="N187">
        <v>46.862213470599698</v>
      </c>
      <c r="O187">
        <v>46.862286287337099</v>
      </c>
      <c r="P187">
        <v>46.862211415904</v>
      </c>
      <c r="Q187" t="s">
        <v>51</v>
      </c>
    </row>
    <row r="188" spans="1:17" x14ac:dyDescent="0.2">
      <c r="A188">
        <v>187</v>
      </c>
      <c r="B188">
        <v>790</v>
      </c>
      <c r="C188">
        <v>120</v>
      </c>
      <c r="D188">
        <v>0.486836758688802</v>
      </c>
      <c r="E188">
        <v>109.752138280916</v>
      </c>
      <c r="F188">
        <v>1.5538816837598299</v>
      </c>
      <c r="G188">
        <v>-1837.4063586217833</v>
      </c>
      <c r="H188">
        <v>-1494.2568530215706</v>
      </c>
      <c r="I188">
        <v>322.770397986376</v>
      </c>
      <c r="J188">
        <v>162.355872162754</v>
      </c>
      <c r="K188">
        <v>70.630949208021704</v>
      </c>
      <c r="L188">
        <v>0.66242382199602623</v>
      </c>
      <c r="M188">
        <v>-0.66155393028951004</v>
      </c>
      <c r="N188">
        <v>46.745375487922203</v>
      </c>
      <c r="O188">
        <v>46.745448415326301</v>
      </c>
      <c r="P188">
        <v>46.7453733621293</v>
      </c>
      <c r="Q188" t="s">
        <v>51</v>
      </c>
    </row>
    <row r="189" spans="1:17" x14ac:dyDescent="0.2">
      <c r="A189">
        <v>188</v>
      </c>
      <c r="B189">
        <v>789</v>
      </c>
      <c r="C189">
        <v>120</v>
      </c>
      <c r="D189">
        <v>0.48628771830721002</v>
      </c>
      <c r="E189">
        <v>109.75215856473</v>
      </c>
      <c r="F189">
        <v>1.55404298844699</v>
      </c>
      <c r="G189">
        <v>-1837.084027096595</v>
      </c>
      <c r="H189">
        <v>-1494.4928865528125</v>
      </c>
      <c r="I189">
        <v>322.548600134975</v>
      </c>
      <c r="J189">
        <v>162.34333938569301</v>
      </c>
      <c r="K189">
        <v>70.623630993894693</v>
      </c>
      <c r="L189">
        <v>0.65980104118820138</v>
      </c>
      <c r="M189">
        <v>-0.65892828819953009</v>
      </c>
      <c r="N189">
        <v>46.555125195759203</v>
      </c>
      <c r="O189">
        <v>46.555198325569499</v>
      </c>
      <c r="P189">
        <v>46.555122994280701</v>
      </c>
      <c r="Q189" t="s">
        <v>51</v>
      </c>
    </row>
    <row r="190" spans="1:17" x14ac:dyDescent="0.2">
      <c r="A190">
        <v>189</v>
      </c>
      <c r="B190">
        <v>788</v>
      </c>
      <c r="C190">
        <v>120</v>
      </c>
      <c r="D190">
        <v>0.48573764312303003</v>
      </c>
      <c r="E190">
        <v>109.752178853454</v>
      </c>
      <c r="F190">
        <v>1.5542103951460799</v>
      </c>
      <c r="G190">
        <v>-1836.7619174293961</v>
      </c>
      <c r="H190">
        <v>-1494.7287279818484</v>
      </c>
      <c r="I190">
        <v>322.32677435225003</v>
      </c>
      <c r="J190">
        <v>162.331487158074</v>
      </c>
      <c r="K190">
        <v>70.616037054068499</v>
      </c>
      <c r="L190">
        <v>0.65717911703200116</v>
      </c>
      <c r="M190">
        <v>-0.65630350066264775</v>
      </c>
      <c r="N190">
        <v>46.364792384332098</v>
      </c>
      <c r="O190">
        <v>46.364865714569497</v>
      </c>
      <c r="P190">
        <v>46.364790104425701</v>
      </c>
      <c r="Q190" t="s">
        <v>51</v>
      </c>
    </row>
    <row r="191" spans="1:17" x14ac:dyDescent="0.2">
      <c r="A191">
        <v>190</v>
      </c>
      <c r="B191">
        <v>787</v>
      </c>
      <c r="C191">
        <v>120</v>
      </c>
      <c r="D191">
        <v>0.48518653020799002</v>
      </c>
      <c r="E191">
        <v>109.752199149592</v>
      </c>
      <c r="F191">
        <v>1.5543842747599399</v>
      </c>
      <c r="G191">
        <v>-1836.44002967749</v>
      </c>
      <c r="H191">
        <v>-1494.9643527731007</v>
      </c>
      <c r="I191">
        <v>322.10494375197601</v>
      </c>
      <c r="J191">
        <v>162.32032396204301</v>
      </c>
      <c r="K191">
        <v>70.608150720350196</v>
      </c>
      <c r="L191">
        <v>0.65455913218714179</v>
      </c>
      <c r="M191">
        <v>-0.65368065130451303</v>
      </c>
      <c r="N191">
        <v>46.174444796144101</v>
      </c>
      <c r="O191">
        <v>46.174518324678601</v>
      </c>
      <c r="P191">
        <v>46.174442435005098</v>
      </c>
      <c r="Q191" t="s">
        <v>51</v>
      </c>
    </row>
    <row r="192" spans="1:17" x14ac:dyDescent="0.2">
      <c r="A192">
        <v>191</v>
      </c>
      <c r="B192">
        <v>786</v>
      </c>
      <c r="C192">
        <v>120</v>
      </c>
      <c r="D192">
        <v>0.48463437662276798</v>
      </c>
      <c r="E192">
        <v>109.75221945566</v>
      </c>
      <c r="F192">
        <v>1.5545649846755101</v>
      </c>
      <c r="G192">
        <v>-1836.1183638756283</v>
      </c>
      <c r="H192">
        <v>-1495.1997372177536</v>
      </c>
      <c r="I192">
        <v>321.88313073346399</v>
      </c>
      <c r="J192">
        <v>162.30985800475699</v>
      </c>
      <c r="K192">
        <v>70.599955960392904</v>
      </c>
      <c r="L192">
        <v>0.65194213661026523</v>
      </c>
      <c r="M192">
        <v>-0.65106079102272951</v>
      </c>
      <c r="N192">
        <v>45.9841484158841</v>
      </c>
      <c r="O192">
        <v>45.984222140436401</v>
      </c>
      <c r="P192">
        <v>45.9841459706442</v>
      </c>
      <c r="Q192" t="s">
        <v>51</v>
      </c>
    </row>
    <row r="193" spans="1:17" x14ac:dyDescent="0.2">
      <c r="A193">
        <v>192</v>
      </c>
      <c r="B193">
        <v>785</v>
      </c>
      <c r="C193">
        <v>120</v>
      </c>
      <c r="D193">
        <v>0.48408117941691098</v>
      </c>
      <c r="E193">
        <v>109.75223977421901</v>
      </c>
      <c r="F193">
        <v>1.5547528679417699</v>
      </c>
      <c r="G193">
        <v>-1835.7969200373036</v>
      </c>
      <c r="H193">
        <v>-1495.4348585029279</v>
      </c>
      <c r="I193">
        <v>321.66135691404799</v>
      </c>
      <c r="J193">
        <v>162.30009722321401</v>
      </c>
      <c r="K193">
        <v>70.591437415718005</v>
      </c>
      <c r="L193">
        <v>0.64932914444869738</v>
      </c>
      <c r="M193">
        <v>-0.6484449348780934</v>
      </c>
      <c r="N193">
        <v>45.793967265098203</v>
      </c>
      <c r="O193">
        <v>45.794041183241397</v>
      </c>
      <c r="P193">
        <v>45.793964732824698</v>
      </c>
      <c r="Q193" t="s">
        <v>51</v>
      </c>
    </row>
    <row r="194" spans="1:17" x14ac:dyDescent="0.2">
      <c r="A194">
        <v>193</v>
      </c>
      <c r="B194">
        <v>784</v>
      </c>
      <c r="C194">
        <v>120</v>
      </c>
      <c r="D194">
        <v>0.48352693562881199</v>
      </c>
      <c r="E194">
        <v>109.75226010776299</v>
      </c>
      <c r="F194">
        <v>1.5549482525931699</v>
      </c>
      <c r="G194">
        <v>-1835.4756981536852</v>
      </c>
      <c r="H194">
        <v>-1495.6696947676287</v>
      </c>
      <c r="I194">
        <v>321.43964307146899</v>
      </c>
      <c r="J194">
        <v>162.291049292645</v>
      </c>
      <c r="K194">
        <v>70.582580432969905</v>
      </c>
      <c r="L194">
        <v>0.64672113141110454</v>
      </c>
      <c r="M194">
        <v>-0.64583405946308925</v>
      </c>
      <c r="N194">
        <v>45.6039632255901</v>
      </c>
      <c r="O194">
        <v>45.604037334751602</v>
      </c>
      <c r="P194">
        <v>45.603960603284897</v>
      </c>
      <c r="Q194" t="s">
        <v>51</v>
      </c>
    </row>
    <row r="195" spans="1:17" x14ac:dyDescent="0.2">
      <c r="A195">
        <v>194</v>
      </c>
      <c r="B195">
        <v>783</v>
      </c>
      <c r="C195">
        <v>120</v>
      </c>
      <c r="D195">
        <v>0.48297164228566197</v>
      </c>
      <c r="E195">
        <v>109.75228045884199</v>
      </c>
      <c r="F195">
        <v>1.5551514511192699</v>
      </c>
      <c r="G195">
        <v>-1835.1546981965357</v>
      </c>
      <c r="H195">
        <v>-1495.9042251532019</v>
      </c>
      <c r="I195">
        <v>321.218009094894</v>
      </c>
      <c r="J195">
        <v>162.28272163713899</v>
      </c>
      <c r="K195">
        <v>70.573371088617094</v>
      </c>
      <c r="L195">
        <v>0.64411903253538294</v>
      </c>
      <c r="M195">
        <v>-0.64322910066796568</v>
      </c>
      <c r="N195">
        <v>45.414195886226302</v>
      </c>
      <c r="O195">
        <v>45.414270183690398</v>
      </c>
      <c r="P195">
        <v>45.414193170825101</v>
      </c>
      <c r="Q195" t="s">
        <v>51</v>
      </c>
    </row>
    <row r="196" spans="1:17" x14ac:dyDescent="0.2">
      <c r="A196">
        <v>195</v>
      </c>
      <c r="B196">
        <v>782</v>
      </c>
      <c r="C196">
        <v>120</v>
      </c>
      <c r="D196">
        <v>0.48241529640335601</v>
      </c>
      <c r="E196">
        <v>109.752309731778</v>
      </c>
      <c r="F196">
        <v>1.5534569859942899</v>
      </c>
      <c r="G196">
        <v>-1834.8341346118054</v>
      </c>
      <c r="H196">
        <v>-1496.3391802166364</v>
      </c>
      <c r="I196">
        <v>320.80645010726602</v>
      </c>
      <c r="J196">
        <v>162.245220231915</v>
      </c>
      <c r="K196">
        <v>70.6503692868787</v>
      </c>
      <c r="L196">
        <v>0.63235152416939067</v>
      </c>
      <c r="M196">
        <v>-0.63145242345785224</v>
      </c>
      <c r="N196">
        <v>44.631876589706003</v>
      </c>
      <c r="O196">
        <v>44.631951685543903</v>
      </c>
      <c r="P196">
        <v>44.6318737586124</v>
      </c>
      <c r="Q196" t="s">
        <v>51</v>
      </c>
    </row>
    <row r="197" spans="1:17" x14ac:dyDescent="0.2">
      <c r="A197">
        <v>196</v>
      </c>
      <c r="B197">
        <v>781</v>
      </c>
      <c r="C197">
        <v>120</v>
      </c>
      <c r="D197">
        <v>0.48185789498648202</v>
      </c>
      <c r="E197">
        <v>109.752341770177</v>
      </c>
      <c r="F197">
        <v>1.5509782576931299</v>
      </c>
      <c r="G197">
        <v>-1834.514092502721</v>
      </c>
      <c r="H197">
        <v>-1496.8584846553542</v>
      </c>
      <c r="I197">
        <v>320.31460143812302</v>
      </c>
      <c r="J197">
        <v>162.195650462983</v>
      </c>
      <c r="K197">
        <v>70.763301307278297</v>
      </c>
      <c r="L197">
        <v>0.61670417942071953</v>
      </c>
      <c r="M197">
        <v>-0.61579325785524319</v>
      </c>
      <c r="N197">
        <v>43.595339695160597</v>
      </c>
      <c r="O197">
        <v>43.595415846022703</v>
      </c>
      <c r="P197">
        <v>43.595336735337099</v>
      </c>
      <c r="Q197" t="s">
        <v>51</v>
      </c>
    </row>
    <row r="198" spans="1:17" x14ac:dyDescent="0.2">
      <c r="A198">
        <v>197</v>
      </c>
      <c r="B198">
        <v>780</v>
      </c>
      <c r="C198">
        <v>120</v>
      </c>
      <c r="D198">
        <v>0.48129943502824801</v>
      </c>
      <c r="E198">
        <v>109.752373032292</v>
      </c>
      <c r="F198">
        <v>1.5483522310830999</v>
      </c>
      <c r="G198">
        <v>-1834.1945374757206</v>
      </c>
      <c r="H198">
        <v>-1497.3954225968669</v>
      </c>
      <c r="I198">
        <v>319.80554043269899</v>
      </c>
      <c r="J198">
        <v>162.14329550414601</v>
      </c>
      <c r="K198">
        <v>70.883337026949107</v>
      </c>
      <c r="L198">
        <v>0.60020857370277847</v>
      </c>
      <c r="M198">
        <v>-0.59928528367901923</v>
      </c>
      <c r="N198">
        <v>42.4993760288434</v>
      </c>
      <c r="O198">
        <v>42.499453287518598</v>
      </c>
      <c r="P198">
        <v>42.499372933145303</v>
      </c>
      <c r="Q198" t="s">
        <v>51</v>
      </c>
    </row>
    <row r="199" spans="1:17" x14ac:dyDescent="0.2">
      <c r="A199">
        <v>198</v>
      </c>
      <c r="B199">
        <v>779</v>
      </c>
      <c r="C199">
        <v>120</v>
      </c>
      <c r="D199">
        <v>0.48073991351043299</v>
      </c>
      <c r="E199">
        <v>109.75240315828501</v>
      </c>
      <c r="F199">
        <v>1.54548429207587</v>
      </c>
      <c r="G199">
        <v>-1833.8754852858976</v>
      </c>
      <c r="H199">
        <v>-1497.9603490426321</v>
      </c>
      <c r="I199">
        <v>319.26939280042399</v>
      </c>
      <c r="J199">
        <v>162.08543456247901</v>
      </c>
      <c r="K199">
        <v>71.014893985669502</v>
      </c>
      <c r="L199">
        <v>0.58236721552809234</v>
      </c>
      <c r="M199">
        <v>-0.58143069530572589</v>
      </c>
      <c r="N199">
        <v>41.310555214507303</v>
      </c>
      <c r="O199">
        <v>41.310633664836203</v>
      </c>
      <c r="P199">
        <v>41.310551974291201</v>
      </c>
      <c r="Q199" t="s">
        <v>51</v>
      </c>
    </row>
    <row r="200" spans="1:17" x14ac:dyDescent="0.2">
      <c r="A200">
        <v>199</v>
      </c>
      <c r="B200">
        <v>778</v>
      </c>
      <c r="C200">
        <v>120</v>
      </c>
      <c r="D200">
        <v>0.48017932740332298</v>
      </c>
      <c r="E200">
        <v>109.75243139517499</v>
      </c>
      <c r="F200">
        <v>1.5421802945998899</v>
      </c>
      <c r="G200">
        <v>-1833.556959553918</v>
      </c>
      <c r="H200">
        <v>-1498.5746095339969</v>
      </c>
      <c r="I200">
        <v>318.68580008424902</v>
      </c>
      <c r="J200">
        <v>162.01645806673599</v>
      </c>
      <c r="K200">
        <v>71.167056004725595</v>
      </c>
      <c r="L200">
        <v>0.56215881665305723</v>
      </c>
      <c r="M200">
        <v>-0.561207559850465</v>
      </c>
      <c r="N200">
        <v>39.960124377493997</v>
      </c>
      <c r="O200">
        <v>39.960204167268998</v>
      </c>
      <c r="P200">
        <v>39.960120981204398</v>
      </c>
      <c r="Q200" t="s">
        <v>51</v>
      </c>
    </row>
    <row r="201" spans="1:17" x14ac:dyDescent="0.2">
      <c r="A201">
        <v>200</v>
      </c>
      <c r="B201">
        <v>777</v>
      </c>
      <c r="C201">
        <v>120</v>
      </c>
      <c r="D201">
        <v>0.47961767366567098</v>
      </c>
      <c r="E201">
        <v>109.752455723867</v>
      </c>
      <c r="F201">
        <v>1.537936696264</v>
      </c>
      <c r="G201">
        <v>-1833.2389965751831</v>
      </c>
      <c r="H201">
        <v>-1499.2940457369089</v>
      </c>
      <c r="I201">
        <v>318.00149476070402</v>
      </c>
      <c r="J201">
        <v>161.92158108053201</v>
      </c>
      <c r="K201">
        <v>71.363441675123198</v>
      </c>
      <c r="L201">
        <v>0.53692363541702171</v>
      </c>
      <c r="M201">
        <v>-0.53595446149888293</v>
      </c>
      <c r="N201">
        <v>38.268588679689898</v>
      </c>
      <c r="O201">
        <v>38.268670123292203</v>
      </c>
      <c r="P201">
        <v>38.268585108481403</v>
      </c>
      <c r="Q201" t="s">
        <v>51</v>
      </c>
    </row>
    <row r="202" spans="1:17" x14ac:dyDescent="0.2">
      <c r="A202">
        <v>201</v>
      </c>
      <c r="B202">
        <v>776</v>
      </c>
      <c r="C202">
        <v>120</v>
      </c>
      <c r="D202">
        <v>0.47905494924462999</v>
      </c>
      <c r="E202">
        <v>109.752449715724</v>
      </c>
      <c r="F202">
        <v>1.52572242880242</v>
      </c>
      <c r="G202">
        <v>-1832.9215460483576</v>
      </c>
      <c r="H202">
        <v>-1500.9457305707488</v>
      </c>
      <c r="I202">
        <v>316.427932683986</v>
      </c>
      <c r="J202">
        <v>161.57393572967601</v>
      </c>
      <c r="K202">
        <v>71.9347422859028</v>
      </c>
      <c r="L202">
        <v>0.46881682978632905</v>
      </c>
      <c r="M202">
        <v>-0.46780297093238893</v>
      </c>
      <c r="N202">
        <v>33.673406322167601</v>
      </c>
      <c r="O202">
        <v>33.673492083951601</v>
      </c>
      <c r="P202">
        <v>33.6734024587495</v>
      </c>
      <c r="Q202" t="s">
        <v>51</v>
      </c>
    </row>
    <row r="203" spans="1:17" x14ac:dyDescent="0.2">
      <c r="A203">
        <v>202</v>
      </c>
      <c r="B203">
        <v>775</v>
      </c>
      <c r="C203">
        <v>120</v>
      </c>
      <c r="D203">
        <v>0.478491151075708</v>
      </c>
      <c r="E203">
        <v>109.756555576408</v>
      </c>
      <c r="F203">
        <v>1.50187231478576</v>
      </c>
      <c r="G203">
        <v>-1832.6732252357685</v>
      </c>
      <c r="H203">
        <v>-1504.1216155610568</v>
      </c>
      <c r="I203">
        <v>313.46334575145301</v>
      </c>
      <c r="J203">
        <v>160.813779167722</v>
      </c>
      <c r="K203">
        <v>73.079818101623999</v>
      </c>
      <c r="L203">
        <v>0.33937101905605543</v>
      </c>
      <c r="M203">
        <v>-0.33827352445754211</v>
      </c>
      <c r="N203">
        <v>24.7452168672799</v>
      </c>
      <c r="O203">
        <v>24.7453110017386</v>
      </c>
      <c r="P203">
        <v>24.745212524328799</v>
      </c>
      <c r="Q203" t="s">
        <v>51</v>
      </c>
    </row>
    <row r="204" spans="1:17" x14ac:dyDescent="0.2">
      <c r="A204">
        <v>203</v>
      </c>
      <c r="B204">
        <v>774</v>
      </c>
      <c r="C204">
        <v>120</v>
      </c>
      <c r="D204">
        <v>0.47792627608270499</v>
      </c>
      <c r="E204">
        <v>109.762915205537</v>
      </c>
      <c r="F204">
        <v>1.47735052665611</v>
      </c>
      <c r="G204">
        <v>-1832.4652984744055</v>
      </c>
      <c r="H204">
        <v>-1507.5784208105697</v>
      </c>
      <c r="I204">
        <v>310.26342939267801</v>
      </c>
      <c r="J204">
        <v>159.965990369313</v>
      </c>
      <c r="K204">
        <v>74.2971374938206</v>
      </c>
      <c r="L204">
        <v>0.20527324139489758</v>
      </c>
      <c r="M204">
        <v>-0.20408923112357674</v>
      </c>
      <c r="N204">
        <v>15.1897617218871</v>
      </c>
      <c r="O204">
        <v>15.1898647835554</v>
      </c>
      <c r="P204">
        <v>15.1897568461735</v>
      </c>
      <c r="Q204" t="s">
        <v>51</v>
      </c>
    </row>
    <row r="205" spans="1:17" x14ac:dyDescent="0.2">
      <c r="A205">
        <v>204</v>
      </c>
      <c r="B205">
        <v>773</v>
      </c>
      <c r="C205">
        <v>120</v>
      </c>
      <c r="D205">
        <v>0.47736032117765198</v>
      </c>
      <c r="E205">
        <v>109.76497757673199</v>
      </c>
      <c r="F205">
        <v>1.4637598665015601</v>
      </c>
      <c r="G205">
        <v>-1832.1896717771115</v>
      </c>
      <c r="H205">
        <v>-1509.6971224484871</v>
      </c>
      <c r="I205">
        <v>308.27157284257203</v>
      </c>
      <c r="J205">
        <v>159.46248091343699</v>
      </c>
      <c r="K205">
        <v>74.988377594389306</v>
      </c>
      <c r="L205">
        <v>0.1269968087729467</v>
      </c>
      <c r="M205">
        <v>-0.12576196517034419</v>
      </c>
      <c r="N205">
        <v>9.4585266190661592</v>
      </c>
      <c r="O205">
        <v>9.4586349640320808</v>
      </c>
      <c r="P205">
        <v>9.4585213439815305</v>
      </c>
      <c r="Q205" t="s">
        <v>51</v>
      </c>
    </row>
    <row r="206" spans="1:17" x14ac:dyDescent="0.2">
      <c r="A206">
        <v>205</v>
      </c>
      <c r="B206">
        <v>772</v>
      </c>
      <c r="C206">
        <v>120</v>
      </c>
      <c r="D206">
        <v>0.47679328326077502</v>
      </c>
      <c r="E206">
        <v>109.765006716854</v>
      </c>
      <c r="F206">
        <v>1.45654691866141</v>
      </c>
      <c r="G206">
        <v>-1831.8825673909848</v>
      </c>
      <c r="H206">
        <v>-1510.9935093691333</v>
      </c>
      <c r="I206">
        <v>307.03246499975899</v>
      </c>
      <c r="J206">
        <v>159.18078808445</v>
      </c>
      <c r="K206">
        <v>75.359746610655094</v>
      </c>
      <c r="L206">
        <v>8.1755859209413986E-2</v>
      </c>
      <c r="M206">
        <v>-8.0491203950998264E-2</v>
      </c>
      <c r="N206">
        <v>6.09438498647821</v>
      </c>
      <c r="O206">
        <v>6.0944963766428604</v>
      </c>
      <c r="P206">
        <v>6.09437939591428</v>
      </c>
      <c r="Q206" t="s">
        <v>51</v>
      </c>
    </row>
    <row r="207" spans="1:17" x14ac:dyDescent="0.2">
      <c r="A207">
        <v>206</v>
      </c>
      <c r="B207">
        <v>771</v>
      </c>
      <c r="C207">
        <v>120</v>
      </c>
      <c r="D207">
        <v>0.47622515922041903</v>
      </c>
      <c r="E207">
        <v>109.764881681709</v>
      </c>
      <c r="F207">
        <v>1.4538212981991401</v>
      </c>
      <c r="G207">
        <v>-1831.5738613859264</v>
      </c>
      <c r="H207">
        <v>-1511.6992787862832</v>
      </c>
      <c r="I207">
        <v>306.35501135740799</v>
      </c>
      <c r="J207">
        <v>159.07239267875801</v>
      </c>
      <c r="K207">
        <v>75.500944866934802</v>
      </c>
      <c r="L207">
        <v>6.0171115797820314E-2</v>
      </c>
      <c r="M207">
        <v>-5.8891675344490836E-2</v>
      </c>
      <c r="N207">
        <v>4.47529141929326</v>
      </c>
      <c r="O207">
        <v>4.4754042166243799</v>
      </c>
      <c r="P207">
        <v>4.4752855780176297</v>
      </c>
      <c r="Q207" t="s">
        <v>51</v>
      </c>
    </row>
    <row r="208" spans="1:17" x14ac:dyDescent="0.2">
      <c r="A208">
        <v>207</v>
      </c>
      <c r="B208">
        <v>804</v>
      </c>
      <c r="C208">
        <v>100</v>
      </c>
      <c r="D208">
        <v>0.514840551455232</v>
      </c>
      <c r="E208">
        <v>109.75196521405201</v>
      </c>
      <c r="F208">
        <v>1.4136683373263501</v>
      </c>
      <c r="G208">
        <v>-1843.422366876739</v>
      </c>
      <c r="H208">
        <v>-1492.2559893130137</v>
      </c>
      <c r="I208">
        <v>326.01815465274598</v>
      </c>
      <c r="J208">
        <v>161.67107805850301</v>
      </c>
      <c r="K208">
        <v>77.636290151071606</v>
      </c>
      <c r="L208">
        <v>0.60046613565257023</v>
      </c>
      <c r="M208">
        <v>-0.59937407125452402</v>
      </c>
      <c r="N208">
        <v>46.565052036747801</v>
      </c>
      <c r="O208">
        <v>46.565178311476302</v>
      </c>
      <c r="P208">
        <v>46.565057388485997</v>
      </c>
      <c r="Q208" t="s">
        <v>51</v>
      </c>
    </row>
    <row r="209" spans="1:17" x14ac:dyDescent="0.2">
      <c r="A209">
        <v>208</v>
      </c>
      <c r="B209">
        <v>803</v>
      </c>
      <c r="C209">
        <v>100</v>
      </c>
      <c r="D209">
        <v>0.51432467592807896</v>
      </c>
      <c r="E209">
        <v>109.751984298114</v>
      </c>
      <c r="F209">
        <v>1.4138794273092601</v>
      </c>
      <c r="G209">
        <v>-1843.0967656351593</v>
      </c>
      <c r="H209">
        <v>-1492.4886959682813</v>
      </c>
      <c r="I209">
        <v>325.80231153243801</v>
      </c>
      <c r="J209">
        <v>161.65056300609999</v>
      </c>
      <c r="K209">
        <v>77.624712672269098</v>
      </c>
      <c r="L209">
        <v>0.59821790493779659</v>
      </c>
      <c r="M209">
        <v>-0.59712282362826441</v>
      </c>
      <c r="N209">
        <v>46.383391257504996</v>
      </c>
      <c r="O209">
        <v>46.383517960589401</v>
      </c>
      <c r="P209">
        <v>46.383396708387899</v>
      </c>
      <c r="Q209" t="s">
        <v>51</v>
      </c>
    </row>
    <row r="210" spans="1:17" x14ac:dyDescent="0.2">
      <c r="A210">
        <v>209</v>
      </c>
      <c r="B210">
        <v>802</v>
      </c>
      <c r="C210">
        <v>100</v>
      </c>
      <c r="D210">
        <v>0.51380784076640695</v>
      </c>
      <c r="E210">
        <v>109.75200339247201</v>
      </c>
      <c r="F210">
        <v>1.41409637360476</v>
      </c>
      <c r="G210">
        <v>-1842.7713803624508</v>
      </c>
      <c r="H210">
        <v>-1492.7211666041485</v>
      </c>
      <c r="I210">
        <v>325.58648728848198</v>
      </c>
      <c r="J210">
        <v>161.63064581475999</v>
      </c>
      <c r="K210">
        <v>77.612817231612595</v>
      </c>
      <c r="L210">
        <v>0.59597161470063387</v>
      </c>
      <c r="M210">
        <v>-0.59487351146065082</v>
      </c>
      <c r="N210">
        <v>46.20174328569</v>
      </c>
      <c r="O210">
        <v>46.201870417661603</v>
      </c>
      <c r="P210">
        <v>46.201748835578002</v>
      </c>
      <c r="Q210" t="s">
        <v>51</v>
      </c>
    </row>
    <row r="211" spans="1:17" x14ac:dyDescent="0.2">
      <c r="A211">
        <v>210</v>
      </c>
      <c r="B211">
        <v>801</v>
      </c>
      <c r="C211">
        <v>100</v>
      </c>
      <c r="D211">
        <v>0.51329004329004402</v>
      </c>
      <c r="E211">
        <v>109.752022499577</v>
      </c>
      <c r="F211">
        <v>1.4143195036199401</v>
      </c>
      <c r="G211">
        <v>-1842.4462110700099</v>
      </c>
      <c r="H211">
        <v>-1492.9533801715775</v>
      </c>
      <c r="I211">
        <v>325.37070157660901</v>
      </c>
      <c r="J211">
        <v>161.61133599444301</v>
      </c>
      <c r="K211">
        <v>77.600586160812597</v>
      </c>
      <c r="L211">
        <v>0.59372813745270714</v>
      </c>
      <c r="M211">
        <v>-0.59262700803043622</v>
      </c>
      <c r="N211">
        <v>46.0201674627546</v>
      </c>
      <c r="O211">
        <v>46.020295024010402</v>
      </c>
      <c r="P211">
        <v>46.020173111474698</v>
      </c>
      <c r="Q211" t="s">
        <v>51</v>
      </c>
    </row>
    <row r="212" spans="1:17" x14ac:dyDescent="0.2">
      <c r="A212">
        <v>211</v>
      </c>
      <c r="B212">
        <v>800</v>
      </c>
      <c r="C212">
        <v>100</v>
      </c>
      <c r="D212">
        <v>0.51277128080883805</v>
      </c>
      <c r="E212">
        <v>109.75204162190001</v>
      </c>
      <c r="F212">
        <v>1.4145491332175899</v>
      </c>
      <c r="G212">
        <v>-1842.1212577502747</v>
      </c>
      <c r="H212">
        <v>-1493.1853163810749</v>
      </c>
      <c r="I212">
        <v>325.15497340047699</v>
      </c>
      <c r="J212">
        <v>161.59264277510599</v>
      </c>
      <c r="K212">
        <v>77.588002455774898</v>
      </c>
      <c r="L212">
        <v>0.59148831872634389</v>
      </c>
      <c r="M212">
        <v>-0.59038415961496493</v>
      </c>
      <c r="N212">
        <v>45.838721539359199</v>
      </c>
      <c r="O212">
        <v>45.838849530164303</v>
      </c>
      <c r="P212">
        <v>45.8387272867039</v>
      </c>
      <c r="Q212" t="s">
        <v>51</v>
      </c>
    </row>
    <row r="213" spans="1:17" x14ac:dyDescent="0.2">
      <c r="A213">
        <v>212</v>
      </c>
      <c r="B213">
        <v>799</v>
      </c>
      <c r="C213">
        <v>100</v>
      </c>
      <c r="D213">
        <v>0.51225155062258299</v>
      </c>
      <c r="E213">
        <v>109.75206076190101</v>
      </c>
      <c r="F213">
        <v>1.4147855660948501</v>
      </c>
      <c r="G213">
        <v>-1841.7965203767947</v>
      </c>
      <c r="H213">
        <v>-1493.4169557516097</v>
      </c>
      <c r="I213">
        <v>324.93932106308</v>
      </c>
      <c r="J213">
        <v>161.574575103575</v>
      </c>
      <c r="K213">
        <v>77.575049811147906</v>
      </c>
      <c r="L213">
        <v>0.58925297495153162</v>
      </c>
      <c r="M213">
        <v>-0.58814578336528833</v>
      </c>
      <c r="N213">
        <v>45.657461521651399</v>
      </c>
      <c r="O213">
        <v>45.657589942141399</v>
      </c>
      <c r="P213">
        <v>45.657467367377599</v>
      </c>
      <c r="Q213" t="s">
        <v>51</v>
      </c>
    </row>
    <row r="214" spans="1:17" x14ac:dyDescent="0.2">
      <c r="A214">
        <v>213</v>
      </c>
      <c r="B214">
        <v>798</v>
      </c>
      <c r="C214">
        <v>100</v>
      </c>
      <c r="D214">
        <v>0.51173085002101004</v>
      </c>
      <c r="E214">
        <v>109.752079922055</v>
      </c>
      <c r="F214">
        <v>1.41502909325566</v>
      </c>
      <c r="G214">
        <v>-1841.4719989054418</v>
      </c>
      <c r="H214">
        <v>-1493.6482796534947</v>
      </c>
      <c r="I214">
        <v>324.72376212457903</v>
      </c>
      <c r="J214">
        <v>161.55714164302901</v>
      </c>
      <c r="K214">
        <v>77.561712649695707</v>
      </c>
      <c r="L214">
        <v>0.58702289160637622</v>
      </c>
      <c r="M214">
        <v>-0.58591266545500276</v>
      </c>
      <c r="N214">
        <v>45.476441535343703</v>
      </c>
      <c r="O214">
        <v>45.4765703855279</v>
      </c>
      <c r="P214">
        <v>45.476447479172002</v>
      </c>
      <c r="Q214" t="s">
        <v>51</v>
      </c>
    </row>
    <row r="215" spans="1:17" x14ac:dyDescent="0.2">
      <c r="A215">
        <v>214</v>
      </c>
      <c r="B215">
        <v>797</v>
      </c>
      <c r="C215">
        <v>100</v>
      </c>
      <c r="D215">
        <v>0.511209176283699</v>
      </c>
      <c r="E215">
        <v>109.752099104845</v>
      </c>
      <c r="F215">
        <v>1.4152799926178401</v>
      </c>
      <c r="G215">
        <v>-1841.1476932750861</v>
      </c>
      <c r="H215">
        <v>-1493.8792703419965</v>
      </c>
      <c r="I215">
        <v>324.508313368068</v>
      </c>
      <c r="J215">
        <v>161.540350775523</v>
      </c>
      <c r="K215">
        <v>77.547976144167507</v>
      </c>
      <c r="L215">
        <v>0.58479882172546183</v>
      </c>
      <c r="M215">
        <v>-0.58368555958730595</v>
      </c>
      <c r="N215">
        <v>45.295713712889501</v>
      </c>
      <c r="O215">
        <v>45.295842992653697</v>
      </c>
      <c r="P215">
        <v>45.295719754503097</v>
      </c>
      <c r="Q215" t="s">
        <v>51</v>
      </c>
    </row>
    <row r="216" spans="1:17" x14ac:dyDescent="0.2">
      <c r="A216">
        <v>215</v>
      </c>
      <c r="B216">
        <v>796</v>
      </c>
      <c r="C216">
        <v>100</v>
      </c>
      <c r="D216">
        <v>0.51068652668007097</v>
      </c>
      <c r="E216">
        <v>109.75211831272701</v>
      </c>
      <c r="F216">
        <v>1.41553852871798</v>
      </c>
      <c r="G216">
        <v>-1840.8236034077013</v>
      </c>
      <c r="H216">
        <v>-1494.1099109828565</v>
      </c>
      <c r="I216">
        <v>324.29299077216501</v>
      </c>
      <c r="J216">
        <v>161.52421060727801</v>
      </c>
      <c r="K216">
        <v>77.533826233699699</v>
      </c>
      <c r="L216">
        <v>0.5825814847080677</v>
      </c>
      <c r="M216">
        <v>-0.58146518580215079</v>
      </c>
      <c r="N216">
        <v>45.115328100575503</v>
      </c>
      <c r="O216">
        <v>45.115457809685402</v>
      </c>
      <c r="P216">
        <v>45.115334239619301</v>
      </c>
      <c r="Q216" t="s">
        <v>51</v>
      </c>
    </row>
    <row r="217" spans="1:17" x14ac:dyDescent="0.2">
      <c r="A217">
        <v>216</v>
      </c>
      <c r="B217">
        <v>795</v>
      </c>
      <c r="C217">
        <v>100</v>
      </c>
      <c r="D217">
        <v>0.51016289846931695</v>
      </c>
      <c r="E217">
        <v>109.752137548139</v>
      </c>
      <c r="F217">
        <v>1.41580495253151</v>
      </c>
      <c r="G217">
        <v>-1840.4997292094668</v>
      </c>
      <c r="H217">
        <v>-1494.3401856709204</v>
      </c>
      <c r="I217">
        <v>324.07780949084798</v>
      </c>
      <c r="J217">
        <v>161.508728976588</v>
      </c>
      <c r="K217">
        <v>77.519249633855907</v>
      </c>
      <c r="L217">
        <v>0.58037156544485669</v>
      </c>
      <c r="M217">
        <v>-0.57925222960214662</v>
      </c>
      <c r="N217">
        <v>44.9353325865616</v>
      </c>
      <c r="O217">
        <v>44.935462724666003</v>
      </c>
      <c r="P217">
        <v>44.935338822641199</v>
      </c>
      <c r="Q217" t="s">
        <v>51</v>
      </c>
    </row>
    <row r="218" spans="1:17" x14ac:dyDescent="0.2">
      <c r="A218">
        <v>217</v>
      </c>
      <c r="B218">
        <v>794</v>
      </c>
      <c r="C218">
        <v>100</v>
      </c>
      <c r="D218">
        <v>0.50963828890034402</v>
      </c>
      <c r="E218">
        <v>109.75215681349199</v>
      </c>
      <c r="F218">
        <v>1.4160795013774199</v>
      </c>
      <c r="G218">
        <v>-1840.1760705713277</v>
      </c>
      <c r="H218">
        <v>-1494.5700794417737</v>
      </c>
      <c r="I218">
        <v>323.862783839212</v>
      </c>
      <c r="J218">
        <v>161.49391346396001</v>
      </c>
      <c r="K218">
        <v>77.504233841910704</v>
      </c>
      <c r="L218">
        <v>0.57816971370924941</v>
      </c>
      <c r="M218">
        <v>-0.57704734134336377</v>
      </c>
      <c r="N218">
        <v>44.755772846738402</v>
      </c>
      <c r="O218">
        <v>44.755903413373098</v>
      </c>
      <c r="P218">
        <v>44.755779179419498</v>
      </c>
      <c r="Q218" t="s">
        <v>51</v>
      </c>
    </row>
    <row r="219" spans="1:17" x14ac:dyDescent="0.2">
      <c r="A219">
        <v>218</v>
      </c>
      <c r="B219">
        <v>793</v>
      </c>
      <c r="C219">
        <v>100</v>
      </c>
      <c r="D219">
        <v>0.50911269521174396</v>
      </c>
      <c r="E219">
        <v>109.752178392556</v>
      </c>
      <c r="F219">
        <v>1.41582808131245</v>
      </c>
      <c r="G219">
        <v>-1839.8526694523277</v>
      </c>
      <c r="H219">
        <v>-1494.8516834518955</v>
      </c>
      <c r="I219">
        <v>323.599101674228</v>
      </c>
      <c r="J219">
        <v>161.467078400844</v>
      </c>
      <c r="K219">
        <v>77.518012138039794</v>
      </c>
      <c r="L219">
        <v>0.5737487578411532</v>
      </c>
      <c r="M219">
        <v>-0.57262168872670571</v>
      </c>
      <c r="N219">
        <v>44.420740624486001</v>
      </c>
      <c r="O219">
        <v>44.420871859495698</v>
      </c>
      <c r="P219">
        <v>44.4207470657012</v>
      </c>
      <c r="Q219" t="s">
        <v>51</v>
      </c>
    </row>
    <row r="220" spans="1:17" x14ac:dyDescent="0.2">
      <c r="A220">
        <v>219</v>
      </c>
      <c r="B220">
        <v>792</v>
      </c>
      <c r="C220">
        <v>100</v>
      </c>
      <c r="D220">
        <v>0.50858611463174297</v>
      </c>
      <c r="E220">
        <v>109.752209031265</v>
      </c>
      <c r="F220">
        <v>1.41333673236679</v>
      </c>
      <c r="G220">
        <v>-1839.5298019419777</v>
      </c>
      <c r="H220">
        <v>-1495.3529608299314</v>
      </c>
      <c r="I220">
        <v>323.12921876307797</v>
      </c>
      <c r="J220">
        <v>161.38706343751301</v>
      </c>
      <c r="K220">
        <v>77.654678122936303</v>
      </c>
      <c r="L220">
        <v>0.55991973294593356</v>
      </c>
      <c r="M220">
        <v>-0.55878095695585306</v>
      </c>
      <c r="N220">
        <v>43.424534649667798</v>
      </c>
      <c r="O220">
        <v>43.424667571013401</v>
      </c>
      <c r="P220">
        <v>43.424541252417796</v>
      </c>
      <c r="Q220" t="s">
        <v>51</v>
      </c>
    </row>
    <row r="221" spans="1:17" x14ac:dyDescent="0.2">
      <c r="A221">
        <v>220</v>
      </c>
      <c r="B221">
        <v>791</v>
      </c>
      <c r="C221">
        <v>100</v>
      </c>
      <c r="D221">
        <v>0.50805854437814801</v>
      </c>
      <c r="E221">
        <v>109.75223901461899</v>
      </c>
      <c r="F221">
        <v>1.41073186115602</v>
      </c>
      <c r="G221">
        <v>-1839.2073994388841</v>
      </c>
      <c r="H221">
        <v>-1495.8672514236691</v>
      </c>
      <c r="I221">
        <v>322.64666287132098</v>
      </c>
      <c r="J221">
        <v>161.303655022464</v>
      </c>
      <c r="K221">
        <v>77.798086253388007</v>
      </c>
      <c r="L221">
        <v>0.5455062404896126</v>
      </c>
      <c r="M221">
        <v>-0.54435534323679502</v>
      </c>
      <c r="N221">
        <v>42.3827311554179</v>
      </c>
      <c r="O221">
        <v>42.382865829591701</v>
      </c>
      <c r="P221">
        <v>42.382737924255601</v>
      </c>
      <c r="Q221" t="s">
        <v>51</v>
      </c>
    </row>
    <row r="222" spans="1:17" x14ac:dyDescent="0.2">
      <c r="A222">
        <v>221</v>
      </c>
      <c r="B222">
        <v>790</v>
      </c>
      <c r="C222">
        <v>100</v>
      </c>
      <c r="D222">
        <v>0.507529981658283</v>
      </c>
      <c r="E222">
        <v>109.75226809874999</v>
      </c>
      <c r="F222">
        <v>1.4079495171626899</v>
      </c>
      <c r="G222">
        <v>-1838.8854734591539</v>
      </c>
      <c r="H222">
        <v>-1496.4011185644513</v>
      </c>
      <c r="I222">
        <v>322.14523649363502</v>
      </c>
      <c r="J222">
        <v>161.21446585963</v>
      </c>
      <c r="K222">
        <v>77.951848955439402</v>
      </c>
      <c r="L222">
        <v>0.53021435620277224</v>
      </c>
      <c r="M222">
        <v>-0.52905072243872808</v>
      </c>
      <c r="N222">
        <v>41.2737786175297</v>
      </c>
      <c r="O222">
        <v>41.273915141237701</v>
      </c>
      <c r="P222">
        <v>41.273785558656002</v>
      </c>
      <c r="Q222" t="s">
        <v>51</v>
      </c>
    </row>
    <row r="223" spans="1:17" x14ac:dyDescent="0.2">
      <c r="A223">
        <v>222</v>
      </c>
      <c r="B223">
        <v>789</v>
      </c>
      <c r="C223">
        <v>100</v>
      </c>
      <c r="D223">
        <v>0.50700042366897302</v>
      </c>
      <c r="E223">
        <v>109.75229584311199</v>
      </c>
      <c r="F223">
        <v>1.4048766234396599</v>
      </c>
      <c r="G223">
        <v>-1838.5640406128437</v>
      </c>
      <c r="H223">
        <v>-1496.9662240192774</v>
      </c>
      <c r="I223">
        <v>321.61392416837202</v>
      </c>
      <c r="J223">
        <v>161.11527166054699</v>
      </c>
      <c r="K223">
        <v>78.122373176370203</v>
      </c>
      <c r="L223">
        <v>0.51352453384868746</v>
      </c>
      <c r="M223">
        <v>-0.51234719316778798</v>
      </c>
      <c r="N223">
        <v>40.059479007989196</v>
      </c>
      <c r="O223">
        <v>40.059617531517702</v>
      </c>
      <c r="P223">
        <v>40.059486130562902</v>
      </c>
      <c r="Q223" t="s">
        <v>51</v>
      </c>
    </row>
    <row r="224" spans="1:17" x14ac:dyDescent="0.2">
      <c r="A224">
        <v>223</v>
      </c>
      <c r="B224">
        <v>788</v>
      </c>
      <c r="C224">
        <v>100</v>
      </c>
      <c r="D224">
        <v>0.50646986759647905</v>
      </c>
      <c r="E224">
        <v>109.75232133981901</v>
      </c>
      <c r="F224">
        <v>1.4012875244937499</v>
      </c>
      <c r="G224">
        <v>-1838.2431256213183</v>
      </c>
      <c r="H224">
        <v>-1497.5860151291924</v>
      </c>
      <c r="I224">
        <v>321.03057174075701</v>
      </c>
      <c r="J224">
        <v>160.997577977151</v>
      </c>
      <c r="K224">
        <v>78.322485158404106</v>
      </c>
      <c r="L224">
        <v>0.49439759546552764</v>
      </c>
      <c r="M224">
        <v>-0.49320486816125292</v>
      </c>
      <c r="N224">
        <v>38.663195315216001</v>
      </c>
      <c r="O224">
        <v>38.663336096151397</v>
      </c>
      <c r="P224">
        <v>38.663202634356999</v>
      </c>
      <c r="Q224" t="s">
        <v>51</v>
      </c>
    </row>
    <row r="225" spans="1:17" x14ac:dyDescent="0.2">
      <c r="A225">
        <v>224</v>
      </c>
      <c r="B225">
        <v>787</v>
      </c>
      <c r="C225">
        <v>100</v>
      </c>
      <c r="D225">
        <v>0.50593831061642502</v>
      </c>
      <c r="E225">
        <v>109.75234231243699</v>
      </c>
      <c r="F225">
        <v>1.39664489614724</v>
      </c>
      <c r="G225">
        <v>-1837.9227657524416</v>
      </c>
      <c r="H225">
        <v>-1498.3170115870444</v>
      </c>
      <c r="I225">
        <v>320.34176185153899</v>
      </c>
      <c r="J225">
        <v>160.84081695867499</v>
      </c>
      <c r="K225">
        <v>78.582854249636696</v>
      </c>
      <c r="L225">
        <v>0.47034504961232476</v>
      </c>
      <c r="M225">
        <v>-0.46913356360529818</v>
      </c>
      <c r="N225">
        <v>36.900604777416</v>
      </c>
      <c r="O225">
        <v>36.9007483302276</v>
      </c>
      <c r="P225">
        <v>36.900612322543601</v>
      </c>
      <c r="Q225" t="s">
        <v>51</v>
      </c>
    </row>
    <row r="226" spans="1:17" x14ac:dyDescent="0.2">
      <c r="A226">
        <v>225</v>
      </c>
      <c r="B226">
        <v>786</v>
      </c>
      <c r="C226">
        <v>100</v>
      </c>
      <c r="D226">
        <v>0.50540574989378495</v>
      </c>
      <c r="E226">
        <v>109.752347876613</v>
      </c>
      <c r="F226">
        <v>1.3883652035598</v>
      </c>
      <c r="G226">
        <v>-1837.6029637165373</v>
      </c>
      <c r="H226">
        <v>-1499.4428616387002</v>
      </c>
      <c r="I226">
        <v>319.27942812930399</v>
      </c>
      <c r="J226">
        <v>160.54088772664699</v>
      </c>
      <c r="K226">
        <v>79.051497109841804</v>
      </c>
      <c r="L226">
        <v>0.42923438871411362</v>
      </c>
      <c r="M226">
        <v>-0.42799258612662494</v>
      </c>
      <c r="N226">
        <v>33.869213041463702</v>
      </c>
      <c r="O226">
        <v>33.869361124403603</v>
      </c>
      <c r="P226">
        <v>33.869220910569197</v>
      </c>
      <c r="Q226" t="s">
        <v>51</v>
      </c>
    </row>
    <row r="227" spans="1:17" x14ac:dyDescent="0.2">
      <c r="A227">
        <v>226</v>
      </c>
      <c r="B227">
        <v>785</v>
      </c>
      <c r="C227">
        <v>100</v>
      </c>
      <c r="D227">
        <v>0.50487218258281097</v>
      </c>
      <c r="E227">
        <v>109.752328451876</v>
      </c>
      <c r="F227">
        <v>1.3760455813252599</v>
      </c>
      <c r="G227">
        <v>-1837.2841504413607</v>
      </c>
      <c r="H227">
        <v>-1501.0551585005899</v>
      </c>
      <c r="I227">
        <v>317.75636796834999</v>
      </c>
      <c r="J227">
        <v>160.060564383996</v>
      </c>
      <c r="K227">
        <v>79.759224506337802</v>
      </c>
      <c r="L227">
        <v>0.36841058942504512</v>
      </c>
      <c r="M227">
        <v>-0.36712534080196241</v>
      </c>
      <c r="N227">
        <v>29.318890652158299</v>
      </c>
      <c r="O227">
        <v>29.3190453246293</v>
      </c>
      <c r="P227">
        <v>29.3188989616282</v>
      </c>
      <c r="Q227" t="s">
        <v>51</v>
      </c>
    </row>
    <row r="228" spans="1:17" x14ac:dyDescent="0.2">
      <c r="A228">
        <v>227</v>
      </c>
      <c r="B228">
        <v>784</v>
      </c>
      <c r="C228">
        <v>100</v>
      </c>
      <c r="D228">
        <v>0.50433760582698905</v>
      </c>
      <c r="E228">
        <v>109.76026011929299</v>
      </c>
      <c r="F228">
        <v>1.3467454000761701</v>
      </c>
      <c r="G228">
        <v>-1837.0978333764915</v>
      </c>
      <c r="H228">
        <v>-1504.8252837199207</v>
      </c>
      <c r="I228">
        <v>314.31484288720497</v>
      </c>
      <c r="J228">
        <v>158.81702791763499</v>
      </c>
      <c r="K228">
        <v>81.500378700446802</v>
      </c>
      <c r="L228">
        <v>0.230783121065081</v>
      </c>
      <c r="M228">
        <v>-0.22940101530631082</v>
      </c>
      <c r="N228">
        <v>18.737098391917801</v>
      </c>
      <c r="O228">
        <v>18.737268292088999</v>
      </c>
      <c r="P228">
        <v>18.737107629563798</v>
      </c>
      <c r="Q228" t="s">
        <v>51</v>
      </c>
    </row>
    <row r="229" spans="1:17" x14ac:dyDescent="0.2">
      <c r="A229">
        <v>228</v>
      </c>
      <c r="B229">
        <v>783</v>
      </c>
      <c r="C229">
        <v>100</v>
      </c>
      <c r="D229">
        <v>0.50380201675898495</v>
      </c>
      <c r="E229">
        <v>109.76422189252401</v>
      </c>
      <c r="F229">
        <v>1.3315144790476601</v>
      </c>
      <c r="G229">
        <v>-1836.8493212411684</v>
      </c>
      <c r="H229">
        <v>-1507.0193956511489</v>
      </c>
      <c r="I229">
        <v>312.29993852023301</v>
      </c>
      <c r="J229">
        <v>158.124698245449</v>
      </c>
      <c r="K229">
        <v>82.435620205219607</v>
      </c>
      <c r="L229">
        <v>0.15576360099841446</v>
      </c>
      <c r="M229">
        <v>-0.15432816661944751</v>
      </c>
      <c r="N229">
        <v>12.7649339064712</v>
      </c>
      <c r="O229">
        <v>12.765112430548401</v>
      </c>
      <c r="P229">
        <v>12.7649437139738</v>
      </c>
      <c r="Q229" t="s">
        <v>51</v>
      </c>
    </row>
    <row r="230" spans="1:17" x14ac:dyDescent="0.2">
      <c r="A230">
        <v>229</v>
      </c>
      <c r="B230">
        <v>782</v>
      </c>
      <c r="C230">
        <v>100</v>
      </c>
      <c r="D230">
        <v>0.50326541250059598</v>
      </c>
      <c r="E230">
        <v>109.76534283496601</v>
      </c>
      <c r="F230">
        <v>1.3209112919978601</v>
      </c>
      <c r="G230">
        <v>-1836.5561001848769</v>
      </c>
      <c r="H230">
        <v>-1508.6676423534673</v>
      </c>
      <c r="I230">
        <v>310.75611078843599</v>
      </c>
      <c r="J230">
        <v>157.60929576518299</v>
      </c>
      <c r="K230">
        <v>83.098194027054603</v>
      </c>
      <c r="L230">
        <v>0.10123644362015724</v>
      </c>
      <c r="M230">
        <v>-9.9761830949575636E-2</v>
      </c>
      <c r="N230">
        <v>8.3342536127696292</v>
      </c>
      <c r="O230">
        <v>8.3344385610868308</v>
      </c>
      <c r="P230">
        <v>8.3342638723373206</v>
      </c>
      <c r="Q230" t="s">
        <v>51</v>
      </c>
    </row>
    <row r="231" spans="1:17" x14ac:dyDescent="0.2">
      <c r="A231">
        <v>230</v>
      </c>
      <c r="B231">
        <v>781</v>
      </c>
      <c r="C231">
        <v>100</v>
      </c>
      <c r="D231">
        <v>0.50272779016268998</v>
      </c>
      <c r="E231">
        <v>109.765327540201</v>
      </c>
      <c r="F231">
        <v>1.3153640078076401</v>
      </c>
      <c r="G231">
        <v>-1836.2456262917742</v>
      </c>
      <c r="H231">
        <v>-1509.6928070251395</v>
      </c>
      <c r="I231">
        <v>309.783984733637</v>
      </c>
      <c r="J231">
        <v>157.32152548230499</v>
      </c>
      <c r="K231">
        <v>83.448632385153303</v>
      </c>
      <c r="L231">
        <v>6.9673580610060667E-2</v>
      </c>
      <c r="M231">
        <v>-6.8175624994571443E-2</v>
      </c>
      <c r="N231">
        <v>5.7341910815655499</v>
      </c>
      <c r="O231">
        <v>5.7343798612730001</v>
      </c>
      <c r="P231">
        <v>5.7342016495171304</v>
      </c>
      <c r="Q231" t="s">
        <v>51</v>
      </c>
    </row>
    <row r="232" spans="1:17" x14ac:dyDescent="0.2">
      <c r="A232">
        <v>231</v>
      </c>
      <c r="B232">
        <v>780</v>
      </c>
      <c r="C232">
        <v>100</v>
      </c>
      <c r="D232">
        <v>0.50218914684517901</v>
      </c>
      <c r="E232">
        <v>109.7652082411</v>
      </c>
      <c r="F232">
        <v>1.31305249054395</v>
      </c>
      <c r="G232">
        <v>-1835.9342091925059</v>
      </c>
      <c r="H232">
        <v>-1510.3123083027658</v>
      </c>
      <c r="I232">
        <v>309.19425598283601</v>
      </c>
      <c r="J232">
        <v>157.189742136592</v>
      </c>
      <c r="K232">
        <v>83.595445750708905</v>
      </c>
      <c r="L232">
        <v>5.2978565818059209E-2</v>
      </c>
      <c r="M232">
        <v>-5.1467501562686084E-2</v>
      </c>
      <c r="N232">
        <v>4.34786741081043</v>
      </c>
      <c r="O232">
        <v>4.3480583096291001</v>
      </c>
      <c r="P232">
        <v>4.3478781903096602</v>
      </c>
      <c r="Q23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FAE4-4633-4649-AE38-24B4B131BCFD}">
  <sheetPr codeName="Sheet4"/>
  <dimension ref="A1:AI232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763</v>
      </c>
      <c r="C2">
        <v>300</v>
      </c>
      <c r="D2">
        <v>0.280548665733729</v>
      </c>
      <c r="E2">
        <v>106.08719892190101</v>
      </c>
      <c r="F2">
        <v>2.1885185845810802</v>
      </c>
      <c r="G2">
        <v>-1738.5632499987298</v>
      </c>
      <c r="H2">
        <v>-1446.0056115952459</v>
      </c>
      <c r="I2">
        <v>282.35066197315399</v>
      </c>
      <c r="J2">
        <v>144.04468966292501</v>
      </c>
      <c r="K2">
        <v>48.474433650837803</v>
      </c>
      <c r="L2">
        <v>1.6423355569980771E-4</v>
      </c>
      <c r="M2">
        <v>1.7895757650096098E-5</v>
      </c>
      <c r="N2" s="1">
        <v>4.0184952526113899E-6</v>
      </c>
      <c r="O2" s="1">
        <v>1.09844839519598E-7</v>
      </c>
      <c r="P2" s="1">
        <v>-5.5098013288729997E-7</v>
      </c>
      <c r="Q2">
        <v>72.223605466700306</v>
      </c>
      <c r="R2">
        <v>7.4467042963551194E-2</v>
      </c>
      <c r="S2">
        <v>11.7639075466476</v>
      </c>
      <c r="T2">
        <v>0.171152021549695</v>
      </c>
      <c r="V2">
        <v>0.43042042052473201</v>
      </c>
      <c r="W2">
        <v>2.4508140722181201E-2</v>
      </c>
      <c r="X2">
        <v>5.6557247820419501E-2</v>
      </c>
      <c r="AA2">
        <v>0.49958902241369701</v>
      </c>
      <c r="AB2">
        <v>3.75163077208774</v>
      </c>
      <c r="AC2">
        <v>4.2040887546510604</v>
      </c>
      <c r="AD2">
        <v>3.7704831880278002E-3</v>
      </c>
      <c r="AE2">
        <v>6.79630308073087</v>
      </c>
    </row>
    <row r="3" spans="1:35" x14ac:dyDescent="0.2">
      <c r="A3">
        <v>2</v>
      </c>
      <c r="B3">
        <v>762</v>
      </c>
      <c r="C3">
        <v>300</v>
      </c>
      <c r="D3">
        <v>0.27978602134956498</v>
      </c>
      <c r="E3">
        <v>105.996852811911</v>
      </c>
      <c r="F3">
        <v>2.1889202138092001</v>
      </c>
      <c r="G3">
        <v>-1736.7799047780884</v>
      </c>
      <c r="H3">
        <v>-1444.8837134843332</v>
      </c>
      <c r="I3">
        <v>281.98443828793398</v>
      </c>
      <c r="J3">
        <v>143.91722398216999</v>
      </c>
      <c r="K3">
        <v>48.424265143704503</v>
      </c>
      <c r="L3">
        <v>1.6421615765879397E-4</v>
      </c>
      <c r="M3">
        <v>1.7887644004023744E-5</v>
      </c>
      <c r="N3" s="1">
        <v>4.0203785890056004E-6</v>
      </c>
      <c r="O3" s="1">
        <v>1.09673510028636E-7</v>
      </c>
      <c r="P3" s="1">
        <v>-5.5057963918698698E-7</v>
      </c>
      <c r="Q3">
        <v>72.204798149515895</v>
      </c>
      <c r="R3">
        <v>7.4530514731587602E-2</v>
      </c>
      <c r="S3">
        <v>11.7739344791182</v>
      </c>
      <c r="T3">
        <v>0.17158711505077001</v>
      </c>
      <c r="V3">
        <v>0.43052705146438502</v>
      </c>
      <c r="W3">
        <v>2.4529030164825601E-2</v>
      </c>
      <c r="X3">
        <v>5.6605454226524597E-2</v>
      </c>
      <c r="AA3">
        <v>0.50001484566761101</v>
      </c>
      <c r="AB3">
        <v>3.75482846369257</v>
      </c>
      <c r="AC3">
        <v>4.2076720975046502</v>
      </c>
      <c r="AD3">
        <v>3.7736969484345202E-3</v>
      </c>
      <c r="AE3">
        <v>6.7971991019143898</v>
      </c>
    </row>
    <row r="4" spans="1:35" x14ac:dyDescent="0.2">
      <c r="A4">
        <v>3</v>
      </c>
      <c r="B4">
        <v>761</v>
      </c>
      <c r="C4">
        <v>300</v>
      </c>
      <c r="D4">
        <v>0.27902190204515798</v>
      </c>
      <c r="E4">
        <v>105.762692069582</v>
      </c>
      <c r="F4">
        <v>2.1893708648485801</v>
      </c>
      <c r="G4">
        <v>-1732.6120720307124</v>
      </c>
      <c r="H4">
        <v>-1441.7451057360286</v>
      </c>
      <c r="I4">
        <v>281.26187332077802</v>
      </c>
      <c r="J4">
        <v>143.610236019746</v>
      </c>
      <c r="K4">
        <v>48.307344254759897</v>
      </c>
      <c r="L4">
        <v>1.6427200195152374E-4</v>
      </c>
      <c r="M4">
        <v>1.7880868815232064E-5</v>
      </c>
      <c r="N4" s="1">
        <v>4.0180559096181203E-6</v>
      </c>
      <c r="O4" s="1">
        <v>1.0938613594056901E-7</v>
      </c>
      <c r="P4" s="1">
        <v>-5.4981235008854197E-7</v>
      </c>
      <c r="Q4">
        <v>72.155240394725993</v>
      </c>
      <c r="R4">
        <v>7.4695526800723E-2</v>
      </c>
      <c r="S4">
        <v>11.8000022085214</v>
      </c>
      <c r="T4">
        <v>0.172295776903517</v>
      </c>
      <c r="V4">
        <v>0.43118442115448502</v>
      </c>
      <c r="W4">
        <v>2.45833379344143E-2</v>
      </c>
      <c r="X4">
        <v>5.6730779848653497E-2</v>
      </c>
      <c r="AA4">
        <v>0.50112188866307605</v>
      </c>
      <c r="AB4">
        <v>3.7631417299603802</v>
      </c>
      <c r="AC4">
        <v>4.2169879687494598</v>
      </c>
      <c r="AD4">
        <v>3.7820519899096098E-3</v>
      </c>
      <c r="AE4">
        <v>6.8002339147478104</v>
      </c>
    </row>
    <row r="5" spans="1:35" x14ac:dyDescent="0.2">
      <c r="A5">
        <v>4</v>
      </c>
      <c r="B5">
        <v>760</v>
      </c>
      <c r="C5">
        <v>300</v>
      </c>
      <c r="D5">
        <v>0.27825630353772701</v>
      </c>
      <c r="E5">
        <v>105.529728985285</v>
      </c>
      <c r="F5">
        <v>2.1898213415346701</v>
      </c>
      <c r="G5">
        <v>-1728.4654984043962</v>
      </c>
      <c r="H5">
        <v>-1438.6226469638666</v>
      </c>
      <c r="I5">
        <v>280.54285577169702</v>
      </c>
      <c r="J5">
        <v>143.30483228886601</v>
      </c>
      <c r="K5">
        <v>48.191022246284199</v>
      </c>
      <c r="L5">
        <v>1.6432799005302787E-4</v>
      </c>
      <c r="M5">
        <v>1.7874096775906477E-5</v>
      </c>
      <c r="N5" s="1">
        <v>4.0157650245185103E-6</v>
      </c>
      <c r="O5" s="1">
        <v>1.09100399604048E-7</v>
      </c>
      <c r="P5" s="1">
        <v>-5.4905075272913203E-7</v>
      </c>
      <c r="Q5">
        <v>72.105696751397005</v>
      </c>
      <c r="R5">
        <v>7.4860421569941299E-2</v>
      </c>
      <c r="S5">
        <v>11.826051407507499</v>
      </c>
      <c r="T5">
        <v>0.173006895834938</v>
      </c>
      <c r="V5">
        <v>0.43183865935647903</v>
      </c>
      <c r="W5">
        <v>2.46376070989669E-2</v>
      </c>
      <c r="X5">
        <v>5.6856016382238E-2</v>
      </c>
      <c r="AA5">
        <v>0.50222814470972899</v>
      </c>
      <c r="AB5">
        <v>3.7714490866880501</v>
      </c>
      <c r="AC5">
        <v>4.2262972177457598</v>
      </c>
      <c r="AD5">
        <v>3.7904010921483598E-3</v>
      </c>
      <c r="AE5">
        <v>6.8032873906170703</v>
      </c>
    </row>
    <row r="6" spans="1:35" x14ac:dyDescent="0.2">
      <c r="A6">
        <v>5</v>
      </c>
      <c r="B6">
        <v>759</v>
      </c>
      <c r="C6">
        <v>300</v>
      </c>
      <c r="D6">
        <v>0.27748922152788302</v>
      </c>
      <c r="E6">
        <v>105.297953297303</v>
      </c>
      <c r="F6">
        <v>2.1902716431169398</v>
      </c>
      <c r="G6">
        <v>-1724.3400036818989</v>
      </c>
      <c r="H6">
        <v>-1435.5161981746653</v>
      </c>
      <c r="I6">
        <v>279.82735601146499</v>
      </c>
      <c r="J6">
        <v>143.00099946218501</v>
      </c>
      <c r="K6">
        <v>48.0752940523194</v>
      </c>
      <c r="L6">
        <v>1.6438412352760633E-4</v>
      </c>
      <c r="M6">
        <v>1.7867327936899919E-5</v>
      </c>
      <c r="N6" s="1">
        <v>4.0135057689445099E-6</v>
      </c>
      <c r="O6" s="1">
        <v>1.0881628847652401E-7</v>
      </c>
      <c r="P6" s="1">
        <v>-5.4829481033450403E-7</v>
      </c>
      <c r="Q6">
        <v>72.056166852574805</v>
      </c>
      <c r="R6">
        <v>7.50251999456715E-2</v>
      </c>
      <c r="S6">
        <v>11.8520822192702</v>
      </c>
      <c r="T6">
        <v>0.173720486909368</v>
      </c>
      <c r="V6">
        <v>0.43248975962895603</v>
      </c>
      <c r="W6">
        <v>2.46918379568014E-2</v>
      </c>
      <c r="X6">
        <v>5.6981164515706402E-2</v>
      </c>
      <c r="AA6">
        <v>0.50333361988867598</v>
      </c>
      <c r="AB6">
        <v>3.7797505795412198</v>
      </c>
      <c r="AC6">
        <v>4.2355998956665601</v>
      </c>
      <c r="AD6">
        <v>3.7987443010457302E-3</v>
      </c>
      <c r="AE6">
        <v>6.8063596398008297</v>
      </c>
    </row>
    <row r="7" spans="1:35" x14ac:dyDescent="0.2">
      <c r="A7">
        <v>6</v>
      </c>
      <c r="B7">
        <v>758</v>
      </c>
      <c r="C7">
        <v>300</v>
      </c>
      <c r="D7">
        <v>0.27672065169955901</v>
      </c>
      <c r="E7">
        <v>105.067354857285</v>
      </c>
      <c r="F7">
        <v>2.1907217688165401</v>
      </c>
      <c r="G7">
        <v>-1720.2354096455854</v>
      </c>
      <c r="H7">
        <v>-1432.4256219079421</v>
      </c>
      <c r="I7">
        <v>279.11534474872002</v>
      </c>
      <c r="J7">
        <v>142.69872436244501</v>
      </c>
      <c r="K7">
        <v>47.9601546635677</v>
      </c>
      <c r="L7">
        <v>1.6444040396165242E-4</v>
      </c>
      <c r="M7">
        <v>1.786056235029864E-5</v>
      </c>
      <c r="N7" s="1">
        <v>4.0112779812779501E-6</v>
      </c>
      <c r="O7" s="1">
        <v>1.0853379017361201E-7</v>
      </c>
      <c r="P7" s="1">
        <v>-5.4754448668998305E-7</v>
      </c>
      <c r="Q7">
        <v>72.006650329926501</v>
      </c>
      <c r="R7">
        <v>7.5189862833521401E-2</v>
      </c>
      <c r="S7">
        <v>11.8780947868706</v>
      </c>
      <c r="T7">
        <v>0.174436565272999</v>
      </c>
      <c r="V7">
        <v>0.43313771545076601</v>
      </c>
      <c r="W7">
        <v>2.47460308059669E-2</v>
      </c>
      <c r="X7">
        <v>5.71062249368594E-2</v>
      </c>
      <c r="AA7">
        <v>0.50443832027551605</v>
      </c>
      <c r="AB7">
        <v>3.7880462541442501</v>
      </c>
      <c r="AC7">
        <v>4.2448960536387599</v>
      </c>
      <c r="AD7">
        <v>3.8070816624556701E-3</v>
      </c>
      <c r="AE7">
        <v>6.8094507741815899</v>
      </c>
    </row>
    <row r="8" spans="1:35" x14ac:dyDescent="0.2">
      <c r="A8">
        <v>7</v>
      </c>
      <c r="B8">
        <v>757</v>
      </c>
      <c r="C8">
        <v>300</v>
      </c>
      <c r="D8">
        <v>0.27595058971994302</v>
      </c>
      <c r="E8">
        <v>104.837923627091</v>
      </c>
      <c r="F8">
        <v>2.1911717178252301</v>
      </c>
      <c r="G8">
        <v>-1716.1515400238495</v>
      </c>
      <c r="H8">
        <v>-1429.3507821924013</v>
      </c>
      <c r="I8">
        <v>278.40679302183901</v>
      </c>
      <c r="J8">
        <v>142.39799395852</v>
      </c>
      <c r="K8">
        <v>47.845599125907199</v>
      </c>
      <c r="L8">
        <v>1.6449683296555618E-4</v>
      </c>
      <c r="M8">
        <v>1.78538000695103E-5</v>
      </c>
      <c r="N8" s="1">
        <v>4.0090815030024697E-6</v>
      </c>
      <c r="O8" s="1">
        <v>1.08252892466578E-7</v>
      </c>
      <c r="P8" s="1">
        <v>-5.4679974613526399E-7</v>
      </c>
      <c r="Q8">
        <v>71.957146813319099</v>
      </c>
      <c r="R8">
        <v>7.5354411139432198E-2</v>
      </c>
      <c r="S8">
        <v>11.904089253424999</v>
      </c>
      <c r="T8">
        <v>0.175155146157119</v>
      </c>
      <c r="V8">
        <v>0.43378252022649399</v>
      </c>
      <c r="W8">
        <v>2.4800185944620998E-2</v>
      </c>
      <c r="X8">
        <v>5.7231198333754202E-2</v>
      </c>
      <c r="AA8">
        <v>0.505542251948082</v>
      </c>
      <c r="AB8">
        <v>3.7963361561382301</v>
      </c>
      <c r="AC8">
        <v>4.25418574280787</v>
      </c>
      <c r="AD8">
        <v>3.81541322224855E-3</v>
      </c>
      <c r="AE8">
        <v>6.8125609073379501</v>
      </c>
    </row>
    <row r="9" spans="1:35" x14ac:dyDescent="0.2">
      <c r="A9">
        <v>8</v>
      </c>
      <c r="B9">
        <v>756</v>
      </c>
      <c r="C9">
        <v>300</v>
      </c>
      <c r="D9">
        <v>0.27517903123937498</v>
      </c>
      <c r="E9">
        <v>104.60964967863001</v>
      </c>
      <c r="F9">
        <v>2.19162148930184</v>
      </c>
      <c r="G9">
        <v>-1712.0882204874392</v>
      </c>
      <c r="H9">
        <v>-1426.2915445442566</v>
      </c>
      <c r="I9">
        <v>277.70167219859297</v>
      </c>
      <c r="J9">
        <v>142.098795365272</v>
      </c>
      <c r="K9">
        <v>47.731622540329703</v>
      </c>
      <c r="L9">
        <v>1.6455341217501331E-4</v>
      </c>
      <c r="M9">
        <v>1.7847041149392508E-5</v>
      </c>
      <c r="N9" s="1">
        <v>4.0069161787812597E-6</v>
      </c>
      <c r="O9" s="1">
        <v>1.0797358328307099E-7</v>
      </c>
      <c r="P9" s="1">
        <v>-5.4606055357205397E-7</v>
      </c>
      <c r="Q9">
        <v>71.907655930987204</v>
      </c>
      <c r="R9">
        <v>7.5518845768719506E-2</v>
      </c>
      <c r="S9">
        <v>11.930065761951001</v>
      </c>
      <c r="T9">
        <v>0.17587624487592701</v>
      </c>
      <c r="V9">
        <v>0.43442416728114203</v>
      </c>
      <c r="W9">
        <v>2.48543036707152E-2</v>
      </c>
      <c r="X9">
        <v>5.73560853939733E-2</v>
      </c>
      <c r="AA9">
        <v>0.50664542098000798</v>
      </c>
      <c r="AB9">
        <v>3.8046203311326701</v>
      </c>
      <c r="AC9">
        <v>4.2634690142840199</v>
      </c>
      <c r="AD9">
        <v>3.8237390262629602E-3</v>
      </c>
      <c r="AE9">
        <v>6.8156901546481503</v>
      </c>
    </row>
    <row r="10" spans="1:35" x14ac:dyDescent="0.2">
      <c r="A10">
        <v>9</v>
      </c>
      <c r="B10">
        <v>755</v>
      </c>
      <c r="C10">
        <v>300</v>
      </c>
      <c r="D10">
        <v>0.27440597189125798</v>
      </c>
      <c r="E10">
        <v>104.382523193019</v>
      </c>
      <c r="F10">
        <v>2.1920710823763199</v>
      </c>
      <c r="G10">
        <v>-1708.045278633004</v>
      </c>
      <c r="H10">
        <v>-1423.247775956419</v>
      </c>
      <c r="I10">
        <v>276.99995397226502</v>
      </c>
      <c r="J10">
        <v>141.801115842184</v>
      </c>
      <c r="K10">
        <v>47.618220062400198</v>
      </c>
      <c r="L10">
        <v>1.6461014324807937E-4</v>
      </c>
      <c r="M10">
        <v>1.7840285646048944E-5</v>
      </c>
      <c r="N10" s="1">
        <v>4.0047818563536401E-6</v>
      </c>
      <c r="O10" s="1">
        <v>1.07695850703216E-7</v>
      </c>
      <c r="P10" s="1">
        <v>-5.4532687444414899E-7</v>
      </c>
      <c r="Q10">
        <v>71.858177309827795</v>
      </c>
      <c r="R10">
        <v>7.5683167625599498E-2</v>
      </c>
      <c r="S10">
        <v>11.956024455292001</v>
      </c>
      <c r="T10">
        <v>0.17659987682577599</v>
      </c>
      <c r="V10">
        <v>0.43506264985729898</v>
      </c>
      <c r="W10">
        <v>2.4908384281839901E-2</v>
      </c>
      <c r="X10">
        <v>5.7480886804263297E-2</v>
      </c>
      <c r="AA10">
        <v>0.50774783343755703</v>
      </c>
      <c r="AB10">
        <v>3.8128988246817701</v>
      </c>
      <c r="AC10">
        <v>4.2727459191153896</v>
      </c>
      <c r="AD10">
        <v>3.8320591202820001E-3</v>
      </c>
      <c r="AE10">
        <v>6.8188386331302802</v>
      </c>
    </row>
    <row r="11" spans="1:35" x14ac:dyDescent="0.2">
      <c r="A11">
        <v>10</v>
      </c>
      <c r="B11">
        <v>754</v>
      </c>
      <c r="C11">
        <v>300</v>
      </c>
      <c r="D11">
        <v>0.27363140729202201</v>
      </c>
      <c r="E11">
        <v>104.156534456674</v>
      </c>
      <c r="F11">
        <v>2.1925204961451699</v>
      </c>
      <c r="G11">
        <v>-1704.0225439178876</v>
      </c>
      <c r="H11">
        <v>-1420.2193448441528</v>
      </c>
      <c r="I11">
        <v>276.301610352659</v>
      </c>
      <c r="J11">
        <v>141.50494278866199</v>
      </c>
      <c r="K11">
        <v>47.505386900510103</v>
      </c>
      <c r="L11">
        <v>1.6466702786990627E-4</v>
      </c>
      <c r="M11">
        <v>1.7833533617100482E-5</v>
      </c>
      <c r="N11" s="1">
        <v>4.0026783865535699E-6</v>
      </c>
      <c r="O11" s="1">
        <v>1.07419682958639E-7</v>
      </c>
      <c r="P11" s="1">
        <v>-5.4459867474377E-7</v>
      </c>
      <c r="Q11">
        <v>71.808710574654398</v>
      </c>
      <c r="R11">
        <v>7.5847377614953707E-2</v>
      </c>
      <c r="S11">
        <v>11.981965476395599</v>
      </c>
      <c r="T11">
        <v>0.17732605749019401</v>
      </c>
      <c r="V11">
        <v>0.43569796112440501</v>
      </c>
      <c r="W11">
        <v>2.4962428075804399E-2</v>
      </c>
      <c r="X11">
        <v>5.7605603251874797E-2</v>
      </c>
      <c r="AA11">
        <v>0.50884949539145097</v>
      </c>
      <c r="AB11">
        <v>3.8211716823732602</v>
      </c>
      <c r="AC11">
        <v>4.2820165083877297</v>
      </c>
      <c r="AD11">
        <v>3.8403735501225701E-3</v>
      </c>
      <c r="AE11">
        <v>6.8220064616900604</v>
      </c>
    </row>
    <row r="12" spans="1:35" x14ac:dyDescent="0.2">
      <c r="A12">
        <v>11</v>
      </c>
      <c r="B12">
        <v>753</v>
      </c>
      <c r="C12">
        <v>300</v>
      </c>
      <c r="D12">
        <v>0.27285533304097898</v>
      </c>
      <c r="E12">
        <v>103.93167386172399</v>
      </c>
      <c r="F12">
        <v>2.1929697296746999</v>
      </c>
      <c r="G12">
        <v>-1700.0198476646026</v>
      </c>
      <c r="H12">
        <v>-1417.2061210518013</v>
      </c>
      <c r="I12">
        <v>275.606613665449</v>
      </c>
      <c r="J12">
        <v>141.21026374425799</v>
      </c>
      <c r="K12">
        <v>47.393118315928902</v>
      </c>
      <c r="L12">
        <v>1.6472406774944477E-4</v>
      </c>
      <c r="M12">
        <v>1.7826785121489735E-5</v>
      </c>
      <c r="N12" s="1">
        <v>4.00060562325195E-6</v>
      </c>
      <c r="O12" s="1">
        <v>1.0714506842984E-7</v>
      </c>
      <c r="P12" s="1">
        <v>-5.4387592099642001E-7</v>
      </c>
      <c r="Q12">
        <v>71.759255348733006</v>
      </c>
      <c r="R12">
        <v>7.6011476640998998E-2</v>
      </c>
      <c r="S12">
        <v>12.007888968105499</v>
      </c>
      <c r="T12">
        <v>0.17805480243668501</v>
      </c>
      <c r="V12">
        <v>0.436330094170989</v>
      </c>
      <c r="W12">
        <v>2.5016435350198901E-2</v>
      </c>
      <c r="X12">
        <v>5.7730235423555501E-2</v>
      </c>
      <c r="AA12">
        <v>0.50995041290795695</v>
      </c>
      <c r="AB12">
        <v>3.8294389497613501</v>
      </c>
      <c r="AC12">
        <v>4.29128083314923</v>
      </c>
      <c r="AD12">
        <v>3.84868236156779E-3</v>
      </c>
      <c r="AE12">
        <v>6.82519376095886</v>
      </c>
    </row>
    <row r="13" spans="1:35" x14ac:dyDescent="0.2">
      <c r="A13">
        <v>12</v>
      </c>
      <c r="B13">
        <v>752</v>
      </c>
      <c r="C13">
        <v>300</v>
      </c>
      <c r="D13">
        <v>0.27207774472028401</v>
      </c>
      <c r="E13">
        <v>103.707931903401</v>
      </c>
      <c r="F13">
        <v>2.1934187819958901</v>
      </c>
      <c r="G13">
        <v>-1696.0370230172734</v>
      </c>
      <c r="H13">
        <v>-1414.2079758166778</v>
      </c>
      <c r="I13">
        <v>274.914936546452</v>
      </c>
      <c r="J13">
        <v>140.91706638561101</v>
      </c>
      <c r="K13">
        <v>47.281409621664899</v>
      </c>
      <c r="L13">
        <v>1.64781264623602E-4</v>
      </c>
      <c r="M13">
        <v>1.7820040219744915E-5</v>
      </c>
      <c r="N13" s="1">
        <v>3.9985634234151801E-6</v>
      </c>
      <c r="O13" s="1">
        <v>1.06871995646327E-7</v>
      </c>
      <c r="P13" s="1">
        <v>-5.4315858027091199E-7</v>
      </c>
      <c r="Q13">
        <v>71.709811253304906</v>
      </c>
      <c r="R13">
        <v>7.6175465608154802E-2</v>
      </c>
      <c r="S13">
        <v>12.0337950732971</v>
      </c>
      <c r="T13">
        <v>0.17878612731940499</v>
      </c>
      <c r="V13">
        <v>0.43695904200924601</v>
      </c>
      <c r="W13">
        <v>2.5070406402680299E-2</v>
      </c>
      <c r="X13">
        <v>5.7854784006205903E-2</v>
      </c>
      <c r="AA13">
        <v>0.51105059205469805</v>
      </c>
      <c r="AB13">
        <v>3.8377006724104401</v>
      </c>
      <c r="AC13">
        <v>4.3005389444595004</v>
      </c>
      <c r="AD13">
        <v>3.8569856004110098E-3</v>
      </c>
      <c r="AE13">
        <v>6.8284006535271899</v>
      </c>
    </row>
    <row r="14" spans="1:35" x14ac:dyDescent="0.2">
      <c r="A14">
        <v>13</v>
      </c>
      <c r="B14">
        <v>751</v>
      </c>
      <c r="C14">
        <v>300</v>
      </c>
      <c r="D14">
        <v>0.27129863789483999</v>
      </c>
      <c r="E14">
        <v>103.48529917970301</v>
      </c>
      <c r="F14">
        <v>2.1938676521082199</v>
      </c>
      <c r="G14">
        <v>-1692.0739049335839</v>
      </c>
      <c r="H14">
        <v>-1411.2247817652071</v>
      </c>
      <c r="I14">
        <v>274.22655193904802</v>
      </c>
      <c r="J14">
        <v>140.62533852570701</v>
      </c>
      <c r="K14">
        <v>47.1702561821619</v>
      </c>
      <c r="L14">
        <v>1.6483862025414391E-4</v>
      </c>
      <c r="M14">
        <v>1.7813298973776329E-5</v>
      </c>
      <c r="N14" s="1">
        <v>3.9965516470178102E-6</v>
      </c>
      <c r="O14" s="1">
        <v>1.0660045328322099E-7</v>
      </c>
      <c r="P14" s="1">
        <v>-5.4244662016122204E-7</v>
      </c>
      <c r="Q14">
        <v>71.660377907963195</v>
      </c>
      <c r="R14">
        <v>7.6339345420280494E-2</v>
      </c>
      <c r="S14">
        <v>12.059683934758</v>
      </c>
      <c r="T14">
        <v>0.17952004787751799</v>
      </c>
      <c r="V14">
        <v>0.43758479757039298</v>
      </c>
      <c r="W14">
        <v>2.5124341530721302E-2</v>
      </c>
      <c r="X14">
        <v>5.79792496863029E-2</v>
      </c>
      <c r="AA14">
        <v>0.51215003889554001</v>
      </c>
      <c r="AB14">
        <v>3.8459568958567401</v>
      </c>
      <c r="AC14">
        <v>4.3097908933465003</v>
      </c>
      <c r="AD14">
        <v>3.86528331241716E-3</v>
      </c>
      <c r="AE14">
        <v>6.8316272637823001</v>
      </c>
    </row>
    <row r="15" spans="1:35" x14ac:dyDescent="0.2">
      <c r="A15">
        <v>14</v>
      </c>
      <c r="B15">
        <v>750</v>
      </c>
      <c r="C15">
        <v>300</v>
      </c>
      <c r="D15">
        <v>0.270518008112205</v>
      </c>
      <c r="E15">
        <v>103.263766389488</v>
      </c>
      <c r="F15">
        <v>2.19431633897634</v>
      </c>
      <c r="G15">
        <v>-1688.1303301524961</v>
      </c>
      <c r="H15">
        <v>-1408.2564128867521</v>
      </c>
      <c r="I15">
        <v>273.54143308971697</v>
      </c>
      <c r="J15">
        <v>140.33506811160001</v>
      </c>
      <c r="K15">
        <v>47.059653412443197</v>
      </c>
      <c r="L15">
        <v>1.6489613643029888E-4</v>
      </c>
      <c r="M15">
        <v>1.7806561447044979E-5</v>
      </c>
      <c r="N15" s="1">
        <v>3.9945701570790603E-6</v>
      </c>
      <c r="O15" s="1">
        <v>1.06330430160904E-7</v>
      </c>
      <c r="P15" s="1">
        <v>-5.41740008791583E-7</v>
      </c>
      <c r="Q15">
        <v>71.610954930392694</v>
      </c>
      <c r="R15">
        <v>7.6503116981066099E-2</v>
      </c>
      <c r="S15">
        <v>12.085555695247599</v>
      </c>
      <c r="T15">
        <v>0.18025657993663999</v>
      </c>
      <c r="V15">
        <v>0.438207353706696</v>
      </c>
      <c r="W15">
        <v>2.51782410317389E-2</v>
      </c>
      <c r="X15">
        <v>5.8103633150192097E-2</v>
      </c>
      <c r="AA15">
        <v>0.51324875949321402</v>
      </c>
      <c r="AB15">
        <v>3.8542076656279098</v>
      </c>
      <c r="AC15">
        <v>4.3190367308287296</v>
      </c>
      <c r="AD15">
        <v>3.8735755433427898E-3</v>
      </c>
      <c r="AE15">
        <v>6.8348737180599697</v>
      </c>
    </row>
    <row r="16" spans="1:35" x14ac:dyDescent="0.2">
      <c r="A16">
        <v>15</v>
      </c>
      <c r="B16">
        <v>749</v>
      </c>
      <c r="C16">
        <v>300</v>
      </c>
      <c r="D16">
        <v>0.26973585090251001</v>
      </c>
      <c r="E16">
        <v>103.04332432985299</v>
      </c>
      <c r="F16">
        <v>2.1947648415313101</v>
      </c>
      <c r="G16">
        <v>-1684.2061371492173</v>
      </c>
      <c r="H16">
        <v>-1405.3027444975817</v>
      </c>
      <c r="I16">
        <v>272.85955354070899</v>
      </c>
      <c r="J16">
        <v>140.046243221011</v>
      </c>
      <c r="K16">
        <v>46.949596776827697</v>
      </c>
      <c r="L16">
        <v>1.6495381496900679E-4</v>
      </c>
      <c r="M16">
        <v>1.7799827704535316E-5</v>
      </c>
      <c r="N16" s="1">
        <v>3.9926188195815003E-6</v>
      </c>
      <c r="O16" s="1">
        <v>1.06061915241668E-7</v>
      </c>
      <c r="P16" s="1">
        <v>-5.4103871480437195E-7</v>
      </c>
      <c r="Q16">
        <v>71.561541936101193</v>
      </c>
      <c r="R16">
        <v>7.66667811949827E-2</v>
      </c>
      <c r="S16">
        <v>12.1114104976495</v>
      </c>
      <c r="T16">
        <v>0.18099573941178301</v>
      </c>
      <c r="V16">
        <v>0.43882670319606398</v>
      </c>
      <c r="W16">
        <v>2.52321052034074E-2</v>
      </c>
      <c r="X16">
        <v>5.8227935084813498E-2</v>
      </c>
      <c r="AA16">
        <v>0.51434675991569201</v>
      </c>
      <c r="AB16">
        <v>3.86245302729102</v>
      </c>
      <c r="AC16">
        <v>4.3282765079687504</v>
      </c>
      <c r="AD16">
        <v>3.88186233898398E-3</v>
      </c>
      <c r="AE16">
        <v>6.8381401446437602</v>
      </c>
    </row>
    <row r="17" spans="1:31" x14ac:dyDescent="0.2">
      <c r="A17">
        <v>16</v>
      </c>
      <c r="B17">
        <v>748</v>
      </c>
      <c r="C17">
        <v>300</v>
      </c>
      <c r="D17">
        <v>0.26895216177838999</v>
      </c>
      <c r="E17">
        <v>102.82396389624</v>
      </c>
      <c r="F17">
        <v>2.19521315866898</v>
      </c>
      <c r="G17">
        <v>-1680.3011661356977</v>
      </c>
      <c r="H17">
        <v>-1402.3636532429541</v>
      </c>
      <c r="I17">
        <v>272.18088712994501</v>
      </c>
      <c r="J17">
        <v>139.758852062432</v>
      </c>
      <c r="K17">
        <v>46.840081788952602</v>
      </c>
      <c r="L17">
        <v>1.6501165771497914E-4</v>
      </c>
      <c r="M17">
        <v>1.7793097812794533E-5</v>
      </c>
      <c r="N17" s="1">
        <v>3.99069750351366E-6</v>
      </c>
      <c r="O17" s="1">
        <v>1.05794897629666E-7</v>
      </c>
      <c r="P17" s="1">
        <v>-5.4034270736192496E-7</v>
      </c>
      <c r="Q17">
        <v>71.512138538681199</v>
      </c>
      <c r="R17">
        <v>7.6830338966239906E-2</v>
      </c>
      <c r="S17">
        <v>12.1372484848056</v>
      </c>
      <c r="T17">
        <v>0.18173754230487299</v>
      </c>
      <c r="V17">
        <v>0.439442838736115</v>
      </c>
      <c r="W17">
        <v>2.5285934343314598E-2</v>
      </c>
      <c r="X17">
        <v>5.8352156176908303E-2</v>
      </c>
      <c r="AA17">
        <v>0.51544404622918805</v>
      </c>
      <c r="AB17">
        <v>3.8706930263999002</v>
      </c>
      <c r="AC17">
        <v>4.33751027581435</v>
      </c>
      <c r="AD17">
        <v>3.89014374512343E-3</v>
      </c>
      <c r="AE17">
        <v>6.8414266737971303</v>
      </c>
    </row>
    <row r="18" spans="1:31" x14ac:dyDescent="0.2">
      <c r="A18">
        <v>17</v>
      </c>
      <c r="B18">
        <v>747</v>
      </c>
      <c r="C18">
        <v>300</v>
      </c>
      <c r="D18">
        <v>0.26816693623486898</v>
      </c>
      <c r="E18">
        <v>102.605676080923</v>
      </c>
      <c r="F18">
        <v>2.1956612892490699</v>
      </c>
      <c r="G18">
        <v>-1676.4152590344206</v>
      </c>
      <c r="H18">
        <v>-1399.4390170765907</v>
      </c>
      <c r="I18">
        <v>271.50540798689298</v>
      </c>
      <c r="J18">
        <v>139.47288297319699</v>
      </c>
      <c r="K18">
        <v>46.731104011045097</v>
      </c>
      <c r="L18">
        <v>1.6506966654149688E-4</v>
      </c>
      <c r="M18">
        <v>1.778637183997758E-5</v>
      </c>
      <c r="N18" s="1">
        <v>3.9888060808604896E-6</v>
      </c>
      <c r="O18" s="1">
        <v>1.05529366569447E-7</v>
      </c>
      <c r="P18" s="1">
        <v>-5.3965195614354698E-7</v>
      </c>
      <c r="Q18">
        <v>71.4627443497169</v>
      </c>
      <c r="R18">
        <v>7.6993791198938705E-2</v>
      </c>
      <c r="S18">
        <v>12.163069799541701</v>
      </c>
      <c r="T18">
        <v>0.18248200470551401</v>
      </c>
      <c r="V18">
        <v>0.440055752944644</v>
      </c>
      <c r="W18">
        <v>2.5339728749012601E-2</v>
      </c>
      <c r="X18">
        <v>5.8476297113136601E-2</v>
      </c>
      <c r="AA18">
        <v>0.51654062449919202</v>
      </c>
      <c r="AB18">
        <v>3.8789277085029101</v>
      </c>
      <c r="AC18">
        <v>4.3467380854071296</v>
      </c>
      <c r="AD18">
        <v>3.8984198075383801E-3</v>
      </c>
      <c r="AE18">
        <v>6.8447334378131997</v>
      </c>
    </row>
    <row r="19" spans="1:31" x14ac:dyDescent="0.2">
      <c r="A19">
        <v>18</v>
      </c>
      <c r="B19">
        <v>746</v>
      </c>
      <c r="C19">
        <v>300</v>
      </c>
      <c r="D19">
        <v>0.26738016974930101</v>
      </c>
      <c r="E19">
        <v>102.388451971009</v>
      </c>
      <c r="F19">
        <v>2.1961092320939799</v>
      </c>
      <c r="G19">
        <v>-1672.5482594440928</v>
      </c>
      <c r="H19">
        <v>-1396.5287152331221</v>
      </c>
      <c r="I19">
        <v>270.83309052737098</v>
      </c>
      <c r="J19">
        <v>139.18832441697899</v>
      </c>
      <c r="K19">
        <v>46.622659052975401</v>
      </c>
      <c r="L19">
        <v>1.651278433518227E-4</v>
      </c>
      <c r="M19">
        <v>1.7779649855920761E-5</v>
      </c>
      <c r="N19" s="1">
        <v>3.9869444265902904E-6</v>
      </c>
      <c r="O19" s="1">
        <v>1.05265311444397E-7</v>
      </c>
      <c r="P19" s="1">
        <v>-5.3896643134308904E-7</v>
      </c>
      <c r="Q19">
        <v>71.413358978553205</v>
      </c>
      <c r="R19">
        <v>7.7157138797619804E-2</v>
      </c>
      <c r="S19">
        <v>12.1888745847519</v>
      </c>
      <c r="T19">
        <v>0.18322914279291699</v>
      </c>
      <c r="V19">
        <v>0.44066543836241501</v>
      </c>
      <c r="W19">
        <v>2.5393488718198499E-2</v>
      </c>
      <c r="X19">
        <v>5.8600358580490501E-2</v>
      </c>
      <c r="AA19">
        <v>0.51763650079414003</v>
      </c>
      <c r="AB19">
        <v>3.88715711917061</v>
      </c>
      <c r="AC19">
        <v>4.3559599878136002</v>
      </c>
      <c r="AD19">
        <v>3.9066905720284003E-3</v>
      </c>
      <c r="AE19">
        <v>6.8480605710927902</v>
      </c>
    </row>
    <row r="20" spans="1:31" x14ac:dyDescent="0.2">
      <c r="A20">
        <v>19</v>
      </c>
      <c r="B20">
        <v>745</v>
      </c>
      <c r="C20">
        <v>300</v>
      </c>
      <c r="D20">
        <v>0.26659185778126798</v>
      </c>
      <c r="E20">
        <v>102.17228274617899</v>
      </c>
      <c r="F20">
        <v>2.1965569859938601</v>
      </c>
      <c r="G20">
        <v>-1668.7000126000416</v>
      </c>
      <c r="H20">
        <v>-1393.6326281973684</v>
      </c>
      <c r="I20">
        <v>270.16390944622401</v>
      </c>
      <c r="J20">
        <v>138.90516498066501</v>
      </c>
      <c r="K20">
        <v>46.514742571065298</v>
      </c>
      <c r="L20">
        <v>1.6518619007695537E-4</v>
      </c>
      <c r="M20">
        <v>1.7772931931939088E-5</v>
      </c>
      <c r="N20" s="1">
        <v>3.9851124185013496E-6</v>
      </c>
      <c r="O20" s="1">
        <v>1.05002721771694E-7</v>
      </c>
      <c r="P20" s="1">
        <v>-5.3828610364493997E-7</v>
      </c>
      <c r="Q20">
        <v>71.363982032223305</v>
      </c>
      <c r="R20">
        <v>7.7320382668028598E-2</v>
      </c>
      <c r="S20">
        <v>12.2146629835208</v>
      </c>
      <c r="T20">
        <v>0.18397897283847001</v>
      </c>
      <c r="V20">
        <v>0.44127188745665302</v>
      </c>
      <c r="W20">
        <v>2.5447214548965699E-2</v>
      </c>
      <c r="X20">
        <v>5.8724341266877603E-2</v>
      </c>
      <c r="AA20">
        <v>0.51873168119055302</v>
      </c>
      <c r="AB20">
        <v>3.89538130403422</v>
      </c>
      <c r="AC20">
        <v>4.3651760341682797</v>
      </c>
      <c r="AD20">
        <v>3.9149560844540503E-3</v>
      </c>
      <c r="AE20">
        <v>6.8514082099992804</v>
      </c>
    </row>
    <row r="21" spans="1:31" x14ac:dyDescent="0.2">
      <c r="A21">
        <v>20</v>
      </c>
      <c r="B21">
        <v>744</v>
      </c>
      <c r="C21">
        <v>300</v>
      </c>
      <c r="D21">
        <v>0.26580199577250502</v>
      </c>
      <c r="E21">
        <v>101.957159681825</v>
      </c>
      <c r="F21">
        <v>2.1970045496947601</v>
      </c>
      <c r="G21">
        <v>-1664.8703654267024</v>
      </c>
      <c r="H21">
        <v>-1390.7506377484597</v>
      </c>
      <c r="I21">
        <v>269.49783972692597</v>
      </c>
      <c r="J21">
        <v>138.623393378674</v>
      </c>
      <c r="K21">
        <v>46.407350269707301</v>
      </c>
      <c r="L21">
        <v>1.652447086796525E-4</v>
      </c>
      <c r="M21">
        <v>1.776621814124585E-5</v>
      </c>
      <c r="N21" s="1">
        <v>3.9833099375483102E-6</v>
      </c>
      <c r="O21" s="1">
        <v>1.04741587209504E-7</v>
      </c>
      <c r="P21" s="1">
        <v>-5.3761094426428099E-7</v>
      </c>
      <c r="Q21">
        <v>71.314613116058297</v>
      </c>
      <c r="R21">
        <v>7.7483523713822305E-2</v>
      </c>
      <c r="S21">
        <v>12.240435138604299</v>
      </c>
      <c r="T21">
        <v>0.18473151119674</v>
      </c>
      <c r="V21">
        <v>0.441875092603218</v>
      </c>
      <c r="W21">
        <v>2.5500906538720201E-2</v>
      </c>
      <c r="X21">
        <v>5.8848245858621202E-2</v>
      </c>
      <c r="AA21">
        <v>0.51982617175094004</v>
      </c>
      <c r="AB21">
        <v>3.9036003086197302</v>
      </c>
      <c r="AC21">
        <v>4.3743862754876597</v>
      </c>
      <c r="AD21">
        <v>3.9232163905699698E-3</v>
      </c>
      <c r="AE21">
        <v>6.8547764931773401</v>
      </c>
    </row>
    <row r="22" spans="1:31" x14ac:dyDescent="0.2">
      <c r="A22">
        <v>21</v>
      </c>
      <c r="B22">
        <v>743</v>
      </c>
      <c r="C22">
        <v>300</v>
      </c>
      <c r="D22">
        <v>0.265010579146782</v>
      </c>
      <c r="E22">
        <v>101.743074140594</v>
      </c>
      <c r="F22">
        <v>2.19745192190884</v>
      </c>
      <c r="G22">
        <v>-1661.0591663949087</v>
      </c>
      <c r="H22">
        <v>-1387.8826268421765</v>
      </c>
      <c r="I22">
        <v>268.83485661834499</v>
      </c>
      <c r="J22">
        <v>138.342998441981</v>
      </c>
      <c r="K22">
        <v>46.3004778972427</v>
      </c>
      <c r="L22">
        <v>1.6530340115387875E-4</v>
      </c>
      <c r="M22">
        <v>1.7759508558682295E-5</v>
      </c>
      <c r="N22" s="1">
        <v>3.98153686744476E-6</v>
      </c>
      <c r="O22" s="1">
        <v>1.04481897545532E-7</v>
      </c>
      <c r="P22" s="1">
        <v>-5.36940924898002E-7</v>
      </c>
      <c r="Q22">
        <v>71.265251832292904</v>
      </c>
      <c r="R22">
        <v>7.7646562842047101E-2</v>
      </c>
      <c r="S22">
        <v>12.2661911932914</v>
      </c>
      <c r="T22">
        <v>0.185486774321344</v>
      </c>
      <c r="V22">
        <v>0.44247504611570798</v>
      </c>
      <c r="W22">
        <v>2.55545649859838E-2</v>
      </c>
      <c r="X22">
        <v>5.8972073044615402E-2</v>
      </c>
      <c r="AA22">
        <v>0.52091997856054895</v>
      </c>
      <c r="AB22">
        <v>3.9118141786239402</v>
      </c>
      <c r="AC22">
        <v>4.3835907629798001</v>
      </c>
      <c r="AD22">
        <v>3.9314715363027199E-3</v>
      </c>
      <c r="AE22">
        <v>6.8581655614053201</v>
      </c>
    </row>
    <row r="23" spans="1:31" x14ac:dyDescent="0.2">
      <c r="A23">
        <v>22</v>
      </c>
      <c r="B23">
        <v>742</v>
      </c>
      <c r="C23">
        <v>300</v>
      </c>
      <c r="D23">
        <v>0.264217603309855</v>
      </c>
      <c r="E23">
        <v>101.53001757696001</v>
      </c>
      <c r="F23">
        <v>2.1978991013090901</v>
      </c>
      <c r="G23">
        <v>-1657.2662655968154</v>
      </c>
      <c r="H23">
        <v>-1385.0284796756118</v>
      </c>
      <c r="I23">
        <v>268.17493564616399</v>
      </c>
      <c r="J23">
        <v>138.063969123883</v>
      </c>
      <c r="K23">
        <v>46.194121248099101</v>
      </c>
      <c r="L23">
        <v>1.6536226952370536E-4</v>
      </c>
      <c r="M23">
        <v>1.7752803260805489E-5</v>
      </c>
      <c r="N23" s="1">
        <v>3.9797930948803698E-6</v>
      </c>
      <c r="O23" s="1">
        <v>1.04223642701616E-7</v>
      </c>
      <c r="P23" s="1">
        <v>-5.3627601774465005E-7</v>
      </c>
      <c r="Q23">
        <v>71.215897781251101</v>
      </c>
      <c r="R23">
        <v>7.7809500958792605E-2</v>
      </c>
      <c r="S23">
        <v>12.2919312907222</v>
      </c>
      <c r="T23">
        <v>0.186244778753069</v>
      </c>
      <c r="V23">
        <v>0.443071740221535</v>
      </c>
      <c r="W23">
        <v>2.5608190188963102E-2</v>
      </c>
      <c r="X23">
        <v>5.9095823513030499E-2</v>
      </c>
      <c r="AA23">
        <v>0.52201310769820697</v>
      </c>
      <c r="AB23">
        <v>3.9200229596953999</v>
      </c>
      <c r="AC23">
        <v>4.3927895477985297</v>
      </c>
      <c r="AD23">
        <v>3.9397215675302097E-3</v>
      </c>
      <c r="AE23">
        <v>6.8615755576315696</v>
      </c>
    </row>
    <row r="24" spans="1:31" x14ac:dyDescent="0.2">
      <c r="A24">
        <v>23</v>
      </c>
      <c r="B24">
        <v>741</v>
      </c>
      <c r="C24">
        <v>300</v>
      </c>
      <c r="D24">
        <v>0.26342306364936202</v>
      </c>
      <c r="E24">
        <v>101.31798153444301</v>
      </c>
      <c r="F24">
        <v>2.1983460865273399</v>
      </c>
      <c r="G24">
        <v>-1653.4915146990511</v>
      </c>
      <c r="H24">
        <v>-1382.188081648605</v>
      </c>
      <c r="I24">
        <v>267.51805260606898</v>
      </c>
      <c r="J24">
        <v>137.78629449658101</v>
      </c>
      <c r="K24">
        <v>46.088276161508396</v>
      </c>
      <c r="L24">
        <v>1.6542131584588454E-4</v>
      </c>
      <c r="M24">
        <v>1.7746102326018741E-5</v>
      </c>
      <c r="N24" s="1">
        <v>3.9780785095074904E-6</v>
      </c>
      <c r="O24" s="1">
        <v>1.0396681273215301E-7</v>
      </c>
      <c r="P24" s="1">
        <v>-5.3561619550383001E-7</v>
      </c>
      <c r="Q24">
        <v>71.166550560873006</v>
      </c>
      <c r="R24">
        <v>7.7972338970403898E-2</v>
      </c>
      <c r="S24">
        <v>12.317655574075999</v>
      </c>
      <c r="T24">
        <v>0.18700554112366499</v>
      </c>
      <c r="V24">
        <v>0.443665167068378</v>
      </c>
      <c r="W24">
        <v>2.56617824459489E-2</v>
      </c>
      <c r="X24">
        <v>5.9219497952229701E-2</v>
      </c>
      <c r="AA24">
        <v>0.52310556524445995</v>
      </c>
      <c r="AB24">
        <v>3.92822669749554</v>
      </c>
      <c r="AC24">
        <v>4.4019826811122398</v>
      </c>
      <c r="AD24">
        <v>3.9479665301433101E-3</v>
      </c>
      <c r="AE24">
        <v>6.86500662710794</v>
      </c>
    </row>
    <row r="25" spans="1:31" x14ac:dyDescent="0.2">
      <c r="A25">
        <v>24</v>
      </c>
      <c r="B25">
        <v>740</v>
      </c>
      <c r="C25">
        <v>300</v>
      </c>
      <c r="D25">
        <v>0.26262695553471999</v>
      </c>
      <c r="E25">
        <v>101.106957642651</v>
      </c>
      <c r="F25">
        <v>2.1987928761561202</v>
      </c>
      <c r="G25">
        <v>-1649.7347668922987</v>
      </c>
      <c r="H25">
        <v>-1379.3613193229057</v>
      </c>
      <c r="I25">
        <v>266.86418355563598</v>
      </c>
      <c r="J25">
        <v>137.50996374735999</v>
      </c>
      <c r="K25">
        <v>45.982938520068302</v>
      </c>
      <c r="L25">
        <v>1.6548054221026041E-4</v>
      </c>
      <c r="M25">
        <v>1.7739405834536428E-5</v>
      </c>
      <c r="N25" s="1">
        <v>3.9763930038423301E-6</v>
      </c>
      <c r="O25" s="1">
        <v>1.03711397820434E-7</v>
      </c>
      <c r="P25" s="1">
        <v>-5.3496143136262997E-7</v>
      </c>
      <c r="Q25">
        <v>71.117209766320499</v>
      </c>
      <c r="R25">
        <v>7.8135077784876703E-2</v>
      </c>
      <c r="S25">
        <v>12.3433641867934</v>
      </c>
      <c r="T25">
        <v>0.18776907816010899</v>
      </c>
      <c r="V25">
        <v>0.44425531873112101</v>
      </c>
      <c r="W25">
        <v>2.5715342055775199E-2</v>
      </c>
      <c r="X25">
        <v>5.9343097051830399E-2</v>
      </c>
      <c r="AA25">
        <v>0.52419735729092198</v>
      </c>
      <c r="AB25">
        <v>3.9364254377689498</v>
      </c>
      <c r="AC25">
        <v>4.4111702141824001</v>
      </c>
      <c r="AD25">
        <v>3.9562064701164296E-3</v>
      </c>
      <c r="AE25">
        <v>6.86845891738988</v>
      </c>
    </row>
    <row r="26" spans="1:31" x14ac:dyDescent="0.2">
      <c r="A26">
        <v>25</v>
      </c>
      <c r="B26">
        <v>739</v>
      </c>
      <c r="C26">
        <v>300</v>
      </c>
      <c r="D26">
        <v>0.261829274317047</v>
      </c>
      <c r="E26">
        <v>100.896937618473</v>
      </c>
      <c r="F26">
        <v>2.19923946874649</v>
      </c>
      <c r="G26">
        <v>-1645.9958769100065</v>
      </c>
      <c r="H26">
        <v>-1376.5480804394854</v>
      </c>
      <c r="I26">
        <v>266.21330481699403</v>
      </c>
      <c r="J26">
        <v>137.23496618006399</v>
      </c>
      <c r="K26">
        <v>45.878104250276202</v>
      </c>
      <c r="L26">
        <v>1.6553995073939563E-4</v>
      </c>
      <c r="M26">
        <v>1.7732713868420454E-5</v>
      </c>
      <c r="N26" s="1">
        <v>3.9747364733422901E-6</v>
      </c>
      <c r="O26" s="1">
        <v>1.03457388279578E-7</v>
      </c>
      <c r="P26" s="1">
        <v>-5.3431169900082003E-7</v>
      </c>
      <c r="Q26">
        <v>71.067874990455607</v>
      </c>
      <c r="R26">
        <v>7.8297718310078604E-2</v>
      </c>
      <c r="S26">
        <v>12.369057272294301</v>
      </c>
      <c r="T26">
        <v>0.18853540668004901</v>
      </c>
      <c r="V26">
        <v>0.44484218720213498</v>
      </c>
      <c r="W26">
        <v>2.5768869317233802E-2</v>
      </c>
      <c r="X26">
        <v>5.9466621501351798E-2</v>
      </c>
      <c r="AA26">
        <v>0.52528848992835098</v>
      </c>
      <c r="AB26">
        <v>3.94461922625378</v>
      </c>
      <c r="AC26">
        <v>4.42035219826335</v>
      </c>
      <c r="AD26">
        <v>3.9644414334176099E-3</v>
      </c>
      <c r="AE26">
        <v>6.8719325783602301</v>
      </c>
    </row>
    <row r="27" spans="1:31" x14ac:dyDescent="0.2">
      <c r="A27">
        <v>26</v>
      </c>
      <c r="B27">
        <v>738</v>
      </c>
      <c r="C27">
        <v>300</v>
      </c>
      <c r="D27">
        <v>0.26103001532908299</v>
      </c>
      <c r="E27">
        <v>100.68791326232299</v>
      </c>
      <c r="F27">
        <v>2.1996858628092602</v>
      </c>
      <c r="G27">
        <v>-1642.2747009649288</v>
      </c>
      <c r="H27">
        <v>-1373.7482538663535</v>
      </c>
      <c r="I27">
        <v>265.56539296699299</v>
      </c>
      <c r="J27">
        <v>136.961291210334</v>
      </c>
      <c r="K27">
        <v>45.773769320739902</v>
      </c>
      <c r="L27">
        <v>1.6559954359004461E-4</v>
      </c>
      <c r="M27">
        <v>1.7726026511595412E-5</v>
      </c>
      <c r="N27" s="1">
        <v>3.9731088163032801E-6</v>
      </c>
      <c r="O27" s="1">
        <v>1.03204774548748E-7</v>
      </c>
      <c r="P27" s="1">
        <v>-5.3366697257852204E-7</v>
      </c>
      <c r="Q27">
        <v>71.018545823212605</v>
      </c>
      <c r="R27">
        <v>7.8460261455799804E-2</v>
      </c>
      <c r="S27">
        <v>12.3947349743022</v>
      </c>
      <c r="T27">
        <v>0.189304543597929</v>
      </c>
      <c r="V27">
        <v>0.445425764401779</v>
      </c>
      <c r="W27">
        <v>2.5822364529749502E-2</v>
      </c>
      <c r="X27">
        <v>5.9590071991773297E-2</v>
      </c>
      <c r="AA27">
        <v>0.52637896926040395</v>
      </c>
      <c r="AB27">
        <v>3.95280810878503</v>
      </c>
      <c r="AC27">
        <v>4.42952868471796</v>
      </c>
      <c r="AD27">
        <v>3.97267146611225E-3</v>
      </c>
      <c r="AE27">
        <v>6.8754277622785196</v>
      </c>
    </row>
    <row r="28" spans="1:31" x14ac:dyDescent="0.2">
      <c r="A28">
        <v>27</v>
      </c>
      <c r="B28">
        <v>737</v>
      </c>
      <c r="C28">
        <v>300</v>
      </c>
      <c r="D28">
        <v>0.260229173885068</v>
      </c>
      <c r="E28">
        <v>96.812858466701201</v>
      </c>
      <c r="F28">
        <v>2.19967777663611</v>
      </c>
      <c r="G28">
        <v>-1579.0968795677882</v>
      </c>
      <c r="H28">
        <v>-1320.9496331595678</v>
      </c>
      <c r="I28">
        <v>255.55337960522701</v>
      </c>
      <c r="J28">
        <v>131.78794807458101</v>
      </c>
      <c r="K28">
        <v>44.012291025076102</v>
      </c>
      <c r="L28">
        <v>1.663277816492103E-4</v>
      </c>
      <c r="M28">
        <v>1.7770371396380034E-5</v>
      </c>
      <c r="N28" s="1">
        <v>3.8476610231419104E-6</v>
      </c>
      <c r="O28" s="1">
        <v>9.9703594488965797E-8</v>
      </c>
      <c r="P28" s="1">
        <v>-5.1621375444339597E-7</v>
      </c>
      <c r="Q28">
        <v>70.906094051914707</v>
      </c>
      <c r="R28">
        <v>8.1600730782246098E-2</v>
      </c>
      <c r="S28">
        <v>12.4380273825511</v>
      </c>
      <c r="T28">
        <v>0.19714311048258901</v>
      </c>
      <c r="V28">
        <v>0.46301925690071899</v>
      </c>
      <c r="W28">
        <v>2.68559367131351E-2</v>
      </c>
      <c r="X28">
        <v>6.1975238568827203E-2</v>
      </c>
      <c r="AA28">
        <v>0.54220244967146403</v>
      </c>
      <c r="AB28">
        <v>4.0075544903073199</v>
      </c>
      <c r="AC28">
        <v>4.3545352252356198</v>
      </c>
      <c r="AD28">
        <v>4.1316825712478496E-3</v>
      </c>
      <c r="AE28">
        <v>6.9168604443008599</v>
      </c>
    </row>
    <row r="29" spans="1:31" x14ac:dyDescent="0.2">
      <c r="A29">
        <v>28</v>
      </c>
      <c r="B29">
        <v>736</v>
      </c>
      <c r="C29">
        <v>300</v>
      </c>
      <c r="D29">
        <v>0.25942674528068399</v>
      </c>
      <c r="E29">
        <v>84.846873380002805</v>
      </c>
      <c r="F29">
        <v>2.20048745506945</v>
      </c>
      <c r="G29">
        <v>-1383.3274801764337</v>
      </c>
      <c r="H29">
        <v>-1157.1281896832124</v>
      </c>
      <c r="I29">
        <v>224.14833324403801</v>
      </c>
      <c r="J29">
        <v>115.58335422576199</v>
      </c>
      <c r="K29">
        <v>38.558217264330999</v>
      </c>
      <c r="L29">
        <v>1.6715785023741389E-4</v>
      </c>
      <c r="M29">
        <v>1.7816992893747496E-5</v>
      </c>
      <c r="N29" s="1">
        <v>3.3962096441956998E-6</v>
      </c>
      <c r="O29" s="1">
        <v>8.7792233240995704E-8</v>
      </c>
      <c r="P29" s="1">
        <v>-4.5515468245908401E-7</v>
      </c>
      <c r="Q29">
        <v>70.747914373857796</v>
      </c>
      <c r="R29">
        <v>9.3108911210202705E-2</v>
      </c>
      <c r="S29">
        <v>12.4630796396635</v>
      </c>
      <c r="T29">
        <v>0.22500853387737099</v>
      </c>
      <c r="V29">
        <v>0.52826300747218202</v>
      </c>
      <c r="W29">
        <v>3.06434391324511E-2</v>
      </c>
      <c r="X29">
        <v>7.0715628767318101E-2</v>
      </c>
      <c r="AA29">
        <v>0.54665407947104305</v>
      </c>
      <c r="AB29">
        <v>4.0596796439461</v>
      </c>
      <c r="AC29">
        <v>4.2719187182247396</v>
      </c>
      <c r="AD29">
        <v>4.7143752511385499E-3</v>
      </c>
      <c r="AE29">
        <v>6.9582996491261104</v>
      </c>
    </row>
    <row r="30" spans="1:31" x14ac:dyDescent="0.2">
      <c r="A30">
        <v>29</v>
      </c>
      <c r="B30">
        <v>735</v>
      </c>
      <c r="C30">
        <v>300</v>
      </c>
      <c r="D30">
        <v>0.25862272479293502</v>
      </c>
      <c r="E30">
        <v>66.736231393466795</v>
      </c>
      <c r="F30">
        <v>2.2038831926548998</v>
      </c>
      <c r="G30">
        <v>-1086.4170912176603</v>
      </c>
      <c r="H30">
        <v>-908.78919167947413</v>
      </c>
      <c r="I30">
        <v>176.19193526577001</v>
      </c>
      <c r="J30">
        <v>90.921326939672596</v>
      </c>
      <c r="K30">
        <v>30.2812016607255</v>
      </c>
      <c r="L30">
        <v>1.6742108983124534E-4</v>
      </c>
      <c r="M30">
        <v>1.7811585248103671E-5</v>
      </c>
      <c r="N30" s="1">
        <v>2.6734157388503099E-6</v>
      </c>
      <c r="O30" s="1">
        <v>6.8968955634227297E-8</v>
      </c>
      <c r="P30" s="1">
        <v>-3.5788671461819898E-7</v>
      </c>
      <c r="Q30">
        <v>70.547970326525402</v>
      </c>
      <c r="R30">
        <v>0.118376477590188</v>
      </c>
      <c r="S30">
        <v>12.4507217077521</v>
      </c>
      <c r="T30">
        <v>0.28558745552161602</v>
      </c>
      <c r="V30">
        <v>0.67205584640372096</v>
      </c>
      <c r="W30">
        <v>3.8959347054967799E-2</v>
      </c>
      <c r="X30">
        <v>8.9906185511649195E-2</v>
      </c>
      <c r="AA30">
        <v>0.55478496073053096</v>
      </c>
      <c r="AB30">
        <v>4.0305714601225997</v>
      </c>
      <c r="AC30">
        <v>4.2492401549665004</v>
      </c>
      <c r="AD30">
        <v>5.9937457007526E-3</v>
      </c>
      <c r="AE30">
        <v>6.9558323321198596</v>
      </c>
    </row>
    <row r="31" spans="1:31" x14ac:dyDescent="0.2">
      <c r="A31">
        <v>30</v>
      </c>
      <c r="B31">
        <v>734</v>
      </c>
      <c r="C31">
        <v>300</v>
      </c>
      <c r="D31">
        <v>0.25781710768008598</v>
      </c>
      <c r="E31">
        <v>17.2273008864289</v>
      </c>
      <c r="F31">
        <v>2.2067305559493899</v>
      </c>
      <c r="G31">
        <v>-280.44783664886222</v>
      </c>
      <c r="H31">
        <v>-234.70649423011494</v>
      </c>
      <c r="I31">
        <v>45.416613631283603</v>
      </c>
      <c r="J31">
        <v>23.485680751149101</v>
      </c>
      <c r="K31">
        <v>7.8067079100271997</v>
      </c>
      <c r="L31">
        <v>1.6725818175025158E-4</v>
      </c>
      <c r="M31">
        <v>1.7807665637876087E-5</v>
      </c>
      <c r="N31" s="1">
        <v>6.8949384734952396E-7</v>
      </c>
      <c r="O31" s="1">
        <v>1.7752661136420001E-8</v>
      </c>
      <c r="P31" s="1">
        <v>-9.1928503155493795E-8</v>
      </c>
      <c r="Q31">
        <v>70.287364306552504</v>
      </c>
      <c r="R31">
        <v>0.121543777170551</v>
      </c>
      <c r="S31">
        <v>12.754380455347</v>
      </c>
      <c r="T31">
        <v>0.263289656056655</v>
      </c>
      <c r="V31">
        <v>0.62424917134831504</v>
      </c>
      <c r="W31">
        <v>0.149451694081808</v>
      </c>
      <c r="X31">
        <v>0.12980142282728899</v>
      </c>
      <c r="AA31">
        <v>0.56259814618647397</v>
      </c>
      <c r="AB31">
        <v>3.8603977964251199</v>
      </c>
      <c r="AC31">
        <v>4.2821328519502497</v>
      </c>
      <c r="AD31">
        <v>2.3218959408418598E-2</v>
      </c>
      <c r="AE31">
        <v>6.9415717626454496</v>
      </c>
    </row>
    <row r="32" spans="1:31" x14ac:dyDescent="0.2">
      <c r="A32">
        <v>31</v>
      </c>
      <c r="B32">
        <v>733</v>
      </c>
      <c r="C32">
        <v>300</v>
      </c>
      <c r="D32">
        <v>0.257009889181535</v>
      </c>
      <c r="E32">
        <v>10.064954325288999</v>
      </c>
      <c r="F32">
        <v>2.2095324064831101</v>
      </c>
      <c r="G32">
        <v>-163.79200053587448</v>
      </c>
      <c r="H32">
        <v>-137.12601624415274</v>
      </c>
      <c r="I32">
        <v>26.502990897700901</v>
      </c>
      <c r="J32">
        <v>13.727547988002801</v>
      </c>
      <c r="K32">
        <v>4.5552417768379003</v>
      </c>
      <c r="L32">
        <v>1.6731741544327724E-4</v>
      </c>
      <c r="M32">
        <v>1.7819633547770456E-5</v>
      </c>
      <c r="N32" s="1">
        <v>4.0313896372021898E-7</v>
      </c>
      <c r="O32" s="1">
        <v>1.03585695088223E-8</v>
      </c>
      <c r="P32" s="1">
        <v>-5.3550672982096899E-8</v>
      </c>
      <c r="Q32">
        <v>70.003966564021198</v>
      </c>
      <c r="R32">
        <v>0.121222076013696</v>
      </c>
      <c r="S32">
        <v>13.048912938328399</v>
      </c>
      <c r="T32">
        <v>0.25939540795799199</v>
      </c>
      <c r="V32">
        <v>0.61968865833130904</v>
      </c>
      <c r="W32">
        <v>0.25327426211833498</v>
      </c>
      <c r="X32">
        <v>0.12928485323591901</v>
      </c>
      <c r="AA32">
        <v>0.56965164789968603</v>
      </c>
      <c r="AB32">
        <v>3.71079202905679</v>
      </c>
      <c r="AC32">
        <v>4.3052024135912497</v>
      </c>
      <c r="AD32">
        <v>3.97418594333196E-2</v>
      </c>
      <c r="AE32">
        <v>6.9388672900119897</v>
      </c>
    </row>
    <row r="33" spans="1:31" x14ac:dyDescent="0.2">
      <c r="A33">
        <v>32</v>
      </c>
      <c r="B33">
        <v>763</v>
      </c>
      <c r="C33">
        <v>280</v>
      </c>
      <c r="D33">
        <v>0.30178111277325198</v>
      </c>
      <c r="E33">
        <v>105.747162773651</v>
      </c>
      <c r="F33">
        <v>2.1892689003387602</v>
      </c>
      <c r="G33">
        <v>-1732.1530512426295</v>
      </c>
      <c r="H33">
        <v>-1442.4974989202703</v>
      </c>
      <c r="I33">
        <v>279.549826108535</v>
      </c>
      <c r="J33">
        <v>143.282148525417</v>
      </c>
      <c r="K33">
        <v>48.302500783383799</v>
      </c>
      <c r="L33">
        <v>1.6087750273886039E-4</v>
      </c>
      <c r="M33">
        <v>1.7894180878888221E-5</v>
      </c>
      <c r="N33" s="1">
        <v>3.8529775664111298E-6</v>
      </c>
      <c r="O33" s="1">
        <v>1.06759766272192E-7</v>
      </c>
      <c r="P33" s="1">
        <v>-5.38456918117239E-7</v>
      </c>
      <c r="Q33">
        <v>72.455844667927593</v>
      </c>
      <c r="R33">
        <v>7.4706496068454795E-2</v>
      </c>
      <c r="S33">
        <v>11.8017350751183</v>
      </c>
      <c r="T33">
        <v>0.17339019472256301</v>
      </c>
      <c r="V33">
        <v>0.43028573987402202</v>
      </c>
      <c r="W33">
        <v>2.4586948073162199E-2</v>
      </c>
      <c r="X33">
        <v>5.6739110938067501E-2</v>
      </c>
      <c r="AA33">
        <v>0.50119547995292402</v>
      </c>
      <c r="AB33">
        <v>3.76369435889176</v>
      </c>
      <c r="AC33">
        <v>4.2176072463962697</v>
      </c>
      <c r="AD33">
        <v>3.7826073958710598E-3</v>
      </c>
      <c r="AE33">
        <v>6.4964320746409099</v>
      </c>
    </row>
    <row r="34" spans="1:31" x14ac:dyDescent="0.2">
      <c r="A34">
        <v>33</v>
      </c>
      <c r="B34">
        <v>762</v>
      </c>
      <c r="C34">
        <v>280</v>
      </c>
      <c r="D34">
        <v>0.30103897985799499</v>
      </c>
      <c r="E34">
        <v>105.683733938416</v>
      </c>
      <c r="F34">
        <v>2.18966218553006</v>
      </c>
      <c r="G34">
        <v>-1730.8178589447662</v>
      </c>
      <c r="H34">
        <v>-1441.7517791316884</v>
      </c>
      <c r="I34">
        <v>279.25042729370301</v>
      </c>
      <c r="J34">
        <v>143.18826547915299</v>
      </c>
      <c r="K34">
        <v>48.264857765186498</v>
      </c>
      <c r="L34">
        <v>1.6084442704618061E-4</v>
      </c>
      <c r="M34">
        <v>1.7885652464937753E-5</v>
      </c>
      <c r="N34" s="1">
        <v>3.8553535839414198E-6</v>
      </c>
      <c r="O34" s="1">
        <v>1.06612130822632E-7</v>
      </c>
      <c r="P34" s="1">
        <v>-5.3811263854961097E-7</v>
      </c>
      <c r="Q34">
        <v>72.442954996087806</v>
      </c>
      <c r="R34">
        <v>7.4751333110576398E-2</v>
      </c>
      <c r="S34">
        <v>11.8088181926598</v>
      </c>
      <c r="T34">
        <v>0.17378047512800299</v>
      </c>
      <c r="V34">
        <v>0.43028644691451801</v>
      </c>
      <c r="W34">
        <v>2.4601704568037099E-2</v>
      </c>
      <c r="X34">
        <v>5.6773164387781898E-2</v>
      </c>
      <c r="AA34">
        <v>0.50149628542538405</v>
      </c>
      <c r="AB34">
        <v>3.7659532377226301</v>
      </c>
      <c r="AC34">
        <v>4.2201385528247801</v>
      </c>
      <c r="AD34">
        <v>3.7848776258516599E-3</v>
      </c>
      <c r="AE34">
        <v>6.4966607335448101</v>
      </c>
    </row>
    <row r="35" spans="1:31" x14ac:dyDescent="0.2">
      <c r="A35">
        <v>34</v>
      </c>
      <c r="B35">
        <v>761</v>
      </c>
      <c r="C35">
        <v>280</v>
      </c>
      <c r="D35">
        <v>0.30029541169076102</v>
      </c>
      <c r="E35">
        <v>105.45487140956899</v>
      </c>
      <c r="F35">
        <v>2.1901181505132601</v>
      </c>
      <c r="G35">
        <v>-1726.7393633564825</v>
      </c>
      <c r="H35">
        <v>-1438.6843838563552</v>
      </c>
      <c r="I35">
        <v>278.54274476635601</v>
      </c>
      <c r="J35">
        <v>142.88810002525901</v>
      </c>
      <c r="K35">
        <v>48.150311609835001</v>
      </c>
      <c r="L35">
        <v>1.6089375384999377E-4</v>
      </c>
      <c r="M35">
        <v>1.7878524589021264E-5</v>
      </c>
      <c r="N35" s="1">
        <v>3.8530088445455202E-6</v>
      </c>
      <c r="O35" s="1">
        <v>1.0633243322979701E-7</v>
      </c>
      <c r="P35" s="1">
        <v>-5.3734832388662505E-7</v>
      </c>
      <c r="Q35">
        <v>72.394748696495</v>
      </c>
      <c r="R35">
        <v>7.4913561549165605E-2</v>
      </c>
      <c r="S35">
        <v>11.834446178908401</v>
      </c>
      <c r="T35">
        <v>0.17449008984898701</v>
      </c>
      <c r="V35">
        <v>0.43092111298886399</v>
      </c>
      <c r="W35">
        <v>2.4655096206053599E-2</v>
      </c>
      <c r="X35">
        <v>5.6896375860129002E-2</v>
      </c>
      <c r="AA35">
        <v>0.50258465343110803</v>
      </c>
      <c r="AB35">
        <v>3.7741262653882401</v>
      </c>
      <c r="AC35">
        <v>4.22929727226912</v>
      </c>
      <c r="AD35">
        <v>3.7930917240079501E-3</v>
      </c>
      <c r="AE35">
        <v>6.49912760533085</v>
      </c>
    </row>
    <row r="36" spans="1:31" x14ac:dyDescent="0.2">
      <c r="A36">
        <v>35</v>
      </c>
      <c r="B36">
        <v>760</v>
      </c>
      <c r="C36">
        <v>280</v>
      </c>
      <c r="D36">
        <v>0.29955040410395301</v>
      </c>
      <c r="E36">
        <v>105.227162524113</v>
      </c>
      <c r="F36">
        <v>2.19057403562182</v>
      </c>
      <c r="G36">
        <v>-1722.6813457526409</v>
      </c>
      <c r="H36">
        <v>-1435.6325525554785</v>
      </c>
      <c r="I36">
        <v>277.838448625235</v>
      </c>
      <c r="J36">
        <v>142.58945392350799</v>
      </c>
      <c r="K36">
        <v>48.036341531019502</v>
      </c>
      <c r="L36">
        <v>1.6094315861825775E-4</v>
      </c>
      <c r="M36">
        <v>1.7871396130523131E-5</v>
      </c>
      <c r="N36" s="1">
        <v>3.8506918383783701E-6</v>
      </c>
      <c r="O36" s="1">
        <v>1.06054254491296E-7</v>
      </c>
      <c r="P36" s="1">
        <v>-5.3658918627357102E-7</v>
      </c>
      <c r="Q36">
        <v>72.346561464876999</v>
      </c>
      <c r="R36">
        <v>7.5075672578263905E-2</v>
      </c>
      <c r="S36">
        <v>11.86005561743</v>
      </c>
      <c r="T36">
        <v>0.17520216054212301</v>
      </c>
      <c r="V36">
        <v>0.43155264771082902</v>
      </c>
      <c r="W36">
        <v>2.4708449202971699E-2</v>
      </c>
      <c r="X36">
        <v>5.7019498160711002E-2</v>
      </c>
      <c r="AA36">
        <v>0.50367223375290504</v>
      </c>
      <c r="AB36">
        <v>3.78229337799341</v>
      </c>
      <c r="AC36">
        <v>4.2384493632789004</v>
      </c>
      <c r="AD36">
        <v>3.8012998773798898E-3</v>
      </c>
      <c r="AE36">
        <v>6.5016082145953602</v>
      </c>
    </row>
    <row r="37" spans="1:31" x14ac:dyDescent="0.2">
      <c r="A37">
        <v>36</v>
      </c>
      <c r="B37">
        <v>759</v>
      </c>
      <c r="C37">
        <v>280</v>
      </c>
      <c r="D37">
        <v>0.298803952913825</v>
      </c>
      <c r="E37">
        <v>105.000597618184</v>
      </c>
      <c r="F37">
        <v>2.1910298410420901</v>
      </c>
      <c r="G37">
        <v>-1718.6436361584206</v>
      </c>
      <c r="H37">
        <v>-1432.5961543375431</v>
      </c>
      <c r="I37">
        <v>277.13751084714102</v>
      </c>
      <c r="J37">
        <v>142.292314601458</v>
      </c>
      <c r="K37">
        <v>47.922942741959297</v>
      </c>
      <c r="L37">
        <v>1.6099264213102112E-4</v>
      </c>
      <c r="M37">
        <v>1.7864267096698275E-5</v>
      </c>
      <c r="N37" s="1">
        <v>3.8484023954912001E-6</v>
      </c>
      <c r="O37" s="1">
        <v>1.05777582648474E-7</v>
      </c>
      <c r="P37" s="1">
        <v>-5.3583518894531701E-7</v>
      </c>
      <c r="Q37">
        <v>72.298393013389401</v>
      </c>
      <c r="R37">
        <v>7.5237667015258802E-2</v>
      </c>
      <c r="S37">
        <v>11.8856466373506</v>
      </c>
      <c r="T37">
        <v>0.175916702048214</v>
      </c>
      <c r="V37">
        <v>0.43218104414150799</v>
      </c>
      <c r="W37">
        <v>2.47617638278054E-2</v>
      </c>
      <c r="X37">
        <v>5.71425319103279E-2</v>
      </c>
      <c r="AA37">
        <v>0.50475903187451698</v>
      </c>
      <c r="AB37">
        <v>3.79045461671795</v>
      </c>
      <c r="AC37">
        <v>4.2475948720003496</v>
      </c>
      <c r="AD37">
        <v>3.8095021273542198E-3</v>
      </c>
      <c r="AE37">
        <v>6.5041026175965904</v>
      </c>
    </row>
    <row r="38" spans="1:31" x14ac:dyDescent="0.2">
      <c r="A38">
        <v>37</v>
      </c>
      <c r="B38">
        <v>758</v>
      </c>
      <c r="C38">
        <v>280</v>
      </c>
      <c r="D38">
        <v>0.29805605392037998</v>
      </c>
      <c r="E38">
        <v>104.775167130612</v>
      </c>
      <c r="F38">
        <v>2.1914855669445501</v>
      </c>
      <c r="G38">
        <v>-1714.6260664128934</v>
      </c>
      <c r="H38">
        <v>-1429.5750596989978</v>
      </c>
      <c r="I38">
        <v>276.43990371322798</v>
      </c>
      <c r="J38">
        <v>141.996669622133</v>
      </c>
      <c r="K38">
        <v>47.810110507227101</v>
      </c>
      <c r="L38">
        <v>1.610422051820172E-4</v>
      </c>
      <c r="M38">
        <v>1.7857137495547142E-5</v>
      </c>
      <c r="N38" s="1">
        <v>3.8461403484288796E-6</v>
      </c>
      <c r="O38" s="1">
        <v>1.05502405881861E-7</v>
      </c>
      <c r="P38" s="1">
        <v>-5.3508629561619404E-7</v>
      </c>
      <c r="Q38">
        <v>72.250243053073206</v>
      </c>
      <c r="R38">
        <v>7.5399545678147606E-2</v>
      </c>
      <c r="S38">
        <v>11.911219367893899</v>
      </c>
      <c r="T38">
        <v>0.176633729291967</v>
      </c>
      <c r="V38">
        <v>0.43280629527109699</v>
      </c>
      <c r="W38">
        <v>2.4815040349768398E-2</v>
      </c>
      <c r="X38">
        <v>5.72654777302447E-2</v>
      </c>
      <c r="AA38">
        <v>0.50584505328377005</v>
      </c>
      <c r="AB38">
        <v>3.7986100227723099</v>
      </c>
      <c r="AC38">
        <v>4.25673384461399</v>
      </c>
      <c r="AD38">
        <v>3.8176985153484202E-3</v>
      </c>
      <c r="AE38">
        <v>6.5066108715261803</v>
      </c>
    </row>
    <row r="39" spans="1:31" x14ac:dyDescent="0.2">
      <c r="A39">
        <v>38</v>
      </c>
      <c r="B39">
        <v>757</v>
      </c>
      <c r="C39">
        <v>280</v>
      </c>
      <c r="D39">
        <v>0.29730670290734501</v>
      </c>
      <c r="E39">
        <v>104.550861607756</v>
      </c>
      <c r="F39">
        <v>2.1919412134840002</v>
      </c>
      <c r="G39">
        <v>-1710.6284702470616</v>
      </c>
      <c r="H39">
        <v>-1426.5691405928769</v>
      </c>
      <c r="I39">
        <v>275.74559981962301</v>
      </c>
      <c r="J39">
        <v>141.70250668982399</v>
      </c>
      <c r="K39">
        <v>47.697840144890201</v>
      </c>
      <c r="L39">
        <v>1.6109184857398653E-4</v>
      </c>
      <c r="M39">
        <v>1.7850007335644255E-5</v>
      </c>
      <c r="N39" s="1">
        <v>3.8439055323271698E-6</v>
      </c>
      <c r="O39" s="1">
        <v>1.05228712512904E-7</v>
      </c>
      <c r="P39" s="1">
        <v>-5.3434247048100896E-7</v>
      </c>
      <c r="Q39">
        <v>72.202111295290095</v>
      </c>
      <c r="R39">
        <v>7.5561309381061301E-2</v>
      </c>
      <c r="S39">
        <v>11.9367739376711</v>
      </c>
      <c r="T39">
        <v>0.17735325727035101</v>
      </c>
      <c r="V39">
        <v>0.433428393994643</v>
      </c>
      <c r="W39">
        <v>2.4868279036803099E-2</v>
      </c>
      <c r="X39">
        <v>5.7388336238787502E-2</v>
      </c>
      <c r="AA39">
        <v>0.50693030344255596</v>
      </c>
      <c r="AB39">
        <v>3.8067596371722399</v>
      </c>
      <c r="AC39">
        <v>4.2658663270822199</v>
      </c>
      <c r="AD39">
        <v>3.82588908258444E-3</v>
      </c>
      <c r="AE39">
        <v>6.5091330343374203</v>
      </c>
    </row>
    <row r="40" spans="1:31" x14ac:dyDescent="0.2">
      <c r="A40">
        <v>39</v>
      </c>
      <c r="B40">
        <v>756</v>
      </c>
      <c r="C40">
        <v>280</v>
      </c>
      <c r="D40">
        <v>0.29655589564203599</v>
      </c>
      <c r="E40">
        <v>104.32767169640501</v>
      </c>
      <c r="F40">
        <v>2.1923967807993199</v>
      </c>
      <c r="G40">
        <v>-1706.6506831652343</v>
      </c>
      <c r="H40">
        <v>-1423.5782703298214</v>
      </c>
      <c r="I40">
        <v>275.05457205986801</v>
      </c>
      <c r="J40">
        <v>141.409813641277</v>
      </c>
      <c r="K40">
        <v>47.586127023215603</v>
      </c>
      <c r="L40">
        <v>1.6114157312304347E-4</v>
      </c>
      <c r="M40">
        <v>1.7842876626296476E-5</v>
      </c>
      <c r="N40" s="1">
        <v>3.8416977847730798E-6</v>
      </c>
      <c r="O40" s="1">
        <v>1.0495649099887501E-7</v>
      </c>
      <c r="P40" s="1">
        <v>-5.3360367820292005E-7</v>
      </c>
      <c r="Q40">
        <v>72.153997450403494</v>
      </c>
      <c r="R40">
        <v>7.5722958938346505E-2</v>
      </c>
      <c r="S40">
        <v>11.9623104753286</v>
      </c>
      <c r="T40">
        <v>0.178075301063888</v>
      </c>
      <c r="V40">
        <v>0.4340473331336</v>
      </c>
      <c r="W40">
        <v>2.49214801569222E-2</v>
      </c>
      <c r="X40">
        <v>5.75111080544475E-2</v>
      </c>
      <c r="AA40">
        <v>0.50801478781421705</v>
      </c>
      <c r="AB40">
        <v>3.81490350094432</v>
      </c>
      <c r="AC40">
        <v>4.2749923653795703</v>
      </c>
      <c r="AD40">
        <v>3.83407387029502E-3</v>
      </c>
      <c r="AE40">
        <v>6.5116691649122203</v>
      </c>
    </row>
    <row r="41" spans="1:31" x14ac:dyDescent="0.2">
      <c r="A41">
        <v>40</v>
      </c>
      <c r="B41">
        <v>755</v>
      </c>
      <c r="C41">
        <v>280</v>
      </c>
      <c r="D41">
        <v>0.29580362787530801</v>
      </c>
      <c r="E41">
        <v>104.105588145437</v>
      </c>
      <c r="F41">
        <v>2.1928522690126102</v>
      </c>
      <c r="G41">
        <v>-1702.6925424709866</v>
      </c>
      <c r="H41">
        <v>-1420.6023236020501</v>
      </c>
      <c r="I41">
        <v>274.3667936283</v>
      </c>
      <c r="J41">
        <v>141.11857844765601</v>
      </c>
      <c r="K41">
        <v>47.474966561388001</v>
      </c>
      <c r="L41">
        <v>1.6119137965704022E-4</v>
      </c>
      <c r="M41">
        <v>1.7835745377506209E-5</v>
      </c>
      <c r="N41" s="1">
        <v>3.8395169458600698E-6</v>
      </c>
      <c r="O41" s="1">
        <v>1.0468572993335399E-7</v>
      </c>
      <c r="P41" s="1">
        <v>-5.3286988391449397E-7</v>
      </c>
      <c r="Q41">
        <v>72.105901228436593</v>
      </c>
      <c r="R41">
        <v>7.5884495162390098E-2</v>
      </c>
      <c r="S41">
        <v>11.9878291092037</v>
      </c>
      <c r="T41">
        <v>0.17879987583107501</v>
      </c>
      <c r="V41">
        <v>0.43466310542375097</v>
      </c>
      <c r="W41">
        <v>2.4974643977493102E-2</v>
      </c>
      <c r="X41">
        <v>5.7633793794228803E-2</v>
      </c>
      <c r="AA41">
        <v>0.50909851184893795</v>
      </c>
      <c r="AB41">
        <v>3.82304165501635</v>
      </c>
      <c r="AC41">
        <v>4.2841120053697903</v>
      </c>
      <c r="AD41">
        <v>3.8422529196134999E-3</v>
      </c>
      <c r="AE41">
        <v>6.5142193230158503</v>
      </c>
    </row>
    <row r="42" spans="1:31" x14ac:dyDescent="0.2">
      <c r="A42">
        <v>41</v>
      </c>
      <c r="B42">
        <v>754</v>
      </c>
      <c r="C42">
        <v>280</v>
      </c>
      <c r="D42">
        <v>0.29504989534147702</v>
      </c>
      <c r="E42">
        <v>103.884601802917</v>
      </c>
      <c r="F42">
        <v>2.1933076782301599</v>
      </c>
      <c r="G42">
        <v>-1698.7538872175458</v>
      </c>
      <c r="H42">
        <v>-1417.6411764433403</v>
      </c>
      <c r="I42">
        <v>273.68223801217403</v>
      </c>
      <c r="J42">
        <v>140.828789210824</v>
      </c>
      <c r="K42">
        <v>47.364354228105903</v>
      </c>
      <c r="L42">
        <v>1.6124126901614067E-4</v>
      </c>
      <c r="M42">
        <v>1.7828613599965359E-5</v>
      </c>
      <c r="N42" s="1">
        <v>3.8373628581090797E-6</v>
      </c>
      <c r="O42" s="1">
        <v>1.0441641804299101E-7</v>
      </c>
      <c r="P42" s="1">
        <v>-5.32141053206659E-7</v>
      </c>
      <c r="Q42">
        <v>72.057822338747698</v>
      </c>
      <c r="R42">
        <v>7.6045918864737994E-2</v>
      </c>
      <c r="S42">
        <v>12.013329967499899</v>
      </c>
      <c r="T42">
        <v>0.17952699681189299</v>
      </c>
      <c r="V42">
        <v>0.43527570352114903</v>
      </c>
      <c r="W42">
        <v>2.50277707656072E-2</v>
      </c>
      <c r="X42">
        <v>5.7756394074494698E-2</v>
      </c>
      <c r="AA42">
        <v>0.51018148099127103</v>
      </c>
      <c r="AB42">
        <v>3.8311741402738302</v>
      </c>
      <c r="AC42">
        <v>4.2932252928693204</v>
      </c>
      <c r="AD42">
        <v>3.8504262716308399E-3</v>
      </c>
      <c r="AE42">
        <v>6.5167835693083802</v>
      </c>
    </row>
    <row r="43" spans="1:31" x14ac:dyDescent="0.2">
      <c r="A43">
        <v>42</v>
      </c>
      <c r="B43">
        <v>753</v>
      </c>
      <c r="C43">
        <v>280</v>
      </c>
      <c r="D43">
        <v>0.29429469375822398</v>
      </c>
      <c r="E43">
        <v>103.664703615908</v>
      </c>
      <c r="F43">
        <v>2.19376300854243</v>
      </c>
      <c r="G43">
        <v>-1694.8345582031482</v>
      </c>
      <c r="H43">
        <v>-1414.6947062270867</v>
      </c>
      <c r="I43">
        <v>273.00087899046099</v>
      </c>
      <c r="J43">
        <v>140.54043416299299</v>
      </c>
      <c r="K43">
        <v>47.254285541437802</v>
      </c>
      <c r="L43">
        <v>1.6129124205199191E-4</v>
      </c>
      <c r="M43">
        <v>1.7821481305024201E-5</v>
      </c>
      <c r="N43" s="1">
        <v>3.8352353664660103E-6</v>
      </c>
      <c r="O43" s="1">
        <v>1.04148544186417E-7</v>
      </c>
      <c r="P43" s="1">
        <v>-5.3141715212439502E-7</v>
      </c>
      <c r="Q43">
        <v>72.009760490289693</v>
      </c>
      <c r="R43">
        <v>7.6207230855267094E-2</v>
      </c>
      <c r="S43">
        <v>12.038813178156101</v>
      </c>
      <c r="T43">
        <v>0.18025667932585099</v>
      </c>
      <c r="V43">
        <v>0.435885119997241</v>
      </c>
      <c r="W43">
        <v>2.50808607878064E-2</v>
      </c>
      <c r="X43">
        <v>5.78789095103402E-2</v>
      </c>
      <c r="AA43">
        <v>0.51126370067456595</v>
      </c>
      <c r="AB43">
        <v>3.8393009975181802</v>
      </c>
      <c r="AC43">
        <v>4.3023322736003999</v>
      </c>
      <c r="AD43">
        <v>3.85859396735376E-3</v>
      </c>
      <c r="AE43">
        <v>6.5193619653170698</v>
      </c>
    </row>
    <row r="44" spans="1:31" x14ac:dyDescent="0.2">
      <c r="A44">
        <v>43</v>
      </c>
      <c r="B44">
        <v>752</v>
      </c>
      <c r="C44">
        <v>280</v>
      </c>
      <c r="D44">
        <v>0.29353801882651298</v>
      </c>
      <c r="E44">
        <v>103.445884627193</v>
      </c>
      <c r="F44">
        <v>2.1942182600234301</v>
      </c>
      <c r="G44">
        <v>-1690.9343979157049</v>
      </c>
      <c r="H44">
        <v>-1411.7627916209349</v>
      </c>
      <c r="I44">
        <v>272.32269062553797</v>
      </c>
      <c r="J44">
        <v>140.25350166264201</v>
      </c>
      <c r="K44">
        <v>47.144756067288</v>
      </c>
      <c r="L44">
        <v>1.6134129962969466E-4</v>
      </c>
      <c r="M44">
        <v>1.7814348504776659E-5</v>
      </c>
      <c r="N44" s="1">
        <v>3.83313431825149E-6</v>
      </c>
      <c r="O44" s="1">
        <v>1.03882097351766E-7</v>
      </c>
      <c r="P44" s="1">
        <v>-5.3069814716135004E-7</v>
      </c>
      <c r="Q44">
        <v>71.961715391116797</v>
      </c>
      <c r="R44">
        <v>7.6368431943629203E-2</v>
      </c>
      <c r="S44">
        <v>12.0642788690778</v>
      </c>
      <c r="T44">
        <v>0.18098893877618399</v>
      </c>
      <c r="V44">
        <v>0.43649134734614298</v>
      </c>
      <c r="W44">
        <v>2.5133914310558201E-2</v>
      </c>
      <c r="X44">
        <v>5.8001340716692197E-2</v>
      </c>
      <c r="AA44">
        <v>0.51234517633066601</v>
      </c>
      <c r="AB44">
        <v>3.8474222675394398</v>
      </c>
      <c r="AC44">
        <v>4.3114329932724198</v>
      </c>
      <c r="AD44">
        <v>3.8667560477769901E-3</v>
      </c>
      <c r="AE44">
        <v>6.5219545735217297</v>
      </c>
    </row>
    <row r="45" spans="1:31" x14ac:dyDescent="0.2">
      <c r="A45">
        <v>44</v>
      </c>
      <c r="B45">
        <v>751</v>
      </c>
      <c r="C45">
        <v>280</v>
      </c>
      <c r="D45">
        <v>0.29277986623053498</v>
      </c>
      <c r="E45">
        <v>103.22813597803101</v>
      </c>
      <c r="F45">
        <v>2.19467343272686</v>
      </c>
      <c r="G45">
        <v>-1687.0532505773313</v>
      </c>
      <c r="H45">
        <v>-1408.8453126259037</v>
      </c>
      <c r="I45">
        <v>271.64764726985999</v>
      </c>
      <c r="J45">
        <v>139.967980197956</v>
      </c>
      <c r="K45">
        <v>47.035761420673403</v>
      </c>
      <c r="L45">
        <v>1.6139144262708661E-4</v>
      </c>
      <c r="M45">
        <v>1.780721521212575E-5</v>
      </c>
      <c r="N45" s="1">
        <v>3.8310595632978096E-6</v>
      </c>
      <c r="O45" s="1">
        <v>1.0361706665932801E-7</v>
      </c>
      <c r="P45" s="1">
        <v>-5.29984005272006E-7</v>
      </c>
      <c r="Q45">
        <v>71.913686749197396</v>
      </c>
      <c r="R45">
        <v>7.6529522936281999E-2</v>
      </c>
      <c r="S45">
        <v>12.0897271676644</v>
      </c>
      <c r="T45">
        <v>0.18172379064209401</v>
      </c>
      <c r="V45">
        <v>0.43709437796871597</v>
      </c>
      <c r="W45">
        <v>2.5186931599279198E-2</v>
      </c>
      <c r="X45">
        <v>5.8123688306049401E-2</v>
      </c>
      <c r="AA45">
        <v>0.513425913369982</v>
      </c>
      <c r="AB45">
        <v>3.85553799096673</v>
      </c>
      <c r="AC45">
        <v>4.3205274974145498</v>
      </c>
      <c r="AD45">
        <v>3.8749125537340099E-3</v>
      </c>
      <c r="AE45">
        <v>6.5245614573806101</v>
      </c>
    </row>
    <row r="46" spans="1:31" x14ac:dyDescent="0.2">
      <c r="A46">
        <v>45</v>
      </c>
      <c r="B46">
        <v>750</v>
      </c>
      <c r="C46">
        <v>280</v>
      </c>
      <c r="D46">
        <v>0.292020231637589</v>
      </c>
      <c r="E46">
        <v>103.011448901428</v>
      </c>
      <c r="F46">
        <v>2.19512852669282</v>
      </c>
      <c r="G46">
        <v>-1683.1909620308227</v>
      </c>
      <c r="H46">
        <v>-1405.9421504829343</v>
      </c>
      <c r="I46">
        <v>270.97572354775798</v>
      </c>
      <c r="J46">
        <v>139.68385837815899</v>
      </c>
      <c r="K46">
        <v>46.927297262463703</v>
      </c>
      <c r="L46">
        <v>1.6144167193487039E-4</v>
      </c>
      <c r="M46">
        <v>1.7800081440623982E-5</v>
      </c>
      <c r="N46" s="1">
        <v>3.8290109536742699E-6</v>
      </c>
      <c r="O46" s="1">
        <v>1.0335344135317E-7</v>
      </c>
      <c r="P46" s="1">
        <v>-5.2927469383725803E-7</v>
      </c>
      <c r="Q46">
        <v>71.865674271357804</v>
      </c>
      <c r="R46">
        <v>7.6690504640507598E-2</v>
      </c>
      <c r="S46">
        <v>12.115158201446301</v>
      </c>
      <c r="T46">
        <v>0.18246125049019299</v>
      </c>
      <c r="V46">
        <v>0.43769420419356297</v>
      </c>
      <c r="W46">
        <v>2.52399129196571E-2</v>
      </c>
      <c r="X46">
        <v>5.8245952891537799E-2</v>
      </c>
      <c r="AA46">
        <v>0.51450591720845695</v>
      </c>
      <c r="AB46">
        <v>3.8636482084707402</v>
      </c>
      <c r="AC46">
        <v>4.32961583160243</v>
      </c>
      <c r="AD46">
        <v>3.8830635260997401E-3</v>
      </c>
      <c r="AE46">
        <v>6.5271826812526204</v>
      </c>
    </row>
    <row r="47" spans="1:31" x14ac:dyDescent="0.2">
      <c r="A47">
        <v>46</v>
      </c>
      <c r="B47">
        <v>749</v>
      </c>
      <c r="C47">
        <v>280</v>
      </c>
      <c r="D47">
        <v>0.291259110698039</v>
      </c>
      <c r="E47">
        <v>102.795814724396</v>
      </c>
      <c r="F47">
        <v>2.1955835419422001</v>
      </c>
      <c r="G47">
        <v>-1679.347379776447</v>
      </c>
      <c r="H47">
        <v>-1403.0531877049425</v>
      </c>
      <c r="I47">
        <v>270.3068943614</v>
      </c>
      <c r="J47">
        <v>139.401124936445</v>
      </c>
      <c r="K47">
        <v>46.819359300472499</v>
      </c>
      <c r="L47">
        <v>1.61491988457414E-4</v>
      </c>
      <c r="M47">
        <v>1.7792947204636112E-5</v>
      </c>
      <c r="N47" s="1">
        <v>3.8269883438517896E-6</v>
      </c>
      <c r="O47" s="1">
        <v>1.03091210804499E-7</v>
      </c>
      <c r="P47" s="1">
        <v>-5.2857018068228403E-7</v>
      </c>
      <c r="Q47">
        <v>71.817677663901094</v>
      </c>
      <c r="R47">
        <v>7.6851377861841902E-2</v>
      </c>
      <c r="S47">
        <v>12.140572097678699</v>
      </c>
      <c r="T47">
        <v>0.183201333967663</v>
      </c>
      <c r="V47">
        <v>0.43829081826297001</v>
      </c>
      <c r="W47">
        <v>2.5292858536804599E-2</v>
      </c>
      <c r="X47">
        <v>5.8368135084958299E-2</v>
      </c>
      <c r="AA47">
        <v>0.51558519325031804</v>
      </c>
      <c r="AB47">
        <v>3.8717529606341001</v>
      </c>
      <c r="AC47">
        <v>4.3386980413130702</v>
      </c>
      <c r="AD47">
        <v>3.8912090056606899E-3</v>
      </c>
      <c r="AE47">
        <v>6.5298183105026704</v>
      </c>
    </row>
    <row r="48" spans="1:31" x14ac:dyDescent="0.2">
      <c r="A48">
        <v>47</v>
      </c>
      <c r="B48">
        <v>748</v>
      </c>
      <c r="C48">
        <v>280</v>
      </c>
      <c r="D48">
        <v>0.29049649904519698</v>
      </c>
      <c r="E48">
        <v>102.58122486626</v>
      </c>
      <c r="F48">
        <v>2.1960384784784899</v>
      </c>
      <c r="G48">
        <v>-1675.5223529423038</v>
      </c>
      <c r="H48">
        <v>-1400.1783080538166</v>
      </c>
      <c r="I48">
        <v>269.64113488565499</v>
      </c>
      <c r="J48">
        <v>139.119768727712</v>
      </c>
      <c r="K48">
        <v>46.7119432885953</v>
      </c>
      <c r="L48">
        <v>1.6154239311201731E-4</v>
      </c>
      <c r="M48">
        <v>1.7785812519266943E-5</v>
      </c>
      <c r="N48" s="1">
        <v>3.8249915906318103E-6</v>
      </c>
      <c r="O48" s="1">
        <v>1.0283036450879499E-7</v>
      </c>
      <c r="P48" s="1">
        <v>-5.2787043406455298E-7</v>
      </c>
      <c r="Q48">
        <v>71.7696966325624</v>
      </c>
      <c r="R48">
        <v>7.7012143404410205E-2</v>
      </c>
      <c r="S48">
        <v>12.165968983391901</v>
      </c>
      <c r="T48">
        <v>0.183944056803688</v>
      </c>
      <c r="V48">
        <v>0.43888421233466701</v>
      </c>
      <c r="W48">
        <v>2.5345768715370899E-2</v>
      </c>
      <c r="X48">
        <v>5.8490235497037003E-2</v>
      </c>
      <c r="AA48">
        <v>0.51666374689033101</v>
      </c>
      <c r="AB48">
        <v>3.87985228796851</v>
      </c>
      <c r="AC48">
        <v>4.3477741719440299</v>
      </c>
      <c r="AD48">
        <v>3.8993490331322698E-3</v>
      </c>
      <c r="AE48">
        <v>6.5324684114544302</v>
      </c>
    </row>
    <row r="49" spans="1:31" x14ac:dyDescent="0.2">
      <c r="A49">
        <v>48</v>
      </c>
      <c r="B49">
        <v>747</v>
      </c>
      <c r="C49">
        <v>280</v>
      </c>
      <c r="D49">
        <v>0.28973239229525299</v>
      </c>
      <c r="E49">
        <v>102.367670836179</v>
      </c>
      <c r="F49">
        <v>2.1964933362860801</v>
      </c>
      <c r="G49">
        <v>-1671.715732242375</v>
      </c>
      <c r="H49">
        <v>-1397.3173965060714</v>
      </c>
      <c r="I49">
        <v>268.97842056197902</v>
      </c>
      <c r="J49">
        <v>138.83977872550199</v>
      </c>
      <c r="K49">
        <v>46.605045025661802</v>
      </c>
      <c r="L49">
        <v>1.615928868310457E-4</v>
      </c>
      <c r="M49">
        <v>1.7778677400477781E-5</v>
      </c>
      <c r="N49" s="1">
        <v>3.8230205531348603E-6</v>
      </c>
      <c r="O49" s="1">
        <v>1.02570892084422E-7</v>
      </c>
      <c r="P49" s="1">
        <v>-5.2717542267330797E-7</v>
      </c>
      <c r="Q49">
        <v>71.721730882129293</v>
      </c>
      <c r="R49">
        <v>7.7172802071887203E-2</v>
      </c>
      <c r="S49">
        <v>12.1913489855463</v>
      </c>
      <c r="T49">
        <v>0.184689434812255</v>
      </c>
      <c r="V49">
        <v>0.43947437848634302</v>
      </c>
      <c r="W49">
        <v>2.53986437198566E-2</v>
      </c>
      <c r="X49">
        <v>5.8612254738160202E-2</v>
      </c>
      <c r="AA49">
        <v>0.51774158352023902</v>
      </c>
      <c r="AB49">
        <v>3.8879462309628701</v>
      </c>
      <c r="AC49">
        <v>4.3568442688673104</v>
      </c>
      <c r="AD49">
        <v>3.9074836492068296E-3</v>
      </c>
      <c r="AE49">
        <v>6.53513305149621</v>
      </c>
    </row>
    <row r="50" spans="1:31" x14ac:dyDescent="0.2">
      <c r="A50">
        <v>49</v>
      </c>
      <c r="B50">
        <v>746</v>
      </c>
      <c r="C50">
        <v>280</v>
      </c>
      <c r="D50">
        <v>0.288966786047197</v>
      </c>
      <c r="E50">
        <v>102.155144232777</v>
      </c>
      <c r="F50">
        <v>2.1969481153331301</v>
      </c>
      <c r="G50">
        <v>-1667.9273699685725</v>
      </c>
      <c r="H50">
        <v>-1394.4703392485148</v>
      </c>
      <c r="I50">
        <v>268.31872709616601</v>
      </c>
      <c r="J50">
        <v>138.56114402131999</v>
      </c>
      <c r="K50">
        <v>46.4986603551569</v>
      </c>
      <c r="L50">
        <v>1.6164347055953383E-4</v>
      </c>
      <c r="M50">
        <v>1.777154186492873E-5</v>
      </c>
      <c r="N50" s="1">
        <v>3.8210750927331896E-6</v>
      </c>
      <c r="O50" s="1">
        <v>1.0231278326998E-7</v>
      </c>
      <c r="P50" s="1">
        <v>-5.2648511561549105E-7</v>
      </c>
      <c r="Q50">
        <v>71.6737801167382</v>
      </c>
      <c r="R50">
        <v>7.7333354666889204E-2</v>
      </c>
      <c r="S50">
        <v>12.216712230934601</v>
      </c>
      <c r="T50">
        <v>0.185437483890979</v>
      </c>
      <c r="V50">
        <v>0.440061308712202</v>
      </c>
      <c r="W50">
        <v>2.5451483814413998E-2</v>
      </c>
      <c r="X50">
        <v>5.8734193417909503E-2</v>
      </c>
      <c r="AA50">
        <v>0.51881870852468104</v>
      </c>
      <c r="AB50">
        <v>3.89603483005282</v>
      </c>
      <c r="AC50">
        <v>4.3659083773951997</v>
      </c>
      <c r="AD50">
        <v>3.9156128945232304E-3</v>
      </c>
      <c r="AE50">
        <v>6.5378122989575598</v>
      </c>
    </row>
    <row r="51" spans="1:31" x14ac:dyDescent="0.2">
      <c r="A51">
        <v>50</v>
      </c>
      <c r="B51">
        <v>745</v>
      </c>
      <c r="C51">
        <v>280</v>
      </c>
      <c r="D51">
        <v>0.28819967588272899</v>
      </c>
      <c r="E51">
        <v>101.94363674321799</v>
      </c>
      <c r="F51">
        <v>2.1974028155666798</v>
      </c>
      <c r="G51">
        <v>-1664.157119975024</v>
      </c>
      <c r="H51">
        <v>-1391.6370236655698</v>
      </c>
      <c r="I51">
        <v>267.66203045666498</v>
      </c>
      <c r="J51">
        <v>138.28385382362501</v>
      </c>
      <c r="K51">
        <v>46.392785164848704</v>
      </c>
      <c r="L51">
        <v>1.61694145258083E-4</v>
      </c>
      <c r="M51">
        <v>1.7764405930199086E-5</v>
      </c>
      <c r="N51" s="1">
        <v>3.8191550731372098E-6</v>
      </c>
      <c r="O51" s="1">
        <v>1.0205602792549801E-7</v>
      </c>
      <c r="P51" s="1">
        <v>-5.2579948242781499E-7</v>
      </c>
      <c r="Q51">
        <v>71.625844039747804</v>
      </c>
      <c r="R51">
        <v>7.7493801990795794E-2</v>
      </c>
      <c r="S51">
        <v>12.242058846155</v>
      </c>
      <c r="T51">
        <v>0.186188220020785</v>
      </c>
      <c r="V51">
        <v>0.44064499492168402</v>
      </c>
      <c r="W51">
        <v>2.55042892627881E-2</v>
      </c>
      <c r="X51">
        <v>5.88560521449282E-2</v>
      </c>
      <c r="AA51">
        <v>0.51989512728000398</v>
      </c>
      <c r="AB51">
        <v>3.90411812561163</v>
      </c>
      <c r="AC51">
        <v>4.3749665427701201</v>
      </c>
      <c r="AD51">
        <v>3.9237368096576297E-3</v>
      </c>
      <c r="AE51">
        <v>6.5405062232847397</v>
      </c>
    </row>
    <row r="52" spans="1:31" x14ac:dyDescent="0.2">
      <c r="A52">
        <v>51</v>
      </c>
      <c r="B52">
        <v>744</v>
      </c>
      <c r="C52">
        <v>280</v>
      </c>
      <c r="D52">
        <v>0.28743105736617303</v>
      </c>
      <c r="E52">
        <v>101.733140141232</v>
      </c>
      <c r="F52">
        <v>2.1978574369166699</v>
      </c>
      <c r="G52">
        <v>-1660.4048376434373</v>
      </c>
      <c r="H52">
        <v>-1388.8173383123358</v>
      </c>
      <c r="I52">
        <v>267.00830686831</v>
      </c>
      <c r="J52">
        <v>138.00789745513001</v>
      </c>
      <c r="K52">
        <v>46.287415385754699</v>
      </c>
      <c r="L52">
        <v>1.6174491190107461E-4</v>
      </c>
      <c r="M52">
        <v>1.7757269614624087E-5</v>
      </c>
      <c r="N52" s="1">
        <v>3.8172603602725499E-6</v>
      </c>
      <c r="O52" s="1">
        <v>1.0180061602831201E-7</v>
      </c>
      <c r="P52" s="1">
        <v>-5.2511849305727596E-7</v>
      </c>
      <c r="Q52">
        <v>71.577922353678503</v>
      </c>
      <c r="R52">
        <v>7.7654144844377895E-2</v>
      </c>
      <c r="S52">
        <v>12.2673889577088</v>
      </c>
      <c r="T52">
        <v>0.18694165926814599</v>
      </c>
      <c r="V52">
        <v>0.44122542894254602</v>
      </c>
      <c r="W52">
        <v>2.5557060328523701E-2</v>
      </c>
      <c r="X52">
        <v>5.8977831527396503E-2</v>
      </c>
      <c r="AA52">
        <v>0.52097084515846503</v>
      </c>
      <c r="AB52">
        <v>3.91219615798193</v>
      </c>
      <c r="AC52">
        <v>4.3840188102001303</v>
      </c>
      <c r="AD52">
        <v>3.9318554351553004E-3</v>
      </c>
      <c r="AE52">
        <v>6.5432148949258604</v>
      </c>
    </row>
    <row r="53" spans="1:31" x14ac:dyDescent="0.2">
      <c r="A53">
        <v>52</v>
      </c>
      <c r="B53">
        <v>743</v>
      </c>
      <c r="C53">
        <v>280</v>
      </c>
      <c r="D53">
        <v>0.28666092604438298</v>
      </c>
      <c r="E53">
        <v>101.523646287066</v>
      </c>
      <c r="F53">
        <v>2.1983119792940502</v>
      </c>
      <c r="G53">
        <v>-1656.6703798814069</v>
      </c>
      <c r="H53">
        <v>-1386.0111729144876</v>
      </c>
      <c r="I53">
        <v>266.35753281200499</v>
      </c>
      <c r="J53">
        <v>137.73326435273299</v>
      </c>
      <c r="K53">
        <v>46.182546992110296</v>
      </c>
      <c r="L53">
        <v>1.6179577147703732E-4</v>
      </c>
      <c r="M53">
        <v>1.775013293735274E-5</v>
      </c>
      <c r="N53" s="1">
        <v>3.8153908223209398E-6</v>
      </c>
      <c r="O53" s="1">
        <v>1.0154653767319E-7</v>
      </c>
      <c r="P53" s="1">
        <v>-5.2444211786403502E-7</v>
      </c>
      <c r="Q53">
        <v>71.530014760400306</v>
      </c>
      <c r="R53">
        <v>7.7814384026976102E-2</v>
      </c>
      <c r="S53">
        <v>12.292702691872201</v>
      </c>
      <c r="T53">
        <v>0.187697817783052</v>
      </c>
      <c r="V53">
        <v>0.44180260251610498</v>
      </c>
      <c r="W53">
        <v>2.5609797274694798E-2</v>
      </c>
      <c r="X53">
        <v>5.9099532172409298E-2</v>
      </c>
      <c r="AA53">
        <v>0.52204586752272997</v>
      </c>
      <c r="AB53">
        <v>3.9202689674343101</v>
      </c>
      <c r="AC53">
        <v>4.3930652248125304</v>
      </c>
      <c r="AD53">
        <v>3.9399688114891704E-3</v>
      </c>
      <c r="AE53">
        <v>6.5459383853730397</v>
      </c>
    </row>
    <row r="54" spans="1:31" x14ac:dyDescent="0.2">
      <c r="A54">
        <v>53</v>
      </c>
      <c r="B54">
        <v>742</v>
      </c>
      <c r="C54">
        <v>280</v>
      </c>
      <c r="D54">
        <v>0.28588927744668102</v>
      </c>
      <c r="E54">
        <v>101.31514712432001</v>
      </c>
      <c r="F54">
        <v>2.1987664425875799</v>
      </c>
      <c r="G54">
        <v>-1652.9536050695206</v>
      </c>
      <c r="H54">
        <v>-1383.2184183241047</v>
      </c>
      <c r="I54">
        <v>265.70968501740202</v>
      </c>
      <c r="J54">
        <v>137.459944063704</v>
      </c>
      <c r="K54">
        <v>46.078175999943603</v>
      </c>
      <c r="L54">
        <v>1.6184672499231702E-4</v>
      </c>
      <c r="M54">
        <v>1.7742995918552143E-5</v>
      </c>
      <c r="N54" s="1">
        <v>3.81354632972524E-6</v>
      </c>
      <c r="O54" s="1">
        <v>1.0129378307137E-7</v>
      </c>
      <c r="P54" s="1">
        <v>-5.2377032762528005E-7</v>
      </c>
      <c r="Q54">
        <v>71.482120960506904</v>
      </c>
      <c r="R54">
        <v>7.7974520338078404E-2</v>
      </c>
      <c r="S54">
        <v>12.318000174943499</v>
      </c>
      <c r="T54">
        <v>0.18845671180374499</v>
      </c>
      <c r="V54">
        <v>0.44237650730552602</v>
      </c>
      <c r="W54">
        <v>2.5662500364424301E-2</v>
      </c>
      <c r="X54">
        <v>5.9221154687171901E-2</v>
      </c>
      <c r="AA54">
        <v>0.52312019973645296</v>
      </c>
      <c r="AB54">
        <v>3.9283365942467601</v>
      </c>
      <c r="AC54">
        <v>4.4021058317430199</v>
      </c>
      <c r="AD54">
        <v>3.9480769791397103E-3</v>
      </c>
      <c r="AE54">
        <v>6.5486767673451096</v>
      </c>
    </row>
    <row r="55" spans="1:31" x14ac:dyDescent="0.2">
      <c r="A55">
        <v>54</v>
      </c>
      <c r="B55">
        <v>741</v>
      </c>
      <c r="C55">
        <v>280</v>
      </c>
      <c r="D55">
        <v>0.28511610708475299</v>
      </c>
      <c r="E55">
        <v>101.10763468108</v>
      </c>
      <c r="F55">
        <v>2.1992208266686801</v>
      </c>
      <c r="G55">
        <v>-1649.2543730778627</v>
      </c>
      <c r="H55">
        <v>-1380.438966536542</v>
      </c>
      <c r="I55">
        <v>265.06474046375803</v>
      </c>
      <c r="J55">
        <v>137.187926246741</v>
      </c>
      <c r="K55">
        <v>45.974298467441699</v>
      </c>
      <c r="L55">
        <v>1.6189777346635174E-4</v>
      </c>
      <c r="M55">
        <v>1.7735858579121646E-5</v>
      </c>
      <c r="N55" s="1">
        <v>3.81172675511204E-6</v>
      </c>
      <c r="O55" s="1">
        <v>1.0104234254781E-7</v>
      </c>
      <c r="P55" s="1">
        <v>-5.2310309351655501E-7</v>
      </c>
      <c r="Q55">
        <v>71.434240654029395</v>
      </c>
      <c r="R55">
        <v>7.8134554575620394E-2</v>
      </c>
      <c r="S55">
        <v>12.3432815329758</v>
      </c>
      <c r="T55">
        <v>0.189218357652399</v>
      </c>
      <c r="V55">
        <v>0.44294713488628201</v>
      </c>
      <c r="W55">
        <v>2.5715169860323999E-2</v>
      </c>
      <c r="X55">
        <v>5.9342699677710699E-2</v>
      </c>
      <c r="AA55">
        <v>0.52419384715287298</v>
      </c>
      <c r="AB55">
        <v>3.9363990786191101</v>
      </c>
      <c r="AC55">
        <v>4.4111406760396603</v>
      </c>
      <c r="AD55">
        <v>3.9561799785088302E-3</v>
      </c>
      <c r="AE55">
        <v>6.5514301145521499</v>
      </c>
    </row>
    <row r="56" spans="1:31" x14ac:dyDescent="0.2">
      <c r="A56">
        <v>55</v>
      </c>
      <c r="B56">
        <v>740</v>
      </c>
      <c r="C56">
        <v>280</v>
      </c>
      <c r="D56">
        <v>0.28434141045255101</v>
      </c>
      <c r="E56">
        <v>99.769256409003304</v>
      </c>
      <c r="F56">
        <v>2.1995796947601902</v>
      </c>
      <c r="G56">
        <v>-1627.1937404975672</v>
      </c>
      <c r="H56">
        <v>-1362.2195340360313</v>
      </c>
      <c r="I56">
        <v>261.53502093622501</v>
      </c>
      <c r="J56">
        <v>135.40474034587299</v>
      </c>
      <c r="K56">
        <v>45.3583276144401</v>
      </c>
      <c r="L56">
        <v>1.6211821780599369E-4</v>
      </c>
      <c r="M56">
        <v>1.7742036267333961E-5</v>
      </c>
      <c r="N56" s="1">
        <v>3.7725695798086699E-6</v>
      </c>
      <c r="O56" s="1">
        <v>9.9793148096993207E-8</v>
      </c>
      <c r="P56" s="1">
        <v>-5.1725561801780702E-7</v>
      </c>
      <c r="Q56">
        <v>71.369779213432594</v>
      </c>
      <c r="R56">
        <v>7.9182709026265202E-2</v>
      </c>
      <c r="S56">
        <v>12.373174060762</v>
      </c>
      <c r="T56">
        <v>0.19209999285641</v>
      </c>
      <c r="V56">
        <v>0.44858023006907699</v>
      </c>
      <c r="W56">
        <v>2.6060132084584998E-2</v>
      </c>
      <c r="X56">
        <v>6.0138766349093598E-2</v>
      </c>
      <c r="AA56">
        <v>0.52952957675911605</v>
      </c>
      <c r="AB56">
        <v>3.9567152434811601</v>
      </c>
      <c r="AC56">
        <v>4.3971808307619602</v>
      </c>
      <c r="AD56">
        <v>4.0092510899329102E-3</v>
      </c>
      <c r="AE56">
        <v>6.5635499933276504</v>
      </c>
    </row>
    <row r="57" spans="1:31" x14ac:dyDescent="0.2">
      <c r="A57">
        <v>56</v>
      </c>
      <c r="B57">
        <v>739</v>
      </c>
      <c r="C57">
        <v>280</v>
      </c>
      <c r="D57">
        <v>0.28356518302623301</v>
      </c>
      <c r="E57">
        <v>81.626788917389405</v>
      </c>
      <c r="F57">
        <v>2.2013329117154701</v>
      </c>
      <c r="G57">
        <v>-1330.1489649484506</v>
      </c>
      <c r="H57">
        <v>-1113.4954840758483</v>
      </c>
      <c r="I57">
        <v>214.05274008062199</v>
      </c>
      <c r="J57">
        <v>110.83784818816</v>
      </c>
      <c r="K57">
        <v>37.080619874882402</v>
      </c>
      <c r="L57">
        <v>1.6277336176966426E-4</v>
      </c>
      <c r="M57">
        <v>1.7772806053096789E-5</v>
      </c>
      <c r="N57" s="1">
        <v>3.1023866135822299E-6</v>
      </c>
      <c r="O57" s="1">
        <v>8.1878735606074196E-8</v>
      </c>
      <c r="P57" s="1">
        <v>-4.2492152684264997E-7</v>
      </c>
      <c r="Q57">
        <v>71.195527839167994</v>
      </c>
      <c r="R57">
        <v>9.6781952405317201E-2</v>
      </c>
      <c r="S57">
        <v>12.3792770418956</v>
      </c>
      <c r="T57">
        <v>0.23467371187439701</v>
      </c>
      <c r="V57">
        <v>0.54839257313680001</v>
      </c>
      <c r="W57">
        <v>3.18522881333776E-2</v>
      </c>
      <c r="X57">
        <v>7.3505280307902196E-2</v>
      </c>
      <c r="AA57">
        <v>0.52654752030399898</v>
      </c>
      <c r="AB57">
        <v>3.98845475657747</v>
      </c>
      <c r="AC57">
        <v>4.3304415632771196</v>
      </c>
      <c r="AD57">
        <v>4.9003520205156302E-3</v>
      </c>
      <c r="AE57">
        <v>6.5896451208993803</v>
      </c>
    </row>
    <row r="58" spans="1:31" x14ac:dyDescent="0.2">
      <c r="A58">
        <v>57</v>
      </c>
      <c r="B58">
        <v>738</v>
      </c>
      <c r="C58">
        <v>280</v>
      </c>
      <c r="D58">
        <v>0.28278742026405701</v>
      </c>
      <c r="E58">
        <v>50.3958683542958</v>
      </c>
      <c r="F58">
        <v>2.2034736523551399</v>
      </c>
      <c r="G58">
        <v>-820.55595166228898</v>
      </c>
      <c r="H58">
        <v>-686.92997071326693</v>
      </c>
      <c r="I58">
        <v>132.15248078823299</v>
      </c>
      <c r="J58">
        <v>68.467886359104298</v>
      </c>
      <c r="K58">
        <v>22.871100954817901</v>
      </c>
      <c r="L58">
        <v>1.632449870840073E-4</v>
      </c>
      <c r="M58">
        <v>1.7789181931615208E-5</v>
      </c>
      <c r="N58" s="1">
        <v>1.9217766157681601E-6</v>
      </c>
      <c r="O58" s="1">
        <v>5.06104056534581E-8</v>
      </c>
      <c r="P58" s="1">
        <v>-2.62884087159157E-7</v>
      </c>
      <c r="Q58">
        <v>71.016640161683199</v>
      </c>
      <c r="R58">
        <v>0.119731527609684</v>
      </c>
      <c r="S58">
        <v>12.4006631530838</v>
      </c>
      <c r="T58">
        <v>0.26916938385559702</v>
      </c>
      <c r="V58">
        <v>0.630031770700482</v>
      </c>
      <c r="W58">
        <v>5.1591530911226001E-2</v>
      </c>
      <c r="X58">
        <v>0.115617890204542</v>
      </c>
      <c r="AA58">
        <v>0.50488944170723205</v>
      </c>
      <c r="AB58">
        <v>3.9944230516993899</v>
      </c>
      <c r="AC58">
        <v>4.28529202158734</v>
      </c>
      <c r="AD58">
        <v>7.9371586017209107E-3</v>
      </c>
      <c r="AE58">
        <v>6.6040129083556396</v>
      </c>
    </row>
    <row r="59" spans="1:31" x14ac:dyDescent="0.2">
      <c r="A59">
        <v>58</v>
      </c>
      <c r="B59">
        <v>737</v>
      </c>
      <c r="C59">
        <v>280</v>
      </c>
      <c r="D59">
        <v>0.28200811760629901</v>
      </c>
      <c r="E59">
        <v>17.8611180844781</v>
      </c>
      <c r="F59">
        <v>2.20548050817834</v>
      </c>
      <c r="G59">
        <v>-290.78078537786951</v>
      </c>
      <c r="H59">
        <v>-243.48905291246876</v>
      </c>
      <c r="I59">
        <v>46.816544538336601</v>
      </c>
      <c r="J59">
        <v>24.284507126400602</v>
      </c>
      <c r="K59">
        <v>8.0985155018353794</v>
      </c>
      <c r="L59">
        <v>1.6358983600992333E-4</v>
      </c>
      <c r="M59">
        <v>1.7819304773335262E-5</v>
      </c>
      <c r="N59" s="1">
        <v>6.8332639688092297E-7</v>
      </c>
      <c r="O59" s="1">
        <v>1.7956363919413198E-8</v>
      </c>
      <c r="P59" s="1">
        <v>-9.3170606761295499E-8</v>
      </c>
      <c r="Q59">
        <v>70.755192099200201</v>
      </c>
      <c r="R59">
        <v>0.12654366279638399</v>
      </c>
      <c r="S59">
        <v>12.651865026617401</v>
      </c>
      <c r="T59">
        <v>0.26280080267536698</v>
      </c>
      <c r="V59">
        <v>0.61890468733203396</v>
      </c>
      <c r="W59">
        <v>0.14434563924570801</v>
      </c>
      <c r="X59">
        <v>0.137422123281535</v>
      </c>
      <c r="AA59">
        <v>0.48351595380493101</v>
      </c>
      <c r="AB59">
        <v>3.9057211810447101</v>
      </c>
      <c r="AC59">
        <v>4.2733787196799096</v>
      </c>
      <c r="AD59">
        <v>2.2395014584593399E-2</v>
      </c>
      <c r="AE59">
        <v>6.6179150897371599</v>
      </c>
    </row>
    <row r="60" spans="1:31" x14ac:dyDescent="0.2">
      <c r="A60">
        <v>59</v>
      </c>
      <c r="B60">
        <v>736</v>
      </c>
      <c r="C60">
        <v>280</v>
      </c>
      <c r="D60">
        <v>0.281227270475152</v>
      </c>
      <c r="E60">
        <v>10.4525402618642</v>
      </c>
      <c r="F60">
        <v>2.2078698433065602</v>
      </c>
      <c r="G60">
        <v>-170.11979681714811</v>
      </c>
      <c r="H60">
        <v>-142.49420036343957</v>
      </c>
      <c r="I60">
        <v>27.3751141591523</v>
      </c>
      <c r="J60">
        <v>14.2194777798261</v>
      </c>
      <c r="K60">
        <v>4.7342194077030699</v>
      </c>
      <c r="L60">
        <v>1.6380877785571432E-4</v>
      </c>
      <c r="M60">
        <v>1.7843331463058435E-5</v>
      </c>
      <c r="N60" s="1">
        <v>4.0078628223504999E-7</v>
      </c>
      <c r="O60" s="1">
        <v>1.0509577356931599E-8</v>
      </c>
      <c r="P60" s="1">
        <v>-5.4453659669018703E-8</v>
      </c>
      <c r="Q60">
        <v>70.475698455372793</v>
      </c>
      <c r="R60">
        <v>0.12564694398488299</v>
      </c>
      <c r="S60">
        <v>12.935430619251299</v>
      </c>
      <c r="T60">
        <v>0.259641186332776</v>
      </c>
      <c r="V60">
        <v>0.61583176308194099</v>
      </c>
      <c r="W60">
        <v>0.24422036422466201</v>
      </c>
      <c r="X60">
        <v>0.13688460809141501</v>
      </c>
      <c r="AA60">
        <v>0.47993625433764098</v>
      </c>
      <c r="AB60">
        <v>3.7832343239407402</v>
      </c>
      <c r="AC60">
        <v>4.2800697445050204</v>
      </c>
      <c r="AD60">
        <v>3.8268209447450303E-2</v>
      </c>
      <c r="AE60">
        <v>6.6251375274292803</v>
      </c>
    </row>
    <row r="61" spans="1:31" x14ac:dyDescent="0.2">
      <c r="A61">
        <v>60</v>
      </c>
      <c r="B61">
        <v>763</v>
      </c>
      <c r="C61">
        <v>260</v>
      </c>
      <c r="D61">
        <v>0.32301355981277102</v>
      </c>
      <c r="E61">
        <v>105.416210150978</v>
      </c>
      <c r="F61">
        <v>2.19005100523577</v>
      </c>
      <c r="G61">
        <v>-1725.92457377188</v>
      </c>
      <c r="H61">
        <v>-1439.1114099695844</v>
      </c>
      <c r="I61">
        <v>276.80660503044498</v>
      </c>
      <c r="J61">
        <v>142.53491806259501</v>
      </c>
      <c r="K61">
        <v>48.134134729720401</v>
      </c>
      <c r="L61">
        <v>1.5747325880201022E-4</v>
      </c>
      <c r="M61">
        <v>1.7871953926207006E-5</v>
      </c>
      <c r="N61" s="1">
        <v>3.6901984539581099E-6</v>
      </c>
      <c r="O61" s="1">
        <v>1.03630702722635E-7</v>
      </c>
      <c r="P61" s="1">
        <v>-5.2505151512626196E-7</v>
      </c>
      <c r="Q61">
        <v>72.683318713773801</v>
      </c>
      <c r="R61">
        <v>7.4941036000872499E-2</v>
      </c>
      <c r="S61">
        <v>11.8387864467205</v>
      </c>
      <c r="T61">
        <v>0.175640030732678</v>
      </c>
      <c r="V61">
        <v>0.43010200579869601</v>
      </c>
      <c r="W61">
        <v>2.4664138430666699E-2</v>
      </c>
      <c r="X61">
        <v>5.6917242532308801E-2</v>
      </c>
      <c r="AA61">
        <v>0.50276897570205603</v>
      </c>
      <c r="AB61">
        <v>3.7755104213097601</v>
      </c>
      <c r="AC61">
        <v>4.23084836156821</v>
      </c>
      <c r="AD61">
        <v>3.79448283548715E-3</v>
      </c>
      <c r="AE61">
        <v>6.2027081445949097</v>
      </c>
    </row>
    <row r="62" spans="1:31" x14ac:dyDescent="0.2">
      <c r="A62">
        <v>61</v>
      </c>
      <c r="B62">
        <v>762</v>
      </c>
      <c r="C62">
        <v>260</v>
      </c>
      <c r="D62">
        <v>0.322291938366422</v>
      </c>
      <c r="E62">
        <v>105.35995539747699</v>
      </c>
      <c r="F62">
        <v>2.1904398318618901</v>
      </c>
      <c r="G62">
        <v>-1724.71048330392</v>
      </c>
      <c r="H62">
        <v>-1438.4651307119818</v>
      </c>
      <c r="I62">
        <v>276.525481903046</v>
      </c>
      <c r="J62">
        <v>142.45005591884799</v>
      </c>
      <c r="K62">
        <v>48.099908458987798</v>
      </c>
      <c r="L62">
        <v>1.574359698046824E-4</v>
      </c>
      <c r="M62">
        <v>1.7863310552913312E-5</v>
      </c>
      <c r="N62" s="1">
        <v>3.69253664304373E-6</v>
      </c>
      <c r="O62" s="1">
        <v>1.03491811570499E-7</v>
      </c>
      <c r="P62" s="1">
        <v>-5.2472060397116903E-7</v>
      </c>
      <c r="Q62">
        <v>72.672058228141594</v>
      </c>
      <c r="R62">
        <v>7.4981049205998102E-2</v>
      </c>
      <c r="S62">
        <v>11.8451075201384</v>
      </c>
      <c r="T62">
        <v>0.176022084233037</v>
      </c>
      <c r="V62">
        <v>0.43007225753783401</v>
      </c>
      <c r="W62">
        <v>2.4677307333619201E-2</v>
      </c>
      <c r="X62">
        <v>5.6947632308354403E-2</v>
      </c>
      <c r="AA62">
        <v>0.50303741872378305</v>
      </c>
      <c r="AB62">
        <v>3.77752627645404</v>
      </c>
      <c r="AC62">
        <v>4.2331073349208097</v>
      </c>
      <c r="AD62">
        <v>3.79650882055668E-3</v>
      </c>
      <c r="AE62">
        <v>6.2026663821819197</v>
      </c>
    </row>
    <row r="63" spans="1:31" x14ac:dyDescent="0.2">
      <c r="A63">
        <v>62</v>
      </c>
      <c r="B63">
        <v>761</v>
      </c>
      <c r="C63">
        <v>260</v>
      </c>
      <c r="D63">
        <v>0.321568921336364</v>
      </c>
      <c r="E63">
        <v>105.136660723761</v>
      </c>
      <c r="F63">
        <v>2.1908981134947698</v>
      </c>
      <c r="G63">
        <v>-1720.7263296987935</v>
      </c>
      <c r="H63">
        <v>-1435.4727063067107</v>
      </c>
      <c r="I63">
        <v>275.83389584884401</v>
      </c>
      <c r="J63">
        <v>142.15716613894401</v>
      </c>
      <c r="K63">
        <v>47.987927907817898</v>
      </c>
      <c r="L63">
        <v>1.5748027457933262E-4</v>
      </c>
      <c r="M63">
        <v>1.7855941337527585E-5</v>
      </c>
      <c r="N63" s="1">
        <v>3.69023292586243E-6</v>
      </c>
      <c r="O63" s="1">
        <v>1.03221368138059E-7</v>
      </c>
      <c r="P63" s="1">
        <v>-5.2396997125241698E-7</v>
      </c>
      <c r="Q63">
        <v>72.625141682699294</v>
      </c>
      <c r="R63">
        <v>7.5140297833471106E-2</v>
      </c>
      <c r="S63">
        <v>11.870264771668699</v>
      </c>
      <c r="T63">
        <v>0.17673201235863101</v>
      </c>
      <c r="V63">
        <v>0.43068325574790001</v>
      </c>
      <c r="W63">
        <v>2.4729718274306398E-2</v>
      </c>
      <c r="X63">
        <v>5.7068580633017903E-2</v>
      </c>
      <c r="AA63">
        <v>0.50410579559164004</v>
      </c>
      <c r="AB63">
        <v>3.78554918199</v>
      </c>
      <c r="AC63">
        <v>4.2420978270540601</v>
      </c>
      <c r="AD63">
        <v>3.8045720422008101E-3</v>
      </c>
      <c r="AE63">
        <v>6.2046823041067398</v>
      </c>
    </row>
    <row r="64" spans="1:31" x14ac:dyDescent="0.2">
      <c r="A64">
        <v>63</v>
      </c>
      <c r="B64">
        <v>760</v>
      </c>
      <c r="C64">
        <v>260</v>
      </c>
      <c r="D64">
        <v>0.320844504670183</v>
      </c>
      <c r="E64">
        <v>104.914472138563</v>
      </c>
      <c r="F64">
        <v>2.1913563902526398</v>
      </c>
      <c r="G64">
        <v>-1716.7618155516643</v>
      </c>
      <c r="H64">
        <v>-1432.4952105424697</v>
      </c>
      <c r="I64">
        <v>275.145530667564</v>
      </c>
      <c r="J64">
        <v>141.86572729718401</v>
      </c>
      <c r="K64">
        <v>47.876499051104801</v>
      </c>
      <c r="L64">
        <v>1.5752460659139013E-4</v>
      </c>
      <c r="M64">
        <v>1.7848568552336385E-5</v>
      </c>
      <c r="N64" s="1">
        <v>3.68795334979215E-6</v>
      </c>
      <c r="O64" s="1">
        <v>1.02952327897969E-7</v>
      </c>
      <c r="P64" s="1">
        <v>-5.2322402822935095E-7</v>
      </c>
      <c r="Q64">
        <v>72.578247594157801</v>
      </c>
      <c r="R64">
        <v>7.5299430469100107E-2</v>
      </c>
      <c r="S64">
        <v>11.895403699424399</v>
      </c>
      <c r="T64">
        <v>0.177444395580726</v>
      </c>
      <c r="V64">
        <v>0.43129113451932299</v>
      </c>
      <c r="W64">
        <v>2.4782091040462501E-2</v>
      </c>
      <c r="X64">
        <v>5.7189440862610498E-2</v>
      </c>
      <c r="AA64">
        <v>0.50517339428636499</v>
      </c>
      <c r="AB64">
        <v>3.7935662438862199</v>
      </c>
      <c r="AC64">
        <v>4.2510817707869704</v>
      </c>
      <c r="AD64">
        <v>3.8126293908401399E-3</v>
      </c>
      <c r="AE64">
        <v>6.2067081755950504</v>
      </c>
    </row>
    <row r="65" spans="1:31" x14ac:dyDescent="0.2">
      <c r="A65">
        <v>64</v>
      </c>
      <c r="B65">
        <v>759</v>
      </c>
      <c r="C65">
        <v>260</v>
      </c>
      <c r="D65">
        <v>0.32011868429976698</v>
      </c>
      <c r="E65">
        <v>104.69338058654201</v>
      </c>
      <c r="F65">
        <v>2.19181466297802</v>
      </c>
      <c r="G65">
        <v>-1712.8167813778271</v>
      </c>
      <c r="H65">
        <v>-1429.5325207692342</v>
      </c>
      <c r="I65">
        <v>274.46036003351497</v>
      </c>
      <c r="J65">
        <v>141.575727603312</v>
      </c>
      <c r="K65">
        <v>47.765617392254804</v>
      </c>
      <c r="L65">
        <v>1.5756896605443842E-4</v>
      </c>
      <c r="M65">
        <v>1.7841192172394962E-5</v>
      </c>
      <c r="N65" s="1">
        <v>3.6856977468816802E-6</v>
      </c>
      <c r="O65" s="1">
        <v>1.0268467960857201E-7</v>
      </c>
      <c r="P65" s="1">
        <v>-5.2248273915457296E-7</v>
      </c>
      <c r="Q65">
        <v>72.531375733047497</v>
      </c>
      <c r="R65">
        <v>7.5458447857357502E-2</v>
      </c>
      <c r="S65">
        <v>11.9205244210129</v>
      </c>
      <c r="T65">
        <v>0.178159248545493</v>
      </c>
      <c r="V65">
        <v>0.43189588651608102</v>
      </c>
      <c r="W65">
        <v>2.4834425877104001E-2</v>
      </c>
      <c r="X65">
        <v>5.7310213562553503E-2</v>
      </c>
      <c r="AA65">
        <v>0.50624021980252198</v>
      </c>
      <c r="AB65">
        <v>3.8015774996490399</v>
      </c>
      <c r="AC65">
        <v>4.2600592081492996</v>
      </c>
      <c r="AD65">
        <v>3.82068090416953E-3</v>
      </c>
      <c r="AE65">
        <v>6.2087440150759301</v>
      </c>
    </row>
    <row r="66" spans="1:31" x14ac:dyDescent="0.2">
      <c r="A66">
        <v>65</v>
      </c>
      <c r="B66">
        <v>758</v>
      </c>
      <c r="C66">
        <v>260</v>
      </c>
      <c r="D66">
        <v>0.31939145614120401</v>
      </c>
      <c r="E66">
        <v>104.473377108731</v>
      </c>
      <c r="F66">
        <v>2.1922729325068602</v>
      </c>
      <c r="G66">
        <v>-1708.8910693926541</v>
      </c>
      <c r="H66">
        <v>-1426.5845156410858</v>
      </c>
      <c r="I66">
        <v>273.77835790289299</v>
      </c>
      <c r="J66">
        <v>141.287155393424</v>
      </c>
      <c r="K66">
        <v>47.655278482714401</v>
      </c>
      <c r="L66">
        <v>1.5761335318672072E-4</v>
      </c>
      <c r="M66">
        <v>1.7833812173023184E-5</v>
      </c>
      <c r="N66" s="1">
        <v>3.6834659512144402E-6</v>
      </c>
      <c r="O66" s="1">
        <v>1.0241841215203E-7</v>
      </c>
      <c r="P66" s="1">
        <v>-5.2174606869249205E-7</v>
      </c>
      <c r="Q66">
        <v>72.4845258698208</v>
      </c>
      <c r="R66">
        <v>7.5617350741692804E-2</v>
      </c>
      <c r="S66">
        <v>11.945627053880401</v>
      </c>
      <c r="T66">
        <v>0.178876585976981</v>
      </c>
      <c r="V66">
        <v>0.432497504323962</v>
      </c>
      <c r="W66">
        <v>2.4886723028910401E-2</v>
      </c>
      <c r="X66">
        <v>5.7430899297492198E-2</v>
      </c>
      <c r="AA66">
        <v>0.50730627712780896</v>
      </c>
      <c r="AB66">
        <v>3.8095829867332598</v>
      </c>
      <c r="AC66">
        <v>4.269030181113</v>
      </c>
      <c r="AD66">
        <v>3.8287266198319702E-3</v>
      </c>
      <c r="AE66">
        <v>6.2107898413357097</v>
      </c>
    </row>
    <row r="67" spans="1:31" x14ac:dyDescent="0.2">
      <c r="A67">
        <v>66</v>
      </c>
      <c r="B67">
        <v>757</v>
      </c>
      <c r="C67">
        <v>260</v>
      </c>
      <c r="D67">
        <v>0.318662816094747</v>
      </c>
      <c r="E67">
        <v>104.25445284503699</v>
      </c>
      <c r="F67">
        <v>2.1927311996682999</v>
      </c>
      <c r="G67">
        <v>-1704.9845235514053</v>
      </c>
      <c r="H67">
        <v>-1423.6510751520645</v>
      </c>
      <c r="I67">
        <v>273.09949851899302</v>
      </c>
      <c r="J67">
        <v>140.99999913292001</v>
      </c>
      <c r="K67">
        <v>47.545477923061398</v>
      </c>
      <c r="L67">
        <v>1.5765776820842489E-4</v>
      </c>
      <c r="M67">
        <v>1.7826428529711202E-5</v>
      </c>
      <c r="N67" s="1">
        <v>3.6812577989607901E-6</v>
      </c>
      <c r="O67" s="1">
        <v>1.0215351453491999E-7</v>
      </c>
      <c r="P67" s="1">
        <v>-5.2101398191876496E-7</v>
      </c>
      <c r="Q67">
        <v>72.437697775719698</v>
      </c>
      <c r="R67">
        <v>7.5776139861791797E-2</v>
      </c>
      <c r="S67">
        <v>11.9707117148786</v>
      </c>
      <c r="T67">
        <v>0.17959642266995501</v>
      </c>
      <c r="V67">
        <v>0.43309598043560799</v>
      </c>
      <c r="W67">
        <v>2.4938982739322602E-2</v>
      </c>
      <c r="X67">
        <v>5.7551498629213403E-2</v>
      </c>
      <c r="AA67">
        <v>0.50837157122467502</v>
      </c>
      <c r="AB67">
        <v>3.8175827424040598</v>
      </c>
      <c r="AC67">
        <v>4.2779947314375599</v>
      </c>
      <c r="AD67">
        <v>3.83676657527998E-3</v>
      </c>
      <c r="AE67">
        <v>6.21284567342415</v>
      </c>
    </row>
    <row r="68" spans="1:31" x14ac:dyDescent="0.2">
      <c r="A68">
        <v>67</v>
      </c>
      <c r="B68">
        <v>756</v>
      </c>
      <c r="C68">
        <v>260</v>
      </c>
      <c r="D68">
        <v>0.317932760044698</v>
      </c>
      <c r="E68">
        <v>104.036599027306</v>
      </c>
      <c r="F68">
        <v>2.1931894652852599</v>
      </c>
      <c r="G68">
        <v>-1701.0969894333377</v>
      </c>
      <c r="H68">
        <v>-1420.7320805393781</v>
      </c>
      <c r="I68">
        <v>272.42375639504399</v>
      </c>
      <c r="J68">
        <v>140.71424740789499</v>
      </c>
      <c r="K68">
        <v>47.4362113597765</v>
      </c>
      <c r="L68">
        <v>1.577022113455974E-4</v>
      </c>
      <c r="M68">
        <v>1.781904121824727E-5</v>
      </c>
      <c r="N68" s="1">
        <v>3.6790731282332301E-6</v>
      </c>
      <c r="O68" s="1">
        <v>1.01889975883136E-7</v>
      </c>
      <c r="P68" s="1">
        <v>-5.2028644430708902E-7</v>
      </c>
      <c r="Q68">
        <v>72.390891221487294</v>
      </c>
      <c r="R68">
        <v>7.5934815957667101E-2</v>
      </c>
      <c r="S68">
        <v>11.9957785209112</v>
      </c>
      <c r="T68">
        <v>0.18031877350140799</v>
      </c>
      <c r="V68">
        <v>0.43369130727215599</v>
      </c>
      <c r="W68">
        <v>2.4991205251888901E-2</v>
      </c>
      <c r="X68">
        <v>5.7672012119752598E-2</v>
      </c>
      <c r="AA68">
        <v>0.50943610705776199</v>
      </c>
      <c r="AB68">
        <v>3.82557680394306</v>
      </c>
      <c r="AC68">
        <v>4.2869529009008298</v>
      </c>
      <c r="AD68">
        <v>3.84480080798238E-3</v>
      </c>
      <c r="AE68">
        <v>6.2149115307888501</v>
      </c>
    </row>
    <row r="69" spans="1:31" x14ac:dyDescent="0.2">
      <c r="A69">
        <v>68</v>
      </c>
      <c r="B69">
        <v>755</v>
      </c>
      <c r="C69">
        <v>260</v>
      </c>
      <c r="D69">
        <v>0.31720128385935797</v>
      </c>
      <c r="E69">
        <v>103.81980698373199</v>
      </c>
      <c r="F69">
        <v>2.1936477301747401</v>
      </c>
      <c r="G69">
        <v>-1697.2283143128079</v>
      </c>
      <c r="H69">
        <v>-1417.8274143460201</v>
      </c>
      <c r="I69">
        <v>271.751106323773</v>
      </c>
      <c r="J69">
        <v>140.429888930403</v>
      </c>
      <c r="K69">
        <v>47.327474487192397</v>
      </c>
      <c r="L69">
        <v>1.5774668282568678E-4</v>
      </c>
      <c r="M69">
        <v>1.7811650214547114E-5</v>
      </c>
      <c r="N69" s="1">
        <v>3.67691177916434E-6</v>
      </c>
      <c r="O69" s="1">
        <v>1.01627785443293E-7</v>
      </c>
      <c r="P69" s="1">
        <v>-5.1956342172894199E-7</v>
      </c>
      <c r="Q69">
        <v>72.344105978687907</v>
      </c>
      <c r="R69">
        <v>7.60933797655588E-2</v>
      </c>
      <c r="S69">
        <v>12.020827588285201</v>
      </c>
      <c r="T69">
        <v>0.18104365341970199</v>
      </c>
      <c r="V69">
        <v>0.43428347716104898</v>
      </c>
      <c r="W69">
        <v>2.5043390808916301E-2</v>
      </c>
      <c r="X69">
        <v>5.7792440328278898E-2</v>
      </c>
      <c r="AA69">
        <v>0.51049988956640202</v>
      </c>
      <c r="AB69">
        <v>3.8335652084418799</v>
      </c>
      <c r="AC69">
        <v>4.29590473106781</v>
      </c>
      <c r="AD69">
        <v>3.85282935521725E-3</v>
      </c>
      <c r="AE69">
        <v>6.2169874331120401</v>
      </c>
    </row>
    <row r="70" spans="1:31" x14ac:dyDescent="0.2">
      <c r="A70">
        <v>69</v>
      </c>
      <c r="B70">
        <v>754</v>
      </c>
      <c r="C70">
        <v>260</v>
      </c>
      <c r="D70">
        <v>0.31646838339093702</v>
      </c>
      <c r="E70">
        <v>103.604068134185</v>
      </c>
      <c r="F70">
        <v>2.19410599514578</v>
      </c>
      <c r="G70">
        <v>-1693.3783470813314</v>
      </c>
      <c r="H70">
        <v>-1414.9369603556934</v>
      </c>
      <c r="I70">
        <v>271.08152336624403</v>
      </c>
      <c r="J70">
        <v>140.14691253274401</v>
      </c>
      <c r="K70">
        <v>47.219263045358097</v>
      </c>
      <c r="L70">
        <v>1.5779118288141767E-4</v>
      </c>
      <c r="M70">
        <v>1.7804255494845923E-5</v>
      </c>
      <c r="N70" s="1">
        <v>3.6747735938602299E-6</v>
      </c>
      <c r="O70" s="1">
        <v>1.0136693258035E-7</v>
      </c>
      <c r="P70" s="1">
        <v>-5.1884488045205796E-7</v>
      </c>
      <c r="Q70">
        <v>72.297341818837893</v>
      </c>
      <c r="R70">
        <v>7.6251832020421198E-2</v>
      </c>
      <c r="S70">
        <v>12.045859033104501</v>
      </c>
      <c r="T70">
        <v>0.181771077451607</v>
      </c>
      <c r="V70">
        <v>0.43487248234905002</v>
      </c>
      <c r="W70">
        <v>2.5095539652288501E-2</v>
      </c>
      <c r="X70">
        <v>5.7912783812985202E-2</v>
      </c>
      <c r="AA70">
        <v>0.51156292368129996</v>
      </c>
      <c r="AB70">
        <v>3.84154799292733</v>
      </c>
      <c r="AC70">
        <v>4.3048502634308701</v>
      </c>
      <c r="AD70">
        <v>3.8608522541975199E-3</v>
      </c>
      <c r="AE70">
        <v>6.2190734004774502</v>
      </c>
    </row>
    <row r="71" spans="1:31" x14ac:dyDescent="0.2">
      <c r="A71">
        <v>70</v>
      </c>
      <c r="B71">
        <v>753</v>
      </c>
      <c r="C71">
        <v>260</v>
      </c>
      <c r="D71">
        <v>0.31573405447546998</v>
      </c>
      <c r="E71">
        <v>103.389373990617</v>
      </c>
      <c r="F71">
        <v>2.1945642610013101</v>
      </c>
      <c r="G71">
        <v>-1689.5469382524252</v>
      </c>
      <c r="H71">
        <v>-1412.0606035992096</v>
      </c>
      <c r="I71">
        <v>270.41498285164499</v>
      </c>
      <c r="J71">
        <v>139.86530716776099</v>
      </c>
      <c r="K71">
        <v>47.111572820129503</v>
      </c>
      <c r="L71">
        <v>1.5783571174839863E-4</v>
      </c>
      <c r="M71">
        <v>1.7796857035563645E-5</v>
      </c>
      <c r="N71" s="1">
        <v>3.67265841636894E-6</v>
      </c>
      <c r="O71" s="1">
        <v>1.01107406775949E-7</v>
      </c>
      <c r="P71" s="1">
        <v>-5.1813078713055196E-7</v>
      </c>
      <c r="Q71">
        <v>72.250598513848402</v>
      </c>
      <c r="R71">
        <v>7.6410173454741798E-2</v>
      </c>
      <c r="S71">
        <v>12.0708729710837</v>
      </c>
      <c r="T71">
        <v>0.182501060699408</v>
      </c>
      <c r="V71">
        <v>0.43545831499558202</v>
      </c>
      <c r="W71">
        <v>2.51476520230773E-2</v>
      </c>
      <c r="X71">
        <v>5.8033043130191302E-2</v>
      </c>
      <c r="AA71">
        <v>0.51262521431661501</v>
      </c>
      <c r="AB71">
        <v>3.8495251943019402</v>
      </c>
      <c r="AC71">
        <v>4.3137895393430998</v>
      </c>
      <c r="AD71">
        <v>3.8688695420111001E-3</v>
      </c>
      <c r="AE71">
        <v>6.2211694532610897</v>
      </c>
    </row>
    <row r="72" spans="1:31" x14ac:dyDescent="0.2">
      <c r="A72">
        <v>71</v>
      </c>
      <c r="B72">
        <v>752</v>
      </c>
      <c r="C72">
        <v>260</v>
      </c>
      <c r="D72">
        <v>0.31499829293274201</v>
      </c>
      <c r="E72">
        <v>103.17571615327</v>
      </c>
      <c r="F72">
        <v>2.1950225285374998</v>
      </c>
      <c r="G72">
        <v>-1685.733939897937</v>
      </c>
      <c r="H72">
        <v>-1409.1982303017844</v>
      </c>
      <c r="I72">
        <v>269.75146036789999</v>
      </c>
      <c r="J72">
        <v>139.585061904143</v>
      </c>
      <c r="K72">
        <v>47.004399641407602</v>
      </c>
      <c r="L72">
        <v>1.5788026966757606E-4</v>
      </c>
      <c r="M72">
        <v>1.7789454813411374E-5</v>
      </c>
      <c r="N72" s="1">
        <v>3.6705660926231502E-6</v>
      </c>
      <c r="O72" s="1">
        <v>1.00849197625843E-7</v>
      </c>
      <c r="P72" s="1">
        <v>-5.1742110879988003E-7</v>
      </c>
      <c r="Q72">
        <v>72.203875835387294</v>
      </c>
      <c r="R72">
        <v>7.6568404800453405E-2</v>
      </c>
      <c r="S72">
        <v>12.095869517849801</v>
      </c>
      <c r="T72">
        <v>0.18323361834649901</v>
      </c>
      <c r="V72">
        <v>0.436040967182725</v>
      </c>
      <c r="W72">
        <v>2.51997281621721E-2</v>
      </c>
      <c r="X72">
        <v>5.8153218835795897E-2</v>
      </c>
      <c r="AA72">
        <v>0.51368676638278099</v>
      </c>
      <c r="AB72">
        <v>3.8574968494402899</v>
      </c>
      <c r="AC72">
        <v>4.3227226001262604</v>
      </c>
      <c r="AD72">
        <v>3.8768812557179099E-3</v>
      </c>
      <c r="AE72">
        <v>6.2232756122300197</v>
      </c>
    </row>
    <row r="73" spans="1:31" x14ac:dyDescent="0.2">
      <c r="A73">
        <v>72</v>
      </c>
      <c r="B73">
        <v>751</v>
      </c>
      <c r="C73">
        <v>260</v>
      </c>
      <c r="D73">
        <v>0.31426109456622597</v>
      </c>
      <c r="E73">
        <v>102.963086313296</v>
      </c>
      <c r="F73">
        <v>2.19548079854333</v>
      </c>
      <c r="G73">
        <v>-1681.9392056898932</v>
      </c>
      <c r="H73">
        <v>-1406.3497279204971</v>
      </c>
      <c r="I73">
        <v>269.090931767217</v>
      </c>
      <c r="J73">
        <v>139.30616592954101</v>
      </c>
      <c r="K73">
        <v>46.897739384289103</v>
      </c>
      <c r="L73">
        <v>1.5792485688253171E-4</v>
      </c>
      <c r="M73">
        <v>1.7782048805301624E-5</v>
      </c>
      <c r="N73" s="1">
        <v>3.66849647049735E-6</v>
      </c>
      <c r="O73" s="1">
        <v>1.0059229484069201E-7</v>
      </c>
      <c r="P73" s="1">
        <v>-5.1671581287707301E-7</v>
      </c>
      <c r="Q73">
        <v>72.157173555760295</v>
      </c>
      <c r="R73">
        <v>7.6726526786135202E-2</v>
      </c>
      <c r="S73">
        <v>12.120848788499501</v>
      </c>
      <c r="T73">
        <v>0.18396876564997</v>
      </c>
      <c r="V73">
        <v>0.43662043089998998</v>
      </c>
      <c r="W73">
        <v>2.5251768309358401E-2</v>
      </c>
      <c r="X73">
        <v>5.8273311483149501E-2</v>
      </c>
      <c r="AA73">
        <v>0.51474758476773397</v>
      </c>
      <c r="AB73">
        <v>3.8654629950480501</v>
      </c>
      <c r="AC73">
        <v>4.3316494869128297</v>
      </c>
      <c r="AD73">
        <v>3.8848874322080602E-3</v>
      </c>
      <c r="AE73">
        <v>6.2253918984505701</v>
      </c>
    </row>
    <row r="74" spans="1:31" x14ac:dyDescent="0.2">
      <c r="A74">
        <v>73</v>
      </c>
      <c r="B74">
        <v>750</v>
      </c>
      <c r="C74">
        <v>260</v>
      </c>
      <c r="D74">
        <v>0.313522455162978</v>
      </c>
      <c r="E74">
        <v>102.75147624874501</v>
      </c>
      <c r="F74">
        <v>2.1959390717995602</v>
      </c>
      <c r="G74">
        <v>-1678.1625908332433</v>
      </c>
      <c r="H74">
        <v>-1403.5149850884004</v>
      </c>
      <c r="I74">
        <v>268.43337315627502</v>
      </c>
      <c r="J74">
        <v>139.02860854561899</v>
      </c>
      <c r="K74">
        <v>46.791587967211001</v>
      </c>
      <c r="L74">
        <v>1.5796947364236341E-4</v>
      </c>
      <c r="M74">
        <v>1.7774638988479052E-5</v>
      </c>
      <c r="N74" s="1">
        <v>3.6664493997536398E-6</v>
      </c>
      <c r="O74" s="1">
        <v>1.00336688243578E-7</v>
      </c>
      <c r="P74" s="1">
        <v>-5.1601486715678596E-7</v>
      </c>
      <c r="Q74">
        <v>72.110491447197603</v>
      </c>
      <c r="R74">
        <v>7.6884540139118204E-2</v>
      </c>
      <c r="S74">
        <v>12.1458108979334</v>
      </c>
      <c r="T74">
        <v>0.18470651794665499</v>
      </c>
      <c r="V74">
        <v>0.43719669805521899</v>
      </c>
      <c r="W74">
        <v>2.53037727040108E-2</v>
      </c>
      <c r="X74">
        <v>5.8393321624656401E-2</v>
      </c>
      <c r="AA74">
        <v>0.51580767435103703</v>
      </c>
      <c r="AB74">
        <v>3.8734236677679301</v>
      </c>
      <c r="AC74">
        <v>4.3405702407647304</v>
      </c>
      <c r="AD74">
        <v>3.8928881083083299E-3</v>
      </c>
      <c r="AE74">
        <v>6.2275183334072404</v>
      </c>
    </row>
    <row r="75" spans="1:31" x14ac:dyDescent="0.2">
      <c r="A75">
        <v>74</v>
      </c>
      <c r="B75">
        <v>749</v>
      </c>
      <c r="C75">
        <v>260</v>
      </c>
      <c r="D75">
        <v>0.312782370493568</v>
      </c>
      <c r="E75">
        <v>102.540877823701</v>
      </c>
      <c r="F75">
        <v>2.1963973490828601</v>
      </c>
      <c r="G75">
        <v>-1674.4039520495539</v>
      </c>
      <c r="H75">
        <v>-1400.6938916032177</v>
      </c>
      <c r="I75">
        <v>267.778760892565</v>
      </c>
      <c r="J75">
        <v>138.752379166699</v>
      </c>
      <c r="K75">
        <v>46.685941351422102</v>
      </c>
      <c r="L75">
        <v>1.5801412019892866E-4</v>
      </c>
      <c r="M75">
        <v>1.7767225340316608E-5</v>
      </c>
      <c r="N75" s="1">
        <v>3.6644247319397098E-6</v>
      </c>
      <c r="O75" s="1">
        <v>1.00082367766517E-7</v>
      </c>
      <c r="P75" s="1">
        <v>-5.1531823979268504E-7</v>
      </c>
      <c r="Q75">
        <v>72.063829282061604</v>
      </c>
      <c r="R75">
        <v>7.7042445585289096E-2</v>
      </c>
      <c r="S75">
        <v>12.170755960822801</v>
      </c>
      <c r="T75">
        <v>0.18544689065308601</v>
      </c>
      <c r="V75">
        <v>0.43776976047329702</v>
      </c>
      <c r="W75">
        <v>2.5355741585028801E-2</v>
      </c>
      <c r="X75">
        <v>5.8513249811622599E-2</v>
      </c>
      <c r="AA75">
        <v>0.51686704000256201</v>
      </c>
      <c r="AB75">
        <v>3.8813789041699298</v>
      </c>
      <c r="AC75">
        <v>4.3494849026624101</v>
      </c>
      <c r="AD75">
        <v>3.9008833207725599E-3</v>
      </c>
      <c r="AE75">
        <v>6.22965493885141</v>
      </c>
    </row>
    <row r="76" spans="1:31" x14ac:dyDescent="0.2">
      <c r="A76">
        <v>75</v>
      </c>
      <c r="B76">
        <v>748</v>
      </c>
      <c r="C76">
        <v>260</v>
      </c>
      <c r="D76">
        <v>0.31204083631200402</v>
      </c>
      <c r="E76">
        <v>102.331282988883</v>
      </c>
      <c r="F76">
        <v>2.1968556311593099</v>
      </c>
      <c r="G76">
        <v>-1670.6631475867712</v>
      </c>
      <c r="H76">
        <v>-1397.8863384360184</v>
      </c>
      <c r="I76">
        <v>267.12707158669298</v>
      </c>
      <c r="J76">
        <v>138.47746732071801</v>
      </c>
      <c r="K76">
        <v>46.580795541344202</v>
      </c>
      <c r="L76">
        <v>1.5805879680953462E-4</v>
      </c>
      <c r="M76">
        <v>1.775980783857502E-5</v>
      </c>
      <c r="N76" s="1">
        <v>3.6624223205349E-6</v>
      </c>
      <c r="O76" s="1">
        <v>9.9829323453427305E-8</v>
      </c>
      <c r="P76" s="1">
        <v>-5.1462589931692696E-7</v>
      </c>
      <c r="Q76">
        <v>72.017186833027196</v>
      </c>
      <c r="R76">
        <v>7.7200243847803801E-2</v>
      </c>
      <c r="S76">
        <v>12.1956840914085</v>
      </c>
      <c r="T76">
        <v>0.18618989926201601</v>
      </c>
      <c r="V76">
        <v>0.43833960988905701</v>
      </c>
      <c r="W76">
        <v>2.5407675190412999E-2</v>
      </c>
      <c r="X76">
        <v>5.8633096593280698E-2</v>
      </c>
      <c r="AA76">
        <v>0.51792568657386195</v>
      </c>
      <c r="AB76">
        <v>3.8893287406864401</v>
      </c>
      <c r="AC76">
        <v>4.3583935134321203</v>
      </c>
      <c r="AD76">
        <v>3.9088731062161403E-3</v>
      </c>
      <c r="AE76">
        <v>6.2318017369830203</v>
      </c>
    </row>
    <row r="77" spans="1:31" x14ac:dyDescent="0.2">
      <c r="A77">
        <v>76</v>
      </c>
      <c r="B77">
        <v>747</v>
      </c>
      <c r="C77">
        <v>260</v>
      </c>
      <c r="D77">
        <v>0.31129784835563601</v>
      </c>
      <c r="E77">
        <v>102.12268377788</v>
      </c>
      <c r="F77">
        <v>2.19731391878996</v>
      </c>
      <c r="G77">
        <v>-1666.9400371549877</v>
      </c>
      <c r="H77">
        <v>-1395.0922176792149</v>
      </c>
      <c r="I77">
        <v>266.478282091626</v>
      </c>
      <c r="J77">
        <v>138.20386264426</v>
      </c>
      <c r="K77">
        <v>46.476146582695797</v>
      </c>
      <c r="L77">
        <v>1.5810350373558608E-4</v>
      </c>
      <c r="M77">
        <v>1.7752386461213724E-5</v>
      </c>
      <c r="N77" s="1">
        <v>3.6604420207634601E-6</v>
      </c>
      <c r="O77" s="1">
        <v>9.9577545454315396E-8</v>
      </c>
      <c r="P77" s="1">
        <v>-5.1393781461385104E-7</v>
      </c>
      <c r="Q77">
        <v>71.970563872640298</v>
      </c>
      <c r="R77">
        <v>7.7357935649077905E-2</v>
      </c>
      <c r="S77">
        <v>12.2205954038127</v>
      </c>
      <c r="T77">
        <v>0.186935559348478</v>
      </c>
      <c r="V77">
        <v>0.43890623795761302</v>
      </c>
      <c r="W77">
        <v>2.5459573757920798E-2</v>
      </c>
      <c r="X77">
        <v>5.8752862518299698E-2</v>
      </c>
      <c r="AA77">
        <v>0.518983618911523</v>
      </c>
      <c r="AB77">
        <v>3.8972732137126398</v>
      </c>
      <c r="AC77">
        <v>4.3672961138584396</v>
      </c>
      <c r="AD77">
        <v>3.9168575012172701E-3</v>
      </c>
      <c r="AE77">
        <v>6.2339587503316398</v>
      </c>
    </row>
    <row r="78" spans="1:31" x14ac:dyDescent="0.2">
      <c r="A78">
        <v>77</v>
      </c>
      <c r="B78">
        <v>746</v>
      </c>
      <c r="C78">
        <v>260</v>
      </c>
      <c r="D78">
        <v>0.31055340234509199</v>
      </c>
      <c r="E78">
        <v>101.91507230881901</v>
      </c>
      <c r="F78">
        <v>2.1977722127278998</v>
      </c>
      <c r="G78">
        <v>-1663.234481953069</v>
      </c>
      <c r="H78">
        <v>-1392.3114225703821</v>
      </c>
      <c r="I78">
        <v>265.83236950663502</v>
      </c>
      <c r="J78">
        <v>137.931554884646</v>
      </c>
      <c r="K78">
        <v>46.371990563262798</v>
      </c>
      <c r="L78">
        <v>1.5814824124223514E-4</v>
      </c>
      <c r="M78">
        <v>1.7744961186450844E-5</v>
      </c>
      <c r="N78" s="1">
        <v>3.6584836896863599E-6</v>
      </c>
      <c r="O78" s="1">
        <v>9.9327024026937905E-8</v>
      </c>
      <c r="P78" s="1">
        <v>-5.1325395492822197E-7</v>
      </c>
      <c r="Q78">
        <v>71.923960173872203</v>
      </c>
      <c r="R78">
        <v>7.7515521708723306E-2</v>
      </c>
      <c r="S78">
        <v>12.245490011716599</v>
      </c>
      <c r="T78">
        <v>0.187683886564151</v>
      </c>
      <c r="V78">
        <v>0.43946963624292601</v>
      </c>
      <c r="W78">
        <v>2.5511437524386098E-2</v>
      </c>
      <c r="X78">
        <v>5.8872548133220702E-2</v>
      </c>
      <c r="AA78">
        <v>0.52004084184332</v>
      </c>
      <c r="AB78">
        <v>3.9052123595023498</v>
      </c>
      <c r="AC78">
        <v>4.37619274456749</v>
      </c>
      <c r="AD78">
        <v>3.9248365422118901E-3</v>
      </c>
      <c r="AE78">
        <v>6.2361260017823001</v>
      </c>
    </row>
    <row r="79" spans="1:31" x14ac:dyDescent="0.2">
      <c r="A79">
        <v>78</v>
      </c>
      <c r="B79">
        <v>745</v>
      </c>
      <c r="C79">
        <v>260</v>
      </c>
      <c r="D79">
        <v>0.309807493984187</v>
      </c>
      <c r="E79">
        <v>101.708440781115</v>
      </c>
      <c r="F79">
        <v>2.19823051371776</v>
      </c>
      <c r="G79">
        <v>-1659.5463446140411</v>
      </c>
      <c r="H79">
        <v>-1389.5438474470989</v>
      </c>
      <c r="I79">
        <v>265.18931116922101</v>
      </c>
      <c r="J79">
        <v>137.66053389589399</v>
      </c>
      <c r="K79">
        <v>46.268323611385398</v>
      </c>
      <c r="L79">
        <v>1.5819300960046479E-4</v>
      </c>
      <c r="M79">
        <v>1.773753199285146E-5</v>
      </c>
      <c r="N79" s="1">
        <v>3.6565471861514299E-6</v>
      </c>
      <c r="O79" s="1">
        <v>9.9077749534546106E-8</v>
      </c>
      <c r="P79" s="1">
        <v>-5.1257428986062495E-7</v>
      </c>
      <c r="Q79">
        <v>71.877375509574193</v>
      </c>
      <c r="R79">
        <v>7.7673002745188499E-2</v>
      </c>
      <c r="S79">
        <v>12.2703680286169</v>
      </c>
      <c r="T79">
        <v>0.18843489664233301</v>
      </c>
      <c r="V79">
        <v>0.44002979622645</v>
      </c>
      <c r="W79">
        <v>2.5563266726260601E-2</v>
      </c>
      <c r="X79">
        <v>5.8992153983701397E-2</v>
      </c>
      <c r="AA79">
        <v>0.52109736018922603</v>
      </c>
      <c r="AB79">
        <v>3.9131462142508302</v>
      </c>
      <c r="AC79">
        <v>4.3850834461197898</v>
      </c>
      <c r="AD79">
        <v>3.93281026557709E-3</v>
      </c>
      <c r="AE79">
        <v>6.2383035146594699</v>
      </c>
    </row>
    <row r="80" spans="1:31" x14ac:dyDescent="0.2">
      <c r="A80">
        <v>79</v>
      </c>
      <c r="B80">
        <v>744</v>
      </c>
      <c r="C80">
        <v>260</v>
      </c>
      <c r="D80">
        <v>0.30906011895984098</v>
      </c>
      <c r="E80">
        <v>101.50278147415</v>
      </c>
      <c r="F80">
        <v>2.1986888224987502</v>
      </c>
      <c r="G80">
        <v>-1655.8754891815563</v>
      </c>
      <c r="H80">
        <v>-1386.7893877291024</v>
      </c>
      <c r="I80">
        <v>264.549084650694</v>
      </c>
      <c r="J80">
        <v>137.39078963687001</v>
      </c>
      <c r="K80">
        <v>46.1651418952478</v>
      </c>
      <c r="L80">
        <v>1.5823780908541158E-4</v>
      </c>
      <c r="M80">
        <v>1.7730098859188964E-5</v>
      </c>
      <c r="N80" s="1">
        <v>3.6546323707042999E-6</v>
      </c>
      <c r="O80" s="1">
        <v>9.8829712442776606E-8</v>
      </c>
      <c r="P80" s="1">
        <v>-5.1189878935233804E-7</v>
      </c>
      <c r="Q80">
        <v>71.830809652514603</v>
      </c>
      <c r="R80">
        <v>7.7830379475978498E-2</v>
      </c>
      <c r="S80">
        <v>12.295229567861499</v>
      </c>
      <c r="T80">
        <v>0.18918860539893401</v>
      </c>
      <c r="V80">
        <v>0.44058670930787802</v>
      </c>
      <c r="W80">
        <v>2.56150615996848E-2</v>
      </c>
      <c r="X80">
        <v>5.9111680614682201E-2</v>
      </c>
      <c r="AA80">
        <v>0.52215317876287903</v>
      </c>
      <c r="AB80">
        <v>3.9210748141057898</v>
      </c>
      <c r="AC80">
        <v>4.3939682590225297</v>
      </c>
      <c r="AD80">
        <v>3.9407787076422198E-3</v>
      </c>
      <c r="AE80">
        <v>6.2404913126278796</v>
      </c>
    </row>
    <row r="81" spans="1:31" x14ac:dyDescent="0.2">
      <c r="A81">
        <v>80</v>
      </c>
      <c r="B81">
        <v>743</v>
      </c>
      <c r="C81">
        <v>260</v>
      </c>
      <c r="D81">
        <v>0.30831127294198801</v>
      </c>
      <c r="E81">
        <v>101.29808674942799</v>
      </c>
      <c r="F81">
        <v>2.1991471397997899</v>
      </c>
      <c r="G81">
        <v>-1652.221781145025</v>
      </c>
      <c r="H81">
        <v>-1384.0479399489263</v>
      </c>
      <c r="I81">
        <v>263.911667761746</v>
      </c>
      <c r="J81">
        <v>137.122312174066</v>
      </c>
      <c r="K81">
        <v>46.062441623915497</v>
      </c>
      <c r="L81">
        <v>1.5828263997684969E-4</v>
      </c>
      <c r="M81">
        <v>1.7722661764584602E-5</v>
      </c>
      <c r="N81" s="1">
        <v>3.6527391057304101E-6</v>
      </c>
      <c r="O81" s="1">
        <v>9.8582903322624694E-8</v>
      </c>
      <c r="P81" s="1">
        <v>-5.1122742370081402E-7</v>
      </c>
      <c r="Q81">
        <v>71.784262375984596</v>
      </c>
      <c r="R81">
        <v>7.7987652615216299E-2</v>
      </c>
      <c r="S81">
        <v>12.3200747422632</v>
      </c>
      <c r="T81">
        <v>0.189945028725823</v>
      </c>
      <c r="V81">
        <v>0.44114036679209601</v>
      </c>
      <c r="W81">
        <v>2.5666822379686899E-2</v>
      </c>
      <c r="X81">
        <v>5.9231128568534602E-2</v>
      </c>
      <c r="AA81">
        <v>0.52320830235523297</v>
      </c>
      <c r="AB81">
        <v>3.92899819504458</v>
      </c>
      <c r="AC81">
        <v>4.4028472235920999</v>
      </c>
      <c r="AD81">
        <v>3.9487419045654499E-3</v>
      </c>
      <c r="AE81">
        <v>6.2426894197742797</v>
      </c>
    </row>
    <row r="82" spans="1:31" x14ac:dyDescent="0.2">
      <c r="A82">
        <v>81</v>
      </c>
      <c r="B82">
        <v>742</v>
      </c>
      <c r="C82">
        <v>260</v>
      </c>
      <c r="D82">
        <v>0.30756095158350699</v>
      </c>
      <c r="E82">
        <v>77.446349202747797</v>
      </c>
      <c r="F82">
        <v>2.20218409499078</v>
      </c>
      <c r="G82">
        <v>-1261.350892849287</v>
      </c>
      <c r="H82">
        <v>-1056.6338612097222</v>
      </c>
      <c r="I82">
        <v>201.661854543234</v>
      </c>
      <c r="J82">
        <v>104.839631261202</v>
      </c>
      <c r="K82">
        <v>35.1679722775729</v>
      </c>
      <c r="L82">
        <v>1.5854473154048126E-4</v>
      </c>
      <c r="M82">
        <v>1.7717978771263745E-5</v>
      </c>
      <c r="N82" s="1">
        <v>2.7952582086346701E-6</v>
      </c>
      <c r="O82" s="1">
        <v>7.5293036125964397E-8</v>
      </c>
      <c r="P82" s="1">
        <v>-3.9088370586425001E-7</v>
      </c>
      <c r="Q82">
        <v>71.603885407971603</v>
      </c>
      <c r="R82">
        <v>0.102006099465314</v>
      </c>
      <c r="S82">
        <v>12.2993321798522</v>
      </c>
      <c r="T82">
        <v>0.24811468226087399</v>
      </c>
      <c r="V82">
        <v>0.577297875135384</v>
      </c>
      <c r="W82">
        <v>3.3571627672117299E-2</v>
      </c>
      <c r="X82">
        <v>7.7472986935721494E-2</v>
      </c>
      <c r="AA82">
        <v>0.51026167429730096</v>
      </c>
      <c r="AB82">
        <v>3.9157089353419399</v>
      </c>
      <c r="AC82">
        <v>4.3858534782745702</v>
      </c>
      <c r="AD82">
        <v>5.1648657957090597E-3</v>
      </c>
      <c r="AE82">
        <v>6.2413301869970699</v>
      </c>
    </row>
    <row r="83" spans="1:31" x14ac:dyDescent="0.2">
      <c r="A83">
        <v>82</v>
      </c>
      <c r="B83">
        <v>741</v>
      </c>
      <c r="C83">
        <v>260</v>
      </c>
      <c r="D83">
        <v>0.30680915052014102</v>
      </c>
      <c r="E83">
        <v>41.335607078126003</v>
      </c>
      <c r="F83">
        <v>2.2043890297695499</v>
      </c>
      <c r="G83">
        <v>-672.86699195423739</v>
      </c>
      <c r="H83">
        <v>-563.75529223286071</v>
      </c>
      <c r="I83">
        <v>107.58931097113501</v>
      </c>
      <c r="J83">
        <v>55.990116881525203</v>
      </c>
      <c r="K83">
        <v>18.7515028064022</v>
      </c>
      <c r="L83">
        <v>1.5876928175655758E-4</v>
      </c>
      <c r="M83">
        <v>1.7719467808983172E-5</v>
      </c>
      <c r="N83" s="1">
        <v>1.4942323614101501E-6</v>
      </c>
      <c r="O83" s="1">
        <v>4.0166380424223798E-8</v>
      </c>
      <c r="P83" s="1">
        <v>-2.0858462807288299E-7</v>
      </c>
      <c r="Q83">
        <v>71.440695867379802</v>
      </c>
      <c r="R83">
        <v>0.125033981048528</v>
      </c>
      <c r="S83">
        <v>12.349369316116601</v>
      </c>
      <c r="T83">
        <v>0.26554708730598298</v>
      </c>
      <c r="V83">
        <v>0.61904996888320696</v>
      </c>
      <c r="W83">
        <v>6.2899765693170101E-2</v>
      </c>
      <c r="X83">
        <v>0.13829602665522001</v>
      </c>
      <c r="AA83">
        <v>0.49670926591237802</v>
      </c>
      <c r="AB83">
        <v>3.8904982473927698</v>
      </c>
      <c r="AC83">
        <v>4.3583740986095103</v>
      </c>
      <c r="AD83">
        <v>9.6768870297195293E-3</v>
      </c>
      <c r="AE83">
        <v>6.2438494879729403</v>
      </c>
    </row>
    <row r="84" spans="1:31" x14ac:dyDescent="0.2">
      <c r="A84">
        <v>83</v>
      </c>
      <c r="B84">
        <v>740</v>
      </c>
      <c r="C84">
        <v>260</v>
      </c>
      <c r="D84">
        <v>0.30605586537038199</v>
      </c>
      <c r="E84">
        <v>15.6802424278029</v>
      </c>
      <c r="F84">
        <v>2.2068520656795099</v>
      </c>
      <c r="G84">
        <v>-255.18844030108528</v>
      </c>
      <c r="H84">
        <v>-213.87523938091118</v>
      </c>
      <c r="I84">
        <v>40.776983586017998</v>
      </c>
      <c r="J84">
        <v>21.2511532202879</v>
      </c>
      <c r="K84">
        <v>7.1052530759350203</v>
      </c>
      <c r="L84">
        <v>1.5891548194540183E-4</v>
      </c>
      <c r="M84">
        <v>1.7738017442698417E-5</v>
      </c>
      <c r="N84" s="1">
        <v>5.6770692117036299E-7</v>
      </c>
      <c r="O84" s="1">
        <v>1.5229203958734301E-8</v>
      </c>
      <c r="P84" s="1">
        <v>-7.8954322110974402E-8</v>
      </c>
      <c r="Q84">
        <v>71.166700877528498</v>
      </c>
      <c r="R84">
        <v>0.13510925113634001</v>
      </c>
      <c r="S84">
        <v>12.6313684070909</v>
      </c>
      <c r="T84">
        <v>0.257854386921893</v>
      </c>
      <c r="V84">
        <v>0.60539811738470595</v>
      </c>
      <c r="W84">
        <v>0.16432713375479899</v>
      </c>
      <c r="X84">
        <v>0.14544937508140099</v>
      </c>
      <c r="AA84">
        <v>0.487438152906566</v>
      </c>
      <c r="AB84">
        <v>3.7675124328020702</v>
      </c>
      <c r="AC84">
        <v>4.3668855655372099</v>
      </c>
      <c r="AD84">
        <v>2.5509809675536E-2</v>
      </c>
      <c r="AE84">
        <v>6.2464464901799399</v>
      </c>
    </row>
    <row r="85" spans="1:31" x14ac:dyDescent="0.2">
      <c r="A85">
        <v>84</v>
      </c>
      <c r="B85">
        <v>739</v>
      </c>
      <c r="C85">
        <v>260</v>
      </c>
      <c r="D85">
        <v>0.30530109173541498</v>
      </c>
      <c r="E85">
        <v>9.7771398987900398</v>
      </c>
      <c r="F85">
        <v>2.20925586033173</v>
      </c>
      <c r="G85">
        <v>-159.07139225857324</v>
      </c>
      <c r="H85">
        <v>-133.3600658096455</v>
      </c>
      <c r="I85">
        <v>25.402683840268502</v>
      </c>
      <c r="J85">
        <v>13.2575244049885</v>
      </c>
      <c r="K85">
        <v>4.4255353462418503</v>
      </c>
      <c r="L85">
        <v>1.5907147098953261E-4</v>
      </c>
      <c r="M85">
        <v>1.7757687918927199E-5</v>
      </c>
      <c r="N85" s="1">
        <v>3.5462119956860903E-7</v>
      </c>
      <c r="O85" s="1">
        <v>9.4933709321429798E-9</v>
      </c>
      <c r="P85" s="1">
        <v>-4.9142696839020103E-8</v>
      </c>
      <c r="Q85">
        <v>70.896833845313296</v>
      </c>
      <c r="R85">
        <v>0.13425129691559201</v>
      </c>
      <c r="S85">
        <v>12.9078468053203</v>
      </c>
      <c r="T85">
        <v>0.254647586629764</v>
      </c>
      <c r="V85">
        <v>0.60204717882025005</v>
      </c>
      <c r="W85">
        <v>0.26100447920563002</v>
      </c>
      <c r="X85">
        <v>0.144922997987397</v>
      </c>
      <c r="AA85">
        <v>0.48586998191305503</v>
      </c>
      <c r="AB85">
        <v>3.6445262877929001</v>
      </c>
      <c r="AC85">
        <v>4.3765905498275401</v>
      </c>
      <c r="AD85">
        <v>4.0911759895027801E-2</v>
      </c>
      <c r="AE85">
        <v>6.25054723037917</v>
      </c>
    </row>
    <row r="86" spans="1:31" x14ac:dyDescent="0.2">
      <c r="A86">
        <v>85</v>
      </c>
      <c r="B86">
        <v>763</v>
      </c>
      <c r="C86">
        <v>240</v>
      </c>
      <c r="D86">
        <v>0.34424600685229401</v>
      </c>
      <c r="E86">
        <v>105.091354165035</v>
      </c>
      <c r="F86">
        <v>2.1909511873369198</v>
      </c>
      <c r="G86">
        <v>-1719.8130077643252</v>
      </c>
      <c r="H86">
        <v>-1435.8093937226015</v>
      </c>
      <c r="I86">
        <v>274.09507700788902</v>
      </c>
      <c r="J86">
        <v>141.79573920660499</v>
      </c>
      <c r="K86">
        <v>47.966086498153501</v>
      </c>
      <c r="L86">
        <v>1.5397374853442299E-4</v>
      </c>
      <c r="M86">
        <v>1.7825653339881439E-5</v>
      </c>
      <c r="N86" s="1">
        <v>3.5285571937011201E-6</v>
      </c>
      <c r="O86" s="1">
        <v>1.004194724303E-7</v>
      </c>
      <c r="P86" s="1">
        <v>-5.1054727095911698E-7</v>
      </c>
      <c r="Q86">
        <v>72.907995723134107</v>
      </c>
      <c r="R86">
        <v>7.5172692014167902E-2</v>
      </c>
      <c r="S86">
        <v>11.8753822321121</v>
      </c>
      <c r="T86">
        <v>0.17790832157640199</v>
      </c>
      <c r="V86">
        <v>0.42987903257153098</v>
      </c>
      <c r="W86">
        <v>2.4740379650232201E-2</v>
      </c>
      <c r="X86">
        <v>5.70931838082296E-2</v>
      </c>
      <c r="AA86">
        <v>0.50432312363935305</v>
      </c>
      <c r="AB86">
        <v>3.7871811926124801</v>
      </c>
      <c r="AC86">
        <v>4.2439266630782804</v>
      </c>
      <c r="AD86">
        <v>3.8062122538818099E-3</v>
      </c>
      <c r="AE86">
        <v>5.9125912435491204</v>
      </c>
    </row>
    <row r="87" spans="1:31" x14ac:dyDescent="0.2">
      <c r="A87">
        <v>86</v>
      </c>
      <c r="B87">
        <v>762</v>
      </c>
      <c r="C87">
        <v>240</v>
      </c>
      <c r="D87">
        <v>0.34354489687485301</v>
      </c>
      <c r="E87">
        <v>105.012846418008</v>
      </c>
      <c r="F87">
        <v>2.1913460193404299</v>
      </c>
      <c r="G87">
        <v>-1718.2322804475968</v>
      </c>
      <c r="H87">
        <v>-1434.8490184508889</v>
      </c>
      <c r="I87">
        <v>273.76057769087402</v>
      </c>
      <c r="J87">
        <v>141.683374587472</v>
      </c>
      <c r="K87">
        <v>47.921617805304599</v>
      </c>
      <c r="L87">
        <v>1.5394772590240154E-4</v>
      </c>
      <c r="M87">
        <v>1.7817216572344448E-5</v>
      </c>
      <c r="N87" s="1">
        <v>3.5301034832546799E-6</v>
      </c>
      <c r="O87" s="1">
        <v>1.00267448523144E-7</v>
      </c>
      <c r="P87" s="1">
        <v>-5.1016413298916499E-7</v>
      </c>
      <c r="Q87">
        <v>72.892021160733293</v>
      </c>
      <c r="R87">
        <v>7.5228891221115493E-2</v>
      </c>
      <c r="S87">
        <v>11.884260284045499</v>
      </c>
      <c r="T87">
        <v>0.17833987184195699</v>
      </c>
      <c r="V87">
        <v>0.42993177595773202</v>
      </c>
      <c r="W87">
        <v>2.47588755917591E-2</v>
      </c>
      <c r="X87">
        <v>5.7135866750215702E-2</v>
      </c>
      <c r="AA87">
        <v>0.50470015629355802</v>
      </c>
      <c r="AB87">
        <v>3.79001249443083</v>
      </c>
      <c r="AC87">
        <v>4.2470994284324997</v>
      </c>
      <c r="AD87">
        <v>3.8090577833474301E-3</v>
      </c>
      <c r="AE87">
        <v>5.9127021369180603</v>
      </c>
    </row>
    <row r="88" spans="1:31" x14ac:dyDescent="0.2">
      <c r="A88">
        <v>87</v>
      </c>
      <c r="B88">
        <v>761</v>
      </c>
      <c r="C88">
        <v>240</v>
      </c>
      <c r="D88">
        <v>0.34284243098196698</v>
      </c>
      <c r="E88">
        <v>104.795492561003</v>
      </c>
      <c r="F88">
        <v>2.1918036850566698</v>
      </c>
      <c r="G88">
        <v>-1714.3491969394461</v>
      </c>
      <c r="H88">
        <v>-1431.9367673278643</v>
      </c>
      <c r="I88">
        <v>273.08652479000301</v>
      </c>
      <c r="J88">
        <v>141.39833551626899</v>
      </c>
      <c r="K88">
        <v>47.812444734663103</v>
      </c>
      <c r="L88">
        <v>1.5398838642118054E-4</v>
      </c>
      <c r="M88">
        <v>1.78097204100496E-5</v>
      </c>
      <c r="N88" s="1">
        <v>3.5278998477395501E-6</v>
      </c>
      <c r="O88" s="1">
        <v>1.00007887572198E-7</v>
      </c>
      <c r="P88" s="1">
        <v>-5.0943797747830305E-7</v>
      </c>
      <c r="Q88">
        <v>72.846357946999703</v>
      </c>
      <c r="R88">
        <v>7.5384921688319506E-2</v>
      </c>
      <c r="S88">
        <v>11.9089091477267</v>
      </c>
      <c r="T88">
        <v>0.179049403831058</v>
      </c>
      <c r="V88">
        <v>0.43051787416797499</v>
      </c>
      <c r="W88">
        <v>2.48102273910915E-2</v>
      </c>
      <c r="X88">
        <v>5.7254370902524401E-2</v>
      </c>
      <c r="AA88">
        <v>0.50574694297226697</v>
      </c>
      <c r="AB88">
        <v>3.79787326986713</v>
      </c>
      <c r="AC88">
        <v>4.2559082370871701</v>
      </c>
      <c r="AD88">
        <v>3.8169580601676101E-3</v>
      </c>
      <c r="AE88">
        <v>5.9143706993057803</v>
      </c>
    </row>
    <row r="89" spans="1:31" x14ac:dyDescent="0.2">
      <c r="A89">
        <v>88</v>
      </c>
      <c r="B89">
        <v>760</v>
      </c>
      <c r="C89">
        <v>240</v>
      </c>
      <c r="D89">
        <v>0.34213860523641398</v>
      </c>
      <c r="E89">
        <v>104.57919319048</v>
      </c>
      <c r="F89">
        <v>2.1922614053290199</v>
      </c>
      <c r="G89">
        <v>-1710.4848472381082</v>
      </c>
      <c r="H89">
        <v>-1429.0387523387365</v>
      </c>
      <c r="I89">
        <v>272.415520398171</v>
      </c>
      <c r="J89">
        <v>141.11467458020601</v>
      </c>
      <c r="K89">
        <v>47.703797063737802</v>
      </c>
      <c r="L89">
        <v>1.5402903602335422E-4</v>
      </c>
      <c r="M89">
        <v>1.7802218326232249E-5</v>
      </c>
      <c r="N89" s="1">
        <v>3.5257171245643101E-6</v>
      </c>
      <c r="O89" s="1">
        <v>9.9749615224034798E-8</v>
      </c>
      <c r="P89" s="1">
        <v>-5.0871604004752898E-7</v>
      </c>
      <c r="Q89">
        <v>72.800719254703097</v>
      </c>
      <c r="R89">
        <v>7.5540839042533503E-2</v>
      </c>
      <c r="S89">
        <v>11.933540142418201</v>
      </c>
      <c r="T89">
        <v>0.17976139005015501</v>
      </c>
      <c r="V89">
        <v>0.43110087631295502</v>
      </c>
      <c r="W89">
        <v>2.4861541963364299E-2</v>
      </c>
      <c r="X89">
        <v>5.7372789146231902E-2</v>
      </c>
      <c r="AA89">
        <v>0.50679297079167696</v>
      </c>
      <c r="AB89">
        <v>3.8057283466996599</v>
      </c>
      <c r="AC89">
        <v>4.2647106598693298</v>
      </c>
      <c r="AD89">
        <v>3.8248526097479801E-3</v>
      </c>
      <c r="AE89">
        <v>5.9160463363929399</v>
      </c>
    </row>
    <row r="90" spans="1:31" x14ac:dyDescent="0.2">
      <c r="A90">
        <v>89</v>
      </c>
      <c r="B90">
        <v>759</v>
      </c>
      <c r="C90">
        <v>240</v>
      </c>
      <c r="D90">
        <v>0.34143341568570601</v>
      </c>
      <c r="E90">
        <v>104.363939877028</v>
      </c>
      <c r="F90">
        <v>2.19271918146605</v>
      </c>
      <c r="G90">
        <v>-1706.6390826962684</v>
      </c>
      <c r="H90">
        <v>-1426.1548593107298</v>
      </c>
      <c r="I90">
        <v>271.74753997533099</v>
      </c>
      <c r="J90">
        <v>140.83238080252301</v>
      </c>
      <c r="K90">
        <v>47.595670598936699</v>
      </c>
      <c r="L90">
        <v>1.5406967451118584E-4</v>
      </c>
      <c r="M90">
        <v>1.7794710271810313E-5</v>
      </c>
      <c r="N90" s="1">
        <v>3.5235551527685799E-6</v>
      </c>
      <c r="O90" s="1">
        <v>9.9492621051616697E-8</v>
      </c>
      <c r="P90" s="1">
        <v>-5.0799828671660001E-7</v>
      </c>
      <c r="Q90">
        <v>72.755104897704399</v>
      </c>
      <c r="R90">
        <v>7.5696643968296604E-2</v>
      </c>
      <c r="S90">
        <v>11.9581533762607</v>
      </c>
      <c r="T90">
        <v>0.18047584497435401</v>
      </c>
      <c r="V90">
        <v>0.43168077474003402</v>
      </c>
      <c r="W90">
        <v>2.4912819533868501E-2</v>
      </c>
      <c r="X90">
        <v>5.7491122001242498E-2</v>
      </c>
      <c r="AA90">
        <v>0.50783824434426394</v>
      </c>
      <c r="AB90">
        <v>3.8135777594153</v>
      </c>
      <c r="AC90">
        <v>4.2735067354250198</v>
      </c>
      <c r="AD90">
        <v>3.8327414667484998E-3</v>
      </c>
      <c r="AE90">
        <v>5.9177290401656304</v>
      </c>
    </row>
    <row r="91" spans="1:31" x14ac:dyDescent="0.2">
      <c r="A91">
        <v>90</v>
      </c>
      <c r="B91">
        <v>758</v>
      </c>
      <c r="C91">
        <v>240</v>
      </c>
      <c r="D91">
        <v>0.34072685836202499</v>
      </c>
      <c r="E91">
        <v>104.14972428138699</v>
      </c>
      <c r="F91">
        <v>2.19317701477285</v>
      </c>
      <c r="G91">
        <v>-1702.8117562554296</v>
      </c>
      <c r="H91">
        <v>-1423.2849752925092</v>
      </c>
      <c r="I91">
        <v>271.082559242515</v>
      </c>
      <c r="J91">
        <v>140.551443324113</v>
      </c>
      <c r="K91">
        <v>47.488061191528701</v>
      </c>
      <c r="L91">
        <v>1.5411030168661967E-4</v>
      </c>
      <c r="M91">
        <v>1.7787196197749884E-5</v>
      </c>
      <c r="N91" s="1">
        <v>3.5214137731177301E-6</v>
      </c>
      <c r="O91" s="1">
        <v>9.9236894739193004E-8</v>
      </c>
      <c r="P91" s="1">
        <v>-5.0728468386756695E-7</v>
      </c>
      <c r="Q91">
        <v>72.709514690575404</v>
      </c>
      <c r="R91">
        <v>7.5852337147395796E-2</v>
      </c>
      <c r="S91">
        <v>11.982748956959201</v>
      </c>
      <c r="T91">
        <v>0.18119278315026899</v>
      </c>
      <c r="V91">
        <v>0.43225756171076801</v>
      </c>
      <c r="W91">
        <v>2.4964060326989598E-2</v>
      </c>
      <c r="X91">
        <v>5.7609369985368801E-2</v>
      </c>
      <c r="AA91">
        <v>0.50888276820404299</v>
      </c>
      <c r="AB91">
        <v>3.8214215423623199</v>
      </c>
      <c r="AC91">
        <v>4.2822965022450301</v>
      </c>
      <c r="AD91">
        <v>3.8406246656902E-3</v>
      </c>
      <c r="AE91">
        <v>5.9194188026674297</v>
      </c>
    </row>
    <row r="92" spans="1:31" x14ac:dyDescent="0.2">
      <c r="A92">
        <v>91</v>
      </c>
      <c r="B92">
        <v>757</v>
      </c>
      <c r="C92">
        <v>240</v>
      </c>
      <c r="D92">
        <v>0.340018929282145</v>
      </c>
      <c r="E92">
        <v>103.936538151821</v>
      </c>
      <c r="F92">
        <v>2.19363490655586</v>
      </c>
      <c r="G92">
        <v>-1699.0027224002611</v>
      </c>
      <c r="H92">
        <v>-1420.4289885180222</v>
      </c>
      <c r="I92">
        <v>270.42055417389503</v>
      </c>
      <c r="J92">
        <v>140.271851399984</v>
      </c>
      <c r="K92">
        <v>47.380964736291503</v>
      </c>
      <c r="L92">
        <v>1.5415091734947279E-4</v>
      </c>
      <c r="M92">
        <v>1.7779676054877851E-5</v>
      </c>
      <c r="N92" s="1">
        <v>3.5192928279586298E-6</v>
      </c>
      <c r="O92" s="1">
        <v>9.8982426077540006E-8</v>
      </c>
      <c r="P92" s="1">
        <v>-5.0657519822231499E-7</v>
      </c>
      <c r="Q92">
        <v>72.663948448420797</v>
      </c>
      <c r="R92">
        <v>7.6007919259928905E-2</v>
      </c>
      <c r="S92">
        <v>12.007326991952199</v>
      </c>
      <c r="T92">
        <v>0.18191221919928999</v>
      </c>
      <c r="V92">
        <v>0.43283122940609098</v>
      </c>
      <c r="W92">
        <v>2.50152645665573E-2</v>
      </c>
      <c r="X92">
        <v>5.7727533615141401E-2</v>
      </c>
      <c r="AA92">
        <v>0.50992654693369499</v>
      </c>
      <c r="AB92">
        <v>3.82925972980384</v>
      </c>
      <c r="AC92">
        <v>4.2910799987247099</v>
      </c>
      <c r="AD92">
        <v>3.84850224100824E-3</v>
      </c>
      <c r="AE92">
        <v>5.9211156158766203</v>
      </c>
    </row>
    <row r="93" spans="1:31" x14ac:dyDescent="0.2">
      <c r="A93">
        <v>92</v>
      </c>
      <c r="B93">
        <v>756</v>
      </c>
      <c r="C93">
        <v>240</v>
      </c>
      <c r="D93">
        <v>0.33930962444735902</v>
      </c>
      <c r="E93">
        <v>103.724373324674</v>
      </c>
      <c r="F93">
        <v>2.1940928581208601</v>
      </c>
      <c r="G93">
        <v>-1695.2118371669035</v>
      </c>
      <c r="H93">
        <v>-1417.586788414912</v>
      </c>
      <c r="I93">
        <v>269.76150099790198</v>
      </c>
      <c r="J93">
        <v>139.99359439994299</v>
      </c>
      <c r="K93">
        <v>47.2743771717616</v>
      </c>
      <c r="L93">
        <v>1.541915212972999E-4</v>
      </c>
      <c r="M93">
        <v>1.7772149793925641E-5</v>
      </c>
      <c r="N93" s="1">
        <v>3.5171921612676199E-6</v>
      </c>
      <c r="O93" s="1">
        <v>9.8729204964493E-8</v>
      </c>
      <c r="P93" s="1">
        <v>-5.0586979684623199E-7</v>
      </c>
      <c r="Q93">
        <v>72.618405987210096</v>
      </c>
      <c r="R93">
        <v>7.6163390983061394E-2</v>
      </c>
      <c r="S93">
        <v>12.031887588214801</v>
      </c>
      <c r="T93">
        <v>0.18263416781443401</v>
      </c>
      <c r="V93">
        <v>0.433401769919536</v>
      </c>
      <c r="W93">
        <v>2.50664324754361E-2</v>
      </c>
      <c r="X93">
        <v>5.7845613404863203E-2</v>
      </c>
      <c r="AA93">
        <v>0.51096958507622903</v>
      </c>
      <c r="AB93">
        <v>3.8370923558553001</v>
      </c>
      <c r="AC93">
        <v>4.2998572630938998</v>
      </c>
      <c r="AD93">
        <v>3.8563742269894399E-3</v>
      </c>
      <c r="AE93">
        <v>5.9228194717253002</v>
      </c>
    </row>
    <row r="94" spans="1:31" x14ac:dyDescent="0.2">
      <c r="A94">
        <v>93</v>
      </c>
      <c r="B94">
        <v>755</v>
      </c>
      <c r="C94">
        <v>240</v>
      </c>
      <c r="D94">
        <v>0.338598939843407</v>
      </c>
      <c r="E94">
        <v>103.51322172206601</v>
      </c>
      <c r="F94">
        <v>2.19455087077209</v>
      </c>
      <c r="G94">
        <v>-1691.438958103801</v>
      </c>
      <c r="H94">
        <v>-1414.7582655726019</v>
      </c>
      <c r="I94">
        <v>269.10537619141002</v>
      </c>
      <c r="J94">
        <v>139.71666180572601</v>
      </c>
      <c r="K94">
        <v>47.168294479156103</v>
      </c>
      <c r="L94">
        <v>1.5423211332685601E-4</v>
      </c>
      <c r="M94">
        <v>1.7764617365607578E-5</v>
      </c>
      <c r="N94" s="1">
        <v>3.5151116186271102E-6</v>
      </c>
      <c r="O94" s="1">
        <v>9.8477221403424994E-8</v>
      </c>
      <c r="P94" s="1">
        <v>-5.0516844714586696E-7</v>
      </c>
      <c r="Q94">
        <v>72.572887123473393</v>
      </c>
      <c r="R94">
        <v>7.6318752991881206E-2</v>
      </c>
      <c r="S94">
        <v>12.0564308523939</v>
      </c>
      <c r="T94">
        <v>0.18335864376295399</v>
      </c>
      <c r="V94">
        <v>0.43396917526149598</v>
      </c>
      <c r="W94">
        <v>2.5117564275806799E-2</v>
      </c>
      <c r="X94">
        <v>5.7963609867259298E-2</v>
      </c>
      <c r="AA94">
        <v>0.512011887160714</v>
      </c>
      <c r="AB94">
        <v>3.8449194545274401</v>
      </c>
      <c r="AC94">
        <v>4.3086283334651396</v>
      </c>
      <c r="AD94">
        <v>3.86424065781556E-3</v>
      </c>
      <c r="AE94">
        <v>5.92453036216207</v>
      </c>
    </row>
    <row r="95" spans="1:31" x14ac:dyDescent="0.2">
      <c r="A95">
        <v>94</v>
      </c>
      <c r="B95">
        <v>754</v>
      </c>
      <c r="C95">
        <v>240</v>
      </c>
      <c r="D95">
        <v>0.33788687144039198</v>
      </c>
      <c r="E95">
        <v>103.30307535135501</v>
      </c>
      <c r="F95">
        <v>2.19500894581358</v>
      </c>
      <c r="G95">
        <v>-1687.6839442612791</v>
      </c>
      <c r="H95">
        <v>-1411.9433117353772</v>
      </c>
      <c r="I95">
        <v>268.45215647753599</v>
      </c>
      <c r="J95">
        <v>139.441043210185</v>
      </c>
      <c r="K95">
        <v>47.062712682050702</v>
      </c>
      <c r="L95">
        <v>1.5427269323282502E-4</v>
      </c>
      <c r="M95">
        <v>1.7757078720539923E-5</v>
      </c>
      <c r="N95" s="1">
        <v>3.5130510471879099E-6</v>
      </c>
      <c r="O95" s="1">
        <v>9.8226465501472305E-8</v>
      </c>
      <c r="P95" s="1">
        <v>-5.0447111686040796E-7</v>
      </c>
      <c r="Q95">
        <v>72.5273916744828</v>
      </c>
      <c r="R95">
        <v>7.6474005958977506E-2</v>
      </c>
      <c r="S95">
        <v>12.080956890740801</v>
      </c>
      <c r="T95">
        <v>0.18408566188553899</v>
      </c>
      <c r="V95">
        <v>0.434533437356807</v>
      </c>
      <c r="W95">
        <v>2.5168660189028101E-2</v>
      </c>
      <c r="X95">
        <v>5.8081523513156E-2</v>
      </c>
      <c r="AA95">
        <v>0.51305345769946098</v>
      </c>
      <c r="AB95">
        <v>3.8527410597051799</v>
      </c>
      <c r="AC95">
        <v>4.3173932478100197</v>
      </c>
      <c r="AD95">
        <v>3.8721015675418002E-3</v>
      </c>
      <c r="AE95">
        <v>5.9262482790906201</v>
      </c>
    </row>
    <row r="96" spans="1:31" x14ac:dyDescent="0.2">
      <c r="A96">
        <v>95</v>
      </c>
      <c r="B96">
        <v>753</v>
      </c>
      <c r="C96">
        <v>240</v>
      </c>
      <c r="D96">
        <v>0.33717341519271199</v>
      </c>
      <c r="E96">
        <v>103.093926303557</v>
      </c>
      <c r="F96">
        <v>2.1954670845479698</v>
      </c>
      <c r="G96">
        <v>-1683.9466561645056</v>
      </c>
      <c r="H96">
        <v>-1409.1418197807204</v>
      </c>
      <c r="I96">
        <v>267.801818821599</v>
      </c>
      <c r="J96">
        <v>139.16672831531801</v>
      </c>
      <c r="K96">
        <v>46.957627845640502</v>
      </c>
      <c r="L96">
        <v>1.5431326080888198E-4</v>
      </c>
      <c r="M96">
        <v>1.7749533809309315E-5</v>
      </c>
      <c r="N96" s="1">
        <v>3.5110102956630901E-6</v>
      </c>
      <c r="O96" s="1">
        <v>9.7976927468536306E-8</v>
      </c>
      <c r="P96" s="1">
        <v>-5.0377777406080797E-7</v>
      </c>
      <c r="Q96">
        <v>72.481919458098901</v>
      </c>
      <c r="R96">
        <v>7.6629150554795605E-2</v>
      </c>
      <c r="S96">
        <v>12.1054658091691</v>
      </c>
      <c r="T96">
        <v>0.18481523709748501</v>
      </c>
      <c r="V96">
        <v>0.435094548046217</v>
      </c>
      <c r="W96">
        <v>2.5219720435753001E-2</v>
      </c>
      <c r="X96">
        <v>5.8199354851752497E-2</v>
      </c>
      <c r="AA96">
        <v>0.51409430119039201</v>
      </c>
      <c r="AB96">
        <v>3.86055720516537</v>
      </c>
      <c r="AC96">
        <v>4.3261520439789596</v>
      </c>
      <c r="AD96">
        <v>3.8799569901147701E-3</v>
      </c>
      <c r="AE96">
        <v>5.9279732144209998</v>
      </c>
    </row>
    <row r="97" spans="1:31" x14ac:dyDescent="0.2">
      <c r="A97">
        <v>96</v>
      </c>
      <c r="B97">
        <v>752</v>
      </c>
      <c r="C97">
        <v>240</v>
      </c>
      <c r="D97">
        <v>0.33645856703896998</v>
      </c>
      <c r="E97">
        <v>102.88576675275699</v>
      </c>
      <c r="F97">
        <v>2.19592528827866</v>
      </c>
      <c r="G97">
        <v>-1680.2269558021217</v>
      </c>
      <c r="H97">
        <v>-1406.3536837117078</v>
      </c>
      <c r="I97">
        <v>267.15434042863302</v>
      </c>
      <c r="J97">
        <v>138.89370693137201</v>
      </c>
      <c r="K97">
        <v>46.853036076380697</v>
      </c>
      <c r="L97">
        <v>1.5435381584600428E-4</v>
      </c>
      <c r="M97">
        <v>1.7741982582356813E-5</v>
      </c>
      <c r="N97" s="1">
        <v>3.50898921427373E-6</v>
      </c>
      <c r="O97" s="1">
        <v>9.7728597615098897E-8</v>
      </c>
      <c r="P97" s="1">
        <v>-5.0308838713866905E-7</v>
      </c>
      <c r="Q97">
        <v>72.436470292960095</v>
      </c>
      <c r="R97">
        <v>7.6784187447274901E-2</v>
      </c>
      <c r="S97">
        <v>12.1299577131969</v>
      </c>
      <c r="T97">
        <v>0.185547384388044</v>
      </c>
      <c r="V97">
        <v>0.435652499084214</v>
      </c>
      <c r="W97">
        <v>2.5270745235809099E-2</v>
      </c>
      <c r="X97">
        <v>5.8317104390345299E-2</v>
      </c>
      <c r="AA97">
        <v>0.51513442211461902</v>
      </c>
      <c r="AB97">
        <v>3.8683679245585898</v>
      </c>
      <c r="AC97">
        <v>4.3349047596808798</v>
      </c>
      <c r="AD97">
        <v>3.8878069593540599E-3</v>
      </c>
      <c r="AE97">
        <v>5.9297051599837696</v>
      </c>
    </row>
    <row r="98" spans="1:31" x14ac:dyDescent="0.2">
      <c r="A98">
        <v>97</v>
      </c>
      <c r="B98">
        <v>751</v>
      </c>
      <c r="C98">
        <v>240</v>
      </c>
      <c r="D98">
        <v>0.33574232290192102</v>
      </c>
      <c r="E98">
        <v>102.67858895526599</v>
      </c>
      <c r="F98">
        <v>2.19638355830664</v>
      </c>
      <c r="G98">
        <v>-1676.5247066116804</v>
      </c>
      <c r="H98">
        <v>-1403.57879864552</v>
      </c>
      <c r="I98">
        <v>266.50969874155101</v>
      </c>
      <c r="J98">
        <v>138.62196897585801</v>
      </c>
      <c r="K98">
        <v>46.7489335216246</v>
      </c>
      <c r="L98">
        <v>1.5439435813423638E-4</v>
      </c>
      <c r="M98">
        <v>1.773442499012388E-5</v>
      </c>
      <c r="N98" s="1">
        <v>3.50698765479693E-6</v>
      </c>
      <c r="O98" s="1">
        <v>9.7481466352703997E-8</v>
      </c>
      <c r="P98" s="1">
        <v>-5.0240292481309304E-7</v>
      </c>
      <c r="Q98">
        <v>72.391043998427904</v>
      </c>
      <c r="R98">
        <v>7.6939117301681001E-2</v>
      </c>
      <c r="S98">
        <v>12.154432707919399</v>
      </c>
      <c r="T98">
        <v>0.18628211882020199</v>
      </c>
      <c r="V98">
        <v>0.43620728213802901</v>
      </c>
      <c r="W98">
        <v>2.53217348081449E-2</v>
      </c>
      <c r="X98">
        <v>5.8434772634199703E-2</v>
      </c>
      <c r="AA98">
        <v>0.51617382493531705</v>
      </c>
      <c r="AB98">
        <v>3.8761732514007798</v>
      </c>
      <c r="AC98">
        <v>4.3436514324738296</v>
      </c>
      <c r="AD98">
        <v>3.8956515089440401E-3</v>
      </c>
      <c r="AE98">
        <v>5.9314441076314397</v>
      </c>
    </row>
    <row r="99" spans="1:31" x14ac:dyDescent="0.2">
      <c r="A99">
        <v>98</v>
      </c>
      <c r="B99">
        <v>750</v>
      </c>
      <c r="C99">
        <v>240</v>
      </c>
      <c r="D99">
        <v>0.335024678688366</v>
      </c>
      <c r="E99">
        <v>102.47238524704299</v>
      </c>
      <c r="F99">
        <v>2.1968418959335301</v>
      </c>
      <c r="G99">
        <v>-1672.8397734353687</v>
      </c>
      <c r="H99">
        <v>-1400.8170607778541</v>
      </c>
      <c r="I99">
        <v>265.86787143382099</v>
      </c>
      <c r="J99">
        <v>138.35150447017901</v>
      </c>
      <c r="K99">
        <v>46.645316368339799</v>
      </c>
      <c r="L99">
        <v>1.5443488746199227E-4</v>
      </c>
      <c r="M99">
        <v>1.7726860982948628E-5</v>
      </c>
      <c r="N99" s="1">
        <v>3.50500547045663E-6</v>
      </c>
      <c r="O99" s="1">
        <v>9.7235524190245498E-8</v>
      </c>
      <c r="P99" s="1">
        <v>-5.0172135611463497E-7</v>
      </c>
      <c r="Q99">
        <v>72.345640394328896</v>
      </c>
      <c r="R99">
        <v>7.7093940781751399E-2</v>
      </c>
      <c r="S99">
        <v>12.1788908981892</v>
      </c>
      <c r="T99">
        <v>0.18701945553426899</v>
      </c>
      <c r="V99">
        <v>0.43675888879344199</v>
      </c>
      <c r="W99">
        <v>2.53726893712059E-2</v>
      </c>
      <c r="X99">
        <v>5.8552360087418397E-2</v>
      </c>
      <c r="AA99">
        <v>0.51721251410540903</v>
      </c>
      <c r="AB99">
        <v>3.88397321913089</v>
      </c>
      <c r="AC99">
        <v>4.3523920998296601</v>
      </c>
      <c r="AD99">
        <v>3.9034906724918E-3</v>
      </c>
      <c r="AE99">
        <v>5.9331900491751997</v>
      </c>
    </row>
    <row r="100" spans="1:31" x14ac:dyDescent="0.2">
      <c r="A100">
        <v>99</v>
      </c>
      <c r="B100">
        <v>749</v>
      </c>
      <c r="C100">
        <v>240</v>
      </c>
      <c r="D100">
        <v>0.33430563028909699</v>
      </c>
      <c r="E100">
        <v>102.267148043791</v>
      </c>
      <c r="F100">
        <v>2.1973003024603801</v>
      </c>
      <c r="G100">
        <v>-1669.1720225207175</v>
      </c>
      <c r="H100">
        <v>-1398.068367384848</v>
      </c>
      <c r="I100">
        <v>265.22883640940103</v>
      </c>
      <c r="J100">
        <v>138.08230353972399</v>
      </c>
      <c r="K100">
        <v>46.542180843137103</v>
      </c>
      <c r="L100">
        <v>1.5447540361593066E-4</v>
      </c>
      <c r="M100">
        <v>1.7719290511092919E-5</v>
      </c>
      <c r="N100" s="1">
        <v>3.5030425159495802E-6</v>
      </c>
      <c r="O100" s="1">
        <v>9.6990761733954199E-8</v>
      </c>
      <c r="P100" s="1">
        <v>-5.0104365038646598E-7</v>
      </c>
      <c r="Q100">
        <v>72.300259301176197</v>
      </c>
      <c r="R100">
        <v>7.7248658548858901E-2</v>
      </c>
      <c r="S100">
        <v>12.203332388487899</v>
      </c>
      <c r="T100">
        <v>0.18775940974566299</v>
      </c>
      <c r="V100">
        <v>0.43730731054980898</v>
      </c>
      <c r="W100">
        <v>2.5423609142658499E-2</v>
      </c>
      <c r="X100">
        <v>5.8669867252311998E-2</v>
      </c>
      <c r="AA100">
        <v>0.51825049406195101</v>
      </c>
      <c r="AB100">
        <v>3.8917678610686499</v>
      </c>
      <c r="AC100">
        <v>4.3611267990864899</v>
      </c>
      <c r="AD100">
        <v>3.9113244834843098E-3</v>
      </c>
      <c r="AE100">
        <v>5.9349429763958499</v>
      </c>
    </row>
    <row r="101" spans="1:31" x14ac:dyDescent="0.2">
      <c r="A101">
        <v>100</v>
      </c>
      <c r="B101">
        <v>748</v>
      </c>
      <c r="C101">
        <v>240</v>
      </c>
      <c r="D101">
        <v>0.33358517357881101</v>
      </c>
      <c r="E101">
        <v>102.06286984110901</v>
      </c>
      <c r="F101">
        <v>2.1977587791865201</v>
      </c>
      <c r="G101">
        <v>-1665.5213215220324</v>
      </c>
      <c r="H101">
        <v>-1395.3326168256576</v>
      </c>
      <c r="I101">
        <v>264.59257180274602</v>
      </c>
      <c r="J101">
        <v>137.81435641401001</v>
      </c>
      <c r="K101">
        <v>46.439523212318697</v>
      </c>
      <c r="L101">
        <v>1.5451590638068823E-4</v>
      </c>
      <c r="M101">
        <v>1.7711713524760561E-5</v>
      </c>
      <c r="N101" s="1">
        <v>3.5010986474690302E-6</v>
      </c>
      <c r="O101" s="1">
        <v>9.6747169687327403E-8</v>
      </c>
      <c r="P101" s="1">
        <v>-5.0036977728506699E-7</v>
      </c>
      <c r="Q101">
        <v>72.254900540418504</v>
      </c>
      <c r="R101">
        <v>7.7403271261126602E-2</v>
      </c>
      <c r="S101">
        <v>12.2277572827808</v>
      </c>
      <c r="T101">
        <v>0.188501996742867</v>
      </c>
      <c r="V101">
        <v>0.437852538815582</v>
      </c>
      <c r="W101">
        <v>2.54744943391008E-2</v>
      </c>
      <c r="X101">
        <v>5.8787294628718401E-2</v>
      </c>
      <c r="AA101">
        <v>0.51928776922020203</v>
      </c>
      <c r="AB101">
        <v>3.8995572103702201</v>
      </c>
      <c r="AC101">
        <v>4.3698555673992701</v>
      </c>
      <c r="AD101">
        <v>3.9191529752446103E-3</v>
      </c>
      <c r="AE101">
        <v>5.9367028810482401</v>
      </c>
    </row>
    <row r="102" spans="1:31" x14ac:dyDescent="0.2">
      <c r="A102">
        <v>101</v>
      </c>
      <c r="B102">
        <v>747</v>
      </c>
      <c r="C102">
        <v>240</v>
      </c>
      <c r="D102">
        <v>0.33286330441601902</v>
      </c>
      <c r="E102">
        <v>100.45888373937601</v>
      </c>
      <c r="F102">
        <v>2.1986420221987402</v>
      </c>
      <c r="G102">
        <v>-1638.6481780174554</v>
      </c>
      <c r="H102">
        <v>-1373.2146325186484</v>
      </c>
      <c r="I102">
        <v>260.19070283664797</v>
      </c>
      <c r="J102">
        <v>135.613716599371</v>
      </c>
      <c r="K102">
        <v>45.691332524842998</v>
      </c>
      <c r="L102">
        <v>1.5429656729504742E-4</v>
      </c>
      <c r="M102">
        <v>1.7680537691796083E-5</v>
      </c>
      <c r="N102" s="1">
        <v>3.4420333904896401E-6</v>
      </c>
      <c r="O102" s="1">
        <v>9.4948628032459294E-8</v>
      </c>
      <c r="P102" s="1">
        <v>-4.9168125596333795E-7</v>
      </c>
      <c r="Q102">
        <v>72.222842498890003</v>
      </c>
      <c r="R102">
        <v>7.8639137783929003E-2</v>
      </c>
      <c r="S102">
        <v>12.237812286755601</v>
      </c>
      <c r="T102">
        <v>0.19188721424488001</v>
      </c>
      <c r="V102">
        <v>0.44450568845299598</v>
      </c>
      <c r="W102">
        <v>2.5881235220022499E-2</v>
      </c>
      <c r="X102">
        <v>5.9725927430849E-2</v>
      </c>
      <c r="AA102">
        <v>0.50941610643469803</v>
      </c>
      <c r="AB102">
        <v>3.88200237248045</v>
      </c>
      <c r="AC102">
        <v>4.4203635330119697</v>
      </c>
      <c r="AD102">
        <v>3.98172849538615E-3</v>
      </c>
      <c r="AE102">
        <v>5.9229422707991102</v>
      </c>
    </row>
    <row r="103" spans="1:31" x14ac:dyDescent="0.2">
      <c r="A103">
        <v>102</v>
      </c>
      <c r="B103">
        <v>746</v>
      </c>
      <c r="C103">
        <v>240</v>
      </c>
      <c r="D103">
        <v>0.33214001864298798</v>
      </c>
      <c r="E103">
        <v>91.2542696512796</v>
      </c>
      <c r="F103">
        <v>2.2003360165971002</v>
      </c>
      <c r="G103">
        <v>-1487.3130608725883</v>
      </c>
      <c r="H103">
        <v>-1246.6932285612186</v>
      </c>
      <c r="I103">
        <v>236.098545171338</v>
      </c>
      <c r="J103">
        <v>123.151632245446</v>
      </c>
      <c r="K103">
        <v>41.472879125256298</v>
      </c>
      <c r="L103">
        <v>1.5409341810651317E-4</v>
      </c>
      <c r="M103">
        <v>1.7646543980626227E-5</v>
      </c>
      <c r="N103" s="1">
        <v>3.12116779704538E-6</v>
      </c>
      <c r="O103" s="1">
        <v>8.5950123654379401E-8</v>
      </c>
      <c r="P103" s="1">
        <v>-4.4560710690836201E-7</v>
      </c>
      <c r="Q103">
        <v>72.154062665835497</v>
      </c>
      <c r="R103">
        <v>8.6571291734512099E-2</v>
      </c>
      <c r="S103">
        <v>12.2352157032085</v>
      </c>
      <c r="T103">
        <v>0.21145325945463</v>
      </c>
      <c r="V103">
        <v>0.48915229298249702</v>
      </c>
      <c r="W103">
        <v>2.84918175328699E-2</v>
      </c>
      <c r="X103">
        <v>6.5750348152821797E-2</v>
      </c>
      <c r="AA103">
        <v>0.498421125841577</v>
      </c>
      <c r="AB103">
        <v>3.85234916152903</v>
      </c>
      <c r="AC103">
        <v>4.4683686380610901</v>
      </c>
      <c r="AD103">
        <v>4.3833565435155396E-3</v>
      </c>
      <c r="AE103">
        <v>5.9057803391234298</v>
      </c>
    </row>
    <row r="104" spans="1:31" x14ac:dyDescent="0.2">
      <c r="A104">
        <v>103</v>
      </c>
      <c r="B104">
        <v>745</v>
      </c>
      <c r="C104">
        <v>240</v>
      </c>
      <c r="D104">
        <v>0.33141531208564601</v>
      </c>
      <c r="E104">
        <v>71.659495056884893</v>
      </c>
      <c r="F104">
        <v>2.20336703850794</v>
      </c>
      <c r="G104">
        <v>-1166.3310575992805</v>
      </c>
      <c r="H104">
        <v>-977.65026596122573</v>
      </c>
      <c r="I104">
        <v>185.317282952467</v>
      </c>
      <c r="J104">
        <v>96.721162595902896</v>
      </c>
      <c r="K104">
        <v>32.522722635176798</v>
      </c>
      <c r="L104">
        <v>1.5439883193508802E-4</v>
      </c>
      <c r="M104">
        <v>1.764696407883399E-5</v>
      </c>
      <c r="N104" s="1">
        <v>2.4544310651920602E-6</v>
      </c>
      <c r="O104" s="1">
        <v>6.7455453371804602E-8</v>
      </c>
      <c r="P104" s="1">
        <v>-3.5004413090169598E-7</v>
      </c>
      <c r="Q104">
        <v>71.967514120009398</v>
      </c>
      <c r="R104">
        <v>0.11024359010246799</v>
      </c>
      <c r="S104">
        <v>12.222122752400701</v>
      </c>
      <c r="T104">
        <v>0.26887545907243898</v>
      </c>
      <c r="V104">
        <v>0.62326576025026803</v>
      </c>
      <c r="W104">
        <v>3.6282700540039098E-2</v>
      </c>
      <c r="X104">
        <v>8.3729308938635699E-2</v>
      </c>
      <c r="AA104">
        <v>0.49796583545506101</v>
      </c>
      <c r="AB104">
        <v>3.83913001673529</v>
      </c>
      <c r="AC104">
        <v>4.4379259255526096</v>
      </c>
      <c r="AD104">
        <v>5.5819539292324997E-3</v>
      </c>
      <c r="AE104">
        <v>5.9073625770136999</v>
      </c>
    </row>
    <row r="105" spans="1:31" x14ac:dyDescent="0.2">
      <c r="A105">
        <v>104</v>
      </c>
      <c r="B105">
        <v>744</v>
      </c>
      <c r="C105">
        <v>240</v>
      </c>
      <c r="D105">
        <v>0.33068918055350899</v>
      </c>
      <c r="E105">
        <v>29.158165287315999</v>
      </c>
      <c r="F105">
        <v>2.2056287447272398</v>
      </c>
      <c r="G105">
        <v>-474.53213348832787</v>
      </c>
      <c r="H105">
        <v>-397.90669691333812</v>
      </c>
      <c r="I105">
        <v>75.333467605554304</v>
      </c>
      <c r="J105">
        <v>39.380650067086897</v>
      </c>
      <c r="K105">
        <v>13.2198881416563</v>
      </c>
      <c r="L105">
        <v>1.54312128224797E-4</v>
      </c>
      <c r="M105">
        <v>1.7632373917911777E-5</v>
      </c>
      <c r="N105" s="1">
        <v>9.9794011660017096E-7</v>
      </c>
      <c r="O105" s="1">
        <v>2.7374807778226098E-8</v>
      </c>
      <c r="P105" s="1">
        <v>-1.41939134323521E-7</v>
      </c>
      <c r="Q105">
        <v>71.805384602725397</v>
      </c>
      <c r="R105">
        <v>0.139758828726257</v>
      </c>
      <c r="S105">
        <v>12.347771936830499</v>
      </c>
      <c r="T105">
        <v>0.25843172518305302</v>
      </c>
      <c r="V105">
        <v>0.60079983208444199</v>
      </c>
      <c r="W105">
        <v>8.9168847709695007E-2</v>
      </c>
      <c r="X105">
        <v>0.15295867038621699</v>
      </c>
      <c r="AA105">
        <v>0.494300291336079</v>
      </c>
      <c r="AB105">
        <v>3.7597935009839998</v>
      </c>
      <c r="AC105">
        <v>4.44181737688967</v>
      </c>
      <c r="AD105">
        <v>1.37182842630205E-2</v>
      </c>
      <c r="AE105">
        <v>5.89609610288149</v>
      </c>
    </row>
    <row r="106" spans="1:31" x14ac:dyDescent="0.2">
      <c r="A106">
        <v>105</v>
      </c>
      <c r="B106">
        <v>743</v>
      </c>
      <c r="C106">
        <v>240</v>
      </c>
      <c r="D106">
        <v>0.32996161983958999</v>
      </c>
      <c r="E106">
        <v>13.444644538553399</v>
      </c>
      <c r="F106">
        <v>2.2082427171305401</v>
      </c>
      <c r="G106">
        <v>-218.73808660951016</v>
      </c>
      <c r="H106">
        <v>-183.47836227346883</v>
      </c>
      <c r="I106">
        <v>34.6993301540533</v>
      </c>
      <c r="J106">
        <v>18.166871812466599</v>
      </c>
      <c r="K106">
        <v>6.0883907526360401</v>
      </c>
      <c r="L106">
        <v>1.5438803918301652E-4</v>
      </c>
      <c r="M106">
        <v>1.764696378493247E-5</v>
      </c>
      <c r="N106" s="1">
        <v>4.6062316515848701E-7</v>
      </c>
      <c r="O106" s="1">
        <v>1.26102650498811E-8</v>
      </c>
      <c r="P106" s="1">
        <v>-6.5262744526364701E-8</v>
      </c>
      <c r="Q106">
        <v>71.527738596721505</v>
      </c>
      <c r="R106">
        <v>0.14393246507576801</v>
      </c>
      <c r="S106">
        <v>12.637120393703601</v>
      </c>
      <c r="T106">
        <v>0.25312449211253701</v>
      </c>
      <c r="V106">
        <v>0.59289632057824104</v>
      </c>
      <c r="W106">
        <v>0.19142680554567301</v>
      </c>
      <c r="X106">
        <v>0.15366359658601</v>
      </c>
      <c r="AA106">
        <v>0.49256595343614901</v>
      </c>
      <c r="AB106">
        <v>3.62383629247085</v>
      </c>
      <c r="AC106">
        <v>4.4584383953249596</v>
      </c>
      <c r="AD106">
        <v>2.97516233212652E-2</v>
      </c>
      <c r="AE106">
        <v>5.8955050651232801</v>
      </c>
    </row>
    <row r="107" spans="1:31" x14ac:dyDescent="0.2">
      <c r="A107">
        <v>106</v>
      </c>
      <c r="B107">
        <v>742</v>
      </c>
      <c r="C107">
        <v>240</v>
      </c>
      <c r="D107">
        <v>0.32923262572033701</v>
      </c>
      <c r="E107">
        <v>8.9889484299667703</v>
      </c>
      <c r="F107">
        <v>2.2105939750219501</v>
      </c>
      <c r="G107">
        <v>-146.20296767075939</v>
      </c>
      <c r="H107">
        <v>-122.67415271141391</v>
      </c>
      <c r="I107">
        <v>23.177673210210799</v>
      </c>
      <c r="J107">
        <v>12.151921856539101</v>
      </c>
      <c r="K107">
        <v>4.0663045912252898</v>
      </c>
      <c r="L107">
        <v>1.5450403514202058E-4</v>
      </c>
      <c r="M107">
        <v>1.7663638287701231E-5</v>
      </c>
      <c r="N107" s="1">
        <v>3.0844591400499298E-7</v>
      </c>
      <c r="O107" s="1">
        <v>8.4270606932522504E-9</v>
      </c>
      <c r="P107" s="1">
        <v>-4.3545420276528701E-8</v>
      </c>
      <c r="Q107">
        <v>71.269441880890298</v>
      </c>
      <c r="R107">
        <v>0.14307860516006299</v>
      </c>
      <c r="S107">
        <v>12.9031165206588</v>
      </c>
      <c r="T107">
        <v>0.24995612030632899</v>
      </c>
      <c r="V107">
        <v>0.58938910442569503</v>
      </c>
      <c r="W107">
        <v>0.28367751667958502</v>
      </c>
      <c r="X107">
        <v>0.15314215683361301</v>
      </c>
      <c r="AA107">
        <v>0.49213100907440899</v>
      </c>
      <c r="AB107">
        <v>3.5041801285038798</v>
      </c>
      <c r="AC107">
        <v>4.4694585456824498</v>
      </c>
      <c r="AD107">
        <v>4.4499087197547797E-2</v>
      </c>
      <c r="AE107">
        <v>5.8979293245872002</v>
      </c>
    </row>
    <row r="108" spans="1:31" x14ac:dyDescent="0.2">
      <c r="A108">
        <v>107</v>
      </c>
      <c r="B108">
        <v>763</v>
      </c>
      <c r="C108">
        <v>220</v>
      </c>
      <c r="D108">
        <v>0.36547845389181399</v>
      </c>
      <c r="E108">
        <v>104.769463925064</v>
      </c>
      <c r="F108">
        <v>2.1920693548775798</v>
      </c>
      <c r="G108">
        <v>-1713.7499316403103</v>
      </c>
      <c r="H108">
        <v>-1432.5518998444634</v>
      </c>
      <c r="I108">
        <v>271.38737807831501</v>
      </c>
      <c r="J108">
        <v>141.05685235613399</v>
      </c>
      <c r="K108">
        <v>47.794776060320203</v>
      </c>
      <c r="L108">
        <v>1.5032421538258651E-4</v>
      </c>
      <c r="M108">
        <v>1.775096436476774E-5</v>
      </c>
      <c r="N108" s="1">
        <v>3.36632884382516E-6</v>
      </c>
      <c r="O108" s="1">
        <v>9.7082520936910094E-8</v>
      </c>
      <c r="P108" s="1">
        <v>-4.9468303479253503E-7</v>
      </c>
      <c r="Q108">
        <v>73.131995840717593</v>
      </c>
      <c r="R108">
        <v>7.5403650109829704E-2</v>
      </c>
      <c r="S108">
        <v>11.9118677641862</v>
      </c>
      <c r="T108">
        <v>0.18020280536713401</v>
      </c>
      <c r="V108">
        <v>0.42962701331401099</v>
      </c>
      <c r="W108">
        <v>2.4816391175386799E-2</v>
      </c>
      <c r="X108">
        <v>5.7268595020124401E-2</v>
      </c>
      <c r="AA108">
        <v>0.50587258934442603</v>
      </c>
      <c r="AB108">
        <v>3.7988168030015199</v>
      </c>
      <c r="AC108">
        <v>4.2569655631624901</v>
      </c>
      <c r="AD108">
        <v>3.8179063346748402E-3</v>
      </c>
      <c r="AE108">
        <v>5.6233450782665102</v>
      </c>
    </row>
    <row r="109" spans="1:31" x14ac:dyDescent="0.2">
      <c r="A109">
        <v>108</v>
      </c>
      <c r="B109">
        <v>762</v>
      </c>
      <c r="C109">
        <v>220</v>
      </c>
      <c r="D109">
        <v>0.36479785538328002</v>
      </c>
      <c r="E109">
        <v>104.627008455395</v>
      </c>
      <c r="F109">
        <v>2.19248971957987</v>
      </c>
      <c r="G109">
        <v>-1711.1113477469005</v>
      </c>
      <c r="H109">
        <v>-1430.6902637839451</v>
      </c>
      <c r="I109">
        <v>270.89898465242197</v>
      </c>
      <c r="J109">
        <v>140.86537743172099</v>
      </c>
      <c r="K109">
        <v>47.720638104266101</v>
      </c>
      <c r="L109">
        <v>1.5032998418320782E-4</v>
      </c>
      <c r="M109">
        <v>1.7743058731897058E-5</v>
      </c>
      <c r="N109" s="1">
        <v>3.36607721823469E-6</v>
      </c>
      <c r="O109" s="1">
        <v>9.6887394277773297E-8</v>
      </c>
      <c r="P109" s="1">
        <v>-4.9415708811337795E-7</v>
      </c>
      <c r="Q109">
        <v>73.102327342998194</v>
      </c>
      <c r="R109">
        <v>7.5506316357768902E-2</v>
      </c>
      <c r="S109">
        <v>11.9280864322154</v>
      </c>
      <c r="T109">
        <v>0.180769417189067</v>
      </c>
      <c r="V109">
        <v>0.42992290486779</v>
      </c>
      <c r="W109">
        <v>2.4850180067113498E-2</v>
      </c>
      <c r="X109">
        <v>5.7346569385648499E-2</v>
      </c>
      <c r="AA109">
        <v>0.50656136290654996</v>
      </c>
      <c r="AB109">
        <v>3.8039891025812298</v>
      </c>
      <c r="AC109">
        <v>4.2627616576663598</v>
      </c>
      <c r="AD109">
        <v>3.8231046257096398E-3</v>
      </c>
      <c r="AE109">
        <v>5.62405560913896</v>
      </c>
    </row>
    <row r="110" spans="1:31" x14ac:dyDescent="0.2">
      <c r="A110">
        <v>109</v>
      </c>
      <c r="B110">
        <v>761</v>
      </c>
      <c r="C110">
        <v>220</v>
      </c>
      <c r="D110">
        <v>0.36411594062757002</v>
      </c>
      <c r="E110">
        <v>104.416087867703</v>
      </c>
      <c r="F110">
        <v>2.19294381588377</v>
      </c>
      <c r="G110">
        <v>-1707.3380758689348</v>
      </c>
      <c r="H110">
        <v>-1427.8650581897996</v>
      </c>
      <c r="I110">
        <v>270.244178967398</v>
      </c>
      <c r="J110">
        <v>140.588909018816</v>
      </c>
      <c r="K110">
        <v>47.6145750344376</v>
      </c>
      <c r="L110">
        <v>1.5036829425883448E-4</v>
      </c>
      <c r="M110">
        <v>1.7735555441023645E-5</v>
      </c>
      <c r="N110" s="1">
        <v>3.3640300752357901E-6</v>
      </c>
      <c r="O110" s="1">
        <v>9.6640434889032702E-8</v>
      </c>
      <c r="P110" s="1">
        <v>-4.9346648527344203E-7</v>
      </c>
      <c r="Q110">
        <v>73.057906059111403</v>
      </c>
      <c r="R110">
        <v>7.5658839182037099E-2</v>
      </c>
      <c r="S110">
        <v>11.952181177112999</v>
      </c>
      <c r="T110">
        <v>0.18147775667473301</v>
      </c>
      <c r="V110">
        <v>0.430482547768896</v>
      </c>
      <c r="W110">
        <v>2.4900377452315402E-2</v>
      </c>
      <c r="X110">
        <v>5.74624095053465E-2</v>
      </c>
      <c r="AA110">
        <v>0.50758461729720905</v>
      </c>
      <c r="AB110">
        <v>3.8116731638544601</v>
      </c>
      <c r="AC110">
        <v>4.2713724398971502</v>
      </c>
      <c r="AD110">
        <v>3.8308273003560401E-3</v>
      </c>
      <c r="AE110">
        <v>5.6254697848429203</v>
      </c>
    </row>
    <row r="111" spans="1:31" x14ac:dyDescent="0.2">
      <c r="A111">
        <v>110</v>
      </c>
      <c r="B111">
        <v>760</v>
      </c>
      <c r="C111">
        <v>220</v>
      </c>
      <c r="D111">
        <v>0.36343270580264397</v>
      </c>
      <c r="E111">
        <v>104.20616561298699</v>
      </c>
      <c r="F111">
        <v>2.1933980131590398</v>
      </c>
      <c r="G111">
        <v>-1703.5825555336619</v>
      </c>
      <c r="H111">
        <v>-1425.0533322073959</v>
      </c>
      <c r="I111">
        <v>269.59224055196802</v>
      </c>
      <c r="J111">
        <v>140.31374076910299</v>
      </c>
      <c r="K111">
        <v>47.509008847374801</v>
      </c>
      <c r="L111">
        <v>1.5040656611525429E-4</v>
      </c>
      <c r="M111">
        <v>1.772804444736181E-5</v>
      </c>
      <c r="N111" s="1">
        <v>3.3620009109338702E-6</v>
      </c>
      <c r="O111" s="1">
        <v>9.6394649130535699E-8</v>
      </c>
      <c r="P111" s="1">
        <v>-4.9277963740576902E-7</v>
      </c>
      <c r="Q111">
        <v>73.013510222407803</v>
      </c>
      <c r="R111">
        <v>7.5811253139665594E-2</v>
      </c>
      <c r="S111">
        <v>11.976258723837701</v>
      </c>
      <c r="T111">
        <v>0.182188549126857</v>
      </c>
      <c r="V111">
        <v>0.43103912906735098</v>
      </c>
      <c r="W111">
        <v>2.4950539007990401E-2</v>
      </c>
      <c r="X111">
        <v>5.7578166941521E-2</v>
      </c>
      <c r="AA111">
        <v>0.50860714131674101</v>
      </c>
      <c r="AB111">
        <v>3.8193517404539499</v>
      </c>
      <c r="AC111">
        <v>4.2799770759859896</v>
      </c>
      <c r="AD111">
        <v>3.8385444627674799E-3</v>
      </c>
      <c r="AE111">
        <v>5.6268889142514897</v>
      </c>
    </row>
    <row r="112" spans="1:31" x14ac:dyDescent="0.2">
      <c r="A112">
        <v>111</v>
      </c>
      <c r="B112">
        <v>759</v>
      </c>
      <c r="C112">
        <v>220</v>
      </c>
      <c r="D112">
        <v>0.36274814707164799</v>
      </c>
      <c r="E112">
        <v>103.997233909214</v>
      </c>
      <c r="F112">
        <v>2.193852313047</v>
      </c>
      <c r="G112">
        <v>-1699.844649339384</v>
      </c>
      <c r="H112">
        <v>-1422.2549804345083</v>
      </c>
      <c r="I112">
        <v>268.943146737272</v>
      </c>
      <c r="J112">
        <v>140.039862552827</v>
      </c>
      <c r="K112">
        <v>47.403935666377997</v>
      </c>
      <c r="L112">
        <v>1.5044479925910723E-4</v>
      </c>
      <c r="M112">
        <v>1.7720525683673569E-5</v>
      </c>
      <c r="N112" s="1">
        <v>3.35998957490813E-6</v>
      </c>
      <c r="O112" s="1">
        <v>9.6150027463707501E-8</v>
      </c>
      <c r="P112" s="1">
        <v>-4.9209651287241701E-7</v>
      </c>
      <c r="Q112">
        <v>72.969139678642904</v>
      </c>
      <c r="R112">
        <v>7.5963558866348896E-2</v>
      </c>
      <c r="S112">
        <v>12.000319172813001</v>
      </c>
      <c r="T112">
        <v>0.182901808868666</v>
      </c>
      <c r="V112">
        <v>0.43159264086397903</v>
      </c>
      <c r="W112">
        <v>2.50006649433544E-2</v>
      </c>
      <c r="X112">
        <v>5.7693842176977303E-2</v>
      </c>
      <c r="AA112">
        <v>0.50962893922993302</v>
      </c>
      <c r="AB112">
        <v>3.82702486440582</v>
      </c>
      <c r="AC112">
        <v>4.2885756018214796</v>
      </c>
      <c r="AD112">
        <v>3.8462561451310801E-3</v>
      </c>
      <c r="AE112">
        <v>5.6283129712223303</v>
      </c>
    </row>
    <row r="113" spans="1:31" x14ac:dyDescent="0.2">
      <c r="A113">
        <v>112</v>
      </c>
      <c r="B113">
        <v>758</v>
      </c>
      <c r="C113">
        <v>220</v>
      </c>
      <c r="D113">
        <v>0.36206226058284502</v>
      </c>
      <c r="E113">
        <v>103.78928505585699</v>
      </c>
      <c r="F113">
        <v>2.1943067171926098</v>
      </c>
      <c r="G113">
        <v>-1696.1242213207913</v>
      </c>
      <c r="H113">
        <v>-1419.4698985736682</v>
      </c>
      <c r="I113">
        <v>268.29687508812799</v>
      </c>
      <c r="J113">
        <v>139.767264346058</v>
      </c>
      <c r="K113">
        <v>47.2993516551984</v>
      </c>
      <c r="L113">
        <v>1.5048299319145878E-4</v>
      </c>
      <c r="M113">
        <v>1.7712999082418266E-5</v>
      </c>
      <c r="N113" s="1">
        <v>3.35799591805407E-6</v>
      </c>
      <c r="O113" s="1">
        <v>9.5906560445114403E-8</v>
      </c>
      <c r="P113" s="1">
        <v>-4.9141708033065602E-7</v>
      </c>
      <c r="Q113">
        <v>72.9247942746007</v>
      </c>
      <c r="R113">
        <v>7.6115756995035602E-2</v>
      </c>
      <c r="S113">
        <v>12.024362624028999</v>
      </c>
      <c r="T113">
        <v>0.18361755029334401</v>
      </c>
      <c r="V113">
        <v>0.43214307517503497</v>
      </c>
      <c r="W113">
        <v>2.50507554667193E-2</v>
      </c>
      <c r="X113">
        <v>5.7809435692436503E-2</v>
      </c>
      <c r="AA113">
        <v>0.51065001528314602</v>
      </c>
      <c r="AB113">
        <v>3.8346925675978598</v>
      </c>
      <c r="AC113">
        <v>4.2971680531371401</v>
      </c>
      <c r="AD113">
        <v>3.8539623794948299E-3</v>
      </c>
      <c r="AE113">
        <v>5.6297419293500299</v>
      </c>
    </row>
    <row r="114" spans="1:31" x14ac:dyDescent="0.2">
      <c r="A114">
        <v>113</v>
      </c>
      <c r="B114">
        <v>757</v>
      </c>
      <c r="C114">
        <v>220</v>
      </c>
      <c r="D114">
        <v>0.36137504246954599</v>
      </c>
      <c r="E114">
        <v>103.58231143089</v>
      </c>
      <c r="F114">
        <v>2.1947612272442099</v>
      </c>
      <c r="G114">
        <v>-1692.4211368984036</v>
      </c>
      <c r="H114">
        <v>-1416.6979833904782</v>
      </c>
      <c r="I114">
        <v>267.65340339554899</v>
      </c>
      <c r="J114">
        <v>139.49593622695701</v>
      </c>
      <c r="K114">
        <v>47.195253016634702</v>
      </c>
      <c r="L114">
        <v>1.5052114740944411E-4</v>
      </c>
      <c r="M114">
        <v>1.7705464575821929E-5</v>
      </c>
      <c r="N114" s="1">
        <v>3.3560197925365199E-6</v>
      </c>
      <c r="O114" s="1">
        <v>9.5664238724370498E-8</v>
      </c>
      <c r="P114" s="1">
        <v>-4.9074130872834801E-7</v>
      </c>
      <c r="Q114">
        <v>72.880473857631799</v>
      </c>
      <c r="R114">
        <v>7.6267848157366105E-2</v>
      </c>
      <c r="S114">
        <v>12.048389177268801</v>
      </c>
      <c r="T114">
        <v>0.18433578786837199</v>
      </c>
      <c r="V114">
        <v>0.43269042393971402</v>
      </c>
      <c r="W114">
        <v>2.5100810785967001E-2</v>
      </c>
      <c r="X114">
        <v>5.7924947967625297E-2</v>
      </c>
      <c r="AA114">
        <v>0.51167037371396995</v>
      </c>
      <c r="AB114">
        <v>3.8423548818519402</v>
      </c>
      <c r="AC114">
        <v>4.30575446559269</v>
      </c>
      <c r="AD114">
        <v>3.86166319784052E-3</v>
      </c>
      <c r="AE114">
        <v>5.6311757620238199</v>
      </c>
    </row>
    <row r="115" spans="1:31" x14ac:dyDescent="0.2">
      <c r="A115">
        <v>114</v>
      </c>
      <c r="B115">
        <v>756</v>
      </c>
      <c r="C115">
        <v>220</v>
      </c>
      <c r="D115">
        <v>0.36068648885002402</v>
      </c>
      <c r="E115">
        <v>103.376305493641</v>
      </c>
      <c r="F115">
        <v>2.1952158448522199</v>
      </c>
      <c r="G115">
        <v>-1688.7352629245854</v>
      </c>
      <c r="H115">
        <v>-1413.939132754268</v>
      </c>
      <c r="I115">
        <v>267.01270968305602</v>
      </c>
      <c r="J115">
        <v>139.225868379231</v>
      </c>
      <c r="K115">
        <v>47.091635993817597</v>
      </c>
      <c r="L115">
        <v>1.5055926140403802E-4</v>
      </c>
      <c r="M115">
        <v>1.7697922095825792E-5</v>
      </c>
      <c r="N115" s="1">
        <v>3.3540610518609201E-6</v>
      </c>
      <c r="O115" s="1">
        <v>9.5423053045552506E-8</v>
      </c>
      <c r="P115" s="1">
        <v>-4.9006916730735495E-7</v>
      </c>
      <c r="Q115">
        <v>72.836178276512797</v>
      </c>
      <c r="R115">
        <v>7.6419832980838001E-2</v>
      </c>
      <c r="S115">
        <v>12.0723989316607</v>
      </c>
      <c r="T115">
        <v>0.18505653612782699</v>
      </c>
      <c r="V115">
        <v>0.43323467900481599</v>
      </c>
      <c r="W115">
        <v>2.51508311076158E-2</v>
      </c>
      <c r="X115">
        <v>5.8040379479123501E-2</v>
      </c>
      <c r="AA115">
        <v>0.51269001873219899</v>
      </c>
      <c r="AB115">
        <v>3.8500118387812701</v>
      </c>
      <c r="AC115">
        <v>4.3143348746139702</v>
      </c>
      <c r="AD115">
        <v>3.8693586319402899E-3</v>
      </c>
      <c r="AE115">
        <v>5.6326144423668101</v>
      </c>
    </row>
    <row r="116" spans="1:31" x14ac:dyDescent="0.2">
      <c r="A116">
        <v>115</v>
      </c>
      <c r="B116">
        <v>755</v>
      </c>
      <c r="C116">
        <v>220</v>
      </c>
      <c r="D116">
        <v>0.35999659582745702</v>
      </c>
      <c r="E116">
        <v>103.171259779984</v>
      </c>
      <c r="F116">
        <v>2.1956705716715499</v>
      </c>
      <c r="G116">
        <v>-1685.066467602685</v>
      </c>
      <c r="H116">
        <v>-1411.1932455710098</v>
      </c>
      <c r="I116">
        <v>266.374772194402</v>
      </c>
      <c r="J116">
        <v>138.95705108607399</v>
      </c>
      <c r="K116">
        <v>46.9884968679252</v>
      </c>
      <c r="L116">
        <v>1.505973346615053E-4</v>
      </c>
      <c r="M116">
        <v>1.7690371574080361E-5</v>
      </c>
      <c r="N116" s="1">
        <v>3.35211955074393E-6</v>
      </c>
      <c r="O116" s="1">
        <v>9.5182994242819098E-8</v>
      </c>
      <c r="P116" s="1">
        <v>-4.8940062558852799E-7</v>
      </c>
      <c r="Q116">
        <v>72.791907380640197</v>
      </c>
      <c r="R116">
        <v>7.6571712091595898E-2</v>
      </c>
      <c r="S116">
        <v>12.0963919861205</v>
      </c>
      <c r="T116">
        <v>0.18577980968045499</v>
      </c>
      <c r="V116">
        <v>0.43377583213917498</v>
      </c>
      <c r="W116">
        <v>2.5200816637738401E-2</v>
      </c>
      <c r="X116">
        <v>5.8155730702485198E-2</v>
      </c>
      <c r="AA116">
        <v>0.51370895453854803</v>
      </c>
      <c r="AB116">
        <v>3.8576634699308099</v>
      </c>
      <c r="AC116">
        <v>4.3229093155503504</v>
      </c>
      <c r="AD116">
        <v>3.8770487134974899E-3</v>
      </c>
      <c r="AE116">
        <v>5.6340579432544597</v>
      </c>
    </row>
    <row r="117" spans="1:31" x14ac:dyDescent="0.2">
      <c r="A117">
        <v>116</v>
      </c>
      <c r="B117">
        <v>754</v>
      </c>
      <c r="C117">
        <v>220</v>
      </c>
      <c r="D117">
        <v>0.35930535948985198</v>
      </c>
      <c r="E117">
        <v>102.967166903304</v>
      </c>
      <c r="F117">
        <v>2.19612540936114</v>
      </c>
      <c r="G117">
        <v>-1681.4146205019129</v>
      </c>
      <c r="H117">
        <v>-1408.4602217974634</v>
      </c>
      <c r="I117">
        <v>265.73956939536498</v>
      </c>
      <c r="J117">
        <v>138.68947473128699</v>
      </c>
      <c r="K117">
        <v>46.885831958593997</v>
      </c>
      <c r="L117">
        <v>1.5063536666217131E-4</v>
      </c>
      <c r="M117">
        <v>1.7682812941912251E-5</v>
      </c>
      <c r="N117" s="1">
        <v>3.35019514513797E-6</v>
      </c>
      <c r="O117" s="1">
        <v>9.49440532404942E-8</v>
      </c>
      <c r="P117" s="1">
        <v>-4.8873565337114996E-7</v>
      </c>
      <c r="Q117">
        <v>72.747661020474197</v>
      </c>
      <c r="R117">
        <v>7.6723486112995801E-2</v>
      </c>
      <c r="S117">
        <v>12.1203684391217</v>
      </c>
      <c r="T117">
        <v>0.18650562320604</v>
      </c>
      <c r="V117">
        <v>0.43431387502604502</v>
      </c>
      <c r="W117">
        <v>2.5250767581490099E-2</v>
      </c>
      <c r="X117">
        <v>5.8271002111143597E-2</v>
      </c>
      <c r="AA117">
        <v>0.51472718531502804</v>
      </c>
      <c r="AB117">
        <v>3.8653098067051199</v>
      </c>
      <c r="AC117">
        <v>4.33147782359391</v>
      </c>
      <c r="AD117">
        <v>3.8847334740745999E-3</v>
      </c>
      <c r="AE117">
        <v>5.6355062372781299</v>
      </c>
    </row>
    <row r="118" spans="1:31" x14ac:dyDescent="0.2">
      <c r="A118">
        <v>117</v>
      </c>
      <c r="B118">
        <v>753</v>
      </c>
      <c r="C118">
        <v>220</v>
      </c>
      <c r="D118">
        <v>0.35861277590995699</v>
      </c>
      <c r="E118">
        <v>102.764019553943</v>
      </c>
      <c r="F118">
        <v>2.1965803595801301</v>
      </c>
      <c r="G118">
        <v>-1677.7795925477226</v>
      </c>
      <c r="H118">
        <v>-1405.7399624336806</v>
      </c>
      <c r="I118">
        <v>265.10707997275398</v>
      </c>
      <c r="J118">
        <v>138.42312979868899</v>
      </c>
      <c r="K118">
        <v>46.783637623704699</v>
      </c>
      <c r="L118">
        <v>1.5067335688235726E-4</v>
      </c>
      <c r="M118">
        <v>1.7675246130494217E-5</v>
      </c>
      <c r="N118" s="1">
        <v>3.3482876922939302E-6</v>
      </c>
      <c r="O118" s="1">
        <v>9.4706221054063303E-8</v>
      </c>
      <c r="P118" s="1">
        <v>-4.8807422074226197E-7</v>
      </c>
      <c r="Q118">
        <v>72.703439047513697</v>
      </c>
      <c r="R118">
        <v>7.6875155665289102E-2</v>
      </c>
      <c r="S118">
        <v>12.1443283886489</v>
      </c>
      <c r="T118">
        <v>0.187233991454541</v>
      </c>
      <c r="V118">
        <v>0.43484879926095998</v>
      </c>
      <c r="W118">
        <v>2.5300684143004199E-2</v>
      </c>
      <c r="X118">
        <v>5.8386194176177103E-2</v>
      </c>
      <c r="AA118">
        <v>0.51574471522281695</v>
      </c>
      <c r="AB118">
        <v>3.8729508803522799</v>
      </c>
      <c r="AC118">
        <v>4.3400404337613203</v>
      </c>
      <c r="AD118">
        <v>3.8924129450767001E-3</v>
      </c>
      <c r="AE118">
        <v>5.6369592968558502</v>
      </c>
    </row>
    <row r="119" spans="1:31" x14ac:dyDescent="0.2">
      <c r="A119">
        <v>118</v>
      </c>
      <c r="B119">
        <v>752</v>
      </c>
      <c r="C119">
        <v>220</v>
      </c>
      <c r="D119">
        <v>0.35791884114519901</v>
      </c>
      <c r="E119">
        <v>102.14290049277901</v>
      </c>
      <c r="F119">
        <v>2.1971546914418401</v>
      </c>
      <c r="G119">
        <v>-1667.2069080430342</v>
      </c>
      <c r="H119">
        <v>-1397.2265395946824</v>
      </c>
      <c r="I119">
        <v>263.35694137282502</v>
      </c>
      <c r="J119">
        <v>137.58110927320701</v>
      </c>
      <c r="K119">
        <v>46.488716015598101</v>
      </c>
      <c r="L119">
        <v>1.5063845757898683E-4</v>
      </c>
      <c r="M119">
        <v>1.7660810843801655E-5</v>
      </c>
      <c r="N119" s="1">
        <v>3.3301902965944501E-6</v>
      </c>
      <c r="O119" s="1">
        <v>9.4017878296022301E-8</v>
      </c>
      <c r="P119" s="1">
        <v>-4.8510224357011205E-7</v>
      </c>
      <c r="Q119">
        <v>72.662879322569395</v>
      </c>
      <c r="R119">
        <v>7.7342624518077302E-2</v>
      </c>
      <c r="S119">
        <v>12.16396374536</v>
      </c>
      <c r="T119">
        <v>0.18873663297170301</v>
      </c>
      <c r="V119">
        <v>0.43716544877265701</v>
      </c>
      <c r="W119">
        <v>2.5454534651515998E-2</v>
      </c>
      <c r="X119">
        <v>5.8741233811208798E-2</v>
      </c>
      <c r="AA119">
        <v>0.51337707576194003</v>
      </c>
      <c r="AB119">
        <v>3.87301779286138</v>
      </c>
      <c r="AC119">
        <v>4.3612831554451796</v>
      </c>
      <c r="AD119">
        <v>3.9160822540782502E-3</v>
      </c>
      <c r="AE119">
        <v>5.6341223510228504</v>
      </c>
    </row>
    <row r="120" spans="1:31" x14ac:dyDescent="0.2">
      <c r="A120">
        <v>119</v>
      </c>
      <c r="B120">
        <v>751</v>
      </c>
      <c r="C120">
        <v>220</v>
      </c>
      <c r="D120">
        <v>0.35722355123761301</v>
      </c>
      <c r="E120">
        <v>99.749890444912495</v>
      </c>
      <c r="F120">
        <v>2.1982502608660099</v>
      </c>
      <c r="G120">
        <v>-1627.2473143740115</v>
      </c>
      <c r="H120">
        <v>-1364.1666994221159</v>
      </c>
      <c r="I120">
        <v>256.87703456709897</v>
      </c>
      <c r="J120">
        <v>134.301691600927</v>
      </c>
      <c r="K120">
        <v>45.376949213059802</v>
      </c>
      <c r="L120">
        <v>1.5029741969666168E-4</v>
      </c>
      <c r="M120">
        <v>1.761758949334845E-5</v>
      </c>
      <c r="N120" s="1">
        <v>3.2438151945812802E-6</v>
      </c>
      <c r="O120" s="1">
        <v>9.1431993269902994E-8</v>
      </c>
      <c r="P120" s="1">
        <v>-4.7237679492105898E-7</v>
      </c>
      <c r="Q120">
        <v>72.636450839268704</v>
      </c>
      <c r="R120">
        <v>7.9198081970458106E-2</v>
      </c>
      <c r="S120">
        <v>12.1661362104294</v>
      </c>
      <c r="T120">
        <v>0.19363696758206</v>
      </c>
      <c r="V120">
        <v>0.447317891711076</v>
      </c>
      <c r="W120">
        <v>2.6065191534577401E-2</v>
      </c>
      <c r="X120">
        <v>6.0150442002892802E-2</v>
      </c>
      <c r="AA120">
        <v>0.49826683508510899</v>
      </c>
      <c r="AB120">
        <v>3.8404508071930299</v>
      </c>
      <c r="AC120">
        <v>4.4350994843750398</v>
      </c>
      <c r="AD120">
        <v>4.01002946685687E-3</v>
      </c>
      <c r="AE120">
        <v>5.6132172193806804</v>
      </c>
    </row>
    <row r="121" spans="1:31" x14ac:dyDescent="0.2">
      <c r="A121">
        <v>120</v>
      </c>
      <c r="B121">
        <v>750</v>
      </c>
      <c r="C121">
        <v>220</v>
      </c>
      <c r="D121">
        <v>0.356526902213751</v>
      </c>
      <c r="E121">
        <v>97.1306559960057</v>
      </c>
      <c r="F121">
        <v>2.19943334276799</v>
      </c>
      <c r="G121">
        <v>-1583.5962592996914</v>
      </c>
      <c r="H121">
        <v>-1327.9987171009409</v>
      </c>
      <c r="I121">
        <v>249.814340222597</v>
      </c>
      <c r="J121">
        <v>130.71766393714901</v>
      </c>
      <c r="K121">
        <v>44.161672966986202</v>
      </c>
      <c r="L121">
        <v>1.4993046484888386E-4</v>
      </c>
      <c r="M121">
        <v>1.7571979787031613E-5</v>
      </c>
      <c r="N121" s="1">
        <v>3.1495731419334398E-6</v>
      </c>
      <c r="O121" s="1">
        <v>8.8634887859271104E-8</v>
      </c>
      <c r="P121" s="1">
        <v>-4.5851283693426999E-7</v>
      </c>
      <c r="Q121">
        <v>72.608777777875105</v>
      </c>
      <c r="R121">
        <v>8.1333744933478294E-2</v>
      </c>
      <c r="S121">
        <v>12.1679276923527</v>
      </c>
      <c r="T121">
        <v>0.19923100101716801</v>
      </c>
      <c r="V121">
        <v>0.45904521803084702</v>
      </c>
      <c r="W121">
        <v>2.67680679527851E-2</v>
      </c>
      <c r="X121">
        <v>6.1772464506457597E-2</v>
      </c>
      <c r="AA121">
        <v>0.48479911304268197</v>
      </c>
      <c r="AB121">
        <v>3.8034728491097698</v>
      </c>
      <c r="AC121">
        <v>4.5120449918829504</v>
      </c>
      <c r="AD121">
        <v>4.11816430042692E-3</v>
      </c>
      <c r="AE121">
        <v>5.5907089149954299</v>
      </c>
    </row>
    <row r="122" spans="1:31" x14ac:dyDescent="0.2">
      <c r="A122">
        <v>121</v>
      </c>
      <c r="B122">
        <v>749</v>
      </c>
      <c r="C122">
        <v>220</v>
      </c>
      <c r="D122">
        <v>0.35582889008462698</v>
      </c>
      <c r="E122">
        <v>79.039073216751206</v>
      </c>
      <c r="F122">
        <v>2.2021564718273101</v>
      </c>
      <c r="G122">
        <v>-1287.0671324065922</v>
      </c>
      <c r="H122">
        <v>-1079.4393178671239</v>
      </c>
      <c r="I122">
        <v>203.128517868676</v>
      </c>
      <c r="J122">
        <v>106.36657776064899</v>
      </c>
      <c r="K122">
        <v>35.8916699280527</v>
      </c>
      <c r="L122">
        <v>1.5001670754688688E-4</v>
      </c>
      <c r="M122">
        <v>1.7557077444772293E-5</v>
      </c>
      <c r="N122" s="1">
        <v>2.5625233697451899E-6</v>
      </c>
      <c r="O122" s="1">
        <v>7.1981497128067098E-8</v>
      </c>
      <c r="P122" s="1">
        <v>-3.7269504019572899E-7</v>
      </c>
      <c r="Q122">
        <v>72.460496794949293</v>
      </c>
      <c r="R122">
        <v>9.9950564682566204E-2</v>
      </c>
      <c r="S122">
        <v>12.159005719735299</v>
      </c>
      <c r="T122">
        <v>0.24463882380929</v>
      </c>
      <c r="V122">
        <v>0.56429344571398099</v>
      </c>
      <c r="W122">
        <v>3.2895122553744299E-2</v>
      </c>
      <c r="X122">
        <v>7.5911821277938094E-2</v>
      </c>
      <c r="AA122">
        <v>0.48693548452136698</v>
      </c>
      <c r="AB122">
        <v>3.7755420119543501</v>
      </c>
      <c r="AC122">
        <v>4.5118352612462003</v>
      </c>
      <c r="AD122">
        <v>5.0607880851899897E-3</v>
      </c>
      <c r="AE122">
        <v>5.5834341614706497</v>
      </c>
    </row>
    <row r="123" spans="1:31" x14ac:dyDescent="0.2">
      <c r="A123">
        <v>122</v>
      </c>
      <c r="B123">
        <v>748</v>
      </c>
      <c r="C123">
        <v>220</v>
      </c>
      <c r="D123">
        <v>0.355129510845618</v>
      </c>
      <c r="E123">
        <v>44.839360346678298</v>
      </c>
      <c r="F123">
        <v>2.2048854834513101</v>
      </c>
      <c r="G123">
        <v>-729.63655480812372</v>
      </c>
      <c r="H123">
        <v>-612.06758187858668</v>
      </c>
      <c r="I123">
        <v>115.133891132093</v>
      </c>
      <c r="J123">
        <v>60.364218700274897</v>
      </c>
      <c r="K123">
        <v>20.336366982874399</v>
      </c>
      <c r="L123">
        <v>1.5000916106240595E-4</v>
      </c>
      <c r="M123">
        <v>1.7539381255515937E-5</v>
      </c>
      <c r="N123" s="1">
        <v>1.4526591848345401E-6</v>
      </c>
      <c r="O123" s="1">
        <v>4.0730017980387601E-8</v>
      </c>
      <c r="P123" s="1">
        <v>-2.1088546873810901E-7</v>
      </c>
      <c r="Q123">
        <v>72.3027792808345</v>
      </c>
      <c r="R123">
        <v>0.12601439218157001</v>
      </c>
      <c r="S123">
        <v>12.2007431222927</v>
      </c>
      <c r="T123">
        <v>0.265940661903738</v>
      </c>
      <c r="V123">
        <v>0.61472488096242095</v>
      </c>
      <c r="W123">
        <v>5.79847700747078E-2</v>
      </c>
      <c r="X123">
        <v>0.12840812357369299</v>
      </c>
      <c r="AA123">
        <v>0.49391460149869298</v>
      </c>
      <c r="AB123">
        <v>3.7195967335694999</v>
      </c>
      <c r="AC123">
        <v>4.5080349085475602</v>
      </c>
      <c r="AD123">
        <v>8.9207338576405594E-3</v>
      </c>
      <c r="AE123">
        <v>5.5729377907031301</v>
      </c>
    </row>
    <row r="124" spans="1:31" x14ac:dyDescent="0.2">
      <c r="A124">
        <v>123</v>
      </c>
      <c r="B124">
        <v>747</v>
      </c>
      <c r="C124">
        <v>220</v>
      </c>
      <c r="D124">
        <v>0.35442876047640198</v>
      </c>
      <c r="E124">
        <v>19.4695495596476</v>
      </c>
      <c r="F124">
        <v>2.2074545594109098</v>
      </c>
      <c r="G124">
        <v>-316.77202301267766</v>
      </c>
      <c r="H124">
        <v>-265.83900362654907</v>
      </c>
      <c r="I124">
        <v>49.926990527009202</v>
      </c>
      <c r="J124">
        <v>26.221932750353101</v>
      </c>
      <c r="K124">
        <v>8.8199095544885395</v>
      </c>
      <c r="L124">
        <v>1.4982023554003086E-4</v>
      </c>
      <c r="M124">
        <v>1.7524135126302773E-5</v>
      </c>
      <c r="N124" s="1">
        <v>6.2970252631199001E-7</v>
      </c>
      <c r="O124" s="1">
        <v>1.76241302531305E-8</v>
      </c>
      <c r="P124" s="1">
        <v>-9.10988768571378E-8</v>
      </c>
      <c r="Q124">
        <v>72.099638507437703</v>
      </c>
      <c r="R124">
        <v>0.15920211185459901</v>
      </c>
      <c r="S124">
        <v>12.404498202471499</v>
      </c>
      <c r="T124">
        <v>0.250018110888305</v>
      </c>
      <c r="V124">
        <v>0.58066076516438003</v>
      </c>
      <c r="W124">
        <v>0.133541867110653</v>
      </c>
      <c r="X124">
        <v>0.16375750535956801</v>
      </c>
      <c r="AA124">
        <v>0.49841608519620101</v>
      </c>
      <c r="AB124">
        <v>3.5968656585079799</v>
      </c>
      <c r="AC124">
        <v>4.53554874242871</v>
      </c>
      <c r="AD124">
        <v>2.0544902632387101E-2</v>
      </c>
      <c r="AE124">
        <v>5.5573075409479102</v>
      </c>
    </row>
    <row r="125" spans="1:31" x14ac:dyDescent="0.2">
      <c r="A125">
        <v>124</v>
      </c>
      <c r="B125">
        <v>746</v>
      </c>
      <c r="C125">
        <v>220</v>
      </c>
      <c r="D125">
        <v>0.35372663494088302</v>
      </c>
      <c r="E125">
        <v>11.0620495032676</v>
      </c>
      <c r="F125">
        <v>2.20996920538157</v>
      </c>
      <c r="G125">
        <v>-179.91955465585443</v>
      </c>
      <c r="H125">
        <v>-151.03863093912275</v>
      </c>
      <c r="I125">
        <v>28.338246300084901</v>
      </c>
      <c r="J125">
        <v>14.905620965674601</v>
      </c>
      <c r="K125">
        <v>5.0055220119493198</v>
      </c>
      <c r="L125">
        <v>1.4991298234896342E-4</v>
      </c>
      <c r="M125">
        <v>1.7540870258784789E-5</v>
      </c>
      <c r="N125" s="1">
        <v>3.58280072646208E-7</v>
      </c>
      <c r="O125" s="1">
        <v>1.0007471702225101E-8</v>
      </c>
      <c r="P125" s="1">
        <v>-5.1634207859285299E-8</v>
      </c>
      <c r="Q125">
        <v>71.826459221917901</v>
      </c>
      <c r="R125">
        <v>0.15311280245214801</v>
      </c>
      <c r="S125">
        <v>12.6876419451198</v>
      </c>
      <c r="T125">
        <v>0.24835514852389401</v>
      </c>
      <c r="V125">
        <v>0.58113451994148702</v>
      </c>
      <c r="W125">
        <v>0.23210009637211401</v>
      </c>
      <c r="X125">
        <v>0.16208272202115001</v>
      </c>
      <c r="AA125">
        <v>0.49883625462010101</v>
      </c>
      <c r="AB125">
        <v>3.46508894817085</v>
      </c>
      <c r="AC125">
        <v>4.5502734693694</v>
      </c>
      <c r="AD125">
        <v>3.6159664615606303E-2</v>
      </c>
      <c r="AE125">
        <v>5.5587552068754604</v>
      </c>
    </row>
    <row r="126" spans="1:31" x14ac:dyDescent="0.2">
      <c r="A126">
        <v>125</v>
      </c>
      <c r="B126">
        <v>745</v>
      </c>
      <c r="C126">
        <v>220</v>
      </c>
      <c r="D126">
        <v>0.35302313018710402</v>
      </c>
      <c r="E126">
        <v>7.9934688777732301</v>
      </c>
      <c r="F126">
        <v>2.2122036089603201</v>
      </c>
      <c r="G126">
        <v>-129.97337322887012</v>
      </c>
      <c r="H126">
        <v>-109.14401994434871</v>
      </c>
      <c r="I126">
        <v>20.4580398610434</v>
      </c>
      <c r="J126">
        <v>10.7756167554936</v>
      </c>
      <c r="K126">
        <v>3.6133513413487002</v>
      </c>
      <c r="L126">
        <v>1.5000695863533116E-4</v>
      </c>
      <c r="M126">
        <v>1.7555619316886627E-5</v>
      </c>
      <c r="N126" s="1">
        <v>2.5927403496493997E-7</v>
      </c>
      <c r="O126" s="1">
        <v>7.2275480867771698E-9</v>
      </c>
      <c r="P126" s="1">
        <v>-3.7234236532938397E-8</v>
      </c>
      <c r="Q126">
        <v>71.582722407481796</v>
      </c>
      <c r="R126">
        <v>0.15223629125452301</v>
      </c>
      <c r="S126">
        <v>12.939087444834501</v>
      </c>
      <c r="T126">
        <v>0.24530617878451999</v>
      </c>
      <c r="V126">
        <v>0.57756590878818104</v>
      </c>
      <c r="W126">
        <v>0.318446526401928</v>
      </c>
      <c r="X126">
        <v>0.161559983549522</v>
      </c>
      <c r="AA126">
        <v>0.49883330622437899</v>
      </c>
      <c r="AB126">
        <v>3.35270964076483</v>
      </c>
      <c r="AC126">
        <v>4.5609076953836496</v>
      </c>
      <c r="AD126">
        <v>5.0040852865724801E-2</v>
      </c>
      <c r="AE126">
        <v>5.5605837636663598</v>
      </c>
    </row>
    <row r="127" spans="1:31" x14ac:dyDescent="0.2">
      <c r="A127">
        <v>126</v>
      </c>
      <c r="B127">
        <v>764</v>
      </c>
      <c r="C127">
        <v>200</v>
      </c>
      <c r="D127">
        <v>0.38736971508460899</v>
      </c>
      <c r="E127">
        <v>104.44774642164801</v>
      </c>
      <c r="F127">
        <v>2.1931850409610298</v>
      </c>
      <c r="G127">
        <v>-1707.9426579403414</v>
      </c>
      <c r="H127">
        <v>-1429.1634460684616</v>
      </c>
      <c r="I127">
        <v>268.79353215241701</v>
      </c>
      <c r="J127">
        <v>140.32459897233099</v>
      </c>
      <c r="K127">
        <v>47.623772947074499</v>
      </c>
      <c r="L127">
        <v>1.4651561091272086E-4</v>
      </c>
      <c r="M127">
        <v>1.7650718185491684E-5</v>
      </c>
      <c r="N127" s="1">
        <v>3.1982634691625002E-6</v>
      </c>
      <c r="O127" s="1">
        <v>9.3649504346346302E-8</v>
      </c>
      <c r="P127" s="1">
        <v>-4.7730180157347099E-7</v>
      </c>
      <c r="Q127">
        <v>73.357255302296394</v>
      </c>
      <c r="R127">
        <v>7.5635906667705796E-2</v>
      </c>
      <c r="S127">
        <v>11.9485584204178</v>
      </c>
      <c r="T127">
        <v>0.18224911427254201</v>
      </c>
      <c r="V127">
        <v>0.42960849501398601</v>
      </c>
      <c r="W127">
        <v>2.4892830042535799E-2</v>
      </c>
      <c r="X127">
        <v>5.7444992405853199E-2</v>
      </c>
      <c r="AA127">
        <v>0.50743076625169603</v>
      </c>
      <c r="AB127">
        <v>3.8105178295881901</v>
      </c>
      <c r="AC127">
        <v>4.2700777688349802</v>
      </c>
      <c r="AD127">
        <v>3.8296661603900699E-3</v>
      </c>
      <c r="AE127">
        <v>5.3324989080477598</v>
      </c>
    </row>
    <row r="128" spans="1:31" x14ac:dyDescent="0.2">
      <c r="A128">
        <v>127</v>
      </c>
      <c r="B128">
        <v>763</v>
      </c>
      <c r="C128">
        <v>200</v>
      </c>
      <c r="D128">
        <v>0.38671090093133698</v>
      </c>
      <c r="E128">
        <v>104.388053557451</v>
      </c>
      <c r="F128">
        <v>2.1935563654669599</v>
      </c>
      <c r="G128">
        <v>-1706.68004402518</v>
      </c>
      <c r="H128">
        <v>-1428.4644918928323</v>
      </c>
      <c r="I128">
        <v>268.50895346460197</v>
      </c>
      <c r="J128">
        <v>140.23633089889501</v>
      </c>
      <c r="K128">
        <v>47.588498385921</v>
      </c>
      <c r="L128">
        <v>1.4648577231636645E-4</v>
      </c>
      <c r="M128">
        <v>1.7642632488617275E-5</v>
      </c>
      <c r="N128" s="1">
        <v>3.2000783243237599E-6</v>
      </c>
      <c r="O128" s="1">
        <v>9.3524060436766402E-8</v>
      </c>
      <c r="P128" s="1">
        <v>-4.7699585638749804E-7</v>
      </c>
      <c r="Q128">
        <v>73.345118356071595</v>
      </c>
      <c r="R128">
        <v>7.5679158014495804E-2</v>
      </c>
      <c r="S128">
        <v>11.9553910382404</v>
      </c>
      <c r="T128">
        <v>0.182653271887775</v>
      </c>
      <c r="V128">
        <v>0.429584270490873</v>
      </c>
      <c r="W128">
        <v>2.4907064662998201E-2</v>
      </c>
      <c r="X128">
        <v>5.7477841529998297E-2</v>
      </c>
      <c r="AA128">
        <v>0.50772093351497105</v>
      </c>
      <c r="AB128">
        <v>3.8126968214897401</v>
      </c>
      <c r="AC128">
        <v>4.2725195537296603</v>
      </c>
      <c r="AD128">
        <v>3.8318561019996E-3</v>
      </c>
      <c r="AE128">
        <v>5.3324198342653997</v>
      </c>
    </row>
    <row r="129" spans="1:31" x14ac:dyDescent="0.2">
      <c r="A129">
        <v>128</v>
      </c>
      <c r="B129">
        <v>762</v>
      </c>
      <c r="C129">
        <v>200</v>
      </c>
      <c r="D129">
        <v>0.38605081389170998</v>
      </c>
      <c r="E129">
        <v>104.183252144226</v>
      </c>
      <c r="F129">
        <v>2.1940037093648699</v>
      </c>
      <c r="G129">
        <v>-1703.0108518756326</v>
      </c>
      <c r="H129">
        <v>-1425.7223801962798</v>
      </c>
      <c r="I129">
        <v>267.87274470303998</v>
      </c>
      <c r="J129">
        <v>139.96809686643999</v>
      </c>
      <c r="K129">
        <v>47.485449409010101</v>
      </c>
      <c r="L129">
        <v>1.4652301973761233E-4</v>
      </c>
      <c r="M129">
        <v>1.7635258239765177E-5</v>
      </c>
      <c r="N129" s="1">
        <v>3.1982267104565701E-6</v>
      </c>
      <c r="O129" s="1">
        <v>9.3290476223851303E-8</v>
      </c>
      <c r="P129" s="1">
        <v>-4.7634895523068997E-7</v>
      </c>
      <c r="Q129">
        <v>73.301928030096207</v>
      </c>
      <c r="R129">
        <v>7.5827926633195306E-2</v>
      </c>
      <c r="S129">
        <v>11.9788927137011</v>
      </c>
      <c r="T129">
        <v>0.183357083974341</v>
      </c>
      <c r="V129">
        <v>0.43011852381008497</v>
      </c>
      <c r="W129">
        <v>2.4956026486873801E-2</v>
      </c>
      <c r="X129">
        <v>5.7590830354327598E-2</v>
      </c>
      <c r="AA129">
        <v>0.50871900146320703</v>
      </c>
      <c r="AB129">
        <v>3.8201917468368598</v>
      </c>
      <c r="AC129">
        <v>4.28091838967139</v>
      </c>
      <c r="AD129">
        <v>3.8393886902880802E-3</v>
      </c>
      <c r="AE129">
        <v>5.3336603382819803</v>
      </c>
    </row>
    <row r="130" spans="1:31" x14ac:dyDescent="0.2">
      <c r="A130">
        <v>129</v>
      </c>
      <c r="B130">
        <v>761</v>
      </c>
      <c r="C130">
        <v>200</v>
      </c>
      <c r="D130">
        <v>0.38538945027317301</v>
      </c>
      <c r="E130">
        <v>103.979395112981</v>
      </c>
      <c r="F130">
        <v>2.1944511870122998</v>
      </c>
      <c r="G130">
        <v>-1699.3584713168011</v>
      </c>
      <c r="H130">
        <v>-1422.993019038759</v>
      </c>
      <c r="I130">
        <v>267.23923248855698</v>
      </c>
      <c r="J130">
        <v>139.70108857794301</v>
      </c>
      <c r="K130">
        <v>47.382869907690797</v>
      </c>
      <c r="L130">
        <v>1.4656021219241496E-4</v>
      </c>
      <c r="M130">
        <v>1.7627875139777864E-5</v>
      </c>
      <c r="N130" s="1">
        <v>3.1963905422247901E-6</v>
      </c>
      <c r="O130" s="1">
        <v>9.3057958279641302E-8</v>
      </c>
      <c r="P130" s="1">
        <v>-4.757053810416E-7</v>
      </c>
      <c r="Q130">
        <v>73.258763220605104</v>
      </c>
      <c r="R130">
        <v>7.5976591241141103E-2</v>
      </c>
      <c r="S130">
        <v>12.0023779580966</v>
      </c>
      <c r="T130">
        <v>0.18406333256632099</v>
      </c>
      <c r="V130">
        <v>0.43064976844789898</v>
      </c>
      <c r="W130">
        <v>2.5004954079361898E-2</v>
      </c>
      <c r="X130">
        <v>5.7703740183148597E-2</v>
      </c>
      <c r="AA130">
        <v>0.50971637161777905</v>
      </c>
      <c r="AB130">
        <v>3.8276814321485202</v>
      </c>
      <c r="AC130">
        <v>4.2893113536135399</v>
      </c>
      <c r="AD130">
        <v>3.84691601220918E-3</v>
      </c>
      <c r="AE130">
        <v>5.3349043613882703</v>
      </c>
    </row>
    <row r="131" spans="1:31" x14ac:dyDescent="0.2">
      <c r="A131">
        <v>130</v>
      </c>
      <c r="B131">
        <v>760</v>
      </c>
      <c r="C131">
        <v>200</v>
      </c>
      <c r="D131">
        <v>0.38472680636887402</v>
      </c>
      <c r="E131">
        <v>103.776475274863</v>
      </c>
      <c r="F131">
        <v>2.1948988002914498</v>
      </c>
      <c r="G131">
        <v>-1695.7227752630083</v>
      </c>
      <c r="H131">
        <v>-1420.2763110561509</v>
      </c>
      <c r="I131">
        <v>266.60839588332499</v>
      </c>
      <c r="J131">
        <v>139.435296683903</v>
      </c>
      <c r="K131">
        <v>47.280756297777202</v>
      </c>
      <c r="L131">
        <v>1.4659734898604646E-4</v>
      </c>
      <c r="M131">
        <v>1.7620483107931193E-5</v>
      </c>
      <c r="N131" s="1">
        <v>3.1945696809757201E-6</v>
      </c>
      <c r="O131" s="1">
        <v>9.2826497918575404E-8</v>
      </c>
      <c r="P131" s="1">
        <v>-4.7506510467885202E-7</v>
      </c>
      <c r="Q131">
        <v>73.215623794592503</v>
      </c>
      <c r="R131">
        <v>7.6125152440146601E-2</v>
      </c>
      <c r="S131">
        <v>12.0258468664969</v>
      </c>
      <c r="T131">
        <v>0.18477203178731999</v>
      </c>
      <c r="V131">
        <v>0.43117799641896398</v>
      </c>
      <c r="W131">
        <v>2.5053847638528099E-2</v>
      </c>
      <c r="X131">
        <v>5.7816571473533203E-2</v>
      </c>
      <c r="AA131">
        <v>0.51071304801617001</v>
      </c>
      <c r="AB131">
        <v>3.8351659077439701</v>
      </c>
      <c r="AC131">
        <v>4.2976984795320403</v>
      </c>
      <c r="AD131">
        <v>3.8544380982346699E-3</v>
      </c>
      <c r="AE131">
        <v>5.3361518657615798</v>
      </c>
    </row>
    <row r="132" spans="1:31" x14ac:dyDescent="0.2">
      <c r="A132">
        <v>131</v>
      </c>
      <c r="B132">
        <v>759</v>
      </c>
      <c r="C132">
        <v>200</v>
      </c>
      <c r="D132">
        <v>0.38406287845759102</v>
      </c>
      <c r="E132">
        <v>103.574485517013</v>
      </c>
      <c r="F132">
        <v>2.1953465510871499</v>
      </c>
      <c r="G132">
        <v>-1692.1036379667617</v>
      </c>
      <c r="H132">
        <v>-1417.5721599157825</v>
      </c>
      <c r="I132">
        <v>265.98021416555599</v>
      </c>
      <c r="J132">
        <v>139.17071193312501</v>
      </c>
      <c r="K132">
        <v>47.179105032743998</v>
      </c>
      <c r="L132">
        <v>1.4663442941641834E-4</v>
      </c>
      <c r="M132">
        <v>1.761308206316735E-5</v>
      </c>
      <c r="N132" s="1">
        <v>3.1927639891953701E-6</v>
      </c>
      <c r="O132" s="1">
        <v>9.2596086540504295E-8</v>
      </c>
      <c r="P132" s="1">
        <v>-4.7442809726129201E-7</v>
      </c>
      <c r="Q132">
        <v>73.172509620611606</v>
      </c>
      <c r="R132">
        <v>7.6273610827663693E-2</v>
      </c>
      <c r="S132">
        <v>12.049299533285399</v>
      </c>
      <c r="T132">
        <v>0.185483195824487</v>
      </c>
      <c r="V132">
        <v>0.43170319964627402</v>
      </c>
      <c r="W132">
        <v>2.5102707361001699E-2</v>
      </c>
      <c r="X132">
        <v>5.79293246792437E-2</v>
      </c>
      <c r="AA132">
        <v>0.5117090346666</v>
      </c>
      <c r="AB132">
        <v>3.8426452037226402</v>
      </c>
      <c r="AC132">
        <v>4.3060798011563302</v>
      </c>
      <c r="AD132">
        <v>3.8619549786151398E-3</v>
      </c>
      <c r="AE132">
        <v>5.3374028132401303</v>
      </c>
    </row>
    <row r="133" spans="1:31" x14ac:dyDescent="0.2">
      <c r="A133">
        <v>132</v>
      </c>
      <c r="B133">
        <v>758</v>
      </c>
      <c r="C133">
        <v>200</v>
      </c>
      <c r="D133">
        <v>0.383397662803666</v>
      </c>
      <c r="E133">
        <v>103.37341879629101</v>
      </c>
      <c r="F133">
        <v>2.1957944412945301</v>
      </c>
      <c r="G133">
        <v>-1688.5009349128366</v>
      </c>
      <c r="H133">
        <v>-1414.8804702288257</v>
      </c>
      <c r="I133">
        <v>265.354666812792</v>
      </c>
      <c r="J133">
        <v>138.907325164664</v>
      </c>
      <c r="K133">
        <v>47.077912600665599</v>
      </c>
      <c r="L133">
        <v>1.4667145277358432E-4</v>
      </c>
      <c r="M133">
        <v>1.7605671923879067E-5</v>
      </c>
      <c r="N133" s="1">
        <v>3.1909733302634502E-6</v>
      </c>
      <c r="O133" s="1">
        <v>9.2366715623118101E-8</v>
      </c>
      <c r="P133" s="1">
        <v>-4.7379433013535999E-7</v>
      </c>
      <c r="Q133">
        <v>73.129420567781807</v>
      </c>
      <c r="R133">
        <v>7.6421967000704499E-2</v>
      </c>
      <c r="S133">
        <v>12.0727360527738</v>
      </c>
      <c r="T133">
        <v>0.18619683894015199</v>
      </c>
      <c r="V133">
        <v>0.43222536998194599</v>
      </c>
      <c r="W133">
        <v>2.51515334432681E-2</v>
      </c>
      <c r="X133">
        <v>5.8042000253705699E-2</v>
      </c>
      <c r="AA133">
        <v>0.51270433557434103</v>
      </c>
      <c r="AB133">
        <v>3.8501193501618798</v>
      </c>
      <c r="AC133">
        <v>4.3144553521912403</v>
      </c>
      <c r="AD133">
        <v>3.8694666835791302E-3</v>
      </c>
      <c r="AE133">
        <v>5.33865716521351</v>
      </c>
    </row>
    <row r="134" spans="1:31" x14ac:dyDescent="0.2">
      <c r="A134">
        <v>133</v>
      </c>
      <c r="B134">
        <v>757</v>
      </c>
      <c r="C134">
        <v>200</v>
      </c>
      <c r="D134">
        <v>0.38273115565694399</v>
      </c>
      <c r="E134">
        <v>102.901731121765</v>
      </c>
      <c r="F134">
        <v>2.1963153473774999</v>
      </c>
      <c r="G134">
        <v>-1680.4053752584759</v>
      </c>
      <c r="H134">
        <v>-1408.4352297095793</v>
      </c>
      <c r="I134">
        <v>264.01023690617399</v>
      </c>
      <c r="J134">
        <v>138.27230790210399</v>
      </c>
      <c r="K134">
        <v>46.851983821282303</v>
      </c>
      <c r="L134">
        <v>1.4666460906423556E-4</v>
      </c>
      <c r="M134">
        <v>1.7593971761498614E-5</v>
      </c>
      <c r="N134" s="1">
        <v>3.17928341071006E-6</v>
      </c>
      <c r="O134" s="1">
        <v>9.1855710779416999E-8</v>
      </c>
      <c r="P134" s="1">
        <v>-4.7172481359381502E-7</v>
      </c>
      <c r="Q134">
        <v>73.088439270074602</v>
      </c>
      <c r="R134">
        <v>7.6772275003343604E-2</v>
      </c>
      <c r="S134">
        <v>12.0934003503196</v>
      </c>
      <c r="T134">
        <v>0.18740673814738501</v>
      </c>
      <c r="V134">
        <v>0.43388594203129099</v>
      </c>
      <c r="W134">
        <v>2.5266824684642301E-2</v>
      </c>
      <c r="X134">
        <v>5.8308056964573397E-2</v>
      </c>
      <c r="AA134">
        <v>0.51150970954992503</v>
      </c>
      <c r="AB134">
        <v>3.8526807513266998</v>
      </c>
      <c r="AC134">
        <v>4.3310808606252804</v>
      </c>
      <c r="AD134">
        <v>3.8872037976364201E-3</v>
      </c>
      <c r="AE134">
        <v>5.3373620174748799</v>
      </c>
    </row>
    <row r="135" spans="1:31" x14ac:dyDescent="0.2">
      <c r="A135">
        <v>134</v>
      </c>
      <c r="B135">
        <v>756</v>
      </c>
      <c r="C135">
        <v>200</v>
      </c>
      <c r="D135">
        <v>0.38206335325268598</v>
      </c>
      <c r="E135">
        <v>100.606712417824</v>
      </c>
      <c r="F135">
        <v>2.19734179626602</v>
      </c>
      <c r="G135">
        <v>-1642.0539347113747</v>
      </c>
      <c r="H135">
        <v>-1376.7104543637274</v>
      </c>
      <c r="I135">
        <v>257.82779997827998</v>
      </c>
      <c r="J135">
        <v>135.13585346359301</v>
      </c>
      <c r="K135">
        <v>45.785645450692797</v>
      </c>
      <c r="L135">
        <v>1.4636332473797392E-4</v>
      </c>
      <c r="M135">
        <v>1.7553544499896095E-5</v>
      </c>
      <c r="N135" s="1">
        <v>3.1011721301917199E-6</v>
      </c>
      <c r="O135" s="1">
        <v>8.9455529915968395E-8</v>
      </c>
      <c r="P135" s="1">
        <v>-4.6001180829638799E-7</v>
      </c>
      <c r="Q135">
        <v>73.060528541101604</v>
      </c>
      <c r="R135">
        <v>7.8523587642854095E-2</v>
      </c>
      <c r="S135">
        <v>12.096093534352599</v>
      </c>
      <c r="T135">
        <v>0.192047257708267</v>
      </c>
      <c r="V135">
        <v>0.44345483037407801</v>
      </c>
      <c r="W135">
        <v>2.5843206059669201E-2</v>
      </c>
      <c r="X135">
        <v>5.9638167830031202E-2</v>
      </c>
      <c r="AA135">
        <v>0.49684068967072997</v>
      </c>
      <c r="AB135">
        <v>3.8215956650592098</v>
      </c>
      <c r="AC135">
        <v>4.4025572097957602</v>
      </c>
      <c r="AD135">
        <v>3.9758778553320596E-3</v>
      </c>
      <c r="AE135">
        <v>5.3189014325497004</v>
      </c>
    </row>
    <row r="136" spans="1:31" x14ac:dyDescent="0.2">
      <c r="A136">
        <v>135</v>
      </c>
      <c r="B136">
        <v>755</v>
      </c>
      <c r="C136">
        <v>200</v>
      </c>
      <c r="D136">
        <v>0.38139425181150599</v>
      </c>
      <c r="E136">
        <v>98.160664664125903</v>
      </c>
      <c r="F136">
        <v>2.1984354489588802</v>
      </c>
      <c r="G136">
        <v>-1601.2433288882746</v>
      </c>
      <c r="H136">
        <v>-1342.9104918200881</v>
      </c>
      <c r="I136">
        <v>251.25987168038299</v>
      </c>
      <c r="J136">
        <v>131.79686332666799</v>
      </c>
      <c r="K136">
        <v>44.650237381594202</v>
      </c>
      <c r="L136">
        <v>1.4604234265639884E-4</v>
      </c>
      <c r="M136">
        <v>1.7511258643065399E-5</v>
      </c>
      <c r="N136" s="1">
        <v>3.0180446440305401E-6</v>
      </c>
      <c r="O136" s="1">
        <v>8.6920013860244101E-8</v>
      </c>
      <c r="P136" s="1">
        <v>-4.47560929866946E-7</v>
      </c>
      <c r="Q136">
        <v>73.031557830976993</v>
      </c>
      <c r="R136">
        <v>8.0480302644972496E-2</v>
      </c>
      <c r="S136">
        <v>12.0985723533044</v>
      </c>
      <c r="T136">
        <v>0.19719986637180301</v>
      </c>
      <c r="V136">
        <v>0.45417495384588003</v>
      </c>
      <c r="W136">
        <v>2.6487188212264801E-2</v>
      </c>
      <c r="X136">
        <v>6.1124280489869301E-2</v>
      </c>
      <c r="AA136">
        <v>0.48358104566560201</v>
      </c>
      <c r="AB136">
        <v>3.7869421636231499</v>
      </c>
      <c r="AC136">
        <v>4.4765515708343599</v>
      </c>
      <c r="AD136">
        <v>4.0749520326543104E-3</v>
      </c>
      <c r="AE136">
        <v>5.29925349199788</v>
      </c>
    </row>
    <row r="137" spans="1:31" x14ac:dyDescent="0.2">
      <c r="A137">
        <v>136</v>
      </c>
      <c r="B137">
        <v>754</v>
      </c>
      <c r="C137">
        <v>200</v>
      </c>
      <c r="D137">
        <v>0.38072384753930699</v>
      </c>
      <c r="E137">
        <v>95.4592189167372</v>
      </c>
      <c r="F137">
        <v>2.19961864884807</v>
      </c>
      <c r="G137">
        <v>-1556.2662383421332</v>
      </c>
      <c r="H137">
        <v>-1305.6009901096302</v>
      </c>
      <c r="I137">
        <v>244.039573803731</v>
      </c>
      <c r="J137">
        <v>128.11534216330799</v>
      </c>
      <c r="K137">
        <v>43.398076737860301</v>
      </c>
      <c r="L137">
        <v>1.4569862829360382E-4</v>
      </c>
      <c r="M137">
        <v>1.7466779491116089E-5</v>
      </c>
      <c r="N137" s="1">
        <v>2.9266587183316598E-6</v>
      </c>
      <c r="O137" s="1">
        <v>8.4156738923023098E-8</v>
      </c>
      <c r="P137" s="1">
        <v>-4.3389090649492599E-7</v>
      </c>
      <c r="Q137">
        <v>73.000801307128597</v>
      </c>
      <c r="R137">
        <v>8.2757852930802206E-2</v>
      </c>
      <c r="S137">
        <v>12.1007248143063</v>
      </c>
      <c r="T137">
        <v>0.203145808200179</v>
      </c>
      <c r="V137">
        <v>0.46669917519632798</v>
      </c>
      <c r="W137">
        <v>2.7236761724056101E-2</v>
      </c>
      <c r="X137">
        <v>6.2854065517084501E-2</v>
      </c>
      <c r="AA137">
        <v>0.47209914648162998</v>
      </c>
      <c r="AB137">
        <v>3.7478878972351599</v>
      </c>
      <c r="AC137">
        <v>4.5534156233360301</v>
      </c>
      <c r="AD137">
        <v>4.1902710344678702E-3</v>
      </c>
      <c r="AE137">
        <v>5.27818727690922</v>
      </c>
    </row>
    <row r="138" spans="1:31" x14ac:dyDescent="0.2">
      <c r="A138">
        <v>137</v>
      </c>
      <c r="B138">
        <v>753</v>
      </c>
      <c r="C138">
        <v>200</v>
      </c>
      <c r="D138">
        <v>0.380052136627202</v>
      </c>
      <c r="E138">
        <v>80.788755802473005</v>
      </c>
      <c r="F138">
        <v>2.2020839376707699</v>
      </c>
      <c r="G138">
        <v>-1315.6578047818673</v>
      </c>
      <c r="H138">
        <v>-1103.9218052823214</v>
      </c>
      <c r="I138">
        <v>206.34020318622501</v>
      </c>
      <c r="J138">
        <v>108.41130246157999</v>
      </c>
      <c r="K138">
        <v>36.687409785081201</v>
      </c>
      <c r="L138">
        <v>1.4565766394699189E-4</v>
      </c>
      <c r="M138">
        <v>1.744278999174391E-5</v>
      </c>
      <c r="N138" s="1">
        <v>2.4741478334693299E-6</v>
      </c>
      <c r="O138" s="1">
        <v>7.1021083782263098E-8</v>
      </c>
      <c r="P138" s="1">
        <v>-3.6649519906009398E-7</v>
      </c>
      <c r="Q138">
        <v>72.877896415511003</v>
      </c>
      <c r="R138">
        <v>9.7785885195661199E-2</v>
      </c>
      <c r="S138">
        <v>12.0950409643965</v>
      </c>
      <c r="T138">
        <v>0.23995959848512399</v>
      </c>
      <c r="V138">
        <v>0.55151524036462696</v>
      </c>
      <c r="W138">
        <v>3.2182696393499299E-2</v>
      </c>
      <c r="X138">
        <v>7.4267760908133695E-2</v>
      </c>
      <c r="AA138">
        <v>0.47582858070068801</v>
      </c>
      <c r="AB138">
        <v>3.7107307378659602</v>
      </c>
      <c r="AC138">
        <v>4.5734881717034401</v>
      </c>
      <c r="AD138">
        <v>4.9511840605365497E-3</v>
      </c>
      <c r="AE138">
        <v>5.2663527644146599</v>
      </c>
    </row>
    <row r="139" spans="1:31" x14ac:dyDescent="0.2">
      <c r="A139">
        <v>138</v>
      </c>
      <c r="B139">
        <v>752</v>
      </c>
      <c r="C139">
        <v>200</v>
      </c>
      <c r="D139">
        <v>0.37937911525142798</v>
      </c>
      <c r="E139">
        <v>50.224410718782401</v>
      </c>
      <c r="F139">
        <v>2.2049944189141399</v>
      </c>
      <c r="G139">
        <v>-817.18407701334957</v>
      </c>
      <c r="H139">
        <v>-685.81008106902789</v>
      </c>
      <c r="I139">
        <v>128.150998336166</v>
      </c>
      <c r="J139">
        <v>67.411586160005598</v>
      </c>
      <c r="K139">
        <v>22.7775681824698</v>
      </c>
      <c r="L139">
        <v>1.4562033646571581E-4</v>
      </c>
      <c r="M139">
        <v>1.7421112487468018E-5</v>
      </c>
      <c r="N139" s="1">
        <v>1.53623611494452E-6</v>
      </c>
      <c r="O139" s="1">
        <v>4.40195807963779E-8</v>
      </c>
      <c r="P139" s="1">
        <v>-2.27173777506585E-7</v>
      </c>
      <c r="Q139">
        <v>72.719940748009606</v>
      </c>
      <c r="R139">
        <v>0.123773177038737</v>
      </c>
      <c r="S139">
        <v>12.123547038487001</v>
      </c>
      <c r="T139">
        <v>0.26836520157500499</v>
      </c>
      <c r="V139">
        <v>0.61807128863319905</v>
      </c>
      <c r="W139">
        <v>5.1767655663643303E-2</v>
      </c>
      <c r="X139">
        <v>0.115861049122245</v>
      </c>
      <c r="AA139">
        <v>0.490468759581146</v>
      </c>
      <c r="AB139">
        <v>3.6504069373819901</v>
      </c>
      <c r="AC139">
        <v>4.5759129110395804</v>
      </c>
      <c r="AD139">
        <v>7.9642547174816006E-3</v>
      </c>
      <c r="AE139">
        <v>5.2539209787502097</v>
      </c>
    </row>
    <row r="140" spans="1:31" x14ac:dyDescent="0.2">
      <c r="A140">
        <v>139</v>
      </c>
      <c r="B140">
        <v>751</v>
      </c>
      <c r="C140">
        <v>200</v>
      </c>
      <c r="D140">
        <v>0.378704779573308</v>
      </c>
      <c r="E140">
        <v>23.087917659877501</v>
      </c>
      <c r="F140">
        <v>2.2075064496438399</v>
      </c>
      <c r="G140">
        <v>-375.61220724492262</v>
      </c>
      <c r="H140">
        <v>-315.36021203455692</v>
      </c>
      <c r="I140">
        <v>58.831221217952198</v>
      </c>
      <c r="J140">
        <v>31.003248138953001</v>
      </c>
      <c r="K140">
        <v>10.4588222895577</v>
      </c>
      <c r="L140">
        <v>1.4536491126934748E-4</v>
      </c>
      <c r="M140">
        <v>1.7395881053158916E-5</v>
      </c>
      <c r="N140" s="1">
        <v>7.04520422839993E-7</v>
      </c>
      <c r="O140" s="1">
        <v>2.0152725745392398E-8</v>
      </c>
      <c r="P140" s="1">
        <v>-1.03854338392746E-7</v>
      </c>
      <c r="Q140">
        <v>72.547231975034705</v>
      </c>
      <c r="R140">
        <v>0.15479163277239599</v>
      </c>
      <c r="S140">
        <v>12.282847971924101</v>
      </c>
      <c r="T140">
        <v>0.25303995045666</v>
      </c>
      <c r="V140">
        <v>0.58491084369310498</v>
      </c>
      <c r="W140">
        <v>0.11261301423113</v>
      </c>
      <c r="X140">
        <v>0.16960354211176801</v>
      </c>
      <c r="AA140">
        <v>0.50265448136704205</v>
      </c>
      <c r="AB140">
        <v>3.5331289047997601</v>
      </c>
      <c r="AC140">
        <v>4.6063907934825599</v>
      </c>
      <c r="AD140">
        <v>1.73250791124741E-2</v>
      </c>
      <c r="AE140">
        <v>5.2354618110141198</v>
      </c>
    </row>
    <row r="141" spans="1:31" x14ac:dyDescent="0.2">
      <c r="A141">
        <v>140</v>
      </c>
      <c r="B141">
        <v>750</v>
      </c>
      <c r="C141">
        <v>200</v>
      </c>
      <c r="D141">
        <v>0.37802912573913899</v>
      </c>
      <c r="E141">
        <v>12.552895333310399</v>
      </c>
      <c r="F141">
        <v>2.2100718273949802</v>
      </c>
      <c r="G141">
        <v>-204.15950667977495</v>
      </c>
      <c r="H141">
        <v>-171.47106898957</v>
      </c>
      <c r="I141">
        <v>31.948822450476399</v>
      </c>
      <c r="J141">
        <v>16.862991079161802</v>
      </c>
      <c r="K141">
        <v>5.6798585356868498</v>
      </c>
      <c r="L141">
        <v>1.4533460912983812E-4</v>
      </c>
      <c r="M141">
        <v>1.7400977635616799E-5</v>
      </c>
      <c r="N141" s="1">
        <v>3.83094206746615E-7</v>
      </c>
      <c r="O141" s="1">
        <v>1.0937670000380899E-8</v>
      </c>
      <c r="P141" s="1">
        <v>-5.62540883962424E-8</v>
      </c>
      <c r="Q141">
        <v>72.2935242759754</v>
      </c>
      <c r="R141">
        <v>0.16374606888940199</v>
      </c>
      <c r="S141">
        <v>12.548730341608699</v>
      </c>
      <c r="T141">
        <v>0.246423385543863</v>
      </c>
      <c r="V141">
        <v>0.57350022983336801</v>
      </c>
      <c r="W141">
        <v>0.20555409263326599</v>
      </c>
      <c r="X141">
        <v>0.171256100196917</v>
      </c>
      <c r="AA141">
        <v>0.50582935249584704</v>
      </c>
      <c r="AB141">
        <v>3.39859095827308</v>
      </c>
      <c r="AC141">
        <v>4.6308297219818204</v>
      </c>
      <c r="AD141">
        <v>3.1865158545380801E-2</v>
      </c>
      <c r="AE141">
        <v>5.2301503140228203</v>
      </c>
    </row>
    <row r="142" spans="1:31" x14ac:dyDescent="0.2">
      <c r="A142">
        <v>141</v>
      </c>
      <c r="B142">
        <v>749</v>
      </c>
      <c r="C142">
        <v>200</v>
      </c>
      <c r="D142">
        <v>0.37735214988015597</v>
      </c>
      <c r="E142">
        <v>8.7450363557238298</v>
      </c>
      <c r="F142">
        <v>2.2123418384487099</v>
      </c>
      <c r="G142">
        <v>-142.18686364057893</v>
      </c>
      <c r="H142">
        <v>-119.45896532424737</v>
      </c>
      <c r="I142">
        <v>22.235384548580399</v>
      </c>
      <c r="J142">
        <v>11.7526873582423</v>
      </c>
      <c r="K142">
        <v>3.9528413754792102</v>
      </c>
      <c r="L142">
        <v>1.4539870689343808E-4</v>
      </c>
      <c r="M142">
        <v>1.7413953869267275E-5</v>
      </c>
      <c r="N142" s="1">
        <v>2.6721419465445401E-7</v>
      </c>
      <c r="O142" s="1">
        <v>7.6141900677461093E-9</v>
      </c>
      <c r="P142" s="1">
        <v>-3.9095506044457798E-8</v>
      </c>
      <c r="Q142">
        <v>72.049946352599093</v>
      </c>
      <c r="R142">
        <v>0.16276893156197</v>
      </c>
      <c r="S142">
        <v>12.8013817347585</v>
      </c>
      <c r="T142">
        <v>0.243323016461678</v>
      </c>
      <c r="V142">
        <v>0.56988700588325403</v>
      </c>
      <c r="W142">
        <v>0.29238264541907899</v>
      </c>
      <c r="X142">
        <v>0.17073117845539201</v>
      </c>
      <c r="AA142">
        <v>0.50608799075810496</v>
      </c>
      <c r="AB142">
        <v>3.2830752483203698</v>
      </c>
      <c r="AC142">
        <v>4.6440061693299599</v>
      </c>
      <c r="AD142">
        <v>4.57402329422672E-2</v>
      </c>
      <c r="AE142">
        <v>5.2306694935101197</v>
      </c>
    </row>
    <row r="143" spans="1:31" x14ac:dyDescent="0.2">
      <c r="A143">
        <v>142</v>
      </c>
      <c r="B143">
        <v>765</v>
      </c>
      <c r="C143">
        <v>180</v>
      </c>
      <c r="D143">
        <v>0.409218802677841</v>
      </c>
      <c r="E143">
        <v>104.121247401902</v>
      </c>
      <c r="F143">
        <v>2.1948152677911601</v>
      </c>
      <c r="G143">
        <v>-1702.0073175631153</v>
      </c>
      <c r="H143">
        <v>-1425.7239808969059</v>
      </c>
      <c r="I143">
        <v>266.13045963127502</v>
      </c>
      <c r="J143">
        <v>139.572611909502</v>
      </c>
      <c r="K143">
        <v>47.4396405610429</v>
      </c>
      <c r="L143">
        <v>1.4239852375443627E-4</v>
      </c>
      <c r="M143">
        <v>1.7508280303403612E-5</v>
      </c>
      <c r="N143" s="1">
        <v>3.02560590511853E-6</v>
      </c>
      <c r="O143" s="1">
        <v>8.9961909595172196E-8</v>
      </c>
      <c r="P143" s="1">
        <v>-4.5777981505163098E-7</v>
      </c>
      <c r="Q143">
        <v>73.587285892073695</v>
      </c>
      <c r="R143">
        <v>7.58730825564016E-2</v>
      </c>
      <c r="S143">
        <v>11.986026206379</v>
      </c>
      <c r="T143">
        <v>0.184336896316453</v>
      </c>
      <c r="V143">
        <v>0.42959126613368198</v>
      </c>
      <c r="W143">
        <v>2.4970887929954701E-2</v>
      </c>
      <c r="X143">
        <v>5.76251259922047E-2</v>
      </c>
      <c r="AA143">
        <v>0.50902194626446495</v>
      </c>
      <c r="AB143">
        <v>3.82246669081615</v>
      </c>
      <c r="AC143">
        <v>4.2834676987537401</v>
      </c>
      <c r="AD143">
        <v>3.84167506614679E-3</v>
      </c>
      <c r="AE143">
        <v>5.03549263171801</v>
      </c>
    </row>
    <row r="144" spans="1:31" x14ac:dyDescent="0.2">
      <c r="A144">
        <v>143</v>
      </c>
      <c r="B144">
        <v>764</v>
      </c>
      <c r="C144">
        <v>180</v>
      </c>
      <c r="D144">
        <v>0.40858169020874802</v>
      </c>
      <c r="E144">
        <v>104.05179276626799</v>
      </c>
      <c r="F144">
        <v>2.1951806846586801</v>
      </c>
      <c r="G144">
        <v>-1700.5862678087201</v>
      </c>
      <c r="H144">
        <v>-1424.8858274672968</v>
      </c>
      <c r="I144">
        <v>265.82504010164701</v>
      </c>
      <c r="J144">
        <v>139.47275675799699</v>
      </c>
      <c r="K144">
        <v>47.4001040066765</v>
      </c>
      <c r="L144">
        <v>1.4237766706022437E-4</v>
      </c>
      <c r="M144">
        <v>1.7500675017195282E-5</v>
      </c>
      <c r="N144" s="1">
        <v>3.02712386433169E-6</v>
      </c>
      <c r="O144" s="1">
        <v>8.9837166344359199E-8</v>
      </c>
      <c r="P144" s="1">
        <v>-4.5747937493108598E-7</v>
      </c>
      <c r="Q144">
        <v>73.572881465773705</v>
      </c>
      <c r="R144">
        <v>7.5923727885648204E-2</v>
      </c>
      <c r="S144">
        <v>11.9940268862405</v>
      </c>
      <c r="T144">
        <v>0.18476560293205499</v>
      </c>
      <c r="V144">
        <v>0.42960298087276999</v>
      </c>
      <c r="W144">
        <v>2.49875560129975E-2</v>
      </c>
      <c r="X144">
        <v>5.7663590799228497E-2</v>
      </c>
      <c r="AA144">
        <v>0.50936171872649805</v>
      </c>
      <c r="AB144">
        <v>3.8250181896819599</v>
      </c>
      <c r="AC144">
        <v>4.2863269160756898</v>
      </c>
      <c r="AD144">
        <v>3.8442393866148202E-3</v>
      </c>
      <c r="AE144">
        <v>5.0355971256121697</v>
      </c>
    </row>
    <row r="145" spans="1:31" x14ac:dyDescent="0.2">
      <c r="A145">
        <v>144</v>
      </c>
      <c r="B145">
        <v>763</v>
      </c>
      <c r="C145">
        <v>180</v>
      </c>
      <c r="D145">
        <v>0.40794334797085602</v>
      </c>
      <c r="E145">
        <v>103.854025049858</v>
      </c>
      <c r="F145">
        <v>2.19561803221898</v>
      </c>
      <c r="G145">
        <v>-1697.0371253733697</v>
      </c>
      <c r="H145">
        <v>-1422.2395288463258</v>
      </c>
      <c r="I145">
        <v>265.21024612946297</v>
      </c>
      <c r="J145">
        <v>139.21401278518499</v>
      </c>
      <c r="K145">
        <v>47.300588502135597</v>
      </c>
      <c r="L145">
        <v>1.4241504527694537E-4</v>
      </c>
      <c r="M145">
        <v>1.7493567057515625E-5</v>
      </c>
      <c r="N145" s="1">
        <v>3.0255248329971102E-6</v>
      </c>
      <c r="O145" s="1">
        <v>8.9619158167346494E-8</v>
      </c>
      <c r="P145" s="1">
        <v>-4.56888921950275E-7</v>
      </c>
      <c r="Q145">
        <v>73.530966408119198</v>
      </c>
      <c r="R145">
        <v>7.6068308341514901E-2</v>
      </c>
      <c r="S145">
        <v>12.016866938003201</v>
      </c>
      <c r="T145">
        <v>0.18546390111034899</v>
      </c>
      <c r="V145">
        <v>0.430109326541325</v>
      </c>
      <c r="W145">
        <v>2.5035139454168701E-2</v>
      </c>
      <c r="X145">
        <v>5.7773398740393701E-2</v>
      </c>
      <c r="AA145">
        <v>0.51033168887345204</v>
      </c>
      <c r="AB145">
        <v>3.8323021164458502</v>
      </c>
      <c r="AC145">
        <v>4.29448930636888</v>
      </c>
      <c r="AD145">
        <v>3.8515599160256898E-3</v>
      </c>
      <c r="AE145">
        <v>5.0367419080854496</v>
      </c>
    </row>
    <row r="146" spans="1:31" x14ac:dyDescent="0.2">
      <c r="A146">
        <v>145</v>
      </c>
      <c r="B146">
        <v>762</v>
      </c>
      <c r="C146">
        <v>180</v>
      </c>
      <c r="D146">
        <v>0.40730377240013699</v>
      </c>
      <c r="E146">
        <v>102.433935766913</v>
      </c>
      <c r="F146">
        <v>2.19636832593191</v>
      </c>
      <c r="G146">
        <v>-1673.1897937193398</v>
      </c>
      <c r="H146">
        <v>-1402.6321136801444</v>
      </c>
      <c r="I146">
        <v>261.37050672771602</v>
      </c>
      <c r="J146">
        <v>137.282621530814</v>
      </c>
      <c r="K146">
        <v>46.637867864649401</v>
      </c>
      <c r="L146">
        <v>1.4227030499574134E-4</v>
      </c>
      <c r="M146">
        <v>1.7467976794229669E-5</v>
      </c>
      <c r="N146" s="1">
        <v>2.9820237067790499E-6</v>
      </c>
      <c r="O146" s="1">
        <v>8.8179295917082595E-8</v>
      </c>
      <c r="P146" s="1">
        <v>-4.5012430287277899E-7</v>
      </c>
      <c r="Q146">
        <v>73.497000226449501</v>
      </c>
      <c r="R146">
        <v>7.7122878671542397E-2</v>
      </c>
      <c r="S146">
        <v>12.027596422080601</v>
      </c>
      <c r="T146">
        <v>0.18838899281117499</v>
      </c>
      <c r="V146">
        <v>0.43575367156100803</v>
      </c>
      <c r="W146">
        <v>2.53822132336699E-2</v>
      </c>
      <c r="X146">
        <v>5.8574338231559497E-2</v>
      </c>
      <c r="AA146">
        <v>0.50181431317261205</v>
      </c>
      <c r="AB146">
        <v>3.8172766772763098</v>
      </c>
      <c r="AC146">
        <v>4.3398012118964697</v>
      </c>
      <c r="AD146">
        <v>3.90495588210228E-3</v>
      </c>
      <c r="AE146">
        <v>5.02738409873335</v>
      </c>
    </row>
    <row r="147" spans="1:31" x14ac:dyDescent="0.2">
      <c r="A147">
        <v>146</v>
      </c>
      <c r="B147">
        <v>761</v>
      </c>
      <c r="C147">
        <v>180</v>
      </c>
      <c r="D147">
        <v>0.40666295991877599</v>
      </c>
      <c r="E147">
        <v>100.165819848453</v>
      </c>
      <c r="F147">
        <v>2.1973573700904399</v>
      </c>
      <c r="G147">
        <v>-1635.2884936203279</v>
      </c>
      <c r="H147">
        <v>-1371.2680258876567</v>
      </c>
      <c r="I147">
        <v>255.301907588522</v>
      </c>
      <c r="J147">
        <v>134.19336843641199</v>
      </c>
      <c r="K147">
        <v>45.5846742145227</v>
      </c>
      <c r="L147">
        <v>1.4199854029842493E-4</v>
      </c>
      <c r="M147">
        <v>1.7429559028601688E-5</v>
      </c>
      <c r="N147" s="1">
        <v>2.9096381545346698E-6</v>
      </c>
      <c r="O147" s="1">
        <v>8.5902649365919896E-8</v>
      </c>
      <c r="P147" s="1">
        <v>-4.3909852170962598E-7</v>
      </c>
      <c r="Q147">
        <v>73.467338886488093</v>
      </c>
      <c r="R147">
        <v>7.8869219180281697E-2</v>
      </c>
      <c r="S147">
        <v>12.030612828575901</v>
      </c>
      <c r="T147">
        <v>0.19301353181511799</v>
      </c>
      <c r="V147">
        <v>0.44529791759957399</v>
      </c>
      <c r="W147">
        <v>2.5956958211229401E-2</v>
      </c>
      <c r="X147">
        <v>5.9900672795159801E-2</v>
      </c>
      <c r="AA147">
        <v>0.48828591196011401</v>
      </c>
      <c r="AB147">
        <v>3.78584022163199</v>
      </c>
      <c r="AC147">
        <v>4.4102024441433203</v>
      </c>
      <c r="AD147">
        <v>3.9933781863420899E-3</v>
      </c>
      <c r="AE147">
        <v>5.01068802941277</v>
      </c>
    </row>
    <row r="148" spans="1:31" x14ac:dyDescent="0.2">
      <c r="A148">
        <v>147</v>
      </c>
      <c r="B148">
        <v>760</v>
      </c>
      <c r="C148">
        <v>180</v>
      </c>
      <c r="D148">
        <v>0.40602090693510101</v>
      </c>
      <c r="E148">
        <v>97.765087484451101</v>
      </c>
      <c r="F148">
        <v>2.1984061974283202</v>
      </c>
      <c r="G148">
        <v>-1595.2306638663376</v>
      </c>
      <c r="H148">
        <v>-1338.0816914243371</v>
      </c>
      <c r="I148">
        <v>248.89800362193199</v>
      </c>
      <c r="J148">
        <v>130.927025632175</v>
      </c>
      <c r="K148">
        <v>44.470893322087399</v>
      </c>
      <c r="L148">
        <v>1.4171064321166847E-4</v>
      </c>
      <c r="M148">
        <v>1.7389564731812985E-5</v>
      </c>
      <c r="N148" s="1">
        <v>2.8331284033061201E-6</v>
      </c>
      <c r="O148" s="1">
        <v>8.3512877110245698E-8</v>
      </c>
      <c r="P148" s="1">
        <v>-4.2745536418573602E-7</v>
      </c>
      <c r="Q148">
        <v>73.436515565953002</v>
      </c>
      <c r="R148">
        <v>8.0805942113608503E-2</v>
      </c>
      <c r="S148">
        <v>12.033490885749099</v>
      </c>
      <c r="T148">
        <v>0.19811361981959499</v>
      </c>
      <c r="V148">
        <v>0.45590839995805998</v>
      </c>
      <c r="W148">
        <v>2.6594360695614001E-2</v>
      </c>
      <c r="X148">
        <v>6.1371601605286402E-2</v>
      </c>
      <c r="AA148">
        <v>0.47610218212806299</v>
      </c>
      <c r="AB148">
        <v>3.7511882894319801</v>
      </c>
      <c r="AC148">
        <v>4.4827890457027202</v>
      </c>
      <c r="AD148">
        <v>4.0914401070162396E-3</v>
      </c>
      <c r="AE148">
        <v>4.9930286667358201</v>
      </c>
    </row>
    <row r="149" spans="1:31" x14ac:dyDescent="0.2">
      <c r="A149">
        <v>148</v>
      </c>
      <c r="B149">
        <v>759</v>
      </c>
      <c r="C149">
        <v>180</v>
      </c>
      <c r="D149">
        <v>0.40537760984353299</v>
      </c>
      <c r="E149">
        <v>95.150926091793806</v>
      </c>
      <c r="F149">
        <v>2.1995320091544199</v>
      </c>
      <c r="G149">
        <v>-1551.6946239447789</v>
      </c>
      <c r="H149">
        <v>-1301.9622128565647</v>
      </c>
      <c r="I149">
        <v>241.95360275949599</v>
      </c>
      <c r="J149">
        <v>127.375545885866</v>
      </c>
      <c r="K149">
        <v>43.259623272485598</v>
      </c>
      <c r="L149">
        <v>1.4140471941628225E-4</v>
      </c>
      <c r="M149">
        <v>1.7347767993321958E-5</v>
      </c>
      <c r="N149" s="1">
        <v>2.7501423748149401E-6</v>
      </c>
      <c r="O149" s="1">
        <v>8.0941382703335997E-8</v>
      </c>
      <c r="P149" s="1">
        <v>-4.1483947596437102E-7</v>
      </c>
      <c r="Q149">
        <v>73.403911011253101</v>
      </c>
      <c r="R149">
        <v>8.3025991700588594E-2</v>
      </c>
      <c r="S149">
        <v>12.036153347126699</v>
      </c>
      <c r="T149">
        <v>0.20391600385485301</v>
      </c>
      <c r="V149">
        <v>0.46811052488386501</v>
      </c>
      <c r="W149">
        <v>2.7325009926770401E-2</v>
      </c>
      <c r="X149">
        <v>6.3057715215656895E-2</v>
      </c>
      <c r="AA149">
        <v>0.46555818007201599</v>
      </c>
      <c r="AB149">
        <v>3.7126994190114799</v>
      </c>
      <c r="AC149">
        <v>4.5577846592937199</v>
      </c>
      <c r="AD149">
        <v>4.2038476810402304E-3</v>
      </c>
      <c r="AE149">
        <v>4.9742542899800304</v>
      </c>
    </row>
    <row r="150" spans="1:31" x14ac:dyDescent="0.2">
      <c r="A150">
        <v>149</v>
      </c>
      <c r="B150">
        <v>758</v>
      </c>
      <c r="C150">
        <v>180</v>
      </c>
      <c r="D150">
        <v>0.40473306502448703</v>
      </c>
      <c r="E150">
        <v>92.127560632934703</v>
      </c>
      <c r="F150">
        <v>2.20077377838015</v>
      </c>
      <c r="G150">
        <v>-1501.4784034886402</v>
      </c>
      <c r="H150">
        <v>-1260.218764690685</v>
      </c>
      <c r="I150">
        <v>233.97142879111101</v>
      </c>
      <c r="J150">
        <v>123.27721424444501</v>
      </c>
      <c r="K150">
        <v>41.861440525133702</v>
      </c>
      <c r="L150">
        <v>1.4107772020020398E-4</v>
      </c>
      <c r="M150">
        <v>1.7303777557113026E-5</v>
      </c>
      <c r="N150" s="1">
        <v>2.65498725964405E-6</v>
      </c>
      <c r="O150" s="1">
        <v>7.8021898132485902E-8</v>
      </c>
      <c r="P150" s="1">
        <v>-4.00389404960517E-7</v>
      </c>
      <c r="Q150">
        <v>73.367994772508894</v>
      </c>
      <c r="R150">
        <v>8.5750669460106496E-2</v>
      </c>
      <c r="S150">
        <v>12.038467029724201</v>
      </c>
      <c r="T150">
        <v>0.210958962310478</v>
      </c>
      <c r="V150">
        <v>0.48315674028550898</v>
      </c>
      <c r="W150">
        <v>2.8221739315977701E-2</v>
      </c>
      <c r="X150">
        <v>6.51270907292191E-2</v>
      </c>
      <c r="AA150">
        <v>0.45740307631664401</v>
      </c>
      <c r="AB150">
        <v>3.6690699282961798</v>
      </c>
      <c r="AC150">
        <v>4.6354227726912303</v>
      </c>
      <c r="AD150">
        <v>4.34180604861009E-3</v>
      </c>
      <c r="AE150">
        <v>4.9540854123128097</v>
      </c>
    </row>
    <row r="151" spans="1:31" x14ac:dyDescent="0.2">
      <c r="A151">
        <v>150</v>
      </c>
      <c r="B151">
        <v>757</v>
      </c>
      <c r="C151">
        <v>180</v>
      </c>
      <c r="D151">
        <v>0.40408726884434598</v>
      </c>
      <c r="E151">
        <v>74.170100167368702</v>
      </c>
      <c r="F151">
        <v>2.2038365988073001</v>
      </c>
      <c r="G151">
        <v>-1207.2236459105486</v>
      </c>
      <c r="H151">
        <v>-1013.3350393076072</v>
      </c>
      <c r="I151">
        <v>188.213955834529</v>
      </c>
      <c r="J151">
        <v>99.248410403614898</v>
      </c>
      <c r="K151">
        <v>33.654990668323101</v>
      </c>
      <c r="L151">
        <v>1.4117264949918274E-4</v>
      </c>
      <c r="M151">
        <v>1.7289388180288294E-5</v>
      </c>
      <c r="N151" s="1">
        <v>2.1367513121824501E-6</v>
      </c>
      <c r="O151" s="1">
        <v>6.2679558300997103E-8</v>
      </c>
      <c r="P151" s="1">
        <v>-3.2186506683770601E-7</v>
      </c>
      <c r="Q151">
        <v>73.2024955760794</v>
      </c>
      <c r="R151">
        <v>0.106511923027933</v>
      </c>
      <c r="S151">
        <v>12.0302363217696</v>
      </c>
      <c r="T151">
        <v>0.26167875645317601</v>
      </c>
      <c r="V151">
        <v>0.60045493142291995</v>
      </c>
      <c r="W151">
        <v>3.5054556945891303E-2</v>
      </c>
      <c r="X151">
        <v>8.0895131413658894E-2</v>
      </c>
      <c r="AA151">
        <v>0.47138682910996399</v>
      </c>
      <c r="AB151">
        <v>3.6303835425398501</v>
      </c>
      <c r="AC151">
        <v>4.6287465348540699</v>
      </c>
      <c r="AD151">
        <v>5.3930087609048299E-3</v>
      </c>
      <c r="AE151">
        <v>4.94676288762256</v>
      </c>
    </row>
    <row r="152" spans="1:31" x14ac:dyDescent="0.2">
      <c r="A152">
        <v>151</v>
      </c>
      <c r="B152">
        <v>756</v>
      </c>
      <c r="C152">
        <v>180</v>
      </c>
      <c r="D152">
        <v>0.40344021765534699</v>
      </c>
      <c r="E152">
        <v>40.046843592062302</v>
      </c>
      <c r="F152">
        <v>2.20649871453355</v>
      </c>
      <c r="G152">
        <v>-651.53203978366116</v>
      </c>
      <c r="H152">
        <v>-547.0831385543064</v>
      </c>
      <c r="I152">
        <v>101.490454481227</v>
      </c>
      <c r="J152">
        <v>53.605805140583001</v>
      </c>
      <c r="K152">
        <v>18.1494978122061</v>
      </c>
      <c r="L152">
        <v>1.4091761430153177E-4</v>
      </c>
      <c r="M152">
        <v>1.7253994878163984E-5</v>
      </c>
      <c r="N152" s="1">
        <v>1.15037218763766E-6</v>
      </c>
      <c r="O152" s="1">
        <v>3.3689451999037E-8</v>
      </c>
      <c r="P152" s="1">
        <v>-1.7289779075669399E-7</v>
      </c>
      <c r="Q152">
        <v>73.064917674193694</v>
      </c>
      <c r="R152">
        <v>0.133394320974074</v>
      </c>
      <c r="S152">
        <v>12.096208552967299</v>
      </c>
      <c r="T152">
        <v>0.26482711849961399</v>
      </c>
      <c r="V152">
        <v>0.60887714758892697</v>
      </c>
      <c r="W152">
        <v>6.4923968202940399E-2</v>
      </c>
      <c r="X152">
        <v>0.14217242926676399</v>
      </c>
      <c r="AA152">
        <v>0.49643742497312698</v>
      </c>
      <c r="AB152">
        <v>3.5350485777129399</v>
      </c>
      <c r="AC152">
        <v>4.6563244886998199</v>
      </c>
      <c r="AD152">
        <v>9.9883028004488904E-3</v>
      </c>
      <c r="AE152">
        <v>4.9268799941202603</v>
      </c>
    </row>
    <row r="153" spans="1:31" x14ac:dyDescent="0.2">
      <c r="A153">
        <v>152</v>
      </c>
      <c r="B153">
        <v>755</v>
      </c>
      <c r="C153">
        <v>180</v>
      </c>
      <c r="D153">
        <v>0.40279190779555302</v>
      </c>
      <c r="E153">
        <v>19.930104235974401</v>
      </c>
      <c r="F153">
        <v>2.2090225242320098</v>
      </c>
      <c r="G153">
        <v>-324.19387763711143</v>
      </c>
      <c r="H153">
        <v>-272.33480042898327</v>
      </c>
      <c r="I153">
        <v>50.439213352261902</v>
      </c>
      <c r="J153">
        <v>26.687981426610701</v>
      </c>
      <c r="K153">
        <v>9.0221371748589601</v>
      </c>
      <c r="L153">
        <v>1.4067347381927685E-4</v>
      </c>
      <c r="M153">
        <v>1.7231603815246096E-5</v>
      </c>
      <c r="N153" s="1">
        <v>5.7116472525659897E-7</v>
      </c>
      <c r="O153" s="1">
        <v>1.6698741660782499E-8</v>
      </c>
      <c r="P153" s="1">
        <v>-8.5558112094127304E-8</v>
      </c>
      <c r="Q153">
        <v>72.879154931517903</v>
      </c>
      <c r="R153">
        <v>0.16524515243888099</v>
      </c>
      <c r="S153">
        <v>12.2751340196789</v>
      </c>
      <c r="T153">
        <v>0.25026725149587897</v>
      </c>
      <c r="V153">
        <v>0.57777353082337501</v>
      </c>
      <c r="W153">
        <v>0.13045591579524901</v>
      </c>
      <c r="X153">
        <v>0.17894880330743601</v>
      </c>
      <c r="AA153">
        <v>0.51029416368488301</v>
      </c>
      <c r="AB153">
        <v>3.4099512819433899</v>
      </c>
      <c r="AC153">
        <v>4.69294559292236</v>
      </c>
      <c r="AD153">
        <v>2.00701408915584E-2</v>
      </c>
      <c r="AE153">
        <v>4.9097592155000598</v>
      </c>
    </row>
    <row r="154" spans="1:31" x14ac:dyDescent="0.2">
      <c r="A154">
        <v>153</v>
      </c>
      <c r="B154">
        <v>754</v>
      </c>
      <c r="C154">
        <v>180</v>
      </c>
      <c r="D154">
        <v>0.402142335588766</v>
      </c>
      <c r="E154">
        <v>11.8450262808896</v>
      </c>
      <c r="F154">
        <v>2.2114785823956198</v>
      </c>
      <c r="G154">
        <v>-192.62159719331805</v>
      </c>
      <c r="H154">
        <v>-161.86606941537488</v>
      </c>
      <c r="I154">
        <v>29.942586553028399</v>
      </c>
      <c r="J154">
        <v>15.867179430938901</v>
      </c>
      <c r="K154">
        <v>5.3561569056926404</v>
      </c>
      <c r="L154">
        <v>1.4063169096643053E-4</v>
      </c>
      <c r="M154">
        <v>1.7235123443157504E-5</v>
      </c>
      <c r="N154" s="1">
        <v>3.39475230557245E-7</v>
      </c>
      <c r="O154" s="1">
        <v>9.9065442684171103E-9</v>
      </c>
      <c r="P154" s="1">
        <v>-5.0657655564860202E-8</v>
      </c>
      <c r="Q154">
        <v>72.637737676593005</v>
      </c>
      <c r="R154">
        <v>0.175127384865914</v>
      </c>
      <c r="S154">
        <v>12.5270671383863</v>
      </c>
      <c r="T154">
        <v>0.243677335404756</v>
      </c>
      <c r="V154">
        <v>0.566147833768887</v>
      </c>
      <c r="W154">
        <v>0.21810113865024</v>
      </c>
      <c r="X154">
        <v>0.18071222813381799</v>
      </c>
      <c r="AA154">
        <v>0.51394222279257995</v>
      </c>
      <c r="AB154">
        <v>3.28151233126124</v>
      </c>
      <c r="AC154">
        <v>4.7177870839759404</v>
      </c>
      <c r="AD154">
        <v>3.3769448080048003E-2</v>
      </c>
      <c r="AE154">
        <v>4.9044181780871803</v>
      </c>
    </row>
    <row r="155" spans="1:31" x14ac:dyDescent="0.2">
      <c r="A155">
        <v>154</v>
      </c>
      <c r="B155">
        <v>753</v>
      </c>
      <c r="C155">
        <v>180</v>
      </c>
      <c r="D155">
        <v>0.401491497344444</v>
      </c>
      <c r="E155">
        <v>8.4959907198163993</v>
      </c>
      <c r="F155">
        <v>2.2136698835723601</v>
      </c>
      <c r="G155">
        <v>-138.12020154889441</v>
      </c>
      <c r="H155">
        <v>-116.10349037236594</v>
      </c>
      <c r="I155">
        <v>21.455646032771401</v>
      </c>
      <c r="J155">
        <v>11.385540145447401</v>
      </c>
      <c r="K155">
        <v>3.8379664388376602</v>
      </c>
      <c r="L155">
        <v>1.4068078936294048E-4</v>
      </c>
      <c r="M155">
        <v>1.7246894523697167E-5</v>
      </c>
      <c r="N155" s="1">
        <v>2.43779041267792E-7</v>
      </c>
      <c r="O155" s="1">
        <v>7.1001193427042503E-9</v>
      </c>
      <c r="P155" s="1">
        <v>-3.6245146115650198E-8</v>
      </c>
      <c r="Q155">
        <v>72.403389969364895</v>
      </c>
      <c r="R155">
        <v>0.17405991619132599</v>
      </c>
      <c r="S155">
        <v>12.770499885708601</v>
      </c>
      <c r="T155">
        <v>0.24064856027685799</v>
      </c>
      <c r="V155">
        <v>0.56252120123423699</v>
      </c>
      <c r="W155">
        <v>0.301379835335014</v>
      </c>
      <c r="X155">
        <v>0.18017736056519101</v>
      </c>
      <c r="AA155">
        <v>0.514242956429526</v>
      </c>
      <c r="AB155">
        <v>3.1701806153332499</v>
      </c>
      <c r="AC155">
        <v>4.7311986279370801</v>
      </c>
      <c r="AD155">
        <v>4.7081030710909903E-2</v>
      </c>
      <c r="AE155">
        <v>4.9046200409129899</v>
      </c>
    </row>
    <row r="156" spans="1:31" x14ac:dyDescent="0.2">
      <c r="A156">
        <v>155</v>
      </c>
      <c r="B156">
        <v>771</v>
      </c>
      <c r="C156">
        <v>160</v>
      </c>
      <c r="D156">
        <v>0.43408561988220001</v>
      </c>
      <c r="E156">
        <v>103.78602904493501</v>
      </c>
      <c r="F156">
        <v>2.19561241257871</v>
      </c>
      <c r="G156">
        <v>-1697.174635132777</v>
      </c>
      <c r="H156">
        <v>-1421.4901245679821</v>
      </c>
      <c r="I156">
        <v>264.02768813369102</v>
      </c>
      <c r="J156">
        <v>138.85544736873999</v>
      </c>
      <c r="K156">
        <v>47.269740529040099</v>
      </c>
      <c r="L156">
        <v>1.3808748272404621E-4</v>
      </c>
      <c r="M156">
        <v>1.7349327937825339E-5</v>
      </c>
      <c r="N156" s="1">
        <v>2.8298494071029299E-6</v>
      </c>
      <c r="O156" s="1">
        <v>8.6265729722279204E-8</v>
      </c>
      <c r="P156" s="1">
        <v>-4.3611546954975598E-7</v>
      </c>
      <c r="Q156">
        <v>73.8249653687528</v>
      </c>
      <c r="R156">
        <v>7.6118144924685494E-2</v>
      </c>
      <c r="S156">
        <v>12.024739856457201</v>
      </c>
      <c r="T156">
        <v>0.18506291798812699</v>
      </c>
      <c r="V156">
        <v>0.430861258121713</v>
      </c>
      <c r="W156">
        <v>2.50515413676177E-2</v>
      </c>
      <c r="X156">
        <v>5.7811249309888603E-2</v>
      </c>
      <c r="AA156">
        <v>0.51066603557067403</v>
      </c>
      <c r="AB156">
        <v>3.83481287088919</v>
      </c>
      <c r="AC156">
        <v>4.2973028653682599</v>
      </c>
      <c r="AD156">
        <v>3.8540832873257399E-3</v>
      </c>
      <c r="AE156">
        <v>4.7287538079623497</v>
      </c>
    </row>
    <row r="157" spans="1:31" x14ac:dyDescent="0.2">
      <c r="A157">
        <v>156</v>
      </c>
      <c r="B157">
        <v>770</v>
      </c>
      <c r="C157">
        <v>160</v>
      </c>
      <c r="D157">
        <v>0.43347601016152998</v>
      </c>
      <c r="E157">
        <v>103.756349371724</v>
      </c>
      <c r="F157">
        <v>2.1959226923451598</v>
      </c>
      <c r="G157">
        <v>-1696.416123077742</v>
      </c>
      <c r="H157">
        <v>-1421.2205457485265</v>
      </c>
      <c r="I157">
        <v>263.81208582583099</v>
      </c>
      <c r="J157">
        <v>138.79986410170201</v>
      </c>
      <c r="K157">
        <v>47.249545593482097</v>
      </c>
      <c r="L157">
        <v>1.3803042199760657E-4</v>
      </c>
      <c r="M157">
        <v>1.7341523631218743E-5</v>
      </c>
      <c r="N157" s="1">
        <v>2.8319135217252001E-6</v>
      </c>
      <c r="O157" s="1">
        <v>8.6168159412394205E-8</v>
      </c>
      <c r="P157" s="1">
        <v>-4.3582641572524901E-7</v>
      </c>
      <c r="Q157">
        <v>73.828615078610696</v>
      </c>
      <c r="R157">
        <v>7.6139918644370697E-2</v>
      </c>
      <c r="S157">
        <v>12.0225356388999</v>
      </c>
      <c r="T157">
        <v>0.18539207070742</v>
      </c>
      <c r="V157">
        <v>0.43073596523742202</v>
      </c>
      <c r="W157">
        <v>2.50587074019443E-2</v>
      </c>
      <c r="X157">
        <v>5.78277863121818E-2</v>
      </c>
      <c r="AA157">
        <v>0.51023175437474999</v>
      </c>
      <c r="AB157">
        <v>3.8334386905326299</v>
      </c>
      <c r="AC157">
        <v>4.2980484677914701</v>
      </c>
      <c r="AD157">
        <v>3.8551857541451601E-3</v>
      </c>
      <c r="AE157">
        <v>4.72812073573294</v>
      </c>
    </row>
    <row r="158" spans="1:31" x14ac:dyDescent="0.2">
      <c r="A158">
        <v>157</v>
      </c>
      <c r="B158">
        <v>769</v>
      </c>
      <c r="C158">
        <v>160</v>
      </c>
      <c r="D158">
        <v>0.43286523053303499</v>
      </c>
      <c r="E158">
        <v>103.31337683504699</v>
      </c>
      <c r="F158">
        <v>2.1962557202605799</v>
      </c>
      <c r="G158">
        <v>-1688.787681975479</v>
      </c>
      <c r="H158">
        <v>-1415.2592136407789</v>
      </c>
      <c r="I158">
        <v>262.46554558815802</v>
      </c>
      <c r="J158">
        <v>138.15287554719899</v>
      </c>
      <c r="K158">
        <v>47.040686511126999</v>
      </c>
      <c r="L158">
        <v>1.3779236181808986E-4</v>
      </c>
      <c r="M158">
        <v>1.7324048644467278E-5</v>
      </c>
      <c r="N158" s="1">
        <v>2.8188503894736102E-6</v>
      </c>
      <c r="O158" s="1">
        <v>8.56213489337318E-8</v>
      </c>
      <c r="P158" s="1">
        <v>-4.3299557798046798E-7</v>
      </c>
      <c r="Q158">
        <v>73.881813743897695</v>
      </c>
      <c r="R158">
        <v>7.6466380656721303E-2</v>
      </c>
      <c r="S158">
        <v>11.989207992097599</v>
      </c>
      <c r="T158">
        <v>0.18639982864558899</v>
      </c>
      <c r="V158">
        <v>0.43239128048012598</v>
      </c>
      <c r="W158">
        <v>2.5166150595882401E-2</v>
      </c>
      <c r="X158">
        <v>5.80757321443474E-2</v>
      </c>
      <c r="AA158">
        <v>0.50384562024016499</v>
      </c>
      <c r="AB158">
        <v>3.8126450952697701</v>
      </c>
      <c r="AC158">
        <v>4.3090482561449504</v>
      </c>
      <c r="AD158">
        <v>3.8717154762894501E-3</v>
      </c>
      <c r="AE158">
        <v>4.7210682043507104</v>
      </c>
    </row>
    <row r="159" spans="1:31" x14ac:dyDescent="0.2">
      <c r="A159">
        <v>158</v>
      </c>
      <c r="B159">
        <v>768</v>
      </c>
      <c r="C159">
        <v>160</v>
      </c>
      <c r="D159">
        <v>0.43225327762570398</v>
      </c>
      <c r="E159">
        <v>102.431002917412</v>
      </c>
      <c r="F159">
        <v>2.1967363062560299</v>
      </c>
      <c r="G159">
        <v>-1673.8670601399901</v>
      </c>
      <c r="H159">
        <v>-1403.1758514207747</v>
      </c>
      <c r="I159">
        <v>259.99251665870901</v>
      </c>
      <c r="J159">
        <v>136.92083941519999</v>
      </c>
      <c r="K159">
        <v>46.628720354692398</v>
      </c>
      <c r="L159">
        <v>1.3755555147624093E-4</v>
      </c>
      <c r="M159">
        <v>1.7302083184365396E-5</v>
      </c>
      <c r="N159" s="1">
        <v>2.79269380731084E-6</v>
      </c>
      <c r="O159" s="1">
        <v>8.4682756277688005E-8</v>
      </c>
      <c r="P159" s="1">
        <v>-4.2835101719625201E-7</v>
      </c>
      <c r="Q159">
        <v>73.913792897972797</v>
      </c>
      <c r="R159">
        <v>7.7125086887704003E-2</v>
      </c>
      <c r="S159">
        <v>11.965188412643201</v>
      </c>
      <c r="T159">
        <v>0.18825365353231399</v>
      </c>
      <c r="V159">
        <v>0.43589278163886402</v>
      </c>
      <c r="W159">
        <v>2.5382939988357299E-2</v>
      </c>
      <c r="X159">
        <v>5.85760153577531E-2</v>
      </c>
      <c r="AA159">
        <v>0.49582606581479999</v>
      </c>
      <c r="AB159">
        <v>3.7895105820442501</v>
      </c>
      <c r="AC159">
        <v>4.3343995520047001</v>
      </c>
      <c r="AD159">
        <v>3.90506769051626E-3</v>
      </c>
      <c r="AE159">
        <v>4.7121469444245703</v>
      </c>
    </row>
    <row r="160" spans="1:31" x14ac:dyDescent="0.2">
      <c r="A160">
        <v>159</v>
      </c>
      <c r="B160">
        <v>767</v>
      </c>
      <c r="C160">
        <v>160</v>
      </c>
      <c r="D160">
        <v>0.43164014805557099</v>
      </c>
      <c r="E160">
        <v>100.21888846978101</v>
      </c>
      <c r="F160">
        <v>2.1976710502508299</v>
      </c>
      <c r="G160">
        <v>-1636.8883529560453</v>
      </c>
      <c r="H160">
        <v>-1372.5751845552697</v>
      </c>
      <c r="I160">
        <v>254.11062673727301</v>
      </c>
      <c r="J160">
        <v>133.91760491645701</v>
      </c>
      <c r="K160">
        <v>45.602315441313699</v>
      </c>
      <c r="L160">
        <v>1.3731810737878624E-4</v>
      </c>
      <c r="M160">
        <v>1.7266300545088708E-5</v>
      </c>
      <c r="N160" s="1">
        <v>2.7269713138571901E-6</v>
      </c>
      <c r="O160" s="1">
        <v>8.2559998932768906E-8</v>
      </c>
      <c r="P160" s="1">
        <v>-4.18196618286764E-7</v>
      </c>
      <c r="Q160">
        <v>73.882776270837198</v>
      </c>
      <c r="R160">
        <v>7.8827455788259101E-2</v>
      </c>
      <c r="S160">
        <v>11.96848106675</v>
      </c>
      <c r="T160">
        <v>0.19275939482249499</v>
      </c>
      <c r="V160">
        <v>0.445198829534378</v>
      </c>
      <c r="W160">
        <v>2.59432132973999E-2</v>
      </c>
      <c r="X160">
        <v>5.9868953763241098E-2</v>
      </c>
      <c r="AA160">
        <v>0.48313978839439797</v>
      </c>
      <c r="AB160">
        <v>3.7584736730046102</v>
      </c>
      <c r="AC160">
        <v>4.4031069338397204</v>
      </c>
      <c r="AD160">
        <v>3.9912635842148797E-3</v>
      </c>
      <c r="AE160">
        <v>4.6974331563840304</v>
      </c>
    </row>
    <row r="161" spans="1:31" x14ac:dyDescent="0.2">
      <c r="A161">
        <v>160</v>
      </c>
      <c r="B161">
        <v>766</v>
      </c>
      <c r="C161">
        <v>160</v>
      </c>
      <c r="D161">
        <v>0.43102583842564002</v>
      </c>
      <c r="E161">
        <v>97.901083586170898</v>
      </c>
      <c r="F161">
        <v>2.19865654475106</v>
      </c>
      <c r="G161">
        <v>-1598.1945135693038</v>
      </c>
      <c r="H161">
        <v>-1340.5224534965816</v>
      </c>
      <c r="I161">
        <v>247.96425932033</v>
      </c>
      <c r="J161">
        <v>130.77388087963999</v>
      </c>
      <c r="K161">
        <v>44.527683880364897</v>
      </c>
      <c r="L161">
        <v>1.3706786721336638E-4</v>
      </c>
      <c r="M161">
        <v>1.7229225273375458E-5</v>
      </c>
      <c r="N161" s="1">
        <v>2.6581707103599302E-6</v>
      </c>
      <c r="O161" s="1">
        <v>8.0351886844223498E-8</v>
      </c>
      <c r="P161" s="1">
        <v>-4.07573887253215E-7</v>
      </c>
      <c r="Q161">
        <v>73.850619371099697</v>
      </c>
      <c r="R161">
        <v>8.0693693170891298E-2</v>
      </c>
      <c r="S161">
        <v>11.9717065390488</v>
      </c>
      <c r="T161">
        <v>0.19767551281555301</v>
      </c>
      <c r="V161">
        <v>0.45542167239547698</v>
      </c>
      <c r="W161">
        <v>2.6557418005607399E-2</v>
      </c>
      <c r="X161">
        <v>6.1286349243723802E-2</v>
      </c>
      <c r="AA161">
        <v>0.47168638632273102</v>
      </c>
      <c r="AB161">
        <v>3.7246388425788002</v>
      </c>
      <c r="AC161">
        <v>4.47366249092389</v>
      </c>
      <c r="AD161">
        <v>4.0857566162467102E-3</v>
      </c>
      <c r="AE161">
        <v>4.6819659677783898</v>
      </c>
    </row>
    <row r="162" spans="1:31" x14ac:dyDescent="0.2">
      <c r="A162">
        <v>161</v>
      </c>
      <c r="B162">
        <v>765</v>
      </c>
      <c r="C162">
        <v>160</v>
      </c>
      <c r="D162">
        <v>0.43041034532582101</v>
      </c>
      <c r="E162">
        <v>95.423376330244594</v>
      </c>
      <c r="F162">
        <v>2.1997043816195401</v>
      </c>
      <c r="G162">
        <v>-1556.8990694013955</v>
      </c>
      <c r="H162">
        <v>-1306.2722717633351</v>
      </c>
      <c r="I162">
        <v>241.41674867606801</v>
      </c>
      <c r="J162">
        <v>127.417421770129</v>
      </c>
      <c r="K162">
        <v>43.380091037500499</v>
      </c>
      <c r="L162">
        <v>1.3680380062472709E-4</v>
      </c>
      <c r="M162">
        <v>1.7190722384804152E-5</v>
      </c>
      <c r="N162" s="1">
        <v>2.5848236110924202E-6</v>
      </c>
      <c r="O162" s="1">
        <v>7.8014545741274602E-8</v>
      </c>
      <c r="P162" s="1">
        <v>-3.9625733222261602E-7</v>
      </c>
      <c r="Q162">
        <v>73.816870285156497</v>
      </c>
      <c r="R162">
        <v>8.2788938138802906E-2</v>
      </c>
      <c r="S162">
        <v>11.974816148689801</v>
      </c>
      <c r="T162">
        <v>0.20316107957823501</v>
      </c>
      <c r="V162">
        <v>0.46692939370315401</v>
      </c>
      <c r="W162">
        <v>2.7246992298843399E-2</v>
      </c>
      <c r="X162">
        <v>6.2877674535810696E-2</v>
      </c>
      <c r="AA162">
        <v>0.46166607681932298</v>
      </c>
      <c r="AB162">
        <v>3.6876002019124701</v>
      </c>
      <c r="AC162">
        <v>4.54619396346635</v>
      </c>
      <c r="AD162">
        <v>4.1918449690521902E-3</v>
      </c>
      <c r="AE162">
        <v>4.6656574007315603</v>
      </c>
    </row>
    <row r="163" spans="1:31" x14ac:dyDescent="0.2">
      <c r="A163">
        <v>162</v>
      </c>
      <c r="B163">
        <v>764</v>
      </c>
      <c r="C163">
        <v>160</v>
      </c>
      <c r="D163">
        <v>0.42979366533288699</v>
      </c>
      <c r="E163">
        <v>92.675656128355897</v>
      </c>
      <c r="F163">
        <v>2.2008370371108699</v>
      </c>
      <c r="G163">
        <v>-1511.2012862413953</v>
      </c>
      <c r="H163">
        <v>-1268.3108079509202</v>
      </c>
      <c r="I163">
        <v>234.19030833580001</v>
      </c>
      <c r="J163">
        <v>123.701484313173</v>
      </c>
      <c r="K163">
        <v>42.109276864049299</v>
      </c>
      <c r="L163">
        <v>1.3652439382490141E-4</v>
      </c>
      <c r="M163">
        <v>1.7150580448937864E-5</v>
      </c>
      <c r="N163" s="1">
        <v>2.50394358613802E-6</v>
      </c>
      <c r="O163" s="1">
        <v>7.5458655670558205E-8</v>
      </c>
      <c r="P163" s="1">
        <v>-3.8378766198097099E-7</v>
      </c>
      <c r="Q163">
        <v>73.780607311026799</v>
      </c>
      <c r="R163">
        <v>8.5243529207485402E-2</v>
      </c>
      <c r="S163">
        <v>11.9777331822216</v>
      </c>
      <c r="T163">
        <v>0.20953347963931099</v>
      </c>
      <c r="V163">
        <v>0.480459317231968</v>
      </c>
      <c r="W163">
        <v>2.8054832397396499E-2</v>
      </c>
      <c r="X163">
        <v>6.4741920917090606E-2</v>
      </c>
      <c r="AA163">
        <v>0.453505987835785</v>
      </c>
      <c r="AB163">
        <v>3.6466133245405601</v>
      </c>
      <c r="AC163">
        <v>4.6208285999564698</v>
      </c>
      <c r="AD163">
        <v>4.3161280611372097E-3</v>
      </c>
      <c r="AE163">
        <v>4.6483623869642798</v>
      </c>
    </row>
    <row r="164" spans="1:31" x14ac:dyDescent="0.2">
      <c r="A164">
        <v>163</v>
      </c>
      <c r="B164">
        <v>763</v>
      </c>
      <c r="C164">
        <v>160</v>
      </c>
      <c r="D164">
        <v>0.42917579501038</v>
      </c>
      <c r="E164">
        <v>89.049295172332805</v>
      </c>
      <c r="F164">
        <v>2.2021436126616298</v>
      </c>
      <c r="G164">
        <v>-1451.148558049402</v>
      </c>
      <c r="H164">
        <v>-1218.2730200404703</v>
      </c>
      <c r="I164">
        <v>224.75079670794</v>
      </c>
      <c r="J164">
        <v>118.815433285539</v>
      </c>
      <c r="K164">
        <v>40.437551238859797</v>
      </c>
      <c r="L164">
        <v>1.3623462176902307E-4</v>
      </c>
      <c r="M164">
        <v>1.7108956470113323E-5</v>
      </c>
      <c r="N164" s="1">
        <v>2.3992030702579399E-6</v>
      </c>
      <c r="O164" s="1">
        <v>7.2193660352709802E-8</v>
      </c>
      <c r="P164" s="1">
        <v>-3.6764977060546699E-7</v>
      </c>
      <c r="Q164">
        <v>73.737066568755694</v>
      </c>
      <c r="R164">
        <v>8.8714907677959198E-2</v>
      </c>
      <c r="S164">
        <v>11.9801786709734</v>
      </c>
      <c r="T164">
        <v>0.21838794929552699</v>
      </c>
      <c r="V164">
        <v>0.499735697701852</v>
      </c>
      <c r="W164">
        <v>2.91973113876745E-2</v>
      </c>
      <c r="X164">
        <v>6.7378410894682494E-2</v>
      </c>
      <c r="AA164">
        <v>0.44885621782720703</v>
      </c>
      <c r="AB164">
        <v>3.6000451134337501</v>
      </c>
      <c r="AC164">
        <v>4.69593020650405</v>
      </c>
      <c r="AD164">
        <v>4.4918940596401597E-3</v>
      </c>
      <c r="AE164">
        <v>4.6300170514884398</v>
      </c>
    </row>
    <row r="165" spans="1:31" x14ac:dyDescent="0.2">
      <c r="A165">
        <v>164</v>
      </c>
      <c r="B165">
        <v>762</v>
      </c>
      <c r="C165">
        <v>160</v>
      </c>
      <c r="D165">
        <v>0.428556730908567</v>
      </c>
      <c r="E165">
        <v>72.593893618786495</v>
      </c>
      <c r="F165">
        <v>2.2051689709900901</v>
      </c>
      <c r="G165">
        <v>-1181.472622753545</v>
      </c>
      <c r="H165">
        <v>-991.97103004468704</v>
      </c>
      <c r="I165">
        <v>183.06679486920501</v>
      </c>
      <c r="J165">
        <v>96.859360339976206</v>
      </c>
      <c r="K165">
        <v>32.919878056416103</v>
      </c>
      <c r="L165">
        <v>1.3631139327144155E-4</v>
      </c>
      <c r="M165">
        <v>1.7093679725711823E-5</v>
      </c>
      <c r="N165" s="1">
        <v>1.9549001629113199E-6</v>
      </c>
      <c r="O165" s="1">
        <v>5.8720322501633097E-8</v>
      </c>
      <c r="P165" s="1">
        <v>-2.9921337201494203E-7</v>
      </c>
      <c r="Q165">
        <v>73.574905219062103</v>
      </c>
      <c r="R165">
        <v>0.10882458022552501</v>
      </c>
      <c r="S165">
        <v>11.9734008968535</v>
      </c>
      <c r="T165">
        <v>0.26752823686073701</v>
      </c>
      <c r="V165">
        <v>0.61334147242072301</v>
      </c>
      <c r="W165">
        <v>3.58156846311741E-2</v>
      </c>
      <c r="X165">
        <v>8.2651579918159496E-2</v>
      </c>
      <c r="AA165">
        <v>0.466134327071417</v>
      </c>
      <c r="AB165">
        <v>3.5577109436145502</v>
      </c>
      <c r="AC165">
        <v>4.6916858447815804</v>
      </c>
      <c r="AD165">
        <v>5.5101053278704803E-3</v>
      </c>
      <c r="AE165">
        <v>4.6224911092325396</v>
      </c>
    </row>
    <row r="166" spans="1:31" x14ac:dyDescent="0.2">
      <c r="A166">
        <v>165</v>
      </c>
      <c r="B166">
        <v>761</v>
      </c>
      <c r="C166">
        <v>160</v>
      </c>
      <c r="D166">
        <v>0.42793646956437897</v>
      </c>
      <c r="E166">
        <v>40.3441540086814</v>
      </c>
      <c r="F166">
        <v>2.2077473104418401</v>
      </c>
      <c r="G166">
        <v>-656.35131841776524</v>
      </c>
      <c r="H166">
        <v>-551.2842161322335</v>
      </c>
      <c r="I166">
        <v>101.597546086671</v>
      </c>
      <c r="J166">
        <v>53.845855932035299</v>
      </c>
      <c r="K166">
        <v>18.2739001958549</v>
      </c>
      <c r="L166">
        <v>1.3600385131465022E-4</v>
      </c>
      <c r="M166">
        <v>1.7053975901262007E-5</v>
      </c>
      <c r="N166" s="1">
        <v>1.0826912860069899E-6</v>
      </c>
      <c r="O166" s="1">
        <v>3.2470222382012902E-8</v>
      </c>
      <c r="P166" s="1">
        <v>-1.65342120587496E-7</v>
      </c>
      <c r="Q166">
        <v>73.445340926705697</v>
      </c>
      <c r="R166">
        <v>0.13558064152346999</v>
      </c>
      <c r="S166">
        <v>12.041748360602799</v>
      </c>
      <c r="T166">
        <v>0.26665279572987399</v>
      </c>
      <c r="V166">
        <v>0.61239692548589297</v>
      </c>
      <c r="W166">
        <v>6.4445520395339698E-2</v>
      </c>
      <c r="X166">
        <v>0.141260081320357</v>
      </c>
      <c r="AA166">
        <v>0.49851632634391502</v>
      </c>
      <c r="AB166">
        <v>3.4521293631763901</v>
      </c>
      <c r="AC166">
        <v>4.7307020995870603</v>
      </c>
      <c r="AD166">
        <v>9.9146954454340692E-3</v>
      </c>
      <c r="AE166">
        <v>4.6013122636836403</v>
      </c>
    </row>
    <row r="167" spans="1:31" x14ac:dyDescent="0.2">
      <c r="A167">
        <v>166</v>
      </c>
      <c r="B167">
        <v>760</v>
      </c>
      <c r="C167">
        <v>160</v>
      </c>
      <c r="D167">
        <v>0.427315007501331</v>
      </c>
      <c r="E167">
        <v>21.731311721740902</v>
      </c>
      <c r="F167">
        <v>2.2101373390202301</v>
      </c>
      <c r="G167">
        <v>-353.4863420226157</v>
      </c>
      <c r="H167">
        <v>-297.02260156984255</v>
      </c>
      <c r="I167">
        <v>54.652025797583299</v>
      </c>
      <c r="J167">
        <v>29.0153618515955</v>
      </c>
      <c r="K167">
        <v>9.8325616865848495</v>
      </c>
      <c r="L167">
        <v>1.3575448051295432E-4</v>
      </c>
      <c r="M167">
        <v>1.7028206570353261E-5</v>
      </c>
      <c r="N167" s="1">
        <v>5.8173906563371195E-7</v>
      </c>
      <c r="O167" s="1">
        <v>1.7417763318851899E-8</v>
      </c>
      <c r="P167" s="1">
        <v>-8.85657142218071E-8</v>
      </c>
      <c r="Q167">
        <v>73.279804235480995</v>
      </c>
      <c r="R167">
        <v>0.164728216911424</v>
      </c>
      <c r="S167">
        <v>12.1909063774757</v>
      </c>
      <c r="T167">
        <v>0.25316092629716702</v>
      </c>
      <c r="V167">
        <v>0.58335253248323904</v>
      </c>
      <c r="W167">
        <v>0.119643030908148</v>
      </c>
      <c r="X167">
        <v>0.186527700787159</v>
      </c>
      <c r="AA167">
        <v>0.51651748571056499</v>
      </c>
      <c r="AB167">
        <v>3.3343609446337101</v>
      </c>
      <c r="AC167">
        <v>4.76793741680717</v>
      </c>
      <c r="AD167">
        <v>1.8406620139706099E-2</v>
      </c>
      <c r="AE167">
        <v>4.58465451236495</v>
      </c>
    </row>
    <row r="168" spans="1:31" x14ac:dyDescent="0.2">
      <c r="A168">
        <v>167</v>
      </c>
      <c r="B168">
        <v>759</v>
      </c>
      <c r="C168">
        <v>160</v>
      </c>
      <c r="D168">
        <v>0.42669234122947503</v>
      </c>
      <c r="E168">
        <v>13.1215395272009</v>
      </c>
      <c r="F168">
        <v>2.2125367154462401</v>
      </c>
      <c r="G168">
        <v>-213.38567893568739</v>
      </c>
      <c r="H168">
        <v>-179.36765588291465</v>
      </c>
      <c r="I168">
        <v>32.958410165937899</v>
      </c>
      <c r="J168">
        <v>17.524725072116599</v>
      </c>
      <c r="K168">
        <v>5.9305409196585899</v>
      </c>
      <c r="L168">
        <v>1.3563422254161131E-4</v>
      </c>
      <c r="M168">
        <v>1.7022045739694869E-5</v>
      </c>
      <c r="N168" s="1">
        <v>3.50918855249906E-7</v>
      </c>
      <c r="O168" s="1">
        <v>1.04884035213994E-8</v>
      </c>
      <c r="P168" s="1">
        <v>-5.3226177587489098E-8</v>
      </c>
      <c r="Q168">
        <v>73.062343810818106</v>
      </c>
      <c r="R168">
        <v>0.19080703585463599</v>
      </c>
      <c r="S168">
        <v>12.415309172149801</v>
      </c>
      <c r="T168">
        <v>0.24221625272470401</v>
      </c>
      <c r="V168">
        <v>0.56109370489981003</v>
      </c>
      <c r="W168">
        <v>0.198147480683105</v>
      </c>
      <c r="X168">
        <v>0.19149550724808101</v>
      </c>
      <c r="AA168">
        <v>0.52283659101677804</v>
      </c>
      <c r="AB168">
        <v>3.2097103846866299</v>
      </c>
      <c r="AC168">
        <v>4.8005311154665904</v>
      </c>
      <c r="AD168">
        <v>3.0484227797384401E-2</v>
      </c>
      <c r="AE168">
        <v>4.5750247166541804</v>
      </c>
    </row>
    <row r="169" spans="1:31" x14ac:dyDescent="0.2">
      <c r="A169">
        <v>168</v>
      </c>
      <c r="B169">
        <v>758</v>
      </c>
      <c r="C169">
        <v>160</v>
      </c>
      <c r="D169">
        <v>0.426068467245311</v>
      </c>
      <c r="E169">
        <v>9.1464960519291996</v>
      </c>
      <c r="F169">
        <v>2.2147289002845598</v>
      </c>
      <c r="G169">
        <v>-148.69749012104958</v>
      </c>
      <c r="H169">
        <v>-125.03160396302751</v>
      </c>
      <c r="I169">
        <v>22.950963640616799</v>
      </c>
      <c r="J169">
        <v>12.220559034527099</v>
      </c>
      <c r="K169">
        <v>4.1298490531974199</v>
      </c>
      <c r="L169">
        <v>1.3566608015979446E-4</v>
      </c>
      <c r="M169">
        <v>1.7033051034824229E-5</v>
      </c>
      <c r="N169" s="1">
        <v>2.4487739189406299E-7</v>
      </c>
      <c r="O169" s="1">
        <v>7.3049403801099301E-9</v>
      </c>
      <c r="P169" s="1">
        <v>-3.7002857649382701E-8</v>
      </c>
      <c r="Q169">
        <v>72.828891634022</v>
      </c>
      <c r="R169">
        <v>0.18745404902726401</v>
      </c>
      <c r="S169">
        <v>12.658741771410799</v>
      </c>
      <c r="T169">
        <v>0.23971844905814299</v>
      </c>
      <c r="V169">
        <v>0.55876571277092602</v>
      </c>
      <c r="W169">
        <v>0.28136106975102698</v>
      </c>
      <c r="X169">
        <v>0.190508703890687</v>
      </c>
      <c r="AA169">
        <v>0.52380414290934096</v>
      </c>
      <c r="AB169">
        <v>3.0961999829382401</v>
      </c>
      <c r="AC169">
        <v>4.8160100176142802</v>
      </c>
      <c r="AD169">
        <v>4.3732594179060301E-2</v>
      </c>
      <c r="AE169">
        <v>4.5748118724281497</v>
      </c>
    </row>
    <row r="170" spans="1:31" x14ac:dyDescent="0.2">
      <c r="A170">
        <v>169</v>
      </c>
      <c r="B170">
        <v>780</v>
      </c>
      <c r="C170">
        <v>140</v>
      </c>
      <c r="D170">
        <v>0.46040972321132001</v>
      </c>
      <c r="E170">
        <v>103.43184906985</v>
      </c>
      <c r="F170">
        <v>2.1967181297879899</v>
      </c>
      <c r="G170">
        <v>-1692.6561042148635</v>
      </c>
      <c r="H170">
        <v>-1416.6228811321721</v>
      </c>
      <c r="I170">
        <v>262.10247645890001</v>
      </c>
      <c r="J170">
        <v>138.11664040886501</v>
      </c>
      <c r="K170">
        <v>47.084715907467199</v>
      </c>
      <c r="L170">
        <v>1.3324285763007085E-4</v>
      </c>
      <c r="M170">
        <v>1.7134798815378931E-5</v>
      </c>
      <c r="N170" s="1">
        <v>2.61447312017116E-6</v>
      </c>
      <c r="O170" s="1">
        <v>8.2200069722327695E-8</v>
      </c>
      <c r="P170" s="1">
        <v>-4.1086947702561701E-7</v>
      </c>
      <c r="Q170">
        <v>74.077762980214501</v>
      </c>
      <c r="R170">
        <v>7.6378795033093805E-2</v>
      </c>
      <c r="S170">
        <v>12.0659159748486</v>
      </c>
      <c r="T170">
        <v>0.185053686175294</v>
      </c>
      <c r="V170">
        <v>0.43291517345431801</v>
      </c>
      <c r="W170">
        <v>2.5137324947600299E-2</v>
      </c>
      <c r="X170">
        <v>5.8009211417540098E-2</v>
      </c>
      <c r="AA170">
        <v>0.51241470085493201</v>
      </c>
      <c r="AB170">
        <v>3.8479443573634402</v>
      </c>
      <c r="AC170">
        <v>4.3120180487037398</v>
      </c>
      <c r="AD170">
        <v>3.8672807611692299E-3</v>
      </c>
      <c r="AE170">
        <v>4.4025824662257103</v>
      </c>
    </row>
    <row r="171" spans="1:31" x14ac:dyDescent="0.2">
      <c r="A171">
        <v>170</v>
      </c>
      <c r="B171">
        <v>779</v>
      </c>
      <c r="C171">
        <v>140</v>
      </c>
      <c r="D171">
        <v>0.45983034738392797</v>
      </c>
      <c r="E171">
        <v>103.230577008331</v>
      </c>
      <c r="F171">
        <v>2.1970075248946399</v>
      </c>
      <c r="G171">
        <v>-1689.0472800807925</v>
      </c>
      <c r="H171">
        <v>-1413.9889774721262</v>
      </c>
      <c r="I171">
        <v>261.42498941088797</v>
      </c>
      <c r="J171">
        <v>137.81714627904401</v>
      </c>
      <c r="K171">
        <v>46.9869018829515</v>
      </c>
      <c r="L171">
        <v>1.3312468127866405E-4</v>
      </c>
      <c r="M171">
        <v>1.7124241117516331E-5</v>
      </c>
      <c r="N171" s="1">
        <v>2.6108261940453201E-6</v>
      </c>
      <c r="O171" s="1">
        <v>8.1937578092487203E-8</v>
      </c>
      <c r="P171" s="1">
        <v>-4.0964214149720902E-7</v>
      </c>
      <c r="Q171">
        <v>74.1016914482624</v>
      </c>
      <c r="R171">
        <v>7.6527713289469307E-2</v>
      </c>
      <c r="S171">
        <v>12.0505456152391</v>
      </c>
      <c r="T171">
        <v>0.18565575318865901</v>
      </c>
      <c r="V171">
        <v>0.433542152482355</v>
      </c>
      <c r="W171">
        <v>2.5186336019318498E-2</v>
      </c>
      <c r="X171">
        <v>5.8122313890737701E-2</v>
      </c>
      <c r="AA171">
        <v>0.50944226209157695</v>
      </c>
      <c r="AB171">
        <v>3.83838420030043</v>
      </c>
      <c r="AC171">
        <v>4.3170944463965499</v>
      </c>
      <c r="AD171">
        <v>3.8748209260488701E-3</v>
      </c>
      <c r="AE171">
        <v>4.3999329379132597</v>
      </c>
    </row>
    <row r="172" spans="1:31" x14ac:dyDescent="0.2">
      <c r="A172">
        <v>171</v>
      </c>
      <c r="B172">
        <v>778</v>
      </c>
      <c r="C172">
        <v>140</v>
      </c>
      <c r="D172">
        <v>0.45924986919088701</v>
      </c>
      <c r="E172">
        <v>102.80609757041</v>
      </c>
      <c r="F172">
        <v>2.19730036602318</v>
      </c>
      <c r="G172">
        <v>-1681.7288842620019</v>
      </c>
      <c r="H172">
        <v>-1408.2810532711617</v>
      </c>
      <c r="I172">
        <v>260.14158872743099</v>
      </c>
      <c r="J172">
        <v>137.199428631838</v>
      </c>
      <c r="K172">
        <v>46.787457536574998</v>
      </c>
      <c r="L172">
        <v>1.3291355871084185E-4</v>
      </c>
      <c r="M172">
        <v>1.7108832419946733E-5</v>
      </c>
      <c r="N172" s="1">
        <v>2.5996846985955599E-6</v>
      </c>
      <c r="O172" s="1">
        <v>8.1446287592083305E-8</v>
      </c>
      <c r="P172" s="1">
        <v>-4.0712759458105499E-7</v>
      </c>
      <c r="Q172">
        <v>74.152342016701596</v>
      </c>
      <c r="R172">
        <v>7.6843691052366506E-2</v>
      </c>
      <c r="S172">
        <v>12.0181609363971</v>
      </c>
      <c r="T172">
        <v>0.18662856197646299</v>
      </c>
      <c r="V172">
        <v>0.43514663390394598</v>
      </c>
      <c r="W172">
        <v>2.52903287007781E-2</v>
      </c>
      <c r="X172">
        <v>5.8362297001799901E-2</v>
      </c>
      <c r="AA172">
        <v>0.503352076350705</v>
      </c>
      <c r="AB172">
        <v>3.8181136668365299</v>
      </c>
      <c r="AC172">
        <v>4.32769066237974</v>
      </c>
      <c r="AD172">
        <v>3.8908198001194601E-3</v>
      </c>
      <c r="AE172">
        <v>4.3941783088986499</v>
      </c>
    </row>
    <row r="173" spans="1:31" x14ac:dyDescent="0.2">
      <c r="A173">
        <v>172</v>
      </c>
      <c r="B173">
        <v>777</v>
      </c>
      <c r="C173">
        <v>140</v>
      </c>
      <c r="D173">
        <v>0.45866828548302802</v>
      </c>
      <c r="E173">
        <v>102.381107330986</v>
      </c>
      <c r="F173">
        <v>2.1975947399529501</v>
      </c>
      <c r="G173">
        <v>-1674.4058583933049</v>
      </c>
      <c r="H173">
        <v>-1402.5660578947516</v>
      </c>
      <c r="I173">
        <v>258.85806836980601</v>
      </c>
      <c r="J173">
        <v>136.58135559907299</v>
      </c>
      <c r="K173">
        <v>46.587801412911197</v>
      </c>
      <c r="L173">
        <v>1.3270133644056469E-4</v>
      </c>
      <c r="M173">
        <v>1.7093414295943503E-5</v>
      </c>
      <c r="N173" s="1">
        <v>2.5885084200881201E-6</v>
      </c>
      <c r="O173" s="1">
        <v>8.09554887318144E-8</v>
      </c>
      <c r="P173" s="1">
        <v>-4.0461145670110898E-7</v>
      </c>
      <c r="Q173">
        <v>74.203157997552594</v>
      </c>
      <c r="R173">
        <v>7.7162673914634494E-2</v>
      </c>
      <c r="S173">
        <v>11.985720146893099</v>
      </c>
      <c r="T173">
        <v>0.18761034048014599</v>
      </c>
      <c r="V173">
        <v>0.43676662860062998</v>
      </c>
      <c r="W173">
        <v>2.5395310402283801E-2</v>
      </c>
      <c r="X173">
        <v>5.8604562466814197E-2</v>
      </c>
      <c r="AA173">
        <v>0.49748558013630501</v>
      </c>
      <c r="AB173">
        <v>3.7976542846166002</v>
      </c>
      <c r="AC173">
        <v>4.3381413379028197</v>
      </c>
      <c r="AD173">
        <v>3.9069708311202699E-3</v>
      </c>
      <c r="AE173">
        <v>4.3883941662028496</v>
      </c>
    </row>
    <row r="174" spans="1:31" x14ac:dyDescent="0.2">
      <c r="A174">
        <v>173</v>
      </c>
      <c r="B174">
        <v>776</v>
      </c>
      <c r="C174">
        <v>140</v>
      </c>
      <c r="D174">
        <v>0.45808559309917701</v>
      </c>
      <c r="E174">
        <v>101.95576944154899</v>
      </c>
      <c r="F174">
        <v>2.1978904997658502</v>
      </c>
      <c r="G174">
        <v>-1667.0809440140904</v>
      </c>
      <c r="H174">
        <v>-1396.8462433737038</v>
      </c>
      <c r="I174">
        <v>257.574894572164</v>
      </c>
      <c r="J174">
        <v>135.963157117669</v>
      </c>
      <c r="K174">
        <v>46.388011346521402</v>
      </c>
      <c r="L174">
        <v>1.324880926318153E-4</v>
      </c>
      <c r="M174">
        <v>1.7077993612142033E-5</v>
      </c>
      <c r="N174" s="1">
        <v>2.57730386358333E-6</v>
      </c>
      <c r="O174" s="1">
        <v>8.0465379123294802E-8</v>
      </c>
      <c r="P174" s="1">
        <v>-4.0209483043277001E-7</v>
      </c>
      <c r="Q174">
        <v>74.254134444245807</v>
      </c>
      <c r="R174">
        <v>7.7484580257413394E-2</v>
      </c>
      <c r="S174">
        <v>11.953226436028899</v>
      </c>
      <c r="T174">
        <v>0.18860093821080501</v>
      </c>
      <c r="V174">
        <v>0.43840163143087602</v>
      </c>
      <c r="W174">
        <v>2.55012542619324E-2</v>
      </c>
      <c r="X174">
        <v>5.8849048296773503E-2</v>
      </c>
      <c r="AA174">
        <v>0.49183817785275102</v>
      </c>
      <c r="AB174">
        <v>3.7770199473935899</v>
      </c>
      <c r="AC174">
        <v>4.3484361570768701</v>
      </c>
      <c r="AD174">
        <v>3.9232698864507696E-3</v>
      </c>
      <c r="AE174">
        <v>4.3825841150577203</v>
      </c>
    </row>
    <row r="175" spans="1:31" x14ac:dyDescent="0.2">
      <c r="A175">
        <v>174</v>
      </c>
      <c r="B175">
        <v>775</v>
      </c>
      <c r="C175">
        <v>140</v>
      </c>
      <c r="D175">
        <v>0.45750178886609999</v>
      </c>
      <c r="E175">
        <v>101.53024315124</v>
      </c>
      <c r="F175">
        <v>2.1981874986899701</v>
      </c>
      <c r="G175">
        <v>-1659.7568145584207</v>
      </c>
      <c r="H175">
        <v>-1391.1238080678861</v>
      </c>
      <c r="I175">
        <v>256.29252157662</v>
      </c>
      <c r="J175">
        <v>135.345057340534</v>
      </c>
      <c r="K175">
        <v>46.188163298966899</v>
      </c>
      <c r="L175">
        <v>1.3227390523790105E-4</v>
      </c>
      <c r="M175">
        <v>1.7062577192319741E-5</v>
      </c>
      <c r="N175" s="1">
        <v>2.5660774019328801E-6</v>
      </c>
      <c r="O175" s="1">
        <v>7.9976150934093894E-8</v>
      </c>
      <c r="P175" s="1">
        <v>-3.9957879121559502E-7</v>
      </c>
      <c r="Q175">
        <v>74.305266460839107</v>
      </c>
      <c r="R175">
        <v>7.7809328085940294E-2</v>
      </c>
      <c r="S175">
        <v>11.920682946567201</v>
      </c>
      <c r="T175">
        <v>0.189600203654814</v>
      </c>
      <c r="V175">
        <v>0.44005113522509298</v>
      </c>
      <c r="W175">
        <v>2.56081332941057E-2</v>
      </c>
      <c r="X175">
        <v>5.9095692217174298E-2</v>
      </c>
      <c r="AA175">
        <v>0.48640518509535802</v>
      </c>
      <c r="AB175">
        <v>3.7562245623730699</v>
      </c>
      <c r="AC175">
        <v>4.3585648903734997</v>
      </c>
      <c r="AD175">
        <v>3.9397128144773698E-3</v>
      </c>
      <c r="AE175">
        <v>4.3767517494600598</v>
      </c>
    </row>
    <row r="176" spans="1:31" x14ac:dyDescent="0.2">
      <c r="A176">
        <v>175</v>
      </c>
      <c r="B176">
        <v>774</v>
      </c>
      <c r="C176">
        <v>140</v>
      </c>
      <c r="D176">
        <v>0.45691686959843703</v>
      </c>
      <c r="E176">
        <v>99.946702261241498</v>
      </c>
      <c r="F176">
        <v>2.1988761140527102</v>
      </c>
      <c r="G176">
        <v>-1633.2127297305935</v>
      </c>
      <c r="H176">
        <v>-1369.2701515944877</v>
      </c>
      <c r="I176">
        <v>252.05804148030899</v>
      </c>
      <c r="J176">
        <v>133.18864045925599</v>
      </c>
      <c r="K176">
        <v>45.453539479780403</v>
      </c>
      <c r="L176">
        <v>1.3206543163230011E-4</v>
      </c>
      <c r="M176">
        <v>1.7035406254873982E-5</v>
      </c>
      <c r="N176" s="1">
        <v>2.5228714531252898E-6</v>
      </c>
      <c r="O176" s="1">
        <v>7.8502617475097404E-8</v>
      </c>
      <c r="P176" s="1">
        <v>-3.9256671025373899E-7</v>
      </c>
      <c r="Q176">
        <v>74.301130145977496</v>
      </c>
      <c r="R176">
        <v>7.9042127666714798E-2</v>
      </c>
      <c r="S176">
        <v>11.9119565587423</v>
      </c>
      <c r="T176">
        <v>0.192901092936867</v>
      </c>
      <c r="V176">
        <v>0.44675609465182903</v>
      </c>
      <c r="W176">
        <v>2.60138648017019E-2</v>
      </c>
      <c r="X176">
        <v>6.0031995696245101E-2</v>
      </c>
      <c r="AA176">
        <v>0.47699355773621499</v>
      </c>
      <c r="AB176">
        <v>3.7284250860285799</v>
      </c>
      <c r="AC176">
        <v>4.4065238685868504</v>
      </c>
      <c r="AD176">
        <v>4.0021330464152802E-3</v>
      </c>
      <c r="AE176">
        <v>4.3662234741286499</v>
      </c>
    </row>
    <row r="177" spans="1:31" x14ac:dyDescent="0.2">
      <c r="A177">
        <v>176</v>
      </c>
      <c r="B177">
        <v>773</v>
      </c>
      <c r="C177">
        <v>140</v>
      </c>
      <c r="D177">
        <v>0.456330832098647</v>
      </c>
      <c r="E177">
        <v>97.694926892053005</v>
      </c>
      <c r="F177">
        <v>2.1998018187427499</v>
      </c>
      <c r="G177">
        <v>-1595.6064797979075</v>
      </c>
      <c r="H177">
        <v>-1338.122678808842</v>
      </c>
      <c r="I177">
        <v>246.12512640545299</v>
      </c>
      <c r="J177">
        <v>130.14481958453899</v>
      </c>
      <c r="K177">
        <v>44.410785580624697</v>
      </c>
      <c r="L177">
        <v>1.3185177473143007E-4</v>
      </c>
      <c r="M177">
        <v>1.7001332318711295E-5</v>
      </c>
      <c r="N177" s="1">
        <v>2.4612731293519899E-6</v>
      </c>
      <c r="O177" s="1">
        <v>7.6467682917078302E-8</v>
      </c>
      <c r="P177" s="1">
        <v>-3.8293881580513801E-7</v>
      </c>
      <c r="Q177">
        <v>74.267688218542801</v>
      </c>
      <c r="R177">
        <v>8.0863973712059195E-2</v>
      </c>
      <c r="S177">
        <v>11.9154167494349</v>
      </c>
      <c r="T177">
        <v>0.197690582496444</v>
      </c>
      <c r="V177">
        <v>0.45674449146067098</v>
      </c>
      <c r="W177">
        <v>2.6613459702698301E-2</v>
      </c>
      <c r="X177">
        <v>6.14156762370245E-2</v>
      </c>
      <c r="AA177">
        <v>0.46643134573110201</v>
      </c>
      <c r="AB177">
        <v>3.6950301676242101</v>
      </c>
      <c r="AC177">
        <v>4.4752041259063304</v>
      </c>
      <c r="AD177">
        <v>4.0943784157985701E-3</v>
      </c>
      <c r="AE177">
        <v>4.3528068307359202</v>
      </c>
    </row>
    <row r="178" spans="1:31" x14ac:dyDescent="0.2">
      <c r="A178">
        <v>177</v>
      </c>
      <c r="B178">
        <v>772</v>
      </c>
      <c r="C178">
        <v>140</v>
      </c>
      <c r="D178">
        <v>0.45574367315696301</v>
      </c>
      <c r="E178">
        <v>95.314932654651898</v>
      </c>
      <c r="F178">
        <v>2.20078004662806</v>
      </c>
      <c r="G178">
        <v>-1555.9174851604571</v>
      </c>
      <c r="H178">
        <v>-1305.2134805176006</v>
      </c>
      <c r="I178">
        <v>239.873706781664</v>
      </c>
      <c r="J178">
        <v>126.93116724607199</v>
      </c>
      <c r="K178">
        <v>43.309613244035503</v>
      </c>
      <c r="L178">
        <v>1.3162749921566449E-4</v>
      </c>
      <c r="M178">
        <v>1.6966117465393254E-5</v>
      </c>
      <c r="N178" s="1">
        <v>2.3962991655701701E-6</v>
      </c>
      <c r="O178" s="1">
        <v>7.4335225875174696E-8</v>
      </c>
      <c r="P178" s="1">
        <v>-3.7278755406914199E-7</v>
      </c>
      <c r="Q178">
        <v>74.232741333442306</v>
      </c>
      <c r="R178">
        <v>8.2883130480972705E-2</v>
      </c>
      <c r="S178">
        <v>11.918826817727</v>
      </c>
      <c r="T178">
        <v>0.20297104985512601</v>
      </c>
      <c r="V178">
        <v>0.46783961557947501</v>
      </c>
      <c r="W178">
        <v>2.7277992310187599E-2</v>
      </c>
      <c r="X178">
        <v>6.2949213023545295E-2</v>
      </c>
      <c r="AA178">
        <v>0.45715971584916099</v>
      </c>
      <c r="AB178">
        <v>3.6588912051569902</v>
      </c>
      <c r="AC178">
        <v>4.54551411069738</v>
      </c>
      <c r="AD178">
        <v>4.1966142015656804E-3</v>
      </c>
      <c r="AE178">
        <v>4.3387492016760802</v>
      </c>
    </row>
    <row r="179" spans="1:31" x14ac:dyDescent="0.2">
      <c r="A179">
        <v>178</v>
      </c>
      <c r="B179">
        <v>771</v>
      </c>
      <c r="C179">
        <v>140</v>
      </c>
      <c r="D179">
        <v>0.45515538955130802</v>
      </c>
      <c r="E179">
        <v>92.733153395800599</v>
      </c>
      <c r="F179">
        <v>2.2018259794368502</v>
      </c>
      <c r="G179">
        <v>-1512.9426841376899</v>
      </c>
      <c r="H179">
        <v>-1269.5309982651299</v>
      </c>
      <c r="I179">
        <v>233.119461641105</v>
      </c>
      <c r="J179">
        <v>123.44995822806899</v>
      </c>
      <c r="K179">
        <v>42.1164770794094</v>
      </c>
      <c r="L179">
        <v>1.3139186129357223E-4</v>
      </c>
      <c r="M179">
        <v>1.6929640273646751E-5</v>
      </c>
      <c r="N179" s="1">
        <v>2.3261070202017799E-6</v>
      </c>
      <c r="O179" s="1">
        <v>7.2048657116263106E-8</v>
      </c>
      <c r="P179" s="1">
        <v>-3.6182519761484502E-7</v>
      </c>
      <c r="Q179">
        <v>74.195629819618404</v>
      </c>
      <c r="R179">
        <v>8.5190675726104004E-2</v>
      </c>
      <c r="S179">
        <v>11.922137692340501</v>
      </c>
      <c r="T179">
        <v>0.208964123442934</v>
      </c>
      <c r="V179">
        <v>0.48055683073183703</v>
      </c>
      <c r="W179">
        <v>2.8037437580736301E-2</v>
      </c>
      <c r="X179">
        <v>6.4701779032508899E-2</v>
      </c>
      <c r="AA179">
        <v>0.44946747612962201</v>
      </c>
      <c r="AB179">
        <v>3.6195249545192199</v>
      </c>
      <c r="AC179">
        <v>4.6175070037947901</v>
      </c>
      <c r="AD179">
        <v>4.3134519354958998E-3</v>
      </c>
      <c r="AE179">
        <v>4.3239687551477504</v>
      </c>
    </row>
    <row r="180" spans="1:31" x14ac:dyDescent="0.2">
      <c r="A180">
        <v>179</v>
      </c>
      <c r="B180">
        <v>770</v>
      </c>
      <c r="C180">
        <v>140</v>
      </c>
      <c r="D180">
        <v>0.45456597804726301</v>
      </c>
      <c r="E180">
        <v>89.791027623746203</v>
      </c>
      <c r="F180">
        <v>2.2029711344433802</v>
      </c>
      <c r="G180">
        <v>-1464.0890271686619</v>
      </c>
      <c r="H180">
        <v>-1228.8952193165517</v>
      </c>
      <c r="I180">
        <v>225.46499338744201</v>
      </c>
      <c r="J180">
        <v>119.49058347876399</v>
      </c>
      <c r="K180">
        <v>40.759057719761401</v>
      </c>
      <c r="L180">
        <v>1.311440318258415E-4</v>
      </c>
      <c r="M180">
        <v>1.6891724518186319E-5</v>
      </c>
      <c r="N180" s="1">
        <v>2.2467267952527401E-6</v>
      </c>
      <c r="O180" s="1">
        <v>6.9485945172948607E-8</v>
      </c>
      <c r="P180" s="1">
        <v>-3.4943102617256802E-7</v>
      </c>
      <c r="Q180">
        <v>74.154914864818195</v>
      </c>
      <c r="R180">
        <v>8.7982064679160796E-2</v>
      </c>
      <c r="S180">
        <v>11.9252748467174</v>
      </c>
      <c r="T180">
        <v>0.216144239780617</v>
      </c>
      <c r="V180">
        <v>0.49600318616353301</v>
      </c>
      <c r="W180">
        <v>2.8956122552627899E-2</v>
      </c>
      <c r="X180">
        <v>6.6821821275339005E-2</v>
      </c>
      <c r="AA180">
        <v>0.444005452090451</v>
      </c>
      <c r="AB180">
        <v>3.5760046983096001</v>
      </c>
      <c r="AC180">
        <v>4.6911055332854401</v>
      </c>
      <c r="AD180">
        <v>4.45478808501764E-3</v>
      </c>
      <c r="AE180">
        <v>4.3083323822425097</v>
      </c>
    </row>
    <row r="181" spans="1:31" x14ac:dyDescent="0.2">
      <c r="A181">
        <v>180</v>
      </c>
      <c r="B181">
        <v>769</v>
      </c>
      <c r="C181">
        <v>140</v>
      </c>
      <c r="D181">
        <v>0.45397543539797802</v>
      </c>
      <c r="E181">
        <v>84.931229571758095</v>
      </c>
      <c r="F181">
        <v>2.2044276294587801</v>
      </c>
      <c r="G181">
        <v>-1383.8915877263819</v>
      </c>
      <c r="H181">
        <v>-1161.9011825027912</v>
      </c>
      <c r="I181">
        <v>213.01195146916399</v>
      </c>
      <c r="J181">
        <v>112.985745551926</v>
      </c>
      <c r="K181">
        <v>38.527565358364498</v>
      </c>
      <c r="L181">
        <v>1.309101201174335E-4</v>
      </c>
      <c r="M181">
        <v>1.6854100203575653E-5</v>
      </c>
      <c r="N181" s="1">
        <v>2.1196713919267501E-6</v>
      </c>
      <c r="O181" s="1">
        <v>6.5458343486038798E-8</v>
      </c>
      <c r="P181" s="1">
        <v>-3.2958134986342101E-7</v>
      </c>
      <c r="Q181">
        <v>74.097817654355495</v>
      </c>
      <c r="R181">
        <v>9.3016432704848204E-2</v>
      </c>
      <c r="S181">
        <v>11.9275902177611</v>
      </c>
      <c r="T181">
        <v>0.228769449353176</v>
      </c>
      <c r="V181">
        <v>0.524153113641323</v>
      </c>
      <c r="W181">
        <v>3.0613003168669099E-2</v>
      </c>
      <c r="X181">
        <v>7.0645391927787696E-2</v>
      </c>
      <c r="AA181">
        <v>0.44452745109908298</v>
      </c>
      <c r="AB181">
        <v>3.5264819381367301</v>
      </c>
      <c r="AC181">
        <v>4.75930155392816</v>
      </c>
      <c r="AD181">
        <v>4.7096927951754399E-3</v>
      </c>
      <c r="AE181">
        <v>4.2923741011283401</v>
      </c>
    </row>
    <row r="182" spans="1:31" x14ac:dyDescent="0.2">
      <c r="A182">
        <v>181</v>
      </c>
      <c r="B182">
        <v>768</v>
      </c>
      <c r="C182">
        <v>140</v>
      </c>
      <c r="D182">
        <v>0.45338375834414102</v>
      </c>
      <c r="E182">
        <v>70.611531789155094</v>
      </c>
      <c r="F182">
        <v>2.2073236586171001</v>
      </c>
      <c r="G182">
        <v>-1149.1545391847171</v>
      </c>
      <c r="H182">
        <v>-964.92465128242202</v>
      </c>
      <c r="I182">
        <v>176.94845882177799</v>
      </c>
      <c r="J182">
        <v>93.934957701378806</v>
      </c>
      <c r="K182">
        <v>31.989659293278901</v>
      </c>
      <c r="L182">
        <v>1.3097035728164207E-4</v>
      </c>
      <c r="M182">
        <v>1.6838313492669998E-5</v>
      </c>
      <c r="N182" s="1">
        <v>1.76127751616314E-6</v>
      </c>
      <c r="O182" s="1">
        <v>5.42962149946346E-8</v>
      </c>
      <c r="P182" s="1">
        <v>-2.7353833405751898E-7</v>
      </c>
      <c r="Q182">
        <v>73.943178138903505</v>
      </c>
      <c r="R182">
        <v>0.11187974258356299</v>
      </c>
      <c r="S182">
        <v>11.9224440346061</v>
      </c>
      <c r="T182">
        <v>0.274819161277638</v>
      </c>
      <c r="V182">
        <v>0.63075824191297503</v>
      </c>
      <c r="W182">
        <v>3.6821181103428698E-2</v>
      </c>
      <c r="X182">
        <v>8.4971956392663098E-2</v>
      </c>
      <c r="AA182">
        <v>0.46339197033417301</v>
      </c>
      <c r="AB182">
        <v>3.4823578627705101</v>
      </c>
      <c r="AC182">
        <v>4.7586843376128103</v>
      </c>
      <c r="AD182">
        <v>5.6647970928294803E-3</v>
      </c>
      <c r="AE182">
        <v>4.2850285754096102</v>
      </c>
    </row>
    <row r="183" spans="1:31" x14ac:dyDescent="0.2">
      <c r="A183">
        <v>182</v>
      </c>
      <c r="B183">
        <v>767</v>
      </c>
      <c r="C183">
        <v>140</v>
      </c>
      <c r="D183">
        <v>0.45279094361390498</v>
      </c>
      <c r="E183">
        <v>40.784010184914798</v>
      </c>
      <c r="F183">
        <v>2.2097450845089601</v>
      </c>
      <c r="G183">
        <v>-663.51848924125159</v>
      </c>
      <c r="H183">
        <v>-557.36591912278766</v>
      </c>
      <c r="I183">
        <v>102.055059480328</v>
      </c>
      <c r="J183">
        <v>54.269574500669599</v>
      </c>
      <c r="K183">
        <v>18.456432133653699</v>
      </c>
      <c r="L183">
        <v>1.3063562415696918E-4</v>
      </c>
      <c r="M183">
        <v>1.6796422931359882E-5</v>
      </c>
      <c r="N183" s="1">
        <v>1.0134284725881399E-6</v>
      </c>
      <c r="O183" s="1">
        <v>3.1194658600710002E-8</v>
      </c>
      <c r="P183" s="1">
        <v>-1.5704114703494899E-7</v>
      </c>
      <c r="Q183">
        <v>73.822600298448904</v>
      </c>
      <c r="R183">
        <v>0.13802881302693301</v>
      </c>
      <c r="S183">
        <v>11.992365984070901</v>
      </c>
      <c r="T183">
        <v>0.26988844470239498</v>
      </c>
      <c r="V183">
        <v>0.620321784584001</v>
      </c>
      <c r="W183">
        <v>6.3750474468065102E-2</v>
      </c>
      <c r="X183">
        <v>0.13997591018935601</v>
      </c>
      <c r="AA183">
        <v>0.50181716872639803</v>
      </c>
      <c r="AB183">
        <v>3.3698345638403602</v>
      </c>
      <c r="AC183">
        <v>4.8076752432100296</v>
      </c>
      <c r="AD183">
        <v>9.8077653027684106E-3</v>
      </c>
      <c r="AE183">
        <v>4.2639335494297397</v>
      </c>
    </row>
    <row r="184" spans="1:31" x14ac:dyDescent="0.2">
      <c r="A184">
        <v>183</v>
      </c>
      <c r="B184">
        <v>766</v>
      </c>
      <c r="C184">
        <v>140</v>
      </c>
      <c r="D184">
        <v>0.45219698792282498</v>
      </c>
      <c r="E184">
        <v>24.117438566844999</v>
      </c>
      <c r="F184">
        <v>2.2119482500062899</v>
      </c>
      <c r="G184">
        <v>-392.31193292549216</v>
      </c>
      <c r="H184">
        <v>-329.67850330692323</v>
      </c>
      <c r="I184">
        <v>60.273713726188497</v>
      </c>
      <c r="J184">
        <v>32.105723114109502</v>
      </c>
      <c r="K184">
        <v>10.903256243348499</v>
      </c>
      <c r="L184">
        <v>1.3040127972676897E-4</v>
      </c>
      <c r="M184">
        <v>1.6768895106204377E-5</v>
      </c>
      <c r="N184" s="1">
        <v>5.9783054953296402E-7</v>
      </c>
      <c r="O184" s="1">
        <v>1.8372107108739001E-8</v>
      </c>
      <c r="P184" s="1">
        <v>-9.2383381390839603E-8</v>
      </c>
      <c r="Q184">
        <v>73.679366329825399</v>
      </c>
      <c r="R184">
        <v>0.16306334895524099</v>
      </c>
      <c r="S184">
        <v>12.1089308833886</v>
      </c>
      <c r="T184">
        <v>0.25781217229999598</v>
      </c>
      <c r="V184">
        <v>0.59403056644049701</v>
      </c>
      <c r="W184">
        <v>0.107805810007229</v>
      </c>
      <c r="X184">
        <v>0.19460151476624901</v>
      </c>
      <c r="AA184">
        <v>0.52298561056715598</v>
      </c>
      <c r="AB184">
        <v>3.2628125624185902</v>
      </c>
      <c r="AC184">
        <v>4.8432630424195704</v>
      </c>
      <c r="AD184">
        <v>1.65855092318609E-2</v>
      </c>
      <c r="AE184">
        <v>4.2487426496794898</v>
      </c>
    </row>
    <row r="185" spans="1:31" x14ac:dyDescent="0.2">
      <c r="A185">
        <v>184</v>
      </c>
      <c r="B185">
        <v>765</v>
      </c>
      <c r="C185">
        <v>140</v>
      </c>
      <c r="D185">
        <v>0.45160188797380102</v>
      </c>
      <c r="E185">
        <v>14.3883961016955</v>
      </c>
      <c r="F185">
        <v>2.2142922022966398</v>
      </c>
      <c r="G185">
        <v>-233.99590999801561</v>
      </c>
      <c r="H185">
        <v>-196.71242774547449</v>
      </c>
      <c r="I185">
        <v>35.9133865554507</v>
      </c>
      <c r="J185">
        <v>19.158893091716301</v>
      </c>
      <c r="K185">
        <v>6.4979662967570198</v>
      </c>
      <c r="L185">
        <v>1.3025004223206647E-4</v>
      </c>
      <c r="M185">
        <v>1.6758637954620928E-5</v>
      </c>
      <c r="N185" s="1">
        <v>3.5616403341303502E-7</v>
      </c>
      <c r="O185" s="1">
        <v>1.0926910066586299E-8</v>
      </c>
      <c r="P185" s="1">
        <v>-5.4835655285043701E-8</v>
      </c>
      <c r="Q185">
        <v>73.473523004870302</v>
      </c>
      <c r="R185">
        <v>0.19251163407448799</v>
      </c>
      <c r="S185">
        <v>12.3191542869485</v>
      </c>
      <c r="T185">
        <v>0.246040055656403</v>
      </c>
      <c r="V185">
        <v>0.56964968717354802</v>
      </c>
      <c r="W185">
        <v>0.180701169304882</v>
      </c>
      <c r="X185">
        <v>0.20006365387460101</v>
      </c>
      <c r="AA185">
        <v>0.53308668983693797</v>
      </c>
      <c r="AB185">
        <v>3.13791593684922</v>
      </c>
      <c r="AC185">
        <v>4.8815826074554796</v>
      </c>
      <c r="AD185">
        <v>2.7800179893022001E-2</v>
      </c>
      <c r="AE185">
        <v>4.2379710940624502</v>
      </c>
    </row>
    <row r="186" spans="1:31" x14ac:dyDescent="0.2">
      <c r="A186">
        <v>185</v>
      </c>
      <c r="B186">
        <v>764</v>
      </c>
      <c r="C186">
        <v>140</v>
      </c>
      <c r="D186">
        <v>0.45100564045702202</v>
      </c>
      <c r="E186">
        <v>10.2184771999205</v>
      </c>
      <c r="F186">
        <v>2.21642438852402</v>
      </c>
      <c r="G186">
        <v>-166.14008148798652</v>
      </c>
      <c r="H186">
        <v>-139.7154661288663</v>
      </c>
      <c r="I186">
        <v>25.478103802844501</v>
      </c>
      <c r="J186">
        <v>13.610639197273001</v>
      </c>
      <c r="K186">
        <v>4.6103432414968797</v>
      </c>
      <c r="L186">
        <v>1.3020599580084883E-4</v>
      </c>
      <c r="M186">
        <v>1.6759340175727475E-5</v>
      </c>
      <c r="N186" s="1">
        <v>2.5294169452779199E-7</v>
      </c>
      <c r="O186" s="1">
        <v>7.7461086710096293E-9</v>
      </c>
      <c r="P186" s="1">
        <v>-3.8802321095583399E-8</v>
      </c>
      <c r="Q186">
        <v>73.266418429978003</v>
      </c>
      <c r="R186">
        <v>0.21053548728406901</v>
      </c>
      <c r="S186">
        <v>12.530168574691601</v>
      </c>
      <c r="T186">
        <v>0.238223608907074</v>
      </c>
      <c r="V186">
        <v>0.55429266536058897</v>
      </c>
      <c r="W186">
        <v>0.25444104333062301</v>
      </c>
      <c r="X186">
        <v>0.203188409879343</v>
      </c>
      <c r="AA186">
        <v>0.53536653104125198</v>
      </c>
      <c r="AB186">
        <v>3.0305256177601501</v>
      </c>
      <c r="AC186">
        <v>4.9045617116177498</v>
      </c>
      <c r="AD186">
        <v>3.9144775896957203E-2</v>
      </c>
      <c r="AE186">
        <v>4.2331331442524398</v>
      </c>
    </row>
    <row r="187" spans="1:31" x14ac:dyDescent="0.2">
      <c r="A187">
        <v>186</v>
      </c>
      <c r="B187">
        <v>791</v>
      </c>
      <c r="C187">
        <v>120</v>
      </c>
      <c r="D187">
        <v>0.48738476718508</v>
      </c>
      <c r="E187">
        <v>103.04916234366701</v>
      </c>
      <c r="F187">
        <v>2.1989803386124298</v>
      </c>
      <c r="G187">
        <v>-1687.9496450118029</v>
      </c>
      <c r="H187">
        <v>-1411.1512870596046</v>
      </c>
      <c r="I187">
        <v>260.11216271408898</v>
      </c>
      <c r="J187">
        <v>137.314844943661</v>
      </c>
      <c r="K187">
        <v>46.862248167571998</v>
      </c>
      <c r="L187">
        <v>1.2756067450005366E-4</v>
      </c>
      <c r="M187">
        <v>1.683046053565947E-5</v>
      </c>
      <c r="N187" s="1">
        <v>2.3790360757580298E-6</v>
      </c>
      <c r="O187" s="1">
        <v>7.7485860727315605E-8</v>
      </c>
      <c r="P187" s="1">
        <v>-3.8069081323309303E-7</v>
      </c>
      <c r="Q187">
        <v>74.352860573956406</v>
      </c>
      <c r="R187">
        <v>7.6662437814425097E-2</v>
      </c>
      <c r="S187">
        <v>12.110724353468999</v>
      </c>
      <c r="T187">
        <v>0.184662112542295</v>
      </c>
      <c r="V187">
        <v>0.43549357299228297</v>
      </c>
      <c r="W187">
        <v>2.5230675736392899E-2</v>
      </c>
      <c r="X187">
        <v>5.8224636314753803E-2</v>
      </c>
      <c r="AA187">
        <v>0.51431762078031995</v>
      </c>
      <c r="AB187">
        <v>3.8622342088786099</v>
      </c>
      <c r="AC187">
        <v>4.3280312993966197</v>
      </c>
      <c r="AD187">
        <v>3.8816424209834801E-3</v>
      </c>
      <c r="AE187">
        <v>4.0476768656978104</v>
      </c>
    </row>
    <row r="188" spans="1:31" x14ac:dyDescent="0.2">
      <c r="A188">
        <v>187</v>
      </c>
      <c r="B188">
        <v>790</v>
      </c>
      <c r="C188">
        <v>120</v>
      </c>
      <c r="D188">
        <v>0.486836758688802</v>
      </c>
      <c r="E188">
        <v>102.80418304543799</v>
      </c>
      <c r="F188">
        <v>2.1992358706098201</v>
      </c>
      <c r="G188">
        <v>-1683.6158813329539</v>
      </c>
      <c r="H188">
        <v>-1407.9147182128791</v>
      </c>
      <c r="I188">
        <v>259.32480188127198</v>
      </c>
      <c r="J188">
        <v>136.955023079081</v>
      </c>
      <c r="K188">
        <v>46.745410266944901</v>
      </c>
      <c r="L188">
        <v>1.2743991420998598E-4</v>
      </c>
      <c r="M188">
        <v>1.6820441913484594E-5</v>
      </c>
      <c r="N188" s="1">
        <v>2.3746389432274301E-6</v>
      </c>
      <c r="O188" s="1">
        <v>7.7204895063353603E-8</v>
      </c>
      <c r="P188" s="1">
        <v>-3.7935882092433602E-7</v>
      </c>
      <c r="Q188">
        <v>74.381718813768501</v>
      </c>
      <c r="R188">
        <v>7.6845122114421599E-2</v>
      </c>
      <c r="S188">
        <v>12.0917520633254</v>
      </c>
      <c r="T188">
        <v>0.18532586606419299</v>
      </c>
      <c r="V188">
        <v>0.43633004515039497</v>
      </c>
      <c r="W188">
        <v>2.5290799683226999E-2</v>
      </c>
      <c r="X188">
        <v>5.8363383884371997E-2</v>
      </c>
      <c r="AA188">
        <v>0.51069051812348698</v>
      </c>
      <c r="AB188">
        <v>3.8504177485000102</v>
      </c>
      <c r="AC188">
        <v>4.3342530388399503</v>
      </c>
      <c r="AD188">
        <v>3.8908922589578898E-3</v>
      </c>
      <c r="AE188">
        <v>4.0451217082869997</v>
      </c>
    </row>
    <row r="189" spans="1:31" x14ac:dyDescent="0.2">
      <c r="A189">
        <v>188</v>
      </c>
      <c r="B189">
        <v>789</v>
      </c>
      <c r="C189">
        <v>120</v>
      </c>
      <c r="D189">
        <v>0.48628771830721002</v>
      </c>
      <c r="E189">
        <v>102.397454243365</v>
      </c>
      <c r="F189">
        <v>2.1994866739317098</v>
      </c>
      <c r="G189">
        <v>-1676.593587773219</v>
      </c>
      <c r="H189">
        <v>-1402.4507873191949</v>
      </c>
      <c r="I189">
        <v>258.101775129712</v>
      </c>
      <c r="J189">
        <v>136.36545747366199</v>
      </c>
      <c r="K189">
        <v>46.555160100298998</v>
      </c>
      <c r="L189">
        <v>1.2725578356038674E-4</v>
      </c>
      <c r="M189">
        <v>1.6807224143794766E-5</v>
      </c>
      <c r="N189" s="1">
        <v>2.3653372539061101E-6</v>
      </c>
      <c r="O189" s="1">
        <v>7.6769218848847306E-8</v>
      </c>
      <c r="P189" s="1">
        <v>-3.7716526319866698E-7</v>
      </c>
      <c r="Q189">
        <v>74.429893641592997</v>
      </c>
      <c r="R189">
        <v>7.7150355527631997E-2</v>
      </c>
      <c r="S189">
        <v>12.0603031983009</v>
      </c>
      <c r="T189">
        <v>0.186259706582099</v>
      </c>
      <c r="V189">
        <v>0.43788526790597498</v>
      </c>
      <c r="W189">
        <v>2.53912562495998E-2</v>
      </c>
      <c r="X189">
        <v>5.8595206729849102E-2</v>
      </c>
      <c r="AA189">
        <v>0.50484678684367601</v>
      </c>
      <c r="AB189">
        <v>3.83069901503384</v>
      </c>
      <c r="AC189">
        <v>4.3444789644414703</v>
      </c>
      <c r="AD189">
        <v>3.9063471153228599E-3</v>
      </c>
      <c r="AE189">
        <v>4.04059025367647</v>
      </c>
    </row>
    <row r="190" spans="1:31" x14ac:dyDescent="0.2">
      <c r="A190">
        <v>189</v>
      </c>
      <c r="B190">
        <v>788</v>
      </c>
      <c r="C190">
        <v>120</v>
      </c>
      <c r="D190">
        <v>0.48573764312303003</v>
      </c>
      <c r="E190">
        <v>101.990510783335</v>
      </c>
      <c r="F190">
        <v>2.19973882087988</v>
      </c>
      <c r="G190">
        <v>-1669.5712875544696</v>
      </c>
      <c r="H190">
        <v>-1396.9837974052355</v>
      </c>
      <c r="I190">
        <v>256.87931974672102</v>
      </c>
      <c r="J190">
        <v>135.77591537196901</v>
      </c>
      <c r="K190">
        <v>46.364827412801603</v>
      </c>
      <c r="L190">
        <v>1.2707075904480668E-4</v>
      </c>
      <c r="M190">
        <v>1.6794003110653698E-5</v>
      </c>
      <c r="N190" s="1">
        <v>2.35601141543319E-6</v>
      </c>
      <c r="O190" s="1">
        <v>7.6334142820757495E-8</v>
      </c>
      <c r="P190" s="1">
        <v>-3.7497121474616798E-7</v>
      </c>
      <c r="Q190">
        <v>74.478194843314597</v>
      </c>
      <c r="R190">
        <v>7.7458186446212704E-2</v>
      </c>
      <c r="S190">
        <v>12.028816111892301</v>
      </c>
      <c r="T190">
        <v>0.187201437383889</v>
      </c>
      <c r="V190">
        <v>0.43945377638244398</v>
      </c>
      <c r="W190">
        <v>2.5492567691157798E-2</v>
      </c>
      <c r="X190">
        <v>5.8829002364214698E-2</v>
      </c>
      <c r="AA190">
        <v>0.49920875931055902</v>
      </c>
      <c r="AB190">
        <v>3.8108154870407098</v>
      </c>
      <c r="AC190">
        <v>4.3545702049882902</v>
      </c>
      <c r="AD190">
        <v>3.9219334909471196E-3</v>
      </c>
      <c r="AE190">
        <v>4.0360376896945702</v>
      </c>
    </row>
    <row r="191" spans="1:31" x14ac:dyDescent="0.2">
      <c r="A191">
        <v>190</v>
      </c>
      <c r="B191">
        <v>787</v>
      </c>
      <c r="C191">
        <v>120</v>
      </c>
      <c r="D191">
        <v>0.48518653020799002</v>
      </c>
      <c r="E191">
        <v>101.583495399322</v>
      </c>
      <c r="F191">
        <v>2.1999921930087099</v>
      </c>
      <c r="G191">
        <v>-1662.5513725887515</v>
      </c>
      <c r="H191">
        <v>-1391.5157165018038</v>
      </c>
      <c r="I191">
        <v>255.657837180538</v>
      </c>
      <c r="J191">
        <v>135.186596267044</v>
      </c>
      <c r="K191">
        <v>46.174479946856501</v>
      </c>
      <c r="L191">
        <v>1.2688490228302378E-4</v>
      </c>
      <c r="M191">
        <v>1.6780784172078158E-5</v>
      </c>
      <c r="N191" s="1">
        <v>2.34666646791443E-6</v>
      </c>
      <c r="O191" s="1">
        <v>7.5899824746787903E-8</v>
      </c>
      <c r="P191" s="1">
        <v>-3.7277754990912701E-7</v>
      </c>
      <c r="Q191">
        <v>74.526618111636793</v>
      </c>
      <c r="R191">
        <v>7.7768538766513198E-2</v>
      </c>
      <c r="S191">
        <v>11.9972937370241</v>
      </c>
      <c r="T191">
        <v>0.18815091938866299</v>
      </c>
      <c r="V191">
        <v>0.441035098457146</v>
      </c>
      <c r="W191">
        <v>2.5594708961129999E-2</v>
      </c>
      <c r="X191">
        <v>5.9064712987228402E-2</v>
      </c>
      <c r="AA191">
        <v>0.49377204557731502</v>
      </c>
      <c r="AB191">
        <v>3.7907793981295299</v>
      </c>
      <c r="AC191">
        <v>4.3645183764301301</v>
      </c>
      <c r="AD191">
        <v>3.9376475324812499E-3</v>
      </c>
      <c r="AE191">
        <v>4.0314667051088602</v>
      </c>
    </row>
    <row r="192" spans="1:31" x14ac:dyDescent="0.2">
      <c r="A192">
        <v>191</v>
      </c>
      <c r="B192">
        <v>786</v>
      </c>
      <c r="C192">
        <v>120</v>
      </c>
      <c r="D192">
        <v>0.48463437662276798</v>
      </c>
      <c r="E192">
        <v>101.176547141782</v>
      </c>
      <c r="F192">
        <v>2.2002466724285399</v>
      </c>
      <c r="G192">
        <v>-1655.5361706861197</v>
      </c>
      <c r="H192">
        <v>-1386.0484619508795</v>
      </c>
      <c r="I192">
        <v>254.43771773142601</v>
      </c>
      <c r="J192">
        <v>134.59769424826499</v>
      </c>
      <c r="K192">
        <v>45.984183687053402</v>
      </c>
      <c r="L192">
        <v>1.2669827451040587E-4</v>
      </c>
      <c r="M192">
        <v>1.6767572629724631E-5</v>
      </c>
      <c r="N192" s="1">
        <v>2.3373073383031601E-6</v>
      </c>
      <c r="O192" s="1">
        <v>7.5466417705594896E-8</v>
      </c>
      <c r="P192" s="1">
        <v>-3.7058511984516202E-7</v>
      </c>
      <c r="Q192">
        <v>74.575159184796505</v>
      </c>
      <c r="R192">
        <v>7.80813362698526E-2</v>
      </c>
      <c r="S192">
        <v>11.965738962045201</v>
      </c>
      <c r="T192">
        <v>0.18910801312051201</v>
      </c>
      <c r="V192">
        <v>0.44262876146012098</v>
      </c>
      <c r="W192">
        <v>2.5697654974887199E-2</v>
      </c>
      <c r="X192">
        <v>5.9302280711284003E-2</v>
      </c>
      <c r="AA192">
        <v>0.48853219648227603</v>
      </c>
      <c r="AB192">
        <v>3.7706029425377201</v>
      </c>
      <c r="AC192">
        <v>4.3743152130354099</v>
      </c>
      <c r="AD192">
        <v>3.9534853807515402E-3</v>
      </c>
      <c r="AE192">
        <v>4.02687996918546</v>
      </c>
    </row>
    <row r="193" spans="1:31" x14ac:dyDescent="0.2">
      <c r="A193">
        <v>192</v>
      </c>
      <c r="B193">
        <v>785</v>
      </c>
      <c r="C193">
        <v>120</v>
      </c>
      <c r="D193">
        <v>0.48408117941691098</v>
      </c>
      <c r="E193">
        <v>100.76980093723</v>
      </c>
      <c r="F193">
        <v>2.2005021420983302</v>
      </c>
      <c r="G193">
        <v>-1648.5279383274283</v>
      </c>
      <c r="H193">
        <v>-1380.5838943616377</v>
      </c>
      <c r="I193">
        <v>253.21933938079701</v>
      </c>
      <c r="J193">
        <v>134.009397399216</v>
      </c>
      <c r="K193">
        <v>45.794002654839197</v>
      </c>
      <c r="L193">
        <v>1.2651093638673918E-4</v>
      </c>
      <c r="M193">
        <v>1.6754373717093122E-5</v>
      </c>
      <c r="N193" s="1">
        <v>2.32793882599365E-6</v>
      </c>
      <c r="O193" s="1">
        <v>7.5034069670837396E-8</v>
      </c>
      <c r="P193" s="1">
        <v>-3.6839475008872898E-7</v>
      </c>
      <c r="Q193">
        <v>74.623813873643797</v>
      </c>
      <c r="R193">
        <v>7.8396502985264904E-2</v>
      </c>
      <c r="S193">
        <v>11.9341546147902</v>
      </c>
      <c r="T193">
        <v>0.190072579485312</v>
      </c>
      <c r="V193">
        <v>0.44423429432188699</v>
      </c>
      <c r="W193">
        <v>2.58013807293263E-2</v>
      </c>
      <c r="X193">
        <v>5.9541647836914798E-2</v>
      </c>
      <c r="AA193">
        <v>0.48348472143860999</v>
      </c>
      <c r="AB193">
        <v>3.7502982375848299</v>
      </c>
      <c r="AC193">
        <v>4.3839525792481897</v>
      </c>
      <c r="AD193">
        <v>3.9694431891266601E-3</v>
      </c>
      <c r="AE193">
        <v>4.0222801247464197</v>
      </c>
    </row>
    <row r="194" spans="1:31" x14ac:dyDescent="0.2">
      <c r="A194">
        <v>193</v>
      </c>
      <c r="B194">
        <v>784</v>
      </c>
      <c r="C194">
        <v>120</v>
      </c>
      <c r="D194">
        <v>0.48352693562881199</v>
      </c>
      <c r="E194">
        <v>100.363387209539</v>
      </c>
      <c r="F194">
        <v>2.2007584861038398</v>
      </c>
      <c r="G194">
        <v>-1641.5288544716389</v>
      </c>
      <c r="H194">
        <v>-1375.1238124134577</v>
      </c>
      <c r="I194">
        <v>252.00306679107101</v>
      </c>
      <c r="J194">
        <v>133.42188728215299</v>
      </c>
      <c r="K194">
        <v>45.6039987319188</v>
      </c>
      <c r="L194">
        <v>1.2632294781713855E-4</v>
      </c>
      <c r="M194">
        <v>1.6741192588490617E-5</v>
      </c>
      <c r="N194" s="1">
        <v>2.31856559019386E-6</v>
      </c>
      <c r="O194" s="1">
        <v>7.4602923156064294E-8</v>
      </c>
      <c r="P194" s="1">
        <v>-3.66207238439488E-7</v>
      </c>
      <c r="Q194">
        <v>74.672578086236399</v>
      </c>
      <c r="R194">
        <v>7.8713963524432301E-2</v>
      </c>
      <c r="S194">
        <v>11.9025434483593</v>
      </c>
      <c r="T194">
        <v>0.191044480490379</v>
      </c>
      <c r="V194">
        <v>0.44585122955474499</v>
      </c>
      <c r="W194">
        <v>2.59058614131027E-2</v>
      </c>
      <c r="X194">
        <v>5.9782757107169099E-2</v>
      </c>
      <c r="AA194">
        <v>0.47862510533489</v>
      </c>
      <c r="AB194">
        <v>3.7298772891911098</v>
      </c>
      <c r="AC194">
        <v>4.3934224800165698</v>
      </c>
      <c r="AD194">
        <v>3.9855171404768004E-3</v>
      </c>
      <c r="AE194">
        <v>4.0176697816313496</v>
      </c>
    </row>
    <row r="195" spans="1:31" x14ac:dyDescent="0.2">
      <c r="A195">
        <v>194</v>
      </c>
      <c r="B195">
        <v>783</v>
      </c>
      <c r="C195">
        <v>120</v>
      </c>
      <c r="D195">
        <v>0.48297164228566197</v>
      </c>
      <c r="E195">
        <v>99.957431550348701</v>
      </c>
      <c r="F195">
        <v>2.2010155898995998</v>
      </c>
      <c r="G195">
        <v>-1634.5410151917267</v>
      </c>
      <c r="H195">
        <v>-1369.6699483332004</v>
      </c>
      <c r="I195">
        <v>250.78925044598401</v>
      </c>
      <c r="J195">
        <v>132.83533849187199</v>
      </c>
      <c r="K195">
        <v>45.414231507060002</v>
      </c>
      <c r="L195">
        <v>1.2613436779255181E-4</v>
      </c>
      <c r="M195">
        <v>1.6728034309653049E-5</v>
      </c>
      <c r="N195" s="1">
        <v>2.3091921390391899E-6</v>
      </c>
      <c r="O195" s="1">
        <v>7.4173114917820895E-8</v>
      </c>
      <c r="P195" s="1">
        <v>-3.6402335317071E-7</v>
      </c>
      <c r="Q195">
        <v>74.721447850988895</v>
      </c>
      <c r="R195">
        <v>7.9033643396698702E-2</v>
      </c>
      <c r="S195">
        <v>11.8709081276661</v>
      </c>
      <c r="T195">
        <v>0.19202357992261801</v>
      </c>
      <c r="V195">
        <v>0.44747910511448102</v>
      </c>
      <c r="W195">
        <v>2.6011072510304201E-2</v>
      </c>
      <c r="X195">
        <v>6.0025551946865499E-2</v>
      </c>
      <c r="AA195">
        <v>0.47394882441040898</v>
      </c>
      <c r="AB195">
        <v>3.7093519601080001</v>
      </c>
      <c r="AC195">
        <v>4.4027170694593698</v>
      </c>
      <c r="AD195">
        <v>4.0017034631231498E-3</v>
      </c>
      <c r="AE195">
        <v>4.0130515110130798</v>
      </c>
    </row>
    <row r="196" spans="1:31" x14ac:dyDescent="0.2">
      <c r="A196">
        <v>195</v>
      </c>
      <c r="B196">
        <v>782</v>
      </c>
      <c r="C196">
        <v>120</v>
      </c>
      <c r="D196">
        <v>0.48241529640335601</v>
      </c>
      <c r="E196">
        <v>98.266414612157504</v>
      </c>
      <c r="F196">
        <v>2.2017074520548001</v>
      </c>
      <c r="G196">
        <v>-1606.2233000643225</v>
      </c>
      <c r="H196">
        <v>-1346.3184460478715</v>
      </c>
      <c r="I196">
        <v>246.32029002175099</v>
      </c>
      <c r="J196">
        <v>130.546603924631</v>
      </c>
      <c r="K196">
        <v>44.631912618748402</v>
      </c>
      <c r="L196">
        <v>1.2595610024034265E-4</v>
      </c>
      <c r="M196">
        <v>1.6702146126535236E-5</v>
      </c>
      <c r="N196" s="1">
        <v>2.2673641299992798E-6</v>
      </c>
      <c r="O196" s="1">
        <v>7.2714024820882095E-8</v>
      </c>
      <c r="P196" s="1">
        <v>-3.57236258823136E-7</v>
      </c>
      <c r="Q196">
        <v>74.709597296427305</v>
      </c>
      <c r="R196">
        <v>8.0393693320146994E-2</v>
      </c>
      <c r="S196">
        <v>11.8650244896735</v>
      </c>
      <c r="T196">
        <v>0.19562534778139301</v>
      </c>
      <c r="V196">
        <v>0.45491200426023398</v>
      </c>
      <c r="W196">
        <v>2.6458683877514801E-2</v>
      </c>
      <c r="X196">
        <v>6.1058501255814697E-2</v>
      </c>
      <c r="AA196">
        <v>0.46544868389063199</v>
      </c>
      <c r="AB196">
        <v>3.6801291333841801</v>
      </c>
      <c r="AC196">
        <v>4.4537240192860903</v>
      </c>
      <c r="AD196">
        <v>4.0705667503861398E-3</v>
      </c>
      <c r="AE196">
        <v>4.0035575800926999</v>
      </c>
    </row>
    <row r="197" spans="1:31" x14ac:dyDescent="0.2">
      <c r="A197">
        <v>196</v>
      </c>
      <c r="B197">
        <v>781</v>
      </c>
      <c r="C197">
        <v>120</v>
      </c>
      <c r="D197">
        <v>0.48185789498648202</v>
      </c>
      <c r="E197">
        <v>96.022975358752603</v>
      </c>
      <c r="F197">
        <v>2.2025954035767898</v>
      </c>
      <c r="G197">
        <v>-1568.767467353633</v>
      </c>
      <c r="H197">
        <v>-1315.288685593096</v>
      </c>
      <c r="I197">
        <v>240.45798203342699</v>
      </c>
      <c r="J197">
        <v>127.52661243591101</v>
      </c>
      <c r="K197">
        <v>43.595376256039103</v>
      </c>
      <c r="L197">
        <v>1.2577493164030602E-4</v>
      </c>
      <c r="M197">
        <v>1.6670808762724517E-5</v>
      </c>
      <c r="N197" s="1">
        <v>2.2116711125584799E-6</v>
      </c>
      <c r="O197" s="1">
        <v>7.0819816553141501E-8</v>
      </c>
      <c r="P197" s="1">
        <v>-3.4845168650276302E-7</v>
      </c>
      <c r="Q197">
        <v>74.674256093394902</v>
      </c>
      <c r="R197">
        <v>8.2271976789772994E-2</v>
      </c>
      <c r="S197">
        <v>11.8686211917069</v>
      </c>
      <c r="T197">
        <v>0.20052887752534099</v>
      </c>
      <c r="V197">
        <v>0.46524071307717502</v>
      </c>
      <c r="W197">
        <v>2.70768531206824E-2</v>
      </c>
      <c r="X197">
        <v>6.2485045663126702E-2</v>
      </c>
      <c r="AA197">
        <v>0.45646968919555703</v>
      </c>
      <c r="AB197">
        <v>3.6457620941971198</v>
      </c>
      <c r="AC197">
        <v>4.5212549658096499</v>
      </c>
      <c r="AD197">
        <v>4.1656697108733197E-3</v>
      </c>
      <c r="AE197">
        <v>3.9918668298087399</v>
      </c>
    </row>
    <row r="198" spans="1:31" x14ac:dyDescent="0.2">
      <c r="A198">
        <v>197</v>
      </c>
      <c r="B198">
        <v>780</v>
      </c>
      <c r="C198">
        <v>120</v>
      </c>
      <c r="D198">
        <v>0.48129943502824801</v>
      </c>
      <c r="E198">
        <v>93.648878366581499</v>
      </c>
      <c r="F198">
        <v>2.20353344746214</v>
      </c>
      <c r="G198">
        <v>-1529.1893276530529</v>
      </c>
      <c r="H198">
        <v>-1282.4639600904486</v>
      </c>
      <c r="I198">
        <v>234.27371937768001</v>
      </c>
      <c r="J198">
        <v>124.334228608096</v>
      </c>
      <c r="K198">
        <v>42.499413146843303</v>
      </c>
      <c r="L198">
        <v>1.2558562135633525E-4</v>
      </c>
      <c r="M198">
        <v>1.6638536496996177E-5</v>
      </c>
      <c r="N198" s="1">
        <v>2.1528702681628602E-6</v>
      </c>
      <c r="O198" s="1">
        <v>6.8832774554415601E-8</v>
      </c>
      <c r="P198" s="1">
        <v>-3.3917718030590599E-7</v>
      </c>
      <c r="Q198">
        <v>74.637231061698799</v>
      </c>
      <c r="R198">
        <v>8.4357657430517999E-2</v>
      </c>
      <c r="S198">
        <v>11.8721980837554</v>
      </c>
      <c r="T198">
        <v>0.20594568631482801</v>
      </c>
      <c r="V198">
        <v>0.476735241758034</v>
      </c>
      <c r="W198">
        <v>2.77632796606735E-2</v>
      </c>
      <c r="X198">
        <v>6.40691069092654E-2</v>
      </c>
      <c r="AA198">
        <v>0.44875914228803399</v>
      </c>
      <c r="AB198">
        <v>3.6088768323153499</v>
      </c>
      <c r="AC198">
        <v>4.5901208920047898</v>
      </c>
      <c r="AD198">
        <v>4.2712737939486004E-3</v>
      </c>
      <c r="AE198">
        <v>3.9796717420702499</v>
      </c>
    </row>
    <row r="199" spans="1:31" x14ac:dyDescent="0.2">
      <c r="A199">
        <v>198</v>
      </c>
      <c r="B199">
        <v>779</v>
      </c>
      <c r="C199">
        <v>120</v>
      </c>
      <c r="D199">
        <v>0.48073991351043299</v>
      </c>
      <c r="E199">
        <v>91.070717173133502</v>
      </c>
      <c r="F199">
        <v>2.2045366748341202</v>
      </c>
      <c r="G199">
        <v>-1486.2882715124967</v>
      </c>
      <c r="H199">
        <v>-1246.8349377023612</v>
      </c>
      <c r="I199">
        <v>227.584787159754</v>
      </c>
      <c r="J199">
        <v>120.872264706542</v>
      </c>
      <c r="K199">
        <v>41.3105929299115</v>
      </c>
      <c r="L199">
        <v>1.2538785829743605E-4</v>
      </c>
      <c r="M199">
        <v>1.6605248459791066E-5</v>
      </c>
      <c r="N199" s="1">
        <v>2.0892853649641199E-6</v>
      </c>
      <c r="O199" s="1">
        <v>6.6699816491238203E-8</v>
      </c>
      <c r="P199" s="1">
        <v>-3.2914716830634302E-7</v>
      </c>
      <c r="Q199">
        <v>74.597818188716801</v>
      </c>
      <c r="R199">
        <v>8.6745775647970202E-2</v>
      </c>
      <c r="S199">
        <v>11.875714723539801</v>
      </c>
      <c r="T199">
        <v>0.21210606713052499</v>
      </c>
      <c r="V199">
        <v>0.48993425687060199</v>
      </c>
      <c r="W199">
        <v>2.8549242618315401E-2</v>
      </c>
      <c r="X199">
        <v>6.5882867580749696E-2</v>
      </c>
      <c r="AA199">
        <v>0.44261582592349602</v>
      </c>
      <c r="AB199">
        <v>3.5690354566465001</v>
      </c>
      <c r="AC199">
        <v>4.6602906997756302</v>
      </c>
      <c r="AD199">
        <v>4.3921911720470903E-3</v>
      </c>
      <c r="AE199">
        <v>3.96691470437744</v>
      </c>
    </row>
    <row r="200" spans="1:31" x14ac:dyDescent="0.2">
      <c r="A200">
        <v>199</v>
      </c>
      <c r="B200">
        <v>778</v>
      </c>
      <c r="C200">
        <v>120</v>
      </c>
      <c r="D200">
        <v>0.48017932740332298</v>
      </c>
      <c r="E200">
        <v>88.137547986375495</v>
      </c>
      <c r="F200">
        <v>2.20563536020537</v>
      </c>
      <c r="G200">
        <v>-1437.5956223194703</v>
      </c>
      <c r="H200">
        <v>-1206.3264090037487</v>
      </c>
      <c r="I200">
        <v>220.01542435972101</v>
      </c>
      <c r="J200">
        <v>116.94090644252201</v>
      </c>
      <c r="K200">
        <v>39.960162761522099</v>
      </c>
      <c r="L200">
        <v>1.25181615824644E-4</v>
      </c>
      <c r="M200">
        <v>1.6570848397033652E-5</v>
      </c>
      <c r="N200" s="1">
        <v>2.0174722171693999E-6</v>
      </c>
      <c r="O200" s="1">
        <v>6.4311804104378299E-8</v>
      </c>
      <c r="P200" s="1">
        <v>-3.1781534468720902E-7</v>
      </c>
      <c r="Q200">
        <v>74.554548798060495</v>
      </c>
      <c r="R200">
        <v>8.9632627415748206E-2</v>
      </c>
      <c r="S200">
        <v>11.879113378702399</v>
      </c>
      <c r="T200">
        <v>0.21948460876098699</v>
      </c>
      <c r="V200">
        <v>0.50595126887596598</v>
      </c>
      <c r="W200">
        <v>2.9499345731760801E-2</v>
      </c>
      <c r="X200">
        <v>6.8075413227165302E-2</v>
      </c>
      <c r="AA200">
        <v>0.43868029142824999</v>
      </c>
      <c r="AB200">
        <v>3.5254352687464898</v>
      </c>
      <c r="AC200">
        <v>4.73153000045032</v>
      </c>
      <c r="AD200">
        <v>4.5383608818076E-3</v>
      </c>
      <c r="AE200">
        <v>3.9535106377183999</v>
      </c>
    </row>
    <row r="201" spans="1:31" x14ac:dyDescent="0.2">
      <c r="A201">
        <v>200</v>
      </c>
      <c r="B201">
        <v>777</v>
      </c>
      <c r="C201">
        <v>120</v>
      </c>
      <c r="D201">
        <v>0.47961767366567098</v>
      </c>
      <c r="E201">
        <v>84.455266271275306</v>
      </c>
      <c r="F201">
        <v>2.2069060465615902</v>
      </c>
      <c r="G201">
        <v>-1376.6670987927869</v>
      </c>
      <c r="H201">
        <v>-1155.5212761705686</v>
      </c>
      <c r="I201">
        <v>210.58498559464601</v>
      </c>
      <c r="J201">
        <v>112.018649642987</v>
      </c>
      <c r="K201">
        <v>38.268627884208399</v>
      </c>
      <c r="L201">
        <v>1.2496930239077033E-4</v>
      </c>
      <c r="M201">
        <v>1.6535352963126019E-5</v>
      </c>
      <c r="N201" s="1">
        <v>1.9284733362900398E-6</v>
      </c>
      <c r="O201" s="1">
        <v>6.1384604578388702E-8</v>
      </c>
      <c r="P201" s="1">
        <v>-3.0375913402750099E-7</v>
      </c>
      <c r="Q201">
        <v>74.503462922629097</v>
      </c>
      <c r="R201">
        <v>9.3540644044923696E-2</v>
      </c>
      <c r="S201">
        <v>11.882325515384199</v>
      </c>
      <c r="T201">
        <v>0.22934174188332501</v>
      </c>
      <c r="V201">
        <v>0.52775222220497298</v>
      </c>
      <c r="W201">
        <v>3.0785528419841401E-2</v>
      </c>
      <c r="X201">
        <v>7.10435271227495E-2</v>
      </c>
      <c r="AA201">
        <v>0.43867565716778001</v>
      </c>
      <c r="AB201">
        <v>3.4763860330802201</v>
      </c>
      <c r="AC201">
        <v>4.8025847950066698</v>
      </c>
      <c r="AD201">
        <v>4.7362351415119498E-3</v>
      </c>
      <c r="AE201">
        <v>3.93936517791458</v>
      </c>
    </row>
    <row r="202" spans="1:31" x14ac:dyDescent="0.2">
      <c r="A202">
        <v>201</v>
      </c>
      <c r="B202">
        <v>776</v>
      </c>
      <c r="C202">
        <v>120</v>
      </c>
      <c r="D202">
        <v>0.47905494924462999</v>
      </c>
      <c r="E202">
        <v>74.390127734107296</v>
      </c>
      <c r="F202">
        <v>2.2091627961293598</v>
      </c>
      <c r="G202">
        <v>-1211.4165754684627</v>
      </c>
      <c r="H202">
        <v>-1017.0018911171362</v>
      </c>
      <c r="I202">
        <v>185.306852548564</v>
      </c>
      <c r="J202">
        <v>98.6552648564153</v>
      </c>
      <c r="K202">
        <v>33.673447635658597</v>
      </c>
      <c r="L202">
        <v>1.2491109378376516E-4</v>
      </c>
      <c r="M202">
        <v>1.6511265728754388E-5</v>
      </c>
      <c r="N202" s="1">
        <v>1.69621546573906E-6</v>
      </c>
      <c r="O202" s="1">
        <v>5.3904889796702898E-8</v>
      </c>
      <c r="P202" s="1">
        <v>-2.6696531306962098E-7</v>
      </c>
      <c r="Q202">
        <v>74.3902117723283</v>
      </c>
      <c r="R202">
        <v>0.10619688714930001</v>
      </c>
      <c r="S202">
        <v>11.881858653305599</v>
      </c>
      <c r="T202">
        <v>0.26029153797694099</v>
      </c>
      <c r="V202">
        <v>0.59923073240462499</v>
      </c>
      <c r="W202">
        <v>3.4950874251655897E-2</v>
      </c>
      <c r="X202">
        <v>8.0655863657740398E-2</v>
      </c>
      <c r="AA202">
        <v>0.45397443511148899</v>
      </c>
      <c r="AB202">
        <v>3.4261275705235699</v>
      </c>
      <c r="AC202">
        <v>4.8318838027122002</v>
      </c>
      <c r="AD202">
        <v>5.37705757717477E-3</v>
      </c>
      <c r="AE202">
        <v>3.9292408130013401</v>
      </c>
    </row>
    <row r="203" spans="1:31" x14ac:dyDescent="0.2">
      <c r="A203">
        <v>202</v>
      </c>
      <c r="B203">
        <v>775</v>
      </c>
      <c r="C203">
        <v>120</v>
      </c>
      <c r="D203">
        <v>0.478491151075708</v>
      </c>
      <c r="E203">
        <v>54.729269921116398</v>
      </c>
      <c r="F203">
        <v>2.2117070072308098</v>
      </c>
      <c r="G203">
        <v>-890.52976734852405</v>
      </c>
      <c r="H203">
        <v>-747.79273401551427</v>
      </c>
      <c r="I203">
        <v>136.17996787960601</v>
      </c>
      <c r="J203">
        <v>72.585731859477605</v>
      </c>
      <c r="K203">
        <v>24.745262253177302</v>
      </c>
      <c r="L203">
        <v>1.2479128538186987E-4</v>
      </c>
      <c r="M203">
        <v>1.6483562853088374E-5</v>
      </c>
      <c r="N203" s="1">
        <v>1.24528878425573E-6</v>
      </c>
      <c r="O203" s="1">
        <v>3.9511808011768902E-8</v>
      </c>
      <c r="P203" s="1">
        <v>-1.9569544766946301E-7</v>
      </c>
      <c r="Q203">
        <v>74.259264213368894</v>
      </c>
      <c r="R203">
        <v>0.127340873350692</v>
      </c>
      <c r="S203">
        <v>11.906729390574901</v>
      </c>
      <c r="T203">
        <v>0.28233759158498101</v>
      </c>
      <c r="V203">
        <v>0.65082357459557605</v>
      </c>
      <c r="W203">
        <v>4.7506571963166697E-2</v>
      </c>
      <c r="X203">
        <v>0.107520295148922</v>
      </c>
      <c r="AA203">
        <v>0.48529566768226601</v>
      </c>
      <c r="AB203">
        <v>3.3503156023429899</v>
      </c>
      <c r="AC203">
        <v>4.8590630763913003</v>
      </c>
      <c r="AD203">
        <v>7.3087033789413398E-3</v>
      </c>
      <c r="AE203">
        <v>3.9164944396171899</v>
      </c>
    </row>
    <row r="204" spans="1:31" x14ac:dyDescent="0.2">
      <c r="A204">
        <v>203</v>
      </c>
      <c r="B204">
        <v>774</v>
      </c>
      <c r="C204">
        <v>120</v>
      </c>
      <c r="D204">
        <v>0.47792627608270499</v>
      </c>
      <c r="E204">
        <v>33.626750124264298</v>
      </c>
      <c r="F204">
        <v>2.2137700808612402</v>
      </c>
      <c r="G204">
        <v>-547.08194056772356</v>
      </c>
      <c r="H204">
        <v>-459.58105900164873</v>
      </c>
      <c r="I204">
        <v>83.560981297879707</v>
      </c>
      <c r="J204">
        <v>44.614348965025101</v>
      </c>
      <c r="K204">
        <v>15.189811451052799</v>
      </c>
      <c r="L204">
        <v>1.2450182727417839E-4</v>
      </c>
      <c r="M204">
        <v>1.6447430410900602E-5</v>
      </c>
      <c r="N204" s="1">
        <v>7.6266138650345905E-7</v>
      </c>
      <c r="O204" s="1">
        <v>2.4161736263489298E-8</v>
      </c>
      <c r="P204" s="1">
        <v>-1.1956953973977999E-7</v>
      </c>
      <c r="Q204">
        <v>74.145490312911207</v>
      </c>
      <c r="R204">
        <v>0.15079690929610701</v>
      </c>
      <c r="S204">
        <v>11.9874429673355</v>
      </c>
      <c r="T204">
        <v>0.270050730756277</v>
      </c>
      <c r="V204">
        <v>0.62329940255228999</v>
      </c>
      <c r="W204">
        <v>7.7319395730805998E-2</v>
      </c>
      <c r="X204">
        <v>0.166552427544574</v>
      </c>
      <c r="AA204">
        <v>0.51940928272916498</v>
      </c>
      <c r="AB204">
        <v>3.2419606536355299</v>
      </c>
      <c r="AC204">
        <v>4.90637460987511</v>
      </c>
      <c r="AD204">
        <v>1.1895291650886399E-2</v>
      </c>
      <c r="AE204">
        <v>3.8994080159824702</v>
      </c>
    </row>
    <row r="205" spans="1:31" x14ac:dyDescent="0.2">
      <c r="A205">
        <v>204</v>
      </c>
      <c r="B205">
        <v>773</v>
      </c>
      <c r="C205">
        <v>120</v>
      </c>
      <c r="D205">
        <v>0.47736032117765198</v>
      </c>
      <c r="E205">
        <v>20.958963720044601</v>
      </c>
      <c r="F205">
        <v>2.2158681424232398</v>
      </c>
      <c r="G205">
        <v>-340.92917142308806</v>
      </c>
      <c r="H205">
        <v>-286.50942066757983</v>
      </c>
      <c r="I205">
        <v>52.019070645230798</v>
      </c>
      <c r="J205">
        <v>27.817300667196999</v>
      </c>
      <c r="K205">
        <v>9.4585789284032593</v>
      </c>
      <c r="L205">
        <v>1.2430967885789388E-4</v>
      </c>
      <c r="M205">
        <v>1.6425229216165304E-5</v>
      </c>
      <c r="N205" s="1">
        <v>4.7437230283382899E-7</v>
      </c>
      <c r="O205" s="1">
        <v>1.5004240950597499E-8</v>
      </c>
      <c r="P205" s="1">
        <v>-7.41550825469603E-8</v>
      </c>
      <c r="Q205">
        <v>73.995298681843593</v>
      </c>
      <c r="R205">
        <v>0.176844822060885</v>
      </c>
      <c r="S205">
        <v>12.116438572771701</v>
      </c>
      <c r="T205">
        <v>0.258527342880919</v>
      </c>
      <c r="V205">
        <v>0.598307913232486</v>
      </c>
      <c r="W205">
        <v>0.124051934758202</v>
      </c>
      <c r="X205">
        <v>0.20651710913141999</v>
      </c>
      <c r="AA205">
        <v>0.53892142698152301</v>
      </c>
      <c r="AB205">
        <v>3.1353619327075699</v>
      </c>
      <c r="AC205">
        <v>4.9437161854307803</v>
      </c>
      <c r="AD205">
        <v>1.9084913039706299E-2</v>
      </c>
      <c r="AE205">
        <v>3.8869291651611002</v>
      </c>
    </row>
    <row r="206" spans="1:31" x14ac:dyDescent="0.2">
      <c r="A206">
        <v>205</v>
      </c>
      <c r="B206">
        <v>772</v>
      </c>
      <c r="C206">
        <v>120</v>
      </c>
      <c r="D206">
        <v>0.47679328326077502</v>
      </c>
      <c r="E206">
        <v>13.517712129674401</v>
      </c>
      <c r="F206">
        <v>2.21804051056947</v>
      </c>
      <c r="G206">
        <v>-219.83341229292509</v>
      </c>
      <c r="H206">
        <v>-184.809804208873</v>
      </c>
      <c r="I206">
        <v>33.510604299911002</v>
      </c>
      <c r="J206">
        <v>17.945457660151799</v>
      </c>
      <c r="K206">
        <v>6.09443879192444</v>
      </c>
      <c r="L206">
        <v>1.241926596511233E-4</v>
      </c>
      <c r="M206">
        <v>1.6417485401273526E-5</v>
      </c>
      <c r="N206" s="1">
        <v>3.05634379365856E-7</v>
      </c>
      <c r="O206" s="1">
        <v>9.6507924067976692E-9</v>
      </c>
      <c r="P206" s="1">
        <v>-4.7603449675333301E-8</v>
      </c>
      <c r="Q206">
        <v>73.799076313217498</v>
      </c>
      <c r="R206">
        <v>0.203752356972593</v>
      </c>
      <c r="S206">
        <v>12.314179768199599</v>
      </c>
      <c r="T206">
        <v>0.248022178202501</v>
      </c>
      <c r="V206">
        <v>0.57657723739730804</v>
      </c>
      <c r="W206">
        <v>0.19234024034960301</v>
      </c>
      <c r="X206">
        <v>0.21121805381030001</v>
      </c>
      <c r="AA206">
        <v>0.54787851363447004</v>
      </c>
      <c r="AB206">
        <v>3.0196561639092399</v>
      </c>
      <c r="AC206">
        <v>4.9792246575448198</v>
      </c>
      <c r="AD206">
        <v>2.9590806207596899E-2</v>
      </c>
      <c r="AE206">
        <v>3.8784837105543302</v>
      </c>
    </row>
    <row r="207" spans="1:31" x14ac:dyDescent="0.2">
      <c r="A207">
        <v>206</v>
      </c>
      <c r="B207">
        <v>771</v>
      </c>
      <c r="C207">
        <v>120</v>
      </c>
      <c r="D207">
        <v>0.47622515922041903</v>
      </c>
      <c r="E207">
        <v>9.9354793046465808</v>
      </c>
      <c r="F207">
        <v>2.2200472250537699</v>
      </c>
      <c r="G207">
        <v>-161.53778691604774</v>
      </c>
      <c r="H207">
        <v>-135.8464184339492</v>
      </c>
      <c r="I207">
        <v>24.605055291000799</v>
      </c>
      <c r="J207">
        <v>13.1937449358668</v>
      </c>
      <c r="K207">
        <v>4.4753459262137598</v>
      </c>
      <c r="L207">
        <v>1.2415612114444408E-4</v>
      </c>
      <c r="M207">
        <v>1.641843425225938E-5</v>
      </c>
      <c r="N207" s="1">
        <v>2.24662644020227E-7</v>
      </c>
      <c r="O207" s="1">
        <v>7.0813110302079301E-9</v>
      </c>
      <c r="P207" s="1">
        <v>-3.4865202391638302E-8</v>
      </c>
      <c r="Q207">
        <v>73.602329598974606</v>
      </c>
      <c r="R207">
        <v>0.221411383496674</v>
      </c>
      <c r="S207">
        <v>12.513149348467101</v>
      </c>
      <c r="T207">
        <v>0.24058697971530399</v>
      </c>
      <c r="V207">
        <v>0.56187860377524701</v>
      </c>
      <c r="W207">
        <v>0.261688431959409</v>
      </c>
      <c r="X207">
        <v>0.21411871583599601</v>
      </c>
      <c r="AA207">
        <v>0.54996221093048803</v>
      </c>
      <c r="AB207">
        <v>2.91858074444059</v>
      </c>
      <c r="AC207">
        <v>5.0015721142390097</v>
      </c>
      <c r="AD207">
        <v>4.0259758762927603E-2</v>
      </c>
      <c r="AE207">
        <v>3.8744621094025402</v>
      </c>
    </row>
    <row r="208" spans="1:31" x14ac:dyDescent="0.2">
      <c r="A208">
        <v>207</v>
      </c>
      <c r="B208">
        <v>804</v>
      </c>
      <c r="C208">
        <v>100</v>
      </c>
      <c r="D208">
        <v>0.514840551455232</v>
      </c>
      <c r="E208">
        <v>102.584778169386</v>
      </c>
      <c r="F208">
        <v>2.20303972763051</v>
      </c>
      <c r="G208">
        <v>-1682.082179162978</v>
      </c>
      <c r="H208">
        <v>-1404.3673840614395</v>
      </c>
      <c r="I208">
        <v>257.82369688672702</v>
      </c>
      <c r="J208">
        <v>136.35905751940501</v>
      </c>
      <c r="K208">
        <v>46.5651058774693</v>
      </c>
      <c r="L208">
        <v>1.2072513110533878E-4</v>
      </c>
      <c r="M208">
        <v>1.6402540836431649E-5</v>
      </c>
      <c r="N208" s="1">
        <v>2.1188062026403698E-6</v>
      </c>
      <c r="O208" s="1">
        <v>7.1852857856295596E-8</v>
      </c>
      <c r="P208" s="1">
        <v>-3.4400194504217501E-7</v>
      </c>
      <c r="Q208">
        <v>74.662863503796004</v>
      </c>
      <c r="R208">
        <v>7.7009475879118106E-2</v>
      </c>
      <c r="S208">
        <v>12.156979875349201</v>
      </c>
      <c r="T208">
        <v>0.18403835516629799</v>
      </c>
      <c r="V208">
        <v>0.43877842662237698</v>
      </c>
      <c r="W208">
        <v>2.53448907956586E-2</v>
      </c>
      <c r="X208">
        <v>5.84882095284458E-2</v>
      </c>
      <c r="AA208">
        <v>0.51577949976899096</v>
      </c>
      <c r="AB208">
        <v>3.8759475579776299</v>
      </c>
      <c r="AC208">
        <v>4.3468937096500602</v>
      </c>
      <c r="AD208">
        <v>3.8992139685627299E-3</v>
      </c>
      <c r="AE208">
        <v>3.6539772814975899</v>
      </c>
    </row>
    <row r="209" spans="1:31" x14ac:dyDescent="0.2">
      <c r="A209">
        <v>208</v>
      </c>
      <c r="B209">
        <v>803</v>
      </c>
      <c r="C209">
        <v>100</v>
      </c>
      <c r="D209">
        <v>0.51432467592807896</v>
      </c>
      <c r="E209">
        <v>102.194182994385</v>
      </c>
      <c r="F209">
        <v>2.20324691476385</v>
      </c>
      <c r="G209">
        <v>-1675.3262482177947</v>
      </c>
      <c r="H209">
        <v>-1399.1263562205945</v>
      </c>
      <c r="I209">
        <v>256.65557031752002</v>
      </c>
      <c r="J209">
        <v>135.79523821895799</v>
      </c>
      <c r="K209">
        <v>46.383445409403102</v>
      </c>
      <c r="L209">
        <v>1.2056731218555097E-4</v>
      </c>
      <c r="M209">
        <v>1.6391583447844562E-5</v>
      </c>
      <c r="N209" s="1">
        <v>2.1112355988829098E-6</v>
      </c>
      <c r="O209" s="1">
        <v>7.1472133424076798E-8</v>
      </c>
      <c r="P209" s="1">
        <v>-3.4212959791087798E-7</v>
      </c>
      <c r="Q209">
        <v>74.708728795432194</v>
      </c>
      <c r="R209">
        <v>7.7303812883695394E-2</v>
      </c>
      <c r="S209">
        <v>12.126411989696299</v>
      </c>
      <c r="T209">
        <v>0.18492815668813301</v>
      </c>
      <c r="V209">
        <v>0.44028776003319298</v>
      </c>
      <c r="W209">
        <v>2.54417612022282E-2</v>
      </c>
      <c r="X209">
        <v>5.8711756620530298E-2</v>
      </c>
      <c r="AA209">
        <v>0.510082588292046</v>
      </c>
      <c r="AB209">
        <v>3.8568069587798002</v>
      </c>
      <c r="AC209">
        <v>4.3568262767381301</v>
      </c>
      <c r="AD209">
        <v>3.9141171080349403E-3</v>
      </c>
      <c r="AE209">
        <v>3.6505560265255999</v>
      </c>
    </row>
    <row r="210" spans="1:31" x14ac:dyDescent="0.2">
      <c r="A210">
        <v>209</v>
      </c>
      <c r="B210">
        <v>802</v>
      </c>
      <c r="C210">
        <v>100</v>
      </c>
      <c r="D210">
        <v>0.51380784076640695</v>
      </c>
      <c r="E210">
        <v>101.803596772934</v>
      </c>
      <c r="F210">
        <v>2.2034553141057698</v>
      </c>
      <c r="G210">
        <v>-1668.5737660807338</v>
      </c>
      <c r="H210">
        <v>-1393.8852897630604</v>
      </c>
      <c r="I210">
        <v>255.48851445628301</v>
      </c>
      <c r="J210">
        <v>135.23172324733599</v>
      </c>
      <c r="K210">
        <v>46.201797749753297</v>
      </c>
      <c r="L210">
        <v>1.2040877473430693E-4</v>
      </c>
      <c r="M210">
        <v>1.6380627401931822E-5</v>
      </c>
      <c r="N210" s="1">
        <v>2.1036484859289301E-6</v>
      </c>
      <c r="O210" s="1">
        <v>7.1092044784473502E-8</v>
      </c>
      <c r="P210" s="1">
        <v>-3.4025740828683799E-7</v>
      </c>
      <c r="Q210">
        <v>74.754685845544103</v>
      </c>
      <c r="R210">
        <v>7.7600401659879095E-2</v>
      </c>
      <c r="S210">
        <v>12.095821708489099</v>
      </c>
      <c r="T210">
        <v>0.185824870712374</v>
      </c>
      <c r="V210">
        <v>0.44180854562982302</v>
      </c>
      <c r="W210">
        <v>2.5539372698187301E-2</v>
      </c>
      <c r="X210">
        <v>5.8937013918898301E-2</v>
      </c>
      <c r="AA210">
        <v>0.50457701245736397</v>
      </c>
      <c r="AB210">
        <v>3.8375196027702998</v>
      </c>
      <c r="AC210">
        <v>4.3666360728901603</v>
      </c>
      <c r="AD210">
        <v>3.9291342612593396E-3</v>
      </c>
      <c r="AE210">
        <v>3.6471204189684001</v>
      </c>
    </row>
    <row r="211" spans="1:31" x14ac:dyDescent="0.2">
      <c r="A211">
        <v>210</v>
      </c>
      <c r="B211">
        <v>801</v>
      </c>
      <c r="C211">
        <v>100</v>
      </c>
      <c r="D211">
        <v>0.51329004329004402</v>
      </c>
      <c r="E211">
        <v>101.41314523714701</v>
      </c>
      <c r="F211">
        <v>2.2036648303972499</v>
      </c>
      <c r="G211">
        <v>-1661.8268351587683</v>
      </c>
      <c r="H211">
        <v>-1388.6459161574433</v>
      </c>
      <c r="I211">
        <v>254.32287762540099</v>
      </c>
      <c r="J211">
        <v>134.668686896499</v>
      </c>
      <c r="K211">
        <v>46.020222239906403</v>
      </c>
      <c r="L211">
        <v>1.2024956694043677E-4</v>
      </c>
      <c r="M211">
        <v>1.636967681937549E-5</v>
      </c>
      <c r="N211" s="1">
        <v>2.0960487157677699E-6</v>
      </c>
      <c r="O211" s="1">
        <v>7.0712717029610603E-8</v>
      </c>
      <c r="P211" s="1">
        <v>-3.3838606071202998E-7</v>
      </c>
      <c r="Q211">
        <v>74.800730917158205</v>
      </c>
      <c r="R211">
        <v>7.7899171567221606E-2</v>
      </c>
      <c r="S211">
        <v>12.0652117071677</v>
      </c>
      <c r="T211">
        <v>0.18672836944128199</v>
      </c>
      <c r="V211">
        <v>0.44334034401268202</v>
      </c>
      <c r="W211">
        <v>2.5637702034780802E-2</v>
      </c>
      <c r="X211">
        <v>5.9163927772576799E-2</v>
      </c>
      <c r="AA211">
        <v>0.49925859780035697</v>
      </c>
      <c r="AB211">
        <v>3.8180962946773098</v>
      </c>
      <c r="AC211">
        <v>4.3763162769363602</v>
      </c>
      <c r="AD211">
        <v>3.94426185150442E-3</v>
      </c>
      <c r="AE211">
        <v>3.6436724295798499</v>
      </c>
    </row>
    <row r="212" spans="1:31" x14ac:dyDescent="0.2">
      <c r="A212">
        <v>211</v>
      </c>
      <c r="B212">
        <v>800</v>
      </c>
      <c r="C212">
        <v>100</v>
      </c>
      <c r="D212">
        <v>0.51277128080883805</v>
      </c>
      <c r="E212">
        <v>101.022950763819</v>
      </c>
      <c r="F212">
        <v>2.2038753690624402</v>
      </c>
      <c r="G212">
        <v>-1655.0874995326196</v>
      </c>
      <c r="H212">
        <v>-1383.4099207015599</v>
      </c>
      <c r="I212">
        <v>253.158998118678</v>
      </c>
      <c r="J212">
        <v>134.10629857794899</v>
      </c>
      <c r="K212">
        <v>45.838776630456998</v>
      </c>
      <c r="L212">
        <v>1.2008973658737525E-4</v>
      </c>
      <c r="M212">
        <v>1.6358735763742194E-5</v>
      </c>
      <c r="N212" s="1">
        <v>2.0884400498655301E-6</v>
      </c>
      <c r="O212" s="1">
        <v>7.0334271394783796E-8</v>
      </c>
      <c r="P212" s="1">
        <v>-3.3651622103817101E-7</v>
      </c>
      <c r="Q212">
        <v>74.846860307936595</v>
      </c>
      <c r="R212">
        <v>7.8200051971056103E-2</v>
      </c>
      <c r="S212">
        <v>12.034584621798601</v>
      </c>
      <c r="T212">
        <v>0.18763852499129599</v>
      </c>
      <c r="V212">
        <v>0.44488271590477102</v>
      </c>
      <c r="W212">
        <v>2.5736725965156401E-2</v>
      </c>
      <c r="X212">
        <v>5.9392444534983699E-2</v>
      </c>
      <c r="AA212">
        <v>0.49412312988530799</v>
      </c>
      <c r="AB212">
        <v>3.7985477733208199</v>
      </c>
      <c r="AC212">
        <v>4.3858601986393202</v>
      </c>
      <c r="AD212">
        <v>3.9594963023313404E-3</v>
      </c>
      <c r="AE212">
        <v>3.6402140087496</v>
      </c>
    </row>
    <row r="213" spans="1:31" x14ac:dyDescent="0.2">
      <c r="A213">
        <v>212</v>
      </c>
      <c r="B213">
        <v>799</v>
      </c>
      <c r="C213">
        <v>100</v>
      </c>
      <c r="D213">
        <v>0.51225155062258299</v>
      </c>
      <c r="E213">
        <v>100.633132043687</v>
      </c>
      <c r="F213">
        <v>2.2040868364241302</v>
      </c>
      <c r="G213">
        <v>-1648.357739540807</v>
      </c>
      <c r="H213">
        <v>-1378.1789379868389</v>
      </c>
      <c r="I213">
        <v>251.997203333458</v>
      </c>
      <c r="J213">
        <v>133.544722373974</v>
      </c>
      <c r="K213">
        <v>45.657516927487499</v>
      </c>
      <c r="L213">
        <v>1.1992933091738461E-4</v>
      </c>
      <c r="M213">
        <v>1.6347808233307041E-5</v>
      </c>
      <c r="N213" s="1">
        <v>2.0808261495555299E-6</v>
      </c>
      <c r="O213" s="1">
        <v>6.9956824973993901E-8</v>
      </c>
      <c r="P213" s="1">
        <v>-3.3464853476679502E-7</v>
      </c>
      <c r="Q213">
        <v>74.8930703698651</v>
      </c>
      <c r="R213">
        <v>7.8502972525694006E-2</v>
      </c>
      <c r="S213">
        <v>12.0039430371608</v>
      </c>
      <c r="T213">
        <v>0.18855520999117101</v>
      </c>
      <c r="V213">
        <v>0.44643522383609702</v>
      </c>
      <c r="W213">
        <v>2.58364213375687E-2</v>
      </c>
      <c r="X213">
        <v>5.9622510779013302E-2</v>
      </c>
      <c r="AA213">
        <v>0.48916636895688098</v>
      </c>
      <c r="AB213">
        <v>3.7788846820344602</v>
      </c>
      <c r="AC213">
        <v>4.39526128756322</v>
      </c>
      <c r="AD213">
        <v>3.9748340519331904E-3</v>
      </c>
      <c r="AE213">
        <v>3.6367470818979801</v>
      </c>
    </row>
    <row r="214" spans="1:31" x14ac:dyDescent="0.2">
      <c r="A214">
        <v>213</v>
      </c>
      <c r="B214">
        <v>798</v>
      </c>
      <c r="C214">
        <v>100</v>
      </c>
      <c r="D214">
        <v>0.51173085002101004</v>
      </c>
      <c r="E214">
        <v>100.243803788752</v>
      </c>
      <c r="F214">
        <v>2.2042991399058001</v>
      </c>
      <c r="G214">
        <v>-1641.6394670044726</v>
      </c>
      <c r="H214">
        <v>-1372.9545478851487</v>
      </c>
      <c r="I214">
        <v>250.83780900837701</v>
      </c>
      <c r="J214">
        <v>132.98411664196601</v>
      </c>
      <c r="K214">
        <v>45.476497256645601</v>
      </c>
      <c r="L214">
        <v>1.1976839650188496E-4</v>
      </c>
      <c r="M214">
        <v>1.6336898153360008E-5</v>
      </c>
      <c r="N214" s="1">
        <v>2.0732105674098498E-6</v>
      </c>
      <c r="O214" s="1">
        <v>6.9580490470929099E-8</v>
      </c>
      <c r="P214" s="1">
        <v>-3.3278362557377902E-7</v>
      </c>
      <c r="Q214">
        <v>74.939357528276005</v>
      </c>
      <c r="R214">
        <v>7.8807863443092305E-2</v>
      </c>
      <c r="S214">
        <v>11.973289475389</v>
      </c>
      <c r="T214">
        <v>0.18947829815107201</v>
      </c>
      <c r="V214">
        <v>0.44799743374002599</v>
      </c>
      <c r="W214">
        <v>2.5936765183800899E-2</v>
      </c>
      <c r="X214">
        <v>5.9854073501088401E-2</v>
      </c>
      <c r="AA214">
        <v>0.48438406372753801</v>
      </c>
      <c r="AB214">
        <v>3.7591175411840099</v>
      </c>
      <c r="AC214">
        <v>4.4045131407443803</v>
      </c>
      <c r="AD214">
        <v>3.9902715667380897E-3</v>
      </c>
      <c r="AE214">
        <v>3.6332735450931399</v>
      </c>
    </row>
    <row r="215" spans="1:31" x14ac:dyDescent="0.2">
      <c r="A215">
        <v>214</v>
      </c>
      <c r="B215">
        <v>797</v>
      </c>
      <c r="C215">
        <v>100</v>
      </c>
      <c r="D215">
        <v>0.511209176283699</v>
      </c>
      <c r="E215">
        <v>99.855076488846194</v>
      </c>
      <c r="F215">
        <v>2.2045121882080401</v>
      </c>
      <c r="G215">
        <v>-1634.9345212791245</v>
      </c>
      <c r="H215">
        <v>-1367.7382722110453</v>
      </c>
      <c r="I215">
        <v>249.68111859840101</v>
      </c>
      <c r="J215">
        <v>132.424633687887</v>
      </c>
      <c r="K215">
        <v>45.295769750320297</v>
      </c>
      <c r="L215">
        <v>1.1960697912955065E-4</v>
      </c>
      <c r="M215">
        <v>1.6326009369847904E-5</v>
      </c>
      <c r="N215" s="1">
        <v>2.0655967400793901E-6</v>
      </c>
      <c r="O215" s="1">
        <v>6.9205376000526395E-8</v>
      </c>
      <c r="P215" s="1">
        <v>-3.3092209410965098E-7</v>
      </c>
      <c r="Q215">
        <v>74.985718298494604</v>
      </c>
      <c r="R215">
        <v>7.9114655736933104E-2</v>
      </c>
      <c r="S215">
        <v>11.942626386057899</v>
      </c>
      <c r="T215">
        <v>0.190407664780542</v>
      </c>
      <c r="V215">
        <v>0.44956891640275698</v>
      </c>
      <c r="W215">
        <v>2.6037734799495199E-2</v>
      </c>
      <c r="X215">
        <v>6.0087080306537699E-2</v>
      </c>
      <c r="AA215">
        <v>0.47977196437720598</v>
      </c>
      <c r="AB215">
        <v>3.7392567233776202</v>
      </c>
      <c r="AC215">
        <v>4.4136095089676202</v>
      </c>
      <c r="AD215">
        <v>4.0058053537679102E-3</v>
      </c>
      <c r="AE215">
        <v>3.62979526134496</v>
      </c>
    </row>
    <row r="216" spans="1:31" x14ac:dyDescent="0.2">
      <c r="A216">
        <v>215</v>
      </c>
      <c r="B216">
        <v>796</v>
      </c>
      <c r="C216">
        <v>100</v>
      </c>
      <c r="D216">
        <v>0.51068652668007097</v>
      </c>
      <c r="E216">
        <v>99.467056211078599</v>
      </c>
      <c r="F216">
        <v>2.2047258914722501</v>
      </c>
      <c r="G216">
        <v>-1628.2446660233541</v>
      </c>
      <c r="H216">
        <v>-1362.5315719720661</v>
      </c>
      <c r="I216">
        <v>248.52742276695301</v>
      </c>
      <c r="J216">
        <v>131.86641949929299</v>
      </c>
      <c r="K216">
        <v>45.115384454734702</v>
      </c>
      <c r="L216">
        <v>1.1944512370284759E-4</v>
      </c>
      <c r="M216">
        <v>1.63151456435415E-5</v>
      </c>
      <c r="N216" s="1">
        <v>2.0579879822327001E-6</v>
      </c>
      <c r="O216" s="1">
        <v>6.8831584928869105E-8</v>
      </c>
      <c r="P216" s="1">
        <v>-3.2906451700406701E-7</v>
      </c>
      <c r="Q216">
        <v>75.032149300937803</v>
      </c>
      <c r="R216">
        <v>7.9423281445423002E-2</v>
      </c>
      <c r="S216">
        <v>11.911956137356301</v>
      </c>
      <c r="T216">
        <v>0.19134318726295199</v>
      </c>
      <c r="V216">
        <v>0.45114924878505602</v>
      </c>
      <c r="W216">
        <v>2.6139307817479002E-2</v>
      </c>
      <c r="X216">
        <v>6.0321479578809102E-2</v>
      </c>
      <c r="AA216">
        <v>0.47532583461921801</v>
      </c>
      <c r="AB216">
        <v>3.7193124311237802</v>
      </c>
      <c r="AC216">
        <v>4.4225443019329598</v>
      </c>
      <c r="AD216">
        <v>4.0214319719191899E-3</v>
      </c>
      <c r="AE216">
        <v>3.6263140571681598</v>
      </c>
    </row>
    <row r="217" spans="1:31" x14ac:dyDescent="0.2">
      <c r="A217">
        <v>216</v>
      </c>
      <c r="B217">
        <v>795</v>
      </c>
      <c r="C217">
        <v>100</v>
      </c>
      <c r="D217">
        <v>0.51016289846931695</v>
      </c>
      <c r="E217">
        <v>99.0798444440439</v>
      </c>
      <c r="F217">
        <v>2.20494016142157</v>
      </c>
      <c r="G217">
        <v>-1621.5715867159802</v>
      </c>
      <c r="H217">
        <v>-1357.335845232594</v>
      </c>
      <c r="I217">
        <v>247.37699900143701</v>
      </c>
      <c r="J217">
        <v>131.30961354079599</v>
      </c>
      <c r="K217">
        <v>44.935389257985499</v>
      </c>
      <c r="L217">
        <v>1.1928287414992127E-4</v>
      </c>
      <c r="M217">
        <v>1.630431064530168E-5</v>
      </c>
      <c r="N217" s="1">
        <v>2.0503874817970001E-6</v>
      </c>
      <c r="O217" s="1">
        <v>6.8459215757270196E-8</v>
      </c>
      <c r="P217" s="1">
        <v>-3.2721144611271E-7</v>
      </c>
      <c r="Q217">
        <v>75.078647274098302</v>
      </c>
      <c r="R217">
        <v>7.9733673829714302E-2</v>
      </c>
      <c r="S217">
        <v>11.8812810085489</v>
      </c>
      <c r="T217">
        <v>0.19228474547913199</v>
      </c>
      <c r="V217">
        <v>0.45273801519823098</v>
      </c>
      <c r="W217">
        <v>2.6241462273068301E-2</v>
      </c>
      <c r="X217">
        <v>6.05572206301703E-2</v>
      </c>
      <c r="AA217">
        <v>0.47104146283170201</v>
      </c>
      <c r="AB217">
        <v>3.69929467709329</v>
      </c>
      <c r="AC217">
        <v>4.4313115922635298</v>
      </c>
      <c r="AD217">
        <v>4.0371480420097897E-3</v>
      </c>
      <c r="AE217">
        <v>3.62283171971186</v>
      </c>
    </row>
    <row r="218" spans="1:31" x14ac:dyDescent="0.2">
      <c r="A218">
        <v>217</v>
      </c>
      <c r="B218">
        <v>794</v>
      </c>
      <c r="C218">
        <v>100</v>
      </c>
      <c r="D218">
        <v>0.50963828890034402</v>
      </c>
      <c r="E218">
        <v>98.693537980351806</v>
      </c>
      <c r="F218">
        <v>2.2051549114878299</v>
      </c>
      <c r="G218">
        <v>-1614.9168888114041</v>
      </c>
      <c r="H218">
        <v>-1352.1524255027221</v>
      </c>
      <c r="I218">
        <v>246.230111332691</v>
      </c>
      <c r="J218">
        <v>130.75434860247199</v>
      </c>
      <c r="K218">
        <v>44.755829835901402</v>
      </c>
      <c r="L218">
        <v>1.191202733450475E-4</v>
      </c>
      <c r="M218">
        <v>1.6293507951859747E-5</v>
      </c>
      <c r="N218" s="1">
        <v>2.0427982961960101E-6</v>
      </c>
      <c r="O218" s="1">
        <v>6.8088362040366503E-8</v>
      </c>
      <c r="P218" s="1">
        <v>-3.2536340794876099E-7</v>
      </c>
      <c r="Q218">
        <v>75.125209086072005</v>
      </c>
      <c r="R218">
        <v>8.0045767551397404E-2</v>
      </c>
      <c r="S218">
        <v>11.850603183403299</v>
      </c>
      <c r="T218">
        <v>0.19323222218803601</v>
      </c>
      <c r="V218">
        <v>0.45433480835460899</v>
      </c>
      <c r="W218">
        <v>2.6344176662482802E-2</v>
      </c>
      <c r="X218">
        <v>6.0794253836512699E-2</v>
      </c>
      <c r="AA218">
        <v>0.46691467216885502</v>
      </c>
      <c r="AB218">
        <v>3.6792132666712498</v>
      </c>
      <c r="AC218">
        <v>4.4399056186739401</v>
      </c>
      <c r="AD218">
        <v>4.05295025576581E-3</v>
      </c>
      <c r="AE218">
        <v>3.61934999416175</v>
      </c>
    </row>
    <row r="219" spans="1:31" x14ac:dyDescent="0.2">
      <c r="A219">
        <v>218</v>
      </c>
      <c r="B219">
        <v>793</v>
      </c>
      <c r="C219">
        <v>100</v>
      </c>
      <c r="D219">
        <v>0.50911269521174396</v>
      </c>
      <c r="E219">
        <v>97.969318820850901</v>
      </c>
      <c r="F219">
        <v>2.2054830878658298</v>
      </c>
      <c r="G219">
        <v>-1602.6527141608785</v>
      </c>
      <c r="H219">
        <v>-1342.263102563342</v>
      </c>
      <c r="I219">
        <v>244.23356150404399</v>
      </c>
      <c r="J219">
        <v>129.753137008436</v>
      </c>
      <c r="K219">
        <v>44.4207980373371</v>
      </c>
      <c r="L219">
        <v>1.189621805761062E-4</v>
      </c>
      <c r="M219">
        <v>1.6279513488707654E-5</v>
      </c>
      <c r="N219" s="1">
        <v>2.0275524970291602E-6</v>
      </c>
      <c r="O219" s="1">
        <v>6.7466526531888005E-8</v>
      </c>
      <c r="P219" s="1">
        <v>-3.22431490636398E-7</v>
      </c>
      <c r="Q219">
        <v>75.155780681113896</v>
      </c>
      <c r="R219">
        <v>8.0637490339668896E-2</v>
      </c>
      <c r="S219">
        <v>11.8266408914763</v>
      </c>
      <c r="T219">
        <v>0.194880501316397</v>
      </c>
      <c r="V219">
        <v>0.45749556900848598</v>
      </c>
      <c r="W219">
        <v>2.65389208712805E-2</v>
      </c>
      <c r="X219">
        <v>6.1243663549125901E-2</v>
      </c>
      <c r="AA219">
        <v>0.46197771298156698</v>
      </c>
      <c r="AB219">
        <v>3.6566620340685501</v>
      </c>
      <c r="AC219">
        <v>4.4593560181319196</v>
      </c>
      <c r="AD219">
        <v>4.0829109032729603E-3</v>
      </c>
      <c r="AE219">
        <v>3.6147036062393498</v>
      </c>
    </row>
    <row r="220" spans="1:31" x14ac:dyDescent="0.2">
      <c r="A220">
        <v>219</v>
      </c>
      <c r="B220">
        <v>792</v>
      </c>
      <c r="C220">
        <v>100</v>
      </c>
      <c r="D220">
        <v>0.50858611463174297</v>
      </c>
      <c r="E220">
        <v>95.807560066860802</v>
      </c>
      <c r="F220">
        <v>2.2062972521052</v>
      </c>
      <c r="G220">
        <v>-1566.5325628489172</v>
      </c>
      <c r="H220">
        <v>-1312.3646130046584</v>
      </c>
      <c r="I220">
        <v>238.62174327020401</v>
      </c>
      <c r="J220">
        <v>126.85390953304</v>
      </c>
      <c r="K220">
        <v>43.4245929352643</v>
      </c>
      <c r="L220">
        <v>1.1882032375347737E-4</v>
      </c>
      <c r="M220">
        <v>1.6251873058460732E-5</v>
      </c>
      <c r="N220" s="1">
        <v>1.9798135285253299E-6</v>
      </c>
      <c r="O220" s="1">
        <v>6.57782746343793E-8</v>
      </c>
      <c r="P220" s="1">
        <v>-3.1486834396858099E-7</v>
      </c>
      <c r="Q220">
        <v>75.119698093144905</v>
      </c>
      <c r="R220">
        <v>8.2456958453875698E-2</v>
      </c>
      <c r="S220">
        <v>11.830280516867701</v>
      </c>
      <c r="T220">
        <v>0.19959688815158599</v>
      </c>
      <c r="V220">
        <v>0.46753108221012601</v>
      </c>
      <c r="W220">
        <v>2.7137733162031701E-2</v>
      </c>
      <c r="X220">
        <v>6.2625538066246295E-2</v>
      </c>
      <c r="AA220">
        <v>0.45375616220528903</v>
      </c>
      <c r="AB220">
        <v>3.6229983675325599</v>
      </c>
      <c r="AC220">
        <v>4.5246825790521603</v>
      </c>
      <c r="AD220">
        <v>4.1750358710809597E-3</v>
      </c>
      <c r="AE220">
        <v>3.6050610452822598</v>
      </c>
    </row>
    <row r="221" spans="1:31" x14ac:dyDescent="0.2">
      <c r="A221">
        <v>220</v>
      </c>
      <c r="B221">
        <v>791</v>
      </c>
      <c r="C221">
        <v>100</v>
      </c>
      <c r="D221">
        <v>0.50805854437814801</v>
      </c>
      <c r="E221">
        <v>93.545284989140697</v>
      </c>
      <c r="F221">
        <v>2.2071525783167099</v>
      </c>
      <c r="G221">
        <v>-1528.7830364401623</v>
      </c>
      <c r="H221">
        <v>-1281.0861479174598</v>
      </c>
      <c r="I221">
        <v>232.765012942444</v>
      </c>
      <c r="J221">
        <v>123.822737303382</v>
      </c>
      <c r="K221">
        <v>42.382790346321599</v>
      </c>
      <c r="L221">
        <v>1.1867268081266451E-4</v>
      </c>
      <c r="M221">
        <v>1.6223527735773539E-5</v>
      </c>
      <c r="N221" s="1">
        <v>1.92993106877227E-6</v>
      </c>
      <c r="O221" s="1">
        <v>6.4024611034055301E-8</v>
      </c>
      <c r="P221" s="1">
        <v>-3.0696220743679599E-7</v>
      </c>
      <c r="Q221">
        <v>75.082098476628602</v>
      </c>
      <c r="R221">
        <v>8.4451076298688296E-2</v>
      </c>
      <c r="S221">
        <v>11.8339432254499</v>
      </c>
      <c r="T221">
        <v>0.204743804320801</v>
      </c>
      <c r="V221">
        <v>0.478549869147817</v>
      </c>
      <c r="W221">
        <v>2.7794025110956098E-2</v>
      </c>
      <c r="X221">
        <v>6.4140057948387105E-2</v>
      </c>
      <c r="AA221">
        <v>0.44664625124652202</v>
      </c>
      <c r="AB221">
        <v>3.5872391533400698</v>
      </c>
      <c r="AC221">
        <v>4.5910589558327199</v>
      </c>
      <c r="AD221">
        <v>4.2760038632228999E-3</v>
      </c>
      <c r="AE221">
        <v>3.5950591008122799</v>
      </c>
    </row>
    <row r="222" spans="1:31" x14ac:dyDescent="0.2">
      <c r="A222">
        <v>221</v>
      </c>
      <c r="B222">
        <v>790</v>
      </c>
      <c r="C222">
        <v>100</v>
      </c>
      <c r="D222">
        <v>0.507529981658283</v>
      </c>
      <c r="E222">
        <v>91.135070752106699</v>
      </c>
      <c r="F222">
        <v>2.20805899064568</v>
      </c>
      <c r="G222">
        <v>-1488.6282912434692</v>
      </c>
      <c r="H222">
        <v>-1247.7757557687303</v>
      </c>
      <c r="I222">
        <v>226.54614633376201</v>
      </c>
      <c r="J222">
        <v>120.59705199342601</v>
      </c>
      <c r="K222">
        <v>41.273838759831598</v>
      </c>
      <c r="L222">
        <v>1.1851921635401873E-4</v>
      </c>
      <c r="M222">
        <v>1.6194439061762863E-5</v>
      </c>
      <c r="N222" s="1">
        <v>1.87693790026218E-6</v>
      </c>
      <c r="O222" s="1">
        <v>6.2173783505546405E-8</v>
      </c>
      <c r="P222" s="1">
        <v>-2.9855811007902798E-7</v>
      </c>
      <c r="Q222">
        <v>75.042499090284494</v>
      </c>
      <c r="R222">
        <v>8.66845214998406E-2</v>
      </c>
      <c r="S222">
        <v>11.837602453851799</v>
      </c>
      <c r="T222">
        <v>0.210477115085106</v>
      </c>
      <c r="V222">
        <v>0.490919277100338</v>
      </c>
      <c r="W222">
        <v>2.8529083025259101E-2</v>
      </c>
      <c r="X222">
        <v>6.5836345442934194E-2</v>
      </c>
      <c r="AA222">
        <v>0.44084034444825199</v>
      </c>
      <c r="AB222">
        <v>3.5491179882750701</v>
      </c>
      <c r="AC222">
        <v>4.65843527115236</v>
      </c>
      <c r="AD222">
        <v>4.3890896961927004E-3</v>
      </c>
      <c r="AE222">
        <v>3.5846694201381899</v>
      </c>
    </row>
    <row r="223" spans="1:31" x14ac:dyDescent="0.2">
      <c r="A223">
        <v>222</v>
      </c>
      <c r="B223">
        <v>789</v>
      </c>
      <c r="C223">
        <v>100</v>
      </c>
      <c r="D223">
        <v>0.50700042366897302</v>
      </c>
      <c r="E223">
        <v>88.492883104060894</v>
      </c>
      <c r="F223">
        <v>2.2090339211236301</v>
      </c>
      <c r="G223">
        <v>-1444.693551974322</v>
      </c>
      <c r="H223">
        <v>-1211.2782647504037</v>
      </c>
      <c r="I223">
        <v>219.75736687277501</v>
      </c>
      <c r="J223">
        <v>117.065990633703</v>
      </c>
      <c r="K223">
        <v>40.059540171772802</v>
      </c>
      <c r="L223">
        <v>1.1836007530600969E-4</v>
      </c>
      <c r="M223">
        <v>1.6164564938263579E-5</v>
      </c>
      <c r="N223" s="1">
        <v>1.81911916222312E-6</v>
      </c>
      <c r="O223" s="1">
        <v>6.0169488147898502E-8</v>
      </c>
      <c r="P223" s="1">
        <v>-2.8938098723923699E-7</v>
      </c>
      <c r="Q223">
        <v>75.000034795507204</v>
      </c>
      <c r="R223">
        <v>8.9272715758518306E-2</v>
      </c>
      <c r="S223">
        <v>11.8412218004012</v>
      </c>
      <c r="T223">
        <v>0.21707439077336199</v>
      </c>
      <c r="V223">
        <v>0.50529538642787097</v>
      </c>
      <c r="W223">
        <v>2.93808937939363E-2</v>
      </c>
      <c r="X223">
        <v>6.7802062601428806E-2</v>
      </c>
      <c r="AA223">
        <v>0.43669671693527501</v>
      </c>
      <c r="AB223">
        <v>3.50819640267592</v>
      </c>
      <c r="AC223">
        <v>4.7266513501113003</v>
      </c>
      <c r="AD223">
        <v>4.5201375067581004E-3</v>
      </c>
      <c r="AE223">
        <v>3.5738533475071002</v>
      </c>
    </row>
    <row r="224" spans="1:31" x14ac:dyDescent="0.2">
      <c r="A224">
        <v>223</v>
      </c>
      <c r="B224">
        <v>788</v>
      </c>
      <c r="C224">
        <v>100</v>
      </c>
      <c r="D224">
        <v>0.50646986759647905</v>
      </c>
      <c r="E224">
        <v>85.450127066841304</v>
      </c>
      <c r="F224">
        <v>2.2101119339134199</v>
      </c>
      <c r="G224">
        <v>-1394.2210353506441</v>
      </c>
      <c r="H224">
        <v>-1169.2764429186382</v>
      </c>
      <c r="I224">
        <v>211.981899290397</v>
      </c>
      <c r="J224">
        <v>113.007186576297</v>
      </c>
      <c r="K224">
        <v>38.663257618602003</v>
      </c>
      <c r="L224">
        <v>1.1819620665953878E-4</v>
      </c>
      <c r="M224">
        <v>1.6133896711663588E-5</v>
      </c>
      <c r="N224" s="1">
        <v>1.75304107685608E-6</v>
      </c>
      <c r="O224" s="1">
        <v>5.7898928494637203E-8</v>
      </c>
      <c r="P224" s="1">
        <v>-2.7887944361405898E-7</v>
      </c>
      <c r="Q224">
        <v>74.952929599826902</v>
      </c>
      <c r="R224">
        <v>9.2451588677231994E-2</v>
      </c>
      <c r="S224">
        <v>11.8447524117075</v>
      </c>
      <c r="T224">
        <v>0.225101913689845</v>
      </c>
      <c r="V224">
        <v>0.52302024948964299</v>
      </c>
      <c r="W224">
        <v>3.0427105134270001E-2</v>
      </c>
      <c r="X224">
        <v>7.0216396463751204E-2</v>
      </c>
      <c r="AA224">
        <v>0.43495970676318602</v>
      </c>
      <c r="AB224">
        <v>3.46371008457549</v>
      </c>
      <c r="AC224">
        <v>4.7951826837180098</v>
      </c>
      <c r="AD224">
        <v>4.6810930975781199E-3</v>
      </c>
      <c r="AE224">
        <v>3.5625671668564398</v>
      </c>
    </row>
    <row r="225" spans="1:31" x14ac:dyDescent="0.2">
      <c r="A225">
        <v>224</v>
      </c>
      <c r="B225">
        <v>787</v>
      </c>
      <c r="C225">
        <v>100</v>
      </c>
      <c r="D225">
        <v>0.50593831061642502</v>
      </c>
      <c r="E225">
        <v>81.601225953121499</v>
      </c>
      <c r="F225">
        <v>2.2113752778213001</v>
      </c>
      <c r="G225">
        <v>-1330.5785019469117</v>
      </c>
      <c r="H225">
        <v>-1116.197217198888</v>
      </c>
      <c r="I225">
        <v>202.217879307667</v>
      </c>
      <c r="J225">
        <v>107.885946287788</v>
      </c>
      <c r="K225">
        <v>36.900668453486901</v>
      </c>
      <c r="L225">
        <v>1.1803237634493101E-4</v>
      </c>
      <c r="M225">
        <v>1.6102684409527976E-5</v>
      </c>
      <c r="N225" s="1">
        <v>1.6704831706794601E-6</v>
      </c>
      <c r="O225" s="1">
        <v>5.5091852020648599E-8</v>
      </c>
      <c r="P225" s="1">
        <v>-2.6573176686706801E-7</v>
      </c>
      <c r="Q225">
        <v>74.896720453968797</v>
      </c>
      <c r="R225">
        <v>9.6812270988910695E-2</v>
      </c>
      <c r="S225">
        <v>11.8481424013695</v>
      </c>
      <c r="T225">
        <v>0.23597586763124101</v>
      </c>
      <c r="V225">
        <v>0.54745882236500298</v>
      </c>
      <c r="W225">
        <v>3.1862266401403098E-2</v>
      </c>
      <c r="X225">
        <v>7.3528307080221997E-2</v>
      </c>
      <c r="AA225">
        <v>0.437463262461109</v>
      </c>
      <c r="AB225">
        <v>3.41426002008689</v>
      </c>
      <c r="AC225">
        <v>4.8620480727245701</v>
      </c>
      <c r="AD225">
        <v>4.9018871386750304E-3</v>
      </c>
      <c r="AE225">
        <v>3.5508263677835701</v>
      </c>
    </row>
    <row r="226" spans="1:31" x14ac:dyDescent="0.2">
      <c r="A226">
        <v>225</v>
      </c>
      <c r="B226">
        <v>786</v>
      </c>
      <c r="C226">
        <v>100</v>
      </c>
      <c r="D226">
        <v>0.50540574989378495</v>
      </c>
      <c r="E226">
        <v>74.958482898813998</v>
      </c>
      <c r="F226">
        <v>2.2131703236737801</v>
      </c>
      <c r="G226">
        <v>-1221.2753475607742</v>
      </c>
      <c r="H226">
        <v>-1024.7350013923458</v>
      </c>
      <c r="I226">
        <v>185.56422241271599</v>
      </c>
      <c r="J226">
        <v>99.083291911787995</v>
      </c>
      <c r="K226">
        <v>33.8692788788101</v>
      </c>
      <c r="L226">
        <v>1.1792234515223576E-4</v>
      </c>
      <c r="M226">
        <v>1.6075242647484389E-5</v>
      </c>
      <c r="N226" s="1">
        <v>1.5316394091789601E-6</v>
      </c>
      <c r="O226" s="1">
        <v>5.0436461335229701E-8</v>
      </c>
      <c r="P226" s="1">
        <v>-2.4353678679555702E-7</v>
      </c>
      <c r="Q226">
        <v>74.809673991524804</v>
      </c>
      <c r="R226">
        <v>0.10539167409065101</v>
      </c>
      <c r="S226">
        <v>11.850631408034699</v>
      </c>
      <c r="T226">
        <v>0.25696188894611799</v>
      </c>
      <c r="V226">
        <v>0.59590739364023504</v>
      </c>
      <c r="W226">
        <v>3.46858674222221E-2</v>
      </c>
      <c r="X226">
        <v>8.0044309436002103E-2</v>
      </c>
      <c r="AA226">
        <v>0.45028501602312099</v>
      </c>
      <c r="AB226">
        <v>3.3602544656199602</v>
      </c>
      <c r="AC226">
        <v>4.9106858251245598</v>
      </c>
      <c r="AD226">
        <v>5.3362872957225397E-3</v>
      </c>
      <c r="AE226">
        <v>3.5401418728417502</v>
      </c>
    </row>
    <row r="227" spans="1:31" x14ac:dyDescent="0.2">
      <c r="A227">
        <v>226</v>
      </c>
      <c r="B227">
        <v>785</v>
      </c>
      <c r="C227">
        <v>100</v>
      </c>
      <c r="D227">
        <v>0.50487218258281097</v>
      </c>
      <c r="E227">
        <v>64.962676906109394</v>
      </c>
      <c r="F227">
        <v>2.2157224485443199</v>
      </c>
      <c r="G227">
        <v>-1057.2699862733432</v>
      </c>
      <c r="H227">
        <v>-887.23552824700539</v>
      </c>
      <c r="I227">
        <v>160.69031614264301</v>
      </c>
      <c r="J227">
        <v>85.869374865881099</v>
      </c>
      <c r="K227">
        <v>29.318959578528499</v>
      </c>
      <c r="L227">
        <v>1.1797662259706251E-4</v>
      </c>
      <c r="M227">
        <v>1.6061127207334036E-5</v>
      </c>
      <c r="N227" s="1">
        <v>1.32680158161423E-6</v>
      </c>
      <c r="O227" s="1">
        <v>4.3617136642983501E-8</v>
      </c>
      <c r="P227" s="1">
        <v>-2.10737609470198E-7</v>
      </c>
      <c r="Q227">
        <v>74.671714572129304</v>
      </c>
      <c r="R227">
        <v>0.121608289193804</v>
      </c>
      <c r="S227">
        <v>11.8482365604858</v>
      </c>
      <c r="T227">
        <v>0.296202157262625</v>
      </c>
      <c r="V227">
        <v>0.68786820563363305</v>
      </c>
      <c r="W227">
        <v>4.0022981253632003E-2</v>
      </c>
      <c r="X227">
        <v>9.2360725970070195E-2</v>
      </c>
      <c r="AA227">
        <v>0.46974396020112003</v>
      </c>
      <c r="AB227">
        <v>3.31717737490741</v>
      </c>
      <c r="AC227">
        <v>4.9144038387516504</v>
      </c>
      <c r="AD227">
        <v>6.1573817313231201E-3</v>
      </c>
      <c r="AE227">
        <v>3.5345039524794899</v>
      </c>
    </row>
    <row r="228" spans="1:31" x14ac:dyDescent="0.2">
      <c r="A228">
        <v>227</v>
      </c>
      <c r="B228">
        <v>784</v>
      </c>
      <c r="C228">
        <v>100</v>
      </c>
      <c r="D228">
        <v>0.50433760582698905</v>
      </c>
      <c r="E228">
        <v>41.552083813513399</v>
      </c>
      <c r="F228">
        <v>2.2176280787631</v>
      </c>
      <c r="G228">
        <v>-676.15123120868054</v>
      </c>
      <c r="H228">
        <v>-567.64628771872447</v>
      </c>
      <c r="I228">
        <v>102.639117901864</v>
      </c>
      <c r="J228">
        <v>54.936682356333797</v>
      </c>
      <c r="K228">
        <v>18.737174286091001</v>
      </c>
      <c r="L228">
        <v>1.1765860341865841E-4</v>
      </c>
      <c r="M228">
        <v>1.6021390166699609E-5</v>
      </c>
      <c r="N228" s="1">
        <v>8.4543046244485498E-7</v>
      </c>
      <c r="O228" s="1">
        <v>2.7753469270335801E-8</v>
      </c>
      <c r="P228" s="1">
        <v>-1.3399914257683599E-7</v>
      </c>
      <c r="Q228">
        <v>74.572183326948604</v>
      </c>
      <c r="R228">
        <v>0.14514286659245801</v>
      </c>
      <c r="S228">
        <v>11.919041536233699</v>
      </c>
      <c r="T228">
        <v>0.28333030527144398</v>
      </c>
      <c r="V228">
        <v>0.65836594102557799</v>
      </c>
      <c r="W228">
        <v>6.2572072478184707E-2</v>
      </c>
      <c r="X228">
        <v>0.13812659468803101</v>
      </c>
      <c r="AA228">
        <v>0.51560769067436396</v>
      </c>
      <c r="AB228">
        <v>3.2012017557405801</v>
      </c>
      <c r="AC228">
        <v>4.9777919503505297</v>
      </c>
      <c r="AD228">
        <v>9.6264726889445703E-3</v>
      </c>
      <c r="AE228">
        <v>3.51700948730748</v>
      </c>
    </row>
    <row r="229" spans="1:31" x14ac:dyDescent="0.2">
      <c r="A229">
        <v>228</v>
      </c>
      <c r="B229">
        <v>783</v>
      </c>
      <c r="C229">
        <v>100</v>
      </c>
      <c r="D229">
        <v>0.50380201675898495</v>
      </c>
      <c r="E229">
        <v>28.331403605392701</v>
      </c>
      <c r="F229">
        <v>2.21945733621921</v>
      </c>
      <c r="G229">
        <v>-460.95886227659474</v>
      </c>
      <c r="H229">
        <v>-387.12985695746403</v>
      </c>
      <c r="I229">
        <v>69.903901263201902</v>
      </c>
      <c r="J229">
        <v>37.472588013804497</v>
      </c>
      <c r="K229">
        <v>12.7650138360643</v>
      </c>
      <c r="L229">
        <v>1.1747094132941479E-4</v>
      </c>
      <c r="M229">
        <v>1.5994831486136365E-5</v>
      </c>
      <c r="N229" s="1">
        <v>5.7518584402892905E-7</v>
      </c>
      <c r="O229" s="1">
        <v>1.8852246648594199E-8</v>
      </c>
      <c r="P229" s="1">
        <v>-9.0954327112366799E-8</v>
      </c>
      <c r="Q229">
        <v>74.459475398587301</v>
      </c>
      <c r="R229">
        <v>0.16527765230038499</v>
      </c>
      <c r="S229">
        <v>11.9967232462584</v>
      </c>
      <c r="T229">
        <v>0.27300271216048899</v>
      </c>
      <c r="V229">
        <v>0.63516396773254702</v>
      </c>
      <c r="W229">
        <v>9.1770956222714001E-2</v>
      </c>
      <c r="X229">
        <v>0.19421791872927599</v>
      </c>
      <c r="AA229">
        <v>0.54182623733470803</v>
      </c>
      <c r="AB229">
        <v>3.1086657982866401</v>
      </c>
      <c r="AC229">
        <v>5.0144092078405604</v>
      </c>
      <c r="AD229">
        <v>1.4118608649637E-2</v>
      </c>
      <c r="AE229">
        <v>3.5053482958973001</v>
      </c>
    </row>
    <row r="230" spans="1:31" x14ac:dyDescent="0.2">
      <c r="A230">
        <v>229</v>
      </c>
      <c r="B230">
        <v>782</v>
      </c>
      <c r="C230">
        <v>100</v>
      </c>
      <c r="D230">
        <v>0.50326541250059598</v>
      </c>
      <c r="E230">
        <v>18.5141635984244</v>
      </c>
      <c r="F230">
        <v>2.2214321876072001</v>
      </c>
      <c r="G230">
        <v>-301.1731704086767</v>
      </c>
      <c r="H230">
        <v>-253.02844608469576</v>
      </c>
      <c r="I230">
        <v>45.6283223465676</v>
      </c>
      <c r="J230">
        <v>24.494845463420098</v>
      </c>
      <c r="K230">
        <v>8.3343366057763006</v>
      </c>
      <c r="L230">
        <v>1.1731826108207738E-4</v>
      </c>
      <c r="M230">
        <v>1.597774984288962E-5</v>
      </c>
      <c r="N230" s="1">
        <v>3.7523443018670298E-7</v>
      </c>
      <c r="O230" s="1">
        <v>1.22789480204737E-8</v>
      </c>
      <c r="P230" s="1">
        <v>-5.9152979862851503E-8</v>
      </c>
      <c r="Q230">
        <v>74.304687588908294</v>
      </c>
      <c r="R230">
        <v>0.19237271588049701</v>
      </c>
      <c r="S230">
        <v>12.135913882871799</v>
      </c>
      <c r="T230">
        <v>0.261938603021725</v>
      </c>
      <c r="V230">
        <v>0.61115461691579998</v>
      </c>
      <c r="W230">
        <v>0.14043302502844501</v>
      </c>
      <c r="X230">
        <v>0.219949175668847</v>
      </c>
      <c r="AA230">
        <v>0.559633624892931</v>
      </c>
      <c r="AB230">
        <v>3.0034655967419601</v>
      </c>
      <c r="AC230">
        <v>5.0534785080541802</v>
      </c>
      <c r="AD230">
        <v>2.16050807735816E-2</v>
      </c>
      <c r="AE230">
        <v>3.4953675812417999</v>
      </c>
    </row>
    <row r="231" spans="1:31" x14ac:dyDescent="0.2">
      <c r="A231">
        <v>230</v>
      </c>
      <c r="B231">
        <v>781</v>
      </c>
      <c r="C231">
        <v>100</v>
      </c>
      <c r="D231">
        <v>0.50272779016268998</v>
      </c>
      <c r="E231">
        <v>12.7497499885063</v>
      </c>
      <c r="F231">
        <v>2.2234280365550099</v>
      </c>
      <c r="G231">
        <v>-207.35404397852892</v>
      </c>
      <c r="H231">
        <v>-174.26695743286888</v>
      </c>
      <c r="I231">
        <v>31.387455813366198</v>
      </c>
      <c r="J231">
        <v>16.8723759233172</v>
      </c>
      <c r="K231">
        <v>5.7342759823523703</v>
      </c>
      <c r="L231">
        <v>1.1723163863761044E-4</v>
      </c>
      <c r="M231">
        <v>1.5972253998050466E-5</v>
      </c>
      <c r="N231" s="1">
        <v>2.5822344372838098E-7</v>
      </c>
      <c r="O231" s="1">
        <v>8.4356832528064792E-9</v>
      </c>
      <c r="P231" s="1">
        <v>-4.0559059617691499E-8</v>
      </c>
      <c r="Q231">
        <v>74.119437359478198</v>
      </c>
      <c r="R231">
        <v>0.217310517881209</v>
      </c>
      <c r="S231">
        <v>12.320363041411699</v>
      </c>
      <c r="T231">
        <v>0.25241421833249</v>
      </c>
      <c r="V231">
        <v>0.59136148810917499</v>
      </c>
      <c r="W231">
        <v>0.203925567351669</v>
      </c>
      <c r="X231">
        <v>0.224016839224225</v>
      </c>
      <c r="AA231">
        <v>0.56739142617304805</v>
      </c>
      <c r="AB231">
        <v>2.89713735817441</v>
      </c>
      <c r="AC231">
        <v>5.0863408417526701</v>
      </c>
      <c r="AD231">
        <v>3.1373164207902503E-2</v>
      </c>
      <c r="AE231">
        <v>3.48892817790313</v>
      </c>
    </row>
    <row r="232" spans="1:31" x14ac:dyDescent="0.2">
      <c r="A232">
        <v>231</v>
      </c>
      <c r="B232">
        <v>780</v>
      </c>
      <c r="C232">
        <v>100</v>
      </c>
      <c r="D232">
        <v>0.50218914684517901</v>
      </c>
      <c r="E232">
        <v>9.6755036086232895</v>
      </c>
      <c r="F232">
        <v>2.2253006413262999</v>
      </c>
      <c r="G232">
        <v>-157.31949047663312</v>
      </c>
      <c r="H232">
        <v>-132.25863586219086</v>
      </c>
      <c r="I232">
        <v>23.796092308258299</v>
      </c>
      <c r="J232">
        <v>12.8076422599702</v>
      </c>
      <c r="K232">
        <v>4.3479534535417104</v>
      </c>
      <c r="L232">
        <v>1.1720360056306284E-4</v>
      </c>
      <c r="M232">
        <v>1.597353709480954E-5</v>
      </c>
      <c r="N232" s="1">
        <v>1.9600257474203501E-7</v>
      </c>
      <c r="O232" s="1">
        <v>6.3916631853949604E-9</v>
      </c>
      <c r="P232" s="1">
        <v>-3.06737148318836E-8</v>
      </c>
      <c r="Q232">
        <v>73.933849645886099</v>
      </c>
      <c r="R232">
        <v>0.23474932285097699</v>
      </c>
      <c r="S232">
        <v>12.5066233224474</v>
      </c>
      <c r="T232">
        <v>0.24528259319252299</v>
      </c>
      <c r="V232">
        <v>0.57710266611552197</v>
      </c>
      <c r="W232">
        <v>0.26871986256928698</v>
      </c>
      <c r="X232">
        <v>0.226704325682997</v>
      </c>
      <c r="AA232">
        <v>0.56915714334411804</v>
      </c>
      <c r="AB232">
        <v>2.8027746188498899</v>
      </c>
      <c r="AC232">
        <v>5.10799060225877</v>
      </c>
      <c r="AD232">
        <v>4.1341517318282499E-2</v>
      </c>
      <c r="AE232">
        <v>3.4857043794840901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17FA3-1CB6-4352-B7A0-3DF662269746}">
  <sheetPr codeName="Sheet5"/>
  <dimension ref="A1:P232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763</v>
      </c>
      <c r="C2">
        <v>300</v>
      </c>
      <c r="D2">
        <v>0.280548665733729</v>
      </c>
      <c r="E2">
        <v>3.6640424314097002</v>
      </c>
      <c r="F2">
        <v>0.57562331808927703</v>
      </c>
      <c r="G2">
        <v>-79.426035181624101</v>
      </c>
      <c r="H2">
        <v>-46.590191368192684</v>
      </c>
      <c r="I2">
        <v>31.692265215951899</v>
      </c>
      <c r="J2">
        <v>13.987846155723499</v>
      </c>
      <c r="K2">
        <v>6.3653474698907502</v>
      </c>
      <c r="L2">
        <v>1.1143947810126759E-3</v>
      </c>
      <c r="M2">
        <v>1.6962729035982141E-4</v>
      </c>
      <c r="N2" s="1">
        <v>4.48768805945829E-6</v>
      </c>
      <c r="O2" s="1">
        <v>7.8075751011229701E-7</v>
      </c>
      <c r="P2" s="1">
        <v>-3.1131763242762998E-6</v>
      </c>
    </row>
    <row r="3" spans="1:16" x14ac:dyDescent="0.2">
      <c r="A3">
        <v>2</v>
      </c>
      <c r="B3">
        <v>762</v>
      </c>
      <c r="C3">
        <v>300</v>
      </c>
      <c r="D3">
        <v>0.27978602134956498</v>
      </c>
      <c r="E3">
        <v>3.75441925500667</v>
      </c>
      <c r="F3">
        <v>0.58656017712164199</v>
      </c>
      <c r="G3">
        <v>-80.895911080668768</v>
      </c>
      <c r="H3">
        <v>-47.88517426696967</v>
      </c>
      <c r="I3">
        <v>31.8918384524614</v>
      </c>
      <c r="J3">
        <v>14.1117414665614</v>
      </c>
      <c r="K3">
        <v>6.4007401140498201</v>
      </c>
      <c r="L3">
        <v>1.1090982039725767E-3</v>
      </c>
      <c r="M3">
        <v>1.6844785850865583E-4</v>
      </c>
      <c r="N3" s="1">
        <v>4.5244026331551696E-6</v>
      </c>
      <c r="O3" s="1">
        <v>7.7920200849519597E-7</v>
      </c>
      <c r="P3" s="1">
        <v>-3.11576236744018E-6</v>
      </c>
    </row>
    <row r="4" spans="1:16" x14ac:dyDescent="0.2">
      <c r="A4">
        <v>3</v>
      </c>
      <c r="B4">
        <v>761</v>
      </c>
      <c r="C4">
        <v>300</v>
      </c>
      <c r="D4">
        <v>0.27902190204515798</v>
      </c>
      <c r="E4">
        <v>3.9886148340924201</v>
      </c>
      <c r="F4">
        <v>0.613377286840042</v>
      </c>
      <c r="G4">
        <v>-84.750523918610895</v>
      </c>
      <c r="H4">
        <v>-51.220206900705563</v>
      </c>
      <c r="I4">
        <v>32.425106657457597</v>
      </c>
      <c r="J4">
        <v>14.4223730316759</v>
      </c>
      <c r="K4">
        <v>6.5027103540802997</v>
      </c>
      <c r="L4">
        <v>1.0947863122156259E-3</v>
      </c>
      <c r="M4">
        <v>1.6591647718735631E-4</v>
      </c>
      <c r="N4" s="1">
        <v>4.5705624040289401E-6</v>
      </c>
      <c r="O4" s="1">
        <v>7.7922956738554895E-7</v>
      </c>
      <c r="P4" s="1">
        <v>-3.1246916792668E-6</v>
      </c>
    </row>
    <row r="5" spans="1:16" x14ac:dyDescent="0.2">
      <c r="A5">
        <v>4</v>
      </c>
      <c r="B5">
        <v>760</v>
      </c>
      <c r="C5">
        <v>300</v>
      </c>
      <c r="D5">
        <v>0.27825630353772701</v>
      </c>
      <c r="E5">
        <v>4.22161289002403</v>
      </c>
      <c r="F5">
        <v>0.63924614643936795</v>
      </c>
      <c r="G5">
        <v>-88.584069058371355</v>
      </c>
      <c r="H5">
        <v>-54.538906751193743</v>
      </c>
      <c r="I5">
        <v>32.954824140594297</v>
      </c>
      <c r="J5">
        <v>14.731348907846501</v>
      </c>
      <c r="K5">
        <v>6.6040490248374901</v>
      </c>
      <c r="L5">
        <v>1.0809848772430667E-3</v>
      </c>
      <c r="M5">
        <v>1.6347198248213121E-4</v>
      </c>
      <c r="N5" s="1">
        <v>4.6168520982015696E-6</v>
      </c>
      <c r="O5" s="1">
        <v>7.79220203815159E-7</v>
      </c>
      <c r="P5" s="1">
        <v>-3.1335039123376002E-6</v>
      </c>
    </row>
    <row r="6" spans="1:16" x14ac:dyDescent="0.2">
      <c r="A6">
        <v>5</v>
      </c>
      <c r="B6">
        <v>759</v>
      </c>
      <c r="C6">
        <v>300</v>
      </c>
      <c r="D6">
        <v>0.27748922152788302</v>
      </c>
      <c r="E6">
        <v>4.45342368519578</v>
      </c>
      <c r="F6">
        <v>0.66421805664572797</v>
      </c>
      <c r="G6">
        <v>-92.396726731925952</v>
      </c>
      <c r="H6">
        <v>-57.841414386517535</v>
      </c>
      <c r="I6">
        <v>33.481019010258798</v>
      </c>
      <c r="J6">
        <v>15.038682276807901</v>
      </c>
      <c r="K6">
        <v>6.7047615472626196</v>
      </c>
      <c r="L6">
        <v>1.067666161073571E-3</v>
      </c>
      <c r="M6">
        <v>1.6110968096502617E-4</v>
      </c>
      <c r="N6" s="1">
        <v>4.6632695023560397E-6</v>
      </c>
      <c r="O6" s="1">
        <v>7.7917427611285301E-7</v>
      </c>
      <c r="P6" s="1">
        <v>-3.1421993358115499E-6</v>
      </c>
    </row>
    <row r="7" spans="1:16" x14ac:dyDescent="0.2">
      <c r="A7">
        <v>6</v>
      </c>
      <c r="B7">
        <v>758</v>
      </c>
      <c r="C7">
        <v>300</v>
      </c>
      <c r="D7">
        <v>0.27672065169955901</v>
      </c>
      <c r="E7">
        <v>4.6840573685182703</v>
      </c>
      <c r="F7">
        <v>0.68834068490818801</v>
      </c>
      <c r="G7">
        <v>-96.188675171225171</v>
      </c>
      <c r="H7">
        <v>-61.127868822336374</v>
      </c>
      <c r="I7">
        <v>34.003719049791101</v>
      </c>
      <c r="J7">
        <v>15.3443861642077</v>
      </c>
      <c r="K7">
        <v>6.8048532815447897</v>
      </c>
      <c r="L7">
        <v>1.0548043900015201E-3</v>
      </c>
      <c r="M7">
        <v>1.5882521174823128E-4</v>
      </c>
      <c r="N7" s="1">
        <v>4.7098123882637998E-6</v>
      </c>
      <c r="O7" s="1">
        <v>7.7909213993460403E-7</v>
      </c>
      <c r="P7" s="1">
        <v>-3.15077821574796E-6</v>
      </c>
    </row>
    <row r="8" spans="1:16" x14ac:dyDescent="0.2">
      <c r="A8">
        <v>7</v>
      </c>
      <c r="B8">
        <v>757</v>
      </c>
      <c r="C8">
        <v>300</v>
      </c>
      <c r="D8">
        <v>0.27595058971994302</v>
      </c>
      <c r="E8">
        <v>4.9135239787965004</v>
      </c>
      <c r="F8">
        <v>0.71165838165374096</v>
      </c>
      <c r="G8">
        <v>-99.960090665428865</v>
      </c>
      <c r="H8">
        <v>-64.39840756911984</v>
      </c>
      <c r="I8">
        <v>34.5229517256139</v>
      </c>
      <c r="J8">
        <v>15.6484734438638</v>
      </c>
      <c r="K8">
        <v>6.9043295286967998</v>
      </c>
      <c r="L8">
        <v>1.0423755836193821E-3</v>
      </c>
      <c r="M8">
        <v>1.566145175401565E-4</v>
      </c>
      <c r="N8" s="1">
        <v>4.7564785128916598E-6</v>
      </c>
      <c r="O8" s="1">
        <v>7.7897414831005398E-7</v>
      </c>
      <c r="P8" s="1">
        <v>-3.1592408152444898E-6</v>
      </c>
    </row>
    <row r="9" spans="1:16" x14ac:dyDescent="0.2">
      <c r="A9">
        <v>8</v>
      </c>
      <c r="B9">
        <v>756</v>
      </c>
      <c r="C9">
        <v>300</v>
      </c>
      <c r="D9">
        <v>0.27517903123937498</v>
      </c>
      <c r="E9">
        <v>5.1418334448134102</v>
      </c>
      <c r="F9">
        <v>0.73421246377939697</v>
      </c>
      <c r="G9">
        <v>-103.71114756327221</v>
      </c>
      <c r="H9">
        <v>-67.653166632722673</v>
      </c>
      <c r="I9">
        <v>35.038744187433203</v>
      </c>
      <c r="J9">
        <v>15.950956837643099</v>
      </c>
      <c r="K9">
        <v>7.0031955305492204</v>
      </c>
      <c r="L9">
        <v>1.0303574015618356E-3</v>
      </c>
      <c r="M9">
        <v>1.5447381869804355E-4</v>
      </c>
      <c r="N9" s="1">
        <v>4.80326561825088E-6</v>
      </c>
      <c r="O9" s="1">
        <v>7.78820651644632E-7</v>
      </c>
      <c r="P9" s="1">
        <v>-3.16758739439734E-6</v>
      </c>
    </row>
    <row r="10" spans="1:16" x14ac:dyDescent="0.2">
      <c r="A10">
        <v>9</v>
      </c>
      <c r="B10">
        <v>755</v>
      </c>
      <c r="C10">
        <v>300</v>
      </c>
      <c r="D10">
        <v>0.27440597189125798</v>
      </c>
      <c r="E10">
        <v>5.36899558609898</v>
      </c>
      <c r="F10">
        <v>0.75604146958371199</v>
      </c>
      <c r="G10">
        <v>-107.44201828831488</v>
      </c>
      <c r="H10">
        <v>-70.89228052425166</v>
      </c>
      <c r="I10">
        <v>35.551123271933101</v>
      </c>
      <c r="J10">
        <v>16.251848916983501</v>
      </c>
      <c r="K10">
        <v>7.10145647044365</v>
      </c>
      <c r="L10">
        <v>1.0187290056885587E-3</v>
      </c>
      <c r="M10">
        <v>1.5239958989476138E-4</v>
      </c>
      <c r="N10" s="1">
        <v>4.85017143164905E-6</v>
      </c>
      <c r="O10" s="1">
        <v>7.7863199778816497E-7</v>
      </c>
      <c r="P10" s="1">
        <v>-3.1758182105314602E-6</v>
      </c>
    </row>
    <row r="11" spans="1:16" x14ac:dyDescent="0.2">
      <c r="A11">
        <v>10</v>
      </c>
      <c r="B11">
        <v>754</v>
      </c>
      <c r="C11">
        <v>300</v>
      </c>
      <c r="D11">
        <v>0.27363140729202201</v>
      </c>
      <c r="E11">
        <v>5.5950201168657197</v>
      </c>
      <c r="F11">
        <v>0.77718138874516396</v>
      </c>
      <c r="G11">
        <v>-111.15287340459541</v>
      </c>
      <c r="H11">
        <v>-74.115882315461135</v>
      </c>
      <c r="I11">
        <v>36.060115511240198</v>
      </c>
      <c r="J11">
        <v>16.551162107510802</v>
      </c>
      <c r="K11">
        <v>7.1991174748785802</v>
      </c>
      <c r="L11">
        <v>1.0074709357472302E-3</v>
      </c>
      <c r="M11">
        <v>1.5038853907185578E-4</v>
      </c>
      <c r="N11" s="1">
        <v>4.89719366568359E-6</v>
      </c>
      <c r="O11" s="1">
        <v>7.7840853205769805E-7</v>
      </c>
      <c r="P11" s="1">
        <v>-3.18393351824791E-6</v>
      </c>
    </row>
    <row r="12" spans="1:16" x14ac:dyDescent="0.2">
      <c r="A12">
        <v>11</v>
      </c>
      <c r="B12">
        <v>753</v>
      </c>
      <c r="C12">
        <v>300</v>
      </c>
      <c r="D12">
        <v>0.27285533304097898</v>
      </c>
      <c r="E12">
        <v>5.8199166456588296</v>
      </c>
      <c r="F12">
        <v>0.79766586942408102</v>
      </c>
      <c r="G12">
        <v>-114.84388161314959</v>
      </c>
      <c r="H12">
        <v>-77.324103632809823</v>
      </c>
      <c r="I12">
        <v>36.565747133837597</v>
      </c>
      <c r="J12">
        <v>16.848908689045</v>
      </c>
      <c r="K12">
        <v>7.2961836136487097</v>
      </c>
      <c r="L12">
        <v>9.9656499741710195E-4</v>
      </c>
      <c r="M12">
        <v>1.484375884832852E-4</v>
      </c>
      <c r="N12" s="1">
        <v>4.9443300183980298E-6</v>
      </c>
      <c r="O12" s="1">
        <v>7.7815059728814797E-7</v>
      </c>
      <c r="P12" s="1">
        <v>-3.1919335695851202E-6</v>
      </c>
    </row>
    <row r="13" spans="1:16" x14ac:dyDescent="0.2">
      <c r="A13">
        <v>12</v>
      </c>
      <c r="B13">
        <v>752</v>
      </c>
      <c r="C13">
        <v>300</v>
      </c>
      <c r="D13">
        <v>0.27207774472028401</v>
      </c>
      <c r="E13">
        <v>6.0436946779066103</v>
      </c>
      <c r="F13">
        <v>0.81752640578152402</v>
      </c>
      <c r="G13">
        <v>-118.51520979466531</v>
      </c>
      <c r="H13">
        <v>-80.517074693227997</v>
      </c>
      <c r="I13">
        <v>37.068044069803499</v>
      </c>
      <c r="J13">
        <v>17.145100798420099</v>
      </c>
      <c r="K13">
        <v>7.3926599008493996</v>
      </c>
      <c r="L13">
        <v>9.8599416092982504E-4</v>
      </c>
      <c r="M13">
        <v>1.4654385753366317E-4</v>
      </c>
      <c r="N13" s="1">
        <v>4.9915781731841798E-6</v>
      </c>
      <c r="O13" s="1">
        <v>7.7785853383933197E-7</v>
      </c>
      <c r="P13" s="1">
        <v>-3.1998186140044001E-6</v>
      </c>
    </row>
    <row r="14" spans="1:16" x14ac:dyDescent="0.2">
      <c r="A14">
        <v>13</v>
      </c>
      <c r="B14">
        <v>751</v>
      </c>
      <c r="C14">
        <v>300</v>
      </c>
      <c r="D14">
        <v>0.27129863789483999</v>
      </c>
      <c r="E14">
        <v>6.2663636163069603</v>
      </c>
      <c r="F14">
        <v>0.83679250754138501</v>
      </c>
      <c r="G14">
        <v>-122.16702301823514</v>
      </c>
      <c r="H14">
        <v>-83.694924308619562</v>
      </c>
      <c r="I14">
        <v>37.567031953504298</v>
      </c>
      <c r="J14">
        <v>17.4397504304801</v>
      </c>
      <c r="K14">
        <v>7.4885512953723996</v>
      </c>
      <c r="L14">
        <v>9.7574246940513947E-4</v>
      </c>
      <c r="M14">
        <v>1.4470464725827535E-4</v>
      </c>
      <c r="N14" s="1">
        <v>5.0389357990212403E-6</v>
      </c>
      <c r="O14" s="1">
        <v>7.7753267965614002E-7</v>
      </c>
      <c r="P14" s="1">
        <v>-3.20758889859373E-6</v>
      </c>
    </row>
    <row r="15" spans="1:16" x14ac:dyDescent="0.2">
      <c r="A15">
        <v>14</v>
      </c>
      <c r="B15">
        <v>750</v>
      </c>
      <c r="C15">
        <v>300</v>
      </c>
      <c r="D15">
        <v>0.270518008112205</v>
      </c>
      <c r="E15">
        <v>6.4879327626425702</v>
      </c>
      <c r="F15">
        <v>0.855491853935332</v>
      </c>
      <c r="G15">
        <v>-125.79948457219524</v>
      </c>
      <c r="H15">
        <v>-86.857779911101645</v>
      </c>
      <c r="I15">
        <v>38.062736127622301</v>
      </c>
      <c r="J15">
        <v>17.732869440148299</v>
      </c>
      <c r="K15">
        <v>7.5838627016698599</v>
      </c>
      <c r="L15">
        <v>9.6579495562488257E-4</v>
      </c>
      <c r="M15">
        <v>1.429174262337215E-4</v>
      </c>
      <c r="N15" s="1">
        <v>5.0864005504315699E-6</v>
      </c>
      <c r="O15" s="1">
        <v>7.7717337028329897E-7</v>
      </c>
      <c r="P15" s="1">
        <v>-3.21524466808708E-6</v>
      </c>
    </row>
    <row r="16" spans="1:16" x14ac:dyDescent="0.2">
      <c r="A16">
        <v>15</v>
      </c>
      <c r="B16">
        <v>749</v>
      </c>
      <c r="C16">
        <v>300</v>
      </c>
      <c r="D16">
        <v>0.26973585090251001</v>
      </c>
      <c r="E16">
        <v>6.7084113204758902</v>
      </c>
      <c r="F16">
        <v>0.87365043358696703</v>
      </c>
      <c r="G16">
        <v>-129.41275601036253</v>
      </c>
      <c r="H16">
        <v>-90.00576759050081</v>
      </c>
      <c r="I16">
        <v>38.555181650280197</v>
      </c>
      <c r="J16">
        <v>18.024469546065301</v>
      </c>
      <c r="K16">
        <v>7.6785989711388396</v>
      </c>
      <c r="L16">
        <v>9.5613756640624387E-4</v>
      </c>
      <c r="M16">
        <v>1.4117981777574161E-4</v>
      </c>
      <c r="N16" s="1">
        <v>5.1339700677145403E-6</v>
      </c>
      <c r="O16" s="1">
        <v>7.7678093892169902E-7</v>
      </c>
      <c r="P16" s="1">
        <v>-3.2227861650565399E-6</v>
      </c>
    </row>
    <row r="17" spans="1:16" x14ac:dyDescent="0.2">
      <c r="A17">
        <v>16</v>
      </c>
      <c r="B17">
        <v>748</v>
      </c>
      <c r="C17">
        <v>300</v>
      </c>
      <c r="D17">
        <v>0.26895216177838999</v>
      </c>
      <c r="E17">
        <v>6.9278083950393201</v>
      </c>
      <c r="F17">
        <v>0.89129267156369296</v>
      </c>
      <c r="G17">
        <v>-133.0069971514138</v>
      </c>
      <c r="H17">
        <v>-93.139012092156122</v>
      </c>
      <c r="I17">
        <v>39.044393295191497</v>
      </c>
      <c r="J17">
        <v>18.3145623303982</v>
      </c>
      <c r="K17">
        <v>7.7727649021113301</v>
      </c>
      <c r="L17">
        <v>9.4675709391984933E-4</v>
      </c>
      <c r="M17">
        <v>1.3948958830996001E-4</v>
      </c>
      <c r="N17" s="1">
        <v>5.1816419768972598E-6</v>
      </c>
      <c r="O17" s="1">
        <v>7.7635571643993501E-7</v>
      </c>
      <c r="P17" s="1">
        <v>-3.2302136299215699E-6</v>
      </c>
    </row>
    <row r="18" spans="1:16" x14ac:dyDescent="0.2">
      <c r="A18">
        <v>17</v>
      </c>
      <c r="B18">
        <v>747</v>
      </c>
      <c r="C18">
        <v>300</v>
      </c>
      <c r="D18">
        <v>0.26816693623486898</v>
      </c>
      <c r="E18">
        <v>7.1461329947598902</v>
      </c>
      <c r="F18">
        <v>0.90844154526022503</v>
      </c>
      <c r="G18">
        <v>-136.58236610535377</v>
      </c>
      <c r="H18">
        <v>-96.257636837920586</v>
      </c>
      <c r="I18">
        <v>39.530395555625297</v>
      </c>
      <c r="J18">
        <v>18.6031592407784</v>
      </c>
      <c r="K18">
        <v>7.8663652406087001</v>
      </c>
      <c r="L18">
        <v>9.376411130407261E-4</v>
      </c>
      <c r="M18">
        <v>1.3784463676577965E-4</v>
      </c>
      <c r="N18" s="1">
        <v>5.2294138898006902E-6</v>
      </c>
      <c r="O18" s="1">
        <v>7.7589803140404796E-7</v>
      </c>
      <c r="P18" s="1">
        <v>-3.2375273010332098E-6</v>
      </c>
    </row>
    <row r="19" spans="1:16" x14ac:dyDescent="0.2">
      <c r="A19">
        <v>18</v>
      </c>
      <c r="B19">
        <v>746</v>
      </c>
      <c r="C19">
        <v>300</v>
      </c>
      <c r="D19">
        <v>0.26738016974930101</v>
      </c>
      <c r="E19">
        <v>7.3633940331875403</v>
      </c>
      <c r="F19">
        <v>0.92511869016077997</v>
      </c>
      <c r="G19">
        <v>-140.13901930656201</v>
      </c>
      <c r="H19">
        <v>-99.361763952930858</v>
      </c>
      <c r="I19">
        <v>40.0132126491892</v>
      </c>
      <c r="J19">
        <v>18.890271592732599</v>
      </c>
      <c r="K19">
        <v>7.95940468126076</v>
      </c>
      <c r="L19">
        <v>9.2877792417040404E-4</v>
      </c>
      <c r="M19">
        <v>1.3624298489693326E-4</v>
      </c>
      <c r="N19" s="1">
        <v>5.2772834041312399E-6</v>
      </c>
      <c r="O19" s="1">
        <v>7.7540821010846601E-7</v>
      </c>
      <c r="P19" s="1">
        <v>-3.24472741476587E-6</v>
      </c>
    </row>
    <row r="20" spans="1:16" x14ac:dyDescent="0.2">
      <c r="A20">
        <v>19</v>
      </c>
      <c r="B20">
        <v>745</v>
      </c>
      <c r="C20">
        <v>300</v>
      </c>
      <c r="D20">
        <v>0.26659185778126798</v>
      </c>
      <c r="E20">
        <v>7.5796003313150502</v>
      </c>
      <c r="F20">
        <v>0.94134449646009799</v>
      </c>
      <c r="G20">
        <v>-143.67711155447563</v>
      </c>
      <c r="H20">
        <v>-102.45151429761719</v>
      </c>
      <c r="I20">
        <v>40.492868524994499</v>
      </c>
      <c r="J20">
        <v>19.175910573219301</v>
      </c>
      <c r="K20">
        <v>8.0518878687005007</v>
      </c>
      <c r="L20">
        <v>9.2015650100093051E-4</v>
      </c>
      <c r="M20">
        <v>1.3468276843858358E-4</v>
      </c>
      <c r="N20" s="1">
        <v>5.3252481039002503E-6</v>
      </c>
      <c r="O20" s="1">
        <v>7.7488657665539798E-7</v>
      </c>
      <c r="P20" s="1">
        <v>-3.25181420581299E-6</v>
      </c>
    </row>
    <row r="21" spans="1:16" x14ac:dyDescent="0.2">
      <c r="A21">
        <v>20</v>
      </c>
      <c r="B21">
        <v>744</v>
      </c>
      <c r="C21">
        <v>300</v>
      </c>
      <c r="D21">
        <v>0.26580199577250502</v>
      </c>
      <c r="E21">
        <v>7.7947606144755497</v>
      </c>
      <c r="F21">
        <v>0.95713819716728399</v>
      </c>
      <c r="G21">
        <v>-147.19679596157681</v>
      </c>
      <c r="H21">
        <v>-105.52700742354327</v>
      </c>
      <c r="I21">
        <v>40.969386854615699</v>
      </c>
      <c r="J21">
        <v>19.460087235628102</v>
      </c>
      <c r="K21">
        <v>8.1438193957201506</v>
      </c>
      <c r="L21">
        <v>9.1176644289331962E-4</v>
      </c>
      <c r="M21">
        <v>1.3316222904151574E-4</v>
      </c>
      <c r="N21" s="1">
        <v>5.3733055586984201E-6</v>
      </c>
      <c r="O21" s="1">
        <v>7.7433345286475198E-7</v>
      </c>
      <c r="P21" s="1">
        <v>-3.2587879067747201E-6</v>
      </c>
    </row>
    <row r="22" spans="1:16" x14ac:dyDescent="0.2">
      <c r="A22">
        <v>21</v>
      </c>
      <c r="B22">
        <v>743</v>
      </c>
      <c r="C22">
        <v>300</v>
      </c>
      <c r="D22">
        <v>0.265010579146782</v>
      </c>
      <c r="E22">
        <v>8.0088835206553792</v>
      </c>
      <c r="F22">
        <v>0.97251794949904402</v>
      </c>
      <c r="G22">
        <v>-150.69822409381752</v>
      </c>
      <c r="H22">
        <v>-108.58836169038295</v>
      </c>
      <c r="I22">
        <v>41.442791053800804</v>
      </c>
      <c r="J22">
        <v>19.742812511403599</v>
      </c>
      <c r="K22">
        <v>8.2352038075809801</v>
      </c>
      <c r="L22">
        <v>9.0359793086035637E-4</v>
      </c>
      <c r="M22">
        <v>1.3167970682636347E-4</v>
      </c>
      <c r="N22" s="1">
        <v>5.4214533247165697E-6</v>
      </c>
      <c r="O22" s="1">
        <v>7.73749158439028E-7</v>
      </c>
      <c r="P22" s="1">
        <v>-3.2656487488143001E-6</v>
      </c>
    </row>
    <row r="23" spans="1:16" x14ac:dyDescent="0.2">
      <c r="A23">
        <v>22</v>
      </c>
      <c r="B23">
        <v>742</v>
      </c>
      <c r="C23">
        <v>300</v>
      </c>
      <c r="D23">
        <v>0.264217603309855</v>
      </c>
      <c r="E23">
        <v>8.2219775960999897</v>
      </c>
      <c r="F23">
        <v>0.98750090873729801</v>
      </c>
      <c r="G23">
        <v>-154.18154589855396</v>
      </c>
      <c r="H23">
        <v>-111.6356942030487</v>
      </c>
      <c r="I23">
        <v>41.9131042721543</v>
      </c>
      <c r="J23">
        <v>20.024097204061398</v>
      </c>
      <c r="K23">
        <v>8.3260455999106906</v>
      </c>
      <c r="L23">
        <v>8.9564168765101108E-4</v>
      </c>
      <c r="M23">
        <v>1.3023363362060756E-4</v>
      </c>
      <c r="N23" s="1">
        <v>5.4696889442918402E-6</v>
      </c>
      <c r="O23" s="1">
        <v>7.7313401091067199E-7</v>
      </c>
      <c r="P23" s="1">
        <v>-3.2723969614056302E-6</v>
      </c>
    </row>
    <row r="24" spans="1:16" x14ac:dyDescent="0.2">
      <c r="A24">
        <v>23</v>
      </c>
      <c r="B24">
        <v>741</v>
      </c>
      <c r="C24">
        <v>300</v>
      </c>
      <c r="D24">
        <v>0.26342306364936202</v>
      </c>
      <c r="E24">
        <v>8.4340512979763105</v>
      </c>
      <c r="F24">
        <v>1.0021032965252701</v>
      </c>
      <c r="G24">
        <v>-157.64690974943832</v>
      </c>
      <c r="H24">
        <v>-114.66912084899427</v>
      </c>
      <c r="I24">
        <v>42.380349399308002</v>
      </c>
      <c r="J24">
        <v>20.303951992460501</v>
      </c>
      <c r="K24">
        <v>8.4163492199065502</v>
      </c>
      <c r="L24">
        <v>8.8788894082496566E-4</v>
      </c>
      <c r="M24">
        <v>1.2882252670874564E-4</v>
      </c>
      <c r="N24" s="1">
        <v>5.51800994599486E-6</v>
      </c>
      <c r="O24" s="1">
        <v>7.7248832567125097E-7</v>
      </c>
      <c r="P24" s="1">
        <v>-3.2790327724217599E-6</v>
      </c>
    </row>
    <row r="25" spans="1:16" x14ac:dyDescent="0.2">
      <c r="A25">
        <v>24</v>
      </c>
      <c r="B25">
        <v>740</v>
      </c>
      <c r="C25">
        <v>300</v>
      </c>
      <c r="D25">
        <v>0.26262695553471999</v>
      </c>
      <c r="E25">
        <v>8.6451129973851302</v>
      </c>
      <c r="F25">
        <v>1.0163404636601701</v>
      </c>
      <c r="G25">
        <v>-161.09446249774285</v>
      </c>
      <c r="H25">
        <v>-117.68875634031954</v>
      </c>
      <c r="I25">
        <v>42.844549072738197</v>
      </c>
      <c r="J25">
        <v>20.5823874348761</v>
      </c>
      <c r="K25">
        <v>8.5061190678675498</v>
      </c>
      <c r="L25">
        <v>8.80331388802397E-4</v>
      </c>
      <c r="M25">
        <v>1.2744498308611419E-4</v>
      </c>
      <c r="N25" s="1">
        <v>5.56641384495456E-6</v>
      </c>
      <c r="O25" s="1">
        <v>7.7181241602901702E-7</v>
      </c>
      <c r="P25" s="1">
        <v>-3.2855564083477602E-6</v>
      </c>
    </row>
    <row r="26" spans="1:16" x14ac:dyDescent="0.2">
      <c r="A26">
        <v>25</v>
      </c>
      <c r="B26">
        <v>739</v>
      </c>
      <c r="C26">
        <v>300</v>
      </c>
      <c r="D26">
        <v>0.261829274317047</v>
      </c>
      <c r="E26">
        <v>8.8551709781217909</v>
      </c>
      <c r="F26">
        <v>1.0302269476419199</v>
      </c>
      <c r="G26">
        <v>-164.5243494528919</v>
      </c>
      <c r="H26">
        <v>-120.69471419560263</v>
      </c>
      <c r="I26">
        <v>43.305725675235102</v>
      </c>
      <c r="J26">
        <v>20.8594139673285</v>
      </c>
      <c r="K26">
        <v>8.5953594966529003</v>
      </c>
      <c r="L26">
        <v>8.7296116975787996E-4</v>
      </c>
      <c r="M26">
        <v>1.2609967419038558E-4</v>
      </c>
      <c r="N26" s="1">
        <v>5.6148981427308197E-6</v>
      </c>
      <c r="O26" s="1">
        <v>7.7110659320515996E-7</v>
      </c>
      <c r="P26" s="1">
        <v>-3.2919680942341399E-6</v>
      </c>
    </row>
    <row r="27" spans="1:16" x14ac:dyDescent="0.2">
      <c r="A27">
        <v>26</v>
      </c>
      <c r="B27">
        <v>738</v>
      </c>
      <c r="C27">
        <v>300</v>
      </c>
      <c r="D27">
        <v>0.26103001532908299</v>
      </c>
      <c r="E27">
        <v>9.0642334404609795</v>
      </c>
      <c r="F27">
        <v>1.04377652600892</v>
      </c>
      <c r="G27">
        <v>-167.936714446335</v>
      </c>
      <c r="H27">
        <v>-123.68710679305303</v>
      </c>
      <c r="I27">
        <v>43.763901344245603</v>
      </c>
      <c r="J27">
        <v>21.135041908563899</v>
      </c>
      <c r="K27">
        <v>8.6840748135233401</v>
      </c>
      <c r="L27">
        <v>8.6577083278075969E-4</v>
      </c>
      <c r="M27">
        <v>1.2478534102145153E-4</v>
      </c>
      <c r="N27" s="1">
        <v>5.6634603276515901E-6</v>
      </c>
      <c r="O27" s="1">
        <v>7.7037116639188305E-7</v>
      </c>
      <c r="P27" s="1">
        <v>-3.2982680539137401E-6</v>
      </c>
    </row>
    <row r="28" spans="1:16" x14ac:dyDescent="0.2">
      <c r="A28">
        <v>27</v>
      </c>
      <c r="B28">
        <v>737</v>
      </c>
      <c r="C28">
        <v>300</v>
      </c>
      <c r="D28">
        <v>0.260229173885068</v>
      </c>
      <c r="E28">
        <v>12.939313592645499</v>
      </c>
      <c r="F28">
        <v>1.23245083747786</v>
      </c>
      <c r="G28">
        <v>-230.80593424912072</v>
      </c>
      <c r="H28">
        <v>-177.26221089084817</v>
      </c>
      <c r="I28">
        <v>53.008082027657601</v>
      </c>
      <c r="J28">
        <v>26.313941394440501</v>
      </c>
      <c r="K28">
        <v>10.4988476612381</v>
      </c>
      <c r="L28">
        <v>7.5908006184413157E-4</v>
      </c>
      <c r="M28">
        <v>1.0899993952760547E-4</v>
      </c>
      <c r="N28" s="1">
        <v>5.9944310428044597E-6</v>
      </c>
      <c r="O28" s="1">
        <v>8.1148350674930501E-7</v>
      </c>
      <c r="P28" s="1">
        <v>-3.4841242714891699E-6</v>
      </c>
    </row>
    <row r="29" spans="1:16" x14ac:dyDescent="0.2">
      <c r="A29">
        <v>28</v>
      </c>
      <c r="B29">
        <v>736</v>
      </c>
      <c r="C29">
        <v>300</v>
      </c>
      <c r="D29">
        <v>0.25942674528068399</v>
      </c>
      <c r="E29">
        <v>24.905303972689101</v>
      </c>
      <c r="F29">
        <v>1.53524598960243</v>
      </c>
      <c r="G29">
        <v>-426.26755660627322</v>
      </c>
      <c r="H29">
        <v>-343.19824271003648</v>
      </c>
      <c r="I29">
        <v>82.318939822072807</v>
      </c>
      <c r="J29">
        <v>42.665945444390204</v>
      </c>
      <c r="K29">
        <v>16.2223540340519</v>
      </c>
      <c r="L29">
        <v>5.891679133226054E-4</v>
      </c>
      <c r="M29">
        <v>8.4051312448775415E-5</v>
      </c>
      <c r="N29" s="1">
        <v>7.04293518272825E-6</v>
      </c>
      <c r="O29" s="1">
        <v>9.6185904557069209E-7</v>
      </c>
      <c r="P29" s="1">
        <v>-4.1410841348388399E-6</v>
      </c>
    </row>
    <row r="30" spans="1:16" x14ac:dyDescent="0.2">
      <c r="A30">
        <v>29</v>
      </c>
      <c r="B30">
        <v>735</v>
      </c>
      <c r="C30">
        <v>300</v>
      </c>
      <c r="D30">
        <v>0.25862272479293502</v>
      </c>
      <c r="E30">
        <v>43.015913658445498</v>
      </c>
      <c r="F30">
        <v>1.72673034417908</v>
      </c>
      <c r="G30">
        <v>-722.87267658829535</v>
      </c>
      <c r="H30">
        <v>-594.78624221174277</v>
      </c>
      <c r="I30">
        <v>127.054460785858</v>
      </c>
      <c r="J30">
        <v>67.753523920556404</v>
      </c>
      <c r="K30">
        <v>24.911772590002101</v>
      </c>
      <c r="L30">
        <v>4.7850567046188637E-4</v>
      </c>
      <c r="M30">
        <v>6.7853885323690337E-5</v>
      </c>
      <c r="N30" s="1">
        <v>8.6091222054501796E-6</v>
      </c>
      <c r="O30" s="1">
        <v>1.1860688868692E-6</v>
      </c>
      <c r="P30" s="1">
        <v>-5.1203953501621302E-6</v>
      </c>
    </row>
    <row r="31" spans="1:16" x14ac:dyDescent="0.2">
      <c r="A31">
        <v>30</v>
      </c>
      <c r="B31">
        <v>734</v>
      </c>
      <c r="C31">
        <v>300</v>
      </c>
      <c r="D31">
        <v>0.25781710768008598</v>
      </c>
      <c r="E31">
        <v>92.533715894559705</v>
      </c>
      <c r="F31">
        <v>1.9052836468247201</v>
      </c>
      <c r="G31">
        <v>-1528.6890427287647</v>
      </c>
      <c r="H31">
        <v>-1277.7316959555819</v>
      </c>
      <c r="I31">
        <v>249.18108584831199</v>
      </c>
      <c r="J31">
        <v>136.139553723181</v>
      </c>
      <c r="K31">
        <v>48.566897663123697</v>
      </c>
      <c r="L31">
        <v>3.7969824253865402E-4</v>
      </c>
      <c r="M31">
        <v>5.34176230590641E-5</v>
      </c>
      <c r="N31" s="1">
        <v>1.28746625249177E-5</v>
      </c>
      <c r="O31" s="1">
        <v>1.80722900984964E-6</v>
      </c>
      <c r="P31" s="1">
        <v>-7.8229495974760396E-6</v>
      </c>
    </row>
    <row r="32" spans="1:16" x14ac:dyDescent="0.2">
      <c r="A32">
        <v>31</v>
      </c>
      <c r="B32">
        <v>733</v>
      </c>
      <c r="C32">
        <v>300</v>
      </c>
      <c r="D32">
        <v>0.257009889181535</v>
      </c>
      <c r="E32">
        <v>99.696580941690996</v>
      </c>
      <c r="F32">
        <v>1.91885079129876</v>
      </c>
      <c r="G32">
        <v>-1645.0595252458891</v>
      </c>
      <c r="H32">
        <v>-1376.7514101345009</v>
      </c>
      <c r="I32">
        <v>266.67371248496102</v>
      </c>
      <c r="J32">
        <v>146.08426044866499</v>
      </c>
      <c r="K32">
        <v>51.956400880035098</v>
      </c>
      <c r="L32">
        <v>3.7197483719456271E-4</v>
      </c>
      <c r="M32">
        <v>5.2190186157278015E-5</v>
      </c>
      <c r="N32" s="1">
        <v>1.3516784891988799E-5</v>
      </c>
      <c r="O32" s="1">
        <v>1.8863435027792101E-6</v>
      </c>
      <c r="P32" s="1">
        <v>-8.1887153467902907E-6</v>
      </c>
    </row>
    <row r="33" spans="1:16" x14ac:dyDescent="0.2">
      <c r="A33">
        <v>32</v>
      </c>
      <c r="B33">
        <v>763</v>
      </c>
      <c r="C33">
        <v>280</v>
      </c>
      <c r="D33">
        <v>0.30178111277325198</v>
      </c>
      <c r="E33">
        <v>4.0042573995497701</v>
      </c>
      <c r="F33">
        <v>0.55530498152672303</v>
      </c>
      <c r="G33">
        <v>-86.942538252088042</v>
      </c>
      <c r="H33">
        <v>-50.889683915329158</v>
      </c>
      <c r="I33">
        <v>34.797226095384303</v>
      </c>
      <c r="J33">
        <v>15.392300868042801</v>
      </c>
      <c r="K33">
        <v>7.2109156819387801</v>
      </c>
      <c r="L33">
        <v>1.1781678797255345E-3</v>
      </c>
      <c r="M33">
        <v>1.9044450154222575E-4</v>
      </c>
      <c r="N33" s="1">
        <v>5.2862645117637004E-6</v>
      </c>
      <c r="O33" s="1">
        <v>1.0927231760316301E-6</v>
      </c>
      <c r="P33" s="1">
        <v>-4.0595988228374998E-6</v>
      </c>
    </row>
    <row r="34" spans="1:16" x14ac:dyDescent="0.2">
      <c r="A34">
        <v>33</v>
      </c>
      <c r="B34">
        <v>762</v>
      </c>
      <c r="C34">
        <v>280</v>
      </c>
      <c r="D34">
        <v>0.30103897985799499</v>
      </c>
      <c r="E34">
        <v>4.0677165403624302</v>
      </c>
      <c r="F34">
        <v>0.56239707198956801</v>
      </c>
      <c r="G34">
        <v>-87.963949674625269</v>
      </c>
      <c r="H34">
        <v>-51.804624184466903</v>
      </c>
      <c r="I34">
        <v>34.933699649238001</v>
      </c>
      <c r="J34">
        <v>15.4827475231797</v>
      </c>
      <c r="K34">
        <v>7.2328195557139798</v>
      </c>
      <c r="L34">
        <v>1.175003360761924E-3</v>
      </c>
      <c r="M34">
        <v>1.8949400235904705E-4</v>
      </c>
      <c r="N34" s="1">
        <v>5.33217629979079E-6</v>
      </c>
      <c r="O34" s="1">
        <v>1.090069480079E-6</v>
      </c>
      <c r="P34" s="1">
        <v>-4.0617102053000302E-6</v>
      </c>
    </row>
    <row r="35" spans="1:16" x14ac:dyDescent="0.2">
      <c r="A35">
        <v>34</v>
      </c>
      <c r="B35">
        <v>761</v>
      </c>
      <c r="C35">
        <v>280</v>
      </c>
      <c r="D35">
        <v>0.30029541169076102</v>
      </c>
      <c r="E35">
        <v>4.2966141959878197</v>
      </c>
      <c r="F35">
        <v>0.58604720116629005</v>
      </c>
      <c r="G35">
        <v>-91.728922161610811</v>
      </c>
      <c r="H35">
        <v>-55.067760087191012</v>
      </c>
      <c r="I35">
        <v>35.452751337903202</v>
      </c>
      <c r="J35">
        <v>15.787545345842799</v>
      </c>
      <c r="K35">
        <v>7.3315155971006201</v>
      </c>
      <c r="L35">
        <v>1.1620009945232615E-3</v>
      </c>
      <c r="M35">
        <v>1.8697399371103802E-4</v>
      </c>
      <c r="N35" s="1">
        <v>5.3894643678549898E-6</v>
      </c>
      <c r="O35" s="1">
        <v>1.0896805412763201E-6</v>
      </c>
      <c r="P35" s="1">
        <v>-4.0722703179972599E-6</v>
      </c>
    </row>
    <row r="36" spans="1:16" x14ac:dyDescent="0.2">
      <c r="A36">
        <v>35</v>
      </c>
      <c r="B36">
        <v>760</v>
      </c>
      <c r="C36">
        <v>280</v>
      </c>
      <c r="D36">
        <v>0.29955040410395301</v>
      </c>
      <c r="E36">
        <v>4.5243583442292996</v>
      </c>
      <c r="F36">
        <v>0.60896375054891905</v>
      </c>
      <c r="G36">
        <v>-95.473607444909263</v>
      </c>
      <c r="H36">
        <v>-58.315156803656365</v>
      </c>
      <c r="I36">
        <v>35.968405689507598</v>
      </c>
      <c r="J36">
        <v>16.0907626216447</v>
      </c>
      <c r="K36">
        <v>7.4296020742631201</v>
      </c>
      <c r="L36">
        <v>1.1494061244040404E-3</v>
      </c>
      <c r="M36">
        <v>1.8452933424430206E-4</v>
      </c>
      <c r="N36" s="1">
        <v>5.4469483900254896E-6</v>
      </c>
      <c r="O36" s="1">
        <v>1.0892461934582099E-6</v>
      </c>
      <c r="P36" s="1">
        <v>-4.0826955111895603E-6</v>
      </c>
    </row>
    <row r="37" spans="1:16" x14ac:dyDescent="0.2">
      <c r="A37">
        <v>36</v>
      </c>
      <c r="B37">
        <v>759</v>
      </c>
      <c r="C37">
        <v>280</v>
      </c>
      <c r="D37">
        <v>0.298803952913825</v>
      </c>
      <c r="E37">
        <v>4.7509586495746996</v>
      </c>
      <c r="F37">
        <v>0.63118181425911601</v>
      </c>
      <c r="G37">
        <v>-99.198175520787913</v>
      </c>
      <c r="H37">
        <v>-61.54694670103126</v>
      </c>
      <c r="I37">
        <v>36.480689286833197</v>
      </c>
      <c r="J37">
        <v>16.392411727432599</v>
      </c>
      <c r="K37">
        <v>7.5270841812059999</v>
      </c>
      <c r="L37">
        <v>1.1371991233507339E-3</v>
      </c>
      <c r="M37">
        <v>1.8215642502382977E-4</v>
      </c>
      <c r="N37" s="1">
        <v>5.5046255346709004E-6</v>
      </c>
      <c r="O37" s="1">
        <v>1.08876685973082E-6</v>
      </c>
      <c r="P37" s="1">
        <v>-4.0929859330359999E-6</v>
      </c>
    </row>
    <row r="38" spans="1:16" x14ac:dyDescent="0.2">
      <c r="A38">
        <v>37</v>
      </c>
      <c r="B38">
        <v>758</v>
      </c>
      <c r="C38">
        <v>280</v>
      </c>
      <c r="D38">
        <v>0.29805605392037998</v>
      </c>
      <c r="E38">
        <v>4.9764246738794702</v>
      </c>
      <c r="F38">
        <v>0.65273428346459605</v>
      </c>
      <c r="G38">
        <v>-102.9027945741279</v>
      </c>
      <c r="H38">
        <v>-64.763260743084018</v>
      </c>
      <c r="I38">
        <v>36.989628420115501</v>
      </c>
      <c r="J38">
        <v>16.692504899971699</v>
      </c>
      <c r="K38">
        <v>7.6239670566489997</v>
      </c>
      <c r="L38">
        <v>1.1253615960920111E-3</v>
      </c>
      <c r="M38">
        <v>1.7985189318393439E-4</v>
      </c>
      <c r="N38" s="1">
        <v>5.5624929469663504E-6</v>
      </c>
      <c r="O38" s="1">
        <v>1.0882429606180399E-6</v>
      </c>
      <c r="P38" s="1">
        <v>-4.1031417297056197E-6</v>
      </c>
    </row>
    <row r="39" spans="1:16" x14ac:dyDescent="0.2">
      <c r="A39">
        <v>38</v>
      </c>
      <c r="B39">
        <v>757</v>
      </c>
      <c r="C39">
        <v>280</v>
      </c>
      <c r="D39">
        <v>0.29730670290734501</v>
      </c>
      <c r="E39">
        <v>5.2007658714026999</v>
      </c>
      <c r="F39">
        <v>0.673652015979743</v>
      </c>
      <c r="G39">
        <v>-106.58763089815284</v>
      </c>
      <c r="H39">
        <v>-67.964228418823751</v>
      </c>
      <c r="I39">
        <v>37.4952490769723</v>
      </c>
      <c r="J39">
        <v>16.991054229854701</v>
      </c>
      <c r="K39">
        <v>7.7202557819690201</v>
      </c>
      <c r="L39">
        <v>1.1138762843356869E-3</v>
      </c>
      <c r="M39">
        <v>1.7761257451941667E-4</v>
      </c>
      <c r="N39" s="1">
        <v>5.6205477487462002E-6</v>
      </c>
      <c r="O39" s="1">
        <v>1.0876749140482E-6</v>
      </c>
      <c r="P39" s="1">
        <v>-4.1131630453051702E-6</v>
      </c>
    </row>
    <row r="40" spans="1:16" x14ac:dyDescent="0.2">
      <c r="A40">
        <v>39</v>
      </c>
      <c r="B40">
        <v>756</v>
      </c>
      <c r="C40">
        <v>280</v>
      </c>
      <c r="D40">
        <v>0.29655589564203599</v>
      </c>
      <c r="E40">
        <v>5.4239915960093104</v>
      </c>
      <c r="F40">
        <v>0.69396399149863597</v>
      </c>
      <c r="G40">
        <v>-110.25284901480342</v>
      </c>
      <c r="H40">
        <v>-71.149977844157732</v>
      </c>
      <c r="I40">
        <v>37.997576959120998</v>
      </c>
      <c r="J40">
        <v>17.288071670655199</v>
      </c>
      <c r="K40">
        <v>7.8159553845092598</v>
      </c>
      <c r="L40">
        <v>1.1027269799575503E-3</v>
      </c>
      <c r="M40">
        <v>1.7543549756048144E-4</v>
      </c>
      <c r="N40" s="1">
        <v>5.6787870389634504E-6</v>
      </c>
      <c r="O40" s="1">
        <v>1.08706313545295E-6</v>
      </c>
      <c r="P40" s="1">
        <v>-4.1230500222336597E-6</v>
      </c>
    </row>
    <row r="41" spans="1:16" x14ac:dyDescent="0.2">
      <c r="A41">
        <v>40</v>
      </c>
      <c r="B41">
        <v>755</v>
      </c>
      <c r="C41">
        <v>280</v>
      </c>
      <c r="D41">
        <v>0.29580362787530801</v>
      </c>
      <c r="E41">
        <v>5.6461110995232904</v>
      </c>
      <c r="F41">
        <v>0.71369745207806701</v>
      </c>
      <c r="G41">
        <v>-113.89861164892228</v>
      </c>
      <c r="H41">
        <v>-74.320635737787953</v>
      </c>
      <c r="I41">
        <v>38.496637479323098</v>
      </c>
      <c r="J41">
        <v>17.583569036880998</v>
      </c>
      <c r="K41">
        <v>7.9110708369261404</v>
      </c>
      <c r="L41">
        <v>1.091898446466685E-3</v>
      </c>
      <c r="M41">
        <v>1.7331786915449776E-4</v>
      </c>
      <c r="N41" s="1">
        <v>5.7372078936573904E-6</v>
      </c>
      <c r="O41" s="1">
        <v>1.0864080377729899E-6</v>
      </c>
      <c r="P41" s="1">
        <v>-4.1328028011855196E-6</v>
      </c>
    </row>
    <row r="42" spans="1:16" x14ac:dyDescent="0.2">
      <c r="A42">
        <v>41</v>
      </c>
      <c r="B42">
        <v>754</v>
      </c>
      <c r="C42">
        <v>280</v>
      </c>
      <c r="D42">
        <v>0.29504989534147702</v>
      </c>
      <c r="E42">
        <v>5.8671335345194304</v>
      </c>
      <c r="F42">
        <v>0.732878030555977</v>
      </c>
      <c r="G42">
        <v>-117.52507977606402</v>
      </c>
      <c r="H42">
        <v>-77.476327460107484</v>
      </c>
      <c r="I42">
        <v>38.992455768655802</v>
      </c>
      <c r="J42">
        <v>17.8775580077188</v>
      </c>
      <c r="K42">
        <v>8.0056070586104102</v>
      </c>
      <c r="L42">
        <v>1.0813763472016266E-3</v>
      </c>
      <c r="M42">
        <v>1.7125706128908499E-4</v>
      </c>
      <c r="N42" s="1">
        <v>5.7958073662705299E-6</v>
      </c>
      <c r="O42" s="1">
        <v>1.0857100315262801E-6</v>
      </c>
      <c r="P42" s="1">
        <v>-4.14242152139339E-6</v>
      </c>
    </row>
    <row r="43" spans="1:16" x14ac:dyDescent="0.2">
      <c r="A43">
        <v>42</v>
      </c>
      <c r="B43">
        <v>753</v>
      </c>
      <c r="C43">
        <v>280</v>
      </c>
      <c r="D43">
        <v>0.29429469375822398</v>
      </c>
      <c r="E43">
        <v>6.0870679545572601</v>
      </c>
      <c r="F43">
        <v>0.75152986754631301</v>
      </c>
      <c r="G43">
        <v>-121.13241262785674</v>
      </c>
      <c r="H43">
        <v>-80.617177015805026</v>
      </c>
      <c r="I43">
        <v>39.4850566778263</v>
      </c>
      <c r="J43">
        <v>18.170050127441201</v>
      </c>
      <c r="K43">
        <v>8.0995689159115702</v>
      </c>
      <c r="L43">
        <v>1.0711471799216164E-3</v>
      </c>
      <c r="M43">
        <v>1.6925059908556753E-4</v>
      </c>
      <c r="N43" s="1">
        <v>5.8545824877847399E-6</v>
      </c>
      <c r="O43" s="1">
        <v>1.0849695248391801E-6</v>
      </c>
      <c r="P43" s="1">
        <v>-4.1519063207330698E-6</v>
      </c>
    </row>
    <row r="44" spans="1:16" x14ac:dyDescent="0.2">
      <c r="A44">
        <v>43</v>
      </c>
      <c r="B44">
        <v>752</v>
      </c>
      <c r="C44">
        <v>280</v>
      </c>
      <c r="D44">
        <v>0.29353801882651298</v>
      </c>
      <c r="E44">
        <v>6.3059233175577303</v>
      </c>
      <c r="F44">
        <v>0.76967571862863104</v>
      </c>
      <c r="G44">
        <v>-124.72076774901035</v>
      </c>
      <c r="H44">
        <v>-83.743307101225525</v>
      </c>
      <c r="I44">
        <v>39.974464785215403</v>
      </c>
      <c r="J44">
        <v>18.461056809687602</v>
      </c>
      <c r="K44">
        <v>8.1929612237128993</v>
      </c>
      <c r="L44">
        <v>1.0611982168699063E-3</v>
      </c>
      <c r="M44">
        <v>1.6729614980099509E-4</v>
      </c>
      <c r="N44" s="1">
        <v>5.91353026697501E-6</v>
      </c>
      <c r="O44" s="1">
        <v>1.08418692349942E-6</v>
      </c>
      <c r="P44" s="1">
        <v>-4.1612573359128197E-6</v>
      </c>
    </row>
    <row r="45" spans="1:16" x14ac:dyDescent="0.2">
      <c r="A45">
        <v>44</v>
      </c>
      <c r="B45">
        <v>751</v>
      </c>
      <c r="C45">
        <v>280</v>
      </c>
      <c r="D45">
        <v>0.29277986623053498</v>
      </c>
      <c r="E45">
        <v>6.5237084829131202</v>
      </c>
      <c r="F45">
        <v>0.78733705195772996</v>
      </c>
      <c r="G45">
        <v>-128.29030095042336</v>
      </c>
      <c r="H45">
        <v>-86.854839062750912</v>
      </c>
      <c r="I45">
        <v>40.460704390398099</v>
      </c>
      <c r="J45">
        <v>18.750589333589399</v>
      </c>
      <c r="K45">
        <v>8.2857887440858793</v>
      </c>
      <c r="L45">
        <v>1.0515174502125223E-3</v>
      </c>
      <c r="M45">
        <v>1.6539151280878499E-4</v>
      </c>
      <c r="N45" s="1">
        <v>5.9726476902100102E-6</v>
      </c>
      <c r="O45" s="1">
        <v>1.0833626309219501E-6</v>
      </c>
      <c r="P45" s="1">
        <v>-4.1704747023309003E-6</v>
      </c>
    </row>
    <row r="46" spans="1:16" x14ac:dyDescent="0.2">
      <c r="A46">
        <v>45</v>
      </c>
      <c r="B46">
        <v>750</v>
      </c>
      <c r="C46">
        <v>280</v>
      </c>
      <c r="D46">
        <v>0.292020231637589</v>
      </c>
      <c r="E46">
        <v>6.7404322182936403</v>
      </c>
      <c r="F46">
        <v>0.80453413842390398</v>
      </c>
      <c r="G46">
        <v>-131.84116642414071</v>
      </c>
      <c r="H46">
        <v>-89.951892992566272</v>
      </c>
      <c r="I46">
        <v>40.943799531539298</v>
      </c>
      <c r="J46">
        <v>19.038658853085799</v>
      </c>
      <c r="K46">
        <v>8.3780561897575296</v>
      </c>
      <c r="L46">
        <v>1.0420935416132226E-3</v>
      </c>
      <c r="M46">
        <v>1.6353461035040098E-4</v>
      </c>
      <c r="N46" s="1">
        <v>6.0319317222841604E-6</v>
      </c>
      <c r="O46" s="1">
        <v>1.0824970483040801E-6</v>
      </c>
      <c r="P46" s="1">
        <v>-4.1795585546611897E-6</v>
      </c>
    </row>
    <row r="47" spans="1:16" x14ac:dyDescent="0.2">
      <c r="A47">
        <v>46</v>
      </c>
      <c r="B47">
        <v>749</v>
      </c>
      <c r="C47">
        <v>280</v>
      </c>
      <c r="D47">
        <v>0.291259110698039</v>
      </c>
      <c r="E47">
        <v>6.9561031974092202</v>
      </c>
      <c r="F47">
        <v>0.82128613372928005</v>
      </c>
      <c r="G47">
        <v>-135.37351670677495</v>
      </c>
      <c r="H47">
        <v>-93.0345876964479</v>
      </c>
      <c r="I47">
        <v>41.423773979842103</v>
      </c>
      <c r="J47">
        <v>19.325276393668702</v>
      </c>
      <c r="K47">
        <v>8.46976822294938</v>
      </c>
      <c r="L47">
        <v>1.0329157763543629E-3</v>
      </c>
      <c r="M47">
        <v>1.6172347911054023E-4</v>
      </c>
      <c r="N47" s="1">
        <v>6.0913793061569899E-6</v>
      </c>
      <c r="O47" s="1">
        <v>1.0815905745768801E-6</v>
      </c>
      <c r="P47" s="1">
        <v>-4.1885090266588003E-6</v>
      </c>
    </row>
    <row r="48" spans="1:16" x14ac:dyDescent="0.2">
      <c r="A48">
        <v>47</v>
      </c>
      <c r="B48">
        <v>748</v>
      </c>
      <c r="C48">
        <v>280</v>
      </c>
      <c r="D48">
        <v>0.29049649904519698</v>
      </c>
      <c r="E48">
        <v>7.1707300015537099</v>
      </c>
      <c r="F48">
        <v>0.83761115404314601</v>
      </c>
      <c r="G48">
        <v>-138.88750270676195</v>
      </c>
      <c r="H48">
        <v>-96.103040714941187</v>
      </c>
      <c r="I48">
        <v>41.9006512441929</v>
      </c>
      <c r="J48">
        <v>19.610452854636002</v>
      </c>
      <c r="K48">
        <v>8.5609294562764795</v>
      </c>
      <c r="L48">
        <v>1.0239740210374142E-3</v>
      </c>
      <c r="M48">
        <v>1.5995626245366473E-4</v>
      </c>
      <c r="N48" s="1">
        <v>6.1509873632881996E-6</v>
      </c>
      <c r="O48" s="1">
        <v>1.0806436064648299E-6</v>
      </c>
      <c r="P48" s="1">
        <v>-4.1973262513835103E-6</v>
      </c>
    </row>
    <row r="49" spans="1:16" x14ac:dyDescent="0.2">
      <c r="A49">
        <v>48</v>
      </c>
      <c r="B49">
        <v>747</v>
      </c>
      <c r="C49">
        <v>280</v>
      </c>
      <c r="D49">
        <v>0.28973239229525299</v>
      </c>
      <c r="E49">
        <v>7.3843211222594398</v>
      </c>
      <c r="F49">
        <v>0.85352634568034602</v>
      </c>
      <c r="G49">
        <v>-142.38327374911415</v>
      </c>
      <c r="H49">
        <v>-99.157368360576442</v>
      </c>
      <c r="I49">
        <v>42.3744545772648</v>
      </c>
      <c r="J49">
        <v>19.8941990123359</v>
      </c>
      <c r="K49">
        <v>8.6515444539364506</v>
      </c>
      <c r="L49">
        <v>1.0152586846210478E-3</v>
      </c>
      <c r="M49">
        <v>1.5823120327486384E-4</v>
      </c>
      <c r="N49" s="1">
        <v>6.2107527938378698E-6</v>
      </c>
      <c r="O49" s="1">
        <v>1.07965653851795E-6</v>
      </c>
      <c r="P49" s="1">
        <v>-4.2060103613184698E-6</v>
      </c>
    </row>
    <row r="50" spans="1:16" x14ac:dyDescent="0.2">
      <c r="A50">
        <v>49</v>
      </c>
      <c r="B50">
        <v>746</v>
      </c>
      <c r="C50">
        <v>280</v>
      </c>
      <c r="D50">
        <v>0.288966786047197</v>
      </c>
      <c r="E50">
        <v>7.5968849615701401</v>
      </c>
      <c r="F50">
        <v>0.869047949063109</v>
      </c>
      <c r="G50">
        <v>-145.86097758187248</v>
      </c>
      <c r="H50">
        <v>-102.19768572092433</v>
      </c>
      <c r="I50">
        <v>42.845206977592298</v>
      </c>
      <c r="J50">
        <v>20.176525520925299</v>
      </c>
      <c r="K50">
        <v>8.7416177320941593</v>
      </c>
      <c r="L50">
        <v>1.0067606826633596E-3</v>
      </c>
      <c r="M50">
        <v>1.5654663743532946E-4</v>
      </c>
      <c r="N50" s="1">
        <v>6.2706724770075199E-6</v>
      </c>
      <c r="O50" s="1">
        <v>1.07862976316722E-6</v>
      </c>
      <c r="P50" s="1">
        <v>-4.2145614885821796E-6</v>
      </c>
    </row>
    <row r="51" spans="1:16" x14ac:dyDescent="0.2">
      <c r="A51">
        <v>50</v>
      </c>
      <c r="B51">
        <v>745</v>
      </c>
      <c r="C51">
        <v>280</v>
      </c>
      <c r="D51">
        <v>0.28819967588272899</v>
      </c>
      <c r="E51">
        <v>7.8084298330275699</v>
      </c>
      <c r="F51">
        <v>0.88419135777291002</v>
      </c>
      <c r="G51">
        <v>-149.32076039274588</v>
      </c>
      <c r="H51">
        <v>-105.22410667226481</v>
      </c>
      <c r="I51">
        <v>43.312931191241901</v>
      </c>
      <c r="J51">
        <v>20.457442913218301</v>
      </c>
      <c r="K51">
        <v>8.8311537591764502</v>
      </c>
      <c r="L51">
        <v>9.9847140430562946E-4</v>
      </c>
      <c r="M51">
        <v>1.5490098770264062E-4</v>
      </c>
      <c r="N51" s="1">
        <v>6.3307432709872896E-6</v>
      </c>
      <c r="O51" s="1">
        <v>1.07756367071065E-6</v>
      </c>
      <c r="P51" s="1">
        <v>-4.2229797648717798E-6</v>
      </c>
    </row>
    <row r="52" spans="1:16" x14ac:dyDescent="0.2">
      <c r="A52">
        <v>51</v>
      </c>
      <c r="B52">
        <v>744</v>
      </c>
      <c r="C52">
        <v>280</v>
      </c>
      <c r="D52">
        <v>0.28743105736617303</v>
      </c>
      <c r="E52">
        <v>8.0189639635843992</v>
      </c>
      <c r="F52">
        <v>0.89897117306466701</v>
      </c>
      <c r="G52">
        <v>-152.76276684274788</v>
      </c>
      <c r="H52">
        <v>-108.23674390594306</v>
      </c>
      <c r="I52">
        <v>43.777649717728302</v>
      </c>
      <c r="J52">
        <v>20.736961603604499</v>
      </c>
      <c r="K52">
        <v>8.9201569570324306</v>
      </c>
      <c r="L52">
        <v>9.9038268179240459E-4</v>
      </c>
      <c r="M52">
        <v>1.5329275815693182E-4</v>
      </c>
      <c r="N52" s="1">
        <v>6.3909620134661803E-6</v>
      </c>
      <c r="O52" s="1">
        <v>1.0764586493937501E-6</v>
      </c>
      <c r="P52" s="1">
        <v>-4.2312653217757097E-6</v>
      </c>
    </row>
    <row r="53" spans="1:16" x14ac:dyDescent="0.2">
      <c r="A53">
        <v>52</v>
      </c>
      <c r="B53">
        <v>743</v>
      </c>
      <c r="C53">
        <v>280</v>
      </c>
      <c r="D53">
        <v>0.28666092604438298</v>
      </c>
      <c r="E53">
        <v>8.2284954937028996</v>
      </c>
      <c r="F53">
        <v>0.91340125413305295</v>
      </c>
      <c r="G53">
        <v>-156.18714006875911</v>
      </c>
      <c r="H53">
        <v>-111.23570892924862</v>
      </c>
      <c r="I53">
        <v>44.239384810458198</v>
      </c>
      <c r="J53">
        <v>21.0150918880821</v>
      </c>
      <c r="K53">
        <v>9.0086317009854593</v>
      </c>
      <c r="L53">
        <v>9.8248676236994828E-4</v>
      </c>
      <c r="M53">
        <v>1.5172052903192169E-4</v>
      </c>
      <c r="N53" s="1">
        <v>6.45132552170634E-6</v>
      </c>
      <c r="O53" s="1">
        <v>1.07531508541417E-6</v>
      </c>
      <c r="P53" s="1">
        <v>-4.2394182907921203E-6</v>
      </c>
    </row>
    <row r="54" spans="1:16" x14ac:dyDescent="0.2">
      <c r="A54">
        <v>53</v>
      </c>
      <c r="B54">
        <v>742</v>
      </c>
      <c r="C54">
        <v>280</v>
      </c>
      <c r="D54">
        <v>0.28588927744668102</v>
      </c>
      <c r="E54">
        <v>8.4370324804582797</v>
      </c>
      <c r="F54">
        <v>0.92749476480196702</v>
      </c>
      <c r="G54">
        <v>-159.59402173531771</v>
      </c>
      <c r="H54">
        <v>-114.22111210914578</v>
      </c>
      <c r="I54">
        <v>44.698158483458002</v>
      </c>
      <c r="J54">
        <v>21.291843947943601</v>
      </c>
      <c r="K54">
        <v>9.0965823211516508</v>
      </c>
      <c r="L54">
        <v>9.7477628217630295E-4</v>
      </c>
      <c r="M54">
        <v>1.5018295192520365E-4</v>
      </c>
      <c r="N54" s="1">
        <v>6.5118305927302602E-6</v>
      </c>
      <c r="O54" s="1">
        <v>1.07413336294309E-6</v>
      </c>
      <c r="P54" s="1">
        <v>-4.24743880341526E-6</v>
      </c>
    </row>
    <row r="55" spans="1:16" x14ac:dyDescent="0.2">
      <c r="A55">
        <v>54</v>
      </c>
      <c r="B55">
        <v>741</v>
      </c>
      <c r="C55">
        <v>280</v>
      </c>
      <c r="D55">
        <v>0.28511610708475299</v>
      </c>
      <c r="E55">
        <v>8.6445828964380507</v>
      </c>
      <c r="F55">
        <v>0.94126421643195901</v>
      </c>
      <c r="G55">
        <v>-162.98355201871232</v>
      </c>
      <c r="H55">
        <v>-117.19306265571855</v>
      </c>
      <c r="I55">
        <v>45.153992510832197</v>
      </c>
      <c r="J55">
        <v>21.567227848982299</v>
      </c>
      <c r="K55">
        <v>9.18401310230084</v>
      </c>
      <c r="L55">
        <v>9.6724424225904933E-4</v>
      </c>
      <c r="M55">
        <v>1.4867874539331252E-4</v>
      </c>
      <c r="N55" s="1">
        <v>6.57247400371325E-6</v>
      </c>
      <c r="O55" s="1">
        <v>1.0729138641821699E-6</v>
      </c>
      <c r="P55" s="1">
        <v>-4.2553269913606403E-6</v>
      </c>
    </row>
    <row r="56" spans="1:16" x14ac:dyDescent="0.2">
      <c r="A56">
        <v>55</v>
      </c>
      <c r="B56">
        <v>740</v>
      </c>
      <c r="C56">
        <v>280</v>
      </c>
      <c r="D56">
        <v>0.28434141045255101</v>
      </c>
      <c r="E56">
        <v>9.9829954863074306</v>
      </c>
      <c r="F56">
        <v>1.01805051363302</v>
      </c>
      <c r="G56">
        <v>-184.73463045697369</v>
      </c>
      <c r="H56">
        <v>-135.7841839547082</v>
      </c>
      <c r="I56">
        <v>48.317546169813603</v>
      </c>
      <c r="J56">
        <v>23.352809288000099</v>
      </c>
      <c r="K56">
        <v>9.8059922888129201</v>
      </c>
      <c r="L56">
        <v>9.2215376821556721E-4</v>
      </c>
      <c r="M56">
        <v>1.4135848884048695E-4</v>
      </c>
      <c r="N56" s="1">
        <v>6.7260294182024699E-6</v>
      </c>
      <c r="O56" s="1">
        <v>1.0879714754619201E-6</v>
      </c>
      <c r="P56" s="1">
        <v>-4.3279419686294999E-6</v>
      </c>
    </row>
    <row r="57" spans="1:16" x14ac:dyDescent="0.2">
      <c r="A57">
        <v>56</v>
      </c>
      <c r="B57">
        <v>739</v>
      </c>
      <c r="C57">
        <v>280</v>
      </c>
      <c r="D57">
        <v>0.28356518302623301</v>
      </c>
      <c r="E57">
        <v>28.125452947674201</v>
      </c>
      <c r="F57">
        <v>1.5185870834458901</v>
      </c>
      <c r="G57">
        <v>-481.47065626750418</v>
      </c>
      <c r="H57">
        <v>-387.63253914354163</v>
      </c>
      <c r="I57">
        <v>92.71477723385</v>
      </c>
      <c r="J57">
        <v>48.095615995155804</v>
      </c>
      <c r="K57">
        <v>18.5208034852064</v>
      </c>
      <c r="L57">
        <v>6.2694754636487954E-4</v>
      </c>
      <c r="M57">
        <v>9.5321779309242305E-5</v>
      </c>
      <c r="N57" s="1">
        <v>8.4123025058546893E-6</v>
      </c>
      <c r="O57" s="1">
        <v>1.37704299564719E-6</v>
      </c>
      <c r="P57" s="1">
        <v>-5.4934891522431599E-6</v>
      </c>
    </row>
    <row r="58" spans="1:16" x14ac:dyDescent="0.2">
      <c r="A58">
        <v>57</v>
      </c>
      <c r="B58">
        <v>738</v>
      </c>
      <c r="C58">
        <v>280</v>
      </c>
      <c r="D58">
        <v>0.28278742026405701</v>
      </c>
      <c r="E58">
        <v>59.361701100051299</v>
      </c>
      <c r="F58">
        <v>1.7704536998001299</v>
      </c>
      <c r="G58">
        <v>-990.84536717804531</v>
      </c>
      <c r="H58">
        <v>-819.61316999677604</v>
      </c>
      <c r="I58">
        <v>169.348282063808</v>
      </c>
      <c r="J58">
        <v>90.797805711260494</v>
      </c>
      <c r="K58">
        <v>33.529089807179098</v>
      </c>
      <c r="L58">
        <v>4.8062700346748424E-4</v>
      </c>
      <c r="M58">
        <v>7.2477771167751338E-5</v>
      </c>
      <c r="N58" s="1">
        <v>1.1341191746938099E-5</v>
      </c>
      <c r="O58" s="1">
        <v>1.8839807707172201E-6</v>
      </c>
      <c r="P58" s="1">
        <v>-7.5372044808941802E-6</v>
      </c>
    </row>
    <row r="59" spans="1:16" x14ac:dyDescent="0.2">
      <c r="A59">
        <v>58</v>
      </c>
      <c r="B59">
        <v>737</v>
      </c>
      <c r="C59">
        <v>280</v>
      </c>
      <c r="D59">
        <v>0.28200811760629901</v>
      </c>
      <c r="E59">
        <v>91.900321145453603</v>
      </c>
      <c r="F59">
        <v>1.8703174582822499</v>
      </c>
      <c r="G59">
        <v>-1520.3851325997225</v>
      </c>
      <c r="H59">
        <v>-1268.7088317721466</v>
      </c>
      <c r="I59">
        <v>249.15294480473301</v>
      </c>
      <c r="J59">
        <v>135.32976487554899</v>
      </c>
      <c r="K59">
        <v>49.136215212286501</v>
      </c>
      <c r="L59">
        <v>4.2379858872112157E-4</v>
      </c>
      <c r="M59">
        <v>6.352967884649343E-5</v>
      </c>
      <c r="N59" s="1">
        <v>1.44172141893944E-5</v>
      </c>
      <c r="O59" s="1">
        <v>2.4108172348147198E-6</v>
      </c>
      <c r="P59" s="1">
        <v>-9.6728827720911796E-6</v>
      </c>
    </row>
    <row r="60" spans="1:16" x14ac:dyDescent="0.2">
      <c r="A60">
        <v>59</v>
      </c>
      <c r="B60">
        <v>736</v>
      </c>
      <c r="C60">
        <v>280</v>
      </c>
      <c r="D60">
        <v>0.281227270475152</v>
      </c>
      <c r="E60">
        <v>99.309366234872897</v>
      </c>
      <c r="F60">
        <v>1.88542116663536</v>
      </c>
      <c r="G60">
        <v>-1640.7585486094522</v>
      </c>
      <c r="H60">
        <v>-1371.1119133735538</v>
      </c>
      <c r="I60">
        <v>267.20751300281597</v>
      </c>
      <c r="J60">
        <v>145.513042109558</v>
      </c>
      <c r="K60">
        <v>52.672245327602901</v>
      </c>
      <c r="L60">
        <v>4.1550629066795672E-4</v>
      </c>
      <c r="M60">
        <v>6.2099045805468796E-5</v>
      </c>
      <c r="N60" s="1">
        <v>1.51741941989471E-5</v>
      </c>
      <c r="O60" s="1">
        <v>2.52311244123244E-6</v>
      </c>
      <c r="P60" s="1">
        <v>-1.01535883502877E-5</v>
      </c>
    </row>
    <row r="61" spans="1:16" x14ac:dyDescent="0.2">
      <c r="A61">
        <v>60</v>
      </c>
      <c r="B61">
        <v>763</v>
      </c>
      <c r="C61">
        <v>260</v>
      </c>
      <c r="D61">
        <v>0.32301355981277102</v>
      </c>
      <c r="E61">
        <v>4.3353901472419496</v>
      </c>
      <c r="F61">
        <v>0.53322718601784402</v>
      </c>
      <c r="G61">
        <v>-94.291553068259233</v>
      </c>
      <c r="H61">
        <v>-55.056987338827831</v>
      </c>
      <c r="I61">
        <v>37.868114371372002</v>
      </c>
      <c r="J61">
        <v>16.787474453599401</v>
      </c>
      <c r="K61">
        <v>8.1304747036976206</v>
      </c>
      <c r="L61">
        <v>1.2502062592153155E-3</v>
      </c>
      <c r="M61">
        <v>2.1619892271408308E-4</v>
      </c>
      <c r="N61" s="1">
        <v>6.0595779370609502E-6</v>
      </c>
      <c r="O61" s="1">
        <v>1.5479429100324101E-6</v>
      </c>
      <c r="P61" s="1">
        <v>-5.3089411649772896E-6</v>
      </c>
    </row>
    <row r="62" spans="1:16" x14ac:dyDescent="0.2">
      <c r="A62">
        <v>61</v>
      </c>
      <c r="B62">
        <v>762</v>
      </c>
      <c r="C62">
        <v>260</v>
      </c>
      <c r="D62">
        <v>0.322291938366422</v>
      </c>
      <c r="E62">
        <v>4.3916753307243299</v>
      </c>
      <c r="F62">
        <v>0.53900984152591402</v>
      </c>
      <c r="G62">
        <v>-95.191537332152976</v>
      </c>
      <c r="H62">
        <v>-55.87186812825329</v>
      </c>
      <c r="I62">
        <v>37.986912237209602</v>
      </c>
      <c r="J62">
        <v>16.870210375428201</v>
      </c>
      <c r="K62">
        <v>8.1476718834885897</v>
      </c>
      <c r="L62">
        <v>1.2478365186443239E-3</v>
      </c>
      <c r="M62">
        <v>2.152695370241696E-4</v>
      </c>
      <c r="N62" s="1">
        <v>6.11965814553203E-6</v>
      </c>
      <c r="O62" s="1">
        <v>1.5440194140021401E-6</v>
      </c>
      <c r="P62" s="1">
        <v>-5.3119184731985897E-6</v>
      </c>
    </row>
    <row r="63" spans="1:16" x14ac:dyDescent="0.2">
      <c r="A63">
        <v>62</v>
      </c>
      <c r="B63">
        <v>761</v>
      </c>
      <c r="C63">
        <v>260</v>
      </c>
      <c r="D63">
        <v>0.321568921336364</v>
      </c>
      <c r="E63">
        <v>4.6150054059149399</v>
      </c>
      <c r="F63">
        <v>0.55989348593934496</v>
      </c>
      <c r="G63">
        <v>-98.861843969430893</v>
      </c>
      <c r="H63">
        <v>-59.05932140197411</v>
      </c>
      <c r="I63">
        <v>38.4905596663544</v>
      </c>
      <c r="J63">
        <v>17.168883629999598</v>
      </c>
      <c r="K63">
        <v>8.2426488641357398</v>
      </c>
      <c r="L63">
        <v>1.2360451453004581E-3</v>
      </c>
      <c r="M63">
        <v>2.1273075445934534E-4</v>
      </c>
      <c r="N63" s="1">
        <v>6.1915982606106101E-6</v>
      </c>
      <c r="O63" s="1">
        <v>1.5429901280749801E-6</v>
      </c>
      <c r="P63" s="1">
        <v>-5.3248634098478497E-6</v>
      </c>
    </row>
    <row r="64" spans="1:16" x14ac:dyDescent="0.2">
      <c r="A64">
        <v>63</v>
      </c>
      <c r="B64">
        <v>760</v>
      </c>
      <c r="C64">
        <v>260</v>
      </c>
      <c r="D64">
        <v>0.320844504670183</v>
      </c>
      <c r="E64">
        <v>4.8372295296555103</v>
      </c>
      <c r="F64">
        <v>0.58020954517102996</v>
      </c>
      <c r="G64">
        <v>-102.51270126044875</v>
      </c>
      <c r="H64">
        <v>-62.231680524916612</v>
      </c>
      <c r="I64">
        <v>38.990966577925199</v>
      </c>
      <c r="J64">
        <v>17.4660546392725</v>
      </c>
      <c r="K64">
        <v>8.3370388679655907</v>
      </c>
      <c r="L64">
        <v>1.2245782951764866E-3</v>
      </c>
      <c r="M64">
        <v>2.1025790642549246E-4</v>
      </c>
      <c r="N64" s="1">
        <v>6.2638383950802103E-6</v>
      </c>
      <c r="O64" s="1">
        <v>1.54190336240806E-6</v>
      </c>
      <c r="P64" s="1">
        <v>-5.3376511433965004E-6</v>
      </c>
    </row>
    <row r="65" spans="1:16" x14ac:dyDescent="0.2">
      <c r="A65">
        <v>64</v>
      </c>
      <c r="B65">
        <v>759</v>
      </c>
      <c r="C65">
        <v>260</v>
      </c>
      <c r="D65">
        <v>0.32011868429976698</v>
      </c>
      <c r="E65">
        <v>5.0583567579105697</v>
      </c>
      <c r="F65">
        <v>0.59998204769697205</v>
      </c>
      <c r="G65">
        <v>-106.14426872006878</v>
      </c>
      <c r="H65">
        <v>-65.389069525335472</v>
      </c>
      <c r="I65">
        <v>39.488157934732598</v>
      </c>
      <c r="J65">
        <v>17.7617349133019</v>
      </c>
      <c r="K65">
        <v>8.4308468517133903</v>
      </c>
      <c r="L65">
        <v>1.2134220810945109E-3</v>
      </c>
      <c r="M65">
        <v>2.0784820540775239E-4</v>
      </c>
      <c r="N65" s="1">
        <v>6.3363749037008496E-6</v>
      </c>
      <c r="O65" s="1">
        <v>1.54075961206608E-6</v>
      </c>
      <c r="P65" s="1">
        <v>-5.3502815770358801E-6</v>
      </c>
    </row>
    <row r="66" spans="1:16" x14ac:dyDescent="0.2">
      <c r="A66">
        <v>65</v>
      </c>
      <c r="B66">
        <v>758</v>
      </c>
      <c r="C66">
        <v>260</v>
      </c>
      <c r="D66">
        <v>0.31939145614120401</v>
      </c>
      <c r="E66">
        <v>5.27839605030589</v>
      </c>
      <c r="F66">
        <v>0.61923368410386603</v>
      </c>
      <c r="G66">
        <v>-109.75670416499233</v>
      </c>
      <c r="H66">
        <v>-68.531611112456616</v>
      </c>
      <c r="I66">
        <v>39.982158428739702</v>
      </c>
      <c r="J66">
        <v>18.0559358317253</v>
      </c>
      <c r="K66">
        <v>8.5240777202625893</v>
      </c>
      <c r="L66">
        <v>1.2025633887524439E-3</v>
      </c>
      <c r="M66">
        <v>2.0549901927805392E-4</v>
      </c>
      <c r="N66" s="1">
        <v>6.4092041001249598E-6</v>
      </c>
      <c r="O66" s="1">
        <v>1.53955936986579E-6</v>
      </c>
      <c r="P66" s="1">
        <v>-5.3627546126848802E-6</v>
      </c>
    </row>
    <row r="67" spans="1:16" x14ac:dyDescent="0.2">
      <c r="A67">
        <v>66</v>
      </c>
      <c r="B67">
        <v>757</v>
      </c>
      <c r="C67">
        <v>260</v>
      </c>
      <c r="D67">
        <v>0.318662816094747</v>
      </c>
      <c r="E67">
        <v>5.49735626758652</v>
      </c>
      <c r="F67">
        <v>0.637985898585963</v>
      </c>
      <c r="G67">
        <v>-113.35016367324999</v>
      </c>
      <c r="H67">
        <v>-71.659426639612448</v>
      </c>
      <c r="I67">
        <v>40.4729924762092</v>
      </c>
      <c r="J67">
        <v>18.3486686406841</v>
      </c>
      <c r="K67">
        <v>8.6167363256318001</v>
      </c>
      <c r="L67">
        <v>1.1919898238936281E-3</v>
      </c>
      <c r="M67">
        <v>2.0320786066591403E-4</v>
      </c>
      <c r="N67" s="1">
        <v>6.4823222569311899E-6</v>
      </c>
      <c r="O67" s="1">
        <v>1.5383031263817801E-6</v>
      </c>
      <c r="P67" s="1">
        <v>-5.3750701510353596E-6</v>
      </c>
    </row>
    <row r="68" spans="1:16" x14ac:dyDescent="0.2">
      <c r="A68">
        <v>67</v>
      </c>
      <c r="B68">
        <v>756</v>
      </c>
      <c r="C68">
        <v>260</v>
      </c>
      <c r="D68">
        <v>0.317932760044698</v>
      </c>
      <c r="E68">
        <v>5.7152461785887603</v>
      </c>
      <c r="F68">
        <v>0.65625897379848697</v>
      </c>
      <c r="G68">
        <v>-116.9248017007634</v>
      </c>
      <c r="H68">
        <v>-74.772636202724811</v>
      </c>
      <c r="I68">
        <v>40.9606842339305</v>
      </c>
      <c r="J68">
        <v>18.6399444617321</v>
      </c>
      <c r="K68">
        <v>8.7088274702110091</v>
      </c>
      <c r="L68">
        <v>1.1816896632761635E-3</v>
      </c>
      <c r="M68">
        <v>2.0097237710900871E-4</v>
      </c>
      <c r="N68" s="1">
        <v>6.5557256061739303E-6</v>
      </c>
      <c r="O68" s="1">
        <v>1.5369913700755E-6</v>
      </c>
      <c r="P68" s="1">
        <v>-5.3872280920278103E-6</v>
      </c>
    </row>
    <row r="69" spans="1:16" x14ac:dyDescent="0.2">
      <c r="A69">
        <v>68</v>
      </c>
      <c r="B69">
        <v>755</v>
      </c>
      <c r="C69">
        <v>260</v>
      </c>
      <c r="D69">
        <v>0.31720128385935797</v>
      </c>
      <c r="E69">
        <v>5.9320744557596701</v>
      </c>
      <c r="F69">
        <v>0.67407210797528605</v>
      </c>
      <c r="G69">
        <v>-120.48077100892952</v>
      </c>
      <c r="H69">
        <v>-77.871358575841114</v>
      </c>
      <c r="I69">
        <v>41.445257590224301</v>
      </c>
      <c r="J69">
        <v>18.9297742863859</v>
      </c>
      <c r="K69">
        <v>8.8003559049162607</v>
      </c>
      <c r="L69">
        <v>1.1716518101555413E-3</v>
      </c>
      <c r="M69">
        <v>1.9879034209227607E-4</v>
      </c>
      <c r="N69" s="1">
        <v>6.6294103393825996E-6</v>
      </c>
      <c r="O69" s="1">
        <v>1.53562458728384E-6</v>
      </c>
      <c r="P69" s="1">
        <v>-5.3992283348428702E-6</v>
      </c>
    </row>
    <row r="70" spans="1:16" x14ac:dyDescent="0.2">
      <c r="A70">
        <v>69</v>
      </c>
      <c r="B70">
        <v>754</v>
      </c>
      <c r="C70">
        <v>260</v>
      </c>
      <c r="D70">
        <v>0.31646838339093702</v>
      </c>
      <c r="E70">
        <v>6.1478496798840396</v>
      </c>
      <c r="F70">
        <v>0.69144348669911004</v>
      </c>
      <c r="G70">
        <v>-124.01822274357572</v>
      </c>
      <c r="H70">
        <v>-80.955711277845595</v>
      </c>
      <c r="I70">
        <v>41.926736175555</v>
      </c>
      <c r="J70">
        <v>19.2181689819522</v>
      </c>
      <c r="K70">
        <v>8.8913263312860593</v>
      </c>
      <c r="L70">
        <v>1.1618657528183567E-3</v>
      </c>
      <c r="M70">
        <v>1.9665964671596365E-4</v>
      </c>
      <c r="N70" s="1">
        <v>6.7033726078758197E-6</v>
      </c>
      <c r="O70" s="1">
        <v>1.5342032622842399E-6</v>
      </c>
      <c r="P70" s="1">
        <v>-5.4110707781602301E-6</v>
      </c>
    </row>
    <row r="71" spans="1:16" x14ac:dyDescent="0.2">
      <c r="A71">
        <v>70</v>
      </c>
      <c r="B71">
        <v>753</v>
      </c>
      <c r="C71">
        <v>260</v>
      </c>
      <c r="D71">
        <v>0.31573405447546998</v>
      </c>
      <c r="E71">
        <v>6.3625803396795497</v>
      </c>
      <c r="F71">
        <v>0.70839034864928097</v>
      </c>
      <c r="G71">
        <v>-127.53730643003573</v>
      </c>
      <c r="H71">
        <v>-84.025810565924004</v>
      </c>
      <c r="I71">
        <v>42.405143362845699</v>
      </c>
      <c r="J71">
        <v>19.5051392913273</v>
      </c>
      <c r="K71">
        <v>8.9817434015177593</v>
      </c>
      <c r="L71">
        <v>1.1523215266158735E-3</v>
      </c>
      <c r="M71">
        <v>1.9457829205861817E-4</v>
      </c>
      <c r="N71" s="1">
        <v>6.7776085230765504E-6</v>
      </c>
      <c r="O71" s="1">
        <v>1.5327278773494999E-6</v>
      </c>
      <c r="P71" s="1">
        <v>-5.4227553203871403E-6</v>
      </c>
    </row>
    <row r="72" spans="1:16" x14ac:dyDescent="0.2">
      <c r="A72">
        <v>71</v>
      </c>
      <c r="B72">
        <v>752</v>
      </c>
      <c r="C72">
        <v>260</v>
      </c>
      <c r="D72">
        <v>0.31499829293274201</v>
      </c>
      <c r="E72">
        <v>6.5762748355782596</v>
      </c>
      <c r="F72">
        <v>0.72492904661297797</v>
      </c>
      <c r="G72">
        <v>-131.03817003671156</v>
      </c>
      <c r="H72">
        <v>-87.08177148877914</v>
      </c>
      <c r="I72">
        <v>42.880502276313798</v>
      </c>
      <c r="J72">
        <v>19.790695837777299</v>
      </c>
      <c r="K72">
        <v>9.0716117202145696</v>
      </c>
      <c r="L72">
        <v>1.1430096787164252E-3</v>
      </c>
      <c r="M72">
        <v>1.9254438209373573E-4</v>
      </c>
      <c r="N72" s="1">
        <v>6.8521141568862998E-6</v>
      </c>
      <c r="O72" s="1">
        <v>1.53119891281719E-6</v>
      </c>
      <c r="P72" s="1">
        <v>-5.4342818599401203E-6</v>
      </c>
    </row>
    <row r="73" spans="1:16" x14ac:dyDescent="0.2">
      <c r="A73">
        <v>72</v>
      </c>
      <c r="B73">
        <v>751</v>
      </c>
      <c r="C73">
        <v>260</v>
      </c>
      <c r="D73">
        <v>0.31426109456622597</v>
      </c>
      <c r="E73">
        <v>6.7889414770820897</v>
      </c>
      <c r="F73">
        <v>0.74107510337377502</v>
      </c>
      <c r="G73">
        <v>-134.52095993276154</v>
      </c>
      <c r="H73">
        <v>-90.123707848349426</v>
      </c>
      <c r="I73">
        <v>43.352835786321698</v>
      </c>
      <c r="J73">
        <v>20.074849121717399</v>
      </c>
      <c r="K73">
        <v>9.1609358433108206</v>
      </c>
      <c r="L73">
        <v>1.1339212358411298E-3</v>
      </c>
      <c r="M73">
        <v>1.9055611719594466E-4</v>
      </c>
      <c r="N73" s="1">
        <v>6.9268855417860403E-6</v>
      </c>
      <c r="O73" s="1">
        <v>1.52961684708812E-6</v>
      </c>
      <c r="P73" s="1">
        <v>-5.4456502952805399E-6</v>
      </c>
    </row>
    <row r="74" spans="1:16" x14ac:dyDescent="0.2">
      <c r="A74">
        <v>73</v>
      </c>
      <c r="B74">
        <v>750</v>
      </c>
      <c r="C74">
        <v>260</v>
      </c>
      <c r="D74">
        <v>0.313522455162978</v>
      </c>
      <c r="E74">
        <v>7.0005884868425001</v>
      </c>
      <c r="F74">
        <v>0.75684326390235901</v>
      </c>
      <c r="G74">
        <v>-137.98582095645548</v>
      </c>
      <c r="H74">
        <v>-93.151732257314663</v>
      </c>
      <c r="I74">
        <v>43.822166518740097</v>
      </c>
      <c r="J74">
        <v>20.357609525816098</v>
      </c>
      <c r="K74">
        <v>9.2497202799252793</v>
      </c>
      <c r="L74">
        <v>1.125047674109313E-3</v>
      </c>
      <c r="M74">
        <v>1.8861178808227705E-4</v>
      </c>
      <c r="N74" s="1">
        <v>7.0019186712291304E-6</v>
      </c>
      <c r="O74" s="1">
        <v>1.5279821566918299E-6</v>
      </c>
      <c r="P74" s="1">
        <v>-5.4568605251876204E-6</v>
      </c>
    </row>
    <row r="75" spans="1:16" x14ac:dyDescent="0.2">
      <c r="A75">
        <v>74</v>
      </c>
      <c r="B75">
        <v>749</v>
      </c>
      <c r="C75">
        <v>260</v>
      </c>
      <c r="D75">
        <v>0.312782370493568</v>
      </c>
      <c r="E75">
        <v>7.2112240014442399</v>
      </c>
      <c r="F75">
        <v>0.77224754341100699</v>
      </c>
      <c r="G75">
        <v>-141.43289643020341</v>
      </c>
      <c r="H75">
        <v>-96.165956149391477</v>
      </c>
      <c r="I75">
        <v>44.288516858382899</v>
      </c>
      <c r="J75">
        <v>20.638987316507201</v>
      </c>
      <c r="K75">
        <v>9.3379694930363293</v>
      </c>
      <c r="L75">
        <v>1.1163808912868166E-3</v>
      </c>
      <c r="M75">
        <v>1.8670977023078992E-4</v>
      </c>
      <c r="N75" s="1">
        <v>7.0772095001946396E-6</v>
      </c>
      <c r="O75" s="1">
        <v>1.52629531637916E-6</v>
      </c>
      <c r="P75" s="1">
        <v>-5.4679124491338002E-6</v>
      </c>
    </row>
    <row r="76" spans="1:16" x14ac:dyDescent="0.2">
      <c r="A76">
        <v>75</v>
      </c>
      <c r="B76">
        <v>748</v>
      </c>
      <c r="C76">
        <v>260</v>
      </c>
      <c r="D76">
        <v>0.31204083631200402</v>
      </c>
      <c r="E76">
        <v>7.42085607085688</v>
      </c>
      <c r="F76">
        <v>0.78730127184055898</v>
      </c>
      <c r="G76">
        <v>-144.86232815154739</v>
      </c>
      <c r="H76">
        <v>-99.166489771263088</v>
      </c>
      <c r="I76">
        <v>44.751908946908301</v>
      </c>
      <c r="J76">
        <v>20.9189926427769</v>
      </c>
      <c r="K76">
        <v>9.4256878990025506</v>
      </c>
      <c r="L76">
        <v>1.1079131810974633E-3</v>
      </c>
      <c r="M76">
        <v>1.8484851871298686E-4</v>
      </c>
      <c r="N76" s="1">
        <v>7.1527539450726302E-6</v>
      </c>
      <c r="O76" s="1">
        <v>1.5245567990660699E-6</v>
      </c>
      <c r="P76" s="1">
        <v>-5.4788059671310497E-6</v>
      </c>
    </row>
    <row r="77" spans="1:16" x14ac:dyDescent="0.2">
      <c r="A77">
        <v>76</v>
      </c>
      <c r="B77">
        <v>747</v>
      </c>
      <c r="C77">
        <v>260</v>
      </c>
      <c r="D77">
        <v>0.31129784835563601</v>
      </c>
      <c r="E77">
        <v>7.6294926621306303</v>
      </c>
      <c r="F77">
        <v>0.802017135369953</v>
      </c>
      <c r="G77">
        <v>-148.27425645640713</v>
      </c>
      <c r="H77">
        <v>-102.15344223428541</v>
      </c>
      <c r="I77">
        <v>45.212364692938799</v>
      </c>
      <c r="J77">
        <v>21.197635541445599</v>
      </c>
      <c r="K77">
        <v>9.5128798695944408</v>
      </c>
      <c r="L77">
        <v>1.0996372092405065E-3</v>
      </c>
      <c r="M77">
        <v>1.8302656337477636E-4</v>
      </c>
      <c r="N77" s="1">
        <v>7.2285478844659096E-6</v>
      </c>
      <c r="O77" s="1">
        <v>1.52276707597377E-6</v>
      </c>
      <c r="P77" s="1">
        <v>-5.4895409802816602E-6</v>
      </c>
    </row>
    <row r="78" spans="1:16" x14ac:dyDescent="0.2">
      <c r="A78">
        <v>77</v>
      </c>
      <c r="B78">
        <v>746</v>
      </c>
      <c r="C78">
        <v>260</v>
      </c>
      <c r="D78">
        <v>0.31055340234509199</v>
      </c>
      <c r="E78">
        <v>7.8371416578513902</v>
      </c>
      <c r="F78">
        <v>0.81640721463551902</v>
      </c>
      <c r="G78">
        <v>-151.66882019430369</v>
      </c>
      <c r="H78">
        <v>-105.12692149204251</v>
      </c>
      <c r="I78">
        <v>45.669905768629597</v>
      </c>
      <c r="J78">
        <v>21.474925935059701</v>
      </c>
      <c r="K78">
        <v>9.5995497312578806</v>
      </c>
      <c r="L78">
        <v>1.0915459913263361E-3</v>
      </c>
      <c r="M78">
        <v>1.8124250439583255E-4</v>
      </c>
      <c r="N78" s="1">
        <v>7.30458715925257E-6</v>
      </c>
      <c r="O78" s="1">
        <v>1.5209266166033701E-6</v>
      </c>
      <c r="P78" s="1">
        <v>-5.5001173907392504E-6</v>
      </c>
    </row>
    <row r="79" spans="1:16" x14ac:dyDescent="0.2">
      <c r="A79">
        <v>78</v>
      </c>
      <c r="B79">
        <v>745</v>
      </c>
      <c r="C79">
        <v>260</v>
      </c>
      <c r="D79">
        <v>0.309807493984187</v>
      </c>
      <c r="E79">
        <v>8.0438108592961104</v>
      </c>
      <c r="F79">
        <v>0.83048302055382295</v>
      </c>
      <c r="G79">
        <v>-155.04615678147937</v>
      </c>
      <c r="H79">
        <v>-108.08703438471866</v>
      </c>
      <c r="I79">
        <v>46.124553617099899</v>
      </c>
      <c r="J79">
        <v>21.7508736358959</v>
      </c>
      <c r="K79">
        <v>9.6857017665839091</v>
      </c>
      <c r="L79">
        <v>1.0836328721794378E-3</v>
      </c>
      <c r="M79">
        <v>1.7949500813089196E-4</v>
      </c>
      <c r="N79" s="1">
        <v>7.38086757303705E-6</v>
      </c>
      <c r="O79" s="1">
        <v>1.51903588879368E-6</v>
      </c>
      <c r="P79" s="1">
        <v>-5.5105351019700799E-6</v>
      </c>
    </row>
    <row r="80" spans="1:16" x14ac:dyDescent="0.2">
      <c r="A80">
        <v>79</v>
      </c>
      <c r="B80">
        <v>744</v>
      </c>
      <c r="C80">
        <v>260</v>
      </c>
      <c r="D80">
        <v>0.30906011895984098</v>
      </c>
      <c r="E80">
        <v>8.2495079877826907</v>
      </c>
      <c r="F80">
        <v>0.844255527504995</v>
      </c>
      <c r="G80">
        <v>-158.4064022249224</v>
      </c>
      <c r="H80">
        <v>-111.03388665757288</v>
      </c>
      <c r="I80">
        <v>46.576329456763098</v>
      </c>
      <c r="J80">
        <v>22.025488348059302</v>
      </c>
      <c r="K80">
        <v>9.7713402151623807</v>
      </c>
      <c r="L80">
        <v>1.0758915066730191E-3</v>
      </c>
      <c r="M80">
        <v>1.7778280325587788E-4</v>
      </c>
      <c r="N80" s="1">
        <v>7.4573848927322301E-6</v>
      </c>
      <c r="O80" s="1">
        <v>1.5170953587990099E-6</v>
      </c>
      <c r="P80" s="1">
        <v>-5.5207940190906801E-6</v>
      </c>
    </row>
    <row r="81" spans="1:16" x14ac:dyDescent="0.2">
      <c r="A81">
        <v>80</v>
      </c>
      <c r="B81">
        <v>743</v>
      </c>
      <c r="C81">
        <v>260</v>
      </c>
      <c r="D81">
        <v>0.30831127294198801</v>
      </c>
      <c r="E81">
        <v>8.4542406824809806</v>
      </c>
      <c r="F81">
        <v>0.85773520403473902</v>
      </c>
      <c r="G81">
        <v>-161.74969108661531</v>
      </c>
      <c r="H81">
        <v>-113.96758292943288</v>
      </c>
      <c r="I81">
        <v>47.025254276043299</v>
      </c>
      <c r="J81">
        <v>22.298779664388501</v>
      </c>
      <c r="K81">
        <v>9.8564692724662493</v>
      </c>
      <c r="L81">
        <v>1.0683158420080362E-3</v>
      </c>
      <c r="M81">
        <v>1.7610467719994584E-4</v>
      </c>
      <c r="N81" s="1">
        <v>7.5341348485132297E-6</v>
      </c>
      <c r="O81" s="1">
        <v>1.5151054912337599E-6</v>
      </c>
      <c r="P81" s="1">
        <v>-5.5308940487253197E-6</v>
      </c>
    </row>
    <row r="82" spans="1:16" x14ac:dyDescent="0.2">
      <c r="A82">
        <v>81</v>
      </c>
      <c r="B82">
        <v>742</v>
      </c>
      <c r="C82">
        <v>260</v>
      </c>
      <c r="D82">
        <v>0.30756095158350699</v>
      </c>
      <c r="E82">
        <v>32.305952689656998</v>
      </c>
      <c r="F82">
        <v>1.5121426247346801</v>
      </c>
      <c r="G82">
        <v>-552.31142005358436</v>
      </c>
      <c r="H82">
        <v>-445.43300484036774</v>
      </c>
      <c r="I82">
        <v>105.28677720779601</v>
      </c>
      <c r="J82">
        <v>54.7481498848434</v>
      </c>
      <c r="K82">
        <v>21.364355558276401</v>
      </c>
      <c r="L82">
        <v>6.6211336777805365E-4</v>
      </c>
      <c r="M82">
        <v>1.0814441655631859E-4</v>
      </c>
      <c r="N82" s="1">
        <v>9.8465371540131201E-6</v>
      </c>
      <c r="O82" s="1">
        <v>2.0039727525291898E-6</v>
      </c>
      <c r="P82" s="1">
        <v>-7.3375202976123496E-6</v>
      </c>
    </row>
    <row r="83" spans="1:16" x14ac:dyDescent="0.2">
      <c r="A83">
        <v>82</v>
      </c>
      <c r="B83">
        <v>741</v>
      </c>
      <c r="C83">
        <v>260</v>
      </c>
      <c r="D83">
        <v>0.30680915052014102</v>
      </c>
      <c r="E83">
        <v>68.424565854933903</v>
      </c>
      <c r="F83">
        <v>1.7669951903140599</v>
      </c>
      <c r="G83">
        <v>-1140.618788542424</v>
      </c>
      <c r="H83">
        <v>-944.55064986881791</v>
      </c>
      <c r="I83">
        <v>193.337163638867</v>
      </c>
      <c r="J83">
        <v>103.799785568445</v>
      </c>
      <c r="K83">
        <v>38.723685401074697</v>
      </c>
      <c r="L83">
        <v>5.0642440570508487E-4</v>
      </c>
      <c r="M83">
        <v>8.2053511513892761E-5</v>
      </c>
      <c r="N83" s="1">
        <v>1.3344268990338101E-5</v>
      </c>
      <c r="O83" s="1">
        <v>2.7413559398744299E-6</v>
      </c>
      <c r="P83" s="1">
        <v>-1.0067852078851099E-5</v>
      </c>
    </row>
    <row r="84" spans="1:16" x14ac:dyDescent="0.2">
      <c r="A84">
        <v>83</v>
      </c>
      <c r="B84">
        <v>740</v>
      </c>
      <c r="C84">
        <v>260</v>
      </c>
      <c r="D84">
        <v>0.30605586537038199</v>
      </c>
      <c r="E84">
        <v>94.081849432418906</v>
      </c>
      <c r="F84">
        <v>1.8438248634099299</v>
      </c>
      <c r="G84">
        <v>-1558.0303028466792</v>
      </c>
      <c r="H84">
        <v>-1298.8830444195312</v>
      </c>
      <c r="I84">
        <v>255.789291536608</v>
      </c>
      <c r="J84">
        <v>138.67942852263201</v>
      </c>
      <c r="K84">
        <v>51.025371931705997</v>
      </c>
      <c r="L84">
        <v>4.6033061670694057E-4</v>
      </c>
      <c r="M84">
        <v>7.4215964629427653E-5</v>
      </c>
      <c r="N84" s="1">
        <v>1.5878860168912399E-5</v>
      </c>
      <c r="O84" s="1">
        <v>3.2587590293780998E-6</v>
      </c>
      <c r="P84" s="1">
        <v>-1.20050782651047E-5</v>
      </c>
    </row>
    <row r="85" spans="1:16" x14ac:dyDescent="0.2">
      <c r="A85">
        <v>84</v>
      </c>
      <c r="B85">
        <v>739</v>
      </c>
      <c r="C85">
        <v>260</v>
      </c>
      <c r="D85">
        <v>0.30530109173541498</v>
      </c>
      <c r="E85">
        <v>99.985251168615406</v>
      </c>
      <c r="F85">
        <v>1.85723818383393</v>
      </c>
      <c r="G85">
        <v>-1653.8562916149929</v>
      </c>
      <c r="H85">
        <v>-1380.5466879707778</v>
      </c>
      <c r="I85">
        <v>270.03455685447801</v>
      </c>
      <c r="J85">
        <v>146.740269173808</v>
      </c>
      <c r="K85">
        <v>53.835448807225099</v>
      </c>
      <c r="L85">
        <v>4.526225404421264E-4</v>
      </c>
      <c r="M85">
        <v>7.2757718032045397E-5</v>
      </c>
      <c r="N85" s="1">
        <v>1.65434436209984E-5</v>
      </c>
      <c r="O85" s="1">
        <v>3.3676114066054399E-6</v>
      </c>
      <c r="P85" s="1">
        <v>-1.2444986806568E-5</v>
      </c>
    </row>
    <row r="86" spans="1:16" x14ac:dyDescent="0.2">
      <c r="A86">
        <v>85</v>
      </c>
      <c r="B86">
        <v>763</v>
      </c>
      <c r="C86">
        <v>240</v>
      </c>
      <c r="D86">
        <v>0.34424600685229401</v>
      </c>
      <c r="E86">
        <v>4.6604277959109002</v>
      </c>
      <c r="F86">
        <v>0.50907701171511699</v>
      </c>
      <c r="G86">
        <v>-101.53970197000777</v>
      </c>
      <c r="H86">
        <v>-59.124513432542287</v>
      </c>
      <c r="I86">
        <v>40.937948675803</v>
      </c>
      <c r="J86">
        <v>18.183124533690702</v>
      </c>
      <c r="K86">
        <v>9.1546616497366102</v>
      </c>
      <c r="L86">
        <v>1.3315557993801683E-3</v>
      </c>
      <c r="M86">
        <v>2.4855478567683675E-4</v>
      </c>
      <c r="N86" s="1">
        <v>6.66046605691478E-6</v>
      </c>
      <c r="O86" s="1">
        <v>2.2302830154447901E-6</v>
      </c>
      <c r="P86" s="1">
        <v>-6.9796126578057703E-6</v>
      </c>
    </row>
    <row r="87" spans="1:16" x14ac:dyDescent="0.2">
      <c r="A87">
        <v>86</v>
      </c>
      <c r="B87">
        <v>762</v>
      </c>
      <c r="C87">
        <v>240</v>
      </c>
      <c r="D87">
        <v>0.34354489687485301</v>
      </c>
      <c r="E87">
        <v>4.7389669533456296</v>
      </c>
      <c r="F87">
        <v>0.51620144534279</v>
      </c>
      <c r="G87">
        <v>-102.80598238108431</v>
      </c>
      <c r="H87">
        <v>-60.257499931482016</v>
      </c>
      <c r="I87">
        <v>41.106266746148997</v>
      </c>
      <c r="J87">
        <v>18.296331488448601</v>
      </c>
      <c r="K87">
        <v>9.1804604502776197</v>
      </c>
      <c r="L87">
        <v>1.3283729389196386E-3</v>
      </c>
      <c r="M87">
        <v>2.4733988838174876E-4</v>
      </c>
      <c r="N87" s="1">
        <v>6.7417340236950698E-6</v>
      </c>
      <c r="O87" s="1">
        <v>2.2251963799027198E-6</v>
      </c>
      <c r="P87" s="1">
        <v>-6.9864911365866101E-6</v>
      </c>
    </row>
    <row r="88" spans="1:16" x14ac:dyDescent="0.2">
      <c r="A88">
        <v>87</v>
      </c>
      <c r="B88">
        <v>761</v>
      </c>
      <c r="C88">
        <v>240</v>
      </c>
      <c r="D88">
        <v>0.34284243098196698</v>
      </c>
      <c r="E88">
        <v>4.9563564705749403</v>
      </c>
      <c r="F88">
        <v>0.53460007257516895</v>
      </c>
      <c r="G88">
        <v>-106.37486859405278</v>
      </c>
      <c r="H88">
        <v>-63.364019104478537</v>
      </c>
      <c r="I88">
        <v>41.593120355861103</v>
      </c>
      <c r="J88">
        <v>18.588581477396499</v>
      </c>
      <c r="K88">
        <v>9.2711481438828898</v>
      </c>
      <c r="L88">
        <v>1.3177769135086382E-3</v>
      </c>
      <c r="M88">
        <v>2.4475886633151675E-4</v>
      </c>
      <c r="N88" s="1">
        <v>6.8329695759914299E-6</v>
      </c>
      <c r="O88" s="1">
        <v>2.2232120584053498E-6</v>
      </c>
      <c r="P88" s="1">
        <v>-7.0031324000611199E-6</v>
      </c>
    </row>
    <row r="89" spans="1:16" x14ac:dyDescent="0.2">
      <c r="A89">
        <v>88</v>
      </c>
      <c r="B89">
        <v>760</v>
      </c>
      <c r="C89">
        <v>240</v>
      </c>
      <c r="D89">
        <v>0.34213860523641398</v>
      </c>
      <c r="E89">
        <v>5.1726916393162599</v>
      </c>
      <c r="F89">
        <v>0.55256288867695802</v>
      </c>
      <c r="G89">
        <v>-109.92521039420889</v>
      </c>
      <c r="H89">
        <v>-66.456147505144415</v>
      </c>
      <c r="I89">
        <v>42.076896030089301</v>
      </c>
      <c r="J89">
        <v>18.879412608038901</v>
      </c>
      <c r="K89">
        <v>9.3612722557274992</v>
      </c>
      <c r="L89">
        <v>1.3074359323356913E-3</v>
      </c>
      <c r="M89">
        <v>2.4223559969391216E-4</v>
      </c>
      <c r="N89" s="1">
        <v>6.9246779028625697E-6</v>
      </c>
      <c r="O89" s="1">
        <v>2.22115265366432E-6</v>
      </c>
      <c r="P89" s="1">
        <v>-7.0195907843429104E-6</v>
      </c>
    </row>
    <row r="90" spans="1:16" x14ac:dyDescent="0.2">
      <c r="A90">
        <v>89</v>
      </c>
      <c r="B90">
        <v>759</v>
      </c>
      <c r="C90">
        <v>240</v>
      </c>
      <c r="D90">
        <v>0.34143341568570601</v>
      </c>
      <c r="E90">
        <v>5.3879808896735701</v>
      </c>
      <c r="F90">
        <v>0.57010618287499004</v>
      </c>
      <c r="G90">
        <v>-113.45715646989146</v>
      </c>
      <c r="H90">
        <v>-69.534000587923543</v>
      </c>
      <c r="I90">
        <v>42.557617021630698</v>
      </c>
      <c r="J90">
        <v>19.168835456190202</v>
      </c>
      <c r="K90">
        <v>9.4508374957494699</v>
      </c>
      <c r="L90">
        <v>1.2973402914365315E-3</v>
      </c>
      <c r="M90">
        <v>2.3976793046636563E-4</v>
      </c>
      <c r="N90" s="1">
        <v>7.0168544851920398E-6</v>
      </c>
      <c r="O90" s="1">
        <v>2.2190187280767302E-6</v>
      </c>
      <c r="P90" s="1">
        <v>-7.0358657369258003E-6</v>
      </c>
    </row>
    <row r="91" spans="1:16" x14ac:dyDescent="0.2">
      <c r="A91">
        <v>90</v>
      </c>
      <c r="B91">
        <v>758</v>
      </c>
      <c r="C91">
        <v>240</v>
      </c>
      <c r="D91">
        <v>0.34072685836202499</v>
      </c>
      <c r="E91">
        <v>5.6022325615485897</v>
      </c>
      <c r="F91">
        <v>0.58724544176275195</v>
      </c>
      <c r="G91">
        <v>-116.97085392109538</v>
      </c>
      <c r="H91">
        <v>-72.597692570638159</v>
      </c>
      <c r="I91">
        <v>43.035306332383897</v>
      </c>
      <c r="J91">
        <v>19.456860475580001</v>
      </c>
      <c r="K91">
        <v>9.5398485252302692</v>
      </c>
      <c r="L91">
        <v>1.28748076444914E-3</v>
      </c>
      <c r="M91">
        <v>2.3735380719452795E-4</v>
      </c>
      <c r="N91" s="1">
        <v>7.1094947275578698E-6</v>
      </c>
      <c r="O91" s="1">
        <v>2.2168108425012299E-6</v>
      </c>
      <c r="P91" s="1">
        <v>-7.0519567029940104E-6</v>
      </c>
    </row>
    <row r="92" spans="1:16" x14ac:dyDescent="0.2">
      <c r="A92">
        <v>91</v>
      </c>
      <c r="B92">
        <v>757</v>
      </c>
      <c r="C92">
        <v>240</v>
      </c>
      <c r="D92">
        <v>0.340018929282145</v>
      </c>
      <c r="E92">
        <v>5.8154549073553596</v>
      </c>
      <c r="F92">
        <v>0.60399539820596804</v>
      </c>
      <c r="G92">
        <v>-120.46644830647342</v>
      </c>
      <c r="H92">
        <v>-75.647336472238905</v>
      </c>
      <c r="I92">
        <v>43.509986721112099</v>
      </c>
      <c r="J92">
        <v>19.743498001811702</v>
      </c>
      <c r="K92">
        <v>9.62830995836865</v>
      </c>
      <c r="L92">
        <v>1.2778485735205943E-3</v>
      </c>
      <c r="M92">
        <v>2.3499127848287704E-4</v>
      </c>
      <c r="N92" s="1">
        <v>7.20259395869492E-6</v>
      </c>
      <c r="O92" s="1">
        <v>2.2145295564336201E-6</v>
      </c>
      <c r="P92" s="1">
        <v>-7.0678631260643999E-6</v>
      </c>
    </row>
    <row r="93" spans="1:16" x14ac:dyDescent="0.2">
      <c r="A93">
        <v>92</v>
      </c>
      <c r="B93">
        <v>756</v>
      </c>
      <c r="C93">
        <v>240</v>
      </c>
      <c r="D93">
        <v>0.33930962444735902</v>
      </c>
      <c r="E93">
        <v>6.0276560914039399</v>
      </c>
      <c r="F93">
        <v>0.62037007649065101</v>
      </c>
      <c r="G93">
        <v>-123.94408363411368</v>
      </c>
      <c r="H93">
        <v>-78.683044103501999</v>
      </c>
      <c r="I93">
        <v>43.981680702340199</v>
      </c>
      <c r="J93">
        <v>20.028758251546702</v>
      </c>
      <c r="K93">
        <v>9.7162263620153304</v>
      </c>
      <c r="L93">
        <v>1.268435362464726E-3</v>
      </c>
      <c r="M93">
        <v>2.3267848700132682E-4</v>
      </c>
      <c r="N93" s="1">
        <v>7.2961474314857896E-6</v>
      </c>
      <c r="O93" s="1">
        <v>2.2121754280244E-6</v>
      </c>
      <c r="P93" s="1">
        <v>-7.08358444813233E-6</v>
      </c>
    </row>
    <row r="94" spans="1:16" x14ac:dyDescent="0.2">
      <c r="A94">
        <v>93</v>
      </c>
      <c r="B94">
        <v>755</v>
      </c>
      <c r="C94">
        <v>240</v>
      </c>
      <c r="D94">
        <v>0.338598939843407</v>
      </c>
      <c r="E94">
        <v>6.2388441922457396</v>
      </c>
      <c r="F94">
        <v>0.63638283447692401</v>
      </c>
      <c r="G94">
        <v>-127.40390240132322</v>
      </c>
      <c r="H94">
        <v>-81.704926099861396</v>
      </c>
      <c r="I94">
        <v>44.450410551927703</v>
      </c>
      <c r="J94">
        <v>20.312651325450901</v>
      </c>
      <c r="K94">
        <v>9.8036022567669896</v>
      </c>
      <c r="L94">
        <v>1.2592331716853925E-3</v>
      </c>
      <c r="M94">
        <v>2.3041366389174855E-4</v>
      </c>
      <c r="N94" s="1">
        <v>7.3901503231555401E-6</v>
      </c>
      <c r="O94" s="1">
        <v>2.2097490141511301E-6</v>
      </c>
      <c r="P94" s="1">
        <v>-7.0991201099981397E-6</v>
      </c>
    </row>
    <row r="95" spans="1:16" x14ac:dyDescent="0.2">
      <c r="A95">
        <v>94</v>
      </c>
      <c r="B95">
        <v>754</v>
      </c>
      <c r="C95">
        <v>240</v>
      </c>
      <c r="D95">
        <v>0.33788687144039198</v>
      </c>
      <c r="E95">
        <v>6.4490272031503704</v>
      </c>
      <c r="F95">
        <v>0.65204640264050195</v>
      </c>
      <c r="G95">
        <v>-130.84604560402545</v>
      </c>
      <c r="H95">
        <v>-84.713091927504323</v>
      </c>
      <c r="I95">
        <v>44.916198309121697</v>
      </c>
      <c r="J95">
        <v>20.595187209053599</v>
      </c>
      <c r="K95">
        <v>9.8904421173625607</v>
      </c>
      <c r="L95">
        <v>1.2502344149609567E-3</v>
      </c>
      <c r="M95">
        <v>2.2819512358585389E-4</v>
      </c>
      <c r="N95" s="1">
        <v>7.4845977355421801E-6</v>
      </c>
      <c r="O95" s="1">
        <v>2.2072508705038998E-6</v>
      </c>
      <c r="P95" s="1">
        <v>-7.1144695516387099E-6</v>
      </c>
    </row>
    <row r="96" spans="1:16" x14ac:dyDescent="0.2">
      <c r="A96">
        <v>95</v>
      </c>
      <c r="B96">
        <v>753</v>
      </c>
      <c r="C96">
        <v>240</v>
      </c>
      <c r="D96">
        <v>0.33717341519271199</v>
      </c>
      <c r="E96">
        <v>6.65821303377892</v>
      </c>
      <c r="F96">
        <v>0.66737292049424102</v>
      </c>
      <c r="G96">
        <v>-134.270652765367</v>
      </c>
      <c r="H96">
        <v>-87.707649906669644</v>
      </c>
      <c r="I96">
        <v>45.379065780577797</v>
      </c>
      <c r="J96">
        <v>20.876375774831502</v>
      </c>
      <c r="K96">
        <v>9.9767503734613499</v>
      </c>
      <c r="L96">
        <v>1.2414318577804687E-3</v>
      </c>
      <c r="M96">
        <v>2.2602125897190688E-4</v>
      </c>
      <c r="N96" s="1">
        <v>7.5794846952970596E-6</v>
      </c>
      <c r="O96" s="1">
        <v>2.2046815516412301E-6</v>
      </c>
      <c r="P96" s="1">
        <v>-7.1296322124919202E-6</v>
      </c>
    </row>
    <row r="97" spans="1:16" x14ac:dyDescent="0.2">
      <c r="A97">
        <v>96</v>
      </c>
      <c r="B97">
        <v>752</v>
      </c>
      <c r="C97">
        <v>240</v>
      </c>
      <c r="D97">
        <v>0.33645856703896998</v>
      </c>
      <c r="E97">
        <v>6.8664095107424403</v>
      </c>
      <c r="F97">
        <v>0.68237397041487902</v>
      </c>
      <c r="G97">
        <v>-137.6778619465652</v>
      </c>
      <c r="H97">
        <v>-90.688707218884559</v>
      </c>
      <c r="I97">
        <v>45.8390345427471</v>
      </c>
      <c r="J97">
        <v>21.156226783241799</v>
      </c>
      <c r="K97">
        <v>10.0625314101118</v>
      </c>
      <c r="L97">
        <v>1.2328185972293674E-3</v>
      </c>
      <c r="M97">
        <v>2.2389053690467447E-4</v>
      </c>
      <c r="N97" s="1">
        <v>7.6748061542481703E-6</v>
      </c>
      <c r="O97" s="1">
        <v>2.2020416110849601E-6</v>
      </c>
      <c r="P97" s="1">
        <v>-7.1446075318704903E-6</v>
      </c>
    </row>
    <row r="98" spans="1:16" x14ac:dyDescent="0.2">
      <c r="A98">
        <v>97</v>
      </c>
      <c r="B98">
        <v>751</v>
      </c>
      <c r="C98">
        <v>240</v>
      </c>
      <c r="D98">
        <v>0.33574232290192102</v>
      </c>
      <c r="E98">
        <v>7.0736243784026502</v>
      </c>
      <c r="F98">
        <v>0.69706060920714197</v>
      </c>
      <c r="G98">
        <v>-141.06780976073611</v>
      </c>
      <c r="H98">
        <v>-93.656369917951778</v>
      </c>
      <c r="I98">
        <v>46.296125943526498</v>
      </c>
      <c r="J98">
        <v>21.4347498835353</v>
      </c>
      <c r="K98">
        <v>10.147789568038201</v>
      </c>
      <c r="L98">
        <v>1.2243880432183656E-3</v>
      </c>
      <c r="M98">
        <v>2.2180149401612202E-4</v>
      </c>
      <c r="N98" s="1">
        <v>7.7705569895129093E-6</v>
      </c>
      <c r="O98" s="1">
        <v>2.1993316013309201E-6</v>
      </c>
      <c r="P98" s="1">
        <v>-7.1593949491103597E-6</v>
      </c>
    </row>
    <row r="99" spans="1:16" x14ac:dyDescent="0.2">
      <c r="A99">
        <v>98</v>
      </c>
      <c r="B99">
        <v>750</v>
      </c>
      <c r="C99">
        <v>240</v>
      </c>
      <c r="D99">
        <v>0.335024678688366</v>
      </c>
      <c r="E99">
        <v>7.2798653014335502</v>
      </c>
      <c r="F99">
        <v>0.71144339764345099</v>
      </c>
      <c r="G99">
        <v>-144.44063141689162</v>
      </c>
      <c r="H99">
        <v>-96.610742965695835</v>
      </c>
      <c r="I99">
        <v>46.750361109206402</v>
      </c>
      <c r="J99">
        <v>21.711954617368601</v>
      </c>
      <c r="K99">
        <v>10.2325291450409</v>
      </c>
      <c r="L99">
        <v>1.2161339009095625E-3</v>
      </c>
      <c r="M99">
        <v>2.1975273279606309E-4</v>
      </c>
      <c r="N99" s="1">
        <v>7.8667320040563997E-6</v>
      </c>
      <c r="O99" s="1">
        <v>2.1965520739842501E-6</v>
      </c>
      <c r="P99" s="1">
        <v>-7.1739939041256397E-6</v>
      </c>
    </row>
    <row r="100" spans="1:16" x14ac:dyDescent="0.2">
      <c r="A100">
        <v>99</v>
      </c>
      <c r="B100">
        <v>749</v>
      </c>
      <c r="C100">
        <v>240</v>
      </c>
      <c r="D100">
        <v>0.33430563028909699</v>
      </c>
      <c r="E100">
        <v>7.4851398648695797</v>
      </c>
      <c r="F100">
        <v>0.72553242788656402</v>
      </c>
      <c r="G100">
        <v>-147.79646072165332</v>
      </c>
      <c r="H100">
        <v>-99.551930232152216</v>
      </c>
      <c r="I100">
        <v>47.201760944877797</v>
      </c>
      <c r="J100">
        <v>21.987850418851</v>
      </c>
      <c r="K100">
        <v>10.3167543960417</v>
      </c>
      <c r="L100">
        <v>1.2080501544124813E-3</v>
      </c>
      <c r="M100">
        <v>2.1774291795169338E-4</v>
      </c>
      <c r="N100" s="1">
        <v>7.9633259269262795E-6</v>
      </c>
      <c r="O100" s="1">
        <v>2.1937035797845899E-6</v>
      </c>
      <c r="P100" s="1">
        <v>-7.1884038376156599E-6</v>
      </c>
    </row>
    <row r="101" spans="1:16" x14ac:dyDescent="0.2">
      <c r="A101">
        <v>100</v>
      </c>
      <c r="B101">
        <v>748</v>
      </c>
      <c r="C101">
        <v>240</v>
      </c>
      <c r="D101">
        <v>0.33358517357881101</v>
      </c>
      <c r="E101">
        <v>7.6894555737253798</v>
      </c>
      <c r="F101">
        <v>0.73933734908313697</v>
      </c>
      <c r="G101">
        <v>-151.13543007400369</v>
      </c>
      <c r="H101">
        <v>-102.48003448962422</v>
      </c>
      <c r="I101">
        <v>47.650346134029199</v>
      </c>
      <c r="J101">
        <v>22.2624466141136</v>
      </c>
      <c r="K101">
        <v>10.400469532969099</v>
      </c>
      <c r="L101">
        <v>1.2001310515699576E-3</v>
      </c>
      <c r="M101">
        <v>2.1577077300953955E-4</v>
      </c>
      <c r="N101" s="1">
        <v>8.0603334134883896E-6</v>
      </c>
      <c r="O101" s="1">
        <v>2.1907866686331501E-6</v>
      </c>
      <c r="P101" s="1">
        <v>-7.2026241912770802E-6</v>
      </c>
    </row>
    <row r="102" spans="1:16" x14ac:dyDescent="0.2">
      <c r="A102">
        <v>101</v>
      </c>
      <c r="B102">
        <v>747</v>
      </c>
      <c r="C102">
        <v>240</v>
      </c>
      <c r="D102">
        <v>0.33286330441601902</v>
      </c>
      <c r="E102">
        <v>9.2934794673913093</v>
      </c>
      <c r="F102">
        <v>0.83110639132354303</v>
      </c>
      <c r="G102">
        <v>-177.69710846008394</v>
      </c>
      <c r="H102">
        <v>-125.03228811524285</v>
      </c>
      <c r="I102">
        <v>51.627347075414399</v>
      </c>
      <c r="J102">
        <v>24.491827645595102</v>
      </c>
      <c r="K102">
        <v>11.182057513227999</v>
      </c>
      <c r="L102">
        <v>1.141768922988269E-3</v>
      </c>
      <c r="M102">
        <v>2.0465547256904882E-4</v>
      </c>
      <c r="N102" s="1">
        <v>8.3073417632073698E-6</v>
      </c>
      <c r="O102" s="1">
        <v>2.2325919620189001E-6</v>
      </c>
      <c r="P102" s="1">
        <v>-7.3643298564399098E-6</v>
      </c>
    </row>
    <row r="103" spans="1:16" x14ac:dyDescent="0.2">
      <c r="A103">
        <v>102</v>
      </c>
      <c r="B103">
        <v>746</v>
      </c>
      <c r="C103">
        <v>240</v>
      </c>
      <c r="D103">
        <v>0.33214001864298798</v>
      </c>
      <c r="E103">
        <v>18.498112829468099</v>
      </c>
      <c r="F103">
        <v>1.18235788656612</v>
      </c>
      <c r="G103">
        <v>-328.72115540891446</v>
      </c>
      <c r="H103">
        <v>-253.21663813908845</v>
      </c>
      <c r="I103">
        <v>74.088854431538905</v>
      </c>
      <c r="J103">
        <v>37.002931877938998</v>
      </c>
      <c r="K103">
        <v>15.6451046164976</v>
      </c>
      <c r="L103">
        <v>9.1266573420734618E-4</v>
      </c>
      <c r="M103">
        <v>1.6274414044617242E-4</v>
      </c>
      <c r="N103" s="1">
        <v>9.2639542457662697E-6</v>
      </c>
      <c r="O103" s="1">
        <v>2.4781941757696201E-6</v>
      </c>
      <c r="P103" s="1">
        <v>-8.2012293661944605E-6</v>
      </c>
    </row>
    <row r="104" spans="1:16" x14ac:dyDescent="0.2">
      <c r="A104">
        <v>103</v>
      </c>
      <c r="B104">
        <v>745</v>
      </c>
      <c r="C104">
        <v>240</v>
      </c>
      <c r="D104">
        <v>0.33141531208564601</v>
      </c>
      <c r="E104">
        <v>38.092858837048901</v>
      </c>
      <c r="F104">
        <v>1.51716621922414</v>
      </c>
      <c r="G104">
        <v>-649.39425523710656</v>
      </c>
      <c r="H104">
        <v>-525.58353478323977</v>
      </c>
      <c r="I104">
        <v>121.607347408468</v>
      </c>
      <c r="J104">
        <v>63.486242056244002</v>
      </c>
      <c r="K104">
        <v>25.1079007391352</v>
      </c>
      <c r="L104">
        <v>6.9322053549058225E-4</v>
      </c>
      <c r="M104">
        <v>1.227897280662446E-4</v>
      </c>
      <c r="N104" s="1">
        <v>1.11784105834511E-5</v>
      </c>
      <c r="O104" s="1">
        <v>2.9900290360528799E-6</v>
      </c>
      <c r="P104" s="1">
        <v>-9.9272641842082502E-6</v>
      </c>
    </row>
    <row r="105" spans="1:16" x14ac:dyDescent="0.2">
      <c r="A105">
        <v>104</v>
      </c>
      <c r="B105">
        <v>744</v>
      </c>
      <c r="C105">
        <v>240</v>
      </c>
      <c r="D105">
        <v>0.33068918055350899</v>
      </c>
      <c r="E105">
        <v>80.603823707336403</v>
      </c>
      <c r="F105">
        <v>1.7691189520450401</v>
      </c>
      <c r="G105">
        <v>-1341.046649846561</v>
      </c>
      <c r="H105">
        <v>-1112.6154683735806</v>
      </c>
      <c r="I105">
        <v>224.584791273728</v>
      </c>
      <c r="J105">
        <v>120.843731848413</v>
      </c>
      <c r="K105">
        <v>45.561562502149002</v>
      </c>
      <c r="L105">
        <v>5.3133518448272344E-4</v>
      </c>
      <c r="M105">
        <v>9.337274283665227E-5</v>
      </c>
      <c r="N105" s="1">
        <v>1.528383604621E-5</v>
      </c>
      <c r="O105" s="1">
        <v>4.1074381707078299E-6</v>
      </c>
      <c r="P105" s="1">
        <v>-1.3681291449514701E-5</v>
      </c>
    </row>
    <row r="106" spans="1:16" x14ac:dyDescent="0.2">
      <c r="A106">
        <v>105</v>
      </c>
      <c r="B106">
        <v>743</v>
      </c>
      <c r="C106">
        <v>240</v>
      </c>
      <c r="D106">
        <v>0.32996161983958999</v>
      </c>
      <c r="E106">
        <v>96.318020256095494</v>
      </c>
      <c r="F106">
        <v>1.8141479795022699</v>
      </c>
      <c r="G106">
        <v>-1596.553431799281</v>
      </c>
      <c r="H106">
        <v>-1329.8086563953057</v>
      </c>
      <c r="I106">
        <v>262.51099208949603</v>
      </c>
      <c r="J106">
        <v>142.07587656012601</v>
      </c>
      <c r="K106">
        <v>53.092703210749796</v>
      </c>
      <c r="L106">
        <v>5.0297325560982431E-4</v>
      </c>
      <c r="M106">
        <v>8.8043748566459453E-5</v>
      </c>
      <c r="N106" s="1">
        <v>1.6901512297301101E-5</v>
      </c>
      <c r="O106" s="1">
        <v>4.5070943996065799E-6</v>
      </c>
      <c r="P106" s="1">
        <v>-1.5062010311146199E-5</v>
      </c>
    </row>
    <row r="107" spans="1:16" x14ac:dyDescent="0.2">
      <c r="A107">
        <v>106</v>
      </c>
      <c r="B107">
        <v>742</v>
      </c>
      <c r="C107">
        <v>240</v>
      </c>
      <c r="D107">
        <v>0.32923262572033701</v>
      </c>
      <c r="E107">
        <v>100.77389184794001</v>
      </c>
      <c r="F107">
        <v>1.8253826685242101</v>
      </c>
      <c r="G107">
        <v>-1668.7946869940872</v>
      </c>
      <c r="H107">
        <v>-1391.5137823811197</v>
      </c>
      <c r="I107">
        <v>273.148622391733</v>
      </c>
      <c r="J107">
        <v>148.12729657609799</v>
      </c>
      <c r="K107">
        <v>55.206994996514297</v>
      </c>
      <c r="L107">
        <v>4.9628067588797079E-4</v>
      </c>
      <c r="M107">
        <v>8.6618669776552691E-5</v>
      </c>
      <c r="N107" s="1">
        <v>1.7467094842538398E-5</v>
      </c>
      <c r="O107" s="1">
        <v>4.6079255906467404E-6</v>
      </c>
      <c r="P107" s="1">
        <v>-1.54500412025485E-5</v>
      </c>
    </row>
    <row r="108" spans="1:16" x14ac:dyDescent="0.2">
      <c r="A108">
        <v>107</v>
      </c>
      <c r="B108">
        <v>763</v>
      </c>
      <c r="C108">
        <v>220</v>
      </c>
      <c r="D108">
        <v>0.36547845389181399</v>
      </c>
      <c r="E108">
        <v>4.9825015068436196</v>
      </c>
      <c r="F108">
        <v>0.482476089539568</v>
      </c>
      <c r="G108">
        <v>-108.75788273775557</v>
      </c>
      <c r="H108">
        <v>-63.124779771678206</v>
      </c>
      <c r="I108">
        <v>44.043771905033203</v>
      </c>
      <c r="J108">
        <v>19.585020687346798</v>
      </c>
      <c r="K108">
        <v>10.326939748658701</v>
      </c>
      <c r="L108">
        <v>1.4229078130819893E-3</v>
      </c>
      <c r="M108">
        <v>2.8985692897519756E-4</v>
      </c>
      <c r="N108" s="1">
        <v>6.7903616845344098E-6</v>
      </c>
      <c r="O108" s="1">
        <v>3.28317609286286E-6</v>
      </c>
      <c r="P108" s="1">
        <v>-9.2360606850336407E-6</v>
      </c>
    </row>
    <row r="109" spans="1:16" x14ac:dyDescent="0.2">
      <c r="A109">
        <v>108</v>
      </c>
      <c r="B109">
        <v>762</v>
      </c>
      <c r="C109">
        <v>220</v>
      </c>
      <c r="D109">
        <v>0.36479785538328002</v>
      </c>
      <c r="E109">
        <v>5.1249906520783197</v>
      </c>
      <c r="F109">
        <v>0.493714097026628</v>
      </c>
      <c r="G109">
        <v>-111.08166405032735</v>
      </c>
      <c r="H109">
        <v>-65.169330009148041</v>
      </c>
      <c r="I109">
        <v>44.356073509471301</v>
      </c>
      <c r="J109">
        <v>19.782518041186201</v>
      </c>
      <c r="K109">
        <v>10.380482718527499</v>
      </c>
      <c r="L109">
        <v>1.4169731454618138E-3</v>
      </c>
      <c r="M109">
        <v>2.8789755944010856E-4</v>
      </c>
      <c r="N109" s="1">
        <v>6.9012624518564602E-6</v>
      </c>
      <c r="O109" s="1">
        <v>3.2778306622318099E-6</v>
      </c>
      <c r="P109" s="1">
        <v>-9.2529930665819601E-6</v>
      </c>
    </row>
    <row r="110" spans="1:16" x14ac:dyDescent="0.2">
      <c r="A110">
        <v>109</v>
      </c>
      <c r="B110">
        <v>761</v>
      </c>
      <c r="C110">
        <v>220</v>
      </c>
      <c r="D110">
        <v>0.36411594062757002</v>
      </c>
      <c r="E110">
        <v>5.3359471415625697</v>
      </c>
      <c r="F110">
        <v>0.50982946903723103</v>
      </c>
      <c r="G110">
        <v>-114.54035423276564</v>
      </c>
      <c r="H110">
        <v>-68.187968377345058</v>
      </c>
      <c r="I110">
        <v>44.824490887091102</v>
      </c>
      <c r="J110">
        <v>20.068045650287399</v>
      </c>
      <c r="K110">
        <v>10.466141064067999</v>
      </c>
      <c r="L110">
        <v>1.4076356952134636E-3</v>
      </c>
      <c r="M110">
        <v>2.8525886630001744E-4</v>
      </c>
      <c r="N110" s="1">
        <v>7.0172607049040098E-6</v>
      </c>
      <c r="O110" s="1">
        <v>3.27447512330076E-6</v>
      </c>
      <c r="P110" s="1">
        <v>-9.2756042158480497E-6</v>
      </c>
    </row>
    <row r="111" spans="1:16" x14ac:dyDescent="0.2">
      <c r="A111">
        <v>110</v>
      </c>
      <c r="B111">
        <v>760</v>
      </c>
      <c r="C111">
        <v>220</v>
      </c>
      <c r="D111">
        <v>0.36343270580264397</v>
      </c>
      <c r="E111">
        <v>5.5459054370275496</v>
      </c>
      <c r="F111">
        <v>0.525615462107067</v>
      </c>
      <c r="G111">
        <v>-117.98148147832958</v>
      </c>
      <c r="H111">
        <v>-71.192984644668172</v>
      </c>
      <c r="I111">
        <v>45.290000620194498</v>
      </c>
      <c r="J111">
        <v>20.3522454369954</v>
      </c>
      <c r="K111">
        <v>10.5512600690918</v>
      </c>
      <c r="L111">
        <v>1.3984934590181085E-3</v>
      </c>
      <c r="M111">
        <v>2.8267033195577E-4</v>
      </c>
      <c r="N111" s="1">
        <v>7.1340258377000797E-6</v>
      </c>
      <c r="O111" s="1">
        <v>3.2710184594683299E-6</v>
      </c>
      <c r="P111" s="1">
        <v>-9.2980089036942404E-6</v>
      </c>
    </row>
    <row r="112" spans="1:16" x14ac:dyDescent="0.2">
      <c r="A112">
        <v>111</v>
      </c>
      <c r="B112">
        <v>759</v>
      </c>
      <c r="C112">
        <v>220</v>
      </c>
      <c r="D112">
        <v>0.36274814707164799</v>
      </c>
      <c r="E112">
        <v>5.7548733211445002</v>
      </c>
      <c r="F112">
        <v>0.54108289100906104</v>
      </c>
      <c r="G112">
        <v>-121.40518323982533</v>
      </c>
      <c r="H112">
        <v>-74.184485397383881</v>
      </c>
      <c r="I112">
        <v>45.752624162897298</v>
      </c>
      <c r="J112">
        <v>20.635126972920101</v>
      </c>
      <c r="K112">
        <v>10.635844187222901</v>
      </c>
      <c r="L112">
        <v>1.3895398259733177E-3</v>
      </c>
      <c r="M112">
        <v>2.8013030490809559E-4</v>
      </c>
      <c r="N112" s="1">
        <v>7.2515529550051498E-6</v>
      </c>
      <c r="O112" s="1">
        <v>3.2674612618853502E-6</v>
      </c>
      <c r="P112" s="1">
        <v>-9.3202057917034097E-6</v>
      </c>
    </row>
    <row r="113" spans="1:16" x14ac:dyDescent="0.2">
      <c r="A113">
        <v>112</v>
      </c>
      <c r="B113">
        <v>758</v>
      </c>
      <c r="C113">
        <v>220</v>
      </c>
      <c r="D113">
        <v>0.36206226058284502</v>
      </c>
      <c r="E113">
        <v>5.96285849511451</v>
      </c>
      <c r="F113">
        <v>0.556242101434685</v>
      </c>
      <c r="G113">
        <v>-124.81159553538357</v>
      </c>
      <c r="H113">
        <v>-77.162576104252992</v>
      </c>
      <c r="I113">
        <v>46.212382744948997</v>
      </c>
      <c r="J113">
        <v>20.916699718488399</v>
      </c>
      <c r="K113">
        <v>10.7198978281845</v>
      </c>
      <c r="L113">
        <v>1.380768470959425E-3</v>
      </c>
      <c r="M113">
        <v>2.7763720554453588E-4</v>
      </c>
      <c r="N113" s="1">
        <v>7.36983702279919E-6</v>
      </c>
      <c r="O113" s="1">
        <v>3.2638041214519001E-6</v>
      </c>
      <c r="P113" s="1">
        <v>-9.3421935334340005E-6</v>
      </c>
    </row>
    <row r="114" spans="1:16" x14ac:dyDescent="0.2">
      <c r="A114">
        <v>113</v>
      </c>
      <c r="B114">
        <v>757</v>
      </c>
      <c r="C114">
        <v>220</v>
      </c>
      <c r="D114">
        <v>0.36137504246954599</v>
      </c>
      <c r="E114">
        <v>6.1698685816122403</v>
      </c>
      <c r="F114">
        <v>0.57110299525153796</v>
      </c>
      <c r="G114">
        <v>-128.20085299814903</v>
      </c>
      <c r="H114">
        <v>-80.127361157917662</v>
      </c>
      <c r="I114">
        <v>46.669297378702403</v>
      </c>
      <c r="J114">
        <v>21.1969730266966</v>
      </c>
      <c r="K114">
        <v>10.8034253591942</v>
      </c>
      <c r="L114">
        <v>1.3721733392581073E-3</v>
      </c>
      <c r="M114">
        <v>2.7518952227362816E-4</v>
      </c>
      <c r="N114" s="1">
        <v>7.4888728678630498E-6</v>
      </c>
      <c r="O114" s="1">
        <v>3.2600476289723499E-6</v>
      </c>
      <c r="P114" s="1">
        <v>-9.3639707749898102E-6</v>
      </c>
    </row>
    <row r="115" spans="1:16" x14ac:dyDescent="0.2">
      <c r="A115">
        <v>114</v>
      </c>
      <c r="B115">
        <v>756</v>
      </c>
      <c r="C115">
        <v>220</v>
      </c>
      <c r="D115">
        <v>0.36068648885002402</v>
      </c>
      <c r="E115">
        <v>6.3759111219489002</v>
      </c>
      <c r="F115">
        <v>0.585675053761051</v>
      </c>
      <c r="G115">
        <v>-131.57308883043174</v>
      </c>
      <c r="H115">
        <v>-83.078943833969134</v>
      </c>
      <c r="I115">
        <v>47.123388853280701</v>
      </c>
      <c r="J115">
        <v>21.475956139606101</v>
      </c>
      <c r="K115">
        <v>10.8864311037399</v>
      </c>
      <c r="L115">
        <v>1.3637486324236856E-3</v>
      </c>
      <c r="M115">
        <v>2.7278580795977244E-4</v>
      </c>
      <c r="N115" s="1">
        <v>7.6086551771170803E-6</v>
      </c>
      <c r="O115" s="1">
        <v>3.2561923751771E-6</v>
      </c>
      <c r="P115" s="1">
        <v>-9.3855361552192402E-6</v>
      </c>
    </row>
    <row r="116" spans="1:16" x14ac:dyDescent="0.2">
      <c r="A116">
        <v>115</v>
      </c>
      <c r="B116">
        <v>755</v>
      </c>
      <c r="C116">
        <v>220</v>
      </c>
      <c r="D116">
        <v>0.35999659582745702</v>
      </c>
      <c r="E116">
        <v>6.5809935809514402</v>
      </c>
      <c r="F116">
        <v>0.59996736000870499</v>
      </c>
      <c r="G116">
        <v>-134.92843488574752</v>
      </c>
      <c r="H116">
        <v>-86.017426359795337</v>
      </c>
      <c r="I116">
        <v>47.574677746323701</v>
      </c>
      <c r="J116">
        <v>21.753658194739799</v>
      </c>
      <c r="K116">
        <v>10.9689193439722</v>
      </c>
      <c r="L116">
        <v>1.3554887946848522E-3</v>
      </c>
      <c r="M116">
        <v>2.7042467651058498E-4</v>
      </c>
      <c r="N116" s="1">
        <v>7.7291784974868007E-6</v>
      </c>
      <c r="O116" s="1">
        <v>3.2522389509682798E-6</v>
      </c>
      <c r="P116" s="1">
        <v>-9.40688830656325E-6</v>
      </c>
    </row>
    <row r="117" spans="1:16" x14ac:dyDescent="0.2">
      <c r="A117">
        <v>116</v>
      </c>
      <c r="B117">
        <v>754</v>
      </c>
      <c r="C117">
        <v>220</v>
      </c>
      <c r="D117">
        <v>0.35930535948985198</v>
      </c>
      <c r="E117">
        <v>6.7851233458509403</v>
      </c>
      <c r="F117">
        <v>0.61398861930954596</v>
      </c>
      <c r="G117">
        <v>-138.26702165155334</v>
      </c>
      <c r="H117">
        <v>-88.942909898205571</v>
      </c>
      <c r="I117">
        <v>48.0231844220922</v>
      </c>
      <c r="J117">
        <v>22.030088223798501</v>
      </c>
      <c r="K117">
        <v>11.050894320290601</v>
      </c>
      <c r="L117">
        <v>1.3473885004681638E-3</v>
      </c>
      <c r="M117">
        <v>2.6810479973169734E-4</v>
      </c>
      <c r="N117" s="1">
        <v>7.8504372354559603E-6</v>
      </c>
      <c r="O117" s="1">
        <v>3.2481879474896499E-6</v>
      </c>
      <c r="P117" s="1">
        <v>-9.4280258554140793E-6</v>
      </c>
    </row>
    <row r="118" spans="1:16" x14ac:dyDescent="0.2">
      <c r="A118">
        <v>117</v>
      </c>
      <c r="B118">
        <v>753</v>
      </c>
      <c r="C118">
        <v>220</v>
      </c>
      <c r="D118">
        <v>0.35861277590995699</v>
      </c>
      <c r="E118">
        <v>6.9883077270087401</v>
      </c>
      <c r="F118">
        <v>0.62774717864474305</v>
      </c>
      <c r="G118">
        <v>-141.5889782616274</v>
      </c>
      <c r="H118">
        <v>-91.855494557442526</v>
      </c>
      <c r="I118">
        <v>48.468929032736398</v>
      </c>
      <c r="J118">
        <v>22.305255153317599</v>
      </c>
      <c r="K118">
        <v>11.132360231544</v>
      </c>
      <c r="L118">
        <v>1.3394426425968442E-3</v>
      </c>
      <c r="M118">
        <v>2.6582490435647426E-4</v>
      </c>
      <c r="N118" s="1">
        <v>7.9724256565272805E-6</v>
      </c>
      <c r="O118" s="1">
        <v>3.2440399561537101E-6</v>
      </c>
      <c r="P118" s="1">
        <v>-9.4489474223550903E-6</v>
      </c>
    </row>
    <row r="119" spans="1:16" x14ac:dyDescent="0.2">
      <c r="A119">
        <v>118</v>
      </c>
      <c r="B119">
        <v>752</v>
      </c>
      <c r="C119">
        <v>220</v>
      </c>
      <c r="D119">
        <v>0.35791884114519901</v>
      </c>
      <c r="E119">
        <v>7.6094640481041997</v>
      </c>
      <c r="F119">
        <v>0.66614400238067095</v>
      </c>
      <c r="G119">
        <v>-151.84878885303758</v>
      </c>
      <c r="H119">
        <v>-100.63337580696768</v>
      </c>
      <c r="I119">
        <v>49.961803212445801</v>
      </c>
      <c r="J119">
        <v>23.159889043725698</v>
      </c>
      <c r="K119">
        <v>11.423151782361501</v>
      </c>
      <c r="L119">
        <v>1.3146594914743626E-3</v>
      </c>
      <c r="M119">
        <v>2.6018662218215717E-4</v>
      </c>
      <c r="N119" s="1">
        <v>8.1352916448253799E-6</v>
      </c>
      <c r="O119" s="1">
        <v>3.2576186800104799E-6</v>
      </c>
      <c r="P119" s="1">
        <v>-9.5217293494434305E-6</v>
      </c>
    </row>
    <row r="120" spans="1:16" x14ac:dyDescent="0.2">
      <c r="A120">
        <v>119</v>
      </c>
      <c r="B120">
        <v>751</v>
      </c>
      <c r="C120">
        <v>220</v>
      </c>
      <c r="D120">
        <v>0.35722355123761301</v>
      </c>
      <c r="E120">
        <v>10.0025113254381</v>
      </c>
      <c r="F120">
        <v>0.79383440508616698</v>
      </c>
      <c r="G120">
        <v>-191.49593969560487</v>
      </c>
      <c r="H120">
        <v>-134.2614861692885</v>
      </c>
      <c r="I120">
        <v>55.8877821920359</v>
      </c>
      <c r="J120">
        <v>26.4697038798131</v>
      </c>
      <c r="K120">
        <v>12.6002491972522</v>
      </c>
      <c r="L120">
        <v>1.2287652417454767E-3</v>
      </c>
      <c r="M120">
        <v>2.4238266219109812E-4</v>
      </c>
      <c r="N120" s="1">
        <v>8.4705773869337901E-6</v>
      </c>
      <c r="O120" s="1">
        <v>3.3457189927283E-6</v>
      </c>
      <c r="P120" s="1">
        <v>-9.8134459184647296E-6</v>
      </c>
    </row>
    <row r="121" spans="1:16" x14ac:dyDescent="0.2">
      <c r="A121">
        <v>120</v>
      </c>
      <c r="B121">
        <v>750</v>
      </c>
      <c r="C121">
        <v>220</v>
      </c>
      <c r="D121">
        <v>0.356526902213751</v>
      </c>
      <c r="E121">
        <v>12.621782014371099</v>
      </c>
      <c r="F121">
        <v>0.90885234697918105</v>
      </c>
      <c r="G121">
        <v>-234.83510515449234</v>
      </c>
      <c r="H121">
        <v>-171.03221462332706</v>
      </c>
      <c r="I121">
        <v>62.3623181191792</v>
      </c>
      <c r="J121">
        <v>30.088491563891999</v>
      </c>
      <c r="K121">
        <v>13.887604577710601</v>
      </c>
      <c r="L121">
        <v>1.1512403009107143E-3</v>
      </c>
      <c r="M121">
        <v>2.263305494349459E-4</v>
      </c>
      <c r="N121" s="1">
        <v>8.8307671496005806E-6</v>
      </c>
      <c r="O121" s="1">
        <v>3.44149881515854E-6</v>
      </c>
      <c r="P121" s="1">
        <v>-1.01297182520861E-5</v>
      </c>
    </row>
    <row r="122" spans="1:16" x14ac:dyDescent="0.2">
      <c r="A122">
        <v>121</v>
      </c>
      <c r="B122">
        <v>749</v>
      </c>
      <c r="C122">
        <v>220</v>
      </c>
      <c r="D122">
        <v>0.35582889008462698</v>
      </c>
      <c r="E122">
        <v>30.7133493529108</v>
      </c>
      <c r="F122">
        <v>1.3551271111176699</v>
      </c>
      <c r="G122">
        <v>-531.05310975300813</v>
      </c>
      <c r="H122">
        <v>-422.64769536861411</v>
      </c>
      <c r="I122">
        <v>106.059885280842</v>
      </c>
      <c r="J122">
        <v>54.416474041125298</v>
      </c>
      <c r="K122">
        <v>22.664552351534901</v>
      </c>
      <c r="L122">
        <v>8.4229179228868095E-4</v>
      </c>
      <c r="M122">
        <v>1.6451087550087127E-4</v>
      </c>
      <c r="N122" s="1">
        <v>1.04935046383177E-5</v>
      </c>
      <c r="O122" s="1">
        <v>4.0711113645616896E-6</v>
      </c>
      <c r="P122" s="1">
        <v>-1.2024464191907E-5</v>
      </c>
    </row>
    <row r="123" spans="1:16" x14ac:dyDescent="0.2">
      <c r="A123">
        <v>122</v>
      </c>
      <c r="B123">
        <v>748</v>
      </c>
      <c r="C123">
        <v>220</v>
      </c>
      <c r="D123">
        <v>0.355129510845618</v>
      </c>
      <c r="E123">
        <v>64.920282769338002</v>
      </c>
      <c r="F123">
        <v>1.6562914384957199</v>
      </c>
      <c r="G123">
        <v>-1088.2941050549844</v>
      </c>
      <c r="H123">
        <v>-895.83007045671957</v>
      </c>
      <c r="I123">
        <v>188.4824241206</v>
      </c>
      <c r="J123">
        <v>100.296495910107</v>
      </c>
      <c r="K123">
        <v>39.196171193337797</v>
      </c>
      <c r="L123">
        <v>6.3607306412382118E-4</v>
      </c>
      <c r="M123">
        <v>1.2331742215640587E-4</v>
      </c>
      <c r="N123" s="1">
        <v>1.35774336285509E-5</v>
      </c>
      <c r="O123" s="1">
        <v>5.2598228170361599E-6</v>
      </c>
      <c r="P123" s="1">
        <v>-1.5589177362543502E-5</v>
      </c>
    </row>
    <row r="124" spans="1:16" x14ac:dyDescent="0.2">
      <c r="A124">
        <v>123</v>
      </c>
      <c r="B124">
        <v>747</v>
      </c>
      <c r="C124">
        <v>220</v>
      </c>
      <c r="D124">
        <v>0.35442876047640198</v>
      </c>
      <c r="E124">
        <v>90.293410563813495</v>
      </c>
      <c r="F124">
        <v>1.7560257346035399</v>
      </c>
      <c r="G124">
        <v>-1500.9113040309321</v>
      </c>
      <c r="H124">
        <v>-1246.4067856344404</v>
      </c>
      <c r="I124">
        <v>249.48303878711599</v>
      </c>
      <c r="J124">
        <v>134.32831734067099</v>
      </c>
      <c r="K124">
        <v>51.419184118163699</v>
      </c>
      <c r="L124">
        <v>5.6881659994099086E-4</v>
      </c>
      <c r="M124">
        <v>1.0972792341100107E-4</v>
      </c>
      <c r="N124" s="1">
        <v>1.5952374311276899E-5</v>
      </c>
      <c r="O124" s="1">
        <v>6.1291675861009304E-6</v>
      </c>
      <c r="P124" s="1">
        <v>-1.8229154622120799E-5</v>
      </c>
    </row>
    <row r="125" spans="1:16" x14ac:dyDescent="0.2">
      <c r="A125">
        <v>124</v>
      </c>
      <c r="B125">
        <v>746</v>
      </c>
      <c r="C125">
        <v>220</v>
      </c>
      <c r="D125">
        <v>0.35372663494088302</v>
      </c>
      <c r="E125">
        <v>98.701118046354395</v>
      </c>
      <c r="F125">
        <v>1.78027171391217</v>
      </c>
      <c r="G125">
        <v>-1637.4686483648979</v>
      </c>
      <c r="H125">
        <v>-1362.7497765749197</v>
      </c>
      <c r="I125">
        <v>269.56261855328501</v>
      </c>
      <c r="J125">
        <v>145.629527631716</v>
      </c>
      <c r="K125">
        <v>55.4416032536163</v>
      </c>
      <c r="L125">
        <v>5.529995344359666E-4</v>
      </c>
      <c r="M125">
        <v>1.0632296042664227E-4</v>
      </c>
      <c r="N125" s="1">
        <v>1.6877524633380299E-5</v>
      </c>
      <c r="O125" s="1">
        <v>6.3999769771217097E-6</v>
      </c>
      <c r="P125" s="1">
        <v>-1.9101459323307198E-5</v>
      </c>
    </row>
    <row r="126" spans="1:16" x14ac:dyDescent="0.2">
      <c r="A126">
        <v>125</v>
      </c>
      <c r="B126">
        <v>745</v>
      </c>
      <c r="C126">
        <v>220</v>
      </c>
      <c r="D126">
        <v>0.35302313018710402</v>
      </c>
      <c r="E126">
        <v>101.769788858985</v>
      </c>
      <c r="F126">
        <v>1.7889209875627901</v>
      </c>
      <c r="G126">
        <v>-1687.1187507950847</v>
      </c>
      <c r="H126">
        <v>-1405.310980176685</v>
      </c>
      <c r="I126">
        <v>276.79000054685503</v>
      </c>
      <c r="J126">
        <v>149.782373857008</v>
      </c>
      <c r="K126">
        <v>56.888923304340501</v>
      </c>
      <c r="L126">
        <v>5.4778078262635098E-4</v>
      </c>
      <c r="M126">
        <v>1.0501369719869039E-4</v>
      </c>
      <c r="N126" s="1">
        <v>1.73451882026676E-5</v>
      </c>
      <c r="O126" s="1">
        <v>6.4843425357013303E-6</v>
      </c>
      <c r="P126" s="1">
        <v>-1.9421407136063801E-5</v>
      </c>
    </row>
    <row r="127" spans="1:16" x14ac:dyDescent="0.2">
      <c r="A127">
        <v>126</v>
      </c>
      <c r="B127">
        <v>764</v>
      </c>
      <c r="C127">
        <v>200</v>
      </c>
      <c r="D127">
        <v>0.38736971508460899</v>
      </c>
      <c r="E127">
        <v>5.3043750625850503</v>
      </c>
      <c r="F127">
        <v>0.45228805448552301</v>
      </c>
      <c r="G127">
        <v>-116.05772495726906</v>
      </c>
      <c r="H127">
        <v>-67.062324542560006</v>
      </c>
      <c r="I127">
        <v>47.243345614275398</v>
      </c>
      <c r="J127">
        <v>20.973127997363399</v>
      </c>
      <c r="K127">
        <v>11.727869020592999</v>
      </c>
      <c r="L127">
        <v>1.5221493354871563E-3</v>
      </c>
      <c r="M127">
        <v>3.4394199512921059E-4</v>
      </c>
      <c r="N127" s="1">
        <v>5.7522617140399501E-6</v>
      </c>
      <c r="O127" s="1">
        <v>4.9727356842263197E-6</v>
      </c>
      <c r="P127" s="1">
        <v>-1.2287636347063701E-5</v>
      </c>
    </row>
    <row r="128" spans="1:16" x14ac:dyDescent="0.2">
      <c r="A128">
        <v>127</v>
      </c>
      <c r="B128">
        <v>763</v>
      </c>
      <c r="C128">
        <v>200</v>
      </c>
      <c r="D128">
        <v>0.38671090093133698</v>
      </c>
      <c r="E128">
        <v>5.3640992962344098</v>
      </c>
      <c r="F128">
        <v>0.45692956815903601</v>
      </c>
      <c r="G128">
        <v>-117.0048877825522</v>
      </c>
      <c r="H128">
        <v>-67.932002199888203</v>
      </c>
      <c r="I128">
        <v>47.3637243069196</v>
      </c>
      <c r="J128">
        <v>21.066771577313698</v>
      </c>
      <c r="K128">
        <v>11.7394444790392</v>
      </c>
      <c r="L128">
        <v>1.5210887164539054E-3</v>
      </c>
      <c r="M128">
        <v>3.4276895661003058E-4</v>
      </c>
      <c r="N128" s="1">
        <v>5.8881541205118902E-6</v>
      </c>
      <c r="O128" s="1">
        <v>4.9617865638616004E-6</v>
      </c>
      <c r="P128" s="1">
        <v>-1.2305603022761801E-5</v>
      </c>
    </row>
    <row r="129" spans="1:16" x14ac:dyDescent="0.2">
      <c r="A129">
        <v>128</v>
      </c>
      <c r="B129">
        <v>762</v>
      </c>
      <c r="C129">
        <v>200</v>
      </c>
      <c r="D129">
        <v>0.38605081389170998</v>
      </c>
      <c r="E129">
        <v>5.5689366951418302</v>
      </c>
      <c r="F129">
        <v>0.47116025251926102</v>
      </c>
      <c r="G129">
        <v>-120.35888185490722</v>
      </c>
      <c r="H129">
        <v>-70.866733528666984</v>
      </c>
      <c r="I129">
        <v>47.814511128044103</v>
      </c>
      <c r="J129">
        <v>21.346508745790899</v>
      </c>
      <c r="K129">
        <v>11.8196232924256</v>
      </c>
      <c r="L129">
        <v>1.513006305013461E-3</v>
      </c>
      <c r="M129">
        <v>3.4002596440272373E-4</v>
      </c>
      <c r="N129" s="1">
        <v>6.0322665824274297E-6</v>
      </c>
      <c r="O129" s="1">
        <v>4.9567085559838001E-6</v>
      </c>
      <c r="P129" s="1">
        <v>-1.2338217103783199E-5</v>
      </c>
    </row>
    <row r="130" spans="1:16" x14ac:dyDescent="0.2">
      <c r="A130">
        <v>129</v>
      </c>
      <c r="B130">
        <v>761</v>
      </c>
      <c r="C130">
        <v>200</v>
      </c>
      <c r="D130">
        <v>0.38538945027317301</v>
      </c>
      <c r="E130">
        <v>5.7728298512451302</v>
      </c>
      <c r="F130">
        <v>0.48514096869983198</v>
      </c>
      <c r="G130">
        <v>-123.69625198716095</v>
      </c>
      <c r="H130">
        <v>-73.788584268942316</v>
      </c>
      <c r="I130">
        <v>48.262549986132903</v>
      </c>
      <c r="J130">
        <v>21.625011873490799</v>
      </c>
      <c r="K130">
        <v>11.8992833499842</v>
      </c>
      <c r="L130">
        <v>1.5050715042828368E-3</v>
      </c>
      <c r="M130">
        <v>3.3732689010130981E-4</v>
      </c>
      <c r="N130" s="1">
        <v>6.1776427980830596E-6</v>
      </c>
      <c r="O130" s="1">
        <v>4.9514908077307499E-6</v>
      </c>
      <c r="P130" s="1">
        <v>-1.23706222358609E-5</v>
      </c>
    </row>
    <row r="131" spans="1:16" x14ac:dyDescent="0.2">
      <c r="A131">
        <v>130</v>
      </c>
      <c r="B131">
        <v>760</v>
      </c>
      <c r="C131">
        <v>200</v>
      </c>
      <c r="D131">
        <v>0.38472680636887402</v>
      </c>
      <c r="E131">
        <v>5.97578595399583</v>
      </c>
      <c r="F131">
        <v>0.498878944300919</v>
      </c>
      <c r="G131">
        <v>-127.0171253264066</v>
      </c>
      <c r="H131">
        <v>-76.697652887369628</v>
      </c>
      <c r="I131">
        <v>48.707860662227297</v>
      </c>
      <c r="J131">
        <v>21.902289582211999</v>
      </c>
      <c r="K131">
        <v>11.9784288799154</v>
      </c>
      <c r="L131">
        <v>1.4972798084876922E-3</v>
      </c>
      <c r="M131">
        <v>3.3467044966946884E-4</v>
      </c>
      <c r="N131" s="1">
        <v>6.3242798467591199E-6</v>
      </c>
      <c r="O131" s="1">
        <v>4.9461338244879696E-6</v>
      </c>
      <c r="P131" s="1">
        <v>-1.24028159176805E-5</v>
      </c>
    </row>
    <row r="132" spans="1:16" x14ac:dyDescent="0.2">
      <c r="A132">
        <v>131</v>
      </c>
      <c r="B132">
        <v>759</v>
      </c>
      <c r="C132">
        <v>200</v>
      </c>
      <c r="D132">
        <v>0.38406287845759102</v>
      </c>
      <c r="E132">
        <v>6.1778121169508902</v>
      </c>
      <c r="F132">
        <v>0.51238113037275501</v>
      </c>
      <c r="G132">
        <v>-130.32162768434134</v>
      </c>
      <c r="H132">
        <v>-79.594036808204137</v>
      </c>
      <c r="I132">
        <v>49.150462730156498</v>
      </c>
      <c r="J132">
        <v>22.1783503868838</v>
      </c>
      <c r="K132">
        <v>12.0570640695853</v>
      </c>
      <c r="L132">
        <v>1.4896268825086462E-3</v>
      </c>
      <c r="M132">
        <v>3.32055408466083E-4</v>
      </c>
      <c r="N132" s="1">
        <v>6.4721745775402097E-6</v>
      </c>
      <c r="O132" s="1">
        <v>4.9406381118411897E-6</v>
      </c>
      <c r="P132" s="1">
        <v>-1.2434795620231E-5</v>
      </c>
    </row>
    <row r="133" spans="1:16" x14ac:dyDescent="0.2">
      <c r="A133">
        <v>132</v>
      </c>
      <c r="B133">
        <v>758</v>
      </c>
      <c r="C133">
        <v>200</v>
      </c>
      <c r="D133">
        <v>0.383397662803666</v>
      </c>
      <c r="E133">
        <v>6.3789153838619503</v>
      </c>
      <c r="F133">
        <v>0.52565421478714303</v>
      </c>
      <c r="G133">
        <v>-133.6098836401647</v>
      </c>
      <c r="H133">
        <v>-82.477832499184387</v>
      </c>
      <c r="I133">
        <v>49.590375572034198</v>
      </c>
      <c r="J133">
        <v>22.453202703920901</v>
      </c>
      <c r="K133">
        <v>12.135193068783799</v>
      </c>
      <c r="L133">
        <v>1.4821085536120763E-3</v>
      </c>
      <c r="M133">
        <v>3.294805788673437E-4</v>
      </c>
      <c r="N133" s="1">
        <v>6.6213236071478803E-6</v>
      </c>
      <c r="O133" s="1">
        <v>4.9350041761713303E-6</v>
      </c>
      <c r="P133" s="1">
        <v>-1.2466558788291501E-5</v>
      </c>
    </row>
    <row r="134" spans="1:16" x14ac:dyDescent="0.2">
      <c r="A134">
        <v>133</v>
      </c>
      <c r="B134">
        <v>757</v>
      </c>
      <c r="C134">
        <v>200</v>
      </c>
      <c r="D134">
        <v>0.38273115565694399</v>
      </c>
      <c r="E134">
        <v>6.8506398017460501</v>
      </c>
      <c r="F134">
        <v>0.55472136521226301</v>
      </c>
      <c r="G134">
        <v>-141.39118802130523</v>
      </c>
      <c r="H134">
        <v>-89.161632993240232</v>
      </c>
      <c r="I134">
        <v>50.703911887999503</v>
      </c>
      <c r="J134">
        <v>23.100320946362501</v>
      </c>
      <c r="K134">
        <v>12.3496952368594</v>
      </c>
      <c r="L134">
        <v>1.4631995065275717E-3</v>
      </c>
      <c r="M134">
        <v>3.2436630823212334E-4</v>
      </c>
      <c r="N134" s="1">
        <v>6.7909563395121601E-6</v>
      </c>
      <c r="O134" s="1">
        <v>4.9449697560088101E-6</v>
      </c>
      <c r="P134" s="1">
        <v>-1.2537994748903401E-5</v>
      </c>
    </row>
    <row r="135" spans="1:16" x14ac:dyDescent="0.2">
      <c r="A135">
        <v>134</v>
      </c>
      <c r="B135">
        <v>756</v>
      </c>
      <c r="C135">
        <v>200</v>
      </c>
      <c r="D135">
        <v>0.38206335325268598</v>
      </c>
      <c r="E135">
        <v>9.1456953408206498</v>
      </c>
      <c r="F135">
        <v>0.67834843689371405</v>
      </c>
      <c r="G135">
        <v>-179.42877494683259</v>
      </c>
      <c r="H135">
        <v>-121.43631272278485</v>
      </c>
      <c r="I135">
        <v>56.352934707339401</v>
      </c>
      <c r="J135">
        <v>26.254728869970801</v>
      </c>
      <c r="K135">
        <v>13.4822973613686</v>
      </c>
      <c r="L135">
        <v>1.3760778690704173E-3</v>
      </c>
      <c r="M135">
        <v>3.0404861695258024E-4</v>
      </c>
      <c r="N135" s="1">
        <v>7.0937191507265999E-6</v>
      </c>
      <c r="O135" s="1">
        <v>5.0596974770267003E-6</v>
      </c>
      <c r="P135" s="1">
        <v>-1.28763958492617E-5</v>
      </c>
    </row>
    <row r="136" spans="1:16" x14ac:dyDescent="0.2">
      <c r="A136">
        <v>135</v>
      </c>
      <c r="B136">
        <v>755</v>
      </c>
      <c r="C136">
        <v>200</v>
      </c>
      <c r="D136">
        <v>0.38139425181150599</v>
      </c>
      <c r="E136">
        <v>11.591779189366401</v>
      </c>
      <c r="F136">
        <v>0.78916346615896904</v>
      </c>
      <c r="G136">
        <v>-219.92605878481379</v>
      </c>
      <c r="H136">
        <v>-155.80870888100893</v>
      </c>
      <c r="I136">
        <v>62.365020593895899</v>
      </c>
      <c r="J136">
        <v>29.6145272843792</v>
      </c>
      <c r="K136">
        <v>14.688692123301299</v>
      </c>
      <c r="L136">
        <v>1.2978734078643358E-3</v>
      </c>
      <c r="M136">
        <v>2.858189641643224E-4</v>
      </c>
      <c r="N136" s="1">
        <v>7.4132000898705604E-6</v>
      </c>
      <c r="O136" s="1">
        <v>5.1812215411694698E-6</v>
      </c>
      <c r="P136" s="1">
        <v>-1.3234554667123499E-5</v>
      </c>
    </row>
    <row r="137" spans="1:16" x14ac:dyDescent="0.2">
      <c r="A137">
        <v>136</v>
      </c>
      <c r="B137">
        <v>754</v>
      </c>
      <c r="C137">
        <v>200</v>
      </c>
      <c r="D137">
        <v>0.38072384753930699</v>
      </c>
      <c r="E137">
        <v>14.293259872944899</v>
      </c>
      <c r="F137">
        <v>0.89221744930050195</v>
      </c>
      <c r="G137">
        <v>-264.59038123110696</v>
      </c>
      <c r="H137">
        <v>-193.72894031425002</v>
      </c>
      <c r="I137">
        <v>68.991656883177299</v>
      </c>
      <c r="J137">
        <v>33.319460421780903</v>
      </c>
      <c r="K137">
        <v>16.019928644245599</v>
      </c>
      <c r="L137">
        <v>1.2249463445588216E-3</v>
      </c>
      <c r="M137">
        <v>2.6885402866023397E-4</v>
      </c>
      <c r="N137" s="1">
        <v>7.7567079825821007E-6</v>
      </c>
      <c r="O137" s="1">
        <v>5.3145285214745698E-6</v>
      </c>
      <c r="P137" s="1">
        <v>-1.36254634977196E-5</v>
      </c>
    </row>
    <row r="138" spans="1:16" x14ac:dyDescent="0.2">
      <c r="A138">
        <v>137</v>
      </c>
      <c r="B138">
        <v>753</v>
      </c>
      <c r="C138">
        <v>200</v>
      </c>
      <c r="D138">
        <v>0.380052136627202</v>
      </c>
      <c r="E138">
        <v>28.9637168731863</v>
      </c>
      <c r="F138">
        <v>1.24962654299853</v>
      </c>
      <c r="G138">
        <v>-504.88659565089858</v>
      </c>
      <c r="H138">
        <v>-397.89292923326616</v>
      </c>
      <c r="I138">
        <v>104.270773728458</v>
      </c>
      <c r="J138">
        <v>52.947661033059603</v>
      </c>
      <c r="K138">
        <v>23.177898257255801</v>
      </c>
      <c r="L138">
        <v>9.642870741594379E-4</v>
      </c>
      <c r="M138">
        <v>2.1047082200495096E-4</v>
      </c>
      <c r="N138" s="1">
        <v>8.8871438616365298E-6</v>
      </c>
      <c r="O138" s="1">
        <v>6.0104589005422797E-6</v>
      </c>
      <c r="P138" s="1">
        <v>-1.5466688630719899E-5</v>
      </c>
    </row>
    <row r="139" spans="1:16" x14ac:dyDescent="0.2">
      <c r="A139">
        <v>138</v>
      </c>
      <c r="B139">
        <v>752</v>
      </c>
      <c r="C139">
        <v>200</v>
      </c>
      <c r="D139">
        <v>0.37937911525142798</v>
      </c>
      <c r="E139">
        <v>59.533897887767303</v>
      </c>
      <c r="F139">
        <v>1.5652761338808601</v>
      </c>
      <c r="G139">
        <v>-1003.1464691800048</v>
      </c>
      <c r="H139">
        <v>-821.14189299429711</v>
      </c>
      <c r="I139">
        <v>177.544055923119</v>
      </c>
      <c r="J139">
        <v>93.699813264632795</v>
      </c>
      <c r="K139">
        <v>38.0341184530565</v>
      </c>
      <c r="L139">
        <v>7.3557778705964538E-4</v>
      </c>
      <c r="M139">
        <v>1.5945483232759769E-4</v>
      </c>
      <c r="N139" s="1">
        <v>1.11180932810357E-5</v>
      </c>
      <c r="O139" s="1">
        <v>7.4552595984304297E-6</v>
      </c>
      <c r="P139" s="1">
        <v>-1.92553961606953E-5</v>
      </c>
    </row>
    <row r="140" spans="1:16" x14ac:dyDescent="0.2">
      <c r="A140">
        <v>139</v>
      </c>
      <c r="B140">
        <v>751</v>
      </c>
      <c r="C140">
        <v>200</v>
      </c>
      <c r="D140">
        <v>0.378704779573308</v>
      </c>
      <c r="E140">
        <v>86.675372208144296</v>
      </c>
      <c r="F140">
        <v>1.6935963314760001</v>
      </c>
      <c r="G140">
        <v>-1444.4960664993505</v>
      </c>
      <c r="H140">
        <v>-1196.2022083808638</v>
      </c>
      <c r="I140">
        <v>242.44435794702801</v>
      </c>
      <c r="J140">
        <v>129.855929691808</v>
      </c>
      <c r="K140">
        <v>51.178294731309897</v>
      </c>
      <c r="L140">
        <v>6.4386272648725277E-4</v>
      </c>
      <c r="M140">
        <v>1.3884292936535119E-4</v>
      </c>
      <c r="N140" s="1">
        <v>1.31848369702557E-5</v>
      </c>
      <c r="O140" s="1">
        <v>8.7233911267539698E-6</v>
      </c>
      <c r="P140" s="1">
        <v>-2.2614303244492899E-5</v>
      </c>
    </row>
    <row r="141" spans="1:16" x14ac:dyDescent="0.2">
      <c r="A141">
        <v>140</v>
      </c>
      <c r="B141">
        <v>750</v>
      </c>
      <c r="C141">
        <v>200</v>
      </c>
      <c r="D141">
        <v>0.37802912573913899</v>
      </c>
      <c r="E141">
        <v>97.210633228173194</v>
      </c>
      <c r="F141">
        <v>1.72823281536913</v>
      </c>
      <c r="G141">
        <v>-1615.6524344712948</v>
      </c>
      <c r="H141">
        <v>-1341.961993527279</v>
      </c>
      <c r="I141">
        <v>267.50358015281898</v>
      </c>
      <c r="J141">
        <v>143.91300295319999</v>
      </c>
      <c r="K141">
        <v>56.248575055213202</v>
      </c>
      <c r="L141">
        <v>6.1981536439467862E-4</v>
      </c>
      <c r="M141">
        <v>1.3318206319353314E-4</v>
      </c>
      <c r="N141" s="1">
        <v>1.41575395815771E-5</v>
      </c>
      <c r="O141" s="1">
        <v>9.1937632418129008E-6</v>
      </c>
      <c r="P141" s="1">
        <v>-2.3922584046352001E-5</v>
      </c>
    </row>
    <row r="142" spans="1:16" x14ac:dyDescent="0.2">
      <c r="A142">
        <v>141</v>
      </c>
      <c r="B142">
        <v>749</v>
      </c>
      <c r="C142">
        <v>200</v>
      </c>
      <c r="D142">
        <v>0.37735214988015597</v>
      </c>
      <c r="E142">
        <v>101.018564233432</v>
      </c>
      <c r="F142">
        <v>1.7400072487185101</v>
      </c>
      <c r="G142">
        <v>-1677.3272176383573</v>
      </c>
      <c r="H142">
        <v>-1394.755177823562</v>
      </c>
      <c r="I142">
        <v>276.45453294318401</v>
      </c>
      <c r="J142">
        <v>149.02148747939901</v>
      </c>
      <c r="K142">
        <v>58.056404252241499</v>
      </c>
      <c r="L142">
        <v>6.122217755484187E-4</v>
      </c>
      <c r="M142">
        <v>1.3114975190098036E-4</v>
      </c>
      <c r="N142" s="1">
        <v>1.4680876187556799E-5</v>
      </c>
      <c r="O142" s="1">
        <v>9.3442474020035898E-6</v>
      </c>
      <c r="P142" s="1">
        <v>-2.4405071293905601E-5</v>
      </c>
    </row>
    <row r="143" spans="1:16" x14ac:dyDescent="0.2">
      <c r="A143">
        <v>142</v>
      </c>
      <c r="B143">
        <v>765</v>
      </c>
      <c r="C143">
        <v>180</v>
      </c>
      <c r="D143">
        <v>0.409218802677841</v>
      </c>
      <c r="E143">
        <v>5.6310322590243</v>
      </c>
      <c r="F143">
        <v>0.41871137437891198</v>
      </c>
      <c r="G143">
        <v>-123.51377269952162</v>
      </c>
      <c r="H143">
        <v>-71.005837476306596</v>
      </c>
      <c r="I143">
        <v>50.581474397397798</v>
      </c>
      <c r="J143">
        <v>22.341899780554598</v>
      </c>
      <c r="K143">
        <v>13.4484817074219</v>
      </c>
      <c r="L143">
        <v>1.6274335457675544E-3</v>
      </c>
      <c r="M143">
        <v>4.1497905989361958E-4</v>
      </c>
      <c r="N143" s="1">
        <v>2.6364046922832198E-6</v>
      </c>
      <c r="O143" s="1">
        <v>7.7561884940872905E-6</v>
      </c>
      <c r="P143" s="1">
        <v>-1.64045157709934E-5</v>
      </c>
    </row>
    <row r="144" spans="1:16" x14ac:dyDescent="0.2">
      <c r="A144">
        <v>143</v>
      </c>
      <c r="B144">
        <v>764</v>
      </c>
      <c r="C144">
        <v>180</v>
      </c>
      <c r="D144">
        <v>0.40858169020874802</v>
      </c>
      <c r="E144">
        <v>5.7005187594394204</v>
      </c>
      <c r="F144">
        <v>0.42349378618249101</v>
      </c>
      <c r="G144">
        <v>-124.61870541662529</v>
      </c>
      <c r="H144">
        <v>-72.016621137425247</v>
      </c>
      <c r="I144">
        <v>50.7210226494145</v>
      </c>
      <c r="J144">
        <v>22.451269919287299</v>
      </c>
      <c r="K144">
        <v>13.460690440881599</v>
      </c>
      <c r="L144">
        <v>1.6267339119374218E-3</v>
      </c>
      <c r="M144">
        <v>4.1363428632985465E-4</v>
      </c>
      <c r="N144" s="1">
        <v>2.80139380902327E-6</v>
      </c>
      <c r="O144" s="1">
        <v>7.7417497761552307E-6</v>
      </c>
      <c r="P144" s="1">
        <v>-1.6437340987072602E-5</v>
      </c>
    </row>
    <row r="145" spans="1:16" x14ac:dyDescent="0.2">
      <c r="A145">
        <v>144</v>
      </c>
      <c r="B145">
        <v>763</v>
      </c>
      <c r="C145">
        <v>180</v>
      </c>
      <c r="D145">
        <v>0.40794334797085602</v>
      </c>
      <c r="E145">
        <v>5.89832252427441</v>
      </c>
      <c r="F145">
        <v>0.43581293603639099</v>
      </c>
      <c r="G145">
        <v>-127.85197719833518</v>
      </c>
      <c r="H145">
        <v>-74.854541154100119</v>
      </c>
      <c r="I145">
        <v>51.151537349361298</v>
      </c>
      <c r="J145">
        <v>22.7246267956805</v>
      </c>
      <c r="K145">
        <v>13.534069405828401</v>
      </c>
      <c r="L145">
        <v>1.6202189452194211E-3</v>
      </c>
      <c r="M145">
        <v>4.1082152006556127E-4</v>
      </c>
      <c r="N145" s="1">
        <v>2.9709382926017502E-6</v>
      </c>
      <c r="O145" s="1">
        <v>7.7345902000269099E-6</v>
      </c>
      <c r="P145" s="1">
        <v>-1.6485820046373999E-5</v>
      </c>
    </row>
    <row r="146" spans="1:16" x14ac:dyDescent="0.2">
      <c r="A146">
        <v>145</v>
      </c>
      <c r="B146">
        <v>762</v>
      </c>
      <c r="C146">
        <v>180</v>
      </c>
      <c r="D146">
        <v>0.40730377240013699</v>
      </c>
      <c r="E146">
        <v>7.3184481292669101</v>
      </c>
      <c r="F146">
        <v>0.51433522725635406</v>
      </c>
      <c r="G146">
        <v>-151.38368819530373</v>
      </c>
      <c r="H146">
        <v>-94.861331129093045</v>
      </c>
      <c r="I146">
        <v>54.606224087013103</v>
      </c>
      <c r="J146">
        <v>24.664767174486101</v>
      </c>
      <c r="K146">
        <v>14.228945912</v>
      </c>
      <c r="L146">
        <v>1.5636770588208814E-3</v>
      </c>
      <c r="M146">
        <v>3.9525689832936123E-4</v>
      </c>
      <c r="N146" s="1">
        <v>3.17370524520403E-6</v>
      </c>
      <c r="O146" s="1">
        <v>7.8262047491256208E-6</v>
      </c>
      <c r="P146" s="1">
        <v>-1.6745868699275701E-5</v>
      </c>
    </row>
    <row r="147" spans="1:16" x14ac:dyDescent="0.2">
      <c r="A147">
        <v>146</v>
      </c>
      <c r="B147">
        <v>761</v>
      </c>
      <c r="C147">
        <v>180</v>
      </c>
      <c r="D147">
        <v>0.40666295991877599</v>
      </c>
      <c r="E147">
        <v>9.5866000483267193</v>
      </c>
      <c r="F147">
        <v>0.62438685266029204</v>
      </c>
      <c r="G147">
        <v>-188.96985398647783</v>
      </c>
      <c r="H147">
        <v>-126.76699097803117</v>
      </c>
      <c r="I147">
        <v>60.152022075579701</v>
      </c>
      <c r="J147">
        <v>27.760731667001899</v>
      </c>
      <c r="K147">
        <v>15.3536225298172</v>
      </c>
      <c r="L147">
        <v>1.4830314801245609E-3</v>
      </c>
      <c r="M147">
        <v>3.7363948938888591E-4</v>
      </c>
      <c r="N147" s="1">
        <v>3.4049278598494899E-6</v>
      </c>
      <c r="O147" s="1">
        <v>7.9848858723131701E-6</v>
      </c>
      <c r="P147" s="1">
        <v>-1.7151856403825201E-5</v>
      </c>
    </row>
    <row r="148" spans="1:16" x14ac:dyDescent="0.2">
      <c r="A148">
        <v>147</v>
      </c>
      <c r="B148">
        <v>760</v>
      </c>
      <c r="C148">
        <v>180</v>
      </c>
      <c r="D148">
        <v>0.40602090693510101</v>
      </c>
      <c r="E148">
        <v>11.9873677157768</v>
      </c>
      <c r="F148">
        <v>0.72460307704819504</v>
      </c>
      <c r="G148">
        <v>-228.71306970988883</v>
      </c>
      <c r="H148">
        <v>-160.51422357180036</v>
      </c>
      <c r="I148">
        <v>66.013914221729905</v>
      </c>
      <c r="J148">
        <v>31.035528231273702</v>
      </c>
      <c r="K148">
        <v>16.543357453862299</v>
      </c>
      <c r="L148">
        <v>1.4094847488744131E-3</v>
      </c>
      <c r="M148">
        <v>3.5393618590121538E-4</v>
      </c>
      <c r="N148" s="1">
        <v>3.64789288528278E-6</v>
      </c>
      <c r="O148" s="1">
        <v>8.1518510362720107E-6</v>
      </c>
      <c r="P148" s="1">
        <v>-1.7578746010997799E-5</v>
      </c>
    </row>
    <row r="149" spans="1:16" x14ac:dyDescent="0.2">
      <c r="A149">
        <v>148</v>
      </c>
      <c r="B149">
        <v>759</v>
      </c>
      <c r="C149">
        <v>180</v>
      </c>
      <c r="D149">
        <v>0.40537760984353299</v>
      </c>
      <c r="E149">
        <v>14.601563374461801</v>
      </c>
      <c r="F149">
        <v>0.81856743999396597</v>
      </c>
      <c r="G149">
        <v>-271.93503467240049</v>
      </c>
      <c r="H149">
        <v>-197.22594262146768</v>
      </c>
      <c r="I149">
        <v>72.385415209797401</v>
      </c>
      <c r="J149">
        <v>34.596491033330402</v>
      </c>
      <c r="K149">
        <v>17.837947933244699</v>
      </c>
      <c r="L149">
        <v>1.3403334451029699E-3</v>
      </c>
      <c r="M149">
        <v>3.3544859571229792E-4</v>
      </c>
      <c r="N149" s="1">
        <v>3.9053774417978997E-6</v>
      </c>
      <c r="O149" s="1">
        <v>8.3324851442404792E-6</v>
      </c>
      <c r="P149" s="1">
        <v>-1.8038427429733899E-5</v>
      </c>
    </row>
    <row r="150" spans="1:16" x14ac:dyDescent="0.2">
      <c r="A150">
        <v>149</v>
      </c>
      <c r="B150">
        <v>758</v>
      </c>
      <c r="C150">
        <v>180</v>
      </c>
      <c r="D150">
        <v>0.40473306502448703</v>
      </c>
      <c r="E150">
        <v>17.6249612325113</v>
      </c>
      <c r="F150">
        <v>0.91161191988746104</v>
      </c>
      <c r="G150">
        <v>-321.83774839073465</v>
      </c>
      <c r="H150">
        <v>-239.62214822599248</v>
      </c>
      <c r="I150">
        <v>79.735451794766206</v>
      </c>
      <c r="J150">
        <v>38.703534017849002</v>
      </c>
      <c r="K150">
        <v>19.3338424476581</v>
      </c>
      <c r="L150">
        <v>1.2714883144583232E-3</v>
      </c>
      <c r="M150">
        <v>3.1713665240928857E-4</v>
      </c>
      <c r="N150" s="1">
        <v>4.1838533478829202E-6</v>
      </c>
      <c r="O150" s="1">
        <v>8.5398645052811392E-6</v>
      </c>
      <c r="P150" s="1">
        <v>-1.8559688664076699E-5</v>
      </c>
    </row>
    <row r="151" spans="1:16" x14ac:dyDescent="0.2">
      <c r="A151">
        <v>150</v>
      </c>
      <c r="B151">
        <v>757</v>
      </c>
      <c r="C151">
        <v>180</v>
      </c>
      <c r="D151">
        <v>0.40408726884434598</v>
      </c>
      <c r="E151">
        <v>35.582395253325203</v>
      </c>
      <c r="F151">
        <v>1.2639860818412201</v>
      </c>
      <c r="G151">
        <v>-615.77985659256854</v>
      </c>
      <c r="H151">
        <v>-489.46426891839059</v>
      </c>
      <c r="I151">
        <v>122.622638290891</v>
      </c>
      <c r="J151">
        <v>62.531124234633303</v>
      </c>
      <c r="K151">
        <v>28.1509391317766</v>
      </c>
      <c r="L151">
        <v>1.0011369037473952E-3</v>
      </c>
      <c r="M151">
        <v>2.4829910454062768E-4</v>
      </c>
      <c r="N151" s="1">
        <v>4.9150905816811799E-6</v>
      </c>
      <c r="O151" s="1">
        <v>9.7261706589394707E-6</v>
      </c>
      <c r="P151" s="1">
        <v>-2.12204268427369E-5</v>
      </c>
    </row>
    <row r="152" spans="1:16" x14ac:dyDescent="0.2">
      <c r="A152">
        <v>151</v>
      </c>
      <c r="B152">
        <v>756</v>
      </c>
      <c r="C152">
        <v>180</v>
      </c>
      <c r="D152">
        <v>0.40344021765534699</v>
      </c>
      <c r="E152">
        <v>69.7143416814597</v>
      </c>
      <c r="F152">
        <v>1.5546313736430299</v>
      </c>
      <c r="G152">
        <v>-1171.3046172761315</v>
      </c>
      <c r="H152">
        <v>-961.4184307377426</v>
      </c>
      <c r="I152">
        <v>203.946247127719</v>
      </c>
      <c r="J152">
        <v>107.68778006289</v>
      </c>
      <c r="K152">
        <v>44.843004498291499</v>
      </c>
      <c r="L152">
        <v>7.806261238843523E-4</v>
      </c>
      <c r="M152">
        <v>1.9234022977048412E-4</v>
      </c>
      <c r="N152" s="1">
        <v>6.2071429791695197E-6</v>
      </c>
      <c r="O152" s="1">
        <v>1.1984507158291001E-5</v>
      </c>
      <c r="P152" s="1">
        <v>-2.62497541889006E-5</v>
      </c>
    </row>
    <row r="153" spans="1:16" x14ac:dyDescent="0.2">
      <c r="A153">
        <v>152</v>
      </c>
      <c r="B153">
        <v>755</v>
      </c>
      <c r="C153">
        <v>180</v>
      </c>
      <c r="D153">
        <v>0.40279190779555302</v>
      </c>
      <c r="E153">
        <v>89.833726354762007</v>
      </c>
      <c r="F153">
        <v>1.64412426737058</v>
      </c>
      <c r="G153">
        <v>-1498.3821400007412</v>
      </c>
      <c r="H153">
        <v>-1239.5732324380419</v>
      </c>
      <c r="I153">
        <v>251.728415496324</v>
      </c>
      <c r="J153">
        <v>134.307839069403</v>
      </c>
      <c r="K153">
        <v>54.639255765278101</v>
      </c>
      <c r="L153">
        <v>7.138277145345704E-4</v>
      </c>
      <c r="M153">
        <v>1.7509978543577418E-4</v>
      </c>
      <c r="N153" s="1">
        <v>7.1340661905558997E-6</v>
      </c>
      <c r="O153" s="1">
        <v>1.3288869770506E-5</v>
      </c>
      <c r="P153" s="1">
        <v>-2.9221022538472001E-5</v>
      </c>
    </row>
    <row r="154" spans="1:16" x14ac:dyDescent="0.2">
      <c r="A154">
        <v>153</v>
      </c>
      <c r="B154">
        <v>754</v>
      </c>
      <c r="C154">
        <v>180</v>
      </c>
      <c r="D154">
        <v>0.402142335588766</v>
      </c>
      <c r="E154">
        <v>97.918889685181696</v>
      </c>
      <c r="F154">
        <v>1.6725761108696</v>
      </c>
      <c r="G154">
        <v>-1629.6544421523274</v>
      </c>
      <c r="H154">
        <v>-1351.4983121764537</v>
      </c>
      <c r="I154">
        <v>270.80954128552099</v>
      </c>
      <c r="J154">
        <v>145.02930782843299</v>
      </c>
      <c r="K154">
        <v>58.543757171248799</v>
      </c>
      <c r="L154">
        <v>6.9343581623188173E-4</v>
      </c>
      <c r="M154">
        <v>1.6951583419747601E-4</v>
      </c>
      <c r="N154" s="1">
        <v>7.7067010137605208E-6</v>
      </c>
      <c r="O154" s="1">
        <v>1.37865343750689E-5</v>
      </c>
      <c r="P154" s="1">
        <v>-3.0434840507511101E-5</v>
      </c>
    </row>
    <row r="155" spans="1:16" x14ac:dyDescent="0.2">
      <c r="A155">
        <v>154</v>
      </c>
      <c r="B155">
        <v>753</v>
      </c>
      <c r="C155">
        <v>180</v>
      </c>
      <c r="D155">
        <v>0.401491497344444</v>
      </c>
      <c r="E155">
        <v>101.267958679839</v>
      </c>
      <c r="F155">
        <v>1.6840157619698499</v>
      </c>
      <c r="G155">
        <v>-1683.8560019686738</v>
      </c>
      <c r="H155">
        <v>-1397.9607987461588</v>
      </c>
      <c r="I155">
        <v>278.61539498376698</v>
      </c>
      <c r="J155">
        <v>149.49748721589199</v>
      </c>
      <c r="K155">
        <v>60.134804534954199</v>
      </c>
      <c r="L155">
        <v>6.8595175803897238E-4</v>
      </c>
      <c r="M155">
        <v>1.6716789446649839E-4</v>
      </c>
      <c r="N155" s="1">
        <v>8.1358080556227693E-6</v>
      </c>
      <c r="O155" s="1">
        <v>1.3969512416633199E-5</v>
      </c>
      <c r="P155" s="1">
        <v>-3.0960638733206702E-5</v>
      </c>
    </row>
    <row r="156" spans="1:16" x14ac:dyDescent="0.2">
      <c r="A156">
        <v>155</v>
      </c>
      <c r="B156">
        <v>771</v>
      </c>
      <c r="C156">
        <v>160</v>
      </c>
      <c r="D156">
        <v>0.43408561988220001</v>
      </c>
      <c r="E156">
        <v>5.9662641994046597</v>
      </c>
      <c r="F156">
        <v>0.37800557274031998</v>
      </c>
      <c r="G156">
        <v>-131.48991046757209</v>
      </c>
      <c r="H156">
        <v>-74.868930940729982</v>
      </c>
      <c r="I156">
        <v>54.230133399978499</v>
      </c>
      <c r="J156">
        <v>23.524140046642799</v>
      </c>
      <c r="K156">
        <v>15.783535031382501</v>
      </c>
      <c r="L156">
        <v>1.7155809021337013E-3</v>
      </c>
      <c r="M156">
        <v>5.1180493803831785E-4</v>
      </c>
      <c r="N156" s="1">
        <v>-4.8681323934555302E-6</v>
      </c>
      <c r="O156" s="1">
        <v>1.26362755854649E-5</v>
      </c>
      <c r="P156" s="1">
        <v>-2.1687983255797499E-5</v>
      </c>
    </row>
    <row r="157" spans="1:16" x14ac:dyDescent="0.2">
      <c r="A157">
        <v>156</v>
      </c>
      <c r="B157">
        <v>770</v>
      </c>
      <c r="C157">
        <v>160</v>
      </c>
      <c r="D157">
        <v>0.43347601016152998</v>
      </c>
      <c r="E157">
        <v>5.99597258587628</v>
      </c>
      <c r="F157">
        <v>0.38014947542010002</v>
      </c>
      <c r="G157">
        <v>-131.9307070330857</v>
      </c>
      <c r="H157">
        <v>-75.306727095800838</v>
      </c>
      <c r="I157">
        <v>54.284997727151797</v>
      </c>
      <c r="J157">
        <v>23.589699630757799</v>
      </c>
      <c r="K157">
        <v>15.7726709454226</v>
      </c>
      <c r="L157">
        <v>1.7176801894789812E-3</v>
      </c>
      <c r="M157">
        <v>5.1095870930042584E-4</v>
      </c>
      <c r="N157" s="1">
        <v>-4.7043379284519204E-6</v>
      </c>
      <c r="O157" s="1">
        <v>1.2615618548111299E-5</v>
      </c>
      <c r="P157" s="1">
        <v>-2.17381628832405E-5</v>
      </c>
    </row>
    <row r="158" spans="1:16" x14ac:dyDescent="0.2">
      <c r="A158">
        <v>157</v>
      </c>
      <c r="B158">
        <v>769</v>
      </c>
      <c r="C158">
        <v>160</v>
      </c>
      <c r="D158">
        <v>0.43286523053303499</v>
      </c>
      <c r="E158">
        <v>6.4389671554116799</v>
      </c>
      <c r="F158">
        <v>0.40289686786208201</v>
      </c>
      <c r="G158">
        <v>-139.24152278676158</v>
      </c>
      <c r="H158">
        <v>-81.511041311156561</v>
      </c>
      <c r="I158">
        <v>55.398851482622902</v>
      </c>
      <c r="J158">
        <v>24.230200698794</v>
      </c>
      <c r="K158">
        <v>15.9816758804286</v>
      </c>
      <c r="L158">
        <v>1.7038406547186498E-3</v>
      </c>
      <c r="M158">
        <v>5.0531221207131282E-4</v>
      </c>
      <c r="N158" s="1">
        <v>-4.56167990285798E-6</v>
      </c>
      <c r="O158" s="1">
        <v>1.2650049475261E-5</v>
      </c>
      <c r="P158" s="1">
        <v>-2.1883934505204201E-5</v>
      </c>
    </row>
    <row r="159" spans="1:16" x14ac:dyDescent="0.2">
      <c r="A159">
        <v>158</v>
      </c>
      <c r="B159">
        <v>768</v>
      </c>
      <c r="C159">
        <v>160</v>
      </c>
      <c r="D159">
        <v>0.43225327762570398</v>
      </c>
      <c r="E159">
        <v>7.3213665359115101</v>
      </c>
      <c r="F159">
        <v>0.44606518516775501</v>
      </c>
      <c r="G159">
        <v>-153.84481660317309</v>
      </c>
      <c r="H159">
        <v>-93.908384570117434</v>
      </c>
      <c r="I159">
        <v>57.570852133154297</v>
      </c>
      <c r="J159">
        <v>25.455876011842101</v>
      </c>
      <c r="K159">
        <v>16.413221159947899</v>
      </c>
      <c r="L159">
        <v>1.6738269268879644E-3</v>
      </c>
      <c r="M159">
        <v>4.9488118107129334E-4</v>
      </c>
      <c r="N159" s="1">
        <v>-4.4337961761171704E-6</v>
      </c>
      <c r="O159" s="1">
        <v>1.27316450589735E-5</v>
      </c>
      <c r="P159" s="1">
        <v>-2.2112681675839702E-5</v>
      </c>
    </row>
    <row r="160" spans="1:16" x14ac:dyDescent="0.2">
      <c r="A160">
        <v>159</v>
      </c>
      <c r="B160">
        <v>767</v>
      </c>
      <c r="C160">
        <v>160</v>
      </c>
      <c r="D160">
        <v>0.43164014805557099</v>
      </c>
      <c r="E160">
        <v>9.5335161717697101</v>
      </c>
      <c r="F160">
        <v>0.54420665996403605</v>
      </c>
      <c r="G160">
        <v>-190.50678266100019</v>
      </c>
      <c r="H160">
        <v>-125.03737170027463</v>
      </c>
      <c r="I160">
        <v>62.945671024467103</v>
      </c>
      <c r="J160">
        <v>28.452012410901698</v>
      </c>
      <c r="K160">
        <v>17.518190924748499</v>
      </c>
      <c r="L160">
        <v>1.6002129960513273E-3</v>
      </c>
      <c r="M160">
        <v>4.7157408749107173E-4</v>
      </c>
      <c r="N160" s="1">
        <v>-4.3551384704949502E-6</v>
      </c>
      <c r="O160" s="1">
        <v>1.29559754503538E-5</v>
      </c>
      <c r="P160" s="1">
        <v>-2.2592025739539799E-5</v>
      </c>
    </row>
    <row r="161" spans="1:16" x14ac:dyDescent="0.2">
      <c r="A161">
        <v>160</v>
      </c>
      <c r="B161">
        <v>766</v>
      </c>
      <c r="C161">
        <v>160</v>
      </c>
      <c r="D161">
        <v>0.43102583842564002</v>
      </c>
      <c r="E161">
        <v>11.851355635290099</v>
      </c>
      <c r="F161">
        <v>0.63460006251007395</v>
      </c>
      <c r="G161">
        <v>-228.88438494003293</v>
      </c>
      <c r="H161">
        <v>-157.6333662477353</v>
      </c>
      <c r="I161">
        <v>68.570099041969698</v>
      </c>
      <c r="J161">
        <v>31.589551037279701</v>
      </c>
      <c r="K161">
        <v>18.675314320666299</v>
      </c>
      <c r="L161">
        <v>1.5323211065847689E-3</v>
      </c>
      <c r="M161">
        <v>4.5008795426544499E-4</v>
      </c>
      <c r="N161" s="1">
        <v>-4.2718016097135301E-6</v>
      </c>
      <c r="O161" s="1">
        <v>1.31897429409848E-5</v>
      </c>
      <c r="P161" s="1">
        <v>-2.3091624609896001E-5</v>
      </c>
    </row>
    <row r="162" spans="1:16" x14ac:dyDescent="0.2">
      <c r="A162">
        <v>161</v>
      </c>
      <c r="B162">
        <v>765</v>
      </c>
      <c r="C162">
        <v>160</v>
      </c>
      <c r="D162">
        <v>0.43041034532582101</v>
      </c>
      <c r="E162">
        <v>14.3290966241542</v>
      </c>
      <c r="F162">
        <v>0.71963736905695397</v>
      </c>
      <c r="G162">
        <v>-269.86411042825165</v>
      </c>
      <c r="H162">
        <v>-192.4496682722274</v>
      </c>
      <c r="I162">
        <v>74.573151446560601</v>
      </c>
      <c r="J162">
        <v>34.939847360265098</v>
      </c>
      <c r="K162">
        <v>19.911551623468</v>
      </c>
      <c r="L162">
        <v>1.4682896168214151E-3</v>
      </c>
      <c r="M162">
        <v>4.2985813918944039E-4</v>
      </c>
      <c r="N162" s="1">
        <v>-4.1850950928307703E-6</v>
      </c>
      <c r="O162" s="1">
        <v>1.34381317456006E-5</v>
      </c>
      <c r="P162" s="1">
        <v>-2.36208246873084E-5</v>
      </c>
    </row>
    <row r="163" spans="1:16" x14ac:dyDescent="0.2">
      <c r="A163">
        <v>162</v>
      </c>
      <c r="B163">
        <v>764</v>
      </c>
      <c r="C163">
        <v>160</v>
      </c>
      <c r="D163">
        <v>0.42979366533288699</v>
      </c>
      <c r="E163">
        <v>17.076849223759499</v>
      </c>
      <c r="F163">
        <v>0.80241928767403903</v>
      </c>
      <c r="G163">
        <v>-315.24671466337139</v>
      </c>
      <c r="H163">
        <v>-231.01623145777685</v>
      </c>
      <c r="I163">
        <v>81.2170281633678</v>
      </c>
      <c r="J163">
        <v>38.647827436755101</v>
      </c>
      <c r="K163">
        <v>21.2817033265238</v>
      </c>
      <c r="L163">
        <v>1.4056637093055328E-3</v>
      </c>
      <c r="M163">
        <v>4.1015149368902053E-4</v>
      </c>
      <c r="N163" s="1">
        <v>-4.0978770396483296E-6</v>
      </c>
      <c r="O163" s="1">
        <v>1.3711712336099999E-5</v>
      </c>
      <c r="P163" s="1">
        <v>-2.41986266128516E-5</v>
      </c>
    </row>
    <row r="164" spans="1:16" x14ac:dyDescent="0.2">
      <c r="A164">
        <v>163</v>
      </c>
      <c r="B164">
        <v>763</v>
      </c>
      <c r="C164">
        <v>160</v>
      </c>
      <c r="D164">
        <v>0.42917579501038</v>
      </c>
      <c r="E164">
        <v>20.703238874554302</v>
      </c>
      <c r="F164">
        <v>0.89669931004685199</v>
      </c>
      <c r="G164">
        <v>-374.98482046796602</v>
      </c>
      <c r="H164">
        <v>-281.78915891356451</v>
      </c>
      <c r="I164">
        <v>89.947908045336106</v>
      </c>
      <c r="J164">
        <v>43.512650420438099</v>
      </c>
      <c r="K164">
        <v>23.088273451969702</v>
      </c>
      <c r="L164">
        <v>1.3333739313357148E-3</v>
      </c>
      <c r="M164">
        <v>3.8771250609906111E-4</v>
      </c>
      <c r="N164" s="1">
        <v>-4.0277663849616304E-6</v>
      </c>
      <c r="O164" s="1">
        <v>1.4068695827226199E-5</v>
      </c>
      <c r="P164" s="1">
        <v>-2.4928743253508299E-5</v>
      </c>
    </row>
    <row r="165" spans="1:16" x14ac:dyDescent="0.2">
      <c r="A165">
        <v>164</v>
      </c>
      <c r="B165">
        <v>762</v>
      </c>
      <c r="C165">
        <v>160</v>
      </c>
      <c r="D165">
        <v>0.428556730908567</v>
      </c>
      <c r="E165">
        <v>37.1586140017086</v>
      </c>
      <c r="F165">
        <v>1.1890768558413201</v>
      </c>
      <c r="G165">
        <v>-644.34699259627712</v>
      </c>
      <c r="H165">
        <v>-510.77549880029017</v>
      </c>
      <c r="I165">
        <v>129.040038920233</v>
      </c>
      <c r="J165">
        <v>65.180157601693693</v>
      </c>
      <c r="K165">
        <v>31.249968258289901</v>
      </c>
      <c r="L165">
        <v>1.1006299915419632E-3</v>
      </c>
      <c r="M165">
        <v>3.1840884968722895E-4</v>
      </c>
      <c r="N165" s="1">
        <v>-4.3154123917259004E-6</v>
      </c>
      <c r="O165" s="1">
        <v>1.5635237541415301E-5</v>
      </c>
      <c r="P165" s="1">
        <v>-2.7816343821961901E-5</v>
      </c>
    </row>
    <row r="166" spans="1:16" x14ac:dyDescent="0.2">
      <c r="A166">
        <v>165</v>
      </c>
      <c r="B166">
        <v>761</v>
      </c>
      <c r="C166">
        <v>160</v>
      </c>
      <c r="D166">
        <v>0.42793646956437897</v>
      </c>
      <c r="E166">
        <v>69.4170092324199</v>
      </c>
      <c r="F166">
        <v>1.47101132923327</v>
      </c>
      <c r="G166">
        <v>-1169.2996088449145</v>
      </c>
      <c r="H166">
        <v>-956.79529774122148</v>
      </c>
      <c r="I166">
        <v>205.49192242843901</v>
      </c>
      <c r="J166">
        <v>107.51727380106099</v>
      </c>
      <c r="K166">
        <v>47.189989535024097</v>
      </c>
      <c r="L166">
        <v>8.7821805056802638E-4</v>
      </c>
      <c r="M166">
        <v>2.5252553255041563E-4</v>
      </c>
      <c r="N166" s="1">
        <v>-5.0024072201216696E-6</v>
      </c>
      <c r="O166" s="1">
        <v>1.8713940559563199E-5</v>
      </c>
      <c r="P166" s="1">
        <v>-3.3428158900559498E-5</v>
      </c>
    </row>
    <row r="167" spans="1:16" x14ac:dyDescent="0.2">
      <c r="A167">
        <v>166</v>
      </c>
      <c r="B167">
        <v>760</v>
      </c>
      <c r="C167">
        <v>160</v>
      </c>
      <c r="D167">
        <v>0.427315007501331</v>
      </c>
      <c r="E167">
        <v>88.032891451998907</v>
      </c>
      <c r="F167">
        <v>1.56243074511765</v>
      </c>
      <c r="G167">
        <v>-1471.9085442152773</v>
      </c>
      <c r="H167">
        <v>-1214.1866868351117</v>
      </c>
      <c r="I167">
        <v>249.45797805942399</v>
      </c>
      <c r="J167">
        <v>131.951618699215</v>
      </c>
      <c r="K167">
        <v>56.343547851376897</v>
      </c>
      <c r="L167">
        <v>8.073619718418065E-4</v>
      </c>
      <c r="M167">
        <v>2.3115402703064721E-4</v>
      </c>
      <c r="N167" s="1">
        <v>-5.2253199444930097E-6</v>
      </c>
      <c r="O167" s="1">
        <v>2.0455597187873002E-5</v>
      </c>
      <c r="P167" s="1">
        <v>-3.6687643444316698E-5</v>
      </c>
    </row>
    <row r="168" spans="1:16" x14ac:dyDescent="0.2">
      <c r="A168">
        <v>167</v>
      </c>
      <c r="B168">
        <v>759</v>
      </c>
      <c r="C168">
        <v>160</v>
      </c>
      <c r="D168">
        <v>0.42669234122947503</v>
      </c>
      <c r="E168">
        <v>96.642723346230994</v>
      </c>
      <c r="F168">
        <v>1.59627130139402</v>
      </c>
      <c r="G168">
        <v>-1611.7069106729753</v>
      </c>
      <c r="H168">
        <v>-1333.3599150203929</v>
      </c>
      <c r="I168">
        <v>269.68257996937001</v>
      </c>
      <c r="J168">
        <v>143.27703152733201</v>
      </c>
      <c r="K168">
        <v>60.542793234353702</v>
      </c>
      <c r="L168">
        <v>7.8219131483030159E-4</v>
      </c>
      <c r="M168">
        <v>2.2316638968140499E-4</v>
      </c>
      <c r="N168" s="1">
        <v>-5.13822156025002E-6</v>
      </c>
      <c r="O168" s="1">
        <v>2.12305310694687E-5</v>
      </c>
      <c r="P168" s="1">
        <v>-3.8232756867261697E-5</v>
      </c>
    </row>
    <row r="169" spans="1:16" x14ac:dyDescent="0.2">
      <c r="A169">
        <v>168</v>
      </c>
      <c r="B169">
        <v>758</v>
      </c>
      <c r="C169">
        <v>160</v>
      </c>
      <c r="D169">
        <v>0.426068467245311</v>
      </c>
      <c r="E169">
        <v>100.617775207694</v>
      </c>
      <c r="F169">
        <v>1.61112710614017</v>
      </c>
      <c r="G169">
        <v>-1676.0930229280632</v>
      </c>
      <c r="H169">
        <v>-1388.4873739746297</v>
      </c>
      <c r="I169">
        <v>278.92317538514402</v>
      </c>
      <c r="J169">
        <v>148.53110380983</v>
      </c>
      <c r="K169">
        <v>62.451792179667301</v>
      </c>
      <c r="L169">
        <v>7.7205447068163201E-4</v>
      </c>
      <c r="M169">
        <v>2.195735528765095E-4</v>
      </c>
      <c r="N169" s="1">
        <v>-4.9123794203537896E-6</v>
      </c>
      <c r="O169" s="1">
        <v>2.1560255989377099E-5</v>
      </c>
      <c r="P169" s="1">
        <v>-3.8985339833045798E-5</v>
      </c>
    </row>
    <row r="170" spans="1:16" x14ac:dyDescent="0.2">
      <c r="A170">
        <v>169</v>
      </c>
      <c r="B170">
        <v>780</v>
      </c>
      <c r="C170">
        <v>140</v>
      </c>
      <c r="D170">
        <v>0.46040972321132001</v>
      </c>
      <c r="E170">
        <v>6.3203775483576896</v>
      </c>
      <c r="F170">
        <v>0.33180882916433002</v>
      </c>
      <c r="G170">
        <v>-140.1713055312288</v>
      </c>
      <c r="H170">
        <v>-78.794035714077467</v>
      </c>
      <c r="I170">
        <v>58.2831379435979</v>
      </c>
      <c r="J170">
        <v>24.4493419987772</v>
      </c>
      <c r="K170">
        <v>19.048250054935899</v>
      </c>
      <c r="L170">
        <v>1.7690712532639138E-3</v>
      </c>
      <c r="M170">
        <v>6.4028479784950941E-4</v>
      </c>
      <c r="N170" s="1">
        <v>-1.75716491438385E-5</v>
      </c>
      <c r="O170" s="1">
        <v>2.14357745822579E-5</v>
      </c>
      <c r="P170" s="1">
        <v>-2.8304230183543499E-5</v>
      </c>
    </row>
    <row r="171" spans="1:16" x14ac:dyDescent="0.2">
      <c r="A171">
        <v>170</v>
      </c>
      <c r="B171">
        <v>779</v>
      </c>
      <c r="C171">
        <v>140</v>
      </c>
      <c r="D171">
        <v>0.45983034738392797</v>
      </c>
      <c r="E171">
        <v>6.5216745625656998</v>
      </c>
      <c r="F171">
        <v>0.34103088724431402</v>
      </c>
      <c r="G171">
        <v>-143.46023314188085</v>
      </c>
      <c r="H171">
        <v>-81.627353829230998</v>
      </c>
      <c r="I171">
        <v>58.771565705373703</v>
      </c>
      <c r="J171">
        <v>24.7525693200941</v>
      </c>
      <c r="K171">
        <v>19.1234131760434</v>
      </c>
      <c r="L171">
        <v>1.7663883465212323E-3</v>
      </c>
      <c r="M171">
        <v>6.3746088125350698E-4</v>
      </c>
      <c r="N171" s="1">
        <v>-1.74965594069348E-5</v>
      </c>
      <c r="O171" s="1">
        <v>2.14429107124462E-5</v>
      </c>
      <c r="P171" s="1">
        <v>-2.8421923911318499E-5</v>
      </c>
    </row>
    <row r="172" spans="1:16" x14ac:dyDescent="0.2">
      <c r="A172">
        <v>171</v>
      </c>
      <c r="B172">
        <v>778</v>
      </c>
      <c r="C172">
        <v>140</v>
      </c>
      <c r="D172">
        <v>0.45924986919088701</v>
      </c>
      <c r="E172">
        <v>6.9461752442188596</v>
      </c>
      <c r="F172">
        <v>0.359542506702767</v>
      </c>
      <c r="G172">
        <v>-150.45888919410842</v>
      </c>
      <c r="H172">
        <v>-87.574826395396073</v>
      </c>
      <c r="I172">
        <v>59.8275226338301</v>
      </c>
      <c r="J172">
        <v>25.3620769950825</v>
      </c>
      <c r="K172">
        <v>19.319482716854999</v>
      </c>
      <c r="L172">
        <v>1.7564081519211277E-3</v>
      </c>
      <c r="M172">
        <v>6.3197825168785464E-4</v>
      </c>
      <c r="N172" s="1">
        <v>-1.74556909177814E-5</v>
      </c>
      <c r="O172" s="1">
        <v>2.1493764727061398E-5</v>
      </c>
      <c r="P172" s="1">
        <v>-2.8598691387162199E-5</v>
      </c>
    </row>
    <row r="173" spans="1:16" x14ac:dyDescent="0.2">
      <c r="A173">
        <v>172</v>
      </c>
      <c r="B173">
        <v>777</v>
      </c>
      <c r="C173">
        <v>140</v>
      </c>
      <c r="D173">
        <v>0.45866828548302802</v>
      </c>
      <c r="E173">
        <v>7.3711867239830298</v>
      </c>
      <c r="F173">
        <v>0.37770874710024599</v>
      </c>
      <c r="G173">
        <v>-157.46240269142265</v>
      </c>
      <c r="H173">
        <v>-93.529229527739147</v>
      </c>
      <c r="I173">
        <v>60.883516504559097</v>
      </c>
      <c r="J173">
        <v>25.972666609005099</v>
      </c>
      <c r="K173">
        <v>19.515530896684901</v>
      </c>
      <c r="L173">
        <v>1.7466334508964684E-3</v>
      </c>
      <c r="M173">
        <v>6.2659213182379519E-4</v>
      </c>
      <c r="N173" s="1">
        <v>-1.7411455671619001E-5</v>
      </c>
      <c r="O173" s="1">
        <v>2.15442673179217E-5</v>
      </c>
      <c r="P173" s="1">
        <v>-2.8776357706662099E-5</v>
      </c>
    </row>
    <row r="174" spans="1:16" x14ac:dyDescent="0.2">
      <c r="A174">
        <v>173</v>
      </c>
      <c r="B174">
        <v>776</v>
      </c>
      <c r="C174">
        <v>140</v>
      </c>
      <c r="D174">
        <v>0.45808559309917701</v>
      </c>
      <c r="E174">
        <v>7.7965458528687401</v>
      </c>
      <c r="F174">
        <v>0.39553358541861899</v>
      </c>
      <c r="G174">
        <v>-164.46803220432244</v>
      </c>
      <c r="H174">
        <v>-99.488282233558039</v>
      </c>
      <c r="I174">
        <v>61.939108550527102</v>
      </c>
      <c r="J174">
        <v>26.584115051250699</v>
      </c>
      <c r="K174">
        <v>19.711463552752701</v>
      </c>
      <c r="L174">
        <v>1.737063014669958E-3</v>
      </c>
      <c r="M174">
        <v>6.2130143070248376E-4</v>
      </c>
      <c r="N174" s="1">
        <v>-1.7363758723198201E-5</v>
      </c>
      <c r="O174" s="1">
        <v>2.1594377495031799E-5</v>
      </c>
      <c r="P174" s="1">
        <v>-2.8954876238509699E-5</v>
      </c>
    </row>
    <row r="175" spans="1:16" x14ac:dyDescent="0.2">
      <c r="A175">
        <v>174</v>
      </c>
      <c r="B175">
        <v>775</v>
      </c>
      <c r="C175">
        <v>140</v>
      </c>
      <c r="D175">
        <v>0.45750178886609999</v>
      </c>
      <c r="E175">
        <v>8.2220933842726698</v>
      </c>
      <c r="F175">
        <v>0.41302131521904201</v>
      </c>
      <c r="G175">
        <v>-171.47310438209018</v>
      </c>
      <c r="H175">
        <v>-105.44975806647562</v>
      </c>
      <c r="I175">
        <v>62.993871241213199</v>
      </c>
      <c r="J175">
        <v>27.1962047348098</v>
      </c>
      <c r="K175">
        <v>19.907189002853599</v>
      </c>
      <c r="L175">
        <v>1.7276953393826865E-3</v>
      </c>
      <c r="M175">
        <v>6.1610496286773717E-4</v>
      </c>
      <c r="N175" s="1">
        <v>-1.73125059803332E-5</v>
      </c>
      <c r="O175" s="1">
        <v>2.1644055398363598E-5</v>
      </c>
      <c r="P175" s="1">
        <v>-2.9134201060352601E-5</v>
      </c>
    </row>
    <row r="176" spans="1:16" x14ac:dyDescent="0.2">
      <c r="A176">
        <v>175</v>
      </c>
      <c r="B176">
        <v>774</v>
      </c>
      <c r="C176">
        <v>140</v>
      </c>
      <c r="D176">
        <v>0.45691686959843703</v>
      </c>
      <c r="E176">
        <v>9.8056640037207998</v>
      </c>
      <c r="F176">
        <v>0.47370205462978399</v>
      </c>
      <c r="G176">
        <v>-197.69855583888494</v>
      </c>
      <c r="H176">
        <v>-127.7264391109866</v>
      </c>
      <c r="I176">
        <v>66.825041529457394</v>
      </c>
      <c r="J176">
        <v>29.334487927106299</v>
      </c>
      <c r="K176">
        <v>20.700066440252701</v>
      </c>
      <c r="L176">
        <v>1.6835327564444843E-3</v>
      </c>
      <c r="M176">
        <v>5.9848042855800373E-4</v>
      </c>
      <c r="N176" s="1">
        <v>-1.74096050193957E-5</v>
      </c>
      <c r="O176" s="1">
        <v>2.1879077317470401E-5</v>
      </c>
      <c r="P176" s="1">
        <v>-2.9565360820700699E-5</v>
      </c>
    </row>
    <row r="177" spans="1:16" x14ac:dyDescent="0.2">
      <c r="A177">
        <v>176</v>
      </c>
      <c r="B177">
        <v>773</v>
      </c>
      <c r="C177">
        <v>140</v>
      </c>
      <c r="D177">
        <v>0.456330832098647</v>
      </c>
      <c r="E177">
        <v>12.05747297552</v>
      </c>
      <c r="F177">
        <v>0.55217539194599896</v>
      </c>
      <c r="G177">
        <v>-234.98671769805432</v>
      </c>
      <c r="H177">
        <v>-159.40149962135098</v>
      </c>
      <c r="I177">
        <v>72.254463844152895</v>
      </c>
      <c r="J177">
        <v>32.353748710956602</v>
      </c>
      <c r="K177">
        <v>21.836309896075999</v>
      </c>
      <c r="L177">
        <v>1.6247403376629611E-3</v>
      </c>
      <c r="M177">
        <v>5.7572975931921132E-4</v>
      </c>
      <c r="N177" s="1">
        <v>-1.75875049574536E-5</v>
      </c>
      <c r="O177" s="1">
        <v>2.2219168795698198E-5</v>
      </c>
      <c r="P177" s="1">
        <v>-3.01424176552491E-5</v>
      </c>
    </row>
    <row r="178" spans="1:16" x14ac:dyDescent="0.2">
      <c r="A178">
        <v>177</v>
      </c>
      <c r="B178">
        <v>772</v>
      </c>
      <c r="C178">
        <v>140</v>
      </c>
      <c r="D178">
        <v>0.45574367315696301</v>
      </c>
      <c r="E178">
        <v>14.437500079968601</v>
      </c>
      <c r="F178">
        <v>0.62671849668447699</v>
      </c>
      <c r="G178">
        <v>-274.35812378793548</v>
      </c>
      <c r="H178">
        <v>-192.85604743174989</v>
      </c>
      <c r="I178">
        <v>77.984913727305198</v>
      </c>
      <c r="J178">
        <v>35.541922856903597</v>
      </c>
      <c r="K178">
        <v>23.036658653521801</v>
      </c>
      <c r="L178">
        <v>1.5687508752034271E-3</v>
      </c>
      <c r="M178">
        <v>5.5409887518994975E-4</v>
      </c>
      <c r="N178" s="1">
        <v>-1.77737535540378E-5</v>
      </c>
      <c r="O178" s="1">
        <v>2.25766390740532E-5</v>
      </c>
      <c r="P178" s="1">
        <v>-3.0747669221686797E-5</v>
      </c>
    </row>
    <row r="179" spans="1:16" x14ac:dyDescent="0.2">
      <c r="A179">
        <v>178</v>
      </c>
      <c r="B179">
        <v>771</v>
      </c>
      <c r="C179">
        <v>140</v>
      </c>
      <c r="D179">
        <v>0.45515538955130802</v>
      </c>
      <c r="E179">
        <v>17.019311129021101</v>
      </c>
      <c r="F179">
        <v>0.69928217256847203</v>
      </c>
      <c r="G179">
        <v>-317.0158522158228</v>
      </c>
      <c r="H179">
        <v>-229.11220791009842</v>
      </c>
      <c r="I179">
        <v>84.190559285758795</v>
      </c>
      <c r="J179">
        <v>38.994843741697601</v>
      </c>
      <c r="K179">
        <v>24.3382597135416</v>
      </c>
      <c r="L179">
        <v>1.5139971198985861E-3</v>
      </c>
      <c r="M179">
        <v>5.3302219302911187E-4</v>
      </c>
      <c r="N179" s="1">
        <v>-1.79763543425615E-5</v>
      </c>
      <c r="O179" s="1">
        <v>2.29619536031156E-5</v>
      </c>
      <c r="P179" s="1">
        <v>-3.1395754296012498E-5</v>
      </c>
    </row>
    <row r="180" spans="1:16" x14ac:dyDescent="0.2">
      <c r="A180">
        <v>179</v>
      </c>
      <c r="B180">
        <v>770</v>
      </c>
      <c r="C180">
        <v>140</v>
      </c>
      <c r="D180">
        <v>0.45456597804726301</v>
      </c>
      <c r="E180">
        <v>19.9614668689292</v>
      </c>
      <c r="F180">
        <v>0.77306489379821097</v>
      </c>
      <c r="G180">
        <v>-365.55297741199871</v>
      </c>
      <c r="H180">
        <v>-270.37282827001849</v>
      </c>
      <c r="I180">
        <v>91.246856300834295</v>
      </c>
      <c r="J180">
        <v>42.919020876262501</v>
      </c>
      <c r="K180">
        <v>25.8212046997178</v>
      </c>
      <c r="L180">
        <v>1.4578657186868575E-3</v>
      </c>
      <c r="M180">
        <v>5.1156980638522565E-4</v>
      </c>
      <c r="N180" s="1">
        <v>-1.8212780265032301E-5</v>
      </c>
      <c r="O180" s="1">
        <v>2.33976966236372E-5</v>
      </c>
      <c r="P180" s="1">
        <v>-3.2118177377055501E-5</v>
      </c>
    </row>
    <row r="181" spans="1:16" x14ac:dyDescent="0.2">
      <c r="A181">
        <v>180</v>
      </c>
      <c r="B181">
        <v>769</v>
      </c>
      <c r="C181">
        <v>140</v>
      </c>
      <c r="D181">
        <v>0.45397543539797802</v>
      </c>
      <c r="E181">
        <v>24.821286820024302</v>
      </c>
      <c r="F181">
        <v>0.877989894845703</v>
      </c>
      <c r="G181">
        <v>-445.43440608896674</v>
      </c>
      <c r="H181">
        <v>-338.27357631682912</v>
      </c>
      <c r="I181">
        <v>102.830654276739</v>
      </c>
      <c r="J181">
        <v>49.3374595642223</v>
      </c>
      <c r="K181">
        <v>28.270583711429101</v>
      </c>
      <c r="L181">
        <v>1.3757058047370852E-3</v>
      </c>
      <c r="M181">
        <v>4.8103693619231102E-4</v>
      </c>
      <c r="N181" s="1">
        <v>-1.8656483109782999E-5</v>
      </c>
      <c r="O181" s="1">
        <v>2.4104167137637299E-5</v>
      </c>
      <c r="P181" s="1">
        <v>-3.3219405680169899E-5</v>
      </c>
    </row>
    <row r="182" spans="1:16" x14ac:dyDescent="0.2">
      <c r="A182">
        <v>181</v>
      </c>
      <c r="B182">
        <v>768</v>
      </c>
      <c r="C182">
        <v>140</v>
      </c>
      <c r="D182">
        <v>0.45338375834414102</v>
      </c>
      <c r="E182">
        <v>39.140960288322098</v>
      </c>
      <c r="F182">
        <v>1.10341785213807</v>
      </c>
      <c r="G182">
        <v>-679.85637972856875</v>
      </c>
      <c r="H182">
        <v>-537.56922543060284</v>
      </c>
      <c r="I182">
        <v>136.66776698061301</v>
      </c>
      <c r="J182">
        <v>68.022677108887393</v>
      </c>
      <c r="K182">
        <v>35.472473290584503</v>
      </c>
      <c r="L182">
        <v>1.1935215172049936E-3</v>
      </c>
      <c r="M182">
        <v>4.1544752603780646E-4</v>
      </c>
      <c r="N182" s="1">
        <v>-2.0125932131898701E-5</v>
      </c>
      <c r="O182" s="1">
        <v>2.61296058279095E-5</v>
      </c>
      <c r="P182" s="1">
        <v>-3.6154272694657301E-5</v>
      </c>
    </row>
    <row r="183" spans="1:16" x14ac:dyDescent="0.2">
      <c r="A183">
        <v>182</v>
      </c>
      <c r="B183">
        <v>767</v>
      </c>
      <c r="C183">
        <v>140</v>
      </c>
      <c r="D183">
        <v>0.45279094361390498</v>
      </c>
      <c r="E183">
        <v>68.977003047779306</v>
      </c>
      <c r="F183">
        <v>1.36773385288143</v>
      </c>
      <c r="G183">
        <v>-1165.3199994641298</v>
      </c>
      <c r="H183">
        <v>-950.00808368391336</v>
      </c>
      <c r="I183">
        <v>207.005858207963</v>
      </c>
      <c r="J183">
        <v>106.808206637765</v>
      </c>
      <c r="K183">
        <v>50.431597421138498</v>
      </c>
      <c r="L183">
        <v>9.8098495644399156E-4</v>
      </c>
      <c r="M183">
        <v>3.3957991046053017E-4</v>
      </c>
      <c r="N183" s="1">
        <v>-2.329901739594E-5</v>
      </c>
      <c r="O183" s="1">
        <v>3.0365058791399098E-5</v>
      </c>
      <c r="P183" s="1">
        <v>-4.2182554776300498E-5</v>
      </c>
    </row>
    <row r="184" spans="1:16" x14ac:dyDescent="0.2">
      <c r="A184">
        <v>183</v>
      </c>
      <c r="B184">
        <v>766</v>
      </c>
      <c r="C184">
        <v>140</v>
      </c>
      <c r="D184">
        <v>0.45219698792282498</v>
      </c>
      <c r="E184">
        <v>85.647084735287393</v>
      </c>
      <c r="F184">
        <v>1.45800299307367</v>
      </c>
      <c r="G184">
        <v>-1436.2760633485677</v>
      </c>
      <c r="H184">
        <v>-1180.4840630671426</v>
      </c>
      <c r="I184">
        <v>246.16045488258601</v>
      </c>
      <c r="J184">
        <v>128.483059382443</v>
      </c>
      <c r="K184">
        <v>58.7427358806247</v>
      </c>
      <c r="L184">
        <v>9.0986243453208251E-4</v>
      </c>
      <c r="M184">
        <v>3.1367564321413654E-4</v>
      </c>
      <c r="N184" s="1">
        <v>-2.4937599071533298E-5</v>
      </c>
      <c r="O184" s="1">
        <v>3.2686970210467201E-5</v>
      </c>
      <c r="P184" s="1">
        <v>-4.5590506521421698E-5</v>
      </c>
    </row>
    <row r="185" spans="1:16" x14ac:dyDescent="0.2">
      <c r="A185">
        <v>184</v>
      </c>
      <c r="B185">
        <v>765</v>
      </c>
      <c r="C185">
        <v>140</v>
      </c>
      <c r="D185">
        <v>0.45160188797380102</v>
      </c>
      <c r="E185">
        <v>95.376263754773504</v>
      </c>
      <c r="F185">
        <v>1.5006182221128901</v>
      </c>
      <c r="G185">
        <v>-1594.2887957578394</v>
      </c>
      <c r="H185">
        <v>-1315.1217616387153</v>
      </c>
      <c r="I185">
        <v>268.91384478829298</v>
      </c>
      <c r="J185">
        <v>141.15380534497501</v>
      </c>
      <c r="K185">
        <v>63.557980537169797</v>
      </c>
      <c r="L185">
        <v>8.7745980175169653E-4</v>
      </c>
      <c r="M185">
        <v>3.0143497779442599E-4</v>
      </c>
      <c r="N185" s="1">
        <v>-2.5776254150959299E-5</v>
      </c>
      <c r="O185" s="1">
        <v>3.4009008391502702E-5</v>
      </c>
      <c r="P185" s="1">
        <v>-4.7625798218176302E-5</v>
      </c>
    </row>
    <row r="186" spans="1:16" x14ac:dyDescent="0.2">
      <c r="A186">
        <v>185</v>
      </c>
      <c r="B186">
        <v>764</v>
      </c>
      <c r="C186">
        <v>140</v>
      </c>
      <c r="D186">
        <v>0.45100564045702202</v>
      </c>
      <c r="E186">
        <v>99.546065182226499</v>
      </c>
      <c r="F186">
        <v>1.51778971239051</v>
      </c>
      <c r="G186">
        <v>-1661.838308530489</v>
      </c>
      <c r="H186">
        <v>-1372.9255816398502</v>
      </c>
      <c r="I186">
        <v>278.56983286062598</v>
      </c>
      <c r="J186">
        <v>146.61361194754099</v>
      </c>
      <c r="K186">
        <v>65.586203654946104</v>
      </c>
      <c r="L186">
        <v>8.6568063918719988E-4</v>
      </c>
      <c r="M186">
        <v>2.9644078275812993E-4</v>
      </c>
      <c r="N186" s="1">
        <v>-2.59904032227799E-5</v>
      </c>
      <c r="O186" s="1">
        <v>3.4540075060494798E-5</v>
      </c>
      <c r="P186" s="1">
        <v>-4.8565443917033802E-5</v>
      </c>
    </row>
    <row r="187" spans="1:16" x14ac:dyDescent="0.2">
      <c r="A187">
        <v>186</v>
      </c>
      <c r="B187">
        <v>791</v>
      </c>
      <c r="C187">
        <v>120</v>
      </c>
      <c r="D187">
        <v>0.48738476718508</v>
      </c>
      <c r="E187">
        <v>6.7029528955199602</v>
      </c>
      <c r="F187">
        <v>0.281725652277657</v>
      </c>
      <c r="G187">
        <v>-149.77921634712308</v>
      </c>
      <c r="H187">
        <v>-82.898496664127933</v>
      </c>
      <c r="I187">
        <v>62.852563571160402</v>
      </c>
      <c r="J187">
        <v>25.042227671092</v>
      </c>
      <c r="K187">
        <v>23.792483365745401</v>
      </c>
      <c r="L187">
        <v>1.7693289338609815E-3</v>
      </c>
      <c r="M187">
        <v>8.081936422363454E-4</v>
      </c>
      <c r="N187" s="1">
        <v>-3.4696972354294698E-5</v>
      </c>
      <c r="O187" s="1">
        <v>3.8119765056973101E-5</v>
      </c>
      <c r="P187" s="1">
        <v>-3.6751668053076801E-5</v>
      </c>
    </row>
    <row r="188" spans="1:16" x14ac:dyDescent="0.2">
      <c r="A188">
        <v>187</v>
      </c>
      <c r="B188">
        <v>790</v>
      </c>
      <c r="C188">
        <v>120</v>
      </c>
      <c r="D188">
        <v>0.486836758688802</v>
      </c>
      <c r="E188">
        <v>6.9479552354784397</v>
      </c>
      <c r="F188">
        <v>0.290885428736539</v>
      </c>
      <c r="G188">
        <v>-153.79047728882938</v>
      </c>
      <c r="H188">
        <v>-86.342134808691398</v>
      </c>
      <c r="I188">
        <v>63.4455961051043</v>
      </c>
      <c r="J188">
        <v>25.400849083673101</v>
      </c>
      <c r="K188">
        <v>23.885538941076799</v>
      </c>
      <c r="L188">
        <v>1.7673060986490535E-3</v>
      </c>
      <c r="M188">
        <v>8.0501504892903754E-4</v>
      </c>
      <c r="N188" s="1">
        <v>-3.4779022642464997E-5</v>
      </c>
      <c r="O188" s="1">
        <v>3.8148381470155399E-5</v>
      </c>
      <c r="P188" s="1">
        <v>-3.6904815580448803E-5</v>
      </c>
    </row>
    <row r="189" spans="1:16" x14ac:dyDescent="0.2">
      <c r="A189">
        <v>188</v>
      </c>
      <c r="B189">
        <v>789</v>
      </c>
      <c r="C189">
        <v>120</v>
      </c>
      <c r="D189">
        <v>0.48628771830721002</v>
      </c>
      <c r="E189">
        <v>7.3547043213649497</v>
      </c>
      <c r="F189">
        <v>0.30557422421554498</v>
      </c>
      <c r="G189">
        <v>-160.49043932337608</v>
      </c>
      <c r="H189">
        <v>-92.04209923361752</v>
      </c>
      <c r="I189">
        <v>64.446825005262895</v>
      </c>
      <c r="J189">
        <v>25.977881912030501</v>
      </c>
      <c r="K189">
        <v>24.068470893595698</v>
      </c>
      <c r="L189">
        <v>1.7610242940421913E-3</v>
      </c>
      <c r="M189">
        <v>7.9987728101943651E-4</v>
      </c>
      <c r="N189" s="1">
        <v>-3.4904539751285398E-5</v>
      </c>
      <c r="O189" s="1">
        <v>3.8225270509056602E-5</v>
      </c>
      <c r="P189" s="1">
        <v>-3.7106018307515701E-5</v>
      </c>
    </row>
    <row r="190" spans="1:16" x14ac:dyDescent="0.2">
      <c r="A190">
        <v>189</v>
      </c>
      <c r="B190">
        <v>788</v>
      </c>
      <c r="C190">
        <v>120</v>
      </c>
      <c r="D190">
        <v>0.48573764312303003</v>
      </c>
      <c r="E190">
        <v>7.7616680701189997</v>
      </c>
      <c r="F190">
        <v>0.32005282148530001</v>
      </c>
      <c r="G190">
        <v>-167.19062987492651</v>
      </c>
      <c r="H190">
        <v>-97.744930576612973</v>
      </c>
      <c r="I190">
        <v>65.447454605528705</v>
      </c>
      <c r="J190">
        <v>26.555571786105101</v>
      </c>
      <c r="K190">
        <v>24.251209641266801</v>
      </c>
      <c r="L190">
        <v>1.7548595439037143E-3</v>
      </c>
      <c r="M190">
        <v>7.9480947871639622E-4</v>
      </c>
      <c r="N190" s="1">
        <v>-3.5028469468873997E-5</v>
      </c>
      <c r="O190" s="1">
        <v>3.8301767925116201E-5</v>
      </c>
      <c r="P190" s="1">
        <v>-3.7308375864177201E-5</v>
      </c>
    </row>
    <row r="191" spans="1:16" x14ac:dyDescent="0.2">
      <c r="A191">
        <v>190</v>
      </c>
      <c r="B191">
        <v>787</v>
      </c>
      <c r="C191">
        <v>120</v>
      </c>
      <c r="D191">
        <v>0.48518653020799002</v>
      </c>
      <c r="E191">
        <v>8.1687037502708009</v>
      </c>
      <c r="F191">
        <v>0.33432159359093999</v>
      </c>
      <c r="G191">
        <v>-173.88865708873834</v>
      </c>
      <c r="H191">
        <v>-103.44863627129668</v>
      </c>
      <c r="I191">
        <v>66.447106571438596</v>
      </c>
      <c r="J191">
        <v>27.133727694998701</v>
      </c>
      <c r="K191">
        <v>24.433670773493599</v>
      </c>
      <c r="L191">
        <v>1.7488127097606205E-3</v>
      </c>
      <c r="M191">
        <v>7.8981159849886079E-4</v>
      </c>
      <c r="N191" s="1">
        <v>-3.5150712432489902E-5</v>
      </c>
      <c r="O191" s="1">
        <v>3.8377822111150798E-5</v>
      </c>
      <c r="P191" s="1">
        <v>-3.7511851460361602E-5</v>
      </c>
    </row>
    <row r="192" spans="1:16" x14ac:dyDescent="0.2">
      <c r="A192">
        <v>191</v>
      </c>
      <c r="B192">
        <v>786</v>
      </c>
      <c r="C192">
        <v>120</v>
      </c>
      <c r="D192">
        <v>0.48463437662276798</v>
      </c>
      <c r="E192">
        <v>8.5756723138782398</v>
      </c>
      <c r="F192">
        <v>0.34838120123357902</v>
      </c>
      <c r="G192">
        <v>-180.58219318950887</v>
      </c>
      <c r="H192">
        <v>-109.15127526687422</v>
      </c>
      <c r="I192">
        <v>67.445413002038293</v>
      </c>
      <c r="J192">
        <v>27.712163756492799</v>
      </c>
      <c r="K192">
        <v>24.615772273339399</v>
      </c>
      <c r="L192">
        <v>1.7428844352042124E-3</v>
      </c>
      <c r="M192">
        <v>7.8488349240633728E-4</v>
      </c>
      <c r="N192" s="1">
        <v>-3.5271169322423102E-5</v>
      </c>
      <c r="O192" s="1">
        <v>3.8453382988159998E-5</v>
      </c>
      <c r="P192" s="1">
        <v>-3.7716409268643799E-5</v>
      </c>
    </row>
    <row r="193" spans="1:16" x14ac:dyDescent="0.2">
      <c r="A193">
        <v>192</v>
      </c>
      <c r="B193">
        <v>785</v>
      </c>
      <c r="C193">
        <v>120</v>
      </c>
      <c r="D193">
        <v>0.48408117941691098</v>
      </c>
      <c r="E193">
        <v>8.9824388369890809</v>
      </c>
      <c r="F193">
        <v>0.36223258266859398</v>
      </c>
      <c r="G193">
        <v>-187.26898170987548</v>
      </c>
      <c r="H193">
        <v>-114.85096414129019</v>
      </c>
      <c r="I193">
        <v>68.442017533251402</v>
      </c>
      <c r="J193">
        <v>28.290699823998501</v>
      </c>
      <c r="K193">
        <v>24.797434760878701</v>
      </c>
      <c r="L193">
        <v>1.7370751502340787E-3</v>
      </c>
      <c r="M193">
        <v>7.8002491142837476E-4</v>
      </c>
      <c r="N193" s="1">
        <v>-3.53897409974537E-5</v>
      </c>
      <c r="O193" s="1">
        <v>3.8528402131793598E-5</v>
      </c>
      <c r="P193" s="1">
        <v>-3.7922014562125601E-5</v>
      </c>
    </row>
    <row r="194" spans="1:16" x14ac:dyDescent="0.2">
      <c r="A194">
        <v>193</v>
      </c>
      <c r="B194">
        <v>784</v>
      </c>
      <c r="C194">
        <v>120</v>
      </c>
      <c r="D194">
        <v>0.48352693562881199</v>
      </c>
      <c r="E194">
        <v>9.3888728982242</v>
      </c>
      <c r="F194">
        <v>0.37587694171719499</v>
      </c>
      <c r="G194">
        <v>-193.94684368204656</v>
      </c>
      <c r="H194">
        <v>-120.545882354171</v>
      </c>
      <c r="I194">
        <v>69.436576280397901</v>
      </c>
      <c r="J194">
        <v>28.869162010491898</v>
      </c>
      <c r="K194">
        <v>24.978581701051102</v>
      </c>
      <c r="L194">
        <v>1.7313850771993042E-3</v>
      </c>
      <c r="M194">
        <v>7.7523550958866357E-4</v>
      </c>
      <c r="N194" s="1">
        <v>-3.5506328613671399E-5</v>
      </c>
      <c r="O194" s="1">
        <v>3.8602832879479801E-5</v>
      </c>
      <c r="P194" s="1">
        <v>-3.8128633836161703E-5</v>
      </c>
    </row>
    <row r="195" spans="1:16" x14ac:dyDescent="0.2">
      <c r="A195">
        <v>194</v>
      </c>
      <c r="B195">
        <v>783</v>
      </c>
      <c r="C195">
        <v>120</v>
      </c>
      <c r="D195">
        <v>0.48297164228566197</v>
      </c>
      <c r="E195">
        <v>9.7948489084936501</v>
      </c>
      <c r="F195">
        <v>0.38931573461573099</v>
      </c>
      <c r="G195">
        <v>-200.61368300480916</v>
      </c>
      <c r="H195">
        <v>-126.23427682000167</v>
      </c>
      <c r="I195">
        <v>70.428758648910701</v>
      </c>
      <c r="J195">
        <v>29.447383145266901</v>
      </c>
      <c r="K195">
        <v>25.159139581557099</v>
      </c>
      <c r="L195">
        <v>1.725814237799207E-3</v>
      </c>
      <c r="M195">
        <v>7.7051484846529436E-4</v>
      </c>
      <c r="N195" s="1">
        <v>-3.5620833727122802E-5</v>
      </c>
      <c r="O195" s="1">
        <v>3.8676630418882198E-5</v>
      </c>
      <c r="P195" s="1">
        <v>-3.8336234914183097E-5</v>
      </c>
    </row>
    <row r="196" spans="1:16" x14ac:dyDescent="0.2">
      <c r="A196">
        <v>195</v>
      </c>
      <c r="B196">
        <v>782</v>
      </c>
      <c r="C196">
        <v>120</v>
      </c>
      <c r="D196">
        <v>0.48241529640335601</v>
      </c>
      <c r="E196">
        <v>11.4858951196207</v>
      </c>
      <c r="F196">
        <v>0.44145182268591898</v>
      </c>
      <c r="G196">
        <v>-228.61083454748285</v>
      </c>
      <c r="H196">
        <v>-150.02073416876485</v>
      </c>
      <c r="I196">
        <v>74.486160085515095</v>
      </c>
      <c r="J196">
        <v>31.698616307283999</v>
      </c>
      <c r="K196">
        <v>26.018456668130199</v>
      </c>
      <c r="L196">
        <v>1.6894193033905479E-3</v>
      </c>
      <c r="M196">
        <v>7.5199365612944457E-4</v>
      </c>
      <c r="N196" s="1">
        <v>-3.6029042486417599E-5</v>
      </c>
      <c r="O196" s="1">
        <v>3.9066795438091E-5</v>
      </c>
      <c r="P196" s="1">
        <v>-3.8860136061221403E-5</v>
      </c>
    </row>
    <row r="197" spans="1:16" x14ac:dyDescent="0.2">
      <c r="A197">
        <v>196</v>
      </c>
      <c r="B197">
        <v>781</v>
      </c>
      <c r="C197">
        <v>120</v>
      </c>
      <c r="D197">
        <v>0.48185789498648202</v>
      </c>
      <c r="E197">
        <v>13.729366411424399</v>
      </c>
      <c r="F197">
        <v>0.505352042363582</v>
      </c>
      <c r="G197">
        <v>-265.74662514908795</v>
      </c>
      <c r="H197">
        <v>-181.56979906225806</v>
      </c>
      <c r="I197">
        <v>79.856619404696005</v>
      </c>
      <c r="J197">
        <v>34.669038027071899</v>
      </c>
      <c r="K197">
        <v>27.167925051239099</v>
      </c>
      <c r="L197">
        <v>1.6433868130466341E-3</v>
      </c>
      <c r="M197">
        <v>7.2925729148180882E-4</v>
      </c>
      <c r="N197" s="1">
        <v>-3.6560878540918097E-5</v>
      </c>
      <c r="O197" s="1">
        <v>3.9589983633692099E-5</v>
      </c>
      <c r="P197" s="1">
        <v>-3.95207020278036E-5</v>
      </c>
    </row>
    <row r="198" spans="1:16" x14ac:dyDescent="0.2">
      <c r="A198">
        <v>197</v>
      </c>
      <c r="B198">
        <v>780</v>
      </c>
      <c r="C198">
        <v>120</v>
      </c>
      <c r="D198">
        <v>0.48129943502824801</v>
      </c>
      <c r="E198">
        <v>16.103494665710901</v>
      </c>
      <c r="F198">
        <v>0.56734561203490996</v>
      </c>
      <c r="G198">
        <v>-305.00520982266767</v>
      </c>
      <c r="H198">
        <v>-214.93146250641843</v>
      </c>
      <c r="I198">
        <v>85.531821055018597</v>
      </c>
      <c r="J198">
        <v>37.809066896049998</v>
      </c>
      <c r="K198">
        <v>28.383923880105801</v>
      </c>
      <c r="L198">
        <v>1.5985622561147466E-3</v>
      </c>
      <c r="M198">
        <v>7.0717525234900258E-4</v>
      </c>
      <c r="N198" s="1">
        <v>-3.7117999876385698E-5</v>
      </c>
      <c r="O198" s="1">
        <v>4.0140675280495101E-5</v>
      </c>
      <c r="P198" s="1">
        <v>-4.0213697956520801E-5</v>
      </c>
    </row>
    <row r="199" spans="1:16" x14ac:dyDescent="0.2">
      <c r="A199">
        <v>198</v>
      </c>
      <c r="B199">
        <v>779</v>
      </c>
      <c r="C199">
        <v>120</v>
      </c>
      <c r="D199">
        <v>0.48073991351043299</v>
      </c>
      <c r="E199">
        <v>18.6816859851521</v>
      </c>
      <c r="F199">
        <v>0.62892191774129902</v>
      </c>
      <c r="G199">
        <v>-347.58721377340095</v>
      </c>
      <c r="H199">
        <v>-251.12541134027097</v>
      </c>
      <c r="I199">
        <v>91.684605640669801</v>
      </c>
      <c r="J199">
        <v>41.213169855937302</v>
      </c>
      <c r="K199">
        <v>29.704301055757899</v>
      </c>
      <c r="L199">
        <v>1.5537528204687511E-3</v>
      </c>
      <c r="M199">
        <v>6.8521197395441475E-4</v>
      </c>
      <c r="N199" s="1">
        <v>-3.7715404221067602E-5</v>
      </c>
      <c r="O199" s="1">
        <v>4.0734924705773297E-5</v>
      </c>
      <c r="P199" s="1">
        <v>-4.0955620387987602E-5</v>
      </c>
    </row>
    <row r="200" spans="1:16" x14ac:dyDescent="0.2">
      <c r="A200">
        <v>199</v>
      </c>
      <c r="B200">
        <v>778</v>
      </c>
      <c r="C200">
        <v>120</v>
      </c>
      <c r="D200">
        <v>0.48017932740332298</v>
      </c>
      <c r="E200">
        <v>21.6148834087995</v>
      </c>
      <c r="F200">
        <v>0.69263169647645095</v>
      </c>
      <c r="G200">
        <v>-395.96133723444757</v>
      </c>
      <c r="H200">
        <v>-292.24820053024791</v>
      </c>
      <c r="I200">
        <v>98.670375724527403</v>
      </c>
      <c r="J200">
        <v>45.075551624213702</v>
      </c>
      <c r="K200">
        <v>31.2068932432034</v>
      </c>
      <c r="L200">
        <v>1.5068858796597078E-3</v>
      </c>
      <c r="M200">
        <v>6.6244721022429092E-4</v>
      </c>
      <c r="N200" s="1">
        <v>-3.8384028143645797E-5</v>
      </c>
      <c r="O200" s="1">
        <v>4.1405746816963503E-5</v>
      </c>
      <c r="P200" s="1">
        <v>-4.1780317710995197E-5</v>
      </c>
    </row>
    <row r="201" spans="1:16" x14ac:dyDescent="0.2">
      <c r="A201">
        <v>200</v>
      </c>
      <c r="B201">
        <v>777</v>
      </c>
      <c r="C201">
        <v>120</v>
      </c>
      <c r="D201">
        <v>0.47961767366567098</v>
      </c>
      <c r="E201">
        <v>25.297189452592502</v>
      </c>
      <c r="F201">
        <v>0.76438530859893095</v>
      </c>
      <c r="G201">
        <v>-456.57189778239643</v>
      </c>
      <c r="H201">
        <v>-343.77276956634046</v>
      </c>
      <c r="I201">
        <v>107.416509166057</v>
      </c>
      <c r="J201">
        <v>49.902931437544801</v>
      </c>
      <c r="K201">
        <v>33.094813790914699</v>
      </c>
      <c r="L201">
        <v>1.4531175843175883E-3</v>
      </c>
      <c r="M201">
        <v>6.3674419333457303E-4</v>
      </c>
      <c r="N201" s="1">
        <v>-3.92045184861115E-5</v>
      </c>
      <c r="O201" s="1">
        <v>4.2239083732479202E-5</v>
      </c>
      <c r="P201" s="1">
        <v>-4.2775727003842797E-5</v>
      </c>
    </row>
    <row r="202" spans="1:16" x14ac:dyDescent="0.2">
      <c r="A202">
        <v>201</v>
      </c>
      <c r="B202">
        <v>776</v>
      </c>
      <c r="C202">
        <v>120</v>
      </c>
      <c r="D202">
        <v>0.47905494924462999</v>
      </c>
      <c r="E202">
        <v>35.362321981616802</v>
      </c>
      <c r="F202">
        <v>0.92423223795411102</v>
      </c>
      <c r="G202">
        <v>-621.50497057989492</v>
      </c>
      <c r="H202">
        <v>-483.9438394536125</v>
      </c>
      <c r="I202">
        <v>131.12108013542201</v>
      </c>
      <c r="J202">
        <v>62.918670873261</v>
      </c>
      <c r="K202">
        <v>38.261294650244103</v>
      </c>
      <c r="L202">
        <v>1.3269335180373151E-3</v>
      </c>
      <c r="M202">
        <v>5.792140924696567E-4</v>
      </c>
      <c r="N202" s="1">
        <v>-4.1313491019202798E-5</v>
      </c>
      <c r="O202" s="1">
        <v>4.4448292954981602E-5</v>
      </c>
      <c r="P202" s="1">
        <v>-4.5176909100188299E-5</v>
      </c>
    </row>
    <row r="203" spans="1:16" x14ac:dyDescent="0.2">
      <c r="A203">
        <v>202</v>
      </c>
      <c r="B203">
        <v>775</v>
      </c>
      <c r="C203">
        <v>120</v>
      </c>
      <c r="D203">
        <v>0.478491151075708</v>
      </c>
      <c r="E203">
        <v>55.027285655292403</v>
      </c>
      <c r="F203">
        <v>1.1384667695681401</v>
      </c>
      <c r="G203">
        <v>-942.14345788724449</v>
      </c>
      <c r="H203">
        <v>-756.32888154554257</v>
      </c>
      <c r="I203">
        <v>177.283377871846</v>
      </c>
      <c r="J203">
        <v>88.228047308245294</v>
      </c>
      <c r="K203">
        <v>48.334555848446698</v>
      </c>
      <c r="L203">
        <v>1.1567311920132539E-3</v>
      </c>
      <c r="M203">
        <v>5.0263453958369301E-4</v>
      </c>
      <c r="N203" s="1">
        <v>-4.5385897406643002E-5</v>
      </c>
      <c r="O203" s="1">
        <v>4.8748561369784298E-5</v>
      </c>
      <c r="P203" s="1">
        <v>-4.9728848417227798E-5</v>
      </c>
    </row>
    <row r="204" spans="1:16" x14ac:dyDescent="0.2">
      <c r="A204">
        <v>203</v>
      </c>
      <c r="B204">
        <v>774</v>
      </c>
      <c r="C204">
        <v>120</v>
      </c>
      <c r="D204">
        <v>0.47792627608270499</v>
      </c>
      <c r="E204">
        <v>76.136165081273603</v>
      </c>
      <c r="F204">
        <v>1.2881003113926</v>
      </c>
      <c r="G204">
        <v>-1285.3833579066818</v>
      </c>
      <c r="H204">
        <v>-1047.9973618089209</v>
      </c>
      <c r="I204">
        <v>226.702448094799</v>
      </c>
      <c r="J204">
        <v>115.351641404288</v>
      </c>
      <c r="K204">
        <v>59.107326042767703</v>
      </c>
      <c r="L204">
        <v>1.0388355010619475E-3</v>
      </c>
      <c r="M204">
        <v>4.4944995882789868E-4</v>
      </c>
      <c r="N204" s="1">
        <v>-4.9729165692307901E-5</v>
      </c>
      <c r="O204" s="1">
        <v>5.33325026053416E-5</v>
      </c>
      <c r="P204" s="1">
        <v>-5.4604879295152702E-5</v>
      </c>
    </row>
    <row r="205" spans="1:16" x14ac:dyDescent="0.2">
      <c r="A205">
        <v>204</v>
      </c>
      <c r="B205">
        <v>773</v>
      </c>
      <c r="C205">
        <v>120</v>
      </c>
      <c r="D205">
        <v>0.47736032117765198</v>
      </c>
      <c r="E205">
        <v>88.8060138566874</v>
      </c>
      <c r="F205">
        <v>1.35520046855848</v>
      </c>
      <c r="G205">
        <v>-1491.2605003540234</v>
      </c>
      <c r="H205">
        <v>-1223.1877017809074</v>
      </c>
      <c r="I205">
        <v>256.25250219734102</v>
      </c>
      <c r="J205">
        <v>131.64518024623999</v>
      </c>
      <c r="K205">
        <v>65.529798665985993</v>
      </c>
      <c r="L205">
        <v>9.8742438496928799E-4</v>
      </c>
      <c r="M205">
        <v>4.2565669000797231E-4</v>
      </c>
      <c r="N205" s="1">
        <v>-5.2309337091493502E-5</v>
      </c>
      <c r="O205" s="1">
        <v>5.60356288224848E-5</v>
      </c>
      <c r="P205" s="1">
        <v>-5.7584421729993798E-5</v>
      </c>
    </row>
    <row r="206" spans="1:16" x14ac:dyDescent="0.2">
      <c r="A206">
        <v>205</v>
      </c>
      <c r="B206">
        <v>772</v>
      </c>
      <c r="C206">
        <v>120</v>
      </c>
      <c r="D206">
        <v>0.47679328326077502</v>
      </c>
      <c r="E206">
        <v>96.247294587180306</v>
      </c>
      <c r="F206">
        <v>1.38954546826042</v>
      </c>
      <c r="G206">
        <v>-1612.0491550980596</v>
      </c>
      <c r="H206">
        <v>-1326.1837051602602</v>
      </c>
      <c r="I206">
        <v>273.52186069984799</v>
      </c>
      <c r="J206">
        <v>141.23533042429801</v>
      </c>
      <c r="K206">
        <v>69.265307818730705</v>
      </c>
      <c r="L206">
        <v>9.6241602228704733E-4</v>
      </c>
      <c r="M206">
        <v>4.1351231507708264E-4</v>
      </c>
      <c r="N206" s="1">
        <v>-5.3805446222361799E-5</v>
      </c>
      <c r="O206" s="1">
        <v>5.7584718421094502E-5</v>
      </c>
      <c r="P206" s="1">
        <v>-5.9396010155638197E-5</v>
      </c>
    </row>
    <row r="207" spans="1:16" x14ac:dyDescent="0.2">
      <c r="A207">
        <v>206</v>
      </c>
      <c r="B207">
        <v>771</v>
      </c>
      <c r="C207">
        <v>120</v>
      </c>
      <c r="D207">
        <v>0.47622515922041903</v>
      </c>
      <c r="E207">
        <v>99.829402377062806</v>
      </c>
      <c r="F207">
        <v>1.4055411551035499</v>
      </c>
      <c r="G207">
        <v>-1670.0360744698785</v>
      </c>
      <c r="H207">
        <v>-1375.8528603523341</v>
      </c>
      <c r="I207">
        <v>281.74995606640698</v>
      </c>
      <c r="J207">
        <v>145.87864774289099</v>
      </c>
      <c r="K207">
        <v>71.025598940721096</v>
      </c>
      <c r="L207">
        <v>9.521942965362082E-4</v>
      </c>
      <c r="M207">
        <v>4.0786411293920033E-4</v>
      </c>
      <c r="N207" s="1">
        <v>-5.4506920494259398E-5</v>
      </c>
      <c r="O207" s="1">
        <v>5.8290410622209899E-5</v>
      </c>
      <c r="P207" s="1">
        <v>-6.0348196127724303E-5</v>
      </c>
    </row>
    <row r="208" spans="1:16" x14ac:dyDescent="0.2">
      <c r="A208">
        <v>207</v>
      </c>
      <c r="B208">
        <v>804</v>
      </c>
      <c r="C208">
        <v>100</v>
      </c>
      <c r="D208">
        <v>0.514840551455232</v>
      </c>
      <c r="E208">
        <v>7.1671870446658001</v>
      </c>
      <c r="F208">
        <v>0.230669902426441</v>
      </c>
      <c r="G208">
        <v>-161.34018771376108</v>
      </c>
      <c r="H208">
        <v>-87.888605251574475</v>
      </c>
      <c r="I208">
        <v>68.194457766019298</v>
      </c>
      <c r="J208">
        <v>25.312020539096999</v>
      </c>
      <c r="K208">
        <v>31.071184273602199</v>
      </c>
      <c r="L208">
        <v>1.7011664402893476E-3</v>
      </c>
      <c r="M208">
        <v>1.0275299532499919E-3</v>
      </c>
      <c r="N208" s="1">
        <v>-5.3840721560704002E-5</v>
      </c>
      <c r="O208" s="1">
        <v>7.2434006927213094E-5</v>
      </c>
      <c r="P208" s="1">
        <v>-4.8488983397361597E-5</v>
      </c>
    </row>
    <row r="209" spans="1:16" x14ac:dyDescent="0.2">
      <c r="A209">
        <v>208</v>
      </c>
      <c r="B209">
        <v>803</v>
      </c>
      <c r="C209">
        <v>100</v>
      </c>
      <c r="D209">
        <v>0.51432467592807896</v>
      </c>
      <c r="E209">
        <v>7.5578013037293603</v>
      </c>
      <c r="F209">
        <v>0.241917244909994</v>
      </c>
      <c r="G209">
        <v>-167.77051741736449</v>
      </c>
      <c r="H209">
        <v>-93.362339747686605</v>
      </c>
      <c r="I209">
        <v>69.1467412149171</v>
      </c>
      <c r="J209">
        <v>25.855324787141999</v>
      </c>
      <c r="K209">
        <v>31.241267262866</v>
      </c>
      <c r="L209">
        <v>1.6979969587599313E-3</v>
      </c>
      <c r="M209">
        <v>1.0229353033654489E-3</v>
      </c>
      <c r="N209" s="1">
        <v>-5.4151898034120297E-5</v>
      </c>
      <c r="O209" s="1">
        <v>7.2551186366175195E-5</v>
      </c>
      <c r="P209" s="1">
        <v>-4.8701015178234497E-5</v>
      </c>
    </row>
    <row r="210" spans="1:16" x14ac:dyDescent="0.2">
      <c r="A210">
        <v>209</v>
      </c>
      <c r="B210">
        <v>802</v>
      </c>
      <c r="C210">
        <v>100</v>
      </c>
      <c r="D210">
        <v>0.51380784076640695</v>
      </c>
      <c r="E210">
        <v>7.94840661953838</v>
      </c>
      <c r="F210">
        <v>0.25304516537990102</v>
      </c>
      <c r="G210">
        <v>-174.19761428171702</v>
      </c>
      <c r="H210">
        <v>-98.835876841088165</v>
      </c>
      <c r="I210">
        <v>70.097972832198494</v>
      </c>
      <c r="J210">
        <v>26.398922567423799</v>
      </c>
      <c r="K210">
        <v>31.411019481859299</v>
      </c>
      <c r="L210">
        <v>1.6948910959976315E-3</v>
      </c>
      <c r="M210">
        <v>1.0183887488500411E-3</v>
      </c>
      <c r="N210" s="1">
        <v>-5.4464063367707903E-5</v>
      </c>
      <c r="O210" s="1">
        <v>7.2667908240916693E-5</v>
      </c>
      <c r="P210" s="1">
        <v>-4.8914175350819002E-5</v>
      </c>
    </row>
    <row r="211" spans="1:16" x14ac:dyDescent="0.2">
      <c r="A211">
        <v>210</v>
      </c>
      <c r="B211">
        <v>801</v>
      </c>
      <c r="C211">
        <v>100</v>
      </c>
      <c r="D211">
        <v>0.51329004329004402</v>
      </c>
      <c r="E211">
        <v>8.3388772624299499</v>
      </c>
      <c r="F211">
        <v>0.26405260190524898</v>
      </c>
      <c r="G211">
        <v>-180.61937591124172</v>
      </c>
      <c r="H211">
        <v>-104.30746401413406</v>
      </c>
      <c r="I211">
        <v>71.047823951208102</v>
      </c>
      <c r="J211">
        <v>26.9426490979439</v>
      </c>
      <c r="K211">
        <v>31.580363920906201</v>
      </c>
      <c r="L211">
        <v>1.6918502498886297E-3</v>
      </c>
      <c r="M211">
        <v>1.0138908499017463E-3</v>
      </c>
      <c r="N211" s="1">
        <v>-5.4777151815466198E-5</v>
      </c>
      <c r="O211" s="1">
        <v>7.27841039970373E-5</v>
      </c>
      <c r="P211" s="1">
        <v>-4.91284316927045E-5</v>
      </c>
    </row>
    <row r="212" spans="1:16" x14ac:dyDescent="0.2">
      <c r="A212">
        <v>211</v>
      </c>
      <c r="B212">
        <v>800</v>
      </c>
      <c r="C212">
        <v>100</v>
      </c>
      <c r="D212">
        <v>0.51277128080883805</v>
      </c>
      <c r="E212">
        <v>8.7290908580811095</v>
      </c>
      <c r="F212">
        <v>0.27493869948539801</v>
      </c>
      <c r="G212">
        <v>-187.03375821765485</v>
      </c>
      <c r="H212">
        <v>-109.77539567951503</v>
      </c>
      <c r="I212">
        <v>71.995975281799105</v>
      </c>
      <c r="J212">
        <v>27.4863441971575</v>
      </c>
      <c r="K212">
        <v>31.749225825317801</v>
      </c>
      <c r="L212">
        <v>1.6888756828182412E-3</v>
      </c>
      <c r="M212">
        <v>1.0094420751195579E-3</v>
      </c>
      <c r="N212" s="1">
        <v>-5.5091097810494301E-5</v>
      </c>
      <c r="O212" s="1">
        <v>7.2899707241066094E-5</v>
      </c>
      <c r="P212" s="1">
        <v>-4.9343753138962197E-5</v>
      </c>
    </row>
    <row r="213" spans="1:16" x14ac:dyDescent="0.2">
      <c r="A213">
        <v>212</v>
      </c>
      <c r="B213">
        <v>799</v>
      </c>
      <c r="C213">
        <v>100</v>
      </c>
      <c r="D213">
        <v>0.51225155062258299</v>
      </c>
      <c r="E213">
        <v>9.1189287182141392</v>
      </c>
      <c r="F213">
        <v>0.28570280639962597</v>
      </c>
      <c r="G213">
        <v>-193.43878083598767</v>
      </c>
      <c r="H213">
        <v>-115.23801776477094</v>
      </c>
      <c r="I213">
        <v>72.942117729621401</v>
      </c>
      <c r="J213">
        <v>28.029852729601402</v>
      </c>
      <c r="K213">
        <v>31.9175328836603</v>
      </c>
      <c r="L213">
        <v>1.685968522089778E-3</v>
      </c>
      <c r="M213">
        <v>1.0050428028263241E-3</v>
      </c>
      <c r="N213" s="1">
        <v>-5.54058360950788E-5</v>
      </c>
      <c r="O213" s="1">
        <v>7.3014653891521607E-5</v>
      </c>
      <c r="P213" s="1">
        <v>-4.9560109898882698E-5</v>
      </c>
    </row>
    <row r="214" spans="1:16" x14ac:dyDescent="0.2">
      <c r="A214">
        <v>213</v>
      </c>
      <c r="B214">
        <v>798</v>
      </c>
      <c r="C214">
        <v>100</v>
      </c>
      <c r="D214">
        <v>0.51173085002101004</v>
      </c>
      <c r="E214">
        <v>9.5082761333024806</v>
      </c>
      <c r="F214">
        <v>0.29634446946433801</v>
      </c>
      <c r="G214">
        <v>-199.83253190096903</v>
      </c>
      <c r="H214">
        <v>-120.69373176834601</v>
      </c>
      <c r="I214">
        <v>73.885953116202202</v>
      </c>
      <c r="J214">
        <v>28.5730250010626</v>
      </c>
      <c r="K214">
        <v>32.085215393050099</v>
      </c>
      <c r="L214">
        <v>1.6831297611722487E-3</v>
      </c>
      <c r="M214">
        <v>1.0006933228910444E-3</v>
      </c>
      <c r="N214" s="1">
        <v>-5.5721301839119898E-5</v>
      </c>
      <c r="O214" s="1">
        <v>7.3128882310571794E-5</v>
      </c>
      <c r="P214" s="1">
        <v>-4.9777473561535798E-5</v>
      </c>
    </row>
    <row r="215" spans="1:16" x14ac:dyDescent="0.2">
      <c r="A215">
        <v>214</v>
      </c>
      <c r="B215">
        <v>797</v>
      </c>
      <c r="C215">
        <v>100</v>
      </c>
      <c r="D215">
        <v>0.511209176283699</v>
      </c>
      <c r="E215">
        <v>9.8970226159997008</v>
      </c>
      <c r="F215">
        <v>0.30686342804403499</v>
      </c>
      <c r="G215">
        <v>-206.21317199596152</v>
      </c>
      <c r="H215">
        <v>-126.14099813095142</v>
      </c>
      <c r="I215">
        <v>74.827194769666804</v>
      </c>
      <c r="J215">
        <v>29.115717087636501</v>
      </c>
      <c r="K215">
        <v>32.252206393847104</v>
      </c>
      <c r="L215">
        <v>1.680360261907331E-3</v>
      </c>
      <c r="M215">
        <v>9.9639383911987833E-4</v>
      </c>
      <c r="N215" s="1">
        <v>-5.6037430740006203E-5</v>
      </c>
      <c r="O215" s="1">
        <v>7.3242333407914207E-5</v>
      </c>
      <c r="P215" s="1">
        <v>-4.9995817184230703E-5</v>
      </c>
    </row>
    <row r="216" spans="1:16" x14ac:dyDescent="0.2">
      <c r="A216">
        <v>215</v>
      </c>
      <c r="B216">
        <v>796</v>
      </c>
      <c r="C216">
        <v>100</v>
      </c>
      <c r="D216">
        <v>0.51068652668007097</v>
      </c>
      <c r="E216">
        <v>10.2850621016487</v>
      </c>
      <c r="F216">
        <v>0.31725960710185303</v>
      </c>
      <c r="G216">
        <v>-212.57893738434711</v>
      </c>
      <c r="H216">
        <v>-131.57833901079039</v>
      </c>
      <c r="I216">
        <v>75.765568005212003</v>
      </c>
      <c r="J216">
        <v>29.657791107984199</v>
      </c>
      <c r="K216">
        <v>32.418441778964997</v>
      </c>
      <c r="L216">
        <v>1.6776607574862364E-3</v>
      </c>
      <c r="M216">
        <v>9.9214447209119961E-4</v>
      </c>
      <c r="N216" s="1">
        <v>-5.6354159108690703E-5</v>
      </c>
      <c r="O216" s="1">
        <v>7.3354950723809794E-5</v>
      </c>
      <c r="P216" s="1">
        <v>-5.0215115368289797E-5</v>
      </c>
    </row>
    <row r="217" spans="1:16" x14ac:dyDescent="0.2">
      <c r="A217">
        <v>216</v>
      </c>
      <c r="B217">
        <v>795</v>
      </c>
      <c r="C217">
        <v>100</v>
      </c>
      <c r="D217">
        <v>0.51016289846931695</v>
      </c>
      <c r="E217">
        <v>10.6722931040959</v>
      </c>
      <c r="F217">
        <v>0.32753310936721097</v>
      </c>
      <c r="G217">
        <v>-218.92814249348663</v>
      </c>
      <c r="H217">
        <v>-137.0043404383263</v>
      </c>
      <c r="I217">
        <v>76.700810489410102</v>
      </c>
      <c r="J217">
        <v>30.199115435791398</v>
      </c>
      <c r="K217">
        <v>32.583860375870401</v>
      </c>
      <c r="L217">
        <v>1.6750318561548122E-3</v>
      </c>
      <c r="M217">
        <v>9.8794526240098793E-4</v>
      </c>
      <c r="N217" s="1">
        <v>-5.6671423938937903E-5</v>
      </c>
      <c r="O217" s="1">
        <v>7.3466680487955404E-5</v>
      </c>
      <c r="P217" s="1">
        <v>-5.04353443196181E-5</v>
      </c>
    </row>
    <row r="218" spans="1:16" x14ac:dyDescent="0.2">
      <c r="A218">
        <v>217</v>
      </c>
      <c r="B218">
        <v>794</v>
      </c>
      <c r="C218">
        <v>100</v>
      </c>
      <c r="D218">
        <v>0.50963828890034402</v>
      </c>
      <c r="E218">
        <v>11.058618833140599</v>
      </c>
      <c r="F218">
        <v>0.33768420687345302</v>
      </c>
      <c r="G218">
        <v>-225.25918175992371</v>
      </c>
      <c r="H218">
        <v>-142.41765393905158</v>
      </c>
      <c r="I218">
        <v>77.632672506520606</v>
      </c>
      <c r="J218">
        <v>30.7395648614878</v>
      </c>
      <c r="K218">
        <v>32.748404006009203</v>
      </c>
      <c r="L218">
        <v>1.6724740454751408E-3</v>
      </c>
      <c r="M218">
        <v>9.8379617420755235E-4</v>
      </c>
      <c r="N218" s="1">
        <v>-5.6989162963633703E-5</v>
      </c>
      <c r="O218" s="1">
        <v>7.3577471659926695E-5</v>
      </c>
      <c r="P218" s="1">
        <v>-5.0656481897723898E-5</v>
      </c>
    </row>
    <row r="219" spans="1:16" x14ac:dyDescent="0.2">
      <c r="A219">
        <v>218</v>
      </c>
      <c r="B219">
        <v>793</v>
      </c>
      <c r="C219">
        <v>100</v>
      </c>
      <c r="D219">
        <v>0.50911269521174396</v>
      </c>
      <c r="E219">
        <v>11.782859571705901</v>
      </c>
      <c r="F219">
        <v>0.35600759435084101</v>
      </c>
      <c r="G219">
        <v>-237.1999552914493</v>
      </c>
      <c r="H219">
        <v>-152.58858088855339</v>
      </c>
      <c r="I219">
        <v>79.365540170184204</v>
      </c>
      <c r="J219">
        <v>31.713941392408401</v>
      </c>
      <c r="K219">
        <v>33.097214100702701</v>
      </c>
      <c r="L219">
        <v>1.6637393410565665E-3</v>
      </c>
      <c r="M219">
        <v>9.7600420437631528E-4</v>
      </c>
      <c r="N219" s="1">
        <v>-5.7412851042021399E-5</v>
      </c>
      <c r="O219" s="1">
        <v>7.3822158662604104E-5</v>
      </c>
      <c r="P219" s="1">
        <v>-5.0971635905381002E-5</v>
      </c>
    </row>
    <row r="220" spans="1:16" x14ac:dyDescent="0.2">
      <c r="A220">
        <v>219</v>
      </c>
      <c r="B220">
        <v>792</v>
      </c>
      <c r="C220">
        <v>100</v>
      </c>
      <c r="D220">
        <v>0.50858611463174297</v>
      </c>
      <c r="E220">
        <v>13.944648964405101</v>
      </c>
      <c r="F220">
        <v>0.407379908286855</v>
      </c>
      <c r="G220">
        <v>-272.99723909306044</v>
      </c>
      <c r="H220">
        <v>-182.98834782527294</v>
      </c>
      <c r="I220">
        <v>84.507475492873496</v>
      </c>
      <c r="J220">
        <v>34.5331539044723</v>
      </c>
      <c r="K220">
        <v>34.230085187672003</v>
      </c>
      <c r="L220">
        <v>1.6299609255062267E-3</v>
      </c>
      <c r="M220">
        <v>9.5347649449978875E-4</v>
      </c>
      <c r="N220" s="1">
        <v>-5.8285596446524198E-5</v>
      </c>
      <c r="O220" s="1">
        <v>7.46357491887056E-5</v>
      </c>
      <c r="P220" s="1">
        <v>-5.1682846476688003E-5</v>
      </c>
    </row>
    <row r="221" spans="1:16" x14ac:dyDescent="0.2">
      <c r="A221">
        <v>220</v>
      </c>
      <c r="B221">
        <v>791</v>
      </c>
      <c r="C221">
        <v>100</v>
      </c>
      <c r="D221">
        <v>0.50805854437814801</v>
      </c>
      <c r="E221">
        <v>16.206954025478598</v>
      </c>
      <c r="F221">
        <v>0.45762582551921699</v>
      </c>
      <c r="G221">
        <v>-310.42436299872179</v>
      </c>
      <c r="H221">
        <v>-214.78110350620938</v>
      </c>
      <c r="I221">
        <v>89.881649928876996</v>
      </c>
      <c r="J221">
        <v>37.480917719081702</v>
      </c>
      <c r="K221">
        <v>35.415295907066302</v>
      </c>
      <c r="L221">
        <v>1.5968016531345951E-3</v>
      </c>
      <c r="M221">
        <v>9.3141677481391725E-4</v>
      </c>
      <c r="N221" s="1">
        <v>-5.9190903700055097E-5</v>
      </c>
      <c r="O221" s="1">
        <v>7.5483270013208104E-5</v>
      </c>
      <c r="P221" s="1">
        <v>-5.2422066069935798E-5</v>
      </c>
    </row>
    <row r="222" spans="1:16" x14ac:dyDescent="0.2">
      <c r="A222">
        <v>221</v>
      </c>
      <c r="B222">
        <v>790</v>
      </c>
      <c r="C222">
        <v>100</v>
      </c>
      <c r="D222">
        <v>0.507529981658283</v>
      </c>
      <c r="E222">
        <v>18.617197346643401</v>
      </c>
      <c r="F222">
        <v>0.50758471485655599</v>
      </c>
      <c r="G222">
        <v>-350.25718221568491</v>
      </c>
      <c r="H222">
        <v>-248.62536279572095</v>
      </c>
      <c r="I222">
        <v>95.599090159873697</v>
      </c>
      <c r="J222">
        <v>40.6174138662047</v>
      </c>
      <c r="K222">
        <v>36.678010195607698</v>
      </c>
      <c r="L222">
        <v>1.5636248691383206E-3</v>
      </c>
      <c r="M222">
        <v>9.0944831368888171E-4</v>
      </c>
      <c r="N222" s="1">
        <v>-6.0142301896047299E-5</v>
      </c>
      <c r="O222" s="1">
        <v>7.6381406104227597E-5</v>
      </c>
      <c r="P222" s="1">
        <v>-5.3201175594959499E-5</v>
      </c>
    </row>
    <row r="223" spans="1:16" x14ac:dyDescent="0.2">
      <c r="A223">
        <v>222</v>
      </c>
      <c r="B223">
        <v>789</v>
      </c>
      <c r="C223">
        <v>100</v>
      </c>
      <c r="D223">
        <v>0.50700042366897302</v>
      </c>
      <c r="E223">
        <v>21.2594127390512</v>
      </c>
      <c r="F223">
        <v>0.558534692792924</v>
      </c>
      <c r="G223">
        <v>-393.87048863852158</v>
      </c>
      <c r="H223">
        <v>-285.6879592688739</v>
      </c>
      <c r="I223">
        <v>101.856557295597</v>
      </c>
      <c r="J223">
        <v>44.049281026843801</v>
      </c>
      <c r="K223">
        <v>38.062833004597401</v>
      </c>
      <c r="L223">
        <v>1.5294472896664585E-3</v>
      </c>
      <c r="M223">
        <v>8.8699522836245624E-4</v>
      </c>
      <c r="N223" s="1">
        <v>-6.1163783595877499E-5</v>
      </c>
      <c r="O223" s="1">
        <v>7.7359744915607201E-5</v>
      </c>
      <c r="P223" s="1">
        <v>-5.4041209853787803E-5</v>
      </c>
    </row>
    <row r="224" spans="1:16" x14ac:dyDescent="0.2">
      <c r="A224">
        <v>223</v>
      </c>
      <c r="B224">
        <v>788</v>
      </c>
      <c r="C224">
        <v>100</v>
      </c>
      <c r="D224">
        <v>0.50646986759647905</v>
      </c>
      <c r="E224">
        <v>24.302194272977701</v>
      </c>
      <c r="F224">
        <v>0.61277528032002004</v>
      </c>
      <c r="G224">
        <v>-444.02209027067425</v>
      </c>
      <c r="H224">
        <v>-328.30957221055428</v>
      </c>
      <c r="I224">
        <v>109.04867245035901</v>
      </c>
      <c r="J224">
        <v>47.9903914008542</v>
      </c>
      <c r="K224">
        <v>39.659227539802103</v>
      </c>
      <c r="L224">
        <v>1.4924827907471694E-3</v>
      </c>
      <c r="M224">
        <v>8.6301862423449874E-4</v>
      </c>
      <c r="N224" s="1">
        <v>-6.2303385964985005E-5</v>
      </c>
      <c r="O224" s="1">
        <v>7.8477549396277903E-5</v>
      </c>
      <c r="P224" s="1">
        <v>-5.4984245002840899E-5</v>
      </c>
    </row>
    <row r="225" spans="1:16" x14ac:dyDescent="0.2">
      <c r="A225">
        <v>224</v>
      </c>
      <c r="B225">
        <v>787</v>
      </c>
      <c r="C225">
        <v>100</v>
      </c>
      <c r="D225">
        <v>0.50593831061642502</v>
      </c>
      <c r="E225">
        <v>28.151116359316301</v>
      </c>
      <c r="F225">
        <v>0.67537524296330398</v>
      </c>
      <c r="G225">
        <v>-507.34426380552975</v>
      </c>
      <c r="H225">
        <v>-382.11979438815644</v>
      </c>
      <c r="I225">
        <v>118.123882543872</v>
      </c>
      <c r="J225">
        <v>52.954870670886898</v>
      </c>
      <c r="K225">
        <v>41.682185796149803</v>
      </c>
      <c r="L225">
        <v>1.4487730449622208E-3</v>
      </c>
      <c r="M225">
        <v>8.3522493876254879E-4</v>
      </c>
      <c r="N225" s="1">
        <v>-6.3676070855324E-5</v>
      </c>
      <c r="O225" s="1">
        <v>7.9876740745961496E-5</v>
      </c>
      <c r="P225" s="1">
        <v>-5.6130943287588102E-5</v>
      </c>
    </row>
    <row r="226" spans="1:16" x14ac:dyDescent="0.2">
      <c r="A226">
        <v>225</v>
      </c>
      <c r="B226">
        <v>786</v>
      </c>
      <c r="C226">
        <v>100</v>
      </c>
      <c r="D226">
        <v>0.50540574989378495</v>
      </c>
      <c r="E226">
        <v>34.793864977798897</v>
      </c>
      <c r="F226">
        <v>0.77007872433102798</v>
      </c>
      <c r="G226">
        <v>-616.32761615576305</v>
      </c>
      <c r="H226">
        <v>-474.70786024635436</v>
      </c>
      <c r="I226">
        <v>133.715205716588</v>
      </c>
      <c r="J226">
        <v>61.457595814859403</v>
      </c>
      <c r="K226">
        <v>45.182218231031598</v>
      </c>
      <c r="L226">
        <v>1.3797941426763349E-3</v>
      </c>
      <c r="M226">
        <v>7.9288257615801167E-4</v>
      </c>
      <c r="N226" s="1">
        <v>-6.5837346480118603E-5</v>
      </c>
      <c r="O226" s="1">
        <v>8.2245593407338603E-5</v>
      </c>
      <c r="P226" s="1">
        <v>-5.7968240940776002E-5</v>
      </c>
    </row>
    <row r="227" spans="1:16" x14ac:dyDescent="0.2">
      <c r="A227">
        <v>226</v>
      </c>
      <c r="B227">
        <v>785</v>
      </c>
      <c r="C227">
        <v>100</v>
      </c>
      <c r="D227">
        <v>0.50487218258281097</v>
      </c>
      <c r="E227">
        <v>44.789651545766802</v>
      </c>
      <c r="F227">
        <v>0.88797415338460794</v>
      </c>
      <c r="G227">
        <v>-780.0141641680176</v>
      </c>
      <c r="H227">
        <v>-613.81963025358448</v>
      </c>
      <c r="I227">
        <v>157.06605182570701</v>
      </c>
      <c r="J227">
        <v>74.191189518114996</v>
      </c>
      <c r="K227">
        <v>50.440264927809203</v>
      </c>
      <c r="L227">
        <v>1.2922876997008205E-3</v>
      </c>
      <c r="M227">
        <v>7.4002584230042337E-4</v>
      </c>
      <c r="N227" s="1">
        <v>-6.8926370277709993E-5</v>
      </c>
      <c r="O227" s="1">
        <v>8.5746100786860996E-5</v>
      </c>
      <c r="P227" s="1">
        <v>-6.0616900342170803E-5</v>
      </c>
    </row>
    <row r="228" spans="1:16" x14ac:dyDescent="0.2">
      <c r="A228">
        <v>227</v>
      </c>
      <c r="B228">
        <v>784</v>
      </c>
      <c r="C228">
        <v>100</v>
      </c>
      <c r="D228">
        <v>0.50433760582698905</v>
      </c>
      <c r="E228">
        <v>68.208176305779901</v>
      </c>
      <c r="F228">
        <v>1.0867542048279899</v>
      </c>
      <c r="G228">
        <v>-1160.9466021678109</v>
      </c>
      <c r="H228">
        <v>-937.17899600119597</v>
      </c>
      <c r="I228">
        <v>211.67572498534</v>
      </c>
      <c r="J228">
        <v>103.880345561301</v>
      </c>
      <c r="K228">
        <v>62.763204414355798</v>
      </c>
      <c r="L228">
        <v>1.1429862298067595E-3</v>
      </c>
      <c r="M228">
        <v>6.5173001827049503E-4</v>
      </c>
      <c r="N228" s="1">
        <v>-7.5894173141478994E-5</v>
      </c>
      <c r="O228" s="1">
        <v>9.4005998030315894E-5</v>
      </c>
      <c r="P228" s="1">
        <v>-6.6656527181746899E-5</v>
      </c>
    </row>
    <row r="229" spans="1:16" x14ac:dyDescent="0.2">
      <c r="A229">
        <v>228</v>
      </c>
      <c r="B229">
        <v>783</v>
      </c>
      <c r="C229">
        <v>100</v>
      </c>
      <c r="D229">
        <v>0.50380201675898495</v>
      </c>
      <c r="E229">
        <v>81.432818287131198</v>
      </c>
      <c r="F229">
        <v>1.1688260305307601</v>
      </c>
      <c r="G229">
        <v>-1375.8904589645738</v>
      </c>
      <c r="H229">
        <v>-1119.8895386936849</v>
      </c>
      <c r="I229">
        <v>242.396037257031</v>
      </c>
      <c r="J229">
        <v>120.652110231644</v>
      </c>
      <c r="K229">
        <v>69.670606369155294</v>
      </c>
      <c r="L229">
        <v>1.0830280023479894E-3</v>
      </c>
      <c r="M229">
        <v>6.1540594936832578E-4</v>
      </c>
      <c r="N229" s="1">
        <v>-7.9929593068185694E-5</v>
      </c>
      <c r="O229" s="1">
        <v>9.8594484144699901E-5</v>
      </c>
      <c r="P229" s="1">
        <v>-7.0122090468095801E-5</v>
      </c>
    </row>
    <row r="230" spans="1:16" x14ac:dyDescent="0.2">
      <c r="A230">
        <v>229</v>
      </c>
      <c r="B230">
        <v>782</v>
      </c>
      <c r="C230">
        <v>100</v>
      </c>
      <c r="D230">
        <v>0.50326541250059598</v>
      </c>
      <c r="E230">
        <v>91.251179236541603</v>
      </c>
      <c r="F230">
        <v>1.2205252963655999</v>
      </c>
      <c r="G230">
        <v>-1535.3829297762004</v>
      </c>
      <c r="H230">
        <v>-1255.6391962687712</v>
      </c>
      <c r="I230">
        <v>265.12778844186897</v>
      </c>
      <c r="J230">
        <v>133.11445030176299</v>
      </c>
      <c r="K230">
        <v>74.763857421278303</v>
      </c>
      <c r="L230">
        <v>1.0463482152840403E-3</v>
      </c>
      <c r="M230">
        <v>5.9264760490577799E-4</v>
      </c>
      <c r="N230" s="1">
        <v>-8.2993006668618101E-5</v>
      </c>
      <c r="O230">
        <v>1.0195531052890999E-4</v>
      </c>
      <c r="P230" s="1">
        <v>-7.2733438974769305E-5</v>
      </c>
    </row>
    <row r="231" spans="1:16" x14ac:dyDescent="0.2">
      <c r="A231">
        <v>230</v>
      </c>
      <c r="B231">
        <v>781</v>
      </c>
      <c r="C231">
        <v>100</v>
      </c>
      <c r="D231">
        <v>0.50272779016268998</v>
      </c>
      <c r="E231">
        <v>97.0155775516955</v>
      </c>
      <c r="F231">
        <v>1.2483610756403101</v>
      </c>
      <c r="G231">
        <v>-1628.8915823132454</v>
      </c>
      <c r="H231">
        <v>-1335.4258495922707</v>
      </c>
      <c r="I231">
        <v>278.39652892027101</v>
      </c>
      <c r="J231">
        <v>140.44914955898699</v>
      </c>
      <c r="K231">
        <v>77.714356402800902</v>
      </c>
      <c r="L231">
        <v>1.0279829446165106E-3</v>
      </c>
      <c r="M231">
        <v>5.8050168129143102E-4</v>
      </c>
      <c r="N231" s="1">
        <v>-8.4900786819961497E-5</v>
      </c>
      <c r="O231">
        <v>1.0387892063540301E-4</v>
      </c>
      <c r="P231" s="1">
        <v>-7.4332835234849903E-5</v>
      </c>
    </row>
    <row r="232" spans="1:16" x14ac:dyDescent="0.2">
      <c r="A232">
        <v>231</v>
      </c>
      <c r="B232">
        <v>780</v>
      </c>
      <c r="C232">
        <v>100</v>
      </c>
      <c r="D232">
        <v>0.50218914684517901</v>
      </c>
      <c r="E232">
        <v>100.08970463247699</v>
      </c>
      <c r="F232">
        <v>1.2630015377288399</v>
      </c>
      <c r="G232">
        <v>-1678.6147187158729</v>
      </c>
      <c r="H232">
        <v>-1378.0536724405747</v>
      </c>
      <c r="I232">
        <v>285.39816367457797</v>
      </c>
      <c r="J232">
        <v>144.38209987662199</v>
      </c>
      <c r="K232">
        <v>79.247492297167099</v>
      </c>
      <c r="L232">
        <v>1.0197593502286864E-3</v>
      </c>
      <c r="M232">
        <v>5.7421020419209316E-4</v>
      </c>
      <c r="N232" s="1">
        <v>-8.6042731286978903E-5</v>
      </c>
      <c r="O232">
        <v>1.0485608738459601E-4</v>
      </c>
      <c r="P232" s="1">
        <v>-7.5263232049245895E-5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CC4AA-AF3B-4F7A-A14D-A633A87C215D}">
  <sheetPr codeName="Sheet6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30</v>
      </c>
      <c r="B2">
        <v>734</v>
      </c>
      <c r="C2">
        <v>300</v>
      </c>
      <c r="D2">
        <v>0.25781710768008598</v>
      </c>
      <c r="E2">
        <v>3.6258195025739098E-2</v>
      </c>
      <c r="F2">
        <v>4.66227453397308</v>
      </c>
      <c r="G2">
        <v>-0.34266020260503849</v>
      </c>
      <c r="H2">
        <v>-0.27874665161909801</v>
      </c>
      <c r="I2">
        <v>6.3459813320697403E-2</v>
      </c>
      <c r="J2">
        <v>3.3188675024882201E-2</v>
      </c>
      <c r="K2">
        <v>7.77693264554301E-3</v>
      </c>
      <c r="L2">
        <v>3.1678974907197089E-5</v>
      </c>
      <c r="M2">
        <v>5.5247917650507935E-7</v>
      </c>
      <c r="N2" s="1">
        <v>4.0477190266581699E-11</v>
      </c>
      <c r="O2" s="1">
        <v>1.70086489547698E-14</v>
      </c>
      <c r="P2" s="1">
        <v>5.6563553415723303E-14</v>
      </c>
      <c r="R2">
        <v>47.300657124656503</v>
      </c>
      <c r="S2">
        <v>2.2693165408017002</v>
      </c>
      <c r="T2">
        <v>9.7111454716810606</v>
      </c>
      <c r="V2">
        <v>37.712334172573499</v>
      </c>
      <c r="W2">
        <v>0.69917154028064299</v>
      </c>
      <c r="X2">
        <v>2.3073751500064499</v>
      </c>
      <c r="AJ2">
        <v>8.4803439913458498E-2</v>
      </c>
      <c r="AK2">
        <v>9.0081264562678204E-2</v>
      </c>
      <c r="AL2">
        <v>0.77754605094488305</v>
      </c>
      <c r="AM2">
        <v>1.46001122151794E-2</v>
      </c>
      <c r="AN2">
        <v>3.2969132363799503E-2</v>
      </c>
    </row>
    <row r="3" spans="1:40" x14ac:dyDescent="0.2">
      <c r="A3">
        <v>31</v>
      </c>
      <c r="B3">
        <v>733</v>
      </c>
      <c r="C3">
        <v>300</v>
      </c>
      <c r="D3">
        <v>0.257009889181535</v>
      </c>
      <c r="E3">
        <v>4.7899241923993099E-2</v>
      </c>
      <c r="F3">
        <v>4.66507184850951</v>
      </c>
      <c r="G3">
        <v>-0.45321467010508237</v>
      </c>
      <c r="H3">
        <v>-0.36878385302327676</v>
      </c>
      <c r="I3">
        <v>8.3914741422059805E-2</v>
      </c>
      <c r="J3">
        <v>4.3790712284429101E-2</v>
      </c>
      <c r="K3">
        <v>1.0267632199340499E-2</v>
      </c>
      <c r="L3">
        <v>3.1573364209571679E-5</v>
      </c>
      <c r="M3">
        <v>5.5218311525185004E-7</v>
      </c>
      <c r="N3" s="1">
        <v>5.8691923833026296E-11</v>
      </c>
      <c r="O3" s="1">
        <v>2.2448203978798101E-14</v>
      </c>
      <c r="P3" s="1">
        <v>6.7610339843388294E-14</v>
      </c>
      <c r="R3">
        <v>47.248256776878101</v>
      </c>
      <c r="S3">
        <v>2.3336036583426698</v>
      </c>
      <c r="T3">
        <v>9.7543298837643206</v>
      </c>
      <c r="V3">
        <v>37.291505690722801</v>
      </c>
      <c r="W3">
        <v>1.0606873504558201</v>
      </c>
      <c r="X3">
        <v>2.31161663983612</v>
      </c>
      <c r="AJ3">
        <v>8.4928493989342296E-2</v>
      </c>
      <c r="AK3">
        <v>9.0449007618178701E-2</v>
      </c>
      <c r="AL3">
        <v>0.76859044004298505</v>
      </c>
      <c r="AM3">
        <v>2.2141252984309402E-2</v>
      </c>
      <c r="AN3">
        <v>3.3890805365183997E-2</v>
      </c>
    </row>
    <row r="4" spans="1:40" x14ac:dyDescent="0.2">
      <c r="A4">
        <v>58</v>
      </c>
      <c r="B4">
        <v>737</v>
      </c>
      <c r="C4">
        <v>280</v>
      </c>
      <c r="D4">
        <v>0.28200811760629901</v>
      </c>
      <c r="E4">
        <v>3.0655978265204699E-2</v>
      </c>
      <c r="F4">
        <v>4.65914326935488</v>
      </c>
      <c r="G4">
        <v>-0.29032256804017387</v>
      </c>
      <c r="H4">
        <v>-0.23601056441500565</v>
      </c>
      <c r="I4">
        <v>5.3766275924534097E-2</v>
      </c>
      <c r="J4">
        <v>2.80883140924434E-2</v>
      </c>
      <c r="K4">
        <v>6.5797457800539803E-3</v>
      </c>
      <c r="L4">
        <v>3.1662865278814212E-5</v>
      </c>
      <c r="M4">
        <v>5.5269554441928105E-7</v>
      </c>
      <c r="N4" s="1">
        <v>3.3265206515452303E-11</v>
      </c>
      <c r="O4" s="1">
        <v>1.4374515970307301E-14</v>
      </c>
      <c r="P4" s="1">
        <v>5.0709361114776202E-14</v>
      </c>
      <c r="R4">
        <v>47.305631391277799</v>
      </c>
      <c r="S4">
        <v>2.24989265157157</v>
      </c>
      <c r="T4">
        <v>9.7938397972483795</v>
      </c>
      <c r="V4">
        <v>37.538602557831098</v>
      </c>
      <c r="W4">
        <v>0.71194897980685301</v>
      </c>
      <c r="X4">
        <v>2.4000846222642598</v>
      </c>
      <c r="AJ4">
        <v>8.8159932829858498E-2</v>
      </c>
      <c r="AK4">
        <v>9.0795944006692303E-2</v>
      </c>
      <c r="AL4">
        <v>0.773517682231874</v>
      </c>
      <c r="AM4">
        <v>1.48583560790994E-2</v>
      </c>
      <c r="AN4">
        <v>3.2668084852475299E-2</v>
      </c>
    </row>
    <row r="5" spans="1:40" x14ac:dyDescent="0.2">
      <c r="A5">
        <v>59</v>
      </c>
      <c r="B5">
        <v>736</v>
      </c>
      <c r="C5">
        <v>280</v>
      </c>
      <c r="D5">
        <v>0.281227270475152</v>
      </c>
      <c r="E5">
        <v>4.3859383903644703E-2</v>
      </c>
      <c r="F5">
        <v>4.6619525650819096</v>
      </c>
      <c r="G5">
        <v>-0.41586585182231156</v>
      </c>
      <c r="H5">
        <v>-0.33816317925524186</v>
      </c>
      <c r="I5">
        <v>7.6998139589822698E-2</v>
      </c>
      <c r="J5">
        <v>4.0136768189222301E-2</v>
      </c>
      <c r="K5">
        <v>9.4079429791182508E-3</v>
      </c>
      <c r="L5">
        <v>3.1558004237878005E-5</v>
      </c>
      <c r="M5">
        <v>5.5239935229000754E-7</v>
      </c>
      <c r="N5" s="1">
        <v>5.2299890838488802E-11</v>
      </c>
      <c r="O5" s="1">
        <v>2.05454663386622E-14</v>
      </c>
      <c r="P5" s="1">
        <v>6.6216074097049601E-14</v>
      </c>
      <c r="R5">
        <v>47.252967237463402</v>
      </c>
      <c r="S5">
        <v>2.3139149816016702</v>
      </c>
      <c r="T5">
        <v>9.8386536438089394</v>
      </c>
      <c r="V5">
        <v>37.111189610887401</v>
      </c>
      <c r="W5">
        <v>1.07791779009396</v>
      </c>
      <c r="X5">
        <v>2.4053567361444301</v>
      </c>
      <c r="AJ5">
        <v>8.8320977809639101E-2</v>
      </c>
      <c r="AK5">
        <v>9.1177735469987004E-2</v>
      </c>
      <c r="AL5">
        <v>0.76442819607971702</v>
      </c>
      <c r="AM5">
        <v>2.24878122418164E-2</v>
      </c>
      <c r="AN5">
        <v>3.3585278398839298E-2</v>
      </c>
    </row>
    <row r="6" spans="1:40" x14ac:dyDescent="0.2">
      <c r="A6">
        <v>83</v>
      </c>
      <c r="B6">
        <v>740</v>
      </c>
      <c r="C6">
        <v>260</v>
      </c>
      <c r="D6">
        <v>0.30605586537038199</v>
      </c>
      <c r="E6">
        <v>2.8036925506078801E-2</v>
      </c>
      <c r="F6">
        <v>4.6569544770978597</v>
      </c>
      <c r="G6">
        <v>-0.26614411559104684</v>
      </c>
      <c r="H6">
        <v>-0.2162023296900232</v>
      </c>
      <c r="I6">
        <v>4.92935753847146E-2</v>
      </c>
      <c r="J6">
        <v>2.5703954045596E-2</v>
      </c>
      <c r="K6">
        <v>6.0204422533996797E-3</v>
      </c>
      <c r="L6">
        <v>3.1619626514867055E-5</v>
      </c>
      <c r="M6">
        <v>5.5285307387767294E-7</v>
      </c>
      <c r="N6" s="1">
        <v>3.04904379386104E-11</v>
      </c>
      <c r="O6" s="1">
        <v>1.31381056623714E-14</v>
      </c>
      <c r="P6" s="1">
        <v>4.7723449396190901E-14</v>
      </c>
      <c r="R6">
        <v>47.300579979579197</v>
      </c>
      <c r="S6">
        <v>2.23317252061543</v>
      </c>
      <c r="T6">
        <v>9.8961767957087297</v>
      </c>
      <c r="V6">
        <v>37.243371260108702</v>
      </c>
      <c r="W6">
        <v>0.83142872609053897</v>
      </c>
      <c r="X6">
        <v>2.49527071789726</v>
      </c>
      <c r="AJ6">
        <v>9.1600216670396403E-2</v>
      </c>
      <c r="AK6">
        <v>9.1688534760915999E-2</v>
      </c>
      <c r="AL6">
        <v>0.76696450537496397</v>
      </c>
      <c r="AM6">
        <v>1.7341275977835701E-2</v>
      </c>
      <c r="AN6">
        <v>3.2405467215887003E-2</v>
      </c>
    </row>
    <row r="7" spans="1:40" x14ac:dyDescent="0.2">
      <c r="A7">
        <v>84</v>
      </c>
      <c r="B7">
        <v>739</v>
      </c>
      <c r="C7">
        <v>260</v>
      </c>
      <c r="D7">
        <v>0.30530109173541498</v>
      </c>
      <c r="E7">
        <v>4.0491610288708103E-2</v>
      </c>
      <c r="F7">
        <v>4.6597303537471602</v>
      </c>
      <c r="G7">
        <v>-0.38480939613066456</v>
      </c>
      <c r="H7">
        <v>-0.3126864350557565</v>
      </c>
      <c r="I7">
        <v>7.1257186261826796E-2</v>
      </c>
      <c r="J7">
        <v>3.70785534806869E-2</v>
      </c>
      <c r="K7">
        <v>8.6896895774551501E-3</v>
      </c>
      <c r="L7">
        <v>3.1516668881473546E-5</v>
      </c>
      <c r="M7">
        <v>5.5255102169400449E-7</v>
      </c>
      <c r="N7" s="1">
        <v>4.77017808691734E-11</v>
      </c>
      <c r="O7" s="1">
        <v>1.8952976961631299E-14</v>
      </c>
      <c r="P7" s="1">
        <v>6.4171167034936394E-14</v>
      </c>
      <c r="R7">
        <v>47.244449311532598</v>
      </c>
      <c r="S7">
        <v>2.2962345549469698</v>
      </c>
      <c r="T7">
        <v>9.9479272014192901</v>
      </c>
      <c r="V7">
        <v>36.823015083727398</v>
      </c>
      <c r="W7">
        <v>1.1884608256042699</v>
      </c>
      <c r="X7">
        <v>2.4999130227693001</v>
      </c>
      <c r="AJ7">
        <v>9.1738053664048996E-2</v>
      </c>
      <c r="AK7">
        <v>9.21352837471726E-2</v>
      </c>
      <c r="AL7">
        <v>0.75803876811442905</v>
      </c>
      <c r="AM7">
        <v>2.4779166137322201E-2</v>
      </c>
      <c r="AN7">
        <v>3.33087283370265E-2</v>
      </c>
    </row>
    <row r="8" spans="1:40" x14ac:dyDescent="0.2">
      <c r="A8">
        <v>105</v>
      </c>
      <c r="B8">
        <v>743</v>
      </c>
      <c r="C8">
        <v>240</v>
      </c>
      <c r="D8">
        <v>0.32996161983958999</v>
      </c>
      <c r="E8">
        <v>2.6792377914582801E-2</v>
      </c>
      <c r="F8">
        <v>4.6549630315671804</v>
      </c>
      <c r="G8">
        <v>-0.25496172571577902</v>
      </c>
      <c r="H8">
        <v>-0.20697209000883499</v>
      </c>
      <c r="I8">
        <v>4.7226920933862097E-2</v>
      </c>
      <c r="J8">
        <v>2.4575557639077299E-2</v>
      </c>
      <c r="K8">
        <v>5.7556585805070603E-3</v>
      </c>
      <c r="L8">
        <v>3.1566408248300754E-5</v>
      </c>
      <c r="M8">
        <v>5.5297130008015516E-7</v>
      </c>
      <c r="N8" s="1">
        <v>2.92815534945011E-11</v>
      </c>
      <c r="O8" s="1">
        <v>1.25447799067975E-14</v>
      </c>
      <c r="P8" s="1">
        <v>4.6858803649506799E-14</v>
      </c>
      <c r="R8">
        <v>47.288432280209697</v>
      </c>
      <c r="S8">
        <v>2.2229847956875002</v>
      </c>
      <c r="T8">
        <v>10.0073467331598</v>
      </c>
      <c r="V8">
        <v>36.905975503331099</v>
      </c>
      <c r="W8">
        <v>0.982915528062977</v>
      </c>
      <c r="X8">
        <v>2.5923451595487799</v>
      </c>
      <c r="AJ8">
        <v>9.5101272206872894E-2</v>
      </c>
      <c r="AK8">
        <v>9.26576337037881E-2</v>
      </c>
      <c r="AL8">
        <v>0.75951724457425596</v>
      </c>
      <c r="AM8">
        <v>2.0487402085555301E-2</v>
      </c>
      <c r="AN8">
        <v>3.2236447429527103E-2</v>
      </c>
    </row>
    <row r="9" spans="1:40" x14ac:dyDescent="0.2">
      <c r="A9">
        <v>106</v>
      </c>
      <c r="B9">
        <v>742</v>
      </c>
      <c r="C9">
        <v>240</v>
      </c>
      <c r="D9">
        <v>0.32923262572033701</v>
      </c>
      <c r="E9">
        <v>3.78482762812659E-2</v>
      </c>
      <c r="F9">
        <v>4.65763828937963</v>
      </c>
      <c r="G9">
        <v>-0.36054603522230427</v>
      </c>
      <c r="H9">
        <v>-0.29276257324192512</v>
      </c>
      <c r="I9">
        <v>6.6771868177490201E-2</v>
      </c>
      <c r="J9">
        <v>3.4679199573161998E-2</v>
      </c>
      <c r="K9">
        <v>8.1260660295514302E-3</v>
      </c>
      <c r="L9">
        <v>3.146941382490084E-5</v>
      </c>
      <c r="M9">
        <v>5.5267253294537105E-7</v>
      </c>
      <c r="N9" s="1">
        <v>4.4003748106790098E-11</v>
      </c>
      <c r="O9" s="1">
        <v>1.76991296090548E-14</v>
      </c>
      <c r="P9" s="1">
        <v>6.29614292371776E-14</v>
      </c>
      <c r="R9">
        <v>47.229897413997897</v>
      </c>
      <c r="S9">
        <v>2.2845245687749598</v>
      </c>
      <c r="T9">
        <v>10.0640775544982</v>
      </c>
      <c r="V9">
        <v>36.503582601518801</v>
      </c>
      <c r="W9">
        <v>1.32205312211893</v>
      </c>
      <c r="X9">
        <v>2.5958647390909801</v>
      </c>
      <c r="AJ9">
        <v>9.5198549951948902E-2</v>
      </c>
      <c r="AK9">
        <v>9.3151747219862496E-2</v>
      </c>
      <c r="AL9">
        <v>0.75098491324348904</v>
      </c>
      <c r="AM9">
        <v>2.75470041143436E-2</v>
      </c>
      <c r="AN9">
        <v>3.3117785470356098E-2</v>
      </c>
    </row>
    <row r="10" spans="1:40" x14ac:dyDescent="0.2">
      <c r="A10">
        <v>124</v>
      </c>
      <c r="B10">
        <v>746</v>
      </c>
      <c r="C10">
        <v>220</v>
      </c>
      <c r="D10">
        <v>0.35372663494088302</v>
      </c>
      <c r="E10">
        <v>2.7293643956966099E-2</v>
      </c>
      <c r="F10">
        <v>4.6533531749433799</v>
      </c>
      <c r="G10">
        <v>-0.26043148993506154</v>
      </c>
      <c r="H10">
        <v>-0.2112624397617201</v>
      </c>
      <c r="I10">
        <v>4.8245155446540199E-2</v>
      </c>
      <c r="J10">
        <v>2.504504112803E-2</v>
      </c>
      <c r="K10">
        <v>5.8653712561368603E-3</v>
      </c>
      <c r="L10">
        <v>3.1497553074744437E-5</v>
      </c>
      <c r="M10">
        <v>5.530232790962168E-7</v>
      </c>
      <c r="N10" s="1">
        <v>3.0044716507847203E-11</v>
      </c>
      <c r="O10" s="1">
        <v>1.27649527319511E-14</v>
      </c>
      <c r="P10" s="1">
        <v>4.9057397552280002E-14</v>
      </c>
      <c r="R10">
        <v>47.262961944416503</v>
      </c>
      <c r="S10">
        <v>2.2241421884184698</v>
      </c>
      <c r="T10">
        <v>10.1350134379013</v>
      </c>
      <c r="V10">
        <v>36.495486684286199</v>
      </c>
      <c r="W10">
        <v>1.19065245623641</v>
      </c>
      <c r="X10">
        <v>2.6917432887410002</v>
      </c>
      <c r="AJ10">
        <v>9.8675947787406598E-2</v>
      </c>
      <c r="AK10">
        <v>9.3771476162444495E-2</v>
      </c>
      <c r="AL10">
        <v>0.75052346612786403</v>
      </c>
      <c r="AM10">
        <v>2.4799325761831598E-2</v>
      </c>
      <c r="AN10">
        <v>3.2229784160452503E-2</v>
      </c>
    </row>
    <row r="11" spans="1:40" x14ac:dyDescent="0.2">
      <c r="A11">
        <v>125</v>
      </c>
      <c r="B11">
        <v>745</v>
      </c>
      <c r="C11">
        <v>220</v>
      </c>
      <c r="D11">
        <v>0.35302313018710402</v>
      </c>
      <c r="E11">
        <v>3.6326694518541099E-2</v>
      </c>
      <c r="F11">
        <v>4.6558407764223704</v>
      </c>
      <c r="G11">
        <v>-0.34693703458404807</v>
      </c>
      <c r="H11">
        <v>-0.28151190075108845</v>
      </c>
      <c r="I11">
        <v>6.4258835960280494E-2</v>
      </c>
      <c r="J11">
        <v>3.3303511399774402E-2</v>
      </c>
      <c r="K11">
        <v>7.8023919336982104E-3</v>
      </c>
      <c r="L11">
        <v>3.1411663521887155E-5</v>
      </c>
      <c r="M11">
        <v>5.5273982188259726E-7</v>
      </c>
      <c r="N11" s="1">
        <v>4.1629093552888797E-11</v>
      </c>
      <c r="O11" s="1">
        <v>1.6966747772936099E-14</v>
      </c>
      <c r="P11" s="1">
        <v>6.3494258463474506E-14</v>
      </c>
      <c r="R11">
        <v>47.203606979504897</v>
      </c>
      <c r="S11">
        <v>2.28346214489118</v>
      </c>
      <c r="T11">
        <v>10.1937731179707</v>
      </c>
      <c r="V11">
        <v>36.125165868900602</v>
      </c>
      <c r="W11">
        <v>1.5004833963595099</v>
      </c>
      <c r="X11">
        <v>2.6935084923730002</v>
      </c>
      <c r="AJ11">
        <v>9.8710487138743599E-2</v>
      </c>
      <c r="AK11">
        <v>9.4286315677833299E-2</v>
      </c>
      <c r="AL11">
        <v>0.74268088161964096</v>
      </c>
      <c r="AM11">
        <v>3.1243043518792198E-2</v>
      </c>
      <c r="AN11">
        <v>3.3079272044988998E-2</v>
      </c>
    </row>
    <row r="12" spans="1:40" x14ac:dyDescent="0.2">
      <c r="A12">
        <v>140</v>
      </c>
      <c r="B12">
        <v>750</v>
      </c>
      <c r="C12">
        <v>200</v>
      </c>
      <c r="D12">
        <v>0.37802912573913899</v>
      </c>
      <c r="E12">
        <v>1.7368930645302701E-2</v>
      </c>
      <c r="F12">
        <v>4.6495577721339902</v>
      </c>
      <c r="G12">
        <v>-0.16605877319298507</v>
      </c>
      <c r="H12">
        <v>-0.13457507987410716</v>
      </c>
      <c r="I12">
        <v>3.0771336870329801E-2</v>
      </c>
      <c r="J12">
        <v>1.5958940113617998E-2</v>
      </c>
      <c r="K12">
        <v>3.7356091689836101E-3</v>
      </c>
      <c r="L12">
        <v>3.1503414069964324E-5</v>
      </c>
      <c r="M12">
        <v>5.5327995538280191E-7</v>
      </c>
      <c r="N12" s="1">
        <v>1.8207621480418801E-11</v>
      </c>
      <c r="O12" s="1">
        <v>8.12104502482424E-15</v>
      </c>
      <c r="P12" s="1">
        <v>3.3400807628500202E-14</v>
      </c>
      <c r="R12">
        <v>47.278145738806302</v>
      </c>
      <c r="S12">
        <v>2.1830478145413799</v>
      </c>
      <c r="T12">
        <v>10.2231790110558</v>
      </c>
      <c r="V12">
        <v>36.391698753703402</v>
      </c>
      <c r="W12">
        <v>1.13426613542483</v>
      </c>
      <c r="X12">
        <v>2.7896625464680902</v>
      </c>
      <c r="AJ12">
        <v>0.102214334384667</v>
      </c>
      <c r="AK12">
        <v>9.4539838263877005E-2</v>
      </c>
      <c r="AL12">
        <v>0.74801431712705702</v>
      </c>
      <c r="AM12">
        <v>2.3613061207028701E-2</v>
      </c>
      <c r="AN12">
        <v>3.1618449017369703E-2</v>
      </c>
    </row>
    <row r="13" spans="1:40" x14ac:dyDescent="0.2">
      <c r="A13">
        <v>141</v>
      </c>
      <c r="B13">
        <v>749</v>
      </c>
      <c r="C13">
        <v>200</v>
      </c>
      <c r="D13">
        <v>0.37735214988015597</v>
      </c>
      <c r="E13">
        <v>2.92714551739423E-2</v>
      </c>
      <c r="F13">
        <v>4.6522697218631102</v>
      </c>
      <c r="G13">
        <v>-0.28012887825359906</v>
      </c>
      <c r="H13">
        <v>-0.22707830061456866</v>
      </c>
      <c r="I13">
        <v>5.1900971128533299E-2</v>
      </c>
      <c r="J13">
        <v>2.68677084801686E-2</v>
      </c>
      <c r="K13">
        <v>6.2918654600748001E-3</v>
      </c>
      <c r="L13">
        <v>3.1411380764517899E-5</v>
      </c>
      <c r="M13">
        <v>5.5298441893437534E-7</v>
      </c>
      <c r="N13" s="1">
        <v>3.2279753336784502E-11</v>
      </c>
      <c r="O13" s="1">
        <v>1.36670958344424E-14</v>
      </c>
      <c r="P13" s="1">
        <v>5.4490390229988903E-14</v>
      </c>
      <c r="R13">
        <v>47.216755389023902</v>
      </c>
      <c r="S13">
        <v>2.2420066964703</v>
      </c>
      <c r="T13">
        <v>10.28792602231</v>
      </c>
      <c r="V13">
        <v>35.987568631298501</v>
      </c>
      <c r="W13">
        <v>1.4725313712480901</v>
      </c>
      <c r="X13">
        <v>2.7932118896490099</v>
      </c>
      <c r="AJ13">
        <v>0.102311846996732</v>
      </c>
      <c r="AK13">
        <v>9.5108346625219206E-2</v>
      </c>
      <c r="AL13">
        <v>0.73947244834950498</v>
      </c>
      <c r="AM13">
        <v>3.0645294019757099E-2</v>
      </c>
      <c r="AN13">
        <v>3.2462064008785499E-2</v>
      </c>
    </row>
    <row r="14" spans="1:40" x14ac:dyDescent="0.2">
      <c r="A14">
        <v>153</v>
      </c>
      <c r="B14">
        <v>754</v>
      </c>
      <c r="C14">
        <v>180</v>
      </c>
      <c r="D14">
        <v>0.402142335588766</v>
      </c>
      <c r="E14">
        <v>1.3391391018107801E-2</v>
      </c>
      <c r="F14">
        <v>4.6468912277473997</v>
      </c>
      <c r="G14">
        <v>-0.1283607809121145</v>
      </c>
      <c r="H14">
        <v>-0.10392126132836448</v>
      </c>
      <c r="I14">
        <v>2.3793525369955701E-2</v>
      </c>
      <c r="J14">
        <v>1.23154070928646E-2</v>
      </c>
      <c r="K14">
        <v>2.8817956697900402E-3</v>
      </c>
      <c r="L14">
        <v>3.1466010130861204E-5</v>
      </c>
      <c r="M14">
        <v>5.5337621594839979E-7</v>
      </c>
      <c r="N14" s="1">
        <v>1.373004336988E-11</v>
      </c>
      <c r="O14" s="1">
        <v>6.2553286183462699E-15</v>
      </c>
      <c r="P14" s="1">
        <v>2.7006864212025301E-14</v>
      </c>
      <c r="R14">
        <v>47.262994177284099</v>
      </c>
      <c r="S14">
        <v>2.1703017232464199</v>
      </c>
      <c r="T14">
        <v>10.347030912002699</v>
      </c>
      <c r="V14">
        <v>36.087939769261702</v>
      </c>
      <c r="W14">
        <v>1.2385778872402999</v>
      </c>
      <c r="X14">
        <v>2.8931555309645498</v>
      </c>
      <c r="AJ14">
        <v>0.105934251130737</v>
      </c>
      <c r="AK14">
        <v>9.56200843622316E-2</v>
      </c>
      <c r="AL14">
        <v>0.74126613101549998</v>
      </c>
      <c r="AM14">
        <v>2.5767075823679E-2</v>
      </c>
      <c r="AN14">
        <v>3.1412457667851897E-2</v>
      </c>
    </row>
    <row r="15" spans="1:40" x14ac:dyDescent="0.2">
      <c r="A15">
        <v>154</v>
      </c>
      <c r="B15">
        <v>753</v>
      </c>
      <c r="C15">
        <v>180</v>
      </c>
      <c r="D15">
        <v>0.401491497344444</v>
      </c>
      <c r="E15">
        <v>2.5153190914040301E-2</v>
      </c>
      <c r="F15">
        <v>4.6495732205269897</v>
      </c>
      <c r="G15">
        <v>-0.24132444708672668</v>
      </c>
      <c r="H15">
        <v>-0.19542818524615854</v>
      </c>
      <c r="I15">
        <v>4.4726659689682903E-2</v>
      </c>
      <c r="J15">
        <v>2.31098953562567E-2</v>
      </c>
      <c r="K15">
        <v>5.4097848815443401E-3</v>
      </c>
      <c r="L15">
        <v>3.1378889591648951E-5</v>
      </c>
      <c r="M15">
        <v>5.5308785133746356E-7</v>
      </c>
      <c r="N15" s="1">
        <v>2.6917547608243199E-11</v>
      </c>
      <c r="O15" s="1">
        <v>1.17324368136155E-14</v>
      </c>
      <c r="P15" s="1">
        <v>4.9534182136694199E-14</v>
      </c>
      <c r="R15">
        <v>47.200827824138003</v>
      </c>
      <c r="S15">
        <v>2.22756470839118</v>
      </c>
      <c r="T15">
        <v>10.414508818843499</v>
      </c>
      <c r="V15">
        <v>35.691264524832903</v>
      </c>
      <c r="W15">
        <v>1.5695708742199701</v>
      </c>
      <c r="X15">
        <v>2.8962632495743201</v>
      </c>
      <c r="AJ15">
        <v>0.10601579628854001</v>
      </c>
      <c r="AK15">
        <v>9.6214404121833394E-2</v>
      </c>
      <c r="AL15">
        <v>0.73289528826742001</v>
      </c>
      <c r="AM15">
        <v>3.2643045540351502E-2</v>
      </c>
      <c r="AN15">
        <v>3.2231465781853499E-2</v>
      </c>
    </row>
    <row r="16" spans="1:40" x14ac:dyDescent="0.2">
      <c r="A16">
        <v>168</v>
      </c>
      <c r="B16">
        <v>758</v>
      </c>
      <c r="C16">
        <v>160</v>
      </c>
      <c r="D16">
        <v>0.426068467245311</v>
      </c>
      <c r="E16">
        <v>1.7016683456148901E-2</v>
      </c>
      <c r="F16">
        <v>4.6458032900938999</v>
      </c>
      <c r="G16">
        <v>-0.16365355070660545</v>
      </c>
      <c r="H16">
        <v>-0.1323599307546299</v>
      </c>
      <c r="I16">
        <v>3.0348271300950799E-2</v>
      </c>
      <c r="J16">
        <v>1.56562705736671E-2</v>
      </c>
      <c r="K16">
        <v>3.6628075692384599E-3</v>
      </c>
      <c r="L16">
        <v>3.1375820844233896E-5</v>
      </c>
      <c r="M16">
        <v>5.5325200827531137E-7</v>
      </c>
      <c r="N16" s="1">
        <v>1.74129808187541E-11</v>
      </c>
      <c r="O16" s="1">
        <v>7.9323185350550693E-15</v>
      </c>
      <c r="P16" s="1">
        <v>3.5668763123481801E-14</v>
      </c>
      <c r="R16">
        <v>47.201381313119903</v>
      </c>
      <c r="S16">
        <v>2.1958378506971998</v>
      </c>
      <c r="T16">
        <v>10.5285983894297</v>
      </c>
      <c r="V16">
        <v>35.511981879568303</v>
      </c>
      <c r="W16">
        <v>1.55918081348422</v>
      </c>
      <c r="X16">
        <v>3.0030197537005501</v>
      </c>
      <c r="AJ16">
        <v>0.109857065325436</v>
      </c>
      <c r="AK16">
        <v>9.7209592054427599E-2</v>
      </c>
      <c r="AL16">
        <v>0.72877281357315304</v>
      </c>
      <c r="AM16">
        <v>3.24073470423724E-2</v>
      </c>
      <c r="AN16">
        <v>3.1753182004609901E-2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E1DB-EF93-4298-9326-2B1B98B569BC}">
  <sheetPr codeName="Sheet7"/>
  <dimension ref="A1:AN4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30</v>
      </c>
      <c r="B2">
        <v>734</v>
      </c>
      <c r="C2">
        <v>300</v>
      </c>
      <c r="D2">
        <v>0.25781710768008598</v>
      </c>
      <c r="E2">
        <v>0.45775397373259002</v>
      </c>
      <c r="F2">
        <v>4.9426392921448397</v>
      </c>
      <c r="G2">
        <v>-3.0475319646061374</v>
      </c>
      <c r="H2">
        <v>-2.2386516968320174</v>
      </c>
      <c r="I2">
        <v>0.80313783227336399</v>
      </c>
      <c r="J2">
        <v>0.40543169363590298</v>
      </c>
      <c r="K2">
        <v>9.2613267259879103E-2</v>
      </c>
      <c r="L2">
        <v>3.5621577465383017E-5</v>
      </c>
      <c r="M2">
        <v>4.1435205642664006E-7</v>
      </c>
      <c r="N2" s="1">
        <v>1.80725848736661E-9</v>
      </c>
      <c r="O2" s="1">
        <v>2.23614656455716E-13</v>
      </c>
      <c r="P2">
        <v>0</v>
      </c>
      <c r="R2">
        <v>8.9297472662661903</v>
      </c>
      <c r="S2">
        <v>1.83647084684722</v>
      </c>
      <c r="T2">
        <v>50.035765535620897</v>
      </c>
      <c r="V2">
        <v>38.345750743180602</v>
      </c>
      <c r="X2">
        <v>0.85226560808500496</v>
      </c>
      <c r="AJ2">
        <v>0</v>
      </c>
      <c r="AK2">
        <v>-7.07348445461307E-3</v>
      </c>
      <c r="AL2">
        <v>0.70712166460783998</v>
      </c>
      <c r="AM2">
        <v>4.7722128040595599E-2</v>
      </c>
      <c r="AN2">
        <v>0.25222969180617699</v>
      </c>
    </row>
    <row r="3" spans="1:40" x14ac:dyDescent="0.2">
      <c r="A3">
        <v>31</v>
      </c>
      <c r="B3">
        <v>733</v>
      </c>
      <c r="C3">
        <v>300</v>
      </c>
      <c r="D3">
        <v>0.257009889181535</v>
      </c>
      <c r="E3">
        <v>0.50168025845372799</v>
      </c>
      <c r="F3">
        <v>4.9431818791295301</v>
      </c>
      <c r="G3">
        <v>-3.3383211624013089</v>
      </c>
      <c r="H3">
        <v>-2.4532183287953644</v>
      </c>
      <c r="I3">
        <v>0.87969272335729598</v>
      </c>
      <c r="J3">
        <v>0.44435190773962902</v>
      </c>
      <c r="K3">
        <v>0.101489338389885</v>
      </c>
      <c r="L3">
        <v>3.572364068149345E-5</v>
      </c>
      <c r="M3">
        <v>4.1569680795397097E-7</v>
      </c>
      <c r="N3" s="1">
        <v>1.98749476984439E-9</v>
      </c>
      <c r="O3" s="1">
        <v>2.4597367931063599E-13</v>
      </c>
      <c r="P3">
        <v>0</v>
      </c>
      <c r="R3">
        <v>8.7949757189331699</v>
      </c>
      <c r="S3">
        <v>1.8984059825274699</v>
      </c>
      <c r="T3">
        <v>50.219690573563803</v>
      </c>
      <c r="V3">
        <v>38.240920962350799</v>
      </c>
      <c r="X3">
        <v>0.84600676262461005</v>
      </c>
      <c r="AJ3">
        <v>0</v>
      </c>
      <c r="AK3">
        <v>-5.3512705487253403E-3</v>
      </c>
      <c r="AL3">
        <v>0.70960499679151001</v>
      </c>
      <c r="AM3">
        <v>4.7363927839378303E-2</v>
      </c>
      <c r="AN3">
        <v>0.24838234591783601</v>
      </c>
    </row>
    <row r="4" spans="1:40" x14ac:dyDescent="0.2">
      <c r="A4">
        <v>57</v>
      </c>
      <c r="B4">
        <v>738</v>
      </c>
      <c r="C4">
        <v>280</v>
      </c>
      <c r="D4">
        <v>0.28278742026405701</v>
      </c>
      <c r="E4">
        <v>0.21562940111429901</v>
      </c>
      <c r="F4">
        <v>4.9462169172739499</v>
      </c>
      <c r="G4">
        <v>-1.4323514927032708</v>
      </c>
      <c r="H4">
        <v>-1.0494068833370331</v>
      </c>
      <c r="I4">
        <v>0.37872186062032098</v>
      </c>
      <c r="J4">
        <v>0.19096499952100701</v>
      </c>
      <c r="K4">
        <v>4.3594812908678601E-2</v>
      </c>
      <c r="L4">
        <v>3.6037967482702087E-5</v>
      </c>
      <c r="M4">
        <v>4.1833417511984353E-7</v>
      </c>
      <c r="N4" s="1">
        <v>8.5947283649024802E-10</v>
      </c>
      <c r="O4" s="1">
        <v>1.0649757845871699E-13</v>
      </c>
      <c r="P4">
        <v>0</v>
      </c>
      <c r="R4">
        <v>8.6538555831572896</v>
      </c>
      <c r="S4">
        <v>1.7977889403140299</v>
      </c>
      <c r="T4">
        <v>50.5876101208733</v>
      </c>
      <c r="V4">
        <v>38.156884541851298</v>
      </c>
      <c r="X4">
        <v>0.80386081380399999</v>
      </c>
      <c r="AJ4">
        <v>0</v>
      </c>
      <c r="AK4">
        <v>-5.2237161171299201E-3</v>
      </c>
      <c r="AL4">
        <v>0.71552884019206497</v>
      </c>
      <c r="AM4">
        <v>4.50500297872218E-2</v>
      </c>
      <c r="AN4">
        <v>0.24464484613784199</v>
      </c>
    </row>
    <row r="5" spans="1:40" x14ac:dyDescent="0.2">
      <c r="A5">
        <v>58</v>
      </c>
      <c r="B5">
        <v>737</v>
      </c>
      <c r="C5">
        <v>280</v>
      </c>
      <c r="D5">
        <v>0.28200811760629901</v>
      </c>
      <c r="E5">
        <v>0.46522791855260798</v>
      </c>
      <c r="F5">
        <v>4.93990057706137</v>
      </c>
      <c r="G5">
        <v>-3.1051000628737717</v>
      </c>
      <c r="H5">
        <v>-2.2790011780854873</v>
      </c>
      <c r="I5">
        <v>0.81779823272611296</v>
      </c>
      <c r="J5">
        <v>0.41222473297912898</v>
      </c>
      <c r="K5">
        <v>9.4177587442328903E-2</v>
      </c>
      <c r="L5">
        <v>3.5649987129580168E-5</v>
      </c>
      <c r="M5">
        <v>4.1479427762235966E-7</v>
      </c>
      <c r="N5" s="1">
        <v>1.83514867688072E-9</v>
      </c>
      <c r="O5" s="1">
        <v>2.2682746029913099E-13</v>
      </c>
      <c r="P5">
        <v>0</v>
      </c>
      <c r="R5">
        <v>8.9986417347103504</v>
      </c>
      <c r="S5">
        <v>1.8237261066962001</v>
      </c>
      <c r="T5">
        <v>49.939278974847703</v>
      </c>
      <c r="V5">
        <v>38.346252060659502</v>
      </c>
      <c r="X5">
        <v>0.89210112308619804</v>
      </c>
      <c r="AJ5">
        <v>0</v>
      </c>
      <c r="AK5">
        <v>-9.5832668605657194E-3</v>
      </c>
      <c r="AL5">
        <v>0.70554619509488403</v>
      </c>
      <c r="AM5">
        <v>4.9937697722891403E-2</v>
      </c>
      <c r="AN5">
        <v>0.25409937404278898</v>
      </c>
    </row>
    <row r="6" spans="1:40" x14ac:dyDescent="0.2">
      <c r="A6">
        <v>59</v>
      </c>
      <c r="B6">
        <v>736</v>
      </c>
      <c r="C6">
        <v>280</v>
      </c>
      <c r="D6">
        <v>0.281227270475152</v>
      </c>
      <c r="E6">
        <v>0.50890748132202601</v>
      </c>
      <c r="F6">
        <v>4.9404616933749201</v>
      </c>
      <c r="G6">
        <v>-3.3948923768124337</v>
      </c>
      <c r="H6">
        <v>-2.4926552731748037</v>
      </c>
      <c r="I6">
        <v>0.89405648678355998</v>
      </c>
      <c r="J6">
        <v>0.45094284996476403</v>
      </c>
      <c r="K6">
        <v>0.103008081614004</v>
      </c>
      <c r="L6">
        <v>3.5754796730867916E-5</v>
      </c>
      <c r="M6">
        <v>4.1616916212939321E-7</v>
      </c>
      <c r="N6" s="1">
        <v>2.0144985541559299E-9</v>
      </c>
      <c r="O6" s="1">
        <v>2.4905611091056602E-13</v>
      </c>
      <c r="P6">
        <v>0</v>
      </c>
      <c r="R6">
        <v>8.8619855931593907</v>
      </c>
      <c r="S6">
        <v>1.88558754695033</v>
      </c>
      <c r="T6">
        <v>50.126891461841602</v>
      </c>
      <c r="V6">
        <v>38.239760954075201</v>
      </c>
      <c r="X6">
        <v>0.88577444397334404</v>
      </c>
      <c r="AJ6">
        <v>0</v>
      </c>
      <c r="AK6">
        <v>-7.8590154916661301E-3</v>
      </c>
      <c r="AL6">
        <v>0.70808307441250096</v>
      </c>
      <c r="AM6">
        <v>4.9575582953428801E-2</v>
      </c>
      <c r="AN6">
        <v>0.25020035812573499</v>
      </c>
    </row>
    <row r="7" spans="1:40" x14ac:dyDescent="0.2">
      <c r="A7">
        <v>82</v>
      </c>
      <c r="B7">
        <v>741</v>
      </c>
      <c r="C7">
        <v>260</v>
      </c>
      <c r="D7">
        <v>0.30680915052014102</v>
      </c>
      <c r="E7">
        <v>0.31733923789506302</v>
      </c>
      <c r="F7">
        <v>4.9423851799360401</v>
      </c>
      <c r="G7">
        <v>-2.113810477689523</v>
      </c>
      <c r="H7">
        <v>-1.5474526187962827</v>
      </c>
      <c r="I7">
        <v>0.55845571058841403</v>
      </c>
      <c r="J7">
        <v>0.28121258945036998</v>
      </c>
      <c r="K7">
        <v>6.4207710718971106E-2</v>
      </c>
      <c r="L7">
        <v>3.62861239085242E-5</v>
      </c>
      <c r="M7">
        <v>4.2166843760766057E-7</v>
      </c>
      <c r="N7" s="1">
        <v>1.2709294195253999E-9</v>
      </c>
      <c r="O7" s="1">
        <v>1.5713918306447801E-13</v>
      </c>
      <c r="P7">
        <v>0</v>
      </c>
      <c r="R7">
        <v>8.6079632196917206</v>
      </c>
      <c r="S7">
        <v>1.8021492490662601</v>
      </c>
      <c r="T7">
        <v>50.7192850678383</v>
      </c>
      <c r="V7">
        <v>37.977394981087002</v>
      </c>
      <c r="X7">
        <v>0.89320748231657099</v>
      </c>
      <c r="AJ7">
        <v>0</v>
      </c>
      <c r="AK7">
        <v>-1.01275942087198E-2</v>
      </c>
      <c r="AL7">
        <v>0.71691693339706797</v>
      </c>
      <c r="AM7">
        <v>5.00241031745551E-2</v>
      </c>
      <c r="AN7">
        <v>0.24318655763709601</v>
      </c>
    </row>
    <row r="8" spans="1:40" x14ac:dyDescent="0.2">
      <c r="A8">
        <v>83</v>
      </c>
      <c r="B8">
        <v>740</v>
      </c>
      <c r="C8">
        <v>260</v>
      </c>
      <c r="D8">
        <v>0.30605586537038199</v>
      </c>
      <c r="E8">
        <v>0.49230709199175099</v>
      </c>
      <c r="F8">
        <v>4.9373344909170598</v>
      </c>
      <c r="G8">
        <v>-3.2936146356584164</v>
      </c>
      <c r="H8">
        <v>-2.4152175542551308</v>
      </c>
      <c r="I8">
        <v>0.86699608291297903</v>
      </c>
      <c r="J8">
        <v>0.43640201166313602</v>
      </c>
      <c r="K8">
        <v>9.9711107865472895E-2</v>
      </c>
      <c r="L8">
        <v>3.5705858801167297E-5</v>
      </c>
      <c r="M8">
        <v>4.1554075045540107E-7</v>
      </c>
      <c r="N8" s="1">
        <v>1.94174199783888E-9</v>
      </c>
      <c r="O8" s="1">
        <v>2.3976210445857901E-13</v>
      </c>
      <c r="P8">
        <v>0</v>
      </c>
      <c r="R8">
        <v>9.04320647313099</v>
      </c>
      <c r="S8">
        <v>1.8157525634509299</v>
      </c>
      <c r="T8">
        <v>49.883492978591804</v>
      </c>
      <c r="V8">
        <v>38.326812484777598</v>
      </c>
      <c r="X8">
        <v>0.93073550004854499</v>
      </c>
      <c r="AJ8">
        <v>0</v>
      </c>
      <c r="AK8">
        <v>-1.19188596792859E-2</v>
      </c>
      <c r="AL8">
        <v>0.70455103864921698</v>
      </c>
      <c r="AM8">
        <v>5.20850548502663E-2</v>
      </c>
      <c r="AN8">
        <v>0.255282766179802</v>
      </c>
    </row>
    <row r="9" spans="1:40" x14ac:dyDescent="0.2">
      <c r="A9">
        <v>84</v>
      </c>
      <c r="B9">
        <v>739</v>
      </c>
      <c r="C9">
        <v>260</v>
      </c>
      <c r="D9">
        <v>0.30530109173541498</v>
      </c>
      <c r="E9">
        <v>0.52431760171474695</v>
      </c>
      <c r="F9">
        <v>4.9379168542796901</v>
      </c>
      <c r="G9">
        <v>-3.505900261739793</v>
      </c>
      <c r="H9">
        <v>-2.5718603477990039</v>
      </c>
      <c r="I9">
        <v>0.92282755909775205</v>
      </c>
      <c r="J9">
        <v>0.464791184399938</v>
      </c>
      <c r="K9">
        <v>0.10618194214030099</v>
      </c>
      <c r="L9">
        <v>3.5811004761350134E-5</v>
      </c>
      <c r="M9">
        <v>4.1691781011427856E-7</v>
      </c>
      <c r="N9" s="1">
        <v>2.0752660909629298E-9</v>
      </c>
      <c r="O9" s="1">
        <v>2.56313738724291E-13</v>
      </c>
      <c r="P9">
        <v>0</v>
      </c>
      <c r="R9">
        <v>8.9072636251191408</v>
      </c>
      <c r="S9">
        <v>1.87611753602637</v>
      </c>
      <c r="T9">
        <v>50.071413845557103</v>
      </c>
      <c r="V9">
        <v>38.220933813446997</v>
      </c>
      <c r="X9">
        <v>0.92427117985030505</v>
      </c>
      <c r="AJ9">
        <v>0</v>
      </c>
      <c r="AK9">
        <v>-1.02202244153719E-2</v>
      </c>
      <c r="AL9">
        <v>0.70709777610798497</v>
      </c>
      <c r="AM9">
        <v>5.1715445680177698E-2</v>
      </c>
      <c r="AN9">
        <v>0.251407002627208</v>
      </c>
    </row>
    <row r="10" spans="1:40" x14ac:dyDescent="0.2">
      <c r="A10">
        <v>104</v>
      </c>
      <c r="B10">
        <v>744</v>
      </c>
      <c r="C10">
        <v>240</v>
      </c>
      <c r="D10">
        <v>0.33068918055350899</v>
      </c>
      <c r="E10">
        <v>0.425661238021111</v>
      </c>
      <c r="F10">
        <v>4.9362049138922801</v>
      </c>
      <c r="G10">
        <v>-2.8507752651698661</v>
      </c>
      <c r="H10">
        <v>-2.0868202319296687</v>
      </c>
      <c r="I10">
        <v>0.75107411221569798</v>
      </c>
      <c r="J10">
        <v>0.37744500405956999</v>
      </c>
      <c r="K10">
        <v>8.6232489421811595E-2</v>
      </c>
      <c r="L10">
        <v>3.5952487049502316E-5</v>
      </c>
      <c r="M10">
        <v>4.1821260093840191E-7</v>
      </c>
      <c r="N10" s="1">
        <v>1.6864485659631999E-9</v>
      </c>
      <c r="O10" s="1">
        <v>2.0807711006781701E-13</v>
      </c>
      <c r="P10">
        <v>0</v>
      </c>
      <c r="R10">
        <v>8.9832161766039107</v>
      </c>
      <c r="S10">
        <v>1.77186416984682</v>
      </c>
      <c r="T10">
        <v>50.069425715504302</v>
      </c>
      <c r="V10">
        <v>38.210395982417502</v>
      </c>
      <c r="X10">
        <v>0.96509795562737799</v>
      </c>
      <c r="AJ10">
        <v>0</v>
      </c>
      <c r="AK10">
        <v>-1.48132430392888E-2</v>
      </c>
      <c r="AL10">
        <v>0.70720417788855305</v>
      </c>
      <c r="AM10">
        <v>5.4010083264508901E-2</v>
      </c>
      <c r="AN10">
        <v>0.25359898188622598</v>
      </c>
    </row>
    <row r="11" spans="1:40" x14ac:dyDescent="0.2">
      <c r="A11">
        <v>105</v>
      </c>
      <c r="B11">
        <v>743</v>
      </c>
      <c r="C11">
        <v>240</v>
      </c>
      <c r="D11">
        <v>0.32996161983958999</v>
      </c>
      <c r="E11">
        <v>0.51718974016796704</v>
      </c>
      <c r="F11">
        <v>4.93473994788899</v>
      </c>
      <c r="G11">
        <v>-3.4683280762659523</v>
      </c>
      <c r="H11">
        <v>-2.5410985869760379</v>
      </c>
      <c r="I11">
        <v>0.91249273167338896</v>
      </c>
      <c r="J11">
        <v>0.45865894866158802</v>
      </c>
      <c r="K11">
        <v>0.104805875411775</v>
      </c>
      <c r="L11">
        <v>3.5772162897492508E-5</v>
      </c>
      <c r="M11">
        <v>4.1641043545149159E-7</v>
      </c>
      <c r="N11" s="1">
        <v>2.0402493181535701E-9</v>
      </c>
      <c r="O11" s="1">
        <v>2.51670449986418E-13</v>
      </c>
      <c r="P11">
        <v>0</v>
      </c>
      <c r="R11">
        <v>9.0769744076580601</v>
      </c>
      <c r="S11">
        <v>1.8137177418791699</v>
      </c>
      <c r="T11">
        <v>49.841916273988701</v>
      </c>
      <c r="V11">
        <v>38.297368254888497</v>
      </c>
      <c r="X11">
        <v>0.97002332158537097</v>
      </c>
      <c r="AJ11">
        <v>0</v>
      </c>
      <c r="AK11">
        <v>-1.4157919910077499E-2</v>
      </c>
      <c r="AL11">
        <v>0.70373790937400704</v>
      </c>
      <c r="AM11">
        <v>5.4266227937580201E-2</v>
      </c>
      <c r="AN11">
        <v>0.25615378259848998</v>
      </c>
    </row>
    <row r="12" spans="1:40" x14ac:dyDescent="0.2">
      <c r="A12">
        <v>106</v>
      </c>
      <c r="B12">
        <v>742</v>
      </c>
      <c r="C12">
        <v>240</v>
      </c>
      <c r="D12">
        <v>0.32923262572033701</v>
      </c>
      <c r="E12">
        <v>0.53914851680754805</v>
      </c>
      <c r="F12">
        <v>4.9353297867887402</v>
      </c>
      <c r="G12">
        <v>-3.6136264462250054</v>
      </c>
      <c r="H12">
        <v>-2.6485452838080041</v>
      </c>
      <c r="I12">
        <v>0.950678384885979</v>
      </c>
      <c r="J12">
        <v>0.47814474070711199</v>
      </c>
      <c r="K12">
        <v>0.10924265248713</v>
      </c>
      <c r="L12">
        <v>3.5875093106318992E-5</v>
      </c>
      <c r="M12">
        <v>4.1776125036730338E-7</v>
      </c>
      <c r="N12" s="1">
        <v>2.1342036788331102E-9</v>
      </c>
      <c r="O12" s="1">
        <v>2.6332695371998798E-13</v>
      </c>
      <c r="P12">
        <v>0</v>
      </c>
      <c r="R12">
        <v>8.9440675819519502</v>
      </c>
      <c r="S12">
        <v>1.8719965680350601</v>
      </c>
      <c r="T12">
        <v>50.026406396396297</v>
      </c>
      <c r="V12">
        <v>38.194014256746001</v>
      </c>
      <c r="X12">
        <v>0.96351519687062404</v>
      </c>
      <c r="AJ12">
        <v>0</v>
      </c>
      <c r="AK12">
        <v>-1.25032763590595E-2</v>
      </c>
      <c r="AL12">
        <v>0.70624180209618304</v>
      </c>
      <c r="AM12">
        <v>5.3894435247811803E-2</v>
      </c>
      <c r="AN12">
        <v>0.25236703901506402</v>
      </c>
    </row>
    <row r="13" spans="1:40" x14ac:dyDescent="0.2">
      <c r="A13">
        <v>122</v>
      </c>
      <c r="B13">
        <v>748</v>
      </c>
      <c r="C13">
        <v>220</v>
      </c>
      <c r="D13">
        <v>0.355129510845618</v>
      </c>
      <c r="E13">
        <v>0.28176026624160999</v>
      </c>
      <c r="F13">
        <v>4.9462924924421499</v>
      </c>
      <c r="G13">
        <v>-1.8720260356532383</v>
      </c>
      <c r="H13">
        <v>-1.3646249592626722</v>
      </c>
      <c r="I13">
        <v>0.49689181451360298</v>
      </c>
      <c r="J13">
        <v>0.249734303576511</v>
      </c>
      <c r="K13">
        <v>5.6963931403598803E-2</v>
      </c>
      <c r="L13">
        <v>3.7213057315239873E-5</v>
      </c>
      <c r="M13">
        <v>4.3139409077946827E-7</v>
      </c>
      <c r="N13" s="1">
        <v>1.15279698287125E-9</v>
      </c>
      <c r="O13" s="1">
        <v>1.42720293057495E-13</v>
      </c>
      <c r="P13">
        <v>0</v>
      </c>
      <c r="R13">
        <v>7.9840755764165703</v>
      </c>
      <c r="S13">
        <v>1.82189500145377</v>
      </c>
      <c r="T13">
        <v>51.882200342386398</v>
      </c>
      <c r="V13">
        <v>37.452013468140301</v>
      </c>
      <c r="X13">
        <v>0.85981561160287301</v>
      </c>
      <c r="AJ13">
        <v>0</v>
      </c>
      <c r="AK13">
        <v>-7.8262198928975603E-3</v>
      </c>
      <c r="AL13">
        <v>0.73390569879766399</v>
      </c>
      <c r="AM13">
        <v>4.8190168363464E-2</v>
      </c>
      <c r="AN13">
        <v>0.225730352731768</v>
      </c>
    </row>
    <row r="14" spans="1:40" x14ac:dyDescent="0.2">
      <c r="A14">
        <v>123</v>
      </c>
      <c r="B14">
        <v>747</v>
      </c>
      <c r="C14">
        <v>220</v>
      </c>
      <c r="D14">
        <v>0.35442876047640198</v>
      </c>
      <c r="E14">
        <v>0.506494300826421</v>
      </c>
      <c r="F14">
        <v>4.9293303811110301</v>
      </c>
      <c r="G14">
        <v>-3.4132630357968199</v>
      </c>
      <c r="H14">
        <v>-2.4989635109856239</v>
      </c>
      <c r="I14">
        <v>0.89624028310659698</v>
      </c>
      <c r="J14">
        <v>0.44940240309963903</v>
      </c>
      <c r="K14">
        <v>0.102751136902343</v>
      </c>
      <c r="L14">
        <v>3.5446931604542274E-5</v>
      </c>
      <c r="M14">
        <v>4.1273381818666557E-7</v>
      </c>
      <c r="N14" s="1">
        <v>1.9757365298255998E-9</v>
      </c>
      <c r="O14" s="1">
        <v>2.4326520198053599E-13</v>
      </c>
      <c r="P14">
        <v>0</v>
      </c>
      <c r="R14">
        <v>9.4731522383026601</v>
      </c>
      <c r="S14">
        <v>1.7410623105031799</v>
      </c>
      <c r="T14">
        <v>49.194645241514202</v>
      </c>
      <c r="V14">
        <v>38.561897915458502</v>
      </c>
      <c r="X14">
        <v>1.02924229422132</v>
      </c>
      <c r="AJ14">
        <v>0</v>
      </c>
      <c r="AK14">
        <v>-1.9069227901423499E-2</v>
      </c>
      <c r="AL14">
        <v>0.69429720342912205</v>
      </c>
      <c r="AM14">
        <v>5.7554124343560699E-2</v>
      </c>
      <c r="AN14">
        <v>0.26721790012874003</v>
      </c>
    </row>
    <row r="15" spans="1:40" x14ac:dyDescent="0.2">
      <c r="A15">
        <v>124</v>
      </c>
      <c r="B15">
        <v>746</v>
      </c>
      <c r="C15">
        <v>220</v>
      </c>
      <c r="D15">
        <v>0.35372663494088302</v>
      </c>
      <c r="E15">
        <v>0.54035264922291804</v>
      </c>
      <c r="F15">
        <v>4.9321234507159497</v>
      </c>
      <c r="G15">
        <v>-3.6323452034560342</v>
      </c>
      <c r="H15">
        <v>-2.6589467635380726</v>
      </c>
      <c r="I15">
        <v>0.95510811943086005</v>
      </c>
      <c r="J15">
        <v>0.47942126727930501</v>
      </c>
      <c r="K15">
        <v>0.10955781107719</v>
      </c>
      <c r="L15">
        <v>3.585613476736667E-5</v>
      </c>
      <c r="M15">
        <v>4.1748419630768708E-7</v>
      </c>
      <c r="N15" s="1">
        <v>2.1330730825787099E-9</v>
      </c>
      <c r="O15" s="1">
        <v>2.6285432311329201E-13</v>
      </c>
      <c r="P15">
        <v>0</v>
      </c>
      <c r="R15">
        <v>9.09162559316737</v>
      </c>
      <c r="S15">
        <v>1.8220062390652201</v>
      </c>
      <c r="T15">
        <v>49.8253371043551</v>
      </c>
      <c r="V15">
        <v>38.251279504938097</v>
      </c>
      <c r="X15">
        <v>1.0097515584740699</v>
      </c>
      <c r="AJ15">
        <v>0</v>
      </c>
      <c r="AK15">
        <v>-1.61912827392377E-2</v>
      </c>
      <c r="AL15">
        <v>0.70324878001367297</v>
      </c>
      <c r="AM15">
        <v>5.6468274543666701E-2</v>
      </c>
      <c r="AN15">
        <v>0.25647422818189702</v>
      </c>
    </row>
    <row r="16" spans="1:40" x14ac:dyDescent="0.2">
      <c r="A16">
        <v>125</v>
      </c>
      <c r="B16">
        <v>745</v>
      </c>
      <c r="C16">
        <v>220</v>
      </c>
      <c r="D16">
        <v>0.35302313018710402</v>
      </c>
      <c r="E16">
        <v>0.55374203937211497</v>
      </c>
      <c r="F16">
        <v>4.9327011166256796</v>
      </c>
      <c r="G16">
        <v>-3.7203628022033941</v>
      </c>
      <c r="H16">
        <v>-2.7244012207924979</v>
      </c>
      <c r="I16">
        <v>0.97820712214398298</v>
      </c>
      <c r="J16">
        <v>0.49131103258643199</v>
      </c>
      <c r="K16">
        <v>0.11225939425069199</v>
      </c>
      <c r="L16">
        <v>3.5953391525780349E-5</v>
      </c>
      <c r="M16">
        <v>4.1877036319455328E-7</v>
      </c>
      <c r="N16" s="1">
        <v>2.19309890522202E-9</v>
      </c>
      <c r="O16" s="1">
        <v>2.7031913052431901E-13</v>
      </c>
      <c r="P16">
        <v>0</v>
      </c>
      <c r="R16">
        <v>8.9648424811086702</v>
      </c>
      <c r="S16">
        <v>1.87748716212807</v>
      </c>
      <c r="T16">
        <v>50.001345681482299</v>
      </c>
      <c r="V16">
        <v>38.152991863273897</v>
      </c>
      <c r="X16">
        <v>1.0033328120068401</v>
      </c>
      <c r="AJ16">
        <v>0</v>
      </c>
      <c r="AK16">
        <v>-1.46039157438543E-2</v>
      </c>
      <c r="AL16">
        <v>0.705638357962173</v>
      </c>
      <c r="AM16">
        <v>5.6101793713749099E-2</v>
      </c>
      <c r="AN16">
        <v>0.25286376406793099</v>
      </c>
    </row>
    <row r="17" spans="1:40" x14ac:dyDescent="0.2">
      <c r="A17">
        <v>138</v>
      </c>
      <c r="B17">
        <v>752</v>
      </c>
      <c r="C17">
        <v>200</v>
      </c>
      <c r="D17">
        <v>0.37937911525142798</v>
      </c>
      <c r="E17">
        <v>0.222796195929649</v>
      </c>
      <c r="F17">
        <v>4.9499768395035399</v>
      </c>
      <c r="G17">
        <v>-1.4764391291551471</v>
      </c>
      <c r="H17">
        <v>-1.0732962914068378</v>
      </c>
      <c r="I17">
        <v>0.39325253645642999</v>
      </c>
      <c r="J17">
        <v>0.197459064684989</v>
      </c>
      <c r="K17">
        <v>4.5009543105659203E-2</v>
      </c>
      <c r="L17">
        <v>3.7795521646827181E-5</v>
      </c>
      <c r="M17">
        <v>4.3725152311483299E-7</v>
      </c>
      <c r="N17" s="1">
        <v>9.2387354078263496E-10</v>
      </c>
      <c r="O17" s="1">
        <v>1.1454529427157399E-13</v>
      </c>
      <c r="P17">
        <v>0</v>
      </c>
      <c r="R17">
        <v>7.55652543085034</v>
      </c>
      <c r="S17">
        <v>1.84023428802587</v>
      </c>
      <c r="T17">
        <v>52.660125228043903</v>
      </c>
      <c r="V17">
        <v>37.130950905369502</v>
      </c>
      <c r="X17">
        <v>0.81216414771024303</v>
      </c>
      <c r="AJ17">
        <v>0</v>
      </c>
      <c r="AK17">
        <v>-4.7524075039001501E-3</v>
      </c>
      <c r="AL17">
        <v>0.74541487712812604</v>
      </c>
      <c r="AM17">
        <v>4.5550298400276502E-2</v>
      </c>
      <c r="AN17">
        <v>0.21378723197549701</v>
      </c>
    </row>
    <row r="18" spans="1:40" x14ac:dyDescent="0.2">
      <c r="A18">
        <v>139</v>
      </c>
      <c r="B18">
        <v>751</v>
      </c>
      <c r="C18">
        <v>200</v>
      </c>
      <c r="D18">
        <v>0.378704779573308</v>
      </c>
      <c r="E18">
        <v>0.48388258426809799</v>
      </c>
      <c r="F18">
        <v>4.9318428415577698</v>
      </c>
      <c r="G18">
        <v>-3.2537517781106038</v>
      </c>
      <c r="H18">
        <v>-2.3759299256205053</v>
      </c>
      <c r="I18">
        <v>0.85712234779094698</v>
      </c>
      <c r="J18">
        <v>0.42945122219812198</v>
      </c>
      <c r="K18">
        <v>9.8113950467095395E-2</v>
      </c>
      <c r="L18">
        <v>3.6259472779428277E-5</v>
      </c>
      <c r="M18">
        <v>4.2170125336427252E-7</v>
      </c>
      <c r="N18" s="1">
        <v>1.9258662266166399E-9</v>
      </c>
      <c r="O18" s="1">
        <v>2.3717547898892398E-13</v>
      </c>
      <c r="P18">
        <v>0</v>
      </c>
      <c r="R18">
        <v>8.9375656578735008</v>
      </c>
      <c r="S18">
        <v>1.7671967350695399</v>
      </c>
      <c r="T18">
        <v>50.204448595157501</v>
      </c>
      <c r="V18">
        <v>38.048941098072198</v>
      </c>
      <c r="X18">
        <v>1.0418479138272001</v>
      </c>
      <c r="AJ18">
        <v>0</v>
      </c>
      <c r="AK18">
        <v>-1.9201785683072799E-2</v>
      </c>
      <c r="AL18">
        <v>0.70874619665460603</v>
      </c>
      <c r="AM18">
        <v>5.8275245256873602E-2</v>
      </c>
      <c r="AN18">
        <v>0.25218034377159199</v>
      </c>
    </row>
    <row r="19" spans="1:40" x14ac:dyDescent="0.2">
      <c r="A19">
        <v>140</v>
      </c>
      <c r="B19">
        <v>750</v>
      </c>
      <c r="C19">
        <v>200</v>
      </c>
      <c r="D19">
        <v>0.37802912573913899</v>
      </c>
      <c r="E19">
        <v>0.54484455723623804</v>
      </c>
      <c r="F19">
        <v>4.9288253867391099</v>
      </c>
      <c r="G19">
        <v>-3.6736084296449683</v>
      </c>
      <c r="H19">
        <v>-2.6858791332780814</v>
      </c>
      <c r="I19">
        <v>0.96538073241155897</v>
      </c>
      <c r="J19">
        <v>0.48363728966616398</v>
      </c>
      <c r="K19">
        <v>0.110542475029066</v>
      </c>
      <c r="L19">
        <v>3.5856869650857454E-5</v>
      </c>
      <c r="M19">
        <v>4.1743824789496851E-7</v>
      </c>
      <c r="N19" s="1">
        <v>2.1461011173656501E-9</v>
      </c>
      <c r="O19" s="1">
        <v>2.64122143925984E-13</v>
      </c>
      <c r="P19">
        <v>0</v>
      </c>
      <c r="R19">
        <v>9.2139383058661508</v>
      </c>
      <c r="S19">
        <v>1.7894269343107401</v>
      </c>
      <c r="T19">
        <v>49.652898269804801</v>
      </c>
      <c r="V19">
        <v>38.287053794091001</v>
      </c>
      <c r="X19">
        <v>1.0566826959272</v>
      </c>
      <c r="AJ19">
        <v>0</v>
      </c>
      <c r="AK19">
        <v>-1.9530214416259399E-2</v>
      </c>
      <c r="AL19">
        <v>0.70060727605057704</v>
      </c>
      <c r="AM19">
        <v>5.9075292266020797E-2</v>
      </c>
      <c r="AN19">
        <v>0.25984764609965999</v>
      </c>
    </row>
    <row r="20" spans="1:40" x14ac:dyDescent="0.2">
      <c r="A20">
        <v>141</v>
      </c>
      <c r="B20">
        <v>749</v>
      </c>
      <c r="C20">
        <v>200</v>
      </c>
      <c r="D20">
        <v>0.37735214988015597</v>
      </c>
      <c r="E20">
        <v>0.56066968173074205</v>
      </c>
      <c r="F20">
        <v>4.9294785814698603</v>
      </c>
      <c r="G20">
        <v>-3.7780407255090007</v>
      </c>
      <c r="H20">
        <v>-2.7632169535071203</v>
      </c>
      <c r="I20">
        <v>0.99283253143068995</v>
      </c>
      <c r="J20">
        <v>0.49769377722038199</v>
      </c>
      <c r="K20">
        <v>0.113738131217026</v>
      </c>
      <c r="L20">
        <v>3.5963870882871441E-5</v>
      </c>
      <c r="M20">
        <v>4.1883011651461455E-7</v>
      </c>
      <c r="N20" s="1">
        <v>2.2162719638212099E-9</v>
      </c>
      <c r="O20" s="1">
        <v>2.7283359484689401E-13</v>
      </c>
      <c r="P20">
        <v>0</v>
      </c>
      <c r="R20">
        <v>9.07954573115261</v>
      </c>
      <c r="S20">
        <v>1.8452769492297401</v>
      </c>
      <c r="T20">
        <v>49.842885861891197</v>
      </c>
      <c r="V20">
        <v>38.182535007162201</v>
      </c>
      <c r="X20">
        <v>1.0497564505642201</v>
      </c>
      <c r="AJ20">
        <v>0</v>
      </c>
      <c r="AK20">
        <v>-1.7906510468680002E-2</v>
      </c>
      <c r="AL20">
        <v>0.70320018549581798</v>
      </c>
      <c r="AM20">
        <v>5.8680741443632799E-2</v>
      </c>
      <c r="AN20">
        <v>0.256025583529228</v>
      </c>
    </row>
    <row r="21" spans="1:40" x14ac:dyDescent="0.2">
      <c r="A21">
        <v>151</v>
      </c>
      <c r="B21">
        <v>756</v>
      </c>
      <c r="C21">
        <v>180</v>
      </c>
      <c r="D21">
        <v>0.40344021765534699</v>
      </c>
      <c r="E21">
        <v>0.33300161434890901</v>
      </c>
      <c r="F21">
        <v>4.9439766792298299</v>
      </c>
      <c r="G21">
        <v>-2.2171759173417218</v>
      </c>
      <c r="H21">
        <v>-1.6105236833357079</v>
      </c>
      <c r="I21">
        <v>0.58946920663267099</v>
      </c>
      <c r="J21">
        <v>0.295381440488864</v>
      </c>
      <c r="K21">
        <v>6.7355013171458505E-2</v>
      </c>
      <c r="L21">
        <v>3.7861210172446045E-5</v>
      </c>
      <c r="M21">
        <v>4.3839761270263726E-7</v>
      </c>
      <c r="N21" s="1">
        <v>1.3798830795383601E-9</v>
      </c>
      <c r="O21" s="1">
        <v>1.70626810953607E-13</v>
      </c>
      <c r="P21">
        <v>0</v>
      </c>
      <c r="R21">
        <v>7.6815798532531803</v>
      </c>
      <c r="S21">
        <v>1.83575937271686</v>
      </c>
      <c r="T21">
        <v>52.482358252202502</v>
      </c>
      <c r="V21">
        <v>37.080057847771201</v>
      </c>
      <c r="X21">
        <v>0.920244674056102</v>
      </c>
      <c r="AJ21">
        <v>0</v>
      </c>
      <c r="AK21">
        <v>-1.0903264113789E-2</v>
      </c>
      <c r="AL21">
        <v>0.74221387890988999</v>
      </c>
      <c r="AM21">
        <v>5.15644376670761E-2</v>
      </c>
      <c r="AN21">
        <v>0.21712494753682099</v>
      </c>
    </row>
    <row r="22" spans="1:40" x14ac:dyDescent="0.2">
      <c r="A22">
        <v>152</v>
      </c>
      <c r="B22">
        <v>755</v>
      </c>
      <c r="C22">
        <v>180</v>
      </c>
      <c r="D22">
        <v>0.40279190779555302</v>
      </c>
      <c r="E22">
        <v>0.51225628983995397</v>
      </c>
      <c r="F22">
        <v>4.9287015502171396</v>
      </c>
      <c r="G22">
        <v>-3.4545294971690681</v>
      </c>
      <c r="H22">
        <v>-2.5193944315767767</v>
      </c>
      <c r="I22">
        <v>0.909531746916589</v>
      </c>
      <c r="J22">
        <v>0.45487621399254702</v>
      </c>
      <c r="K22">
        <v>0.10393331481338799</v>
      </c>
      <c r="L22">
        <v>3.6327699343567959E-5</v>
      </c>
      <c r="M22">
        <v>4.2240818014635633E-7</v>
      </c>
      <c r="N22" s="1">
        <v>2.0381973906296201E-9</v>
      </c>
      <c r="O22" s="1">
        <v>2.50716083498636E-13</v>
      </c>
      <c r="P22">
        <v>0</v>
      </c>
      <c r="R22">
        <v>8.9895095416620698</v>
      </c>
      <c r="S22">
        <v>1.76500824506798</v>
      </c>
      <c r="T22">
        <v>50.131107808484501</v>
      </c>
      <c r="V22">
        <v>38.027428066666801</v>
      </c>
      <c r="X22">
        <v>1.08694633811855</v>
      </c>
      <c r="AJ22">
        <v>0</v>
      </c>
      <c r="AK22">
        <v>-2.17644206205704E-2</v>
      </c>
      <c r="AL22">
        <v>0.707440671285678</v>
      </c>
      <c r="AM22">
        <v>6.0774594479853901E-2</v>
      </c>
      <c r="AN22">
        <v>0.25354915485503798</v>
      </c>
    </row>
    <row r="23" spans="1:40" x14ac:dyDescent="0.2">
      <c r="A23">
        <v>153</v>
      </c>
      <c r="B23">
        <v>754</v>
      </c>
      <c r="C23">
        <v>180</v>
      </c>
      <c r="D23">
        <v>0.402142335588766</v>
      </c>
      <c r="E23">
        <v>0.558867658961269</v>
      </c>
      <c r="F23">
        <v>4.9255280896112996</v>
      </c>
      <c r="G23">
        <v>-3.7795758630793044</v>
      </c>
      <c r="H23">
        <v>-2.7600173990098607</v>
      </c>
      <c r="I23">
        <v>0.99260912629065201</v>
      </c>
      <c r="J23">
        <v>0.49634977291545901</v>
      </c>
      <c r="K23">
        <v>0.11346350052088899</v>
      </c>
      <c r="L23">
        <v>3.5902565992747112E-5</v>
      </c>
      <c r="M23">
        <v>4.1790434599271937E-7</v>
      </c>
      <c r="N23" s="1">
        <v>2.1993392377852801E-9</v>
      </c>
      <c r="O23" s="1">
        <v>2.70337953459706E-13</v>
      </c>
      <c r="P23">
        <v>0</v>
      </c>
      <c r="R23">
        <v>9.2858362334586708</v>
      </c>
      <c r="S23">
        <v>1.78360449838485</v>
      </c>
      <c r="T23">
        <v>49.5462112590277</v>
      </c>
      <c r="V23">
        <v>38.2809100447083</v>
      </c>
      <c r="X23">
        <v>1.10343796442033</v>
      </c>
      <c r="AJ23">
        <v>0</v>
      </c>
      <c r="AK23">
        <v>-2.2264040318754001E-2</v>
      </c>
      <c r="AL23">
        <v>0.69882685399490097</v>
      </c>
      <c r="AM23">
        <v>6.1664938255265797E-2</v>
      </c>
      <c r="AN23">
        <v>0.26177224806858601</v>
      </c>
    </row>
    <row r="24" spans="1:40" x14ac:dyDescent="0.2">
      <c r="A24">
        <v>154</v>
      </c>
      <c r="B24">
        <v>753</v>
      </c>
      <c r="C24">
        <v>180</v>
      </c>
      <c r="D24">
        <v>0.401491497344444</v>
      </c>
      <c r="E24">
        <v>0.57145917768839505</v>
      </c>
      <c r="F24">
        <v>4.9262047291542599</v>
      </c>
      <c r="G24">
        <v>-3.8623281878847733</v>
      </c>
      <c r="H24">
        <v>-2.821430999047041</v>
      </c>
      <c r="I24">
        <v>1.0143713773207901</v>
      </c>
      <c r="J24">
        <v>0.507540128716781</v>
      </c>
      <c r="K24">
        <v>0.116003944031474</v>
      </c>
      <c r="L24">
        <v>3.6009847397910665E-5</v>
      </c>
      <c r="M24">
        <v>4.1929650720301329E-7</v>
      </c>
      <c r="N24" s="1">
        <v>2.2568766174194099E-9</v>
      </c>
      <c r="O24" s="1">
        <v>2.7748969443788801E-13</v>
      </c>
      <c r="P24">
        <v>0</v>
      </c>
      <c r="R24">
        <v>9.1523171322176609</v>
      </c>
      <c r="S24">
        <v>1.83779969114149</v>
      </c>
      <c r="T24">
        <v>49.736366355197099</v>
      </c>
      <c r="V24">
        <v>38.177175891681003</v>
      </c>
      <c r="X24">
        <v>1.0963409297626501</v>
      </c>
      <c r="AJ24">
        <v>0</v>
      </c>
      <c r="AK24">
        <v>-2.0667839790049901E-2</v>
      </c>
      <c r="AL24">
        <v>0.70142803963901101</v>
      </c>
      <c r="AM24">
        <v>6.1261262276035698E-2</v>
      </c>
      <c r="AN24">
        <v>0.25797853787500202</v>
      </c>
    </row>
    <row r="25" spans="1:40" x14ac:dyDescent="0.2">
      <c r="A25">
        <v>165</v>
      </c>
      <c r="B25">
        <v>761</v>
      </c>
      <c r="C25">
        <v>160</v>
      </c>
      <c r="D25">
        <v>0.42793646956437897</v>
      </c>
      <c r="E25">
        <v>0.32682735612556002</v>
      </c>
      <c r="F25">
        <v>4.9442736349851701</v>
      </c>
      <c r="G25">
        <v>-2.1762657271685031</v>
      </c>
      <c r="H25">
        <v>-1.5767694634723184</v>
      </c>
      <c r="I25">
        <v>0.57969952492016097</v>
      </c>
      <c r="J25">
        <v>0.28998874495545501</v>
      </c>
      <c r="K25">
        <v>6.6102198270937801E-2</v>
      </c>
      <c r="L25">
        <v>3.8286725943549664E-5</v>
      </c>
      <c r="M25">
        <v>4.4258484481743124E-7</v>
      </c>
      <c r="N25" s="1">
        <v>1.36587495977264E-9</v>
      </c>
      <c r="O25" s="1">
        <v>1.68924302472779E-13</v>
      </c>
      <c r="P25">
        <v>0</v>
      </c>
      <c r="R25">
        <v>7.4354660717231402</v>
      </c>
      <c r="S25">
        <v>1.8506214013801601</v>
      </c>
      <c r="T25">
        <v>52.9402685668123</v>
      </c>
      <c r="V25">
        <v>36.852724954080898</v>
      </c>
      <c r="X25">
        <v>0.920919006003454</v>
      </c>
      <c r="AJ25">
        <v>0</v>
      </c>
      <c r="AK25">
        <v>-1.06134709338253E-2</v>
      </c>
      <c r="AL25">
        <v>0.74880319461618405</v>
      </c>
      <c r="AM25">
        <v>5.1610043860167702E-2</v>
      </c>
      <c r="AN25">
        <v>0.21020023245747199</v>
      </c>
    </row>
    <row r="26" spans="1:40" x14ac:dyDescent="0.2">
      <c r="A26">
        <v>166</v>
      </c>
      <c r="B26">
        <v>760</v>
      </c>
      <c r="C26">
        <v>160</v>
      </c>
      <c r="D26">
        <v>0.427315007501331</v>
      </c>
      <c r="E26">
        <v>0.502314834838409</v>
      </c>
      <c r="F26">
        <v>4.9293393036492104</v>
      </c>
      <c r="G26">
        <v>-3.3857058370799358</v>
      </c>
      <c r="H26">
        <v>-2.4625428389781407</v>
      </c>
      <c r="I26">
        <v>0.89354207820915998</v>
      </c>
      <c r="J26">
        <v>0.446226463954916</v>
      </c>
      <c r="K26">
        <v>0.101903075421597</v>
      </c>
      <c r="L26">
        <v>3.6977936939657222E-5</v>
      </c>
      <c r="M26">
        <v>4.2935731973194085E-7</v>
      </c>
      <c r="N26" s="1">
        <v>2.0284663136599401E-9</v>
      </c>
      <c r="O26" s="1">
        <v>2.4947207202418602E-13</v>
      </c>
      <c r="P26">
        <v>0</v>
      </c>
      <c r="R26">
        <v>8.5983046217561192</v>
      </c>
      <c r="S26">
        <v>1.78994985490217</v>
      </c>
      <c r="T26">
        <v>50.869601605165897</v>
      </c>
      <c r="V26">
        <v>37.6315566787557</v>
      </c>
      <c r="X26">
        <v>1.11058723942001</v>
      </c>
      <c r="AJ26">
        <v>0</v>
      </c>
      <c r="AK26">
        <v>-2.2536378056942301E-2</v>
      </c>
      <c r="AL26">
        <v>0.71790608653253796</v>
      </c>
      <c r="AM26">
        <v>6.2100231878296698E-2</v>
      </c>
      <c r="AN26">
        <v>0.24253005964610599</v>
      </c>
    </row>
    <row r="27" spans="1:40" x14ac:dyDescent="0.2">
      <c r="A27">
        <v>167</v>
      </c>
      <c r="B27">
        <v>759</v>
      </c>
      <c r="C27">
        <v>160</v>
      </c>
      <c r="D27">
        <v>0.42669234122947503</v>
      </c>
      <c r="E27">
        <v>0.56721017458422296</v>
      </c>
      <c r="F27">
        <v>4.9207833854119896</v>
      </c>
      <c r="G27">
        <v>-3.8526995664424799</v>
      </c>
      <c r="H27">
        <v>-2.8096025961365236</v>
      </c>
      <c r="I27">
        <v>1.0106059877982401</v>
      </c>
      <c r="J27">
        <v>0.50407205172622604</v>
      </c>
      <c r="K27">
        <v>0.115268267297796</v>
      </c>
      <c r="L27">
        <v>3.5795396931033491E-5</v>
      </c>
      <c r="M27">
        <v>4.1649481844262194E-7</v>
      </c>
      <c r="N27" s="1">
        <v>2.2195865849606098E-9</v>
      </c>
      <c r="O27" s="1">
        <v>2.7236513923862101E-13</v>
      </c>
      <c r="P27">
        <v>0</v>
      </c>
      <c r="R27">
        <v>9.5088846787912793</v>
      </c>
      <c r="S27">
        <v>1.75267046429773</v>
      </c>
      <c r="T27">
        <v>49.183554749631902</v>
      </c>
      <c r="V27">
        <v>38.393136630537299</v>
      </c>
      <c r="X27">
        <v>1.1617534767417099</v>
      </c>
      <c r="AJ27">
        <v>0</v>
      </c>
      <c r="AK27">
        <v>-2.6193498819467601E-2</v>
      </c>
      <c r="AL27">
        <v>0.69337242070271699</v>
      </c>
      <c r="AM27">
        <v>6.4892106702476096E-2</v>
      </c>
      <c r="AN27">
        <v>0.26792897141427402</v>
      </c>
    </row>
    <row r="28" spans="1:40" x14ac:dyDescent="0.2">
      <c r="A28">
        <v>168</v>
      </c>
      <c r="B28">
        <v>758</v>
      </c>
      <c r="C28">
        <v>160</v>
      </c>
      <c r="D28">
        <v>0.426068467245311</v>
      </c>
      <c r="E28">
        <v>0.57918688890453995</v>
      </c>
      <c r="F28">
        <v>4.92228174367132</v>
      </c>
      <c r="G28">
        <v>-3.9287488809621225</v>
      </c>
      <c r="H28">
        <v>-2.8654837338381127</v>
      </c>
      <c r="I28">
        <v>1.03114498096689</v>
      </c>
      <c r="J28">
        <v>0.51470832520884002</v>
      </c>
      <c r="K28">
        <v>0.11766634237246</v>
      </c>
      <c r="L28">
        <v>3.6012750485864277E-5</v>
      </c>
      <c r="M28">
        <v>4.1909810934215066E-7</v>
      </c>
      <c r="N28" s="1">
        <v>2.2814064947429901E-9</v>
      </c>
      <c r="O28" s="1">
        <v>2.8009793274538099E-13</v>
      </c>
      <c r="P28">
        <v>0</v>
      </c>
      <c r="R28">
        <v>9.2866958199202596</v>
      </c>
      <c r="S28">
        <v>1.8136194932873599</v>
      </c>
      <c r="T28">
        <v>49.534021461061002</v>
      </c>
      <c r="V28">
        <v>38.2163569049399</v>
      </c>
      <c r="X28">
        <v>1.1493063207913301</v>
      </c>
      <c r="AJ28">
        <v>0</v>
      </c>
      <c r="AK28">
        <v>-2.4151868649269399E-2</v>
      </c>
      <c r="AL28">
        <v>0.69829505612770604</v>
      </c>
      <c r="AM28">
        <v>6.4195179589758594E-2</v>
      </c>
      <c r="AN28">
        <v>0.261661632931804</v>
      </c>
    </row>
    <row r="29" spans="1:40" x14ac:dyDescent="0.2">
      <c r="A29">
        <v>182</v>
      </c>
      <c r="B29">
        <v>767</v>
      </c>
      <c r="C29">
        <v>140</v>
      </c>
      <c r="D29">
        <v>0.45279094361390498</v>
      </c>
      <c r="E29">
        <v>0.316439973334181</v>
      </c>
      <c r="F29">
        <v>4.9443922873645798</v>
      </c>
      <c r="G29">
        <v>-2.1077592475028988</v>
      </c>
      <c r="H29">
        <v>-1.5225181973754132</v>
      </c>
      <c r="I29">
        <v>0.56265062743593197</v>
      </c>
      <c r="J29">
        <v>0.28086903325074702</v>
      </c>
      <c r="K29">
        <v>6.3999770839956505E-2</v>
      </c>
      <c r="L29">
        <v>3.8745009264046238E-5</v>
      </c>
      <c r="M29">
        <v>4.4688618896968945E-7</v>
      </c>
      <c r="N29" s="1">
        <v>1.33409777403088E-9</v>
      </c>
      <c r="O29" s="1">
        <v>1.6502904385932601E-13</v>
      </c>
      <c r="P29">
        <v>0</v>
      </c>
      <c r="R29">
        <v>7.1755520005119502</v>
      </c>
      <c r="S29">
        <v>1.87133362244577</v>
      </c>
      <c r="T29">
        <v>53.417240735981203</v>
      </c>
      <c r="V29">
        <v>36.615569388298802</v>
      </c>
      <c r="X29">
        <v>0.92030425276217998</v>
      </c>
      <c r="AJ29">
        <v>0</v>
      </c>
      <c r="AK29">
        <v>-1.0121626045513201E-2</v>
      </c>
      <c r="AL29">
        <v>0.75565730184179103</v>
      </c>
      <c r="AM29">
        <v>5.1582941622006197E-2</v>
      </c>
      <c r="AN29">
        <v>0.20288138258171501</v>
      </c>
    </row>
    <row r="30" spans="1:40" x14ac:dyDescent="0.2">
      <c r="A30">
        <v>183</v>
      </c>
      <c r="B30">
        <v>766</v>
      </c>
      <c r="C30">
        <v>140</v>
      </c>
      <c r="D30">
        <v>0.45219698792282498</v>
      </c>
      <c r="E30">
        <v>0.48683161850114298</v>
      </c>
      <c r="F30">
        <v>4.9300248912137103</v>
      </c>
      <c r="G30">
        <v>-3.2793652014581887</v>
      </c>
      <c r="H30">
        <v>-2.3774618155416118</v>
      </c>
      <c r="I30">
        <v>0.86792415523897004</v>
      </c>
      <c r="J30">
        <v>0.432662305147757</v>
      </c>
      <c r="K30">
        <v>9.8748308425130701E-2</v>
      </c>
      <c r="L30">
        <v>3.7722646794988027E-5</v>
      </c>
      <c r="M30">
        <v>4.3712861064103436E-7</v>
      </c>
      <c r="N30" s="1">
        <v>1.9986662860756901E-9</v>
      </c>
      <c r="O30" s="1">
        <v>2.4577732314191198E-13</v>
      </c>
      <c r="P30">
        <v>0</v>
      </c>
      <c r="R30">
        <v>8.14806005309784</v>
      </c>
      <c r="S30">
        <v>1.82490719236161</v>
      </c>
      <c r="T30">
        <v>51.710107378365002</v>
      </c>
      <c r="V30">
        <v>37.183000898046998</v>
      </c>
      <c r="X30">
        <v>1.1339244781284601</v>
      </c>
      <c r="AJ30">
        <v>0</v>
      </c>
      <c r="AK30">
        <v>-2.30701532612579E-2</v>
      </c>
      <c r="AL30">
        <v>0.72981565113466995</v>
      </c>
      <c r="AM30">
        <v>6.3409321676717201E-2</v>
      </c>
      <c r="AN30">
        <v>0.22984518044987001</v>
      </c>
    </row>
    <row r="31" spans="1:40" x14ac:dyDescent="0.2">
      <c r="A31">
        <v>184</v>
      </c>
      <c r="B31">
        <v>765</v>
      </c>
      <c r="C31">
        <v>140</v>
      </c>
      <c r="D31">
        <v>0.45160188797380102</v>
      </c>
      <c r="E31">
        <v>0.56037690822342201</v>
      </c>
      <c r="F31">
        <v>4.9208893016177502</v>
      </c>
      <c r="G31">
        <v>-3.8065884672380306</v>
      </c>
      <c r="H31">
        <v>-2.7675449438156865</v>
      </c>
      <c r="I31">
        <v>1.0008606881687001</v>
      </c>
      <c r="J31">
        <v>0.49825990641974799</v>
      </c>
      <c r="K31">
        <v>0.11387716200793099</v>
      </c>
      <c r="L31">
        <v>3.6425236623632903E-5</v>
      </c>
      <c r="M31">
        <v>4.230281784596545E-7</v>
      </c>
      <c r="N31" s="1">
        <v>2.22383056464302E-9</v>
      </c>
      <c r="O31" s="1">
        <v>2.7280219885395799E-13</v>
      </c>
      <c r="P31">
        <v>0</v>
      </c>
      <c r="R31">
        <v>9.1506165402995894</v>
      </c>
      <c r="S31">
        <v>1.77572771697375</v>
      </c>
      <c r="T31">
        <v>49.863188080138798</v>
      </c>
      <c r="V31">
        <v>38.020451260307901</v>
      </c>
      <c r="X31">
        <v>1.19001640227987</v>
      </c>
      <c r="AJ31">
        <v>0</v>
      </c>
      <c r="AK31">
        <v>-2.7263204842537199E-2</v>
      </c>
      <c r="AL31">
        <v>0.70295680287254603</v>
      </c>
      <c r="AM31">
        <v>6.6471087931086401E-2</v>
      </c>
      <c r="AN31">
        <v>0.25783531403890397</v>
      </c>
    </row>
    <row r="32" spans="1:40" x14ac:dyDescent="0.2">
      <c r="A32">
        <v>185</v>
      </c>
      <c r="B32">
        <v>764</v>
      </c>
      <c r="C32">
        <v>140</v>
      </c>
      <c r="D32">
        <v>0.45100564045702202</v>
      </c>
      <c r="E32">
        <v>0.592156240690073</v>
      </c>
      <c r="F32">
        <v>4.9154372286629302</v>
      </c>
      <c r="G32">
        <v>-4.0418968033881111</v>
      </c>
      <c r="H32">
        <v>-2.9440695948503692</v>
      </c>
      <c r="I32">
        <v>1.05850379264112</v>
      </c>
      <c r="J32">
        <v>0.52663445833113298</v>
      </c>
      <c r="K32">
        <v>0.12046868124713001</v>
      </c>
      <c r="L32">
        <v>3.5690715654310978E-5</v>
      </c>
      <c r="M32">
        <v>4.1514373915650221E-7</v>
      </c>
      <c r="N32" s="1">
        <v>2.3044675560305301E-9</v>
      </c>
      <c r="O32" s="1">
        <v>2.8227281685287301E-13</v>
      </c>
      <c r="P32">
        <v>0</v>
      </c>
      <c r="R32">
        <v>9.7024888958704203</v>
      </c>
      <c r="S32">
        <v>1.7678411400842799</v>
      </c>
      <c r="T32">
        <v>48.825326160830798</v>
      </c>
      <c r="V32">
        <v>38.480934102874699</v>
      </c>
      <c r="X32">
        <v>1.22340970033969</v>
      </c>
      <c r="AJ32">
        <v>0</v>
      </c>
      <c r="AK32">
        <v>-2.92808020954619E-2</v>
      </c>
      <c r="AL32">
        <v>0.68781331857396699</v>
      </c>
      <c r="AM32">
        <v>6.8285515340078498E-2</v>
      </c>
      <c r="AN32">
        <v>0.27318196818141599</v>
      </c>
    </row>
    <row r="33" spans="1:40" x14ac:dyDescent="0.2">
      <c r="A33">
        <v>202</v>
      </c>
      <c r="B33">
        <v>775</v>
      </c>
      <c r="C33">
        <v>120</v>
      </c>
      <c r="D33">
        <v>0.478491151075708</v>
      </c>
      <c r="E33">
        <v>0.14607826855006401</v>
      </c>
      <c r="F33">
        <v>4.9521619310978098</v>
      </c>
      <c r="G33">
        <v>-0.96756460003554234</v>
      </c>
      <c r="H33">
        <v>-0.69490118816980961</v>
      </c>
      <c r="I33">
        <v>0.26013777786169201</v>
      </c>
      <c r="J33">
        <v>0.129606959791568</v>
      </c>
      <c r="K33">
        <v>2.9497878014195199E-2</v>
      </c>
      <c r="L33">
        <v>3.9781599806633761E-5</v>
      </c>
      <c r="M33">
        <v>4.562559587969772E-7</v>
      </c>
      <c r="N33" s="1">
        <v>6.2987618292157498E-10</v>
      </c>
      <c r="O33" s="1">
        <v>7.8193675992225997E-14</v>
      </c>
      <c r="P33">
        <v>0</v>
      </c>
      <c r="R33">
        <v>6.3714266306616496</v>
      </c>
      <c r="S33">
        <v>1.93238161961479</v>
      </c>
      <c r="T33">
        <v>54.827497579876102</v>
      </c>
      <c r="V33">
        <v>36.078071814113898</v>
      </c>
      <c r="X33">
        <v>0.79062235573345596</v>
      </c>
      <c r="AJ33">
        <v>0</v>
      </c>
      <c r="AK33">
        <v>-1.50254407030622E-3</v>
      </c>
      <c r="AL33">
        <v>0.77672051603036896</v>
      </c>
      <c r="AM33">
        <v>4.43778937701566E-2</v>
      </c>
      <c r="AN33">
        <v>0.18040413426978</v>
      </c>
    </row>
    <row r="34" spans="1:40" x14ac:dyDescent="0.2">
      <c r="A34">
        <v>203</v>
      </c>
      <c r="B34">
        <v>774</v>
      </c>
      <c r="C34">
        <v>120</v>
      </c>
      <c r="D34">
        <v>0.47792627608270499</v>
      </c>
      <c r="E34">
        <v>0.38907381373315397</v>
      </c>
      <c r="F34">
        <v>4.9378374928952899</v>
      </c>
      <c r="G34">
        <v>-2.6058264106882474</v>
      </c>
      <c r="H34">
        <v>-1.8783266956176454</v>
      </c>
      <c r="I34">
        <v>0.69474260141393496</v>
      </c>
      <c r="J34">
        <v>0.34570817219929001</v>
      </c>
      <c r="K34">
        <v>7.8794373912257201E-2</v>
      </c>
      <c r="L34">
        <v>3.8890894615402017E-5</v>
      </c>
      <c r="M34">
        <v>4.4820821090080136E-7</v>
      </c>
      <c r="N34" s="1">
        <v>1.6401687243479101E-9</v>
      </c>
      <c r="O34" s="1">
        <v>2.02368888139042E-13</v>
      </c>
      <c r="P34">
        <v>0</v>
      </c>
      <c r="R34">
        <v>7.2716022300351204</v>
      </c>
      <c r="S34">
        <v>1.8833174629426901</v>
      </c>
      <c r="T34">
        <v>53.2750848622102</v>
      </c>
      <c r="V34">
        <v>36.543498357937203</v>
      </c>
      <c r="X34">
        <v>1.02649708687459</v>
      </c>
      <c r="AJ34">
        <v>0</v>
      </c>
      <c r="AK34">
        <v>-1.5792884120208499E-2</v>
      </c>
      <c r="AL34">
        <v>0.75291580011228998</v>
      </c>
      <c r="AM34">
        <v>5.74792675987012E-2</v>
      </c>
      <c r="AN34">
        <v>0.20539781640921601</v>
      </c>
    </row>
    <row r="35" spans="1:40" x14ac:dyDescent="0.2">
      <c r="A35">
        <v>204</v>
      </c>
      <c r="B35">
        <v>773</v>
      </c>
      <c r="C35">
        <v>120</v>
      </c>
      <c r="D35">
        <v>0.47736032117765198</v>
      </c>
      <c r="E35">
        <v>0.51163566727639997</v>
      </c>
      <c r="F35">
        <v>4.92577470981609</v>
      </c>
      <c r="G35">
        <v>-3.460454420445906</v>
      </c>
      <c r="H35">
        <v>-2.502534313050095</v>
      </c>
      <c r="I35">
        <v>0.91566229259265897</v>
      </c>
      <c r="J35">
        <v>0.45507562746583802</v>
      </c>
      <c r="K35">
        <v>0.103869075915472</v>
      </c>
      <c r="L35">
        <v>3.7856051596585882E-5</v>
      </c>
      <c r="M35">
        <v>4.3794043197807841E-7</v>
      </c>
      <c r="N35" s="1">
        <v>2.10029221534266E-9</v>
      </c>
      <c r="O35" s="1">
        <v>2.5792398225627698E-13</v>
      </c>
      <c r="P35">
        <v>0</v>
      </c>
      <c r="R35">
        <v>8.1946390376449791</v>
      </c>
      <c r="S35">
        <v>1.8372916520585301</v>
      </c>
      <c r="T35">
        <v>51.6348975429446</v>
      </c>
      <c r="V35">
        <v>37.1450529345625</v>
      </c>
      <c r="X35">
        <v>1.1881188327892001</v>
      </c>
      <c r="AJ35">
        <v>0</v>
      </c>
      <c r="AK35">
        <v>-2.58133754693451E-2</v>
      </c>
      <c r="AL35">
        <v>0.72837090009651895</v>
      </c>
      <c r="AM35">
        <v>6.6404940285193295E-2</v>
      </c>
      <c r="AN35">
        <v>0.231037535087632</v>
      </c>
    </row>
    <row r="36" spans="1:40" x14ac:dyDescent="0.2">
      <c r="A36">
        <v>205</v>
      </c>
      <c r="B36">
        <v>772</v>
      </c>
      <c r="C36">
        <v>120</v>
      </c>
      <c r="D36">
        <v>0.47679328326077502</v>
      </c>
      <c r="E36">
        <v>0.56876127372965901</v>
      </c>
      <c r="F36">
        <v>4.9180073615730704</v>
      </c>
      <c r="G36">
        <v>-3.8744004315791591</v>
      </c>
      <c r="H36">
        <v>-2.8089569538225256</v>
      </c>
      <c r="I36">
        <v>1.0194168088376101</v>
      </c>
      <c r="J36">
        <v>0.50609343603069401</v>
      </c>
      <c r="K36">
        <v>0.115648723540693</v>
      </c>
      <c r="L36">
        <v>3.6750534300553466E-5</v>
      </c>
      <c r="M36">
        <v>4.260016424748103E-7</v>
      </c>
      <c r="N36" s="1">
        <v>2.2687623304327401E-9</v>
      </c>
      <c r="O36" s="1">
        <v>2.7801863053295702E-13</v>
      </c>
      <c r="P36">
        <v>0</v>
      </c>
      <c r="R36">
        <v>9.0433475108880295</v>
      </c>
      <c r="S36">
        <v>1.7997437757746799</v>
      </c>
      <c r="T36">
        <v>50.067544004825599</v>
      </c>
      <c r="V36">
        <v>37.852005520846198</v>
      </c>
      <c r="X36">
        <v>1.23735918766541</v>
      </c>
      <c r="AJ36">
        <v>0</v>
      </c>
      <c r="AK36">
        <v>-2.9365957124505002E-2</v>
      </c>
      <c r="AL36">
        <v>0.70556348539557401</v>
      </c>
      <c r="AM36">
        <v>6.9088671189619102E-2</v>
      </c>
      <c r="AN36">
        <v>0.25471380053931097</v>
      </c>
    </row>
    <row r="37" spans="1:40" x14ac:dyDescent="0.2">
      <c r="A37">
        <v>206</v>
      </c>
      <c r="B37">
        <v>771</v>
      </c>
      <c r="C37">
        <v>120</v>
      </c>
      <c r="D37">
        <v>0.47622515922041903</v>
      </c>
      <c r="E37">
        <v>0.59652781325437598</v>
      </c>
      <c r="F37">
        <v>4.9130138794824303</v>
      </c>
      <c r="G37">
        <v>-4.0816114732282935</v>
      </c>
      <c r="H37">
        <v>-2.9643934249113508</v>
      </c>
      <c r="I37">
        <v>1.0699784976458699</v>
      </c>
      <c r="J37">
        <v>0.530916003094694</v>
      </c>
      <c r="K37">
        <v>0.121417897015429</v>
      </c>
      <c r="L37">
        <v>3.6072124662059012E-5</v>
      </c>
      <c r="M37">
        <v>4.187619084643494E-7</v>
      </c>
      <c r="N37" s="1">
        <v>2.3374320683940898E-9</v>
      </c>
      <c r="O37" s="1">
        <v>2.8603171388448802E-13</v>
      </c>
      <c r="P37">
        <v>0</v>
      </c>
      <c r="R37">
        <v>9.5503678769560807</v>
      </c>
      <c r="S37">
        <v>1.7938234822318899</v>
      </c>
      <c r="T37">
        <v>49.112936012630897</v>
      </c>
      <c r="V37">
        <v>38.273977091250202</v>
      </c>
      <c r="X37">
        <v>1.26889553693074</v>
      </c>
      <c r="AJ37">
        <v>0</v>
      </c>
      <c r="AK37">
        <v>-3.1235691029672202E-2</v>
      </c>
      <c r="AL37">
        <v>0.69162855390820999</v>
      </c>
      <c r="AM37">
        <v>7.0800142362828597E-2</v>
      </c>
      <c r="AN37">
        <v>0.26880699475863301</v>
      </c>
    </row>
    <row r="38" spans="1:40" x14ac:dyDescent="0.2">
      <c r="A38">
        <v>227</v>
      </c>
      <c r="B38">
        <v>784</v>
      </c>
      <c r="C38">
        <v>100</v>
      </c>
      <c r="D38">
        <v>0.50433760582698905</v>
      </c>
      <c r="E38">
        <v>0.28269978180543298</v>
      </c>
      <c r="F38">
        <v>4.9432626239470796</v>
      </c>
      <c r="G38">
        <v>-1.8870102576970504</v>
      </c>
      <c r="H38">
        <v>-1.3517910665521022</v>
      </c>
      <c r="I38">
        <v>0.50628500321141601</v>
      </c>
      <c r="J38">
        <v>0.25117792446173198</v>
      </c>
      <c r="K38">
        <v>5.7188906054864701E-2</v>
      </c>
      <c r="L38">
        <v>3.980471725042452E-5</v>
      </c>
      <c r="M38">
        <v>4.5587872626815132E-7</v>
      </c>
      <c r="N38" s="1">
        <v>1.2138759772020099E-9</v>
      </c>
      <c r="O38" s="1">
        <v>1.5021330835302001E-13</v>
      </c>
      <c r="P38">
        <v>0</v>
      </c>
      <c r="R38">
        <v>6.61129425174102</v>
      </c>
      <c r="S38">
        <v>1.94143823923589</v>
      </c>
      <c r="T38">
        <v>54.424612375131098</v>
      </c>
      <c r="V38">
        <v>36.100998389084999</v>
      </c>
      <c r="X38">
        <v>0.92165674480683901</v>
      </c>
      <c r="AJ38">
        <v>0</v>
      </c>
      <c r="AK38">
        <v>-8.6454899436450294E-3</v>
      </c>
      <c r="AL38">
        <v>0.77002338239702905</v>
      </c>
      <c r="AM38">
        <v>5.1666497066447402E-2</v>
      </c>
      <c r="AN38">
        <v>0.18695561048016701</v>
      </c>
    </row>
    <row r="39" spans="1:40" x14ac:dyDescent="0.2">
      <c r="A39">
        <v>228</v>
      </c>
      <c r="B39">
        <v>783</v>
      </c>
      <c r="C39">
        <v>100</v>
      </c>
      <c r="D39">
        <v>0.50380201675898495</v>
      </c>
      <c r="E39">
        <v>0.43941827287882801</v>
      </c>
      <c r="F39">
        <v>4.9310271297346899</v>
      </c>
      <c r="G39">
        <v>-2.9602681269161946</v>
      </c>
      <c r="H39">
        <v>-2.1273424802469951</v>
      </c>
      <c r="I39">
        <v>0.788643324025185</v>
      </c>
      <c r="J39">
        <v>0.390913112631249</v>
      </c>
      <c r="K39">
        <v>8.9112929480570396E-2</v>
      </c>
      <c r="L39">
        <v>3.9124828906451433E-5</v>
      </c>
      <c r="M39">
        <v>4.5004911177059631E-7</v>
      </c>
      <c r="N39" s="1">
        <v>1.8546010219394399E-9</v>
      </c>
      <c r="O39" s="1">
        <v>2.2824695363393001E-13</v>
      </c>
      <c r="P39">
        <v>0</v>
      </c>
      <c r="R39">
        <v>7.3220717578477599</v>
      </c>
      <c r="S39">
        <v>1.91000039981403</v>
      </c>
      <c r="T39">
        <v>53.203387326371001</v>
      </c>
      <c r="V39">
        <v>36.432285014092301</v>
      </c>
      <c r="X39">
        <v>1.1322555018748</v>
      </c>
      <c r="AJ39">
        <v>0</v>
      </c>
      <c r="AK39">
        <v>-2.1103104815568801E-2</v>
      </c>
      <c r="AL39">
        <v>0.75114917495482103</v>
      </c>
      <c r="AM39">
        <v>6.3337744575653498E-2</v>
      </c>
      <c r="AN39">
        <v>0.20661618528509301</v>
      </c>
    </row>
    <row r="40" spans="1:40" x14ac:dyDescent="0.2">
      <c r="A40">
        <v>229</v>
      </c>
      <c r="B40">
        <v>782</v>
      </c>
      <c r="C40">
        <v>100</v>
      </c>
      <c r="D40">
        <v>0.50326541250059598</v>
      </c>
      <c r="E40">
        <v>0.52953433448019405</v>
      </c>
      <c r="F40">
        <v>4.92116737904799</v>
      </c>
      <c r="G40">
        <v>-3.5975560857035056</v>
      </c>
      <c r="H40">
        <v>-2.5928661797926145</v>
      </c>
      <c r="I40">
        <v>0.95217732636202501</v>
      </c>
      <c r="J40">
        <v>0.471452115363719</v>
      </c>
      <c r="K40">
        <v>0.107603398481161</v>
      </c>
      <c r="L40">
        <v>3.8089538332597237E-5</v>
      </c>
      <c r="M40">
        <v>4.394542599907508E-7</v>
      </c>
      <c r="N40" s="1">
        <v>2.1770885560619302E-9</v>
      </c>
      <c r="O40" s="1">
        <v>2.6697980605136798E-13</v>
      </c>
      <c r="P40">
        <v>0</v>
      </c>
      <c r="R40">
        <v>8.1909022737488506</v>
      </c>
      <c r="S40">
        <v>1.8646495068634801</v>
      </c>
      <c r="T40">
        <v>51.641243961243603</v>
      </c>
      <c r="V40">
        <v>37.057098791986398</v>
      </c>
      <c r="X40">
        <v>1.2461054661575599</v>
      </c>
      <c r="AJ40">
        <v>0</v>
      </c>
      <c r="AK40">
        <v>-2.8433139407712499E-2</v>
      </c>
      <c r="AL40">
        <v>0.72803191032229797</v>
      </c>
      <c r="AM40">
        <v>6.9604892136728103E-2</v>
      </c>
      <c r="AN40">
        <v>0.23079633694868501</v>
      </c>
    </row>
    <row r="41" spans="1:40" x14ac:dyDescent="0.2">
      <c r="A41">
        <v>230</v>
      </c>
      <c r="B41">
        <v>781</v>
      </c>
      <c r="C41">
        <v>100</v>
      </c>
      <c r="D41">
        <v>0.50272779016268998</v>
      </c>
      <c r="E41">
        <v>0.57515754395222596</v>
      </c>
      <c r="F41">
        <v>4.9145383061811003</v>
      </c>
      <c r="G41">
        <v>-3.9314735601002213</v>
      </c>
      <c r="H41">
        <v>-2.8399225556706984</v>
      </c>
      <c r="I41">
        <v>1.0354797746331299</v>
      </c>
      <c r="J41">
        <v>0.51225555601918205</v>
      </c>
      <c r="K41">
        <v>0.11703185693533801</v>
      </c>
      <c r="L41">
        <v>3.7140155884012838E-5</v>
      </c>
      <c r="M41">
        <v>4.2928215303362315E-7</v>
      </c>
      <c r="N41" s="1">
        <v>2.3076970516863699E-9</v>
      </c>
      <c r="O41" s="1">
        <v>2.8246278460527901E-13</v>
      </c>
      <c r="P41">
        <v>0</v>
      </c>
      <c r="R41">
        <v>8.9143805646450502</v>
      </c>
      <c r="S41">
        <v>1.8359106102878</v>
      </c>
      <c r="T41">
        <v>50.302181775027996</v>
      </c>
      <c r="V41">
        <v>37.657843760558499</v>
      </c>
      <c r="X41">
        <v>1.2896832894805099</v>
      </c>
      <c r="AJ41">
        <v>0</v>
      </c>
      <c r="AK41">
        <v>-3.1474387179438602E-2</v>
      </c>
      <c r="AL41">
        <v>0.70853537683109602</v>
      </c>
      <c r="AM41">
        <v>7.1976219734714103E-2</v>
      </c>
      <c r="AN41">
        <v>0.25096279061362797</v>
      </c>
    </row>
    <row r="42" spans="1:40" x14ac:dyDescent="0.2">
      <c r="A42">
        <v>231</v>
      </c>
      <c r="B42">
        <v>780</v>
      </c>
      <c r="C42">
        <v>100</v>
      </c>
      <c r="D42">
        <v>0.50218914684517901</v>
      </c>
      <c r="E42">
        <v>0.59974660165883897</v>
      </c>
      <c r="F42">
        <v>4.90997476612438</v>
      </c>
      <c r="G42">
        <v>-4.1163033538530476</v>
      </c>
      <c r="H42">
        <v>-2.9784172409736565</v>
      </c>
      <c r="I42">
        <v>1.0804596808425999</v>
      </c>
      <c r="J42">
        <v>0.53426858056513604</v>
      </c>
      <c r="K42">
        <v>0.12214861180075599</v>
      </c>
      <c r="L42">
        <v>3.6513222974763173E-5</v>
      </c>
      <c r="M42">
        <v>4.226403298828255E-7</v>
      </c>
      <c r="N42" s="1">
        <v>2.3674972769977701E-9</v>
      </c>
      <c r="O42" s="1">
        <v>2.8939902461467202E-13</v>
      </c>
      <c r="P42">
        <v>0</v>
      </c>
      <c r="R42">
        <v>9.3801548290501806</v>
      </c>
      <c r="S42">
        <v>1.83156195687426</v>
      </c>
      <c r="T42">
        <v>49.424430503251003</v>
      </c>
      <c r="V42">
        <v>38.044307587400198</v>
      </c>
      <c r="X42">
        <v>1.31954512342417</v>
      </c>
      <c r="AJ42">
        <v>0</v>
      </c>
      <c r="AK42">
        <v>-3.3215192703332001E-2</v>
      </c>
      <c r="AL42">
        <v>0.69571731594530295</v>
      </c>
      <c r="AM42">
        <v>7.3594715147167603E-2</v>
      </c>
      <c r="AN42">
        <v>0.26390316161086003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2F4F5-038F-4B8D-80B7-9D1AC17DE99A}">
  <sheetPr codeName="Sheet8"/>
  <dimension ref="A1:AP31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30</v>
      </c>
      <c r="B2">
        <v>734</v>
      </c>
      <c r="C2">
        <v>300</v>
      </c>
      <c r="D2">
        <v>0.25781710768008598</v>
      </c>
      <c r="E2">
        <v>0.22125514204939101</v>
      </c>
      <c r="F2">
        <v>3.5915648146171</v>
      </c>
      <c r="G2">
        <v>-2.8062418870095267</v>
      </c>
      <c r="H2">
        <v>-2.3858961711985098</v>
      </c>
      <c r="I2">
        <v>0.41736158051036798</v>
      </c>
      <c r="J2">
        <v>0.24660330420145701</v>
      </c>
      <c r="K2">
        <v>6.16041066971472E-2</v>
      </c>
      <c r="L2">
        <v>4.4362447091761636E-5</v>
      </c>
      <c r="M2">
        <v>9.1541440229056078E-7</v>
      </c>
      <c r="N2" s="1">
        <v>3.4645809660580702E-10</v>
      </c>
      <c r="O2" s="1">
        <v>5.97628751123142E-14</v>
      </c>
      <c r="P2" s="1">
        <v>-4.19119050770096E-13</v>
      </c>
      <c r="Q2">
        <v>49.667775093741703</v>
      </c>
      <c r="R2">
        <v>1.5660803849750601E-2</v>
      </c>
      <c r="S2">
        <v>2.1122397758089999</v>
      </c>
      <c r="T2">
        <v>0.55173866969914498</v>
      </c>
      <c r="V2">
        <v>32.578787947438002</v>
      </c>
      <c r="X2">
        <v>14.8700842658094</v>
      </c>
      <c r="AA2">
        <v>0.18651483447241199</v>
      </c>
      <c r="AB2">
        <v>1.7198609180395199E-2</v>
      </c>
      <c r="AJ2">
        <v>-1.11484804288983</v>
      </c>
      <c r="AK2">
        <v>0.99087627324569605</v>
      </c>
      <c r="AL2">
        <v>1.066033833718</v>
      </c>
      <c r="AM2">
        <v>4.0388166821444103E-2</v>
      </c>
      <c r="AN2">
        <v>-3.9466561727467701E-2</v>
      </c>
      <c r="AO2">
        <v>5.5711602009404497E-2</v>
      </c>
      <c r="AP2">
        <v>1.30472882275182E-3</v>
      </c>
    </row>
    <row r="3" spans="1:42" x14ac:dyDescent="0.2">
      <c r="A3">
        <v>31</v>
      </c>
      <c r="B3">
        <v>733</v>
      </c>
      <c r="C3">
        <v>300</v>
      </c>
      <c r="D3">
        <v>0.257009889181535</v>
      </c>
      <c r="E3">
        <v>0.28192273576864102</v>
      </c>
      <c r="F3">
        <v>3.5938719678184401</v>
      </c>
      <c r="G3">
        <v>-3.5723005644601913</v>
      </c>
      <c r="H3">
        <v>-3.0376458568319862</v>
      </c>
      <c r="I3">
        <v>0.531386679548979</v>
      </c>
      <c r="J3">
        <v>0.31406865919689297</v>
      </c>
      <c r="K3">
        <v>7.84454032567483E-2</v>
      </c>
      <c r="L3">
        <v>4.4330536048023946E-5</v>
      </c>
      <c r="M3">
        <v>9.154641012901007E-7</v>
      </c>
      <c r="N3" s="1">
        <v>4.5526729623975402E-10</v>
      </c>
      <c r="O3" s="1">
        <v>7.6168812597475997E-14</v>
      </c>
      <c r="P3" s="1">
        <v>-6.4087617551443001E-13</v>
      </c>
      <c r="Q3">
        <v>49.576062108070701</v>
      </c>
      <c r="R3">
        <v>1.5904953834262402E-2</v>
      </c>
      <c r="S3">
        <v>2.2165170351074699</v>
      </c>
      <c r="T3">
        <v>0.56496647216548002</v>
      </c>
      <c r="V3">
        <v>32.664645651312199</v>
      </c>
      <c r="X3">
        <v>14.7686005880179</v>
      </c>
      <c r="AA3">
        <v>0.17642150497509301</v>
      </c>
      <c r="AB3">
        <v>1.68816865166974E-2</v>
      </c>
      <c r="AJ3">
        <v>-1.1212427783608101</v>
      </c>
      <c r="AK3">
        <v>0.99131923311126702</v>
      </c>
      <c r="AL3">
        <v>1.0693619953268101</v>
      </c>
      <c r="AM3">
        <v>4.2637657475126801E-2</v>
      </c>
      <c r="AN3">
        <v>-4.1701230409175498E-2</v>
      </c>
      <c r="AO3">
        <v>5.8343815001614903E-2</v>
      </c>
      <c r="AP3">
        <v>1.28130785517304E-3</v>
      </c>
    </row>
    <row r="4" spans="1:42" x14ac:dyDescent="0.2">
      <c r="A4">
        <v>58</v>
      </c>
      <c r="B4">
        <v>737</v>
      </c>
      <c r="C4">
        <v>280</v>
      </c>
      <c r="D4">
        <v>0.28200811760629901</v>
      </c>
      <c r="E4">
        <v>0.200768443458087</v>
      </c>
      <c r="F4">
        <v>3.58382695736214</v>
      </c>
      <c r="G4">
        <v>-2.5585434023931657</v>
      </c>
      <c r="H4">
        <v>-2.1749399690494755</v>
      </c>
      <c r="I4">
        <v>0.37974898118466399</v>
      </c>
      <c r="J4">
        <v>0.22440236235754801</v>
      </c>
      <c r="K4">
        <v>5.6020685665543898E-2</v>
      </c>
      <c r="L4">
        <v>4.4420203759767459E-5</v>
      </c>
      <c r="M4">
        <v>9.1398294401566981E-7</v>
      </c>
      <c r="N4" s="1">
        <v>2.9692481196719201E-10</v>
      </c>
      <c r="O4" s="1">
        <v>5.5019552028331599E-14</v>
      </c>
      <c r="P4" s="1">
        <v>-3.3209898313969899E-13</v>
      </c>
      <c r="Q4">
        <v>49.830019874938202</v>
      </c>
      <c r="R4">
        <v>1.5783975344152101E-2</v>
      </c>
      <c r="S4">
        <v>2.0395709172356602</v>
      </c>
      <c r="T4">
        <v>0.53979523750395897</v>
      </c>
      <c r="V4">
        <v>32.168336694598302</v>
      </c>
      <c r="X4">
        <v>15.2258984796734</v>
      </c>
      <c r="AA4">
        <v>0.16342186474449399</v>
      </c>
      <c r="AB4">
        <v>1.7172955961601E-2</v>
      </c>
      <c r="AJ4">
        <v>-1.09806726065183</v>
      </c>
      <c r="AK4">
        <v>0.991864623745906</v>
      </c>
      <c r="AL4">
        <v>1.0502393721885901</v>
      </c>
      <c r="AM4">
        <v>3.8805713307840203E-2</v>
      </c>
      <c r="AN4">
        <v>-3.7878945724856998E-2</v>
      </c>
      <c r="AO4">
        <v>5.3736640039321597E-2</v>
      </c>
      <c r="AP4">
        <v>1.2998570950346899E-3</v>
      </c>
    </row>
    <row r="5" spans="1:42" x14ac:dyDescent="0.2">
      <c r="A5">
        <v>59</v>
      </c>
      <c r="B5">
        <v>736</v>
      </c>
      <c r="C5">
        <v>280</v>
      </c>
      <c r="D5">
        <v>0.281227270475152</v>
      </c>
      <c r="E5">
        <v>0.26531526517154402</v>
      </c>
      <c r="F5">
        <v>3.5861638296436298</v>
      </c>
      <c r="G5">
        <v>-3.3778197586295411</v>
      </c>
      <c r="H5">
        <v>-2.8717900470111823</v>
      </c>
      <c r="I5">
        <v>0.50144152169485101</v>
      </c>
      <c r="J5">
        <v>0.29641332948173599</v>
      </c>
      <c r="K5">
        <v>7.3983029715044807E-2</v>
      </c>
      <c r="L5">
        <v>4.439506077453048E-5</v>
      </c>
      <c r="M5">
        <v>9.1405377126431438E-7</v>
      </c>
      <c r="N5" s="1">
        <v>4.0470322448137001E-10</v>
      </c>
      <c r="O5" s="1">
        <v>7.2757553529750898E-14</v>
      </c>
      <c r="P5" s="1">
        <v>-5.4551455402940898E-13</v>
      </c>
      <c r="Q5">
        <v>49.739361544434601</v>
      </c>
      <c r="R5">
        <v>1.6031723002327601E-2</v>
      </c>
      <c r="S5">
        <v>2.1416541858923699</v>
      </c>
      <c r="T5">
        <v>0.55286907516407802</v>
      </c>
      <c r="V5">
        <v>32.257498927653998</v>
      </c>
      <c r="X5">
        <v>15.1251508815209</v>
      </c>
      <c r="AA5">
        <v>0.15052636480786399</v>
      </c>
      <c r="AB5">
        <v>1.69072975236732E-2</v>
      </c>
      <c r="AJ5">
        <v>-1.10461751287471</v>
      </c>
      <c r="AK5">
        <v>0.99242039841597596</v>
      </c>
      <c r="AL5">
        <v>1.05366740824328</v>
      </c>
      <c r="AM5">
        <v>4.0999587552976897E-2</v>
      </c>
      <c r="AN5">
        <v>-4.0057811145753602E-2</v>
      </c>
      <c r="AO5">
        <v>5.6307552662468702E-2</v>
      </c>
      <c r="AP5">
        <v>1.2803771457581699E-3</v>
      </c>
    </row>
    <row r="6" spans="1:42" x14ac:dyDescent="0.2">
      <c r="A6">
        <v>83</v>
      </c>
      <c r="B6">
        <v>740</v>
      </c>
      <c r="C6">
        <v>260</v>
      </c>
      <c r="D6">
        <v>0.30605586537038199</v>
      </c>
      <c r="E6">
        <v>0.205066901905048</v>
      </c>
      <c r="F6">
        <v>3.5760198634957501</v>
      </c>
      <c r="G6">
        <v>-2.6256779474063761</v>
      </c>
      <c r="H6">
        <v>-2.2316008441001385</v>
      </c>
      <c r="I6">
        <v>0.38896224972238802</v>
      </c>
      <c r="J6">
        <v>0.22977126092608499</v>
      </c>
      <c r="K6">
        <v>5.7345011977809501E-2</v>
      </c>
      <c r="L6">
        <v>4.444529059724213E-5</v>
      </c>
      <c r="M6">
        <v>9.1262113456515411E-7</v>
      </c>
      <c r="N6" s="1">
        <v>2.8557528911747099E-10</v>
      </c>
      <c r="O6" s="1">
        <v>5.6902644780771502E-14</v>
      </c>
      <c r="P6" s="1">
        <v>-2.4627833281528101E-13</v>
      </c>
      <c r="Q6">
        <v>49.987552454995999</v>
      </c>
      <c r="R6">
        <v>1.5881010368747599E-2</v>
      </c>
      <c r="S6">
        <v>1.96773416215769</v>
      </c>
      <c r="T6">
        <v>0.52861529636722904</v>
      </c>
      <c r="V6">
        <v>31.753387846330899</v>
      </c>
      <c r="X6">
        <v>15.5615123719999</v>
      </c>
      <c r="AA6">
        <v>0.16841385370752299</v>
      </c>
      <c r="AB6">
        <v>1.6903004071843902E-2</v>
      </c>
      <c r="AJ6">
        <v>-1.0801600308583701</v>
      </c>
      <c r="AK6">
        <v>0.99169430393631897</v>
      </c>
      <c r="AL6">
        <v>1.0344440743538399</v>
      </c>
      <c r="AM6">
        <v>3.7249417950183702E-2</v>
      </c>
      <c r="AN6">
        <v>-3.6318974831577297E-2</v>
      </c>
      <c r="AO6">
        <v>5.1814559867716499E-2</v>
      </c>
      <c r="AP6">
        <v>1.2766495818903999E-3</v>
      </c>
    </row>
    <row r="7" spans="1:42" x14ac:dyDescent="0.2">
      <c r="A7">
        <v>84</v>
      </c>
      <c r="B7">
        <v>739</v>
      </c>
      <c r="C7">
        <v>260</v>
      </c>
      <c r="D7">
        <v>0.30530109173541498</v>
      </c>
      <c r="E7">
        <v>0.25850084669552498</v>
      </c>
      <c r="F7">
        <v>3.5782943407937902</v>
      </c>
      <c r="G7">
        <v>-3.3066561826158742</v>
      </c>
      <c r="H7">
        <v>-2.8107734842505199</v>
      </c>
      <c r="I7">
        <v>0.48993004827876802</v>
      </c>
      <c r="J7">
        <v>0.28951517927486498</v>
      </c>
      <c r="K7">
        <v>7.2241359171750105E-2</v>
      </c>
      <c r="L7">
        <v>4.4426200695275873E-5</v>
      </c>
      <c r="M7">
        <v>9.1273070762548552E-7</v>
      </c>
      <c r="N7" s="1">
        <v>3.7022619385180499E-10</v>
      </c>
      <c r="O7" s="1">
        <v>7.18116015897361E-14</v>
      </c>
      <c r="P7" s="1">
        <v>-4.10143240700378E-13</v>
      </c>
      <c r="Q7">
        <v>49.9006926666449</v>
      </c>
      <c r="R7">
        <v>1.61212503825412E-2</v>
      </c>
      <c r="S7">
        <v>2.0641981989836902</v>
      </c>
      <c r="T7">
        <v>0.54105430320927395</v>
      </c>
      <c r="V7">
        <v>31.841892936236899</v>
      </c>
      <c r="X7">
        <v>15.4631231309518</v>
      </c>
      <c r="AA7">
        <v>0.15627643086811199</v>
      </c>
      <c r="AB7">
        <v>1.6641082722708402E-2</v>
      </c>
      <c r="AJ7">
        <v>-1.08649043857484</v>
      </c>
      <c r="AK7">
        <v>0.99221688813995701</v>
      </c>
      <c r="AL7">
        <v>1.03783068169276</v>
      </c>
      <c r="AM7">
        <v>3.9317479548628902E-2</v>
      </c>
      <c r="AN7">
        <v>-3.83725028452079E-2</v>
      </c>
      <c r="AO7">
        <v>5.4240414980023501E-2</v>
      </c>
      <c r="AP7">
        <v>1.25747705867613E-3</v>
      </c>
    </row>
    <row r="8" spans="1:42" x14ac:dyDescent="0.2">
      <c r="A8">
        <v>104</v>
      </c>
      <c r="B8">
        <v>744</v>
      </c>
      <c r="C8">
        <v>240</v>
      </c>
      <c r="D8">
        <v>0.33068918055350899</v>
      </c>
      <c r="E8">
        <v>7.1003845221617706E-2</v>
      </c>
      <c r="F8">
        <v>3.5677815051421899</v>
      </c>
      <c r="G8">
        <v>-0.91334594612807851</v>
      </c>
      <c r="H8">
        <v>-0.77590343609337309</v>
      </c>
      <c r="I8">
        <v>0.135125114324048</v>
      </c>
      <c r="J8">
        <v>7.9737262669945005E-2</v>
      </c>
      <c r="K8">
        <v>1.9901399544585599E-2</v>
      </c>
      <c r="L8">
        <v>4.4465797117325924E-5</v>
      </c>
      <c r="M8">
        <v>9.1141304356454741E-7</v>
      </c>
      <c r="N8" s="1">
        <v>9.2399295888818104E-11</v>
      </c>
      <c r="O8" s="1">
        <v>1.9831574721981E-14</v>
      </c>
      <c r="P8" s="1">
        <v>-3.07989374927798E-14</v>
      </c>
      <c r="Q8">
        <v>50.185607817915198</v>
      </c>
      <c r="R8">
        <v>1.52393506589163E-2</v>
      </c>
      <c r="S8">
        <v>1.82215964227574</v>
      </c>
      <c r="T8">
        <v>0.51259710815894</v>
      </c>
      <c r="V8">
        <v>31.358710111996299</v>
      </c>
      <c r="X8">
        <v>15.903378368178601</v>
      </c>
      <c r="AA8">
        <v>0.185478736545196</v>
      </c>
      <c r="AB8">
        <v>1.68288642708848E-2</v>
      </c>
      <c r="AJ8">
        <v>-1.0608109984204901</v>
      </c>
      <c r="AK8">
        <v>0.99100621020496005</v>
      </c>
      <c r="AL8">
        <v>1.01948496931457</v>
      </c>
      <c r="AM8">
        <v>3.4056258578693599E-2</v>
      </c>
      <c r="AN8">
        <v>-3.3165245969647802E-2</v>
      </c>
      <c r="AO8">
        <v>4.8160371027266002E-2</v>
      </c>
      <c r="AP8">
        <v>1.26843526464189E-3</v>
      </c>
    </row>
    <row r="9" spans="1:42" x14ac:dyDescent="0.2">
      <c r="A9">
        <v>105</v>
      </c>
      <c r="B9">
        <v>743</v>
      </c>
      <c r="C9">
        <v>240</v>
      </c>
      <c r="D9">
        <v>0.32996161983958999</v>
      </c>
      <c r="E9">
        <v>0.211682263720576</v>
      </c>
      <c r="F9">
        <v>3.5684384274171399</v>
      </c>
      <c r="G9">
        <v>-2.7229284894959123</v>
      </c>
      <c r="H9">
        <v>-2.3138045141179644</v>
      </c>
      <c r="I9">
        <v>0.40262163595723599</v>
      </c>
      <c r="J9">
        <v>0.23773986219381599</v>
      </c>
      <c r="K9">
        <v>5.9320699523402798E-2</v>
      </c>
      <c r="L9">
        <v>4.4452666421737456E-5</v>
      </c>
      <c r="M9">
        <v>9.1120891714862867E-7</v>
      </c>
      <c r="N9" s="1">
        <v>2.8011547664692297E-10</v>
      </c>
      <c r="O9" s="1">
        <v>5.9437143007441104E-14</v>
      </c>
      <c r="P9" s="1">
        <v>-1.6618251827401599E-13</v>
      </c>
      <c r="Q9">
        <v>50.135535989878797</v>
      </c>
      <c r="R9">
        <v>1.6022057745587601E-2</v>
      </c>
      <c r="S9">
        <v>1.90659065146467</v>
      </c>
      <c r="T9">
        <v>0.51923588475021398</v>
      </c>
      <c r="V9">
        <v>31.346339333337099</v>
      </c>
      <c r="X9">
        <v>15.8865759721208</v>
      </c>
      <c r="AA9">
        <v>0.173078441357565</v>
      </c>
      <c r="AB9">
        <v>1.6621669345112999E-2</v>
      </c>
      <c r="AJ9">
        <v>-1.0629259140532901</v>
      </c>
      <c r="AK9">
        <v>0.99153879872540895</v>
      </c>
      <c r="AL9">
        <v>1.01902397397052</v>
      </c>
      <c r="AM9">
        <v>3.5921941099806898E-2</v>
      </c>
      <c r="AN9">
        <v>-3.4985219328215501E-2</v>
      </c>
      <c r="AO9">
        <v>5.0173673447574202E-2</v>
      </c>
      <c r="AP9">
        <v>1.2527461381923401E-3</v>
      </c>
    </row>
    <row r="10" spans="1:42" x14ac:dyDescent="0.2">
      <c r="A10">
        <v>106</v>
      </c>
      <c r="B10">
        <v>742</v>
      </c>
      <c r="C10">
        <v>240</v>
      </c>
      <c r="D10">
        <v>0.32923262572033701</v>
      </c>
      <c r="E10">
        <v>0.25365539224600703</v>
      </c>
      <c r="F10">
        <v>3.5706267812813799</v>
      </c>
      <c r="G10">
        <v>-3.2597695804117488</v>
      </c>
      <c r="H10">
        <v>-2.7703837401114346</v>
      </c>
      <c r="I10">
        <v>0.48208229355298599</v>
      </c>
      <c r="J10">
        <v>0.28475989702257998</v>
      </c>
      <c r="K10">
        <v>7.1039458275439907E-2</v>
      </c>
      <c r="L10">
        <v>4.4439176089181782E-5</v>
      </c>
      <c r="M10">
        <v>9.1135123682482247E-7</v>
      </c>
      <c r="N10" s="1">
        <v>3.4400729102357398E-10</v>
      </c>
      <c r="O10" s="1">
        <v>7.1332378293674195E-14</v>
      </c>
      <c r="P10" s="1">
        <v>-2.9199483391609602E-13</v>
      </c>
      <c r="Q10">
        <v>50.053199688429999</v>
      </c>
      <c r="R10">
        <v>1.6253625256715701E-2</v>
      </c>
      <c r="S10">
        <v>1.9969776339754299</v>
      </c>
      <c r="T10">
        <v>0.53091303287216296</v>
      </c>
      <c r="V10">
        <v>31.432854885835798</v>
      </c>
      <c r="X10">
        <v>15.7918434895522</v>
      </c>
      <c r="AA10">
        <v>0.16158875808350301</v>
      </c>
      <c r="AB10">
        <v>1.63688859940197E-2</v>
      </c>
      <c r="AJ10">
        <v>-1.0689785536912</v>
      </c>
      <c r="AK10">
        <v>0.99203262171127005</v>
      </c>
      <c r="AL10">
        <v>1.0223185118225899</v>
      </c>
      <c r="AM10">
        <v>3.78557889167064E-2</v>
      </c>
      <c r="AN10">
        <v>-3.6905080386426002E-2</v>
      </c>
      <c r="AO10">
        <v>5.2442435342739097E-2</v>
      </c>
      <c r="AP10">
        <v>1.23427628431716E-3</v>
      </c>
    </row>
    <row r="11" spans="1:42" x14ac:dyDescent="0.2">
      <c r="A11">
        <v>123</v>
      </c>
      <c r="B11">
        <v>747</v>
      </c>
      <c r="C11">
        <v>220</v>
      </c>
      <c r="D11">
        <v>0.35442876047640198</v>
      </c>
      <c r="E11">
        <v>0.13984697927784101</v>
      </c>
      <c r="F11">
        <v>3.5572470622411299</v>
      </c>
      <c r="G11">
        <v>-1.8105647481507574</v>
      </c>
      <c r="H11">
        <v>-1.5381977948252097</v>
      </c>
      <c r="I11">
        <v>0.26698716201102501</v>
      </c>
      <c r="J11">
        <v>0.15755718612170799</v>
      </c>
      <c r="K11">
        <v>3.9313260178711097E-2</v>
      </c>
      <c r="L11">
        <v>4.4444441061180542E-5</v>
      </c>
      <c r="M11">
        <v>9.0917201240816646E-7</v>
      </c>
      <c r="N11" s="1">
        <v>1.7309709530176101E-10</v>
      </c>
      <c r="O11" s="1">
        <v>3.9755956670907799E-14</v>
      </c>
      <c r="P11" s="1">
        <v>-3.0606449367975401E-15</v>
      </c>
      <c r="Q11">
        <v>50.390185724233099</v>
      </c>
      <c r="R11">
        <v>1.6510715487660199E-2</v>
      </c>
      <c r="S11">
        <v>1.76077351053881</v>
      </c>
      <c r="T11">
        <v>0.49450236371817802</v>
      </c>
      <c r="V11">
        <v>30.753077860735299</v>
      </c>
      <c r="X11">
        <v>16.3779710457822</v>
      </c>
      <c r="AA11">
        <v>0.190325506420051</v>
      </c>
      <c r="AB11">
        <v>1.6653273084480402E-2</v>
      </c>
      <c r="AJ11">
        <v>-1.0360158367650301</v>
      </c>
      <c r="AK11">
        <v>0.99084652406363405</v>
      </c>
      <c r="AL11">
        <v>0.99664334141384603</v>
      </c>
      <c r="AM11">
        <v>3.2854542489035E-2</v>
      </c>
      <c r="AN11">
        <v>-3.1892239518681802E-2</v>
      </c>
      <c r="AO11">
        <v>4.63124253522645E-2</v>
      </c>
      <c r="AP11">
        <v>1.25124296493508E-3</v>
      </c>
    </row>
    <row r="12" spans="1:42" x14ac:dyDescent="0.2">
      <c r="A12">
        <v>124</v>
      </c>
      <c r="B12">
        <v>746</v>
      </c>
      <c r="C12">
        <v>220</v>
      </c>
      <c r="D12">
        <v>0.35372663494088302</v>
      </c>
      <c r="E12">
        <v>0.22154049346132099</v>
      </c>
      <c r="F12">
        <v>3.56120640424946</v>
      </c>
      <c r="G12">
        <v>-2.8625145119734965</v>
      </c>
      <c r="H12">
        <v>-2.4318987580250684</v>
      </c>
      <c r="I12">
        <v>0.42252441146880099</v>
      </c>
      <c r="J12">
        <v>0.24936393163506301</v>
      </c>
      <c r="K12">
        <v>6.2209394321251499E-2</v>
      </c>
      <c r="L12">
        <v>4.4443619735522375E-5</v>
      </c>
      <c r="M12">
        <v>9.0975858729480788E-7</v>
      </c>
      <c r="N12" s="1">
        <v>2.8174845243959898E-10</v>
      </c>
      <c r="O12" s="1">
        <v>6.2921423341724094E-14</v>
      </c>
      <c r="P12" s="1">
        <v>-9.52412359830186E-14</v>
      </c>
      <c r="Q12">
        <v>50.268870124430599</v>
      </c>
      <c r="R12">
        <v>1.6232558492839302E-2</v>
      </c>
      <c r="S12">
        <v>1.8616962829222501</v>
      </c>
      <c r="T12">
        <v>0.51252779807717797</v>
      </c>
      <c r="V12">
        <v>30.9523730872187</v>
      </c>
      <c r="X12">
        <v>16.195429723492801</v>
      </c>
      <c r="AA12">
        <v>0.17655614548594201</v>
      </c>
      <c r="AB12">
        <v>1.6314279879542801E-2</v>
      </c>
      <c r="AJ12">
        <v>-1.0467327081793101</v>
      </c>
      <c r="AK12">
        <v>0.99143457387658296</v>
      </c>
      <c r="AL12">
        <v>1.00417107963175</v>
      </c>
      <c r="AM12">
        <v>3.4938222451086701E-2</v>
      </c>
      <c r="AN12">
        <v>-3.3991123217407798E-2</v>
      </c>
      <c r="AO12">
        <v>4.89528764207985E-2</v>
      </c>
      <c r="AP12">
        <v>1.22707901649374E-3</v>
      </c>
    </row>
    <row r="13" spans="1:42" x14ac:dyDescent="0.2">
      <c r="A13">
        <v>125</v>
      </c>
      <c r="B13">
        <v>745</v>
      </c>
      <c r="C13">
        <v>220</v>
      </c>
      <c r="D13">
        <v>0.35302313018710402</v>
      </c>
      <c r="E13">
        <v>0.25178015620064798</v>
      </c>
      <c r="F13">
        <v>3.56327875201249</v>
      </c>
      <c r="G13">
        <v>-3.2503039851369202</v>
      </c>
      <c r="H13">
        <v>-2.7617620397823255</v>
      </c>
      <c r="I13">
        <v>0.47983297682521597</v>
      </c>
      <c r="J13">
        <v>0.28328894737015597</v>
      </c>
      <c r="K13">
        <v>7.0659685565841804E-2</v>
      </c>
      <c r="L13">
        <v>4.4434986318968951E-5</v>
      </c>
      <c r="M13">
        <v>9.0992502029132553E-7</v>
      </c>
      <c r="N13" s="1">
        <v>3.2690886240923302E-10</v>
      </c>
      <c r="O13" s="1">
        <v>7.1643437031733001E-14</v>
      </c>
      <c r="P13" s="1">
        <v>-1.9467655805413099E-13</v>
      </c>
      <c r="Q13">
        <v>50.191910168110297</v>
      </c>
      <c r="R13">
        <v>1.6453936628570701E-2</v>
      </c>
      <c r="S13">
        <v>1.9455066803057901</v>
      </c>
      <c r="T13">
        <v>0.52328768203436005</v>
      </c>
      <c r="V13">
        <v>31.0351744439497</v>
      </c>
      <c r="X13">
        <v>16.105881985014701</v>
      </c>
      <c r="AA13">
        <v>0.165708811399089</v>
      </c>
      <c r="AB13">
        <v>1.6076292557377601E-2</v>
      </c>
      <c r="AJ13">
        <v>-1.0524303308251399</v>
      </c>
      <c r="AK13">
        <v>0.991899697142406</v>
      </c>
      <c r="AL13">
        <v>1.0073092079236201</v>
      </c>
      <c r="AM13">
        <v>3.6728992342734301E-2</v>
      </c>
      <c r="AN13">
        <v>-3.5768545829537798E-2</v>
      </c>
      <c r="AO13">
        <v>5.1051257807725701E-2</v>
      </c>
      <c r="AP13">
        <v>1.20972143818438E-3</v>
      </c>
    </row>
    <row r="14" spans="1:42" x14ac:dyDescent="0.2">
      <c r="A14">
        <v>139</v>
      </c>
      <c r="B14">
        <v>751</v>
      </c>
      <c r="C14">
        <v>200</v>
      </c>
      <c r="D14">
        <v>0.378704779573308</v>
      </c>
      <c r="E14">
        <v>9.5646468904023202E-2</v>
      </c>
      <c r="F14">
        <v>3.55313233797296</v>
      </c>
      <c r="G14">
        <v>-1.2413336932488388</v>
      </c>
      <c r="H14">
        <v>-1.0537975851312176</v>
      </c>
      <c r="I14">
        <v>0.18311390725735499</v>
      </c>
      <c r="J14">
        <v>0.10787900689582</v>
      </c>
      <c r="K14">
        <v>2.6918915426209201E-2</v>
      </c>
      <c r="L14">
        <v>4.4440139249645738E-5</v>
      </c>
      <c r="M14">
        <v>9.0853470746724325E-7</v>
      </c>
      <c r="N14" s="1">
        <v>1.15404444934798E-10</v>
      </c>
      <c r="O14" s="1">
        <v>2.71983031949459E-14</v>
      </c>
      <c r="P14" s="1">
        <v>4.3150383102247302E-14</v>
      </c>
      <c r="Q14">
        <v>50.471294955004197</v>
      </c>
      <c r="R14">
        <v>1.5172128500714701E-2</v>
      </c>
      <c r="S14">
        <v>1.69422274388163</v>
      </c>
      <c r="T14">
        <v>0.49767515187370998</v>
      </c>
      <c r="V14">
        <v>30.587314215036599</v>
      </c>
      <c r="X14">
        <v>16.519954600052799</v>
      </c>
      <c r="AA14">
        <v>0.19801582244780999</v>
      </c>
      <c r="AB14">
        <v>1.6350383202437799E-2</v>
      </c>
      <c r="AJ14">
        <v>-1.0279793723750801</v>
      </c>
      <c r="AK14">
        <v>0.99055773530335101</v>
      </c>
      <c r="AL14">
        <v>0.99045810662627098</v>
      </c>
      <c r="AM14">
        <v>3.1235250705294901E-2</v>
      </c>
      <c r="AN14">
        <v>-3.0351690739772001E-2</v>
      </c>
      <c r="AO14">
        <v>4.4852492909128301E-2</v>
      </c>
      <c r="AP14">
        <v>1.22747757081224E-3</v>
      </c>
    </row>
    <row r="15" spans="1:42" x14ac:dyDescent="0.2">
      <c r="A15">
        <v>140</v>
      </c>
      <c r="B15">
        <v>750</v>
      </c>
      <c r="C15">
        <v>200</v>
      </c>
      <c r="D15">
        <v>0.37802912573913899</v>
      </c>
      <c r="E15">
        <v>0.19465636771528499</v>
      </c>
      <c r="F15">
        <v>3.5523486492079299</v>
      </c>
      <c r="G15">
        <v>-2.5282947479560236</v>
      </c>
      <c r="H15">
        <v>-2.147137479897288</v>
      </c>
      <c r="I15">
        <v>0.37253312618749401</v>
      </c>
      <c r="J15">
        <v>0.219648777396587</v>
      </c>
      <c r="K15">
        <v>5.47965267313184E-2</v>
      </c>
      <c r="L15">
        <v>4.4423222068755676E-5</v>
      </c>
      <c r="M15">
        <v>9.0807332694729375E-7</v>
      </c>
      <c r="N15" s="1">
        <v>2.3690439636737E-10</v>
      </c>
      <c r="O15" s="1">
        <v>5.5790480314146201E-14</v>
      </c>
      <c r="P15" s="1">
        <v>3.4635566468853497E-14</v>
      </c>
      <c r="Q15">
        <v>50.458501505921298</v>
      </c>
      <c r="R15">
        <v>1.63249987235802E-2</v>
      </c>
      <c r="S15">
        <v>1.7577565545493701</v>
      </c>
      <c r="T15">
        <v>0.49864198112296798</v>
      </c>
      <c r="V15">
        <v>30.490253687183099</v>
      </c>
      <c r="X15">
        <v>16.573096816788802</v>
      </c>
      <c r="AA15">
        <v>0.189215903746771</v>
      </c>
      <c r="AB15">
        <v>1.6208551963870499E-2</v>
      </c>
      <c r="AJ15">
        <v>-1.0261873105641801</v>
      </c>
      <c r="AK15">
        <v>0.99093801613992005</v>
      </c>
      <c r="AL15">
        <v>0.98681815452532096</v>
      </c>
      <c r="AM15">
        <v>3.2693263563529501E-2</v>
      </c>
      <c r="AN15">
        <v>-3.1743043929978801E-2</v>
      </c>
      <c r="AO15">
        <v>4.6264702974139198E-2</v>
      </c>
      <c r="AP15">
        <v>1.21621729125289E-3</v>
      </c>
    </row>
    <row r="16" spans="1:42" x14ac:dyDescent="0.2">
      <c r="A16">
        <v>141</v>
      </c>
      <c r="B16">
        <v>749</v>
      </c>
      <c r="C16">
        <v>200</v>
      </c>
      <c r="D16">
        <v>0.37735214988015597</v>
      </c>
      <c r="E16">
        <v>0.232767311017964</v>
      </c>
      <c r="F16">
        <v>3.5544424648270998</v>
      </c>
      <c r="G16">
        <v>-3.0204864198381234</v>
      </c>
      <c r="H16">
        <v>-2.5654959982403551</v>
      </c>
      <c r="I16">
        <v>0.44513077493300202</v>
      </c>
      <c r="J16">
        <v>0.26254790965500702</v>
      </c>
      <c r="K16">
        <v>6.5486307155428095E-2</v>
      </c>
      <c r="L16">
        <v>4.4420370320312865E-5</v>
      </c>
      <c r="M16">
        <v>9.0828893853095101E-7</v>
      </c>
      <c r="N16" s="1">
        <v>2.8805164050765198E-10</v>
      </c>
      <c r="O16" s="1">
        <v>6.6868946372186705E-14</v>
      </c>
      <c r="P16" s="1">
        <v>-3.6327536823363501E-14</v>
      </c>
      <c r="Q16">
        <v>50.382643179475302</v>
      </c>
      <c r="R16">
        <v>1.6542794257890899E-2</v>
      </c>
      <c r="S16">
        <v>1.8383998480263899</v>
      </c>
      <c r="T16">
        <v>0.50932193430836803</v>
      </c>
      <c r="V16">
        <v>30.576537038824199</v>
      </c>
      <c r="X16">
        <v>16.482647966888301</v>
      </c>
      <c r="AA16">
        <v>0.17793914388320101</v>
      </c>
      <c r="AB16">
        <v>1.5968094336242199E-2</v>
      </c>
      <c r="AJ16">
        <v>-1.03193513772714</v>
      </c>
      <c r="AK16">
        <v>0.99141967392915598</v>
      </c>
      <c r="AL16">
        <v>0.99006900588168201</v>
      </c>
      <c r="AM16">
        <v>3.44081745379127E-2</v>
      </c>
      <c r="AN16">
        <v>-3.3444831890966101E-2</v>
      </c>
      <c r="AO16">
        <v>4.8284385970505703E-2</v>
      </c>
      <c r="AP16">
        <v>1.1987292988579301E-3</v>
      </c>
    </row>
    <row r="17" spans="1:42" x14ac:dyDescent="0.2">
      <c r="A17">
        <v>152</v>
      </c>
      <c r="B17">
        <v>755</v>
      </c>
      <c r="C17">
        <v>180</v>
      </c>
      <c r="D17">
        <v>0.40279190779555302</v>
      </c>
      <c r="E17">
        <v>0.11139366343715899</v>
      </c>
      <c r="F17">
        <v>3.54534450239266</v>
      </c>
      <c r="G17">
        <v>-1.4526414053267138</v>
      </c>
      <c r="H17">
        <v>-1.2326434856357353</v>
      </c>
      <c r="I17">
        <v>0.21397453648881701</v>
      </c>
      <c r="J17">
        <v>0.125926411167367</v>
      </c>
      <c r="K17">
        <v>3.1419700782810499E-2</v>
      </c>
      <c r="L17">
        <v>4.4403899306257163E-5</v>
      </c>
      <c r="M17">
        <v>9.0685544356981759E-7</v>
      </c>
      <c r="N17" s="1">
        <v>1.3134131552301299E-10</v>
      </c>
      <c r="O17" s="1">
        <v>3.1956048966204298E-14</v>
      </c>
      <c r="P17" s="1">
        <v>9.8920806853382902E-14</v>
      </c>
      <c r="Q17">
        <v>50.6175198852861</v>
      </c>
      <c r="R17">
        <v>1.53876087724712E-2</v>
      </c>
      <c r="S17">
        <v>1.63730287313237</v>
      </c>
      <c r="T17">
        <v>0.49104826342576302</v>
      </c>
      <c r="V17">
        <v>30.169181670705999</v>
      </c>
      <c r="X17">
        <v>16.847785958913999</v>
      </c>
      <c r="AA17">
        <v>0.205633251169202</v>
      </c>
      <c r="AB17">
        <v>1.6140488593813999E-2</v>
      </c>
      <c r="AJ17">
        <v>-1.0105795132275499</v>
      </c>
      <c r="AK17">
        <v>0.99027828786837002</v>
      </c>
      <c r="AL17">
        <v>0.97483192271205699</v>
      </c>
      <c r="AM17">
        <v>2.9983014855586802E-2</v>
      </c>
      <c r="AN17">
        <v>-2.90888201398962E-2</v>
      </c>
      <c r="AO17">
        <v>4.3365975826663503E-2</v>
      </c>
      <c r="AP17">
        <v>1.20913210477748E-3</v>
      </c>
    </row>
    <row r="18" spans="1:42" x14ac:dyDescent="0.2">
      <c r="A18">
        <v>153</v>
      </c>
      <c r="B18">
        <v>754</v>
      </c>
      <c r="C18">
        <v>180</v>
      </c>
      <c r="D18">
        <v>0.402142335588766</v>
      </c>
      <c r="E18">
        <v>0.18946421284678</v>
      </c>
      <c r="F18">
        <v>3.5443520023919199</v>
      </c>
      <c r="G18">
        <v>-2.4728879753960533</v>
      </c>
      <c r="H18">
        <v>-2.0991919171328282</v>
      </c>
      <c r="I18">
        <v>0.363818389001825</v>
      </c>
      <c r="J18">
        <v>0.21428188619587099</v>
      </c>
      <c r="K18">
        <v>5.3455247311474399E-2</v>
      </c>
      <c r="L18">
        <v>4.4384384231814023E-5</v>
      </c>
      <c r="M18">
        <v>9.0636442048581799E-7</v>
      </c>
      <c r="N18" s="1">
        <v>2.2524001442155501E-10</v>
      </c>
      <c r="O18" s="1">
        <v>5.4794629150585499E-14</v>
      </c>
      <c r="P18" s="1">
        <v>1.2027936879889401E-13</v>
      </c>
      <c r="Q18">
        <v>50.611872019622602</v>
      </c>
      <c r="R18">
        <v>1.6576907634015099E-2</v>
      </c>
      <c r="S18">
        <v>1.6942285269474999</v>
      </c>
      <c r="T18">
        <v>0.491073838027339</v>
      </c>
      <c r="V18">
        <v>30.061553729304599</v>
      </c>
      <c r="X18">
        <v>16.9110550819487</v>
      </c>
      <c r="AA18">
        <v>0.197624147895753</v>
      </c>
      <c r="AB18">
        <v>1.6015748619312001E-2</v>
      </c>
      <c r="AJ18">
        <v>-1.0082057554737001</v>
      </c>
      <c r="AK18">
        <v>0.99062442317976096</v>
      </c>
      <c r="AL18">
        <v>0.97081179039209797</v>
      </c>
      <c r="AM18">
        <v>3.1300498475041197E-2</v>
      </c>
      <c r="AN18">
        <v>-3.03377299423385E-2</v>
      </c>
      <c r="AO18">
        <v>4.4607655912274197E-2</v>
      </c>
      <c r="AP18">
        <v>1.1991174568708701E-3</v>
      </c>
    </row>
    <row r="19" spans="1:42" x14ac:dyDescent="0.2">
      <c r="A19">
        <v>154</v>
      </c>
      <c r="B19">
        <v>753</v>
      </c>
      <c r="C19">
        <v>180</v>
      </c>
      <c r="D19">
        <v>0.401491497344444</v>
      </c>
      <c r="E19">
        <v>0.224079199712544</v>
      </c>
      <c r="F19">
        <v>3.5463781912112098</v>
      </c>
      <c r="G19">
        <v>-2.9220108022891682</v>
      </c>
      <c r="H19">
        <v>-2.4808034222645863</v>
      </c>
      <c r="I19">
        <v>0.42996382597532701</v>
      </c>
      <c r="J19">
        <v>0.25333284941126299</v>
      </c>
      <c r="K19">
        <v>6.3185364794952598E-2</v>
      </c>
      <c r="L19">
        <v>4.4385979144746812E-5</v>
      </c>
      <c r="M19">
        <v>9.0661085396675493E-7</v>
      </c>
      <c r="N19" s="1">
        <v>2.6967227857220699E-10</v>
      </c>
      <c r="O19" s="1">
        <v>6.4977615087331495E-14</v>
      </c>
      <c r="P19" s="1">
        <v>7.1915183479255505E-14</v>
      </c>
      <c r="Q19">
        <v>50.539775734847098</v>
      </c>
      <c r="R19">
        <v>1.6786526689606202E-2</v>
      </c>
      <c r="S19">
        <v>1.7697320143534201</v>
      </c>
      <c r="T19">
        <v>0.501175584990184</v>
      </c>
      <c r="V19">
        <v>30.146511112798201</v>
      </c>
      <c r="X19">
        <v>16.823741217035</v>
      </c>
      <c r="AA19">
        <v>0.18649358960754001</v>
      </c>
      <c r="AB19">
        <v>1.57842196788875E-2</v>
      </c>
      <c r="AJ19">
        <v>-1.01374798338424</v>
      </c>
      <c r="AK19">
        <v>0.99109824599346596</v>
      </c>
      <c r="AL19">
        <v>0.97399585585155002</v>
      </c>
      <c r="AM19">
        <v>3.2901506949401298E-2</v>
      </c>
      <c r="AN19">
        <v>-3.1926122904662402E-2</v>
      </c>
      <c r="AO19">
        <v>4.6496180231443897E-2</v>
      </c>
      <c r="AP19">
        <v>1.1823172630469601E-3</v>
      </c>
    </row>
    <row r="20" spans="1:42" x14ac:dyDescent="0.2">
      <c r="A20">
        <v>166</v>
      </c>
      <c r="B20">
        <v>760</v>
      </c>
      <c r="C20">
        <v>160</v>
      </c>
      <c r="D20">
        <v>0.427315007501331</v>
      </c>
      <c r="E20">
        <v>8.1531333541075598E-2</v>
      </c>
      <c r="F20">
        <v>3.5402451680027198</v>
      </c>
      <c r="G20">
        <v>-1.0665687857135933</v>
      </c>
      <c r="H20">
        <v>-0.9042000431418401</v>
      </c>
      <c r="I20">
        <v>0.15715892423341499</v>
      </c>
      <c r="J20">
        <v>9.2302800145762698E-2</v>
      </c>
      <c r="K20">
        <v>2.30298551857279E-2</v>
      </c>
      <c r="L20">
        <v>4.4381621766505152E-5</v>
      </c>
      <c r="M20">
        <v>9.0584889677876134E-7</v>
      </c>
      <c r="N20" s="1">
        <v>9.4851620847160597E-11</v>
      </c>
      <c r="O20" s="1">
        <v>2.34089679080265E-14</v>
      </c>
      <c r="P20" s="1">
        <v>1.1202334299527E-13</v>
      </c>
      <c r="Q20">
        <v>50.708856477175502</v>
      </c>
      <c r="R20">
        <v>1.4519607538618501E-2</v>
      </c>
      <c r="S20">
        <v>1.5804543754120799</v>
      </c>
      <c r="T20">
        <v>0.49469478595500599</v>
      </c>
      <c r="V20">
        <v>29.9394672317434</v>
      </c>
      <c r="X20">
        <v>17.0320278524506</v>
      </c>
      <c r="AA20">
        <v>0.21407492809149001</v>
      </c>
      <c r="AB20">
        <v>1.59047416331616E-2</v>
      </c>
      <c r="AJ20">
        <v>-1.00041362773528</v>
      </c>
      <c r="AK20">
        <v>0.989957893345498</v>
      </c>
      <c r="AL20">
        <v>0.96631196249756901</v>
      </c>
      <c r="AM20">
        <v>2.8586789703408801E-2</v>
      </c>
      <c r="AN20">
        <v>-2.77439928285391E-2</v>
      </c>
      <c r="AO20">
        <v>4.2110854973103497E-2</v>
      </c>
      <c r="AP20">
        <v>1.1901200442440501E-3</v>
      </c>
    </row>
    <row r="21" spans="1:42" x14ac:dyDescent="0.2">
      <c r="A21">
        <v>167</v>
      </c>
      <c r="B21">
        <v>759</v>
      </c>
      <c r="C21">
        <v>160</v>
      </c>
      <c r="D21">
        <v>0.42669234122947503</v>
      </c>
      <c r="E21">
        <v>0.163354377537721</v>
      </c>
      <c r="F21">
        <v>3.5348628793196801</v>
      </c>
      <c r="G21">
        <v>-2.1442909250182436</v>
      </c>
      <c r="H21">
        <v>-1.8191986049093598</v>
      </c>
      <c r="I21">
        <v>0.31496615812515999</v>
      </c>
      <c r="J21">
        <v>0.185239375731241</v>
      </c>
      <c r="K21">
        <v>4.6212366112814998E-2</v>
      </c>
      <c r="L21">
        <v>4.4322725300361735E-5</v>
      </c>
      <c r="M21">
        <v>9.0426536686219347E-7</v>
      </c>
      <c r="N21" s="1">
        <v>1.9170183544822501E-10</v>
      </c>
      <c r="O21" s="1">
        <v>4.7612107246619702E-14</v>
      </c>
      <c r="P21" s="1">
        <v>1.99457599976478E-13</v>
      </c>
      <c r="Q21">
        <v>50.803447642402901</v>
      </c>
      <c r="R21">
        <v>1.70292235234057E-2</v>
      </c>
      <c r="S21">
        <v>1.6034444751753101</v>
      </c>
      <c r="T21">
        <v>0.479521180146952</v>
      </c>
      <c r="V21">
        <v>29.5547731129463</v>
      </c>
      <c r="X21">
        <v>17.314049262935299</v>
      </c>
      <c r="AA21">
        <v>0.21176927892983599</v>
      </c>
      <c r="AB21">
        <v>1.5965823939801099E-2</v>
      </c>
      <c r="AJ21">
        <v>-0.98648118184577005</v>
      </c>
      <c r="AK21">
        <v>0.99006864156980801</v>
      </c>
      <c r="AL21">
        <v>0.95198051464996503</v>
      </c>
      <c r="AM21">
        <v>2.93415025724569E-2</v>
      </c>
      <c r="AN21">
        <v>-2.83550186163639E-2</v>
      </c>
      <c r="AO21">
        <v>4.2253249673806399E-2</v>
      </c>
      <c r="AP21">
        <v>1.1922919960968999E-3</v>
      </c>
    </row>
    <row r="22" spans="1:42" x14ac:dyDescent="0.2">
      <c r="A22">
        <v>168</v>
      </c>
      <c r="B22">
        <v>758</v>
      </c>
      <c r="C22">
        <v>160</v>
      </c>
      <c r="D22">
        <v>0.426068467245311</v>
      </c>
      <c r="E22">
        <v>0.20588223392437299</v>
      </c>
      <c r="F22">
        <v>3.5374604950697401</v>
      </c>
      <c r="G22">
        <v>-2.6991105615962243</v>
      </c>
      <c r="H22">
        <v>-2.2901198683251018</v>
      </c>
      <c r="I22">
        <v>0.39663549752327298</v>
      </c>
      <c r="J22">
        <v>0.233336466977279</v>
      </c>
      <c r="K22">
        <v>5.8200574737531902E-2</v>
      </c>
      <c r="L22">
        <v>4.433436339736885E-5</v>
      </c>
      <c r="M22">
        <v>9.0470611510903309E-7</v>
      </c>
      <c r="N22" s="1">
        <v>2.4328602933159199E-10</v>
      </c>
      <c r="O22" s="1">
        <v>6.0129919419461098E-14</v>
      </c>
      <c r="P22" s="1">
        <v>1.8881236611725199E-13</v>
      </c>
      <c r="Q22">
        <v>50.720352105400998</v>
      </c>
      <c r="R22">
        <v>1.7043024782730499E-2</v>
      </c>
      <c r="S22">
        <v>1.67892324953711</v>
      </c>
      <c r="T22">
        <v>0.49136612238071797</v>
      </c>
      <c r="V22">
        <v>29.678633750864101</v>
      </c>
      <c r="X22">
        <v>17.197930271225399</v>
      </c>
      <c r="AA22">
        <v>0.20004330208590601</v>
      </c>
      <c r="AB22">
        <v>1.5708173722918099E-2</v>
      </c>
      <c r="AJ22">
        <v>-0.99349814965693894</v>
      </c>
      <c r="AK22">
        <v>0.99056561801175103</v>
      </c>
      <c r="AL22">
        <v>0.95659467200211301</v>
      </c>
      <c r="AM22">
        <v>3.0913198675139399E-2</v>
      </c>
      <c r="AN22">
        <v>-2.9925270254032001E-2</v>
      </c>
      <c r="AO22">
        <v>4.4176113635386198E-2</v>
      </c>
      <c r="AP22">
        <v>1.1738175865812E-3</v>
      </c>
    </row>
    <row r="23" spans="1:42" x14ac:dyDescent="0.2">
      <c r="A23">
        <v>183</v>
      </c>
      <c r="B23">
        <v>766</v>
      </c>
      <c r="C23">
        <v>140</v>
      </c>
      <c r="D23">
        <v>0.45219698792282498</v>
      </c>
      <c r="E23">
        <v>4.3890910234810197E-2</v>
      </c>
      <c r="F23">
        <v>3.5354315762969399</v>
      </c>
      <c r="G23">
        <v>-0.57591913509733728</v>
      </c>
      <c r="H23">
        <v>-0.48765281896792795</v>
      </c>
      <c r="I23">
        <v>8.4940880651887901E-2</v>
      </c>
      <c r="J23">
        <v>4.9760684955587102E-2</v>
      </c>
      <c r="K23">
        <v>1.24145834214622E-2</v>
      </c>
      <c r="L23">
        <v>4.4359165278083171E-5</v>
      </c>
      <c r="M23">
        <v>9.0486231329517202E-7</v>
      </c>
      <c r="N23" s="1">
        <v>5.0744522930005803E-11</v>
      </c>
      <c r="O23" s="1">
        <v>1.25877769795038E-14</v>
      </c>
      <c r="P23" s="1">
        <v>8.2714372929235905E-14</v>
      </c>
      <c r="Q23">
        <v>50.788047642328799</v>
      </c>
      <c r="R23">
        <v>1.35890500593959E-2</v>
      </c>
      <c r="S23">
        <v>1.5294837524810201</v>
      </c>
      <c r="T23">
        <v>0.50231285960952299</v>
      </c>
      <c r="V23">
        <v>29.733772848568702</v>
      </c>
      <c r="X23">
        <v>17.194440252856602</v>
      </c>
      <c r="AA23">
        <v>0.222655221056233</v>
      </c>
      <c r="AB23">
        <v>1.5698373039595401E-2</v>
      </c>
      <c r="AJ23">
        <v>-0.991366441237858</v>
      </c>
      <c r="AK23">
        <v>0.98962885189238403</v>
      </c>
      <c r="AL23">
        <v>0.95871990491043002</v>
      </c>
      <c r="AM23">
        <v>2.7270557151032201E-2</v>
      </c>
      <c r="AN23">
        <v>-2.6482558318055498E-2</v>
      </c>
      <c r="AO23">
        <v>4.1056174417714697E-2</v>
      </c>
      <c r="AP23">
        <v>1.1735111843523499E-3</v>
      </c>
    </row>
    <row r="24" spans="1:42" x14ac:dyDescent="0.2">
      <c r="A24">
        <v>184</v>
      </c>
      <c r="B24">
        <v>765</v>
      </c>
      <c r="C24">
        <v>140</v>
      </c>
      <c r="D24">
        <v>0.45160188797380102</v>
      </c>
      <c r="E24">
        <v>0.14018930171753</v>
      </c>
      <c r="F24">
        <v>3.52937701095748</v>
      </c>
      <c r="G24">
        <v>-1.8465014761422638</v>
      </c>
      <c r="H24">
        <v>-1.5647423474202946</v>
      </c>
      <c r="I24">
        <v>0.271405026944053</v>
      </c>
      <c r="J24">
        <v>0.15922024807205201</v>
      </c>
      <c r="K24">
        <v>3.9720693278811399E-2</v>
      </c>
      <c r="L24">
        <v>4.4288353263049977E-5</v>
      </c>
      <c r="M24">
        <v>9.0310079826369694E-7</v>
      </c>
      <c r="N24" s="1">
        <v>1.6402461929908101E-10</v>
      </c>
      <c r="O24" s="1">
        <v>4.0830853815599401E-14</v>
      </c>
      <c r="P24" s="1">
        <v>2.4743403850592902E-13</v>
      </c>
      <c r="Q24">
        <v>50.8994006524604</v>
      </c>
      <c r="R24">
        <v>1.62077243779194E-2</v>
      </c>
      <c r="S24">
        <v>1.54426423285586</v>
      </c>
      <c r="T24">
        <v>0.48453941395967598</v>
      </c>
      <c r="V24">
        <v>29.307721384187602</v>
      </c>
      <c r="X24">
        <v>17.508805309638898</v>
      </c>
      <c r="AA24">
        <v>0.22328375189661601</v>
      </c>
      <c r="AB24">
        <v>1.5777530622880901E-2</v>
      </c>
      <c r="AJ24">
        <v>-0.97558619445585604</v>
      </c>
      <c r="AK24">
        <v>0.98962003607028703</v>
      </c>
      <c r="AL24">
        <v>0.94288733133005298</v>
      </c>
      <c r="AM24">
        <v>2.7875227932793002E-2</v>
      </c>
      <c r="AN24">
        <v>-2.6937461809546901E-2</v>
      </c>
      <c r="AO24">
        <v>4.0964247433849299E-2</v>
      </c>
      <c r="AP24">
        <v>1.1768134984199E-3</v>
      </c>
    </row>
    <row r="25" spans="1:42" x14ac:dyDescent="0.2">
      <c r="A25">
        <v>185</v>
      </c>
      <c r="B25">
        <v>764</v>
      </c>
      <c r="C25">
        <v>140</v>
      </c>
      <c r="D25">
        <v>0.45100564045702202</v>
      </c>
      <c r="E25">
        <v>0.181062162617047</v>
      </c>
      <c r="F25">
        <v>3.52644652847738</v>
      </c>
      <c r="G25">
        <v>-2.3895167997753148</v>
      </c>
      <c r="H25">
        <v>-2.0259847712421251</v>
      </c>
      <c r="I25">
        <v>0.350510561185161</v>
      </c>
      <c r="J25">
        <v>0.20583076932378899</v>
      </c>
      <c r="K25">
        <v>5.1344082819603898E-2</v>
      </c>
      <c r="L25">
        <v>4.4244934606975462E-5</v>
      </c>
      <c r="M25">
        <v>9.0212834809549379E-7</v>
      </c>
      <c r="N25" s="1">
        <v>2.1441998884974301E-10</v>
      </c>
      <c r="O25" s="1">
        <v>5.3306361870119101E-14</v>
      </c>
      <c r="P25" s="1">
        <v>2.8390035372077202E-13</v>
      </c>
      <c r="Q25">
        <v>50.942066031841101</v>
      </c>
      <c r="R25">
        <v>1.7996987627559202E-2</v>
      </c>
      <c r="S25">
        <v>1.5782359802381301</v>
      </c>
      <c r="T25">
        <v>0.47757809154381398</v>
      </c>
      <c r="V25">
        <v>29.081229735389599</v>
      </c>
      <c r="X25">
        <v>17.669479537596001</v>
      </c>
      <c r="AA25">
        <v>0.21765498053776899</v>
      </c>
      <c r="AB25">
        <v>1.5758655225917999E-2</v>
      </c>
      <c r="AJ25">
        <v>-0.96810944596223103</v>
      </c>
      <c r="AK25">
        <v>0.98986542151592805</v>
      </c>
      <c r="AL25">
        <v>0.93449645846843699</v>
      </c>
      <c r="AM25">
        <v>2.8764599636193499E-2</v>
      </c>
      <c r="AN25">
        <v>-2.77245370797316E-2</v>
      </c>
      <c r="AO25">
        <v>4.1533485004762803E-2</v>
      </c>
      <c r="AP25">
        <v>1.17401841664018E-3</v>
      </c>
    </row>
    <row r="26" spans="1:42" x14ac:dyDescent="0.2">
      <c r="A26">
        <v>204</v>
      </c>
      <c r="B26">
        <v>773</v>
      </c>
      <c r="C26">
        <v>120</v>
      </c>
      <c r="D26">
        <v>0.47736032117765198</v>
      </c>
      <c r="E26">
        <v>6.0747014816873002E-2</v>
      </c>
      <c r="F26">
        <v>3.5273880526141701</v>
      </c>
      <c r="G26">
        <v>-0.80119727402508489</v>
      </c>
      <c r="H26">
        <v>-0.67759525301346701</v>
      </c>
      <c r="I26">
        <v>0.118149425045756</v>
      </c>
      <c r="J26">
        <v>6.9038164479580999E-2</v>
      </c>
      <c r="K26">
        <v>1.7221528765981001E-2</v>
      </c>
      <c r="L26">
        <v>4.4297683199131064E-5</v>
      </c>
      <c r="M26">
        <v>9.0289972739249213E-7</v>
      </c>
      <c r="N26" s="1">
        <v>7.0815685354681403E-11</v>
      </c>
      <c r="O26" s="1">
        <v>1.7493426688460601E-14</v>
      </c>
      <c r="P26" s="1">
        <v>1.46725346207353E-13</v>
      </c>
      <c r="Q26">
        <v>50.921461619417002</v>
      </c>
      <c r="R26">
        <v>1.39295443257412E-2</v>
      </c>
      <c r="S26">
        <v>1.48467116596897</v>
      </c>
      <c r="T26">
        <v>0.50420880889348496</v>
      </c>
      <c r="V26">
        <v>29.314363895945601</v>
      </c>
      <c r="X26">
        <v>17.510842854491099</v>
      </c>
      <c r="AA26">
        <v>0.234931333796189</v>
      </c>
      <c r="AB26">
        <v>1.5590777161703699E-2</v>
      </c>
      <c r="AJ26">
        <v>-0.97432932267241301</v>
      </c>
      <c r="AK26">
        <v>0.98915238412193596</v>
      </c>
      <c r="AL26">
        <v>0.94323144433811401</v>
      </c>
      <c r="AM26">
        <v>2.6184242117430701E-2</v>
      </c>
      <c r="AN26">
        <v>-2.5378178245899202E-2</v>
      </c>
      <c r="AO26">
        <v>3.9976385596812603E-2</v>
      </c>
      <c r="AP26">
        <v>1.16304474401964E-3</v>
      </c>
    </row>
    <row r="27" spans="1:42" x14ac:dyDescent="0.2">
      <c r="A27">
        <v>205</v>
      </c>
      <c r="B27">
        <v>772</v>
      </c>
      <c r="C27">
        <v>120</v>
      </c>
      <c r="D27">
        <v>0.47679328326077502</v>
      </c>
      <c r="E27">
        <v>0.13733410739809401</v>
      </c>
      <c r="F27">
        <v>3.5223562235325998</v>
      </c>
      <c r="G27">
        <v>-1.81705174503157</v>
      </c>
      <c r="H27">
        <v>-1.5378204879427622</v>
      </c>
      <c r="I27">
        <v>0.26716859502349699</v>
      </c>
      <c r="J27">
        <v>0.156305659059951</v>
      </c>
      <c r="K27">
        <v>3.8989272714830901E-2</v>
      </c>
      <c r="L27">
        <v>4.4229751567670606E-5</v>
      </c>
      <c r="M27">
        <v>9.0138152712538096E-7</v>
      </c>
      <c r="N27" s="1">
        <v>1.6256963653677299E-10</v>
      </c>
      <c r="O27" s="1">
        <v>4.0078684530606798E-14</v>
      </c>
      <c r="P27" s="1">
        <v>3.1356368323484299E-13</v>
      </c>
      <c r="Q27">
        <v>51.0121182655353</v>
      </c>
      <c r="R27">
        <v>1.62264398379314E-2</v>
      </c>
      <c r="S27">
        <v>1.5021771839416</v>
      </c>
      <c r="T27">
        <v>0.48977083893157503</v>
      </c>
      <c r="V27">
        <v>28.954764944025701</v>
      </c>
      <c r="X27">
        <v>17.774558779478099</v>
      </c>
      <c r="AA27">
        <v>0.234748987818508</v>
      </c>
      <c r="AB27">
        <v>1.5634560431090901E-2</v>
      </c>
      <c r="AJ27">
        <v>-0.961221106039992</v>
      </c>
      <c r="AK27">
        <v>0.989176878205131</v>
      </c>
      <c r="AL27">
        <v>0.92992152521089599</v>
      </c>
      <c r="AM27">
        <v>2.6804852874045399E-2</v>
      </c>
      <c r="AN27">
        <v>-2.5867627038890301E-2</v>
      </c>
      <c r="AO27">
        <v>4.0021343265982598E-2</v>
      </c>
      <c r="AP27">
        <v>1.16413352282662E-3</v>
      </c>
    </row>
    <row r="28" spans="1:42" x14ac:dyDescent="0.2">
      <c r="A28">
        <v>206</v>
      </c>
      <c r="B28">
        <v>771</v>
      </c>
      <c r="C28">
        <v>120</v>
      </c>
      <c r="D28">
        <v>0.47622515922041903</v>
      </c>
      <c r="E28">
        <v>0.17384650186036399</v>
      </c>
      <c r="F28">
        <v>3.51968987594107</v>
      </c>
      <c r="G28">
        <v>-2.3042256844743161</v>
      </c>
      <c r="H28">
        <v>-1.951130769437224</v>
      </c>
      <c r="I28">
        <v>0.33816493323477698</v>
      </c>
      <c r="J28">
        <v>0.19802438356048099</v>
      </c>
      <c r="K28">
        <v>4.9392562409744101E-2</v>
      </c>
      <c r="L28">
        <v>4.4186287019808921E-5</v>
      </c>
      <c r="M28">
        <v>9.004809715443848E-7</v>
      </c>
      <c r="N28" s="1">
        <v>2.08364314853069E-10</v>
      </c>
      <c r="O28" s="1">
        <v>5.1247633393233302E-14</v>
      </c>
      <c r="P28" s="1">
        <v>3.64287142029527E-13</v>
      </c>
      <c r="Q28">
        <v>51.050746188710299</v>
      </c>
      <c r="R28">
        <v>1.7899215740063399E-2</v>
      </c>
      <c r="S28">
        <v>1.5342611987449699</v>
      </c>
      <c r="T28">
        <v>0.48350783449052598</v>
      </c>
      <c r="V28">
        <v>28.746666975826301</v>
      </c>
      <c r="X28">
        <v>17.9221118449275</v>
      </c>
      <c r="AA28">
        <v>0.22919919262489599</v>
      </c>
      <c r="AB28">
        <v>1.56075489352353E-2</v>
      </c>
      <c r="AJ28">
        <v>-0.95441625701264998</v>
      </c>
      <c r="AK28">
        <v>0.98941871341571896</v>
      </c>
      <c r="AL28">
        <v>0.92223831170220305</v>
      </c>
      <c r="AM28">
        <v>2.7640776778272199E-2</v>
      </c>
      <c r="AN28">
        <v>-2.6608052432249799E-2</v>
      </c>
      <c r="AO28">
        <v>4.0565643850678498E-2</v>
      </c>
      <c r="AP28">
        <v>1.1608636980266101E-3</v>
      </c>
    </row>
    <row r="29" spans="1:42" x14ac:dyDescent="0.2">
      <c r="A29">
        <v>229</v>
      </c>
      <c r="B29">
        <v>782</v>
      </c>
      <c r="C29">
        <v>100</v>
      </c>
      <c r="D29">
        <v>0.50326541250059598</v>
      </c>
      <c r="E29">
        <v>7.1218712221982006E-2</v>
      </c>
      <c r="F29">
        <v>3.5194925427730799</v>
      </c>
      <c r="G29">
        <v>-0.94417691614322863</v>
      </c>
      <c r="H29">
        <v>-0.79713979915696132</v>
      </c>
      <c r="I29">
        <v>0.139351861807579</v>
      </c>
      <c r="J29">
        <v>8.11388402377346E-2</v>
      </c>
      <c r="K29">
        <v>2.0235505930598498E-2</v>
      </c>
      <c r="L29">
        <v>4.4231724942967497E-5</v>
      </c>
      <c r="M29">
        <v>9.0086724778155467E-7</v>
      </c>
      <c r="N29" s="1">
        <v>8.4949091472544399E-11</v>
      </c>
      <c r="O29" s="1">
        <v>2.0526312449690399E-14</v>
      </c>
      <c r="P29" s="1">
        <v>2.1368433847962699E-13</v>
      </c>
      <c r="Q29">
        <v>51.040007912479702</v>
      </c>
      <c r="R29">
        <v>1.4267064991755601E-2</v>
      </c>
      <c r="S29">
        <v>1.4481613858476701</v>
      </c>
      <c r="T29">
        <v>0.51296320802125395</v>
      </c>
      <c r="V29">
        <v>28.9157450097075</v>
      </c>
      <c r="X29">
        <v>17.803879206264</v>
      </c>
      <c r="AA29">
        <v>0.249447306543436</v>
      </c>
      <c r="AB29">
        <v>1.5528906144557901E-2</v>
      </c>
      <c r="AJ29">
        <v>-0.95836037682214503</v>
      </c>
      <c r="AK29">
        <v>0.98858071628667898</v>
      </c>
      <c r="AL29">
        <v>0.92860747197995397</v>
      </c>
      <c r="AM29">
        <v>2.5193025070475598E-2</v>
      </c>
      <c r="AN29">
        <v>-2.43690251343943E-2</v>
      </c>
      <c r="AO29">
        <v>3.9191997802133699E-2</v>
      </c>
      <c r="AP29">
        <v>1.1561908172967501E-3</v>
      </c>
    </row>
    <row r="30" spans="1:42" x14ac:dyDescent="0.2">
      <c r="A30">
        <v>230</v>
      </c>
      <c r="B30">
        <v>781</v>
      </c>
      <c r="C30">
        <v>100</v>
      </c>
      <c r="D30">
        <v>0.50272779016268998</v>
      </c>
      <c r="E30">
        <v>0.13324768281013</v>
      </c>
      <c r="F30">
        <v>3.5152782877469702</v>
      </c>
      <c r="G30">
        <v>-1.7712239839802935</v>
      </c>
      <c r="H30">
        <v>-1.4963501662063363</v>
      </c>
      <c r="I30">
        <v>0.26075398925575699</v>
      </c>
      <c r="J30">
        <v>0.15199101988949201</v>
      </c>
      <c r="K30">
        <v>3.79053013454397E-2</v>
      </c>
      <c r="L30">
        <v>4.416814147361709E-5</v>
      </c>
      <c r="M30">
        <v>8.9955611938862496E-7</v>
      </c>
      <c r="N30" s="1">
        <v>1.6148461499119099E-10</v>
      </c>
      <c r="O30" s="1">
        <v>3.8853468104550898E-14</v>
      </c>
      <c r="P30" s="1">
        <v>3.8182177025966101E-13</v>
      </c>
      <c r="Q30">
        <v>51.1145664471929</v>
      </c>
      <c r="R30">
        <v>1.6300439016466099E-2</v>
      </c>
      <c r="S30">
        <v>1.4670717398915201</v>
      </c>
      <c r="T30">
        <v>0.50098448350274205</v>
      </c>
      <c r="V30">
        <v>28.609857764669499</v>
      </c>
      <c r="X30">
        <v>18.0271069843416</v>
      </c>
      <c r="AA30">
        <v>0.24856767639056301</v>
      </c>
      <c r="AB30">
        <v>1.5544464994451401E-2</v>
      </c>
      <c r="AJ30">
        <v>-0.94738172583743296</v>
      </c>
      <c r="AK30">
        <v>0.98863379892556202</v>
      </c>
      <c r="AL30">
        <v>0.91732736670250203</v>
      </c>
      <c r="AM30">
        <v>2.58111731392748E-2</v>
      </c>
      <c r="AN30">
        <v>-2.4871227573296802E-2</v>
      </c>
      <c r="AO30">
        <v>3.9325100425247297E-2</v>
      </c>
      <c r="AP30">
        <v>1.15551421814217E-3</v>
      </c>
    </row>
    <row r="31" spans="1:42" x14ac:dyDescent="0.2">
      <c r="A31">
        <v>231</v>
      </c>
      <c r="B31">
        <v>780</v>
      </c>
      <c r="C31">
        <v>100</v>
      </c>
      <c r="D31">
        <v>0.50218914684517901</v>
      </c>
      <c r="E31">
        <v>0.16600360380846901</v>
      </c>
      <c r="F31">
        <v>3.5128462833285101</v>
      </c>
      <c r="G31">
        <v>-2.2102031619905169</v>
      </c>
      <c r="H31">
        <v>-1.8681274050743688</v>
      </c>
      <c r="I31">
        <v>0.32481199916075298</v>
      </c>
      <c r="J31">
        <v>0.189494087573646</v>
      </c>
      <c r="K31">
        <v>4.7256153676948597E-2</v>
      </c>
      <c r="L31">
        <v>4.4125362900620594E-5</v>
      </c>
      <c r="M31">
        <v>8.9872423882118808E-7</v>
      </c>
      <c r="N31" s="1">
        <v>2.03571527005868E-10</v>
      </c>
      <c r="O31" s="1">
        <v>4.8862729721280202E-14</v>
      </c>
      <c r="P31" s="1">
        <v>4.4661631801186501E-13</v>
      </c>
      <c r="Q31">
        <v>51.149823105057401</v>
      </c>
      <c r="R31">
        <v>1.7867671614508199E-2</v>
      </c>
      <c r="S31">
        <v>1.4971311362431099</v>
      </c>
      <c r="T31">
        <v>0.49523971520781601</v>
      </c>
      <c r="V31">
        <v>28.4183130140046</v>
      </c>
      <c r="X31">
        <v>18.163032043242801</v>
      </c>
      <c r="AA31">
        <v>0.24308349276382901</v>
      </c>
      <c r="AB31">
        <v>1.5509821865767799E-2</v>
      </c>
      <c r="AJ31">
        <v>-0.94116961082718897</v>
      </c>
      <c r="AK31">
        <v>0.98887275053999901</v>
      </c>
      <c r="AL31">
        <v>0.91027803634898996</v>
      </c>
      <c r="AM31">
        <v>2.6593137203860601E-2</v>
      </c>
      <c r="AN31">
        <v>-2.5563845473805101E-2</v>
      </c>
      <c r="AO31">
        <v>3.9837741837207098E-2</v>
      </c>
      <c r="AP31">
        <v>1.15179037093711E-3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4E12B-5C24-4272-BD1A-0853E7DF350C}">
  <sheetPr codeName="Sheet9"/>
  <dimension ref="A1:AL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29</v>
      </c>
      <c r="B2">
        <v>735</v>
      </c>
      <c r="C2">
        <v>300</v>
      </c>
      <c r="D2">
        <v>0.25862272479293502</v>
      </c>
      <c r="E2">
        <v>1.0860901763776301</v>
      </c>
      <c r="F2">
        <v>2.2588114407447502</v>
      </c>
      <c r="G2">
        <v>-18.005949986743303</v>
      </c>
      <c r="H2">
        <v>-15.228329024800075</v>
      </c>
      <c r="I2">
        <v>2.7551663561406801</v>
      </c>
      <c r="J2">
        <v>1.6841408845114101</v>
      </c>
      <c r="K2">
        <v>0.480823745084069</v>
      </c>
      <c r="L2">
        <v>1.2464071441427716E-5</v>
      </c>
      <c r="M2">
        <v>1.5426599334056846E-6</v>
      </c>
      <c r="N2">
        <v>0</v>
      </c>
      <c r="O2" s="1">
        <v>1.2198832933635901E-12</v>
      </c>
      <c r="P2">
        <v>0</v>
      </c>
      <c r="Q2">
        <v>55.020240388076502</v>
      </c>
      <c r="S2">
        <v>23.341930154283201</v>
      </c>
      <c r="AB2">
        <v>14.1159763580035</v>
      </c>
      <c r="AC2">
        <v>0.110684738181174</v>
      </c>
      <c r="AE2">
        <v>7.41116836145539</v>
      </c>
      <c r="AJ2">
        <v>5.1323903306157003E-3</v>
      </c>
      <c r="AK2">
        <v>0.89849592023767799</v>
      </c>
      <c r="AL2">
        <v>9.6371689431705404E-2</v>
      </c>
    </row>
    <row r="3" spans="1:38" x14ac:dyDescent="0.2">
      <c r="A3">
        <v>30</v>
      </c>
      <c r="B3">
        <v>734</v>
      </c>
      <c r="C3">
        <v>300</v>
      </c>
      <c r="D3">
        <v>0.25781710768008598</v>
      </c>
      <c r="E3">
        <v>3.6437625050174698</v>
      </c>
      <c r="F3">
        <v>2.2588307363625502</v>
      </c>
      <c r="G3">
        <v>-60.400526838979694</v>
      </c>
      <c r="H3">
        <v>-51.096200499131655</v>
      </c>
      <c r="I3">
        <v>9.2382726901137193</v>
      </c>
      <c r="J3">
        <v>5.6489661306629104</v>
      </c>
      <c r="K3">
        <v>1.6131188788785</v>
      </c>
      <c r="L3">
        <v>1.2464226796440966E-5</v>
      </c>
      <c r="M3">
        <v>1.5426791614689642E-6</v>
      </c>
      <c r="N3">
        <v>0</v>
      </c>
      <c r="O3" s="1">
        <v>4.0926458353752096E-12</v>
      </c>
      <c r="P3">
        <v>0</v>
      </c>
      <c r="Q3">
        <v>55.017941986220997</v>
      </c>
      <c r="S3">
        <v>23.3409550742908</v>
      </c>
      <c r="AB3">
        <v>14.1160148545182</v>
      </c>
      <c r="AC3">
        <v>0.109725336789817</v>
      </c>
      <c r="AE3">
        <v>7.4153627481799598</v>
      </c>
      <c r="AJ3">
        <v>5.0881159663480101E-3</v>
      </c>
      <c r="AK3">
        <v>0.89904198472360597</v>
      </c>
      <c r="AL3">
        <v>9.5869899310045303E-2</v>
      </c>
    </row>
    <row r="4" spans="1:38" x14ac:dyDescent="0.2">
      <c r="A4">
        <v>31</v>
      </c>
      <c r="B4">
        <v>733</v>
      </c>
      <c r="C4">
        <v>300</v>
      </c>
      <c r="D4">
        <v>0.257009889181535</v>
      </c>
      <c r="E4">
        <v>4.2965939024736501</v>
      </c>
      <c r="F4">
        <v>2.2588500819177302</v>
      </c>
      <c r="G4">
        <v>-71.212377170909193</v>
      </c>
      <c r="H4">
        <v>-60.258040384325142</v>
      </c>
      <c r="I4">
        <v>10.887379403254</v>
      </c>
      <c r="J4">
        <v>6.6596166462651798</v>
      </c>
      <c r="K4">
        <v>1.9021155661760001</v>
      </c>
      <c r="L4">
        <v>1.2464382155327028E-5</v>
      </c>
      <c r="M4">
        <v>1.5426983900115757E-6</v>
      </c>
      <c r="N4">
        <v>0</v>
      </c>
      <c r="O4" s="1">
        <v>4.8259198274450801E-12</v>
      </c>
      <c r="P4">
        <v>0</v>
      </c>
      <c r="Q4">
        <v>55.015648282388398</v>
      </c>
      <c r="S4">
        <v>23.339981987399899</v>
      </c>
      <c r="AB4">
        <v>14.1160508669946</v>
      </c>
      <c r="AC4">
        <v>0.10877155240614</v>
      </c>
      <c r="AE4">
        <v>7.4195473108107501</v>
      </c>
      <c r="AJ4">
        <v>5.0440979513353499E-3</v>
      </c>
      <c r="AK4">
        <v>0.89958682688867098</v>
      </c>
      <c r="AL4">
        <v>9.5369075159992905E-2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4DC8-E339-44C9-B510-7B99D70A288A}">
  <sheetPr codeName="Sheet10"/>
  <dimension ref="A1:AL12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27</v>
      </c>
      <c r="B2">
        <v>737</v>
      </c>
      <c r="C2">
        <v>300</v>
      </c>
      <c r="D2">
        <v>0.260229173885068</v>
      </c>
      <c r="E2">
        <v>2.31614814454257</v>
      </c>
      <c r="F2">
        <v>2.5265611858445598</v>
      </c>
      <c r="G2">
        <v>-36.392706352840356</v>
      </c>
      <c r="H2">
        <v>-31.608618107202901</v>
      </c>
      <c r="I2">
        <v>4.7360176663242601</v>
      </c>
      <c r="J2">
        <v>2.76158699393998</v>
      </c>
      <c r="K2">
        <v>0.91671959401543002</v>
      </c>
      <c r="L2">
        <v>2.8831969461819977E-5</v>
      </c>
      <c r="M2">
        <v>1.7909730059563751E-6</v>
      </c>
      <c r="N2" s="1">
        <v>-2.8414734762444801E-8</v>
      </c>
      <c r="O2" s="1">
        <v>8.6828066454271993E-12</v>
      </c>
      <c r="P2" s="1">
        <v>1.0032947583433199E-10</v>
      </c>
      <c r="Q2">
        <v>65.982729360855899</v>
      </c>
      <c r="S2">
        <v>18.927552416638601</v>
      </c>
      <c r="AA2">
        <v>0.21925669170089701</v>
      </c>
      <c r="AB2">
        <v>4.3249367946680604</v>
      </c>
      <c r="AC2">
        <v>10.5455247361364</v>
      </c>
      <c r="AJ2">
        <v>0.37990424882145601</v>
      </c>
      <c r="AK2">
        <v>1.06428522460306E-2</v>
      </c>
      <c r="AL2">
        <v>0.60945289893251198</v>
      </c>
    </row>
    <row r="3" spans="1:38" x14ac:dyDescent="0.2">
      <c r="A3">
        <v>28</v>
      </c>
      <c r="B3">
        <v>736</v>
      </c>
      <c r="C3">
        <v>300</v>
      </c>
      <c r="D3">
        <v>0.25942674528068399</v>
      </c>
      <c r="E3">
        <v>7.7362560636442197</v>
      </c>
      <c r="F3">
        <v>2.5272442483713098</v>
      </c>
      <c r="G3">
        <v>-121.64904129352217</v>
      </c>
      <c r="H3">
        <v>-105.67695648635907</v>
      </c>
      <c r="I3">
        <v>15.827265329398999</v>
      </c>
      <c r="J3">
        <v>9.2400542315540992</v>
      </c>
      <c r="K3">
        <v>3.0611430092797098</v>
      </c>
      <c r="L3">
        <v>2.9027735881681205E-5</v>
      </c>
      <c r="M3">
        <v>1.7928572089936967E-6</v>
      </c>
      <c r="N3" s="1">
        <v>-1.03503671124637E-7</v>
      </c>
      <c r="O3" s="1">
        <v>2.8880184662027299E-11</v>
      </c>
      <c r="P3" s="1">
        <v>3.5985843180109502E-10</v>
      </c>
      <c r="Q3">
        <v>66.019001989710105</v>
      </c>
      <c r="S3">
        <v>18.968549483638899</v>
      </c>
      <c r="AA3">
        <v>0.244615969688007</v>
      </c>
      <c r="AB3">
        <v>4.5132475443326303</v>
      </c>
      <c r="AC3">
        <v>10.2545850126302</v>
      </c>
      <c r="AJ3">
        <v>0.396066073709955</v>
      </c>
      <c r="AK3">
        <v>1.18624415452903E-2</v>
      </c>
      <c r="AL3">
        <v>0.59207148474475302</v>
      </c>
    </row>
    <row r="4" spans="1:38" x14ac:dyDescent="0.2">
      <c r="A4">
        <v>29</v>
      </c>
      <c r="B4">
        <v>735</v>
      </c>
      <c r="C4">
        <v>300</v>
      </c>
      <c r="D4">
        <v>0.25862272479293502</v>
      </c>
      <c r="E4">
        <v>14.703994291712201</v>
      </c>
      <c r="F4">
        <v>2.5272419128810699</v>
      </c>
      <c r="G4">
        <v>-231.14204255708853</v>
      </c>
      <c r="H4">
        <v>-200.83903787009578</v>
      </c>
      <c r="I4">
        <v>30.058031728406199</v>
      </c>
      <c r="J4">
        <v>17.562782105557101</v>
      </c>
      <c r="K4">
        <v>5.8181981775340299</v>
      </c>
      <c r="L4">
        <v>2.9026293110358447E-5</v>
      </c>
      <c r="M4">
        <v>1.7925769290573664E-6</v>
      </c>
      <c r="N4" s="1">
        <v>-2.01580791505745E-7</v>
      </c>
      <c r="O4" s="1">
        <v>5.4867810163040901E-11</v>
      </c>
      <c r="P4" s="1">
        <v>6.9758334159739203E-10</v>
      </c>
      <c r="Q4">
        <v>66.006926484517805</v>
      </c>
      <c r="S4">
        <v>18.963411836458398</v>
      </c>
      <c r="AA4">
        <v>0.243195012212747</v>
      </c>
      <c r="AB4">
        <v>4.4728689184510104</v>
      </c>
      <c r="AC4">
        <v>10.3135977483599</v>
      </c>
      <c r="AJ4">
        <v>0.39260313815369002</v>
      </c>
      <c r="AK4">
        <v>1.17959534384452E-2</v>
      </c>
      <c r="AL4">
        <v>0.59560090840786295</v>
      </c>
    </row>
    <row r="5" spans="1:38" x14ac:dyDescent="0.2">
      <c r="A5">
        <v>30</v>
      </c>
      <c r="B5">
        <v>734</v>
      </c>
      <c r="C5">
        <v>300</v>
      </c>
      <c r="D5">
        <v>0.25781710768008598</v>
      </c>
      <c r="E5">
        <v>33.031331562929999</v>
      </c>
      <c r="F5">
        <v>2.5272429937545402</v>
      </c>
      <c r="G5">
        <v>-519.08257912875843</v>
      </c>
      <c r="H5">
        <v>-451.13157776858566</v>
      </c>
      <c r="I5">
        <v>67.468600863995206</v>
      </c>
      <c r="J5">
        <v>39.455035085483203</v>
      </c>
      <c r="K5">
        <v>13.070105108435801</v>
      </c>
      <c r="L5">
        <v>2.9025802881630379E-5</v>
      </c>
      <c r="M5">
        <v>1.7923049234723218E-6</v>
      </c>
      <c r="N5" s="1">
        <v>-4.6402645639143199E-7</v>
      </c>
      <c r="O5" s="1">
        <v>1.2320054298078E-10</v>
      </c>
      <c r="P5" s="1">
        <v>1.5984128623634401E-9</v>
      </c>
      <c r="Q5">
        <v>65.9949872661943</v>
      </c>
      <c r="S5">
        <v>18.958349463001401</v>
      </c>
      <c r="AA5">
        <v>0.241804355652359</v>
      </c>
      <c r="AB5">
        <v>4.4329913404012702</v>
      </c>
      <c r="AC5">
        <v>10.371867574750601</v>
      </c>
      <c r="AJ5">
        <v>0.38918177803995901</v>
      </c>
      <c r="AK5">
        <v>1.17308781805226E-2</v>
      </c>
      <c r="AL5">
        <v>0.599087343779517</v>
      </c>
    </row>
    <row r="6" spans="1:38" x14ac:dyDescent="0.2">
      <c r="A6">
        <v>31</v>
      </c>
      <c r="B6">
        <v>733</v>
      </c>
      <c r="C6">
        <v>300</v>
      </c>
      <c r="D6">
        <v>0.257009889181535</v>
      </c>
      <c r="E6">
        <v>35.600128432895403</v>
      </c>
      <c r="F6">
        <v>2.52724749337726</v>
      </c>
      <c r="G6">
        <v>-559.28088946168452</v>
      </c>
      <c r="H6">
        <v>-486.17691461434765</v>
      </c>
      <c r="I6">
        <v>72.657133476456593</v>
      </c>
      <c r="J6">
        <v>42.525654567133699</v>
      </c>
      <c r="K6">
        <v>14.0865224028064</v>
      </c>
      <c r="L6">
        <v>2.9026444735191341E-5</v>
      </c>
      <c r="M6">
        <v>1.792043344034973E-6</v>
      </c>
      <c r="N6" s="1">
        <v>-5.1250650248350201E-7</v>
      </c>
      <c r="O6" s="1">
        <v>1.3271878428211499E-10</v>
      </c>
      <c r="P6" s="1">
        <v>1.75739873892961E-9</v>
      </c>
      <c r="Q6">
        <v>65.983249973280707</v>
      </c>
      <c r="S6">
        <v>18.9533707527419</v>
      </c>
      <c r="AA6">
        <v>0.24043560555271701</v>
      </c>
      <c r="AB6">
        <v>4.3937830762501902</v>
      </c>
      <c r="AC6">
        <v>10.4291605921743</v>
      </c>
      <c r="AJ6">
        <v>0.38581649027390502</v>
      </c>
      <c r="AK6">
        <v>1.1666799822077601E-2</v>
      </c>
      <c r="AL6">
        <v>0.60251670990401696</v>
      </c>
    </row>
    <row r="7" spans="1:38" x14ac:dyDescent="0.2">
      <c r="A7">
        <v>55</v>
      </c>
      <c r="B7">
        <v>740</v>
      </c>
      <c r="C7">
        <v>280</v>
      </c>
      <c r="D7">
        <v>0.28434141045255101</v>
      </c>
      <c r="E7">
        <v>0.71384751942802205</v>
      </c>
      <c r="F7">
        <v>2.5259707666165201</v>
      </c>
      <c r="G7">
        <v>-11.237517411002067</v>
      </c>
      <c r="H7">
        <v>-9.7540974625858841</v>
      </c>
      <c r="I7">
        <v>1.46416616336789</v>
      </c>
      <c r="J7">
        <v>0.85155347985363505</v>
      </c>
      <c r="K7">
        <v>0.28260323866859399</v>
      </c>
      <c r="L7">
        <v>2.8893457513525938E-5</v>
      </c>
      <c r="M7">
        <v>1.7939266394304669E-6</v>
      </c>
      <c r="N7" s="1">
        <v>-8.1877121687754799E-9</v>
      </c>
      <c r="O7" s="1">
        <v>2.6760882112107198E-12</v>
      </c>
      <c r="P7" s="1">
        <v>2.9328125689912401E-11</v>
      </c>
      <c r="Q7">
        <v>66.036370071009998</v>
      </c>
      <c r="S7">
        <v>18.964308444746202</v>
      </c>
      <c r="AA7">
        <v>0.23706446484236399</v>
      </c>
      <c r="AB7">
        <v>4.5408329474402702</v>
      </c>
      <c r="AC7">
        <v>10.221424071961</v>
      </c>
      <c r="AJ7">
        <v>0.39843109970863999</v>
      </c>
      <c r="AK7">
        <v>1.1494628907823001E-2</v>
      </c>
      <c r="AL7">
        <v>0.59007427138353596</v>
      </c>
    </row>
    <row r="8" spans="1:38" x14ac:dyDescent="0.2">
      <c r="A8">
        <v>56</v>
      </c>
      <c r="B8">
        <v>739</v>
      </c>
      <c r="C8">
        <v>280</v>
      </c>
      <c r="D8">
        <v>0.28356518302623301</v>
      </c>
      <c r="E8">
        <v>8.4480918246280101</v>
      </c>
      <c r="F8">
        <v>2.5264600448351899</v>
      </c>
      <c r="G8">
        <v>-133.05398337030121</v>
      </c>
      <c r="H8">
        <v>-115.51289330778972</v>
      </c>
      <c r="I8">
        <v>17.3305241935597</v>
      </c>
      <c r="J8">
        <v>10.090056060561301</v>
      </c>
      <c r="K8">
        <v>3.3438454100623201</v>
      </c>
      <c r="L8">
        <v>2.9032875063999149E-5</v>
      </c>
      <c r="M8">
        <v>1.7953221920859904E-6</v>
      </c>
      <c r="N8" s="1">
        <v>-1.03875189056199E-7</v>
      </c>
      <c r="O8" s="1">
        <v>3.1576552703653301E-11</v>
      </c>
      <c r="P8" s="1">
        <v>3.6718105694927899E-10</v>
      </c>
      <c r="Q8">
        <v>66.063849717622901</v>
      </c>
      <c r="S8">
        <v>18.990136355485799</v>
      </c>
      <c r="AA8">
        <v>0.25196075579292398</v>
      </c>
      <c r="AB8">
        <v>4.66978109237869</v>
      </c>
      <c r="AC8">
        <v>10.0242720787195</v>
      </c>
      <c r="AJ8">
        <v>0.40947720451812297</v>
      </c>
      <c r="AK8">
        <v>1.2208910218545799E-2</v>
      </c>
      <c r="AL8">
        <v>0.57831388526333005</v>
      </c>
    </row>
    <row r="9" spans="1:38" x14ac:dyDescent="0.2">
      <c r="A9">
        <v>57</v>
      </c>
      <c r="B9">
        <v>738</v>
      </c>
      <c r="C9">
        <v>280</v>
      </c>
      <c r="D9">
        <v>0.28278742026405701</v>
      </c>
      <c r="E9">
        <v>20.719645261933099</v>
      </c>
      <c r="F9">
        <v>2.5265548052228</v>
      </c>
      <c r="G9">
        <v>-326.3598501675711</v>
      </c>
      <c r="H9">
        <v>-283.3931785563293</v>
      </c>
      <c r="I9">
        <v>42.492876043358301</v>
      </c>
      <c r="J9">
        <v>24.764699680665402</v>
      </c>
      <c r="K9">
        <v>8.2007503732363904</v>
      </c>
      <c r="L9">
        <v>2.9117992357899473E-5</v>
      </c>
      <c r="M9">
        <v>1.7962661523334954E-6</v>
      </c>
      <c r="N9" s="1">
        <v>-2.6780006727672999E-7</v>
      </c>
      <c r="O9" s="1">
        <v>7.7317161381610696E-11</v>
      </c>
      <c r="P9" s="1">
        <v>9.3786775636744806E-10</v>
      </c>
      <c r="Q9">
        <v>66.088349516914903</v>
      </c>
      <c r="S9">
        <v>18.991213098655599</v>
      </c>
      <c r="AA9">
        <v>0.247132386701854</v>
      </c>
      <c r="AB9">
        <v>4.7272004036798796</v>
      </c>
      <c r="AC9">
        <v>9.9461045940476698</v>
      </c>
      <c r="AJ9">
        <v>0.41439137388090402</v>
      </c>
      <c r="AK9">
        <v>1.1971460753452901E-2</v>
      </c>
      <c r="AL9">
        <v>0.57363716536564202</v>
      </c>
    </row>
    <row r="10" spans="1:38" x14ac:dyDescent="0.2">
      <c r="A10">
        <v>58</v>
      </c>
      <c r="B10">
        <v>737</v>
      </c>
      <c r="C10">
        <v>280</v>
      </c>
      <c r="D10">
        <v>0.28200811760629901</v>
      </c>
      <c r="E10">
        <v>33.232603535550403</v>
      </c>
      <c r="F10">
        <v>2.5266607789000601</v>
      </c>
      <c r="G10">
        <v>-523.52125492218795</v>
      </c>
      <c r="H10">
        <v>-454.69149572739241</v>
      </c>
      <c r="I10">
        <v>68.138156902237895</v>
      </c>
      <c r="J10">
        <v>39.751978402908399</v>
      </c>
      <c r="K10">
        <v>13.1527761118837</v>
      </c>
      <c r="L10">
        <v>2.9210508027058104E-5</v>
      </c>
      <c r="M10">
        <v>1.797293507475444E-6</v>
      </c>
      <c r="N10" s="1">
        <v>-4.51950590044477E-7</v>
      </c>
      <c r="O10" s="1">
        <v>1.23790771350735E-10</v>
      </c>
      <c r="P10" s="1">
        <v>1.5684173201613301E-9</v>
      </c>
      <c r="Q10">
        <v>66.115038145828294</v>
      </c>
      <c r="S10">
        <v>18.992613883720601</v>
      </c>
      <c r="AA10">
        <v>0.24206062202336301</v>
      </c>
      <c r="AB10">
        <v>4.7903469223886201</v>
      </c>
      <c r="AC10">
        <v>9.8599404260390298</v>
      </c>
      <c r="AJ10">
        <v>0.41979239369963101</v>
      </c>
      <c r="AK10">
        <v>1.17220220472518E-2</v>
      </c>
      <c r="AL10">
        <v>0.56848558425311602</v>
      </c>
    </row>
    <row r="11" spans="1:38" x14ac:dyDescent="0.2">
      <c r="A11">
        <v>59</v>
      </c>
      <c r="B11">
        <v>736</v>
      </c>
      <c r="C11">
        <v>280</v>
      </c>
      <c r="D11">
        <v>0.281227270475152</v>
      </c>
      <c r="E11">
        <v>36.021430406123599</v>
      </c>
      <c r="F11">
        <v>2.5266942477544401</v>
      </c>
      <c r="G11">
        <v>-567.38510318535157</v>
      </c>
      <c r="H11">
        <v>-492.89502295296393</v>
      </c>
      <c r="I11">
        <v>73.814675947468203</v>
      </c>
      <c r="J11">
        <v>43.104036586287897</v>
      </c>
      <c r="K11">
        <v>14.256347177002899</v>
      </c>
      <c r="L11">
        <v>2.9250926968905134E-5</v>
      </c>
      <c r="M11">
        <v>1.7975762309032329E-6</v>
      </c>
      <c r="N11" s="1">
        <v>-5.0775626357191801E-7</v>
      </c>
      <c r="O11" s="1">
        <v>1.34038980304432E-10</v>
      </c>
      <c r="P11" s="1">
        <v>1.7507995354344099E-9</v>
      </c>
      <c r="Q11">
        <v>66.119754666329499</v>
      </c>
      <c r="S11">
        <v>18.990129431864101</v>
      </c>
      <c r="AA11">
        <v>0.23891038822302199</v>
      </c>
      <c r="AB11">
        <v>4.7943441218934097</v>
      </c>
      <c r="AC11">
        <v>9.8568613916897991</v>
      </c>
      <c r="AJ11">
        <v>0.42013419002187602</v>
      </c>
      <c r="AK11">
        <v>1.15692351040237E-2</v>
      </c>
      <c r="AL11">
        <v>0.56829657487409901</v>
      </c>
    </row>
    <row r="12" spans="1:38" x14ac:dyDescent="0.2">
      <c r="A12">
        <v>81</v>
      </c>
      <c r="B12">
        <v>742</v>
      </c>
      <c r="C12">
        <v>260</v>
      </c>
      <c r="D12">
        <v>0.30756095158350699</v>
      </c>
      <c r="E12">
        <v>9.6207699137561509</v>
      </c>
      <c r="F12">
        <v>2.52571796358923</v>
      </c>
      <c r="G12">
        <v>-151.76185070946201</v>
      </c>
      <c r="H12">
        <v>-131.67327851044112</v>
      </c>
      <c r="I12">
        <v>19.788772298695601</v>
      </c>
      <c r="J12">
        <v>11.490731278017</v>
      </c>
      <c r="K12">
        <v>3.8091228127800498</v>
      </c>
      <c r="L12">
        <v>2.9038929636362521E-5</v>
      </c>
      <c r="M12">
        <v>1.7977399911359745E-6</v>
      </c>
      <c r="N12" s="1">
        <v>-1.0848709973237501E-7</v>
      </c>
      <c r="O12" s="1">
        <v>3.6000003316839301E-11</v>
      </c>
      <c r="P12" s="1">
        <v>3.9039651517134798E-10</v>
      </c>
      <c r="Q12">
        <v>66.1058907429844</v>
      </c>
      <c r="S12">
        <v>19.012340658062101</v>
      </c>
      <c r="AA12">
        <v>0.260469834241709</v>
      </c>
      <c r="AB12">
        <v>4.8216787292068704</v>
      </c>
      <c r="AC12">
        <v>9.7996200355048799</v>
      </c>
      <c r="AJ12">
        <v>0.42247077434258101</v>
      </c>
      <c r="AK12">
        <v>1.2611496536730901E-2</v>
      </c>
      <c r="AL12">
        <v>0.56491772912068705</v>
      </c>
    </row>
    <row r="13" spans="1:38" x14ac:dyDescent="0.2">
      <c r="A13">
        <v>82</v>
      </c>
      <c r="B13">
        <v>741</v>
      </c>
      <c r="C13">
        <v>260</v>
      </c>
      <c r="D13">
        <v>0.30680915052014102</v>
      </c>
      <c r="E13">
        <v>24.155356838029501</v>
      </c>
      <c r="F13">
        <v>2.5257940225018798</v>
      </c>
      <c r="G13">
        <v>-381.03976510095629</v>
      </c>
      <c r="H13">
        <v>-330.67188397243751</v>
      </c>
      <c r="I13">
        <v>49.665119684976297</v>
      </c>
      <c r="J13">
        <v>28.865501549352501</v>
      </c>
      <c r="K13">
        <v>9.5634705850252892</v>
      </c>
      <c r="L13">
        <v>2.9100363406866888E-5</v>
      </c>
      <c r="M13">
        <v>1.7983961468752169E-6</v>
      </c>
      <c r="N13" s="1">
        <v>-2.8465279606472399E-7</v>
      </c>
      <c r="O13" s="1">
        <v>9.0273855556391405E-11</v>
      </c>
      <c r="P13" s="1">
        <v>1.01533850676927E-9</v>
      </c>
      <c r="Q13">
        <v>66.122063911876296</v>
      </c>
      <c r="S13">
        <v>19.011982455142</v>
      </c>
      <c r="AA13">
        <v>0.25640052530542501</v>
      </c>
      <c r="AB13">
        <v>4.8567806933875204</v>
      </c>
      <c r="AC13">
        <v>9.7527724142885805</v>
      </c>
      <c r="AJ13">
        <v>0.42547066130655598</v>
      </c>
      <c r="AK13">
        <v>1.2412258902428801E-2</v>
      </c>
      <c r="AL13">
        <v>0.562117079791014</v>
      </c>
    </row>
    <row r="14" spans="1:38" x14ac:dyDescent="0.2">
      <c r="A14">
        <v>83</v>
      </c>
      <c r="B14">
        <v>740</v>
      </c>
      <c r="C14">
        <v>260</v>
      </c>
      <c r="D14">
        <v>0.30605586537038199</v>
      </c>
      <c r="E14">
        <v>34.332374130138099</v>
      </c>
      <c r="F14">
        <v>2.5258509986513298</v>
      </c>
      <c r="G14">
        <v>-541.55026891728846</v>
      </c>
      <c r="H14">
        <v>-470.06578465003685</v>
      </c>
      <c r="I14">
        <v>70.556664133891005</v>
      </c>
      <c r="J14">
        <v>41.045091665949997</v>
      </c>
      <c r="K14">
        <v>13.592398818643501</v>
      </c>
      <c r="L14">
        <v>2.9150952053778767E-5</v>
      </c>
      <c r="M14">
        <v>1.798880467234031E-6</v>
      </c>
      <c r="N14" s="1">
        <v>-4.2122110296440502E-7</v>
      </c>
      <c r="O14" s="1">
        <v>1.28163901938167E-10</v>
      </c>
      <c r="P14" s="1">
        <v>1.4906680680554099E-9</v>
      </c>
      <c r="Q14">
        <v>66.133079755523994</v>
      </c>
      <c r="S14">
        <v>19.0106248191798</v>
      </c>
      <c r="AA14">
        <v>0.25271006521655798</v>
      </c>
      <c r="AB14">
        <v>4.8777696911308004</v>
      </c>
      <c r="AC14">
        <v>9.7258156689486892</v>
      </c>
      <c r="AJ14">
        <v>0.42726392661243201</v>
      </c>
      <c r="AK14">
        <v>1.2232304028795601E-2</v>
      </c>
      <c r="AL14">
        <v>0.560503769358771</v>
      </c>
    </row>
    <row r="15" spans="1:38" x14ac:dyDescent="0.2">
      <c r="A15">
        <v>84</v>
      </c>
      <c r="B15">
        <v>739</v>
      </c>
      <c r="C15">
        <v>260</v>
      </c>
      <c r="D15">
        <v>0.30530109173541498</v>
      </c>
      <c r="E15">
        <v>36.620468419328901</v>
      </c>
      <c r="F15">
        <v>2.5258703362639698</v>
      </c>
      <c r="G15">
        <v>-577.54845729419469</v>
      </c>
      <c r="H15">
        <v>-501.42144555158688</v>
      </c>
      <c r="I15">
        <v>75.213171706375405</v>
      </c>
      <c r="J15">
        <v>43.792290886942403</v>
      </c>
      <c r="K15">
        <v>14.4981584737617</v>
      </c>
      <c r="L15">
        <v>2.9179446371296746E-5</v>
      </c>
      <c r="M15">
        <v>1.7990349869621686E-6</v>
      </c>
      <c r="N15" s="1">
        <v>-4.6466172561832398E-7</v>
      </c>
      <c r="O15" s="1">
        <v>1.3659257972559801E-10</v>
      </c>
      <c r="P15" s="1">
        <v>1.63371977789135E-9</v>
      </c>
      <c r="Q15">
        <v>66.134380854062996</v>
      </c>
      <c r="S15">
        <v>19.007448096083301</v>
      </c>
      <c r="AA15">
        <v>0.24978564257797201</v>
      </c>
      <c r="AB15">
        <v>4.87234092686308</v>
      </c>
      <c r="AC15">
        <v>9.7360444804125397</v>
      </c>
      <c r="AJ15">
        <v>0.42680017479371202</v>
      </c>
      <c r="AK15">
        <v>1.2091082426154901E-2</v>
      </c>
      <c r="AL15">
        <v>0.56110874278013201</v>
      </c>
    </row>
    <row r="16" spans="1:38" x14ac:dyDescent="0.2">
      <c r="A16">
        <v>101</v>
      </c>
      <c r="B16">
        <v>747</v>
      </c>
      <c r="C16">
        <v>240</v>
      </c>
      <c r="D16">
        <v>0.33286330441601902</v>
      </c>
      <c r="E16">
        <v>0.88336525739916105</v>
      </c>
      <c r="F16">
        <v>2.5688937887707102</v>
      </c>
      <c r="G16">
        <v>-14.279073436659635</v>
      </c>
      <c r="H16">
        <v>-12.391541469112846</v>
      </c>
      <c r="I16">
        <v>1.8502494413045001</v>
      </c>
      <c r="J16">
        <v>1.08303316286958</v>
      </c>
      <c r="K16">
        <v>0.34386990278094598</v>
      </c>
      <c r="L16">
        <v>3.1965198320523852E-5</v>
      </c>
      <c r="M16">
        <v>1.820385389762959E-6</v>
      </c>
      <c r="N16" s="1">
        <v>-1.7405904388145999E-8</v>
      </c>
      <c r="O16" s="1">
        <v>3.0213515995340299E-12</v>
      </c>
      <c r="P16" s="1">
        <v>5.7870427693123797E-11</v>
      </c>
      <c r="Q16">
        <v>65.607370977868598</v>
      </c>
      <c r="S16">
        <v>21.059282223265999</v>
      </c>
      <c r="AA16">
        <v>2.0655403565280901</v>
      </c>
      <c r="AB16">
        <v>9.0770775959482002</v>
      </c>
      <c r="AC16">
        <v>2.1907288463890602</v>
      </c>
      <c r="AJ16">
        <v>0.77849114178582002</v>
      </c>
      <c r="AK16">
        <v>9.7893104627461605E-2</v>
      </c>
      <c r="AL16">
        <v>0.123615753586717</v>
      </c>
    </row>
    <row r="17" spans="1:38" x14ac:dyDescent="0.2">
      <c r="A17">
        <v>102</v>
      </c>
      <c r="B17">
        <v>746</v>
      </c>
      <c r="C17">
        <v>240</v>
      </c>
      <c r="D17">
        <v>0.33214001864298798</v>
      </c>
      <c r="E17">
        <v>3.4067619219779699</v>
      </c>
      <c r="F17">
        <v>2.5671233543651102</v>
      </c>
      <c r="G17">
        <v>-55.030263554146785</v>
      </c>
      <c r="H17">
        <v>-47.76187760349351</v>
      </c>
      <c r="I17">
        <v>7.1318117555347902</v>
      </c>
      <c r="J17">
        <v>4.1771798403055103</v>
      </c>
      <c r="K17">
        <v>1.3270737131447601</v>
      </c>
      <c r="L17">
        <v>3.2001270820608378E-5</v>
      </c>
      <c r="M17">
        <v>1.8221026450517144E-6</v>
      </c>
      <c r="N17" s="1">
        <v>-6.8784539394682094E-8</v>
      </c>
      <c r="O17" s="1">
        <v>1.1675025179751999E-11</v>
      </c>
      <c r="P17" s="1">
        <v>2.2786129684333299E-10</v>
      </c>
      <c r="Q17">
        <v>65.707676302320195</v>
      </c>
      <c r="S17">
        <v>20.951773210080901</v>
      </c>
      <c r="AA17">
        <v>1.953439443647</v>
      </c>
      <c r="AB17">
        <v>9.0187537781421092</v>
      </c>
      <c r="AC17">
        <v>2.3683572658096801</v>
      </c>
      <c r="AJ17">
        <v>0.77371492636129602</v>
      </c>
      <c r="AK17">
        <v>9.2607292654266093E-2</v>
      </c>
      <c r="AL17">
        <v>0.133677780984436</v>
      </c>
    </row>
    <row r="18" spans="1:38" x14ac:dyDescent="0.2">
      <c r="A18">
        <v>103</v>
      </c>
      <c r="B18">
        <v>745</v>
      </c>
      <c r="C18">
        <v>240</v>
      </c>
      <c r="D18">
        <v>0.33141531208564601</v>
      </c>
      <c r="E18">
        <v>7.2463403480052602</v>
      </c>
      <c r="F18">
        <v>2.56730955449778</v>
      </c>
      <c r="G18">
        <v>-117.0418261716957</v>
      </c>
      <c r="H18">
        <v>-101.60559196909612</v>
      </c>
      <c r="I18">
        <v>15.161060946421999</v>
      </c>
      <c r="J18">
        <v>8.8898235324717003</v>
      </c>
      <c r="K18">
        <v>2.8225425077042501</v>
      </c>
      <c r="L18">
        <v>3.2060017976593177E-5</v>
      </c>
      <c r="M18">
        <v>1.822347568995735E-6</v>
      </c>
      <c r="N18" s="1">
        <v>-1.51148677841144E-7</v>
      </c>
      <c r="O18" s="1">
        <v>2.4789041999586299E-11</v>
      </c>
      <c r="P18" s="1">
        <v>4.9850947884367102E-10</v>
      </c>
      <c r="Q18">
        <v>65.705240249317001</v>
      </c>
      <c r="S18">
        <v>20.9566060659164</v>
      </c>
      <c r="AA18">
        <v>1.95799501886109</v>
      </c>
      <c r="AB18">
        <v>9.0259951245272401</v>
      </c>
      <c r="AC18">
        <v>2.3541635413781901</v>
      </c>
      <c r="AJ18">
        <v>0.774308237105088</v>
      </c>
      <c r="AK18">
        <v>9.2819913140468793E-2</v>
      </c>
      <c r="AL18">
        <v>0.132871849754442</v>
      </c>
    </row>
    <row r="19" spans="1:38" x14ac:dyDescent="0.2">
      <c r="A19">
        <v>104</v>
      </c>
      <c r="B19">
        <v>744</v>
      </c>
      <c r="C19">
        <v>240</v>
      </c>
      <c r="D19">
        <v>0.33068918055350899</v>
      </c>
      <c r="E19">
        <v>15.901903110182699</v>
      </c>
      <c r="F19">
        <v>2.5671621921313799</v>
      </c>
      <c r="G19">
        <v>-256.80715602083933</v>
      </c>
      <c r="H19">
        <v>-222.98426526854095</v>
      </c>
      <c r="I19">
        <v>33.252608516244699</v>
      </c>
      <c r="J19">
        <v>19.5195876640013</v>
      </c>
      <c r="K19">
        <v>6.1943507733651098</v>
      </c>
      <c r="L19">
        <v>3.2130866045765625E-5</v>
      </c>
      <c r="M19">
        <v>1.8231711700999334E-6</v>
      </c>
      <c r="N19" s="1">
        <v>-3.4279694911630898E-7</v>
      </c>
      <c r="O19" s="1">
        <v>5.4331281819729199E-11</v>
      </c>
      <c r="P19" s="1">
        <v>1.1256678270418E-9</v>
      </c>
      <c r="Q19">
        <v>65.731052352008007</v>
      </c>
      <c r="S19">
        <v>20.9383523594834</v>
      </c>
      <c r="AA19">
        <v>1.93691262286194</v>
      </c>
      <c r="AB19">
        <v>9.0356615468265105</v>
      </c>
      <c r="AC19">
        <v>2.3580211188201101</v>
      </c>
      <c r="AJ19">
        <v>0.77510062842891203</v>
      </c>
      <c r="AK19">
        <v>9.1816123716904105E-2</v>
      </c>
      <c r="AL19">
        <v>0.13308324785418299</v>
      </c>
    </row>
    <row r="20" spans="1:38" x14ac:dyDescent="0.2">
      <c r="A20">
        <v>105</v>
      </c>
      <c r="B20">
        <v>743</v>
      </c>
      <c r="C20">
        <v>240</v>
      </c>
      <c r="D20">
        <v>0.32996161983958999</v>
      </c>
      <c r="E20">
        <v>19.129828127159598</v>
      </c>
      <c r="F20">
        <v>2.5672247038779399</v>
      </c>
      <c r="G20">
        <v>-308.90267903348939</v>
      </c>
      <c r="H20">
        <v>-268.2768520670474</v>
      </c>
      <c r="I20">
        <v>39.980147582976898</v>
      </c>
      <c r="J20">
        <v>23.495483840260199</v>
      </c>
      <c r="K20">
        <v>7.4515596933384201</v>
      </c>
      <c r="L20">
        <v>3.2197136357724472E-5</v>
      </c>
      <c r="M20">
        <v>1.8236404667078835E-6</v>
      </c>
      <c r="N20" s="1">
        <v>-4.2612247135640502E-7</v>
      </c>
      <c r="O20" s="1">
        <v>6.5250453029542294E-11</v>
      </c>
      <c r="P20" s="1">
        <v>1.3933755131381701E-9</v>
      </c>
      <c r="Q20">
        <v>65.739131426590404</v>
      </c>
      <c r="S20">
        <v>20.9345932098453</v>
      </c>
      <c r="AA20">
        <v>1.93192614431417</v>
      </c>
      <c r="AB20">
        <v>9.0438102318519604</v>
      </c>
      <c r="AC20">
        <v>2.350538987398</v>
      </c>
      <c r="AJ20">
        <v>0.77576833407641699</v>
      </c>
      <c r="AK20">
        <v>9.1576052214787096E-2</v>
      </c>
      <c r="AL20">
        <v>0.132655613708795</v>
      </c>
    </row>
    <row r="21" spans="1:38" x14ac:dyDescent="0.2">
      <c r="A21">
        <v>106</v>
      </c>
      <c r="B21">
        <v>742</v>
      </c>
      <c r="C21">
        <v>240</v>
      </c>
      <c r="D21">
        <v>0.32923262572033701</v>
      </c>
      <c r="E21">
        <v>20.096256882476599</v>
      </c>
      <c r="F21">
        <v>2.5673308386792</v>
      </c>
      <c r="G21">
        <v>-324.47547475807448</v>
      </c>
      <c r="H21">
        <v>-281.86335925297033</v>
      </c>
      <c r="I21">
        <v>41.976176432156997</v>
      </c>
      <c r="J21">
        <v>24.697222387590099</v>
      </c>
      <c r="K21">
        <v>7.8276849168436202</v>
      </c>
      <c r="L21">
        <v>3.2263995558141791E-5</v>
      </c>
      <c r="M21">
        <v>1.8240407618671305E-6</v>
      </c>
      <c r="N21" s="1">
        <v>-4.6256979455372501E-7</v>
      </c>
      <c r="O21" s="1">
        <v>6.8422539668707199E-11</v>
      </c>
      <c r="P21" s="1">
        <v>1.50630700581132E-9</v>
      </c>
      <c r="Q21">
        <v>65.743532579173603</v>
      </c>
      <c r="S21">
        <v>20.933835891305002</v>
      </c>
      <c r="AA21">
        <v>1.93027439997642</v>
      </c>
      <c r="AB21">
        <v>9.0516325553917607</v>
      </c>
      <c r="AC21">
        <v>2.34072457415304</v>
      </c>
      <c r="AJ21">
        <v>0.77640919466056701</v>
      </c>
      <c r="AK21">
        <v>9.1494206584877294E-2</v>
      </c>
      <c r="AL21">
        <v>0.13209659875455501</v>
      </c>
    </row>
    <row r="22" spans="1:38" x14ac:dyDescent="0.2">
      <c r="A22">
        <v>118</v>
      </c>
      <c r="B22">
        <v>752</v>
      </c>
      <c r="C22">
        <v>220</v>
      </c>
      <c r="D22">
        <v>0.35791884114519901</v>
      </c>
      <c r="E22">
        <v>0.26193832527119099</v>
      </c>
      <c r="F22">
        <v>2.5690942858437</v>
      </c>
      <c r="G22">
        <v>-4.2412571174626388</v>
      </c>
      <c r="H22">
        <v>-3.6771368249177656</v>
      </c>
      <c r="I22">
        <v>0.55028073213175899</v>
      </c>
      <c r="J22">
        <v>0.32052780812140202</v>
      </c>
      <c r="K22">
        <v>0.10195745898254099</v>
      </c>
      <c r="L22">
        <v>3.1727863815621378E-5</v>
      </c>
      <c r="M22">
        <v>1.8198941077647327E-6</v>
      </c>
      <c r="N22" s="1">
        <v>-4.3776684550906297E-9</v>
      </c>
      <c r="O22" s="1">
        <v>9.0023773588359802E-13</v>
      </c>
      <c r="P22" s="1">
        <v>1.4914325860285301E-11</v>
      </c>
      <c r="Q22">
        <v>65.548166363005805</v>
      </c>
      <c r="S22">
        <v>21.140325895561102</v>
      </c>
      <c r="AA22">
        <v>2.1462168034916602</v>
      </c>
      <c r="AB22">
        <v>9.1576098094690099</v>
      </c>
      <c r="AC22">
        <v>2.00768112847231</v>
      </c>
      <c r="AJ22">
        <v>0.78508269751262505</v>
      </c>
      <c r="AK22">
        <v>0.10167581262806299</v>
      </c>
      <c r="AL22">
        <v>0.113241489859311</v>
      </c>
    </row>
    <row r="23" spans="1:38" x14ac:dyDescent="0.2">
      <c r="A23">
        <v>119</v>
      </c>
      <c r="B23">
        <v>751</v>
      </c>
      <c r="C23">
        <v>220</v>
      </c>
      <c r="D23">
        <v>0.35722355123761301</v>
      </c>
      <c r="E23">
        <v>1.6384003546113299</v>
      </c>
      <c r="F23">
        <v>2.5670768687924399</v>
      </c>
      <c r="G23">
        <v>-26.509317146265978</v>
      </c>
      <c r="H23">
        <v>-22.985931246398881</v>
      </c>
      <c r="I23">
        <v>3.4403025922639201</v>
      </c>
      <c r="J23">
        <v>2.00497265293812</v>
      </c>
      <c r="K23">
        <v>0.63823579828446497</v>
      </c>
      <c r="L23">
        <v>3.1768909890365409E-5</v>
      </c>
      <c r="M23">
        <v>1.8221220817519103E-6</v>
      </c>
      <c r="N23" s="1">
        <v>-2.8062158341469502E-8</v>
      </c>
      <c r="O23" s="1">
        <v>5.64560914646046E-12</v>
      </c>
      <c r="P23" s="1">
        <v>9.5213434985731198E-11</v>
      </c>
      <c r="Q23">
        <v>65.672646159383902</v>
      </c>
      <c r="S23">
        <v>21.013939465938599</v>
      </c>
      <c r="AA23">
        <v>2.0129010462225598</v>
      </c>
      <c r="AB23">
        <v>9.1036679047453593</v>
      </c>
      <c r="AC23">
        <v>2.1968454237094699</v>
      </c>
      <c r="AJ23">
        <v>0.78066946911379198</v>
      </c>
      <c r="AK23">
        <v>9.53858610364305E-2</v>
      </c>
      <c r="AL23">
        <v>0.12394466984977701</v>
      </c>
    </row>
    <row r="24" spans="1:38" x14ac:dyDescent="0.2">
      <c r="A24">
        <v>120</v>
      </c>
      <c r="B24">
        <v>750</v>
      </c>
      <c r="C24">
        <v>220</v>
      </c>
      <c r="D24">
        <v>0.356526902213751</v>
      </c>
      <c r="E24">
        <v>3.16793068225887</v>
      </c>
      <c r="F24">
        <v>2.5646602542489498</v>
      </c>
      <c r="G24">
        <v>-51.210697130572825</v>
      </c>
      <c r="H24">
        <v>-44.408374086286969</v>
      </c>
      <c r="I24">
        <v>6.6484122995512296</v>
      </c>
      <c r="J24">
        <v>3.8761707798615999</v>
      </c>
      <c r="K24">
        <v>1.23522430583561</v>
      </c>
      <c r="L24">
        <v>3.1786705275136852E-5</v>
      </c>
      <c r="M24">
        <v>1.8241349916528966E-6</v>
      </c>
      <c r="N24" s="1">
        <v>-5.5382584123367397E-8</v>
      </c>
      <c r="O24" s="1">
        <v>1.0952169564363601E-11</v>
      </c>
      <c r="P24" s="1">
        <v>1.8725030992409399E-10</v>
      </c>
      <c r="Q24">
        <v>65.800816596290701</v>
      </c>
      <c r="S24">
        <v>20.872047959083702</v>
      </c>
      <c r="AA24">
        <v>1.8659322809644101</v>
      </c>
      <c r="AB24">
        <v>9.0173018187934293</v>
      </c>
      <c r="AC24">
        <v>2.4439013448676299</v>
      </c>
      <c r="AJ24">
        <v>0.77359739391133797</v>
      </c>
      <c r="AK24">
        <v>8.8459618137073204E-2</v>
      </c>
      <c r="AL24">
        <v>0.13794298795158799</v>
      </c>
    </row>
    <row r="25" spans="1:38" x14ac:dyDescent="0.2">
      <c r="A25">
        <v>121</v>
      </c>
      <c r="B25">
        <v>749</v>
      </c>
      <c r="C25">
        <v>220</v>
      </c>
      <c r="D25">
        <v>0.35582889008462698</v>
      </c>
      <c r="E25">
        <v>6.6043103926391202</v>
      </c>
      <c r="F25">
        <v>2.5645577204179801</v>
      </c>
      <c r="G25">
        <v>-106.73669276628856</v>
      </c>
      <c r="H25">
        <v>-92.57793391088174</v>
      </c>
      <c r="I25">
        <v>13.851938419416699</v>
      </c>
      <c r="J25">
        <v>8.0831672455278802</v>
      </c>
      <c r="K25">
        <v>2.5752239226507698</v>
      </c>
      <c r="L25">
        <v>3.1817611189722317E-5</v>
      </c>
      <c r="M25">
        <v>1.8241565223347367E-6</v>
      </c>
      <c r="N25" s="1">
        <v>-1.18838139171511E-7</v>
      </c>
      <c r="O25" s="1">
        <v>2.2809903106459701E-11</v>
      </c>
      <c r="P25" s="1">
        <v>4.0003202929242201E-10</v>
      </c>
      <c r="Q25">
        <v>65.799468162571998</v>
      </c>
      <c r="S25">
        <v>20.865624272450201</v>
      </c>
      <c r="AA25">
        <v>1.86094731229247</v>
      </c>
      <c r="AB25">
        <v>8.9974563769054594</v>
      </c>
      <c r="AC25">
        <v>2.4765038757797599</v>
      </c>
      <c r="AJ25">
        <v>0.771971012252329</v>
      </c>
      <c r="AK25">
        <v>8.8231997376752705E-2</v>
      </c>
      <c r="AL25">
        <v>0.139796990370917</v>
      </c>
    </row>
    <row r="26" spans="1:38" x14ac:dyDescent="0.2">
      <c r="A26">
        <v>122</v>
      </c>
      <c r="B26">
        <v>748</v>
      </c>
      <c r="C26">
        <v>220</v>
      </c>
      <c r="D26">
        <v>0.355129510845618</v>
      </c>
      <c r="E26">
        <v>12.9016194311411</v>
      </c>
      <c r="F26">
        <v>2.56518228529379</v>
      </c>
      <c r="G26">
        <v>-208.51174242383948</v>
      </c>
      <c r="H26">
        <v>-180.89602217626052</v>
      </c>
      <c r="I26">
        <v>27.0437450399833</v>
      </c>
      <c r="J26">
        <v>15.7980207270262</v>
      </c>
      <c r="K26">
        <v>5.0295136938634597</v>
      </c>
      <c r="L26">
        <v>3.1858989093335954E-5</v>
      </c>
      <c r="M26">
        <v>1.8236836573882182E-6</v>
      </c>
      <c r="N26" s="1">
        <v>-2.3973998520125201E-7</v>
      </c>
      <c r="O26" s="1">
        <v>4.4453814383060198E-11</v>
      </c>
      <c r="P26" s="1">
        <v>8.0323992402353199E-10</v>
      </c>
      <c r="Q26">
        <v>65.761679389116594</v>
      </c>
      <c r="S26">
        <v>20.900023527772699</v>
      </c>
      <c r="AA26">
        <v>1.89814454383389</v>
      </c>
      <c r="AB26">
        <v>9.0034282414492601</v>
      </c>
      <c r="AC26">
        <v>2.4367242978274999</v>
      </c>
      <c r="AJ26">
        <v>0.77245986302909198</v>
      </c>
      <c r="AK26">
        <v>8.9992866718353798E-2</v>
      </c>
      <c r="AL26">
        <v>0.13754727025255301</v>
      </c>
    </row>
    <row r="27" spans="1:38" x14ac:dyDescent="0.2">
      <c r="A27">
        <v>123</v>
      </c>
      <c r="B27">
        <v>747</v>
      </c>
      <c r="C27">
        <v>220</v>
      </c>
      <c r="D27">
        <v>0.35442876047640198</v>
      </c>
      <c r="E27">
        <v>17.670442927967901</v>
      </c>
      <c r="F27">
        <v>2.5656270963768999</v>
      </c>
      <c r="G27">
        <v>-285.57362582011422</v>
      </c>
      <c r="H27">
        <v>-247.80955558385307</v>
      </c>
      <c r="I27">
        <v>37.018154424605399</v>
      </c>
      <c r="J27">
        <v>21.64798089976</v>
      </c>
      <c r="K27">
        <v>6.88737773034965</v>
      </c>
      <c r="L27">
        <v>3.1906341854465636E-5</v>
      </c>
      <c r="M27">
        <v>1.8234945247197659E-6</v>
      </c>
      <c r="N27" s="1">
        <v>-3.3912348313587802E-7</v>
      </c>
      <c r="O27" s="1">
        <v>6.0757096344993106E-11</v>
      </c>
      <c r="P27" s="1">
        <v>1.13099908081224E-9</v>
      </c>
      <c r="Q27">
        <v>65.738121413154502</v>
      </c>
      <c r="S27">
        <v>20.9224245666869</v>
      </c>
      <c r="AA27">
        <v>1.9221225619390601</v>
      </c>
      <c r="AB27">
        <v>9.0096577909934208</v>
      </c>
      <c r="AC27">
        <v>2.40767366722601</v>
      </c>
      <c r="AJ27">
        <v>0.77297002175331497</v>
      </c>
      <c r="AK27">
        <v>9.1126821430814894E-2</v>
      </c>
      <c r="AL27">
        <v>0.13590315681586901</v>
      </c>
    </row>
    <row r="28" spans="1:38" x14ac:dyDescent="0.2">
      <c r="A28">
        <v>124</v>
      </c>
      <c r="B28">
        <v>746</v>
      </c>
      <c r="C28">
        <v>220</v>
      </c>
      <c r="D28">
        <v>0.35372663494088302</v>
      </c>
      <c r="E28">
        <v>19.283206992092001</v>
      </c>
      <c r="F28">
        <v>2.5658879394033902</v>
      </c>
      <c r="G28">
        <v>-311.61534987213139</v>
      </c>
      <c r="H28">
        <v>-270.46860033483108</v>
      </c>
      <c r="I28">
        <v>40.373595189422801</v>
      </c>
      <c r="J28">
        <v>23.635761812349902</v>
      </c>
      <c r="K28">
        <v>7.5152179079869201</v>
      </c>
      <c r="L28">
        <v>3.1960382299672034E-5</v>
      </c>
      <c r="M28">
        <v>1.8236105604746245E-6</v>
      </c>
      <c r="N28" s="1">
        <v>-3.8227653625765301E-7</v>
      </c>
      <c r="O28" s="1">
        <v>6.6180961039094097E-11</v>
      </c>
      <c r="P28" s="1">
        <v>1.2691462093994199E-9</v>
      </c>
      <c r="Q28">
        <v>65.729611631659495</v>
      </c>
      <c r="S28">
        <v>20.932327318101802</v>
      </c>
      <c r="AA28">
        <v>1.9322780744281101</v>
      </c>
      <c r="AB28">
        <v>9.0166555494878704</v>
      </c>
      <c r="AC28">
        <v>2.3891274263225499</v>
      </c>
      <c r="AJ28">
        <v>0.77354333188451796</v>
      </c>
      <c r="AK28">
        <v>9.1605085372537198E-2</v>
      </c>
      <c r="AL28">
        <v>0.13485158274294401</v>
      </c>
    </row>
    <row r="29" spans="1:38" x14ac:dyDescent="0.2">
      <c r="A29">
        <v>125</v>
      </c>
      <c r="B29">
        <v>745</v>
      </c>
      <c r="C29">
        <v>220</v>
      </c>
      <c r="D29">
        <v>0.35302313018710402</v>
      </c>
      <c r="E29">
        <v>19.922802198945401</v>
      </c>
      <c r="F29">
        <v>2.56605618880669</v>
      </c>
      <c r="G29">
        <v>-321.92243622467078</v>
      </c>
      <c r="H29">
        <v>-279.47669399659782</v>
      </c>
      <c r="I29">
        <v>41.689085329345197</v>
      </c>
      <c r="J29">
        <v>24.432607470382301</v>
      </c>
      <c r="K29">
        <v>7.7639773773660901</v>
      </c>
      <c r="L29">
        <v>3.2018771105329787E-5</v>
      </c>
      <c r="M29">
        <v>1.8238855913948069E-6</v>
      </c>
      <c r="N29" s="1">
        <v>-4.080283018102E-7</v>
      </c>
      <c r="O29" s="1">
        <v>6.8258532941849298E-11</v>
      </c>
      <c r="P29" s="1">
        <v>1.3486184918277101E-9</v>
      </c>
      <c r="Q29">
        <v>65.728770632492498</v>
      </c>
      <c r="S29">
        <v>20.9358924674283</v>
      </c>
      <c r="AA29">
        <v>1.9354155947850999</v>
      </c>
      <c r="AB29">
        <v>9.0241279303970501</v>
      </c>
      <c r="AC29">
        <v>2.3757933748969502</v>
      </c>
      <c r="AJ29">
        <v>0.77415561045921499</v>
      </c>
      <c r="AK29">
        <v>9.17504173712545E-2</v>
      </c>
      <c r="AL29">
        <v>0.13409397216952901</v>
      </c>
    </row>
    <row r="30" spans="1:38" x14ac:dyDescent="0.2">
      <c r="A30">
        <v>133</v>
      </c>
      <c r="B30">
        <v>757</v>
      </c>
      <c r="C30">
        <v>200</v>
      </c>
      <c r="D30">
        <v>0.38273115565694399</v>
      </c>
      <c r="E30">
        <v>0.16862457041565401</v>
      </c>
      <c r="F30">
        <v>2.5682618090524301</v>
      </c>
      <c r="G30">
        <v>-2.7341171230313943</v>
      </c>
      <c r="H30">
        <v>-2.3680991745788038</v>
      </c>
      <c r="I30">
        <v>0.35530548798970102</v>
      </c>
      <c r="J30">
        <v>0.205988003457163</v>
      </c>
      <c r="K30">
        <v>6.5657079749929903E-2</v>
      </c>
      <c r="L30">
        <v>3.1521980086324183E-5</v>
      </c>
      <c r="M30">
        <v>1.8203922251176173E-6</v>
      </c>
      <c r="N30" s="1">
        <v>-2.3857426436846899E-9</v>
      </c>
      <c r="O30" s="1">
        <v>5.8278277779612801E-13</v>
      </c>
      <c r="P30" s="1">
        <v>8.3557109523983794E-12</v>
      </c>
      <c r="Q30">
        <v>65.5465556777865</v>
      </c>
      <c r="S30">
        <v>21.160432287068499</v>
      </c>
      <c r="AA30">
        <v>2.1631806137346898</v>
      </c>
      <c r="AB30">
        <v>9.2067320031651594</v>
      </c>
      <c r="AC30">
        <v>1.9230994182450301</v>
      </c>
      <c r="AJ30">
        <v>0.78910129323247902</v>
      </c>
      <c r="AK30">
        <v>0.102454449955763</v>
      </c>
      <c r="AL30">
        <v>0.108444256811756</v>
      </c>
    </row>
    <row r="31" spans="1:38" x14ac:dyDescent="0.2">
      <c r="A31">
        <v>134</v>
      </c>
      <c r="B31">
        <v>756</v>
      </c>
      <c r="C31">
        <v>200</v>
      </c>
      <c r="D31">
        <v>0.38206335325268598</v>
      </c>
      <c r="E31">
        <v>1.4753245413254901</v>
      </c>
      <c r="F31">
        <v>2.5665018779009099</v>
      </c>
      <c r="G31">
        <v>-23.905975137821905</v>
      </c>
      <c r="H31">
        <v>-20.708223444505489</v>
      </c>
      <c r="I31">
        <v>3.1071774700640402</v>
      </c>
      <c r="J31">
        <v>1.80234236807022</v>
      </c>
      <c r="K31">
        <v>0.57483867595379501</v>
      </c>
      <c r="L31">
        <v>3.1564124133155636E-5</v>
      </c>
      <c r="M31">
        <v>1.8225137164066689E-6</v>
      </c>
      <c r="N31" s="1">
        <v>-2.1417135224208201E-8</v>
      </c>
      <c r="O31" s="1">
        <v>5.1105374540430802E-12</v>
      </c>
      <c r="P31" s="1">
        <v>7.4653528131873298E-11</v>
      </c>
      <c r="Q31">
        <v>65.660908194556299</v>
      </c>
      <c r="S31">
        <v>21.047434338442201</v>
      </c>
      <c r="AA31">
        <v>2.0432735526224302</v>
      </c>
      <c r="AB31">
        <v>9.1653216423904595</v>
      </c>
      <c r="AC31">
        <v>2.08306227198843</v>
      </c>
      <c r="AJ31">
        <v>0.78571549701182797</v>
      </c>
      <c r="AK31">
        <v>9.6795443179188603E-2</v>
      </c>
      <c r="AL31">
        <v>0.117489059808983</v>
      </c>
    </row>
    <row r="32" spans="1:38" x14ac:dyDescent="0.2">
      <c r="A32">
        <v>135</v>
      </c>
      <c r="B32">
        <v>755</v>
      </c>
      <c r="C32">
        <v>200</v>
      </c>
      <c r="D32">
        <v>0.38139425181150599</v>
      </c>
      <c r="E32">
        <v>2.88615133513985</v>
      </c>
      <c r="F32">
        <v>2.5645055219464101</v>
      </c>
      <c r="G32">
        <v>-46.731839643684914</v>
      </c>
      <c r="H32">
        <v>-40.485383291642044</v>
      </c>
      <c r="I32">
        <v>6.0754329154723203</v>
      </c>
      <c r="J32">
        <v>3.5257103571464001</v>
      </c>
      <c r="K32">
        <v>1.1254221566071401</v>
      </c>
      <c r="L32">
        <v>3.15910946686926E-5</v>
      </c>
      <c r="M32">
        <v>1.8244486134941723E-6</v>
      </c>
      <c r="N32" s="1">
        <v>-4.28739912480907E-8</v>
      </c>
      <c r="O32" s="1">
        <v>1.00243418733906E-11</v>
      </c>
      <c r="P32" s="1">
        <v>1.4880685990944499E-10</v>
      </c>
      <c r="Q32">
        <v>65.775383699596603</v>
      </c>
      <c r="S32">
        <v>20.9261709801991</v>
      </c>
      <c r="AA32">
        <v>1.91651874631359</v>
      </c>
      <c r="AB32">
        <v>9.1025165084948902</v>
      </c>
      <c r="AC32">
        <v>2.2794100653956799</v>
      </c>
      <c r="AJ32">
        <v>0.78057680796377804</v>
      </c>
      <c r="AK32">
        <v>9.0819274936263794E-2</v>
      </c>
      <c r="AL32">
        <v>0.128603917099958</v>
      </c>
    </row>
    <row r="33" spans="1:38" x14ac:dyDescent="0.2">
      <c r="A33">
        <v>136</v>
      </c>
      <c r="B33">
        <v>754</v>
      </c>
      <c r="C33">
        <v>200</v>
      </c>
      <c r="D33">
        <v>0.38072384753930699</v>
      </c>
      <c r="E33">
        <v>4.4674730972425101</v>
      </c>
      <c r="F33">
        <v>2.5620930764491399</v>
      </c>
      <c r="G33">
        <v>-72.26862317013186</v>
      </c>
      <c r="H33">
        <v>-62.614679179224453</v>
      </c>
      <c r="I33">
        <v>9.3987674545172606</v>
      </c>
      <c r="J33">
        <v>5.4560786165898802</v>
      </c>
      <c r="K33">
        <v>1.7436810310709201</v>
      </c>
      <c r="L33">
        <v>3.1593606409253704E-5</v>
      </c>
      <c r="M33">
        <v>1.8261411954913678E-6</v>
      </c>
      <c r="N33" s="1">
        <v>-6.7609220557657201E-8</v>
      </c>
      <c r="O33" s="1">
        <v>1.55690621117209E-11</v>
      </c>
      <c r="P33" s="1">
        <v>2.33821439898194E-10</v>
      </c>
      <c r="Q33">
        <v>65.893002208252199</v>
      </c>
      <c r="S33">
        <v>20.788991646905298</v>
      </c>
      <c r="AA33">
        <v>1.7758997206954801</v>
      </c>
      <c r="AB33">
        <v>9.0049895918217508</v>
      </c>
      <c r="AC33">
        <v>2.5371168323251201</v>
      </c>
      <c r="AJ33">
        <v>0.77258985625869703</v>
      </c>
      <c r="AK33">
        <v>8.4196689475474498E-2</v>
      </c>
      <c r="AL33">
        <v>0.14321345426582799</v>
      </c>
    </row>
    <row r="34" spans="1:38" x14ac:dyDescent="0.2">
      <c r="A34">
        <v>137</v>
      </c>
      <c r="B34">
        <v>753</v>
      </c>
      <c r="C34">
        <v>200</v>
      </c>
      <c r="D34">
        <v>0.380052136627202</v>
      </c>
      <c r="E34">
        <v>7.1872919257703103</v>
      </c>
      <c r="F34">
        <v>2.5617016073568601</v>
      </c>
      <c r="G34">
        <v>-116.22451793744666</v>
      </c>
      <c r="H34">
        <v>-100.71800263159589</v>
      </c>
      <c r="I34">
        <v>15.111353414072701</v>
      </c>
      <c r="J34">
        <v>8.7785548733542402</v>
      </c>
      <c r="K34">
        <v>2.8056710059943599</v>
      </c>
      <c r="L34">
        <v>3.1602249262103857E-5</v>
      </c>
      <c r="M34">
        <v>1.8260192807807537E-6</v>
      </c>
      <c r="N34" s="1">
        <v>-1.11575834768175E-7</v>
      </c>
      <c r="O34" s="1">
        <v>2.50406473140504E-11</v>
      </c>
      <c r="P34" s="1">
        <v>3.8419025313144702E-10</v>
      </c>
      <c r="Q34">
        <v>65.895174662666307</v>
      </c>
      <c r="S34">
        <v>20.770515447731501</v>
      </c>
      <c r="AA34">
        <v>1.76014975465774</v>
      </c>
      <c r="AB34">
        <v>8.9613930317973107</v>
      </c>
      <c r="AC34">
        <v>2.6127671031470099</v>
      </c>
      <c r="AJ34">
        <v>0.76901622671371805</v>
      </c>
      <c r="AK34">
        <v>8.3468073223807102E-2</v>
      </c>
      <c r="AL34">
        <v>0.147515700062474</v>
      </c>
    </row>
    <row r="35" spans="1:38" x14ac:dyDescent="0.2">
      <c r="A35">
        <v>138</v>
      </c>
      <c r="B35">
        <v>752</v>
      </c>
      <c r="C35">
        <v>200</v>
      </c>
      <c r="D35">
        <v>0.37937911525142798</v>
      </c>
      <c r="E35">
        <v>12.168105153663999</v>
      </c>
      <c r="F35">
        <v>2.5629095806075002</v>
      </c>
      <c r="G35">
        <v>-196.79296134364404</v>
      </c>
      <c r="H35">
        <v>-170.58242424765209</v>
      </c>
      <c r="I35">
        <v>25.5675141159752</v>
      </c>
      <c r="J35">
        <v>14.868363462099101</v>
      </c>
      <c r="K35">
        <v>4.7477699743038801</v>
      </c>
      <c r="L35">
        <v>3.1625800437518204E-5</v>
      </c>
      <c r="M35">
        <v>1.8247015564885474E-6</v>
      </c>
      <c r="N35" s="1">
        <v>-1.9506948819341199E-7</v>
      </c>
      <c r="O35" s="1">
        <v>4.2259216543338902E-11</v>
      </c>
      <c r="P35" s="1">
        <v>6.6823890236133804E-10</v>
      </c>
      <c r="Q35">
        <v>65.813923263321598</v>
      </c>
      <c r="S35">
        <v>20.842666123622902</v>
      </c>
      <c r="AA35">
        <v>1.8386337042912499</v>
      </c>
      <c r="AB35">
        <v>8.9694810219606005</v>
      </c>
      <c r="AC35">
        <v>2.5352958868035702</v>
      </c>
      <c r="AJ35">
        <v>0.76967807196494797</v>
      </c>
      <c r="AK35">
        <v>8.7186211309378703E-2</v>
      </c>
      <c r="AL35">
        <v>0.14313571672567199</v>
      </c>
    </row>
    <row r="36" spans="1:38" x14ac:dyDescent="0.2">
      <c r="A36">
        <v>139</v>
      </c>
      <c r="B36">
        <v>751</v>
      </c>
      <c r="C36">
        <v>200</v>
      </c>
      <c r="D36">
        <v>0.378704779573308</v>
      </c>
      <c r="E36">
        <v>16.772124152224901</v>
      </c>
      <c r="F36">
        <v>2.5639033712324202</v>
      </c>
      <c r="G36">
        <v>-271.27341966961342</v>
      </c>
      <c r="H36">
        <v>-235.20335174008085</v>
      </c>
      <c r="I36">
        <v>35.219516603556599</v>
      </c>
      <c r="J36">
        <v>20.5026521295162</v>
      </c>
      <c r="K36">
        <v>6.5416366078425403</v>
      </c>
      <c r="L36">
        <v>3.1653249784305683E-5</v>
      </c>
      <c r="M36">
        <v>1.8236471960729625E-6</v>
      </c>
      <c r="N36" s="1">
        <v>-2.7760123199889199E-7</v>
      </c>
      <c r="O36" s="1">
        <v>5.8082445952069903E-11</v>
      </c>
      <c r="P36" s="1">
        <v>9.4620461811739008E-10</v>
      </c>
      <c r="Q36">
        <v>65.747201009903193</v>
      </c>
      <c r="S36">
        <v>20.901609539846401</v>
      </c>
      <c r="AA36">
        <v>1.9028313518915301</v>
      </c>
      <c r="AB36">
        <v>8.9753218865189801</v>
      </c>
      <c r="AC36">
        <v>2.47303621183974</v>
      </c>
      <c r="AJ36">
        <v>0.77015587481094006</v>
      </c>
      <c r="AK36">
        <v>9.0227658787281603E-2</v>
      </c>
      <c r="AL36">
        <v>0.139616466401777</v>
      </c>
    </row>
    <row r="37" spans="1:38" x14ac:dyDescent="0.2">
      <c r="A37">
        <v>140</v>
      </c>
      <c r="B37">
        <v>750</v>
      </c>
      <c r="C37">
        <v>200</v>
      </c>
      <c r="D37">
        <v>0.37802912573913899</v>
      </c>
      <c r="E37">
        <v>18.609445363858701</v>
      </c>
      <c r="F37">
        <v>2.5643897718667099</v>
      </c>
      <c r="G37">
        <v>-300.9822394828725</v>
      </c>
      <c r="H37">
        <v>-261.02335165831136</v>
      </c>
      <c r="I37">
        <v>39.054769901344898</v>
      </c>
      <c r="J37">
        <v>22.758474040557001</v>
      </c>
      <c r="K37">
        <v>7.2568708423416597</v>
      </c>
      <c r="L37">
        <v>3.1694347419082074E-5</v>
      </c>
      <c r="M37">
        <v>1.8233817701733022E-6</v>
      </c>
      <c r="N37" s="1">
        <v>-3.1806213044966298E-7</v>
      </c>
      <c r="O37" s="1">
        <v>6.4315687230526605E-11</v>
      </c>
      <c r="P37" s="1">
        <v>1.0787390076310799E-9</v>
      </c>
      <c r="Q37">
        <v>65.720508857678993</v>
      </c>
      <c r="S37">
        <v>20.926751943053599</v>
      </c>
      <c r="AA37">
        <v>1.9298023407914899</v>
      </c>
      <c r="AB37">
        <v>8.9817539352064095</v>
      </c>
      <c r="AC37">
        <v>2.44118292326936</v>
      </c>
      <c r="AJ37">
        <v>0.77068272804205296</v>
      </c>
      <c r="AK37">
        <v>9.1503581362941996E-2</v>
      </c>
      <c r="AL37">
        <v>0.13781369059500301</v>
      </c>
    </row>
    <row r="38" spans="1:38" x14ac:dyDescent="0.2">
      <c r="A38">
        <v>141</v>
      </c>
      <c r="B38">
        <v>749</v>
      </c>
      <c r="C38">
        <v>200</v>
      </c>
      <c r="D38">
        <v>0.37735214988015597</v>
      </c>
      <c r="E38">
        <v>19.324121008124099</v>
      </c>
      <c r="F38">
        <v>2.5646459770599201</v>
      </c>
      <c r="G38">
        <v>-312.51864014316544</v>
      </c>
      <c r="H38">
        <v>-271.08930681584314</v>
      </c>
      <c r="I38">
        <v>40.5315592890692</v>
      </c>
      <c r="J38">
        <v>23.6431278890865</v>
      </c>
      <c r="K38">
        <v>7.5348103328776102</v>
      </c>
      <c r="L38">
        <v>3.1742996583964666E-5</v>
      </c>
      <c r="M38">
        <v>1.823491459380123E-6</v>
      </c>
      <c r="N38" s="1">
        <v>-3.4111349143577301E-7</v>
      </c>
      <c r="O38" s="1">
        <v>6.6675623541147201E-11</v>
      </c>
      <c r="P38" s="1">
        <v>1.1512627439763201E-9</v>
      </c>
      <c r="Q38">
        <v>65.712465081014699</v>
      </c>
      <c r="S38">
        <v>20.936334225649802</v>
      </c>
      <c r="AA38">
        <v>1.93958472736722</v>
      </c>
      <c r="AB38">
        <v>8.9889500098077395</v>
      </c>
      <c r="AC38">
        <v>2.4226659561604098</v>
      </c>
      <c r="AJ38">
        <v>0.77127245998456295</v>
      </c>
      <c r="AK38">
        <v>9.1964116950231198E-2</v>
      </c>
      <c r="AL38">
        <v>0.136763423065205</v>
      </c>
    </row>
    <row r="39" spans="1:38" x14ac:dyDescent="0.2">
      <c r="A39">
        <v>145</v>
      </c>
      <c r="B39">
        <v>762</v>
      </c>
      <c r="C39">
        <v>180</v>
      </c>
      <c r="D39">
        <v>0.40730377240013699</v>
      </c>
      <c r="E39">
        <v>0.75607613909762705</v>
      </c>
      <c r="F39">
        <v>2.5664035415888602</v>
      </c>
      <c r="G39">
        <v>-12.272703364299494</v>
      </c>
      <c r="H39">
        <v>-10.618613136016538</v>
      </c>
      <c r="I39">
        <v>1.5979232268588599</v>
      </c>
      <c r="J39">
        <v>0.92221539005192199</v>
      </c>
      <c r="K39">
        <v>0.29460532096582898</v>
      </c>
      <c r="L39">
        <v>3.1352735798783983E-5</v>
      </c>
      <c r="M39">
        <v>1.8220990191249922E-6</v>
      </c>
      <c r="N39" s="1">
        <v>-9.0448335890225001E-9</v>
      </c>
      <c r="O39" s="1">
        <v>2.63003084988218E-12</v>
      </c>
      <c r="P39" s="1">
        <v>3.2682252415736302E-11</v>
      </c>
      <c r="Q39">
        <v>65.609874907355007</v>
      </c>
      <c r="S39">
        <v>21.116868851228499</v>
      </c>
      <c r="AA39">
        <v>2.1124656565223301</v>
      </c>
      <c r="AB39">
        <v>9.2336283005294302</v>
      </c>
      <c r="AC39">
        <v>1.9271622843646601</v>
      </c>
      <c r="AJ39">
        <v>0.79130181606541194</v>
      </c>
      <c r="AK39">
        <v>0.100039202711085</v>
      </c>
      <c r="AL39">
        <v>0.108658981223502</v>
      </c>
    </row>
    <row r="40" spans="1:38" x14ac:dyDescent="0.2">
      <c r="A40">
        <v>146</v>
      </c>
      <c r="B40">
        <v>761</v>
      </c>
      <c r="C40">
        <v>180</v>
      </c>
      <c r="D40">
        <v>0.40666295991877599</v>
      </c>
      <c r="E40">
        <v>2.0437762512249402</v>
      </c>
      <c r="F40">
        <v>2.5647604483230002</v>
      </c>
      <c r="G40">
        <v>-33.154532292702058</v>
      </c>
      <c r="H40">
        <v>-28.689735995666858</v>
      </c>
      <c r="I40">
        <v>4.3173585041195102</v>
      </c>
      <c r="J40">
        <v>2.4929186583038101</v>
      </c>
      <c r="K40">
        <v>0.79686828162110801</v>
      </c>
      <c r="L40">
        <v>3.1387870836028976E-5</v>
      </c>
      <c r="M40">
        <v>1.8240266292316832E-6</v>
      </c>
      <c r="N40" s="1">
        <v>-2.5080227858930699E-8</v>
      </c>
      <c r="O40" s="1">
        <v>7.1249288607832498E-12</v>
      </c>
      <c r="P40" s="1">
        <v>9.0145072507094097E-11</v>
      </c>
      <c r="Q40">
        <v>65.714979375659993</v>
      </c>
      <c r="S40">
        <v>21.011988333522101</v>
      </c>
      <c r="AA40">
        <v>2.0014134647151098</v>
      </c>
      <c r="AB40">
        <v>9.1928900601060093</v>
      </c>
      <c r="AC40">
        <v>2.0787287659966198</v>
      </c>
      <c r="AJ40">
        <v>0.78797175961604304</v>
      </c>
      <c r="AK40">
        <v>9.47995321798525E-2</v>
      </c>
      <c r="AL40">
        <v>0.117228708204103</v>
      </c>
    </row>
    <row r="41" spans="1:38" x14ac:dyDescent="0.2">
      <c r="A41">
        <v>147</v>
      </c>
      <c r="B41">
        <v>760</v>
      </c>
      <c r="C41">
        <v>180</v>
      </c>
      <c r="D41">
        <v>0.40602090693510101</v>
      </c>
      <c r="E41">
        <v>3.4230566269849199</v>
      </c>
      <c r="F41">
        <v>2.5629250219200701</v>
      </c>
      <c r="G41">
        <v>-55.49045412282338</v>
      </c>
      <c r="H41">
        <v>-48.023551289304912</v>
      </c>
      <c r="I41">
        <v>7.2273172661457403</v>
      </c>
      <c r="J41">
        <v>4.1749805407581304</v>
      </c>
      <c r="K41">
        <v>1.3356054499091199</v>
      </c>
      <c r="L41">
        <v>3.1409987219163802E-5</v>
      </c>
      <c r="M41">
        <v>1.8257729558345244E-6</v>
      </c>
      <c r="N41" s="1">
        <v>-4.2986533657724399E-8</v>
      </c>
      <c r="O41" s="1">
        <v>1.19630016322119E-11</v>
      </c>
      <c r="P41" s="1">
        <v>1.53766407976837E-10</v>
      </c>
      <c r="Q41">
        <v>65.819138401558206</v>
      </c>
      <c r="S41">
        <v>20.900825960168401</v>
      </c>
      <c r="AA41">
        <v>1.8853992837383999</v>
      </c>
      <c r="AB41">
        <v>9.13357625069502</v>
      </c>
      <c r="AC41">
        <v>2.2610601038398599</v>
      </c>
      <c r="AJ41">
        <v>0.78312008174884795</v>
      </c>
      <c r="AK41">
        <v>8.9330883678164094E-2</v>
      </c>
      <c r="AL41">
        <v>0.127549034572987</v>
      </c>
    </row>
    <row r="42" spans="1:38" x14ac:dyDescent="0.2">
      <c r="A42">
        <v>148</v>
      </c>
      <c r="B42">
        <v>759</v>
      </c>
      <c r="C42">
        <v>180</v>
      </c>
      <c r="D42">
        <v>0.40537760984353299</v>
      </c>
      <c r="E42">
        <v>4.9450426091462996</v>
      </c>
      <c r="F42">
        <v>2.5607720266515699</v>
      </c>
      <c r="G42">
        <v>-80.094966283716715</v>
      </c>
      <c r="H42">
        <v>-69.32461650603571</v>
      </c>
      <c r="I42">
        <v>10.4348687474504</v>
      </c>
      <c r="J42">
        <v>6.0298823814099904</v>
      </c>
      <c r="K42">
        <v>1.9310749093164501</v>
      </c>
      <c r="L42">
        <v>3.1412541496768212E-5</v>
      </c>
      <c r="M42">
        <v>1.8272920208779392E-6</v>
      </c>
      <c r="N42" s="1">
        <v>-6.33149116752316E-8</v>
      </c>
      <c r="O42" s="1">
        <v>1.7333942662496101E-11</v>
      </c>
      <c r="P42" s="1">
        <v>2.25556030433005E-10</v>
      </c>
      <c r="Q42">
        <v>65.924186200942103</v>
      </c>
      <c r="S42">
        <v>20.778155126388199</v>
      </c>
      <c r="AA42">
        <v>1.75968312193004</v>
      </c>
      <c r="AB42">
        <v>9.0460721001328199</v>
      </c>
      <c r="AC42">
        <v>2.4919034506067201</v>
      </c>
      <c r="AJ42">
        <v>0.77595650664944005</v>
      </c>
      <c r="AK42">
        <v>8.34108588764777E-2</v>
      </c>
      <c r="AL42">
        <v>0.140632634474082</v>
      </c>
    </row>
    <row r="43" spans="1:38" x14ac:dyDescent="0.2">
      <c r="A43">
        <v>149</v>
      </c>
      <c r="B43">
        <v>758</v>
      </c>
      <c r="C43">
        <v>180</v>
      </c>
      <c r="D43">
        <v>0.40473306502448703</v>
      </c>
      <c r="E43">
        <v>6.7336891733194104</v>
      </c>
      <c r="F43">
        <v>2.5580005697559001</v>
      </c>
      <c r="G43">
        <v>-108.94289210507371</v>
      </c>
      <c r="H43">
        <v>-94.300893516176274</v>
      </c>
      <c r="I43">
        <v>14.199678600492099</v>
      </c>
      <c r="J43">
        <v>8.2065970451086603</v>
      </c>
      <c r="K43">
        <v>2.6324033125457702</v>
      </c>
      <c r="L43">
        <v>3.1379752908960505E-5</v>
      </c>
      <c r="M43">
        <v>1.8284715523645029E-6</v>
      </c>
      <c r="N43" s="1">
        <v>-8.73006457968924E-8</v>
      </c>
      <c r="O43" s="1">
        <v>2.3699148866847101E-11</v>
      </c>
      <c r="P43" s="1">
        <v>3.10098112911009E-10</v>
      </c>
      <c r="Q43">
        <v>66.034471086642199</v>
      </c>
      <c r="S43">
        <v>20.631394651179299</v>
      </c>
      <c r="AA43">
        <v>1.6128707567884599</v>
      </c>
      <c r="AB43">
        <v>8.9070843887526401</v>
      </c>
      <c r="AC43">
        <v>2.8141791166372698</v>
      </c>
      <c r="AJ43">
        <v>0.76456444902115805</v>
      </c>
      <c r="AK43">
        <v>7.6504836481186805E-2</v>
      </c>
      <c r="AL43">
        <v>0.158930714497654</v>
      </c>
    </row>
    <row r="44" spans="1:38" x14ac:dyDescent="0.2">
      <c r="A44">
        <v>150</v>
      </c>
      <c r="B44">
        <v>757</v>
      </c>
      <c r="C44">
        <v>180</v>
      </c>
      <c r="D44">
        <v>0.40408726884434598</v>
      </c>
      <c r="E44">
        <v>9.0155175194300394</v>
      </c>
      <c r="F44">
        <v>2.5592145239687998</v>
      </c>
      <c r="G44">
        <v>-145.87950720924383</v>
      </c>
      <c r="H44">
        <v>-126.30664580560965</v>
      </c>
      <c r="I44">
        <v>19.000011069877399</v>
      </c>
      <c r="J44">
        <v>10.9916112956469</v>
      </c>
      <c r="K44">
        <v>3.5227674096850898</v>
      </c>
      <c r="L44">
        <v>3.1399836136812086E-5</v>
      </c>
      <c r="M44">
        <v>1.8272332998426367E-6</v>
      </c>
      <c r="N44" s="1">
        <v>-1.2073126113443701E-7</v>
      </c>
      <c r="O44" s="1">
        <v>3.1636805602833402E-11</v>
      </c>
      <c r="P44" s="1">
        <v>4.2633287229051702E-10</v>
      </c>
      <c r="Q44">
        <v>65.956371340085497</v>
      </c>
      <c r="S44">
        <v>20.702143882764599</v>
      </c>
      <c r="AA44">
        <v>1.6894631054276099</v>
      </c>
      <c r="AB44">
        <v>8.9185215997207106</v>
      </c>
      <c r="AC44">
        <v>2.73350007200141</v>
      </c>
      <c r="AJ44">
        <v>0.76550143105994295</v>
      </c>
      <c r="AK44">
        <v>8.0133228574579898E-2</v>
      </c>
      <c r="AL44">
        <v>0.154365340365476</v>
      </c>
    </row>
    <row r="45" spans="1:38" x14ac:dyDescent="0.2">
      <c r="A45">
        <v>151</v>
      </c>
      <c r="B45">
        <v>756</v>
      </c>
      <c r="C45">
        <v>180</v>
      </c>
      <c r="D45">
        <v>0.40344021765534699</v>
      </c>
      <c r="E45">
        <v>13.9157527851093</v>
      </c>
      <c r="F45">
        <v>2.5611892555999298</v>
      </c>
      <c r="G45">
        <v>-225.2364389364372</v>
      </c>
      <c r="H45">
        <v>-195.07421333619297</v>
      </c>
      <c r="I45">
        <v>29.307900306315101</v>
      </c>
      <c r="J45">
        <v>16.9727199473216</v>
      </c>
      <c r="K45">
        <v>5.4333168682021897</v>
      </c>
      <c r="L45">
        <v>3.1405558919517468E-5</v>
      </c>
      <c r="M45">
        <v>1.824885245776192E-6</v>
      </c>
      <c r="N45" s="1">
        <v>-1.9253131461988599E-7</v>
      </c>
      <c r="O45" s="1">
        <v>4.8621892327798903E-11</v>
      </c>
      <c r="P45" s="1">
        <v>6.7600512752033798E-10</v>
      </c>
      <c r="Q45">
        <v>65.820463816481407</v>
      </c>
      <c r="S45">
        <v>20.822852749303301</v>
      </c>
      <c r="AA45">
        <v>1.8207613189401</v>
      </c>
      <c r="AB45">
        <v>8.9321129572935796</v>
      </c>
      <c r="AC45">
        <v>2.6038091579814999</v>
      </c>
      <c r="AJ45">
        <v>0.76661408416142995</v>
      </c>
      <c r="AK45">
        <v>8.6354782765066099E-2</v>
      </c>
      <c r="AL45">
        <v>0.14703113307350299</v>
      </c>
    </row>
    <row r="46" spans="1:38" x14ac:dyDescent="0.2">
      <c r="A46">
        <v>152</v>
      </c>
      <c r="B46">
        <v>755</v>
      </c>
      <c r="C46">
        <v>180</v>
      </c>
      <c r="D46">
        <v>0.40279190779555302</v>
      </c>
      <c r="E46">
        <v>16.9894012537256</v>
      </c>
      <c r="F46">
        <v>2.5623821953907902</v>
      </c>
      <c r="G46">
        <v>-275.01848481162654</v>
      </c>
      <c r="H46">
        <v>-238.25298584445974</v>
      </c>
      <c r="I46">
        <v>35.758886317333797</v>
      </c>
      <c r="J46">
        <v>20.729231785295099</v>
      </c>
      <c r="K46">
        <v>6.6303150577170298</v>
      </c>
      <c r="L46">
        <v>3.142401714924506E-5</v>
      </c>
      <c r="M46">
        <v>1.8235490097227268E-6</v>
      </c>
      <c r="N46" s="1">
        <v>-2.42679122756683E-7</v>
      </c>
      <c r="O46" s="1">
        <v>5.9182312578899896E-11</v>
      </c>
      <c r="P46" s="1">
        <v>8.4736924666093203E-10</v>
      </c>
      <c r="Q46">
        <v>65.739538331317704</v>
      </c>
      <c r="S46">
        <v>20.8944533018954</v>
      </c>
      <c r="AA46">
        <v>1.89871536360033</v>
      </c>
      <c r="AB46">
        <v>8.9394850099846401</v>
      </c>
      <c r="AC46">
        <v>2.5278079932017801</v>
      </c>
      <c r="AJ46">
        <v>0.76721741900681795</v>
      </c>
      <c r="AK46">
        <v>9.0048526139451995E-2</v>
      </c>
      <c r="AL46">
        <v>0.142734054853729</v>
      </c>
    </row>
    <row r="47" spans="1:38" x14ac:dyDescent="0.2">
      <c r="A47">
        <v>153</v>
      </c>
      <c r="B47">
        <v>754</v>
      </c>
      <c r="C47">
        <v>180</v>
      </c>
      <c r="D47">
        <v>0.402142335588766</v>
      </c>
      <c r="E47">
        <v>18.2857073451374</v>
      </c>
      <c r="F47">
        <v>2.5629545147080202</v>
      </c>
      <c r="G47">
        <v>-296.00010566131812</v>
      </c>
      <c r="H47">
        <v>-256.49103256153882</v>
      </c>
      <c r="I47">
        <v>38.464755001488903</v>
      </c>
      <c r="J47">
        <v>22.319205966675899</v>
      </c>
      <c r="K47">
        <v>7.1346203142510998</v>
      </c>
      <c r="L47">
        <v>3.1457383855824582E-5</v>
      </c>
      <c r="M47">
        <v>1.8231427282524075E-6</v>
      </c>
      <c r="N47" s="1">
        <v>-2.6967650078416301E-7</v>
      </c>
      <c r="O47" s="1">
        <v>6.3572364244291096E-11</v>
      </c>
      <c r="P47" s="1">
        <v>9.3648434963512505E-10</v>
      </c>
      <c r="Q47">
        <v>65.706420407291702</v>
      </c>
      <c r="S47">
        <v>20.9252090767698</v>
      </c>
      <c r="AA47">
        <v>1.9318168076061</v>
      </c>
      <c r="AB47">
        <v>8.9463137543614693</v>
      </c>
      <c r="AC47">
        <v>2.49023995397084</v>
      </c>
      <c r="AJ47">
        <v>0.76777689223302004</v>
      </c>
      <c r="AK47">
        <v>9.1615222880509606E-2</v>
      </c>
      <c r="AL47">
        <v>0.14060788488647</v>
      </c>
    </row>
    <row r="48" spans="1:38" x14ac:dyDescent="0.2">
      <c r="A48">
        <v>154</v>
      </c>
      <c r="B48">
        <v>753</v>
      </c>
      <c r="C48">
        <v>180</v>
      </c>
      <c r="D48">
        <v>0.401491497344444</v>
      </c>
      <c r="E48">
        <v>18.8728143909271</v>
      </c>
      <c r="F48">
        <v>2.56326578517203</v>
      </c>
      <c r="G48">
        <v>-305.48538644769087</v>
      </c>
      <c r="H48">
        <v>-264.77060548550469</v>
      </c>
      <c r="I48">
        <v>39.677221616904198</v>
      </c>
      <c r="J48">
        <v>23.0447019877165</v>
      </c>
      <c r="K48">
        <v>7.3628004166022896</v>
      </c>
      <c r="L48">
        <v>3.1498449511153698E-5</v>
      </c>
      <c r="M48">
        <v>1.8231489276418668E-6</v>
      </c>
      <c r="N48" s="1">
        <v>-2.8740888840155698E-7</v>
      </c>
      <c r="O48" s="1">
        <v>6.5511666034986503E-11</v>
      </c>
      <c r="P48" s="1">
        <v>9.9268027803386792E-10</v>
      </c>
      <c r="Q48">
        <v>65.694043352647597</v>
      </c>
      <c r="S48">
        <v>20.938495672688902</v>
      </c>
      <c r="AA48">
        <v>1.94566640177926</v>
      </c>
      <c r="AB48">
        <v>8.9535646902957104</v>
      </c>
      <c r="AC48">
        <v>2.4682298825883402</v>
      </c>
      <c r="AJ48">
        <v>0.76837126404378697</v>
      </c>
      <c r="AK48">
        <v>9.2268680195002895E-2</v>
      </c>
      <c r="AL48">
        <v>0.139360055761209</v>
      </c>
    </row>
    <row r="49" spans="1:38" x14ac:dyDescent="0.2">
      <c r="A49">
        <v>156</v>
      </c>
      <c r="B49">
        <v>770</v>
      </c>
      <c r="C49">
        <v>160</v>
      </c>
      <c r="D49">
        <v>0.43347601016152998</v>
      </c>
      <c r="E49">
        <v>2.76480551603774E-2</v>
      </c>
      <c r="F49">
        <v>2.56592766304848</v>
      </c>
      <c r="G49">
        <v>-0.44962671087452216</v>
      </c>
      <c r="H49">
        <v>-0.38839750714603638</v>
      </c>
      <c r="I49">
        <v>5.8696451831937502E-2</v>
      </c>
      <c r="J49">
        <v>3.36657898640393E-2</v>
      </c>
      <c r="K49">
        <v>1.07750719392961E-2</v>
      </c>
      <c r="L49">
        <v>3.1106947490403651E-5</v>
      </c>
      <c r="M49">
        <v>1.8211512145743382E-6</v>
      </c>
      <c r="N49" s="1">
        <v>-2.55802776056721E-10</v>
      </c>
      <c r="O49" s="1">
        <v>9.6647202734516198E-14</v>
      </c>
      <c r="P49" s="1">
        <v>9.7755382660457509E-13</v>
      </c>
      <c r="Q49">
        <v>65.553264682035305</v>
      </c>
      <c r="S49">
        <v>21.180220923551001</v>
      </c>
      <c r="AA49">
        <v>2.17794098702876</v>
      </c>
      <c r="AB49">
        <v>9.2735611426483509</v>
      </c>
      <c r="AC49">
        <v>1.8150122647364599</v>
      </c>
      <c r="AJ49">
        <v>0.79456545414377</v>
      </c>
      <c r="AK49">
        <v>0.103119319332066</v>
      </c>
      <c r="AL49">
        <v>0.102315226524162</v>
      </c>
    </row>
    <row r="50" spans="1:38" x14ac:dyDescent="0.2">
      <c r="A50">
        <v>157</v>
      </c>
      <c r="B50">
        <v>769</v>
      </c>
      <c r="C50">
        <v>160</v>
      </c>
      <c r="D50">
        <v>0.43286523053303499</v>
      </c>
      <c r="E50">
        <v>0.44241214001222301</v>
      </c>
      <c r="F50">
        <v>2.5654818230697201</v>
      </c>
      <c r="G50">
        <v>-7.1930015758404471</v>
      </c>
      <c r="H50">
        <v>-6.2146647151847185</v>
      </c>
      <c r="I50">
        <v>0.93876779797124199</v>
      </c>
      <c r="J50">
        <v>0.53880309660126802</v>
      </c>
      <c r="K50">
        <v>0.172447972943677</v>
      </c>
      <c r="L50">
        <v>3.1144876001080707E-5</v>
      </c>
      <c r="M50">
        <v>1.8221457567203179E-6</v>
      </c>
      <c r="N50" s="1">
        <v>-4.2206343396864303E-9</v>
      </c>
      <c r="O50" s="1">
        <v>1.54687490223912E-12</v>
      </c>
      <c r="P50" s="1">
        <v>1.60117047072273E-11</v>
      </c>
      <c r="Q50">
        <v>65.595703195660306</v>
      </c>
      <c r="S50">
        <v>21.144168328094</v>
      </c>
      <c r="AA50">
        <v>2.1382947796449301</v>
      </c>
      <c r="AB50">
        <v>9.2736165286518908</v>
      </c>
      <c r="AC50">
        <v>1.8482171679487001</v>
      </c>
      <c r="AJ50">
        <v>0.79457065636477497</v>
      </c>
      <c r="AK50">
        <v>0.10124224221942001</v>
      </c>
      <c r="AL50">
        <v>0.10418710141580299</v>
      </c>
    </row>
    <row r="51" spans="1:38" x14ac:dyDescent="0.2">
      <c r="A51">
        <v>158</v>
      </c>
      <c r="B51">
        <v>768</v>
      </c>
      <c r="C51">
        <v>160</v>
      </c>
      <c r="D51">
        <v>0.43225327762570398</v>
      </c>
      <c r="E51">
        <v>1.0616335308499101</v>
      </c>
      <c r="F51">
        <v>2.56478721156794</v>
      </c>
      <c r="G51">
        <v>-17.255218916082786</v>
      </c>
      <c r="H51">
        <v>-14.910956311747084</v>
      </c>
      <c r="I51">
        <v>2.25160889817576</v>
      </c>
      <c r="J51">
        <v>1.29312363138207</v>
      </c>
      <c r="K51">
        <v>0.41392655346285201</v>
      </c>
      <c r="L51">
        <v>3.1182103900909158E-5</v>
      </c>
      <c r="M51">
        <v>1.8233430872830698E-6</v>
      </c>
      <c r="N51" s="1">
        <v>-1.04318681608287E-8</v>
      </c>
      <c r="O51" s="1">
        <v>3.7143990229560398E-12</v>
      </c>
      <c r="P51" s="1">
        <v>3.9300863769800499E-11</v>
      </c>
      <c r="Q51">
        <v>65.651492815406897</v>
      </c>
      <c r="S51">
        <v>21.0936732371947</v>
      </c>
      <c r="AA51">
        <v>2.08361806754968</v>
      </c>
      <c r="AB51">
        <v>9.26556125933487</v>
      </c>
      <c r="AC51">
        <v>1.9056546205137499</v>
      </c>
      <c r="AJ51">
        <v>0.79391312407348502</v>
      </c>
      <c r="AK51">
        <v>9.8657510981519606E-2</v>
      </c>
      <c r="AL51">
        <v>0.107429364944994</v>
      </c>
    </row>
    <row r="52" spans="1:38" x14ac:dyDescent="0.2">
      <c r="A52">
        <v>159</v>
      </c>
      <c r="B52">
        <v>767</v>
      </c>
      <c r="C52">
        <v>160</v>
      </c>
      <c r="D52">
        <v>0.43164014805557099</v>
      </c>
      <c r="E52">
        <v>2.3113407095268199</v>
      </c>
      <c r="F52">
        <v>2.5632844225707201</v>
      </c>
      <c r="G52">
        <v>-37.545892787006082</v>
      </c>
      <c r="H52">
        <v>-32.449386265475496</v>
      </c>
      <c r="I52">
        <v>4.8997803408456297</v>
      </c>
      <c r="J52">
        <v>2.8152939228189799</v>
      </c>
      <c r="K52">
        <v>0.90171059020004096</v>
      </c>
      <c r="L52">
        <v>3.1212553553535263E-5</v>
      </c>
      <c r="M52">
        <v>1.8251172231030564E-6</v>
      </c>
      <c r="N52" s="1">
        <v>-2.33029313787025E-8</v>
      </c>
      <c r="O52" s="1">
        <v>8.1034908024360601E-12</v>
      </c>
      <c r="P52" s="1">
        <v>8.7257540629834E-11</v>
      </c>
      <c r="Q52">
        <v>65.748078009473303</v>
      </c>
      <c r="S52">
        <v>20.9973936854588</v>
      </c>
      <c r="AA52">
        <v>1.9816496169126601</v>
      </c>
      <c r="AB52">
        <v>9.2283868235493802</v>
      </c>
      <c r="AC52">
        <v>2.0444918646057402</v>
      </c>
      <c r="AJ52">
        <v>0.79087541470124101</v>
      </c>
      <c r="AK52">
        <v>9.3846902464908802E-2</v>
      </c>
      <c r="AL52">
        <v>0.11527768283385</v>
      </c>
    </row>
    <row r="53" spans="1:38" x14ac:dyDescent="0.2">
      <c r="A53">
        <v>160</v>
      </c>
      <c r="B53">
        <v>766</v>
      </c>
      <c r="C53">
        <v>160</v>
      </c>
      <c r="D53">
        <v>0.43102583842564002</v>
      </c>
      <c r="E53">
        <v>3.6348358925695701</v>
      </c>
      <c r="F53">
        <v>2.5616388507229</v>
      </c>
      <c r="G53">
        <v>-59.00714029858328</v>
      </c>
      <c r="H53">
        <v>-51.00407498158097</v>
      </c>
      <c r="I53">
        <v>7.7015496482724402</v>
      </c>
      <c r="J53">
        <v>4.4269676175516599</v>
      </c>
      <c r="K53">
        <v>1.4189493930980099</v>
      </c>
      <c r="L53">
        <v>3.1232545555599226E-5</v>
      </c>
      <c r="M53">
        <v>1.8267240618003737E-6</v>
      </c>
      <c r="N53" s="1">
        <v>-3.7524185314474099E-8</v>
      </c>
      <c r="O53" s="1">
        <v>1.2772469468786901E-11</v>
      </c>
      <c r="P53" s="1">
        <v>1.3972691117059E-10</v>
      </c>
      <c r="Q53">
        <v>65.842814181474097</v>
      </c>
      <c r="S53">
        <v>20.896942722333499</v>
      </c>
      <c r="AA53">
        <v>1.8766711531886999</v>
      </c>
      <c r="AB53">
        <v>9.1761560439534993</v>
      </c>
      <c r="AC53">
        <v>2.2074158990500501</v>
      </c>
      <c r="AJ53">
        <v>0.78660481441316898</v>
      </c>
      <c r="AK53">
        <v>8.8898570722823297E-2</v>
      </c>
      <c r="AL53">
        <v>0.124496614864007</v>
      </c>
    </row>
    <row r="54" spans="1:38" x14ac:dyDescent="0.2">
      <c r="A54">
        <v>161</v>
      </c>
      <c r="B54">
        <v>765</v>
      </c>
      <c r="C54">
        <v>160</v>
      </c>
      <c r="D54">
        <v>0.43041034532582101</v>
      </c>
      <c r="E54">
        <v>5.0662230206867598</v>
      </c>
      <c r="F54">
        <v>2.5597737189694101</v>
      </c>
      <c r="G54">
        <v>-82.182517703354989</v>
      </c>
      <c r="H54">
        <v>-71.044718133815763</v>
      </c>
      <c r="I54">
        <v>10.728507026479001</v>
      </c>
      <c r="J54">
        <v>6.1690725059484599</v>
      </c>
      <c r="K54">
        <v>1.9791683081762601</v>
      </c>
      <c r="L54">
        <v>3.1238040725968287E-5</v>
      </c>
      <c r="M54">
        <v>1.8281313323045597E-6</v>
      </c>
      <c r="N54" s="1">
        <v>-5.34011460514467E-8</v>
      </c>
      <c r="O54" s="1">
        <v>1.78484455567724E-11</v>
      </c>
      <c r="P54" s="1">
        <v>1.97869427950067E-10</v>
      </c>
      <c r="Q54">
        <v>65.936667928322393</v>
      </c>
      <c r="S54">
        <v>20.789177998835601</v>
      </c>
      <c r="AA54">
        <v>1.7658646641162501</v>
      </c>
      <c r="AB54">
        <v>9.1027848535482807</v>
      </c>
      <c r="AC54">
        <v>2.4055045551773899</v>
      </c>
      <c r="AJ54">
        <v>0.78060130174687403</v>
      </c>
      <c r="AK54">
        <v>8.3680294410844194E-2</v>
      </c>
      <c r="AL54">
        <v>0.13571840384228101</v>
      </c>
    </row>
    <row r="55" spans="1:38" x14ac:dyDescent="0.2">
      <c r="A55">
        <v>162</v>
      </c>
      <c r="B55">
        <v>764</v>
      </c>
      <c r="C55">
        <v>160</v>
      </c>
      <c r="D55">
        <v>0.42979366533288699</v>
      </c>
      <c r="E55">
        <v>6.6748982635092799</v>
      </c>
      <c r="F55">
        <v>2.5575361315239098</v>
      </c>
      <c r="G55">
        <v>-108.17826216623986</v>
      </c>
      <c r="H55">
        <v>-93.52708201719723</v>
      </c>
      <c r="I55">
        <v>14.1263849482163</v>
      </c>
      <c r="J55">
        <v>8.1248658407432597</v>
      </c>
      <c r="K55">
        <v>2.6098940230932399</v>
      </c>
      <c r="L55">
        <v>3.1220946037313533E-5</v>
      </c>
      <c r="M55">
        <v>1.8292733753924955E-6</v>
      </c>
      <c r="N55" s="1">
        <v>-7.1510178083370403E-8</v>
      </c>
      <c r="O55" s="1">
        <v>2.3590835927816E-11</v>
      </c>
      <c r="P55" s="1">
        <v>2.6391695254417002E-10</v>
      </c>
      <c r="Q55">
        <v>66.0315199392751</v>
      </c>
      <c r="S55">
        <v>20.667838364265201</v>
      </c>
      <c r="AA55">
        <v>1.6436258031314901</v>
      </c>
      <c r="AB55">
        <v>8.9960498469397798</v>
      </c>
      <c r="AC55">
        <v>2.6609660463883298</v>
      </c>
      <c r="AJ55">
        <v>0.77185932486351605</v>
      </c>
      <c r="AK55">
        <v>7.7929168611818603E-2</v>
      </c>
      <c r="AL55">
        <v>0.150211506524664</v>
      </c>
    </row>
    <row r="56" spans="1:38" x14ac:dyDescent="0.2">
      <c r="A56">
        <v>163</v>
      </c>
      <c r="B56">
        <v>763</v>
      </c>
      <c r="C56">
        <v>160</v>
      </c>
      <c r="D56">
        <v>0.42917579501038</v>
      </c>
      <c r="E56">
        <v>8.6293220580623906</v>
      </c>
      <c r="F56">
        <v>2.5546447862180002</v>
      </c>
      <c r="G56">
        <v>-139.6810659661196</v>
      </c>
      <c r="H56">
        <v>-120.77251205731608</v>
      </c>
      <c r="I56">
        <v>18.248857702845601</v>
      </c>
      <c r="J56">
        <v>10.496392780535199</v>
      </c>
      <c r="K56">
        <v>3.3778950813892101</v>
      </c>
      <c r="L56">
        <v>3.1162468331915116E-5</v>
      </c>
      <c r="M56">
        <v>1.8299314106726463E-6</v>
      </c>
      <c r="N56" s="1">
        <v>-9.3174868712341695E-8</v>
      </c>
      <c r="O56" s="1">
        <v>3.0628190073112598E-11</v>
      </c>
      <c r="P56" s="1">
        <v>3.4307286289476302E-10</v>
      </c>
      <c r="Q56">
        <v>66.127535741877594</v>
      </c>
      <c r="S56">
        <v>20.522589097797699</v>
      </c>
      <c r="AA56">
        <v>1.5013896961450599</v>
      </c>
      <c r="AB56">
        <v>8.8292260791404402</v>
      </c>
      <c r="AC56">
        <v>3.0192593850390699</v>
      </c>
      <c r="AJ56">
        <v>0.75817639776531098</v>
      </c>
      <c r="AK56">
        <v>7.1244582293861297E-2</v>
      </c>
      <c r="AL56">
        <v>0.170579019940826</v>
      </c>
    </row>
    <row r="57" spans="1:38" x14ac:dyDescent="0.2">
      <c r="A57">
        <v>164</v>
      </c>
      <c r="B57">
        <v>762</v>
      </c>
      <c r="C57">
        <v>160</v>
      </c>
      <c r="D57">
        <v>0.428556730908567</v>
      </c>
      <c r="E57">
        <v>10.0598115383956</v>
      </c>
      <c r="F57">
        <v>2.55629258931681</v>
      </c>
      <c r="G57">
        <v>-162.87981063076106</v>
      </c>
      <c r="H57">
        <v>-140.87069396404226</v>
      </c>
      <c r="I57">
        <v>21.261765605679098</v>
      </c>
      <c r="J57">
        <v>12.2413747680211</v>
      </c>
      <c r="K57">
        <v>3.9353130312380298</v>
      </c>
      <c r="L57">
        <v>3.118273697502727E-5</v>
      </c>
      <c r="M57">
        <v>1.8284494261722885E-6</v>
      </c>
      <c r="N57" s="1">
        <v>-1.12447629836103E-7</v>
      </c>
      <c r="O57" s="1">
        <v>3.55815765534219E-11</v>
      </c>
      <c r="P57" s="1">
        <v>4.1111833818871602E-10</v>
      </c>
      <c r="Q57">
        <v>66.030196784361493</v>
      </c>
      <c r="S57">
        <v>20.6160860162997</v>
      </c>
      <c r="AA57">
        <v>1.60123832626871</v>
      </c>
      <c r="AB57">
        <v>8.8574257587038794</v>
      </c>
      <c r="AC57">
        <v>2.89505311436608</v>
      </c>
      <c r="AJ57">
        <v>0.76048970417985695</v>
      </c>
      <c r="AK57">
        <v>7.5971829485946898E-2</v>
      </c>
      <c r="AL57">
        <v>0.163538466334195</v>
      </c>
    </row>
    <row r="58" spans="1:38" x14ac:dyDescent="0.2">
      <c r="A58">
        <v>165</v>
      </c>
      <c r="B58">
        <v>761</v>
      </c>
      <c r="C58">
        <v>160</v>
      </c>
      <c r="D58">
        <v>0.42793646956437897</v>
      </c>
      <c r="E58">
        <v>13.8451062591332</v>
      </c>
      <c r="F58">
        <v>2.5589265782704298</v>
      </c>
      <c r="G58">
        <v>-224.27197151011498</v>
      </c>
      <c r="H58">
        <v>-194.03027948450762</v>
      </c>
      <c r="I58">
        <v>29.243042136641002</v>
      </c>
      <c r="J58">
        <v>16.8545847274344</v>
      </c>
      <c r="K58">
        <v>5.4105132897134798</v>
      </c>
      <c r="L58">
        <v>3.1179571549336492E-5</v>
      </c>
      <c r="M58">
        <v>1.8254220854560621E-6</v>
      </c>
      <c r="N58" s="1">
        <v>-1.6014168511216299E-7</v>
      </c>
      <c r="O58" s="1">
        <v>4.8714693280666402E-11</v>
      </c>
      <c r="P58" s="1">
        <v>5.8157710853422698E-10</v>
      </c>
      <c r="Q58">
        <v>65.854404736750496</v>
      </c>
      <c r="S58">
        <v>20.7755237947209</v>
      </c>
      <c r="AA58">
        <v>1.7737947970572301</v>
      </c>
      <c r="AB58">
        <v>8.8836694706520998</v>
      </c>
      <c r="AC58">
        <v>2.7126072008192201</v>
      </c>
      <c r="AJ58">
        <v>0.76264066135083297</v>
      </c>
      <c r="AK58">
        <v>8.4147599642089593E-2</v>
      </c>
      <c r="AL58">
        <v>0.15321173900707599</v>
      </c>
    </row>
    <row r="59" spans="1:38" x14ac:dyDescent="0.2">
      <c r="A59">
        <v>166</v>
      </c>
      <c r="B59">
        <v>760</v>
      </c>
      <c r="C59">
        <v>160</v>
      </c>
      <c r="D59">
        <v>0.427315007501331</v>
      </c>
      <c r="E59">
        <v>16.319035368744</v>
      </c>
      <c r="F59">
        <v>2.5604739193754198</v>
      </c>
      <c r="G59">
        <v>-264.39965717449371</v>
      </c>
      <c r="H59">
        <v>-228.81116418073663</v>
      </c>
      <c r="I59">
        <v>34.446588582255202</v>
      </c>
      <c r="J59">
        <v>19.8728965854622</v>
      </c>
      <c r="K59">
        <v>6.37344330877806</v>
      </c>
      <c r="L59">
        <v>3.1187604018598692E-5</v>
      </c>
      <c r="M59">
        <v>1.8236329823370357E-6</v>
      </c>
      <c r="N59" s="1">
        <v>-1.94947511830118E-7</v>
      </c>
      <c r="O59" s="1">
        <v>5.7222453598417298E-11</v>
      </c>
      <c r="P59" s="1">
        <v>7.0351992385727402E-10</v>
      </c>
      <c r="Q59">
        <v>65.749402815122494</v>
      </c>
      <c r="S59">
        <v>20.8691076047878</v>
      </c>
      <c r="AA59">
        <v>1.87550316152769</v>
      </c>
      <c r="AB59">
        <v>8.8950204430982502</v>
      </c>
      <c r="AC59">
        <v>2.6109659754635799</v>
      </c>
      <c r="AJ59">
        <v>0.76357037427112995</v>
      </c>
      <c r="AK59">
        <v>8.8967361362014705E-2</v>
      </c>
      <c r="AL59">
        <v>0.147462264366855</v>
      </c>
    </row>
    <row r="60" spans="1:38" x14ac:dyDescent="0.2">
      <c r="A60">
        <v>167</v>
      </c>
      <c r="B60">
        <v>759</v>
      </c>
      <c r="C60">
        <v>160</v>
      </c>
      <c r="D60">
        <v>0.42669234122947503</v>
      </c>
      <c r="E60">
        <v>17.555457896926999</v>
      </c>
      <c r="F60">
        <v>2.5612615852059801</v>
      </c>
      <c r="G60">
        <v>-284.4428425974894</v>
      </c>
      <c r="H60">
        <v>-246.21768251804622</v>
      </c>
      <c r="I60">
        <v>37.034500876270997</v>
      </c>
      <c r="J60">
        <v>21.385340518880501</v>
      </c>
      <c r="K60">
        <v>6.8542229338574803</v>
      </c>
      <c r="L60">
        <v>3.1210649845385105E-5</v>
      </c>
      <c r="M60">
        <v>1.8229043002270496E-6</v>
      </c>
      <c r="N60" s="1">
        <v>-2.1651766886586201E-7</v>
      </c>
      <c r="O60" s="1">
        <v>6.1425291579003297E-11</v>
      </c>
      <c r="P60" s="1">
        <v>7.7653495518197896E-10</v>
      </c>
      <c r="Q60">
        <v>65.700322533370795</v>
      </c>
      <c r="S60">
        <v>20.913819667120801</v>
      </c>
      <c r="AA60">
        <v>1.9238432835435899</v>
      </c>
      <c r="AB60">
        <v>8.9028661511645204</v>
      </c>
      <c r="AC60">
        <v>2.5591483648002198</v>
      </c>
      <c r="AJ60">
        <v>0.76421328153489698</v>
      </c>
      <c r="AK60">
        <v>9.1256796449734501E-2</v>
      </c>
      <c r="AL60">
        <v>0.14452992201536699</v>
      </c>
    </row>
    <row r="61" spans="1:38" x14ac:dyDescent="0.2">
      <c r="A61">
        <v>168</v>
      </c>
      <c r="B61">
        <v>758</v>
      </c>
      <c r="C61">
        <v>160</v>
      </c>
      <c r="D61">
        <v>0.426068467245311</v>
      </c>
      <c r="E61">
        <v>18.173524777403699</v>
      </c>
      <c r="F61">
        <v>2.5617052821454802</v>
      </c>
      <c r="G61">
        <v>-294.44732624000557</v>
      </c>
      <c r="H61">
        <v>-254.93729171519323</v>
      </c>
      <c r="I61">
        <v>38.316476288427801</v>
      </c>
      <c r="J61">
        <v>22.145352161518801</v>
      </c>
      <c r="K61">
        <v>7.0943074147010901</v>
      </c>
      <c r="L61">
        <v>3.1242300727322388E-5</v>
      </c>
      <c r="M61">
        <v>1.8226921741298791E-6</v>
      </c>
      <c r="N61" s="1">
        <v>-2.3141155091804601E-7</v>
      </c>
      <c r="O61" s="1">
        <v>6.3486825315032901E-11</v>
      </c>
      <c r="P61" s="1">
        <v>8.2490554062699699E-10</v>
      </c>
      <c r="Q61">
        <v>65.677710950566905</v>
      </c>
      <c r="S61">
        <v>20.935887799016399</v>
      </c>
      <c r="AA61">
        <v>1.94732582204426</v>
      </c>
      <c r="AB61">
        <v>8.9103319280879294</v>
      </c>
      <c r="AC61">
        <v>2.5287435002844201</v>
      </c>
      <c r="AJ61">
        <v>0.76482537767456804</v>
      </c>
      <c r="AK61">
        <v>9.2367208827029201E-2</v>
      </c>
      <c r="AL61">
        <v>0.14280741349840201</v>
      </c>
    </row>
    <row r="62" spans="1:38" x14ac:dyDescent="0.2">
      <c r="A62">
        <v>170</v>
      </c>
      <c r="B62">
        <v>779</v>
      </c>
      <c r="C62">
        <v>140</v>
      </c>
      <c r="D62">
        <v>0.45983034738392797</v>
      </c>
      <c r="E62">
        <v>0.18970072235322699</v>
      </c>
      <c r="F62">
        <v>2.5641217039017201</v>
      </c>
      <c r="G62">
        <v>-3.0901272059340155</v>
      </c>
      <c r="H62">
        <v>-2.6642429705843771</v>
      </c>
      <c r="I62">
        <v>0.40477520823992502</v>
      </c>
      <c r="J62">
        <v>0.23065524858682099</v>
      </c>
      <c r="K62">
        <v>7.3982729472071102E-2</v>
      </c>
      <c r="L62">
        <v>3.089951145350365E-5</v>
      </c>
      <c r="M62">
        <v>1.8215677259175425E-6</v>
      </c>
      <c r="N62" s="1">
        <v>-1.30978984988957E-9</v>
      </c>
      <c r="O62" s="1">
        <v>6.67261965159166E-13</v>
      </c>
      <c r="P62" s="1">
        <v>5.4053930115398501E-12</v>
      </c>
      <c r="Q62">
        <v>65.575050811873794</v>
      </c>
      <c r="S62">
        <v>21.166091641399099</v>
      </c>
      <c r="AA62">
        <v>2.1612006890188198</v>
      </c>
      <c r="AB62">
        <v>9.2850686147747794</v>
      </c>
      <c r="AC62">
        <v>1.8125882429333</v>
      </c>
      <c r="AJ62">
        <v>0.79550630405115497</v>
      </c>
      <c r="AK62">
        <v>0.102320910445581</v>
      </c>
      <c r="AL62">
        <v>0.102172785503263</v>
      </c>
    </row>
    <row r="63" spans="1:38" x14ac:dyDescent="0.2">
      <c r="A63">
        <v>171</v>
      </c>
      <c r="B63">
        <v>778</v>
      </c>
      <c r="C63">
        <v>140</v>
      </c>
      <c r="D63">
        <v>0.45924986919088701</v>
      </c>
      <c r="E63">
        <v>0.58960848388311804</v>
      </c>
      <c r="F63">
        <v>2.5637077135183</v>
      </c>
      <c r="G63">
        <v>-9.6021778794223849</v>
      </c>
      <c r="H63">
        <v>-8.2803975140453279</v>
      </c>
      <c r="I63">
        <v>1.2574612237806699</v>
      </c>
      <c r="J63">
        <v>0.71698330595332105</v>
      </c>
      <c r="K63">
        <v>0.22998272415148599</v>
      </c>
      <c r="L63">
        <v>3.0930558641794137E-5</v>
      </c>
      <c r="M63">
        <v>1.8224926561418017E-6</v>
      </c>
      <c r="N63" s="1">
        <v>-4.1994932337646798E-9</v>
      </c>
      <c r="O63" s="1">
        <v>2.0746242902331602E-12</v>
      </c>
      <c r="P63" s="1">
        <v>1.7175166662370301E-11</v>
      </c>
      <c r="Q63">
        <v>65.614882794669896</v>
      </c>
      <c r="S63">
        <v>21.132284383015801</v>
      </c>
      <c r="AA63">
        <v>2.1240151060465799</v>
      </c>
      <c r="AB63">
        <v>9.2852019296349493</v>
      </c>
      <c r="AC63">
        <v>1.8436157866326</v>
      </c>
      <c r="AJ63">
        <v>0.79551783373987806</v>
      </c>
      <c r="AK63">
        <v>0.100560392198489</v>
      </c>
      <c r="AL63">
        <v>0.103921774061632</v>
      </c>
    </row>
    <row r="64" spans="1:38" x14ac:dyDescent="0.2">
      <c r="A64">
        <v>172</v>
      </c>
      <c r="B64">
        <v>777</v>
      </c>
      <c r="C64">
        <v>140</v>
      </c>
      <c r="D64">
        <v>0.45866828548302802</v>
      </c>
      <c r="E64">
        <v>0.99002326539001995</v>
      </c>
      <c r="F64">
        <v>2.5632997982044898</v>
      </c>
      <c r="G64">
        <v>-16.119432069694195</v>
      </c>
      <c r="H64">
        <v>-13.903216783337042</v>
      </c>
      <c r="I64">
        <v>2.1103797422817201</v>
      </c>
      <c r="J64">
        <v>1.20404515239078</v>
      </c>
      <c r="K64">
        <v>0.38622999388659102</v>
      </c>
      <c r="L64">
        <v>3.096130667442326E-5</v>
      </c>
      <c r="M64">
        <v>1.8233885237980621E-6</v>
      </c>
      <c r="N64" s="1">
        <v>-7.2726953550590801E-9</v>
      </c>
      <c r="O64" s="1">
        <v>3.48463199436613E-12</v>
      </c>
      <c r="P64" s="1">
        <v>2.9483707756546903E-11</v>
      </c>
      <c r="Q64">
        <v>65.653524555385005</v>
      </c>
      <c r="S64">
        <v>21.099200324138799</v>
      </c>
      <c r="AA64">
        <v>2.0877038921232098</v>
      </c>
      <c r="AB64">
        <v>9.2845788599327896</v>
      </c>
      <c r="AC64">
        <v>1.87499236842012</v>
      </c>
      <c r="AJ64">
        <v>0.79546752869378601</v>
      </c>
      <c r="AK64">
        <v>9.8841638967211404E-2</v>
      </c>
      <c r="AL64">
        <v>0.10569083233900201</v>
      </c>
    </row>
    <row r="65" spans="1:38" x14ac:dyDescent="0.2">
      <c r="A65">
        <v>173</v>
      </c>
      <c r="B65">
        <v>776</v>
      </c>
      <c r="C65">
        <v>140</v>
      </c>
      <c r="D65">
        <v>0.45808559309917701</v>
      </c>
      <c r="E65">
        <v>1.3907932087991</v>
      </c>
      <c r="F65">
        <v>2.5628978735425498</v>
      </c>
      <c r="G65">
        <v>-22.639398120211876</v>
      </c>
      <c r="H65">
        <v>-19.530560234253798</v>
      </c>
      <c r="I65">
        <v>2.9631967649602799</v>
      </c>
      <c r="J65">
        <v>1.69166025939987</v>
      </c>
      <c r="K65">
        <v>0.54266431103502399</v>
      </c>
      <c r="L65">
        <v>3.0991778463814246E-5</v>
      </c>
      <c r="M65">
        <v>1.8242558457638609E-6</v>
      </c>
      <c r="N65" s="1">
        <v>-1.05354000723676E-8</v>
      </c>
      <c r="O65" s="1">
        <v>4.8966296190759999E-12</v>
      </c>
      <c r="P65" s="1">
        <v>4.2346782375757403E-11</v>
      </c>
      <c r="Q65">
        <v>65.690994142452894</v>
      </c>
      <c r="S65">
        <v>21.066828066541099</v>
      </c>
      <c r="AA65">
        <v>2.0522534322395001</v>
      </c>
      <c r="AB65">
        <v>9.2832097437017804</v>
      </c>
      <c r="AC65">
        <v>1.90671461506457</v>
      </c>
      <c r="AJ65">
        <v>0.79535623281394996</v>
      </c>
      <c r="AK65">
        <v>9.7163982433327606E-2</v>
      </c>
      <c r="AL65">
        <v>0.10747978475272101</v>
      </c>
    </row>
    <row r="66" spans="1:38" x14ac:dyDescent="0.2">
      <c r="A66">
        <v>174</v>
      </c>
      <c r="B66">
        <v>775</v>
      </c>
      <c r="C66">
        <v>140</v>
      </c>
      <c r="D66">
        <v>0.45750178886609999</v>
      </c>
      <c r="E66">
        <v>1.7917700776257399</v>
      </c>
      <c r="F66">
        <v>2.5625018448984198</v>
      </c>
      <c r="G66">
        <v>-29.159645821978089</v>
      </c>
      <c r="H66">
        <v>-25.160338536695122</v>
      </c>
      <c r="I66">
        <v>3.8155867817420801</v>
      </c>
      <c r="J66">
        <v>2.1796527482283601</v>
      </c>
      <c r="K66">
        <v>0.69922684395053303</v>
      </c>
      <c r="L66">
        <v>3.1021997961454468E-5</v>
      </c>
      <c r="M66">
        <v>1.8250951672713267E-6</v>
      </c>
      <c r="N66" s="1">
        <v>-1.3993810698673701E-8</v>
      </c>
      <c r="O66" s="1">
        <v>6.30997289062181E-12</v>
      </c>
      <c r="P66" s="1">
        <v>5.5780728719740702E-11</v>
      </c>
      <c r="Q66">
        <v>65.727310829615305</v>
      </c>
      <c r="S66">
        <v>21.035155334477899</v>
      </c>
      <c r="AA66">
        <v>2.0176491015160298</v>
      </c>
      <c r="AB66">
        <v>9.2811053489802902</v>
      </c>
      <c r="AC66">
        <v>1.9387793854103801</v>
      </c>
      <c r="AJ66">
        <v>0.79518482385299305</v>
      </c>
      <c r="AK66">
        <v>9.55267075028505E-2</v>
      </c>
      <c r="AL66">
        <v>0.10928846864415501</v>
      </c>
    </row>
    <row r="67" spans="1:38" x14ac:dyDescent="0.2">
      <c r="A67">
        <v>175</v>
      </c>
      <c r="B67">
        <v>774</v>
      </c>
      <c r="C67">
        <v>140</v>
      </c>
      <c r="D67">
        <v>0.45691686959843703</v>
      </c>
      <c r="E67">
        <v>2.7396686196544802</v>
      </c>
      <c r="F67">
        <v>2.5614406647182602</v>
      </c>
      <c r="G67">
        <v>-44.566187181361961</v>
      </c>
      <c r="H67">
        <v>-38.459957002092565</v>
      </c>
      <c r="I67">
        <v>5.8312850873985402</v>
      </c>
      <c r="J67">
        <v>3.3327566664519499</v>
      </c>
      <c r="K67">
        <v>1.0695811374400199</v>
      </c>
      <c r="L67">
        <v>3.1047420395836031E-5</v>
      </c>
      <c r="M67">
        <v>1.8264158259207827E-6</v>
      </c>
      <c r="N67" s="1">
        <v>-2.1986966561426599E-8</v>
      </c>
      <c r="O67" s="1">
        <v>9.6615311575532598E-12</v>
      </c>
      <c r="P67" s="1">
        <v>8.6993544013129003E-11</v>
      </c>
      <c r="Q67">
        <v>65.797334163054998</v>
      </c>
      <c r="S67">
        <v>20.965756246180401</v>
      </c>
      <c r="AA67">
        <v>1.94405515550291</v>
      </c>
      <c r="AB67">
        <v>9.2552098605805195</v>
      </c>
      <c r="AC67">
        <v>2.03764457468111</v>
      </c>
      <c r="AJ67">
        <v>0.793069262577902</v>
      </c>
      <c r="AK67">
        <v>9.2054329670956794E-2</v>
      </c>
      <c r="AL67">
        <v>0.11487640775114</v>
      </c>
    </row>
    <row r="68" spans="1:38" x14ac:dyDescent="0.2">
      <c r="A68">
        <v>176</v>
      </c>
      <c r="B68">
        <v>773</v>
      </c>
      <c r="C68">
        <v>140</v>
      </c>
      <c r="D68">
        <v>0.456330832098647</v>
      </c>
      <c r="E68">
        <v>4.0204667023643701</v>
      </c>
      <c r="F68">
        <v>2.5599404003269401</v>
      </c>
      <c r="G68">
        <v>-65.361692108876298</v>
      </c>
      <c r="H68">
        <v>-56.413872918369925</v>
      </c>
      <c r="I68">
        <v>8.5530939067116396</v>
      </c>
      <c r="J68">
        <v>4.8902584810013403</v>
      </c>
      <c r="K68">
        <v>1.57053136934395</v>
      </c>
      <c r="L68">
        <v>3.1062967673297091E-5</v>
      </c>
      <c r="M68">
        <v>1.8278611255556699E-6</v>
      </c>
      <c r="N68" s="1">
        <v>-3.3049070297320002E-8</v>
      </c>
      <c r="O68" s="1">
        <v>1.4208202191276201E-11</v>
      </c>
      <c r="P68" s="1">
        <v>1.29906672395499E-10</v>
      </c>
      <c r="Q68">
        <v>65.883111660324403</v>
      </c>
      <c r="S68">
        <v>20.874251172749801</v>
      </c>
      <c r="AA68">
        <v>1.84854752665133</v>
      </c>
      <c r="AB68">
        <v>9.2064679675703598</v>
      </c>
      <c r="AC68">
        <v>2.1876216727040099</v>
      </c>
      <c r="AJ68">
        <v>0.78908501813668697</v>
      </c>
      <c r="AK68">
        <v>8.7553227966462296E-2</v>
      </c>
      <c r="AL68">
        <v>0.123361753896849</v>
      </c>
    </row>
    <row r="69" spans="1:38" x14ac:dyDescent="0.2">
      <c r="A69">
        <v>177</v>
      </c>
      <c r="B69">
        <v>772</v>
      </c>
      <c r="C69">
        <v>140</v>
      </c>
      <c r="D69">
        <v>0.45574367315696301</v>
      </c>
      <c r="E69">
        <v>5.3883605516033501</v>
      </c>
      <c r="F69">
        <v>2.5582754121555702</v>
      </c>
      <c r="G69">
        <v>-87.540080310184194</v>
      </c>
      <c r="H69">
        <v>-75.565878126715788</v>
      </c>
      <c r="I69">
        <v>11.4569221484651</v>
      </c>
      <c r="J69">
        <v>6.5527705566710299</v>
      </c>
      <c r="K69">
        <v>2.1062472500031499</v>
      </c>
      <c r="L69">
        <v>3.1066941252291295E-5</v>
      </c>
      <c r="M69">
        <v>1.8291259516858707E-6</v>
      </c>
      <c r="N69" s="1">
        <v>-4.5258079656749798E-8</v>
      </c>
      <c r="O69" s="1">
        <v>1.9086906564840701E-11</v>
      </c>
      <c r="P69" s="1">
        <v>1.7685345012345901E-10</v>
      </c>
      <c r="Q69">
        <v>65.967136922205</v>
      </c>
      <c r="S69">
        <v>20.7777158701895</v>
      </c>
      <c r="AA69">
        <v>1.7492987674358</v>
      </c>
      <c r="AB69">
        <v>9.14063391230966</v>
      </c>
      <c r="AC69">
        <v>2.36521452785983</v>
      </c>
      <c r="AJ69">
        <v>0.78370004555593298</v>
      </c>
      <c r="AK69">
        <v>8.2879731783149696E-2</v>
      </c>
      <c r="AL69">
        <v>0.13342022266091599</v>
      </c>
    </row>
    <row r="70" spans="1:38" x14ac:dyDescent="0.2">
      <c r="A70">
        <v>178</v>
      </c>
      <c r="B70">
        <v>771</v>
      </c>
      <c r="C70">
        <v>140</v>
      </c>
      <c r="D70">
        <v>0.45515538955130802</v>
      </c>
      <c r="E70">
        <v>6.8895005115749202</v>
      </c>
      <c r="F70">
        <v>2.5563525281452599</v>
      </c>
      <c r="G70">
        <v>-111.83750729407026</v>
      </c>
      <c r="H70">
        <v>-96.551179377157666</v>
      </c>
      <c r="I70">
        <v>14.639973104355199</v>
      </c>
      <c r="J70">
        <v>8.3755599500489009</v>
      </c>
      <c r="K70">
        <v>2.6950510290431402</v>
      </c>
      <c r="L70">
        <v>3.1054376219899395E-5</v>
      </c>
      <c r="M70">
        <v>1.8301651092747995E-6</v>
      </c>
      <c r="N70" s="1">
        <v>-5.8917109318823899E-8</v>
      </c>
      <c r="O70" s="1">
        <v>2.4470932720826E-11</v>
      </c>
      <c r="P70" s="1">
        <v>2.2908466626753499E-10</v>
      </c>
      <c r="Q70">
        <v>66.050355660463893</v>
      </c>
      <c r="S70">
        <v>20.672409608313998</v>
      </c>
      <c r="AA70">
        <v>1.6430020682388899</v>
      </c>
      <c r="AB70">
        <v>9.0500083522541797</v>
      </c>
      <c r="AC70">
        <v>2.58422431072893</v>
      </c>
      <c r="AJ70">
        <v>0.77628092175154295</v>
      </c>
      <c r="AK70">
        <v>7.7878725090696696E-2</v>
      </c>
      <c r="AL70">
        <v>0.14584035315775901</v>
      </c>
    </row>
    <row r="71" spans="1:38" x14ac:dyDescent="0.2">
      <c r="A71">
        <v>179</v>
      </c>
      <c r="B71">
        <v>770</v>
      </c>
      <c r="C71">
        <v>140</v>
      </c>
      <c r="D71">
        <v>0.45456597804726301</v>
      </c>
      <c r="E71">
        <v>8.6234628021767392</v>
      </c>
      <c r="F71">
        <v>2.5539783578293598</v>
      </c>
      <c r="G71">
        <v>-139.84236717913763</v>
      </c>
      <c r="H71">
        <v>-120.74020060940059</v>
      </c>
      <c r="I71">
        <v>18.312003613801501</v>
      </c>
      <c r="J71">
        <v>10.477840243661401</v>
      </c>
      <c r="K71">
        <v>3.3764823322566602</v>
      </c>
      <c r="L71">
        <v>3.1014778350874223E-5</v>
      </c>
      <c r="M71">
        <v>1.8308799318081766E-6</v>
      </c>
      <c r="N71" s="1">
        <v>-7.46377643181019E-8</v>
      </c>
      <c r="O71" s="1">
        <v>3.07350020392286E-11</v>
      </c>
      <c r="P71" s="1">
        <v>2.8917711609645499E-10</v>
      </c>
      <c r="Q71">
        <v>66.134568614592297</v>
      </c>
      <c r="S71">
        <v>20.550597930869301</v>
      </c>
      <c r="AA71">
        <v>1.52285624551425</v>
      </c>
      <c r="AB71">
        <v>8.9183272561914695</v>
      </c>
      <c r="AC71">
        <v>2.8736499528325701</v>
      </c>
      <c r="AJ71">
        <v>0.76548822673001204</v>
      </c>
      <c r="AK71">
        <v>7.2231196682398705E-2</v>
      </c>
      <c r="AL71">
        <v>0.16228057658758899</v>
      </c>
    </row>
    <row r="72" spans="1:38" x14ac:dyDescent="0.2">
      <c r="A72">
        <v>180</v>
      </c>
      <c r="B72">
        <v>769</v>
      </c>
      <c r="C72">
        <v>140</v>
      </c>
      <c r="D72">
        <v>0.45397543539797802</v>
      </c>
      <c r="E72">
        <v>10.6646944666427</v>
      </c>
      <c r="F72">
        <v>2.55118185098959</v>
      </c>
      <c r="G72">
        <v>-172.7237065544148</v>
      </c>
      <c r="H72">
        <v>-149.14245601150262</v>
      </c>
      <c r="I72">
        <v>22.627501360564299</v>
      </c>
      <c r="J72">
        <v>12.9470620977455</v>
      </c>
      <c r="K72">
        <v>4.1802956784542502</v>
      </c>
      <c r="L72">
        <v>3.093305399104896E-5</v>
      </c>
      <c r="M72">
        <v>1.8308621894060387E-6</v>
      </c>
      <c r="N72" s="1">
        <v>-9.2625404426038098E-8</v>
      </c>
      <c r="O72" s="1">
        <v>3.8165576295068703E-11</v>
      </c>
      <c r="P72" s="1">
        <v>3.5830298574570798E-10</v>
      </c>
      <c r="Q72">
        <v>66.205220682829705</v>
      </c>
      <c r="S72">
        <v>20.418613725860599</v>
      </c>
      <c r="AA72">
        <v>1.39748223072433</v>
      </c>
      <c r="AB72">
        <v>8.7297578494983306</v>
      </c>
      <c r="AC72">
        <v>3.2489255110869601</v>
      </c>
      <c r="AJ72">
        <v>0.75000745196367002</v>
      </c>
      <c r="AK72">
        <v>6.6346874096022496E-2</v>
      </c>
      <c r="AL72">
        <v>0.18364567394030701</v>
      </c>
    </row>
    <row r="73" spans="1:38" x14ac:dyDescent="0.2">
      <c r="A73">
        <v>181</v>
      </c>
      <c r="B73">
        <v>768</v>
      </c>
      <c r="C73">
        <v>140</v>
      </c>
      <c r="D73">
        <v>0.45338375834414102</v>
      </c>
      <c r="E73">
        <v>11.1522817971743</v>
      </c>
      <c r="F73">
        <v>2.5531025351057499</v>
      </c>
      <c r="G73">
        <v>-180.6871415910966</v>
      </c>
      <c r="H73">
        <v>-156.06444326043305</v>
      </c>
      <c r="I73">
        <v>23.6495205596345</v>
      </c>
      <c r="J73">
        <v>13.544893115100299</v>
      </c>
      <c r="K73">
        <v>4.3681292246699099</v>
      </c>
      <c r="L73">
        <v>3.0955850731804797E-5</v>
      </c>
      <c r="M73">
        <v>1.8293612039158429E-6</v>
      </c>
      <c r="N73" s="1">
        <v>-1.00536739494339E-7</v>
      </c>
      <c r="O73" s="1">
        <v>3.9762544637805601E-11</v>
      </c>
      <c r="P73" s="1">
        <v>3.8550021617911302E-10</v>
      </c>
      <c r="Q73">
        <v>66.100608961020797</v>
      </c>
      <c r="S73">
        <v>20.524414385089699</v>
      </c>
      <c r="AA73">
        <v>1.5091785730506999</v>
      </c>
      <c r="AB73">
        <v>8.7740064196970007</v>
      </c>
      <c r="AC73">
        <v>3.0917916611416301</v>
      </c>
      <c r="AJ73">
        <v>0.75364136039500396</v>
      </c>
      <c r="AK73">
        <v>7.1633834285459899E-2</v>
      </c>
      <c r="AL73">
        <v>0.17472480531953499</v>
      </c>
    </row>
    <row r="74" spans="1:38" x14ac:dyDescent="0.2">
      <c r="A74">
        <v>182</v>
      </c>
      <c r="B74">
        <v>767</v>
      </c>
      <c r="C74">
        <v>140</v>
      </c>
      <c r="D74">
        <v>0.45279094361390498</v>
      </c>
      <c r="E74">
        <v>13.6701695064211</v>
      </c>
      <c r="F74">
        <v>2.55638945955261</v>
      </c>
      <c r="G74">
        <v>-221.62619171254218</v>
      </c>
      <c r="H74">
        <v>-191.4919070684208</v>
      </c>
      <c r="I74">
        <v>28.971095172928202</v>
      </c>
      <c r="J74">
        <v>16.610892764941799</v>
      </c>
      <c r="K74">
        <v>5.3474518349850602</v>
      </c>
      <c r="L74">
        <v>3.0951168500294754E-5</v>
      </c>
      <c r="M74">
        <v>1.8258729170653324E-6</v>
      </c>
      <c r="N74" s="1">
        <v>-1.27920355583184E-7</v>
      </c>
      <c r="O74" s="1">
        <v>4.84438479675813E-11</v>
      </c>
      <c r="P74" s="1">
        <v>4.86395197122961E-10</v>
      </c>
      <c r="Q74">
        <v>65.892555347164603</v>
      </c>
      <c r="S74">
        <v>20.719257337561</v>
      </c>
      <c r="AA74">
        <v>1.71847247039002</v>
      </c>
      <c r="AB74">
        <v>8.8211762278231198</v>
      </c>
      <c r="AC74">
        <v>2.8485386170610498</v>
      </c>
      <c r="AJ74">
        <v>0.75751192775050902</v>
      </c>
      <c r="AK74">
        <v>8.1548569415428193E-2</v>
      </c>
      <c r="AL74">
        <v>0.160939502834062</v>
      </c>
    </row>
    <row r="75" spans="1:38" x14ac:dyDescent="0.2">
      <c r="A75">
        <v>183</v>
      </c>
      <c r="B75">
        <v>766</v>
      </c>
      <c r="C75">
        <v>140</v>
      </c>
      <c r="D75">
        <v>0.45219698792282498</v>
      </c>
      <c r="E75">
        <v>15.510120229124</v>
      </c>
      <c r="F75">
        <v>2.55824461337702</v>
      </c>
      <c r="G75">
        <v>-251.52747129944245</v>
      </c>
      <c r="H75">
        <v>-217.3913544294399</v>
      </c>
      <c r="I75">
        <v>32.8500378867368</v>
      </c>
      <c r="J75">
        <v>18.852607312793001</v>
      </c>
      <c r="K75">
        <v>6.0627979623300403</v>
      </c>
      <c r="L75">
        <v>3.0952775138524769E-5</v>
      </c>
      <c r="M75">
        <v>1.8237828661623437E-6</v>
      </c>
      <c r="N75" s="1">
        <v>-1.5005102085669401E-7</v>
      </c>
      <c r="O75" s="1">
        <v>5.47579321019757E-11</v>
      </c>
      <c r="P75" s="1">
        <v>5.66276309790512E-10</v>
      </c>
      <c r="Q75">
        <v>65.769864739467806</v>
      </c>
      <c r="S75">
        <v>20.830593003214201</v>
      </c>
      <c r="AA75">
        <v>1.8389537105579401</v>
      </c>
      <c r="AB75">
        <v>8.8396477091121106</v>
      </c>
      <c r="AC75">
        <v>2.7209408376478099</v>
      </c>
      <c r="AJ75">
        <v>0.75902649234879604</v>
      </c>
      <c r="AK75">
        <v>8.7257660541987997E-2</v>
      </c>
      <c r="AL75">
        <v>0.15371584710921499</v>
      </c>
    </row>
    <row r="76" spans="1:38" x14ac:dyDescent="0.2">
      <c r="A76">
        <v>184</v>
      </c>
      <c r="B76">
        <v>765</v>
      </c>
      <c r="C76">
        <v>140</v>
      </c>
      <c r="D76">
        <v>0.45160188797380102</v>
      </c>
      <c r="E76">
        <v>16.719508814805401</v>
      </c>
      <c r="F76">
        <v>2.55937527180535</v>
      </c>
      <c r="G76">
        <v>-271.17125959903899</v>
      </c>
      <c r="H76">
        <v>-234.43090672475088</v>
      </c>
      <c r="I76">
        <v>35.3902161289679</v>
      </c>
      <c r="J76">
        <v>20.3281783896029</v>
      </c>
      <c r="K76">
        <v>6.5326523230068299</v>
      </c>
      <c r="L76">
        <v>3.0964363032419552E-5</v>
      </c>
      <c r="M76">
        <v>1.822583592705042E-6</v>
      </c>
      <c r="N76" s="1">
        <v>-1.6705336080257101E-7</v>
      </c>
      <c r="O76" s="1">
        <v>5.88765469431825E-11</v>
      </c>
      <c r="P76" s="1">
        <v>6.2591069931625104E-10</v>
      </c>
      <c r="Q76">
        <v>65.696443395796905</v>
      </c>
      <c r="S76">
        <v>20.897059183177401</v>
      </c>
      <c r="AA76">
        <v>1.91092085639831</v>
      </c>
      <c r="AB76">
        <v>8.8502819134029007</v>
      </c>
      <c r="AC76">
        <v>2.6452946512244302</v>
      </c>
      <c r="AJ76">
        <v>0.759898269134056</v>
      </c>
      <c r="AK76">
        <v>9.0667541830320802E-2</v>
      </c>
      <c r="AL76">
        <v>0.149434189035622</v>
      </c>
    </row>
    <row r="77" spans="1:38" x14ac:dyDescent="0.2">
      <c r="A77">
        <v>185</v>
      </c>
      <c r="B77">
        <v>764</v>
      </c>
      <c r="C77">
        <v>140</v>
      </c>
      <c r="D77">
        <v>0.45100564045702202</v>
      </c>
      <c r="E77">
        <v>17.308334553485899</v>
      </c>
      <c r="F77">
        <v>2.5599340702165301</v>
      </c>
      <c r="G77">
        <v>-280.71924479981061</v>
      </c>
      <c r="H77">
        <v>-242.74324836511153</v>
      </c>
      <c r="I77">
        <v>36.615722349418199</v>
      </c>
      <c r="J77">
        <v>21.049621806932802</v>
      </c>
      <c r="K77">
        <v>6.7612423127841996</v>
      </c>
      <c r="L77">
        <v>3.0987841904940891E-5</v>
      </c>
      <c r="M77">
        <v>1.8221978023206826E-6</v>
      </c>
      <c r="N77" s="1">
        <v>-1.78562128603633E-7</v>
      </c>
      <c r="O77" s="1">
        <v>6.0852372597214697E-11</v>
      </c>
      <c r="P77" s="1">
        <v>6.6431371182722102E-10</v>
      </c>
      <c r="Q77">
        <v>65.6655599827956</v>
      </c>
      <c r="S77">
        <v>20.9265061577183</v>
      </c>
      <c r="AA77">
        <v>1.94242113412803</v>
      </c>
      <c r="AB77">
        <v>8.8586589555591004</v>
      </c>
      <c r="AC77">
        <v>2.6068537697987901</v>
      </c>
      <c r="AJ77">
        <v>0.76058535161843599</v>
      </c>
      <c r="AK77">
        <v>9.2158237325498396E-2</v>
      </c>
      <c r="AL77">
        <v>0.14725641105606499</v>
      </c>
    </row>
    <row r="78" spans="1:38" x14ac:dyDescent="0.2">
      <c r="A78">
        <v>187</v>
      </c>
      <c r="B78">
        <v>790</v>
      </c>
      <c r="C78">
        <v>120</v>
      </c>
      <c r="D78">
        <v>0.486836758688802</v>
      </c>
      <c r="E78">
        <v>0.23245956087660199</v>
      </c>
      <c r="F78">
        <v>2.5621813609897499</v>
      </c>
      <c r="G78">
        <v>-3.7939476772696534</v>
      </c>
      <c r="H78">
        <v>-3.2634120524825896</v>
      </c>
      <c r="I78">
        <v>0.49902236258953497</v>
      </c>
      <c r="J78">
        <v>0.28234247221912101</v>
      </c>
      <c r="K78">
        <v>9.0727207845585398E-2</v>
      </c>
      <c r="L78">
        <v>3.0714341140752187E-5</v>
      </c>
      <c r="M78">
        <v>1.8218624918468033E-6</v>
      </c>
      <c r="N78" s="1">
        <v>-1.11448837048092E-9</v>
      </c>
      <c r="O78" s="1">
        <v>8.2229811109339902E-13</v>
      </c>
      <c r="P78" s="1">
        <v>5.1799843293226197E-12</v>
      </c>
      <c r="Q78">
        <v>65.594909417004104</v>
      </c>
      <c r="S78">
        <v>21.153389102998698</v>
      </c>
      <c r="AA78">
        <v>2.1460872307522298</v>
      </c>
      <c r="AB78">
        <v>9.2960210956723195</v>
      </c>
      <c r="AC78">
        <v>1.80959315357251</v>
      </c>
      <c r="AJ78">
        <v>0.79640166482566499</v>
      </c>
      <c r="AK78">
        <v>0.10159988571956299</v>
      </c>
      <c r="AL78">
        <v>0.101998449454771</v>
      </c>
    </row>
    <row r="79" spans="1:38" x14ac:dyDescent="0.2">
      <c r="A79">
        <v>188</v>
      </c>
      <c r="B79">
        <v>789</v>
      </c>
      <c r="C79">
        <v>120</v>
      </c>
      <c r="D79">
        <v>0.48628771830721002</v>
      </c>
      <c r="E79">
        <v>0.61811587753525299</v>
      </c>
      <c r="F79">
        <v>2.5617976051225502</v>
      </c>
      <c r="G79">
        <v>-10.085916498397163</v>
      </c>
      <c r="H79">
        <v>-8.6772214379357013</v>
      </c>
      <c r="I79">
        <v>1.3262675332688001</v>
      </c>
      <c r="J79">
        <v>0.75080097507371901</v>
      </c>
      <c r="K79">
        <v>0.24128208891259501</v>
      </c>
      <c r="L79">
        <v>3.0739200772801445E-5</v>
      </c>
      <c r="M79">
        <v>1.8227232466523833E-6</v>
      </c>
      <c r="N79" s="1">
        <v>-3.0616848810876701E-9</v>
      </c>
      <c r="O79" s="1">
        <v>2.1874378731815402E-12</v>
      </c>
      <c r="P79" s="1">
        <v>1.40618738204702E-11</v>
      </c>
      <c r="Q79">
        <v>65.632307755480497</v>
      </c>
      <c r="S79">
        <v>21.1216950826173</v>
      </c>
      <c r="AA79">
        <v>2.11121294840135</v>
      </c>
      <c r="AB79">
        <v>9.2962712928145397</v>
      </c>
      <c r="AC79">
        <v>1.8385129206861901</v>
      </c>
      <c r="AJ79">
        <v>0.79642270637496404</v>
      </c>
      <c r="AK79">
        <v>9.9948820964591303E-2</v>
      </c>
      <c r="AL79">
        <v>0.103628472660444</v>
      </c>
    </row>
    <row r="80" spans="1:38" x14ac:dyDescent="0.2">
      <c r="A80">
        <v>189</v>
      </c>
      <c r="B80">
        <v>788</v>
      </c>
      <c r="C80">
        <v>120</v>
      </c>
      <c r="D80">
        <v>0.48573764312303003</v>
      </c>
      <c r="E80">
        <v>1.00399352524649</v>
      </c>
      <c r="F80">
        <v>2.5614197756741399</v>
      </c>
      <c r="G80">
        <v>-16.378634170844801</v>
      </c>
      <c r="H80">
        <v>-14.093792545266529</v>
      </c>
      <c r="I80">
        <v>2.1531749758076302</v>
      </c>
      <c r="J80">
        <v>1.21958654262288</v>
      </c>
      <c r="K80">
        <v>0.39196758562631601</v>
      </c>
      <c r="L80">
        <v>3.0763721432567518E-5</v>
      </c>
      <c r="M80">
        <v>1.8235574452001199E-6</v>
      </c>
      <c r="N80" s="1">
        <v>-5.1363202785004501E-9</v>
      </c>
      <c r="O80" s="1">
        <v>3.5544325922558702E-12</v>
      </c>
      <c r="P80" s="1">
        <v>2.3319189673815201E-11</v>
      </c>
      <c r="Q80">
        <v>65.668616440103094</v>
      </c>
      <c r="S80">
        <v>21.090674488451601</v>
      </c>
      <c r="AA80">
        <v>2.0771485054040202</v>
      </c>
      <c r="AB80">
        <v>9.2958587291444505</v>
      </c>
      <c r="AC80">
        <v>1.86770183689666</v>
      </c>
      <c r="AJ80">
        <v>0.79638957220771001</v>
      </c>
      <c r="AK80">
        <v>9.8336418660281394E-2</v>
      </c>
      <c r="AL80">
        <v>0.105274009132008</v>
      </c>
    </row>
    <row r="81" spans="1:38" x14ac:dyDescent="0.2">
      <c r="A81">
        <v>190</v>
      </c>
      <c r="B81">
        <v>787</v>
      </c>
      <c r="C81">
        <v>120</v>
      </c>
      <c r="D81">
        <v>0.48518653020799002</v>
      </c>
      <c r="E81">
        <v>1.38995854518033</v>
      </c>
      <c r="F81">
        <v>2.5610477941949501</v>
      </c>
      <c r="G81">
        <v>-22.669904076726127</v>
      </c>
      <c r="H81">
        <v>-19.511241060194763</v>
      </c>
      <c r="I81">
        <v>2.9794491501498399</v>
      </c>
      <c r="J81">
        <v>1.6885388227754199</v>
      </c>
      <c r="K81">
        <v>0.54273042007685401</v>
      </c>
      <c r="L81">
        <v>3.0787922455668202E-5</v>
      </c>
      <c r="M81">
        <v>1.8243655812936287E-6</v>
      </c>
      <c r="N81" s="1">
        <v>-7.3422557684523201E-9</v>
      </c>
      <c r="O81" s="1">
        <v>4.9227112332384996E-12</v>
      </c>
      <c r="P81" s="1">
        <v>3.2961865102140901E-11</v>
      </c>
      <c r="Q81">
        <v>65.703853007766497</v>
      </c>
      <c r="S81">
        <v>21.060316483855701</v>
      </c>
      <c r="AA81">
        <v>2.0438808694217401</v>
      </c>
      <c r="AB81">
        <v>9.2947940750149591</v>
      </c>
      <c r="AC81">
        <v>1.8971555639409801</v>
      </c>
      <c r="AJ81">
        <v>0.79630313378116202</v>
      </c>
      <c r="AK81">
        <v>9.6762041238748403E-2</v>
      </c>
      <c r="AL81">
        <v>0.10693482498008799</v>
      </c>
    </row>
    <row r="82" spans="1:38" x14ac:dyDescent="0.2">
      <c r="A82">
        <v>191</v>
      </c>
      <c r="B82">
        <v>786</v>
      </c>
      <c r="C82">
        <v>120</v>
      </c>
      <c r="D82">
        <v>0.48463437662276798</v>
      </c>
      <c r="E82">
        <v>1.7758804242442401</v>
      </c>
      <c r="F82">
        <v>2.5606815741719902</v>
      </c>
      <c r="G82">
        <v>-28.957588046018888</v>
      </c>
      <c r="H82">
        <v>-24.927731367793992</v>
      </c>
      <c r="I82">
        <v>3.8048026041872101</v>
      </c>
      <c r="J82">
        <v>2.1575018510949202</v>
      </c>
      <c r="K82">
        <v>0.69351864837723198</v>
      </c>
      <c r="L82">
        <v>3.0811823925516952E-5</v>
      </c>
      <c r="M82">
        <v>1.8251481700878968E-6</v>
      </c>
      <c r="N82" s="1">
        <v>-9.6834722122912303E-9</v>
      </c>
      <c r="O82" s="1">
        <v>6.29171413722603E-12</v>
      </c>
      <c r="P82" s="1">
        <v>4.3000187801250903E-11</v>
      </c>
      <c r="Q82">
        <v>65.738035934743706</v>
      </c>
      <c r="S82">
        <v>21.030609556124901</v>
      </c>
      <c r="AA82">
        <v>2.0113962311696598</v>
      </c>
      <c r="AB82">
        <v>9.2930883217578302</v>
      </c>
      <c r="AC82">
        <v>1.9268699562038401</v>
      </c>
      <c r="AJ82">
        <v>0.79616428779651405</v>
      </c>
      <c r="AK82">
        <v>9.5225015257659598E-2</v>
      </c>
      <c r="AL82">
        <v>0.10861069694582499</v>
      </c>
    </row>
    <row r="83" spans="1:38" x14ac:dyDescent="0.2">
      <c r="A83">
        <v>192</v>
      </c>
      <c r="B83">
        <v>785</v>
      </c>
      <c r="C83">
        <v>120</v>
      </c>
      <c r="D83">
        <v>0.48408117941691098</v>
      </c>
      <c r="E83">
        <v>2.1616325118339401</v>
      </c>
      <c r="F83">
        <v>2.5603210217966899</v>
      </c>
      <c r="G83">
        <v>-35.239613067990824</v>
      </c>
      <c r="H83">
        <v>-30.34148236777699</v>
      </c>
      <c r="I83">
        <v>4.6289568588704997</v>
      </c>
      <c r="J83">
        <v>2.6263245657424998</v>
      </c>
      <c r="K83">
        <v>0.84428182772058302</v>
      </c>
      <c r="L83">
        <v>3.0835446612747163E-5</v>
      </c>
      <c r="M83">
        <v>1.8259057451565003E-6</v>
      </c>
      <c r="N83" s="1">
        <v>-1.2164079564525001E-8</v>
      </c>
      <c r="O83" s="1">
        <v>7.6608946563095305E-12</v>
      </c>
      <c r="P83" s="1">
        <v>5.3444829986370999E-11</v>
      </c>
      <c r="Q83">
        <v>65.771184515686897</v>
      </c>
      <c r="S83">
        <v>21.001541596588801</v>
      </c>
      <c r="AA83">
        <v>1.97968009872727</v>
      </c>
      <c r="AB83">
        <v>9.2907527220174497</v>
      </c>
      <c r="AC83">
        <v>1.95684106697949</v>
      </c>
      <c r="AJ83">
        <v>0.79597395137966898</v>
      </c>
      <c r="AK83">
        <v>9.3724635862184102E-2</v>
      </c>
      <c r="AL83">
        <v>0.11030141275814501</v>
      </c>
    </row>
    <row r="84" spans="1:38" x14ac:dyDescent="0.2">
      <c r="A84">
        <v>193</v>
      </c>
      <c r="B84">
        <v>784</v>
      </c>
      <c r="C84">
        <v>120</v>
      </c>
      <c r="D84">
        <v>0.48352693562881199</v>
      </c>
      <c r="E84">
        <v>2.5470923779636299</v>
      </c>
      <c r="F84">
        <v>2.5599660368570301</v>
      </c>
      <c r="G84">
        <v>-41.513977039675204</v>
      </c>
      <c r="H84">
        <v>-35.750772469410443</v>
      </c>
      <c r="I84">
        <v>5.4516431634723199</v>
      </c>
      <c r="J84">
        <v>3.0948612509753799</v>
      </c>
      <c r="K84">
        <v>0.99497116027789001</v>
      </c>
      <c r="L84">
        <v>3.0858811921330571E-5</v>
      </c>
      <c r="M84">
        <v>1.8266388556483675E-6</v>
      </c>
      <c r="N84" s="1">
        <v>-1.47883266946813E-8</v>
      </c>
      <c r="O84" s="1">
        <v>9.0297205594090296E-12</v>
      </c>
      <c r="P84" s="1">
        <v>6.4306879022566402E-11</v>
      </c>
      <c r="Q84">
        <v>65.803318742264395</v>
      </c>
      <c r="S84">
        <v>20.973099985113699</v>
      </c>
      <c r="AA84">
        <v>1.9487173955727299</v>
      </c>
      <c r="AB84">
        <v>9.2877987408334395</v>
      </c>
      <c r="AC84">
        <v>1.98706513621559</v>
      </c>
      <c r="AJ84">
        <v>0.79573305814101802</v>
      </c>
      <c r="AK84">
        <v>9.2260171414318706E-2</v>
      </c>
      <c r="AL84">
        <v>0.11200677044466199</v>
      </c>
    </row>
    <row r="85" spans="1:38" x14ac:dyDescent="0.2">
      <c r="A85">
        <v>194</v>
      </c>
      <c r="B85">
        <v>783</v>
      </c>
      <c r="C85">
        <v>120</v>
      </c>
      <c r="D85">
        <v>0.48297164228566197</v>
      </c>
      <c r="E85">
        <v>2.9321421256949001</v>
      </c>
      <c r="F85">
        <v>2.5596165135097899</v>
      </c>
      <c r="G85">
        <v>-47.778753761357692</v>
      </c>
      <c r="H85">
        <v>-41.153943945432722</v>
      </c>
      <c r="I85">
        <v>6.2726031491028298</v>
      </c>
      <c r="J85">
        <v>3.5629719247807401</v>
      </c>
      <c r="K85">
        <v>1.1455396190089</v>
      </c>
      <c r="L85">
        <v>3.0881941834261634E-5</v>
      </c>
      <c r="M85">
        <v>1.827348063564297E-6</v>
      </c>
      <c r="N85" s="1">
        <v>-1.75606116247143E-8</v>
      </c>
      <c r="O85" s="1">
        <v>1.03976752562097E-11</v>
      </c>
      <c r="P85" s="1">
        <v>7.5597868837127795E-11</v>
      </c>
      <c r="Q85">
        <v>65.834459188797695</v>
      </c>
      <c r="S85">
        <v>20.945271666944201</v>
      </c>
      <c r="AA85">
        <v>1.91849255066236</v>
      </c>
      <c r="AB85">
        <v>9.2842380022393094</v>
      </c>
      <c r="AC85">
        <v>2.0175385913563</v>
      </c>
      <c r="AJ85">
        <v>0.79544255386891405</v>
      </c>
      <c r="AK85">
        <v>9.0830867744709096E-2</v>
      </c>
      <c r="AL85">
        <v>0.113726578386376</v>
      </c>
    </row>
    <row r="86" spans="1:38" x14ac:dyDescent="0.2">
      <c r="A86">
        <v>195</v>
      </c>
      <c r="B86">
        <v>782</v>
      </c>
      <c r="C86">
        <v>120</v>
      </c>
      <c r="D86">
        <v>0.48241529640335601</v>
      </c>
      <c r="E86">
        <v>3.9308532235823099</v>
      </c>
      <c r="F86">
        <v>2.5585418473071</v>
      </c>
      <c r="G86">
        <v>-64.02285790422718</v>
      </c>
      <c r="H86">
        <v>-55.154444674701232</v>
      </c>
      <c r="I86">
        <v>8.4048838833587105</v>
      </c>
      <c r="J86">
        <v>4.7761777760677697</v>
      </c>
      <c r="K86">
        <v>1.5363646397730699</v>
      </c>
      <c r="L86">
        <v>3.0897424947224177E-5</v>
      </c>
      <c r="M86">
        <v>1.8285000746835924E-6</v>
      </c>
      <c r="N86" s="1">
        <v>-2.4177110318613499E-8</v>
      </c>
      <c r="O86" s="1">
        <v>1.39599422591999E-11</v>
      </c>
      <c r="P86" s="1">
        <v>1.0318461618503501E-10</v>
      </c>
      <c r="Q86">
        <v>65.899509128437899</v>
      </c>
      <c r="S86">
        <v>20.877549846559099</v>
      </c>
      <c r="AA86">
        <v>1.8474428413032</v>
      </c>
      <c r="AB86">
        <v>9.2516567483121204</v>
      </c>
      <c r="AC86">
        <v>2.1238414353875701</v>
      </c>
      <c r="AJ86">
        <v>0.79278041389165899</v>
      </c>
      <c r="AK86">
        <v>8.7481294640491106E-2</v>
      </c>
      <c r="AL86">
        <v>0.11973829146784901</v>
      </c>
    </row>
    <row r="87" spans="1:38" x14ac:dyDescent="0.2">
      <c r="A87">
        <v>196</v>
      </c>
      <c r="B87">
        <v>781</v>
      </c>
      <c r="C87">
        <v>120</v>
      </c>
      <c r="D87">
        <v>0.48185789498648202</v>
      </c>
      <c r="E87">
        <v>5.2105207979650503</v>
      </c>
      <c r="F87">
        <v>2.5571023774058999</v>
      </c>
      <c r="G87">
        <v>-84.814088955818704</v>
      </c>
      <c r="H87">
        <v>-73.075911062060399</v>
      </c>
      <c r="I87">
        <v>11.1352064637464</v>
      </c>
      <c r="J87">
        <v>6.3298625190076097</v>
      </c>
      <c r="K87">
        <v>2.0376660879925099</v>
      </c>
      <c r="L87">
        <v>3.0902631354472341E-5</v>
      </c>
      <c r="M87">
        <v>1.8296855293879588E-6</v>
      </c>
      <c r="N87" s="1">
        <v>-3.2803257073717402E-8</v>
      </c>
      <c r="O87" s="1">
        <v>1.85427043869692E-11</v>
      </c>
      <c r="P87" s="1">
        <v>1.38942898549805E-10</v>
      </c>
      <c r="Q87">
        <v>65.975219941366703</v>
      </c>
      <c r="S87">
        <v>20.792485812405801</v>
      </c>
      <c r="AA87">
        <v>1.75959805897695</v>
      </c>
      <c r="AB87">
        <v>9.1973678108606407</v>
      </c>
      <c r="AC87">
        <v>2.27532837638979</v>
      </c>
      <c r="AJ87">
        <v>0.78834214247053302</v>
      </c>
      <c r="AK87">
        <v>8.3344213615311399E-2</v>
      </c>
      <c r="AL87">
        <v>0.12831364391415501</v>
      </c>
    </row>
    <row r="88" spans="1:38" x14ac:dyDescent="0.2">
      <c r="A88">
        <v>197</v>
      </c>
      <c r="B88">
        <v>780</v>
      </c>
      <c r="C88">
        <v>120</v>
      </c>
      <c r="D88">
        <v>0.48129943502824801</v>
      </c>
      <c r="E88">
        <v>6.5779782701707896</v>
      </c>
      <c r="F88">
        <v>2.5555056636172</v>
      </c>
      <c r="G88">
        <v>-106.99982938807059</v>
      </c>
      <c r="H88">
        <v>-92.203441402739102</v>
      </c>
      <c r="I88">
        <v>14.049649133866399</v>
      </c>
      <c r="J88">
        <v>7.9889540122028997</v>
      </c>
      <c r="K88">
        <v>2.5740417498664301</v>
      </c>
      <c r="L88">
        <v>3.0896747905672225E-5</v>
      </c>
      <c r="M88">
        <v>1.830691172874079E-6</v>
      </c>
      <c r="N88" s="1">
        <v>-4.2278169201597197E-8</v>
      </c>
      <c r="O88" s="1">
        <v>2.3462457861707999E-11</v>
      </c>
      <c r="P88" s="1">
        <v>1.77875541767133E-10</v>
      </c>
      <c r="Q88">
        <v>66.048955227002594</v>
      </c>
      <c r="S88">
        <v>20.702708357786499</v>
      </c>
      <c r="AA88">
        <v>1.6683256187911599</v>
      </c>
      <c r="AB88">
        <v>9.1263196722223494</v>
      </c>
      <c r="AC88">
        <v>2.4536911241972499</v>
      </c>
      <c r="AJ88">
        <v>0.78252972353439898</v>
      </c>
      <c r="AK88">
        <v>7.9049071835247106E-2</v>
      </c>
      <c r="AL88">
        <v>0.13842120463035301</v>
      </c>
    </row>
    <row r="89" spans="1:38" x14ac:dyDescent="0.2">
      <c r="A89">
        <v>198</v>
      </c>
      <c r="B89">
        <v>779</v>
      </c>
      <c r="C89">
        <v>120</v>
      </c>
      <c r="D89">
        <v>0.48073991351043299</v>
      </c>
      <c r="E89">
        <v>8.0791293750169206</v>
      </c>
      <c r="F89">
        <v>2.5536687374560398</v>
      </c>
      <c r="G89">
        <v>-131.31295585800805</v>
      </c>
      <c r="H89">
        <v>-113.16834937608246</v>
      </c>
      <c r="I89">
        <v>17.2452658669634</v>
      </c>
      <c r="J89">
        <v>9.8083252457071293</v>
      </c>
      <c r="K89">
        <v>3.1637342998001001</v>
      </c>
      <c r="L89">
        <v>3.0875279048296756E-5</v>
      </c>
      <c r="M89">
        <v>1.8314707041877173E-6</v>
      </c>
      <c r="N89" s="1">
        <v>-5.2815789857925397E-8</v>
      </c>
      <c r="O89" s="1">
        <v>2.8892525344149299E-11</v>
      </c>
      <c r="P89" s="1">
        <v>2.2097113451284501E-10</v>
      </c>
      <c r="Q89">
        <v>66.121328813614795</v>
      </c>
      <c r="S89">
        <v>20.604960690361398</v>
      </c>
      <c r="AA89">
        <v>1.5707954052837501</v>
      </c>
      <c r="AB89">
        <v>9.0313421112521404</v>
      </c>
      <c r="AC89">
        <v>2.6715729794878702</v>
      </c>
      <c r="AJ89">
        <v>0.77475279975903399</v>
      </c>
      <c r="AK89">
        <v>7.4463127525371098E-2</v>
      </c>
      <c r="AL89">
        <v>0.15078407271559299</v>
      </c>
    </row>
    <row r="90" spans="1:38" x14ac:dyDescent="0.2">
      <c r="A90">
        <v>199</v>
      </c>
      <c r="B90">
        <v>778</v>
      </c>
      <c r="C90">
        <v>120</v>
      </c>
      <c r="D90">
        <v>0.48017932740332298</v>
      </c>
      <c r="E90">
        <v>9.8084553879356697</v>
      </c>
      <c r="F90">
        <v>2.5514298055460101</v>
      </c>
      <c r="G90">
        <v>-159.26184854105642</v>
      </c>
      <c r="H90">
        <v>-137.26988303629437</v>
      </c>
      <c r="I90">
        <v>20.921814683691199</v>
      </c>
      <c r="J90">
        <v>11.900892866968199</v>
      </c>
      <c r="K90">
        <v>3.8442975646890698</v>
      </c>
      <c r="L90">
        <v>3.0829217666798315E-5</v>
      </c>
      <c r="M90">
        <v>1.8319277166362555E-6</v>
      </c>
      <c r="N90" s="1">
        <v>-6.4829342633439098E-8</v>
      </c>
      <c r="O90" s="1">
        <v>3.5190289627470503E-11</v>
      </c>
      <c r="P90" s="1">
        <v>2.7018595934261498E-10</v>
      </c>
      <c r="Q90">
        <v>66.193331818009995</v>
      </c>
      <c r="S90">
        <v>20.492938653442</v>
      </c>
      <c r="AA90">
        <v>1.46157516107986</v>
      </c>
      <c r="AB90">
        <v>8.8981166122575406</v>
      </c>
      <c r="AC90">
        <v>2.9540377552104999</v>
      </c>
      <c r="AJ90">
        <v>0.76383119236965702</v>
      </c>
      <c r="AK90">
        <v>6.9331602855733795E-2</v>
      </c>
      <c r="AL90">
        <v>0.16683720477460801</v>
      </c>
    </row>
    <row r="91" spans="1:38" x14ac:dyDescent="0.2">
      <c r="A91">
        <v>200</v>
      </c>
      <c r="B91">
        <v>777</v>
      </c>
      <c r="C91">
        <v>120</v>
      </c>
      <c r="D91">
        <v>0.47961767366567098</v>
      </c>
      <c r="E91">
        <v>12.012545574686399</v>
      </c>
      <c r="F91">
        <v>2.5484000181437501</v>
      </c>
      <c r="G91">
        <v>-194.78216144917593</v>
      </c>
      <c r="H91">
        <v>-167.89784263186206</v>
      </c>
      <c r="I91">
        <v>25.600455951353499</v>
      </c>
      <c r="J91">
        <v>14.5612053293064</v>
      </c>
      <c r="K91">
        <v>4.7137598058236998</v>
      </c>
      <c r="L91">
        <v>3.0736014134885786E-5</v>
      </c>
      <c r="M91">
        <v>1.8318088106396591E-6</v>
      </c>
      <c r="N91" s="1">
        <v>-7.9327522775298899E-8</v>
      </c>
      <c r="O91" s="1">
        <v>4.3289897208703102E-11</v>
      </c>
      <c r="P91" s="1">
        <v>3.3042215429971801E-10</v>
      </c>
      <c r="Q91">
        <v>66.266610437644403</v>
      </c>
      <c r="S91">
        <v>20.351642635411199</v>
      </c>
      <c r="AA91">
        <v>1.3279059353401499</v>
      </c>
      <c r="AB91">
        <v>8.6909882060670007</v>
      </c>
      <c r="AC91">
        <v>3.3628527855371102</v>
      </c>
      <c r="AJ91">
        <v>0.74682171652662999</v>
      </c>
      <c r="AK91">
        <v>6.3055921950920302E-2</v>
      </c>
      <c r="AL91">
        <v>0.19012236152244899</v>
      </c>
    </row>
    <row r="92" spans="1:38" x14ac:dyDescent="0.2">
      <c r="A92">
        <v>201</v>
      </c>
      <c r="B92">
        <v>776</v>
      </c>
      <c r="C92">
        <v>120</v>
      </c>
      <c r="D92">
        <v>0.47905494924462999</v>
      </c>
      <c r="E92">
        <v>12.479186154470399</v>
      </c>
      <c r="F92">
        <v>2.5483326845565202</v>
      </c>
      <c r="G92">
        <v>-202.27329183043622</v>
      </c>
      <c r="H92">
        <v>-174.39086250001526</v>
      </c>
      <c r="I92">
        <v>26.576208674089401</v>
      </c>
      <c r="J92">
        <v>15.123437948024501</v>
      </c>
      <c r="K92">
        <v>4.8970003917059701</v>
      </c>
      <c r="L92">
        <v>3.0697642929235547E-5</v>
      </c>
      <c r="M92">
        <v>1.830590060303353E-6</v>
      </c>
      <c r="N92" s="1">
        <v>-8.4108163528215606E-8</v>
      </c>
      <c r="O92" s="1">
        <v>4.49576272627145E-11</v>
      </c>
      <c r="P92" s="1">
        <v>3.4818394119570602E-10</v>
      </c>
      <c r="Q92">
        <v>66.224554583830397</v>
      </c>
      <c r="S92">
        <v>20.361018525291801</v>
      </c>
      <c r="AA92">
        <v>1.3454542990402401</v>
      </c>
      <c r="AB92">
        <v>8.6218491050582795</v>
      </c>
      <c r="AC92">
        <v>3.4471234867790899</v>
      </c>
      <c r="AJ92">
        <v>0.74113516562571902</v>
      </c>
      <c r="AK92">
        <v>6.3911166384276297E-2</v>
      </c>
      <c r="AL92">
        <v>0.19495366799000299</v>
      </c>
    </row>
    <row r="93" spans="1:38" x14ac:dyDescent="0.2">
      <c r="A93">
        <v>202</v>
      </c>
      <c r="B93">
        <v>775</v>
      </c>
      <c r="C93">
        <v>120</v>
      </c>
      <c r="D93">
        <v>0.478491151075708</v>
      </c>
      <c r="E93">
        <v>12.5702229646477</v>
      </c>
      <c r="F93">
        <v>2.5514676806235599</v>
      </c>
      <c r="G93">
        <v>-203.89419606260574</v>
      </c>
      <c r="H93">
        <v>-175.84853158226207</v>
      </c>
      <c r="I93">
        <v>26.757300463047802</v>
      </c>
      <c r="J93">
        <v>15.2424899399478</v>
      </c>
      <c r="K93">
        <v>4.92666360624865</v>
      </c>
      <c r="L93">
        <v>3.0718282001208158E-5</v>
      </c>
      <c r="M93">
        <v>1.8281229776810083E-6</v>
      </c>
      <c r="N93" s="1">
        <v>-8.8487442216548703E-8</v>
      </c>
      <c r="O93" s="1">
        <v>4.5036745274892999E-11</v>
      </c>
      <c r="P93" s="1">
        <v>3.6195473117203501E-10</v>
      </c>
      <c r="Q93">
        <v>66.055795074840901</v>
      </c>
      <c r="S93">
        <v>20.534705518416899</v>
      </c>
      <c r="AA93">
        <v>1.5281255711134401</v>
      </c>
      <c r="AB93">
        <v>8.7011206211255594</v>
      </c>
      <c r="AC93">
        <v>3.18025321450303</v>
      </c>
      <c r="AJ93">
        <v>0.74765150089379095</v>
      </c>
      <c r="AK93">
        <v>7.2559428550289296E-2</v>
      </c>
      <c r="AL93">
        <v>0.179789070555919</v>
      </c>
    </row>
    <row r="94" spans="1:38" x14ac:dyDescent="0.2">
      <c r="A94">
        <v>203</v>
      </c>
      <c r="B94">
        <v>774</v>
      </c>
      <c r="C94">
        <v>120</v>
      </c>
      <c r="D94">
        <v>0.47792627608270499</v>
      </c>
      <c r="E94">
        <v>13.9299995316201</v>
      </c>
      <c r="F94">
        <v>2.5545433689788499</v>
      </c>
      <c r="G94">
        <v>-226.09083077192531</v>
      </c>
      <c r="H94">
        <v>-195.05899599252132</v>
      </c>
      <c r="I94">
        <v>29.634565037868398</v>
      </c>
      <c r="J94">
        <v>16.898752377486399</v>
      </c>
      <c r="K94">
        <v>5.4530291796097003</v>
      </c>
      <c r="L94">
        <v>3.0715620527792588E-5</v>
      </c>
      <c r="M94">
        <v>1.8250210050857999E-6</v>
      </c>
      <c r="N94" s="1">
        <v>-1.01934877068631E-7</v>
      </c>
      <c r="O94" s="1">
        <v>4.9632829828700297E-11</v>
      </c>
      <c r="P94" s="1">
        <v>4.1265898430855898E-10</v>
      </c>
      <c r="Q94">
        <v>65.867229126233894</v>
      </c>
      <c r="S94">
        <v>20.7145917769672</v>
      </c>
      <c r="AA94">
        <v>1.72053286255116</v>
      </c>
      <c r="AB94">
        <v>8.7525067287558294</v>
      </c>
      <c r="AC94">
        <v>2.9451395054917202</v>
      </c>
      <c r="AJ94">
        <v>0.75187161236740996</v>
      </c>
      <c r="AK94">
        <v>8.1674220283069102E-2</v>
      </c>
      <c r="AL94">
        <v>0.16645416734952001</v>
      </c>
    </row>
    <row r="95" spans="1:38" x14ac:dyDescent="0.2">
      <c r="A95">
        <v>204</v>
      </c>
      <c r="B95">
        <v>773</v>
      </c>
      <c r="C95">
        <v>120</v>
      </c>
      <c r="D95">
        <v>0.47736032117765198</v>
      </c>
      <c r="E95">
        <v>15.127619921423699</v>
      </c>
      <c r="F95">
        <v>2.5564020944669998</v>
      </c>
      <c r="G95">
        <v>-245.60133167220749</v>
      </c>
      <c r="H95">
        <v>-211.95396887806152</v>
      </c>
      <c r="I95">
        <v>32.163038564398903</v>
      </c>
      <c r="J95">
        <v>18.356793612943999</v>
      </c>
      <c r="K95">
        <v>5.9175432355361801</v>
      </c>
      <c r="L95">
        <v>3.0715136244797433E-5</v>
      </c>
      <c r="M95">
        <v>1.8230092408867777E-6</v>
      </c>
      <c r="N95" s="1">
        <v>-1.14572099166035E-7</v>
      </c>
      <c r="O95" s="1">
        <v>5.3707017340942301E-11</v>
      </c>
      <c r="P95" s="1">
        <v>4.59586849952134E-10</v>
      </c>
      <c r="Q95">
        <v>65.747767083143302</v>
      </c>
      <c r="S95">
        <v>20.824810560029299</v>
      </c>
      <c r="AA95">
        <v>1.8393393217318901</v>
      </c>
      <c r="AB95">
        <v>8.7752448402436407</v>
      </c>
      <c r="AC95">
        <v>2.8128381948518202</v>
      </c>
      <c r="AJ95">
        <v>0.75373774743200905</v>
      </c>
      <c r="AK95">
        <v>8.7303904768345195E-2</v>
      </c>
      <c r="AL95">
        <v>0.15895834779964399</v>
      </c>
    </row>
    <row r="96" spans="1:38" x14ac:dyDescent="0.2">
      <c r="A96">
        <v>205</v>
      </c>
      <c r="B96">
        <v>772</v>
      </c>
      <c r="C96">
        <v>120</v>
      </c>
      <c r="D96">
        <v>0.47679328326077502</v>
      </c>
      <c r="E96">
        <v>15.9619547023404</v>
      </c>
      <c r="F96">
        <v>2.5575385006594802</v>
      </c>
      <c r="G96">
        <v>-259.17871301537377</v>
      </c>
      <c r="H96">
        <v>-223.7303100620928</v>
      </c>
      <c r="I96">
        <v>33.917048225882397</v>
      </c>
      <c r="J96">
        <v>19.373667659202201</v>
      </c>
      <c r="K96">
        <v>6.2411395559537004</v>
      </c>
      <c r="L96">
        <v>3.0723021024471203E-5</v>
      </c>
      <c r="M96">
        <v>1.8218423316569744E-6</v>
      </c>
      <c r="N96" s="1">
        <v>-1.24943525545803E-7</v>
      </c>
      <c r="O96" s="1">
        <v>5.6533218100639699E-11</v>
      </c>
      <c r="P96" s="1">
        <v>4.9684370213510097E-10</v>
      </c>
      <c r="Q96">
        <v>65.675915124576704</v>
      </c>
      <c r="S96">
        <v>20.890882091922201</v>
      </c>
      <c r="AA96">
        <v>1.91061468431425</v>
      </c>
      <c r="AB96">
        <v>8.7883417138685402</v>
      </c>
      <c r="AC96">
        <v>2.7342463853182402</v>
      </c>
      <c r="AJ96">
        <v>0.75481237642311805</v>
      </c>
      <c r="AK96">
        <v>9.0680932829336605E-2</v>
      </c>
      <c r="AL96">
        <v>0.154506690747544</v>
      </c>
    </row>
    <row r="97" spans="1:38" x14ac:dyDescent="0.2">
      <c r="A97">
        <v>206</v>
      </c>
      <c r="B97">
        <v>771</v>
      </c>
      <c r="C97">
        <v>120</v>
      </c>
      <c r="D97">
        <v>0.47622515922041903</v>
      </c>
      <c r="E97">
        <v>16.435984685829801</v>
      </c>
      <c r="F97">
        <v>2.5581514726308701</v>
      </c>
      <c r="G97">
        <v>-266.87744775921448</v>
      </c>
      <c r="H97">
        <v>-230.4317366246425</v>
      </c>
      <c r="I97">
        <v>34.904669956013898</v>
      </c>
      <c r="J97">
        <v>19.953214900883001</v>
      </c>
      <c r="K97">
        <v>6.4249458492489797</v>
      </c>
      <c r="L97">
        <v>3.0740450877037055E-5</v>
      </c>
      <c r="M97">
        <v>1.8213842545866515E-6</v>
      </c>
      <c r="N97" s="1">
        <v>-1.3290133112252201E-7</v>
      </c>
      <c r="O97" s="1">
        <v>5.8123136608355199E-11</v>
      </c>
      <c r="P97" s="1">
        <v>5.2402580236098895E-10</v>
      </c>
      <c r="Q97">
        <v>65.641766332488203</v>
      </c>
      <c r="S97">
        <v>20.923573639185602</v>
      </c>
      <c r="AA97">
        <v>1.94555369933115</v>
      </c>
      <c r="AB97">
        <v>8.7979481030265401</v>
      </c>
      <c r="AC97">
        <v>2.6911582259684099</v>
      </c>
      <c r="AJ97">
        <v>0.75560079338309605</v>
      </c>
      <c r="AK97">
        <v>9.23347169123266E-2</v>
      </c>
      <c r="AL97">
        <v>0.15206448970457601</v>
      </c>
    </row>
    <row r="98" spans="1:38" x14ac:dyDescent="0.2">
      <c r="A98">
        <v>207</v>
      </c>
      <c r="B98">
        <v>804</v>
      </c>
      <c r="C98">
        <v>100</v>
      </c>
      <c r="D98">
        <v>0.514840551455232</v>
      </c>
      <c r="E98">
        <v>4.1561533249925703E-2</v>
      </c>
      <c r="F98">
        <v>2.5601054642122199</v>
      </c>
      <c r="G98">
        <v>-0.67991396595357656</v>
      </c>
      <c r="H98">
        <v>-0.5830862475282218</v>
      </c>
      <c r="I98">
        <v>8.9892511187257801E-2</v>
      </c>
      <c r="J98">
        <v>5.0450499782402999E-2</v>
      </c>
      <c r="K98">
        <v>1.62343051217676E-2</v>
      </c>
      <c r="L98">
        <v>3.0553705539162186E-5</v>
      </c>
      <c r="M98">
        <v>1.821849875987024E-6</v>
      </c>
      <c r="N98" s="1">
        <v>-1.208168826326E-10</v>
      </c>
      <c r="O98" s="1">
        <v>1.47755361449456E-13</v>
      </c>
      <c r="P98" s="1">
        <v>6.9328578334553198E-13</v>
      </c>
      <c r="Q98">
        <v>65.606578098463203</v>
      </c>
      <c r="S98">
        <v>21.147349700705199</v>
      </c>
      <c r="AA98">
        <v>2.1383819347242001</v>
      </c>
      <c r="AB98">
        <v>9.3061910483660295</v>
      </c>
      <c r="AC98">
        <v>1.8014992177411999</v>
      </c>
      <c r="AJ98">
        <v>0.79723285959221202</v>
      </c>
      <c r="AK98">
        <v>0.101230013291514</v>
      </c>
      <c r="AL98">
        <v>0.101537127116272</v>
      </c>
    </row>
    <row r="99" spans="1:38" x14ac:dyDescent="0.2">
      <c r="A99">
        <v>208</v>
      </c>
      <c r="B99">
        <v>803</v>
      </c>
      <c r="C99">
        <v>100</v>
      </c>
      <c r="D99">
        <v>0.51432467592807896</v>
      </c>
      <c r="E99">
        <v>0.414407209789529</v>
      </c>
      <c r="F99">
        <v>2.5597485594543801</v>
      </c>
      <c r="G99">
        <v>-6.777881072038733</v>
      </c>
      <c r="H99">
        <v>-5.8137757909080339</v>
      </c>
      <c r="I99">
        <v>0.89588373473093597</v>
      </c>
      <c r="J99">
        <v>0.50304355810607104</v>
      </c>
      <c r="K99">
        <v>0.16189371735709099</v>
      </c>
      <c r="L99">
        <v>3.0573161821148061E-5</v>
      </c>
      <c r="M99">
        <v>1.8226573899118948E-6</v>
      </c>
      <c r="N99" s="1">
        <v>-1.25022408538225E-9</v>
      </c>
      <c r="O99" s="1">
        <v>1.4739804864855101E-12</v>
      </c>
      <c r="P99" s="1">
        <v>7.0474108154793699E-12</v>
      </c>
      <c r="Q99">
        <v>65.641952084758401</v>
      </c>
      <c r="S99">
        <v>21.117475403671602</v>
      </c>
      <c r="AA99">
        <v>2.1054812976745398</v>
      </c>
      <c r="AB99">
        <v>9.3067007265501598</v>
      </c>
      <c r="AC99">
        <v>1.8283904873452099</v>
      </c>
      <c r="AJ99">
        <v>0.797275068975562</v>
      </c>
      <c r="AK99">
        <v>9.9672330655363101E-2</v>
      </c>
      <c r="AL99">
        <v>0.103052600369074</v>
      </c>
    </row>
    <row r="100" spans="1:38" x14ac:dyDescent="0.2">
      <c r="A100">
        <v>209</v>
      </c>
      <c r="B100">
        <v>802</v>
      </c>
      <c r="C100">
        <v>100</v>
      </c>
      <c r="D100">
        <v>0.51380784076640695</v>
      </c>
      <c r="E100">
        <v>0.78725638468838799</v>
      </c>
      <c r="F100">
        <v>2.5593974301437998</v>
      </c>
      <c r="G100">
        <v>-12.87321159806854</v>
      </c>
      <c r="H100">
        <v>-11.044266524155367</v>
      </c>
      <c r="I100">
        <v>1.7011068910507099</v>
      </c>
      <c r="J100">
        <v>0.95565062126592704</v>
      </c>
      <c r="K100">
        <v>0.30759442649129798</v>
      </c>
      <c r="L100">
        <v>3.0592247143805842E-5</v>
      </c>
      <c r="M100">
        <v>1.8234405166455117E-6</v>
      </c>
      <c r="N100" s="1">
        <v>-2.4634844482942899E-9</v>
      </c>
      <c r="O100" s="1">
        <v>2.80146172323484E-12</v>
      </c>
      <c r="P100" s="1">
        <v>1.3649343760824999E-11</v>
      </c>
      <c r="Q100">
        <v>65.676323885097105</v>
      </c>
      <c r="S100">
        <v>21.088230562200501</v>
      </c>
      <c r="AA100">
        <v>2.0733338143012001</v>
      </c>
      <c r="AB100">
        <v>9.3066272866573705</v>
      </c>
      <c r="AC100">
        <v>1.8554844517437299</v>
      </c>
      <c r="AJ100">
        <v>0.79726961706214905</v>
      </c>
      <c r="AK100">
        <v>9.81505897547372E-2</v>
      </c>
      <c r="AL100">
        <v>0.104579793183112</v>
      </c>
    </row>
    <row r="101" spans="1:38" x14ac:dyDescent="0.2">
      <c r="A101">
        <v>210</v>
      </c>
      <c r="B101">
        <v>801</v>
      </c>
      <c r="C101">
        <v>100</v>
      </c>
      <c r="D101">
        <v>0.51329004329004402</v>
      </c>
      <c r="E101">
        <v>1.15999007540572</v>
      </c>
      <c r="F101">
        <v>2.5590520037309701</v>
      </c>
      <c r="G101">
        <v>-18.963954500994799</v>
      </c>
      <c r="H101">
        <v>-16.272888407638547</v>
      </c>
      <c r="I101">
        <v>2.5052982296292399</v>
      </c>
      <c r="J101">
        <v>1.40812828639743</v>
      </c>
      <c r="K101">
        <v>0.45328898112055199</v>
      </c>
      <c r="L101">
        <v>3.0610977557238581E-5</v>
      </c>
      <c r="M101">
        <v>1.8241997189366633E-6</v>
      </c>
      <c r="N101" s="1">
        <v>-3.7629186430803803E-9</v>
      </c>
      <c r="O101" s="1">
        <v>4.1296972402559603E-12</v>
      </c>
      <c r="P101" s="1">
        <v>2.0504819667263801E-11</v>
      </c>
      <c r="Q101">
        <v>65.709710177819503</v>
      </c>
      <c r="S101">
        <v>21.059605027896598</v>
      </c>
      <c r="AA101">
        <v>2.0419272204115901</v>
      </c>
      <c r="AB101">
        <v>9.3059812901367707</v>
      </c>
      <c r="AC101">
        <v>1.88277628373543</v>
      </c>
      <c r="AJ101">
        <v>0.79721736687927602</v>
      </c>
      <c r="AK101">
        <v>9.6664191954957193E-2</v>
      </c>
      <c r="AL101">
        <v>0.10611844116576601</v>
      </c>
    </row>
    <row r="102" spans="1:38" x14ac:dyDescent="0.2">
      <c r="A102">
        <v>211</v>
      </c>
      <c r="B102">
        <v>800</v>
      </c>
      <c r="C102">
        <v>100</v>
      </c>
      <c r="D102">
        <v>0.51277128080883805</v>
      </c>
      <c r="E102">
        <v>1.53249246383796</v>
      </c>
      <c r="F102">
        <v>2.55871220106284</v>
      </c>
      <c r="G102">
        <v>-25.048212489973526</v>
      </c>
      <c r="H102">
        <v>-21.498016083443929</v>
      </c>
      <c r="I102">
        <v>3.3082014690673098</v>
      </c>
      <c r="J102">
        <v>1.86033715627714</v>
      </c>
      <c r="K102">
        <v>0.59893115888586101</v>
      </c>
      <c r="L102">
        <v>3.0629369636290042E-5</v>
      </c>
      <c r="M102">
        <v>1.824935475897653E-6</v>
      </c>
      <c r="N102" s="1">
        <v>-5.1509091989507902E-9</v>
      </c>
      <c r="O102" s="1">
        <v>5.45819614841657E-12</v>
      </c>
      <c r="P102" s="1">
        <v>2.76197671045759E-11</v>
      </c>
      <c r="Q102">
        <v>65.742128379653707</v>
      </c>
      <c r="S102">
        <v>21.031588115370901</v>
      </c>
      <c r="AA102">
        <v>2.0112486364948099</v>
      </c>
      <c r="AB102">
        <v>9.3047735360966008</v>
      </c>
      <c r="AC102">
        <v>1.91026133238383</v>
      </c>
      <c r="AJ102">
        <v>0.79711920010663195</v>
      </c>
      <c r="AK102">
        <v>9.5212510287646601E-2</v>
      </c>
      <c r="AL102">
        <v>0.10766828960572</v>
      </c>
    </row>
    <row r="103" spans="1:38" x14ac:dyDescent="0.2">
      <c r="A103">
        <v>212</v>
      </c>
      <c r="B103">
        <v>799</v>
      </c>
      <c r="C103">
        <v>100</v>
      </c>
      <c r="D103">
        <v>0.51225155062258299</v>
      </c>
      <c r="E103">
        <v>1.90465121123558</v>
      </c>
      <c r="F103">
        <v>2.5583779370447401</v>
      </c>
      <c r="G103">
        <v>-31.124147096490159</v>
      </c>
      <c r="H103">
        <v>-26.718073263008872</v>
      </c>
      <c r="I103">
        <v>4.1095684684804201</v>
      </c>
      <c r="J103">
        <v>2.3121422265283398</v>
      </c>
      <c r="K103">
        <v>0.74447609309659002</v>
      </c>
      <c r="L103">
        <v>3.064744043010884E-5</v>
      </c>
      <c r="M103">
        <v>1.8256482806005446E-6</v>
      </c>
      <c r="N103" s="1">
        <v>-6.6299055554748199E-9</v>
      </c>
      <c r="O103" s="1">
        <v>6.78647976356623E-12</v>
      </c>
      <c r="P103" s="1">
        <v>3.5000325075907898E-11</v>
      </c>
      <c r="Q103">
        <v>65.773596545751801</v>
      </c>
      <c r="S103">
        <v>21.004168669246901</v>
      </c>
      <c r="AA103">
        <v>1.9812846463282601</v>
      </c>
      <c r="AB103">
        <v>9.3030150142053802</v>
      </c>
      <c r="AC103">
        <v>1.9379351244674801</v>
      </c>
      <c r="AJ103">
        <v>0.79697601327622403</v>
      </c>
      <c r="AK103">
        <v>9.37948931656815E-2</v>
      </c>
      <c r="AL103">
        <v>0.109229093558093</v>
      </c>
    </row>
    <row r="104" spans="1:38" x14ac:dyDescent="0.2">
      <c r="A104">
        <v>213</v>
      </c>
      <c r="B104">
        <v>798</v>
      </c>
      <c r="C104">
        <v>100</v>
      </c>
      <c r="D104">
        <v>0.51173085002101004</v>
      </c>
      <c r="E104">
        <v>2.2763577369544001</v>
      </c>
      <c r="F104">
        <v>2.5580491213020098</v>
      </c>
      <c r="G104">
        <v>-37.189983146981042</v>
      </c>
      <c r="H104">
        <v>-31.931536608454667</v>
      </c>
      <c r="I104">
        <v>4.9091598175105098</v>
      </c>
      <c r="J104">
        <v>2.7634132284915198</v>
      </c>
      <c r="K104">
        <v>0.88988038501612798</v>
      </c>
      <c r="L104">
        <v>3.0665207413771737E-5</v>
      </c>
      <c r="M104">
        <v>1.8263386377488517E-6</v>
      </c>
      <c r="N104" s="1">
        <v>-8.2024293575217303E-9</v>
      </c>
      <c r="O104" s="1">
        <v>8.1140827251968E-12</v>
      </c>
      <c r="P104" s="1">
        <v>4.26528603338959E-11</v>
      </c>
      <c r="Q104">
        <v>65.804133272161906</v>
      </c>
      <c r="S104">
        <v>20.9773351298801</v>
      </c>
      <c r="AA104">
        <v>1.95202137395317</v>
      </c>
      <c r="AB104">
        <v>9.3007168596482508</v>
      </c>
      <c r="AC104">
        <v>1.9657933643563801</v>
      </c>
      <c r="AJ104">
        <v>0.796788714140369</v>
      </c>
      <c r="AK104">
        <v>9.2410668017228401E-2</v>
      </c>
      <c r="AL104">
        <v>0.110800617842402</v>
      </c>
    </row>
    <row r="105" spans="1:38" x14ac:dyDescent="0.2">
      <c r="A105">
        <v>214</v>
      </c>
      <c r="B105">
        <v>797</v>
      </c>
      <c r="C105">
        <v>100</v>
      </c>
      <c r="D105">
        <v>0.511209176283699</v>
      </c>
      <c r="E105">
        <v>2.6475074506043201</v>
      </c>
      <c r="F105">
        <v>2.5577256588472199</v>
      </c>
      <c r="G105">
        <v>-43.244012468919145</v>
      </c>
      <c r="H105">
        <v>-37.136938961754126</v>
      </c>
      <c r="I105">
        <v>5.7067453227725196</v>
      </c>
      <c r="J105">
        <v>3.2140249151469198</v>
      </c>
      <c r="K105">
        <v>1.0351021977069801</v>
      </c>
      <c r="L105">
        <v>3.0682688443311238E-5</v>
      </c>
      <c r="M105">
        <v>1.8270070614570189E-6</v>
      </c>
      <c r="N105" s="1">
        <v>-9.8710799491042008E-9</v>
      </c>
      <c r="O105" s="1">
        <v>9.4405539332065599E-12</v>
      </c>
      <c r="P105" s="1">
        <v>5.0583984886037499E-11</v>
      </c>
      <c r="Q105">
        <v>65.833757601705599</v>
      </c>
      <c r="S105">
        <v>20.951075597642902</v>
      </c>
      <c r="AA105">
        <v>1.9234445586728901</v>
      </c>
      <c r="AB105">
        <v>9.2978903119111997</v>
      </c>
      <c r="AC105">
        <v>1.9938319300673</v>
      </c>
      <c r="AJ105">
        <v>0.79655821835214702</v>
      </c>
      <c r="AK105">
        <v>9.1059144822218704E-2</v>
      </c>
      <c r="AL105">
        <v>0.112382636825633</v>
      </c>
    </row>
    <row r="106" spans="1:38" x14ac:dyDescent="0.2">
      <c r="A106">
        <v>215</v>
      </c>
      <c r="B106">
        <v>796</v>
      </c>
      <c r="C106">
        <v>100</v>
      </c>
      <c r="D106">
        <v>0.51068652668007097</v>
      </c>
      <c r="E106">
        <v>3.0179999432825801</v>
      </c>
      <c r="F106">
        <v>2.5574074507534998</v>
      </c>
      <c r="G106">
        <v>-49.284596925018462</v>
      </c>
      <c r="H106">
        <v>-42.332872002124269</v>
      </c>
      <c r="I106">
        <v>6.50210440339914</v>
      </c>
      <c r="J106">
        <v>3.6638572970608201</v>
      </c>
      <c r="K106">
        <v>1.1801013336351101</v>
      </c>
      <c r="L106">
        <v>3.0699901714622287E-5</v>
      </c>
      <c r="M106">
        <v>1.8276540731499403E-6</v>
      </c>
      <c r="N106" s="1">
        <v>-1.16385400752081E-8</v>
      </c>
      <c r="O106" s="1">
        <v>1.07654573224118E-11</v>
      </c>
      <c r="P106" s="1">
        <v>5.8800573758714894E-11</v>
      </c>
      <c r="Q106">
        <v>65.862488933676104</v>
      </c>
      <c r="S106">
        <v>20.925377895627602</v>
      </c>
      <c r="AA106">
        <v>1.89553962785396</v>
      </c>
      <c r="AB106">
        <v>9.29454667793269</v>
      </c>
      <c r="AC106">
        <v>2.02204686490954</v>
      </c>
      <c r="AJ106">
        <v>0.79628544650205901</v>
      </c>
      <c r="AK106">
        <v>8.9739619541186297E-2</v>
      </c>
      <c r="AL106">
        <v>0.113974933956754</v>
      </c>
    </row>
    <row r="107" spans="1:38" x14ac:dyDescent="0.2">
      <c r="A107">
        <v>216</v>
      </c>
      <c r="B107">
        <v>795</v>
      </c>
      <c r="C107">
        <v>100</v>
      </c>
      <c r="D107">
        <v>0.51016289846931695</v>
      </c>
      <c r="E107">
        <v>3.3877391364560201</v>
      </c>
      <c r="F107">
        <v>2.5570943948108802</v>
      </c>
      <c r="G107">
        <v>-55.310170753190675</v>
      </c>
      <c r="H107">
        <v>-47.517988311549907</v>
      </c>
      <c r="I107">
        <v>7.2950263929604997</v>
      </c>
      <c r="J107">
        <v>4.1127958266463596</v>
      </c>
      <c r="K107">
        <v>1.3248392954639301</v>
      </c>
      <c r="L107">
        <v>3.0716865725356984E-5</v>
      </c>
      <c r="M107">
        <v>1.8282801995773654E-6</v>
      </c>
      <c r="N107" s="1">
        <v>-1.3507581772846301E-8</v>
      </c>
      <c r="O107" s="1">
        <v>1.2088372469652501E-11</v>
      </c>
      <c r="P107" s="1">
        <v>6.7309782948758703E-11</v>
      </c>
      <c r="Q107">
        <v>65.890346937786404</v>
      </c>
      <c r="S107">
        <v>20.900229629728599</v>
      </c>
      <c r="AA107">
        <v>1.8682917665738701</v>
      </c>
      <c r="AB107">
        <v>9.2906972978542104</v>
      </c>
      <c r="AC107">
        <v>2.05043436805679</v>
      </c>
      <c r="AJ107">
        <v>0.79597132136605298</v>
      </c>
      <c r="AK107">
        <v>8.84513773925278E-2</v>
      </c>
      <c r="AL107">
        <v>0.115577301241419</v>
      </c>
    </row>
    <row r="108" spans="1:38" x14ac:dyDescent="0.2">
      <c r="A108">
        <v>217</v>
      </c>
      <c r="B108">
        <v>794</v>
      </c>
      <c r="C108">
        <v>100</v>
      </c>
      <c r="D108">
        <v>0.50963828890034402</v>
      </c>
      <c r="E108">
        <v>3.75663339427066</v>
      </c>
      <c r="F108">
        <v>2.5567863861753599</v>
      </c>
      <c r="G108">
        <v>-61.319242308344833</v>
      </c>
      <c r="H108">
        <v>-52.691002930158703</v>
      </c>
      <c r="I108">
        <v>8.0853107606110797</v>
      </c>
      <c r="J108">
        <v>4.5607315378465501</v>
      </c>
      <c r="K108">
        <v>1.46927933228326</v>
      </c>
      <c r="L108">
        <v>3.0733599241508247E-5</v>
      </c>
      <c r="M108">
        <v>1.8288859709808446E-6</v>
      </c>
      <c r="N108" s="1">
        <v>-1.5481072466573899E-8</v>
      </c>
      <c r="O108" s="1">
        <v>1.3408895053909999E-11</v>
      </c>
      <c r="P108" s="1">
        <v>7.6119067650613795E-11</v>
      </c>
      <c r="Q108">
        <v>65.9173514734142</v>
      </c>
      <c r="S108">
        <v>20.8756182460892</v>
      </c>
      <c r="AA108">
        <v>1.8416859838577899</v>
      </c>
      <c r="AB108">
        <v>9.2863535156664394</v>
      </c>
      <c r="AC108">
        <v>2.0789907809722701</v>
      </c>
      <c r="AJ108">
        <v>0.79561676555236704</v>
      </c>
      <c r="AK108">
        <v>8.7193695965429294E-2</v>
      </c>
      <c r="AL108">
        <v>0.117189538482203</v>
      </c>
    </row>
    <row r="109" spans="1:38" x14ac:dyDescent="0.2">
      <c r="A109">
        <v>218</v>
      </c>
      <c r="B109">
        <v>793</v>
      </c>
      <c r="C109">
        <v>100</v>
      </c>
      <c r="D109">
        <v>0.50911269521174396</v>
      </c>
      <c r="E109">
        <v>4.2872228546865401</v>
      </c>
      <c r="F109">
        <v>2.5562987604475902</v>
      </c>
      <c r="G109">
        <v>-69.960149839485666</v>
      </c>
      <c r="H109">
        <v>-60.127461649182798</v>
      </c>
      <c r="I109">
        <v>9.2226123812811007</v>
      </c>
      <c r="J109">
        <v>5.2047979784738798</v>
      </c>
      <c r="K109">
        <v>1.67712120391431</v>
      </c>
      <c r="L109">
        <v>3.0748033213990827E-5</v>
      </c>
      <c r="M109">
        <v>1.8295785794446893E-6</v>
      </c>
      <c r="N109" s="1">
        <v>-1.8231374211884699E-8</v>
      </c>
      <c r="O109" s="1">
        <v>1.5311929735933901E-11</v>
      </c>
      <c r="P109" s="1">
        <v>8.8524227781917405E-11</v>
      </c>
      <c r="Q109">
        <v>65.951934175452493</v>
      </c>
      <c r="S109">
        <v>20.841474995005399</v>
      </c>
      <c r="AA109">
        <v>1.80544805136991</v>
      </c>
      <c r="AB109">
        <v>9.2739082412666107</v>
      </c>
      <c r="AC109">
        <v>2.1272345369055299</v>
      </c>
      <c r="AJ109">
        <v>0.79460016783254706</v>
      </c>
      <c r="AK109">
        <v>8.5483371995989696E-2</v>
      </c>
      <c r="AL109">
        <v>0.119916460171462</v>
      </c>
    </row>
    <row r="110" spans="1:38" x14ac:dyDescent="0.2">
      <c r="A110">
        <v>219</v>
      </c>
      <c r="B110">
        <v>792</v>
      </c>
      <c r="C110">
        <v>100</v>
      </c>
      <c r="D110">
        <v>0.50858611463174297</v>
      </c>
      <c r="E110">
        <v>5.5174418287754001</v>
      </c>
      <c r="F110">
        <v>2.5550017565763299</v>
      </c>
      <c r="G110">
        <v>-89.984767605810589</v>
      </c>
      <c r="H110">
        <v>-77.34904891460053</v>
      </c>
      <c r="I110">
        <v>11.862853768211099</v>
      </c>
      <c r="J110">
        <v>6.6969164283014297</v>
      </c>
      <c r="K110">
        <v>2.1594669414899701</v>
      </c>
      <c r="L110">
        <v>3.0749417933030834E-5</v>
      </c>
      <c r="M110">
        <v>1.8306161130917989E-6</v>
      </c>
      <c r="N110" s="1">
        <v>-2.4053768326648701E-8</v>
      </c>
      <c r="O110" s="1">
        <v>1.9743162025262701E-11</v>
      </c>
      <c r="P110" s="1">
        <v>1.15629640307018E-10</v>
      </c>
      <c r="Q110">
        <v>66.019218302662097</v>
      </c>
      <c r="S110">
        <v>20.7650016671952</v>
      </c>
      <c r="AA110">
        <v>1.7266569416508299</v>
      </c>
      <c r="AB110">
        <v>9.2233625400571704</v>
      </c>
      <c r="AC110">
        <v>2.2657605484346202</v>
      </c>
      <c r="AJ110">
        <v>0.79046885485027196</v>
      </c>
      <c r="AK110">
        <v>8.1773452213446493E-2</v>
      </c>
      <c r="AL110">
        <v>0.12775769293628</v>
      </c>
    </row>
    <row r="111" spans="1:38" x14ac:dyDescent="0.2">
      <c r="A111">
        <v>220</v>
      </c>
      <c r="B111">
        <v>791</v>
      </c>
      <c r="C111">
        <v>100</v>
      </c>
      <c r="D111">
        <v>0.50805854437814801</v>
      </c>
      <c r="E111">
        <v>6.8159109623130902</v>
      </c>
      <c r="F111">
        <v>2.5535904532239901</v>
      </c>
      <c r="G111">
        <v>-111.09258428425711</v>
      </c>
      <c r="H111">
        <v>-95.506458595618781</v>
      </c>
      <c r="I111">
        <v>14.646549535909701</v>
      </c>
      <c r="J111">
        <v>8.2707280220164208</v>
      </c>
      <c r="K111">
        <v>2.6691480435743999</v>
      </c>
      <c r="L111">
        <v>3.0742131552939886E-5</v>
      </c>
      <c r="M111">
        <v>1.8314966519635226E-6</v>
      </c>
      <c r="N111" s="1">
        <v>-3.03901127300518E-8</v>
      </c>
      <c r="O111" s="1">
        <v>2.4439442602939002E-11</v>
      </c>
      <c r="P111" s="1">
        <v>1.4477871926063399E-10</v>
      </c>
      <c r="Q111">
        <v>66.084132921008305</v>
      </c>
      <c r="S111">
        <v>20.685482719864002</v>
      </c>
      <c r="AA111">
        <v>1.64590605714236</v>
      </c>
      <c r="AB111">
        <v>9.1595520278617499</v>
      </c>
      <c r="AC111">
        <v>2.42492627412352</v>
      </c>
      <c r="AJ111">
        <v>0.78525005806832904</v>
      </c>
      <c r="AK111">
        <v>7.7973957522904799E-2</v>
      </c>
      <c r="AL111">
        <v>0.13677598440876501</v>
      </c>
    </row>
    <row r="112" spans="1:38" x14ac:dyDescent="0.2">
      <c r="A112">
        <v>221</v>
      </c>
      <c r="B112">
        <v>790</v>
      </c>
      <c r="C112">
        <v>100</v>
      </c>
      <c r="D112">
        <v>0.507529981658283</v>
      </c>
      <c r="E112">
        <v>8.2121735442303105</v>
      </c>
      <c r="F112">
        <v>2.5520159107716802</v>
      </c>
      <c r="G112">
        <v>-133.75579143542922</v>
      </c>
      <c r="H112">
        <v>-115.00558965306726</v>
      </c>
      <c r="I112">
        <v>17.6364593729595</v>
      </c>
      <c r="J112">
        <v>9.9614937617017691</v>
      </c>
      <c r="K112">
        <v>3.2179162792708</v>
      </c>
      <c r="L112">
        <v>3.0723511802756714E-5</v>
      </c>
      <c r="M112">
        <v>1.8321900456024962E-6</v>
      </c>
      <c r="N112" s="1">
        <v>-3.7331168539536402E-8</v>
      </c>
      <c r="O112" s="1">
        <v>2.9512741306911003E-11</v>
      </c>
      <c r="P112" s="1">
        <v>1.7646967548603699E-10</v>
      </c>
      <c r="Q112">
        <v>66.146928294280102</v>
      </c>
      <c r="S112">
        <v>20.601033565941499</v>
      </c>
      <c r="AA112">
        <v>1.56158219858088</v>
      </c>
      <c r="AB112">
        <v>9.07809371409774</v>
      </c>
      <c r="AC112">
        <v>2.6123622270996898</v>
      </c>
      <c r="AJ112">
        <v>0.77858277645512897</v>
      </c>
      <c r="AK112">
        <v>7.4009210331664493E-2</v>
      </c>
      <c r="AL112">
        <v>0.14740801321320601</v>
      </c>
    </row>
    <row r="113" spans="1:38" x14ac:dyDescent="0.2">
      <c r="A113">
        <v>222</v>
      </c>
      <c r="B113">
        <v>789</v>
      </c>
      <c r="C113">
        <v>100</v>
      </c>
      <c r="D113">
        <v>0.50700042366897302</v>
      </c>
      <c r="E113">
        <v>9.7586753009790304</v>
      </c>
      <c r="F113">
        <v>2.5501962864895802</v>
      </c>
      <c r="G113">
        <v>-158.81264576635959</v>
      </c>
      <c r="H113">
        <v>-136.56697859920155</v>
      </c>
      <c r="I113">
        <v>20.943997709511901</v>
      </c>
      <c r="J113">
        <v>11.8318066928324</v>
      </c>
      <c r="K113">
        <v>3.8266369348424099</v>
      </c>
      <c r="L113">
        <v>3.0688962672850962E-5</v>
      </c>
      <c r="M113">
        <v>1.8326420987550872E-6</v>
      </c>
      <c r="N113" s="1">
        <v>-4.50280182936959E-8</v>
      </c>
      <c r="O113" s="1">
        <v>3.5162181647426902E-11</v>
      </c>
      <c r="P113" s="1">
        <v>2.1155779682453701E-10</v>
      </c>
      <c r="Q113">
        <v>66.207895831394396</v>
      </c>
      <c r="S113">
        <v>20.508535967904599</v>
      </c>
      <c r="AA113">
        <v>1.47104479179476</v>
      </c>
      <c r="AB113">
        <v>8.9714621228461997</v>
      </c>
      <c r="AC113">
        <v>2.84106128606002</v>
      </c>
      <c r="AJ113">
        <v>0.76984656848128397</v>
      </c>
      <c r="AK113">
        <v>6.9755368522574607E-2</v>
      </c>
      <c r="AL113">
        <v>0.16039806299614101</v>
      </c>
    </row>
    <row r="114" spans="1:38" x14ac:dyDescent="0.2">
      <c r="A114">
        <v>223</v>
      </c>
      <c r="B114">
        <v>788</v>
      </c>
      <c r="C114">
        <v>100</v>
      </c>
      <c r="D114">
        <v>0.50646986759647905</v>
      </c>
      <c r="E114">
        <v>11.560690883040399</v>
      </c>
      <c r="F114">
        <v>2.5479797531349799</v>
      </c>
      <c r="G114">
        <v>-187.94549518318951</v>
      </c>
      <c r="H114">
        <v>-161.63667053827481</v>
      </c>
      <c r="I114">
        <v>24.792748098680299</v>
      </c>
      <c r="J114">
        <v>14.007273458923301</v>
      </c>
      <c r="K114">
        <v>4.5371988803350698</v>
      </c>
      <c r="L114">
        <v>3.0629603518979544E-5</v>
      </c>
      <c r="M114">
        <v>1.8327434107116919E-6</v>
      </c>
      <c r="N114" s="1">
        <v>-5.3764587968213103E-8</v>
      </c>
      <c r="O114" s="1">
        <v>4.1788015582318501E-11</v>
      </c>
      <c r="P114" s="1">
        <v>2.5170336240454398E-10</v>
      </c>
      <c r="Q114">
        <v>66.267275321402096</v>
      </c>
      <c r="S114">
        <v>20.4022755847691</v>
      </c>
      <c r="AA114">
        <v>1.369523495465</v>
      </c>
      <c r="AB114">
        <v>8.8252107233455401</v>
      </c>
      <c r="AC114">
        <v>3.13571487501815</v>
      </c>
      <c r="AJ114">
        <v>0.75784886693186404</v>
      </c>
      <c r="AK114">
        <v>6.4988692468435305E-2</v>
      </c>
      <c r="AL114">
        <v>0.17716244059969999</v>
      </c>
    </row>
    <row r="115" spans="1:38" x14ac:dyDescent="0.2">
      <c r="A115">
        <v>224</v>
      </c>
      <c r="B115">
        <v>787</v>
      </c>
      <c r="C115">
        <v>100</v>
      </c>
      <c r="D115">
        <v>0.50593831061642502</v>
      </c>
      <c r="E115">
        <v>13.8713147919295</v>
      </c>
      <c r="F115">
        <v>2.5450455872375799</v>
      </c>
      <c r="G115">
        <v>-225.19725807203292</v>
      </c>
      <c r="H115">
        <v>-193.68973185177001</v>
      </c>
      <c r="I115">
        <v>29.7198756970832</v>
      </c>
      <c r="J115">
        <v>16.789686887434002</v>
      </c>
      <c r="K115">
        <v>5.4503207571168</v>
      </c>
      <c r="L115">
        <v>3.0525430689796154E-5</v>
      </c>
      <c r="M115">
        <v>1.8322331289249993E-6</v>
      </c>
      <c r="N115" s="1">
        <v>-6.4174194238310104E-8</v>
      </c>
      <c r="O115" s="1">
        <v>5.0353593642914498E-11</v>
      </c>
      <c r="P115" s="1">
        <v>3.0075269419058498E-10</v>
      </c>
      <c r="Q115">
        <v>66.324559962458594</v>
      </c>
      <c r="S115">
        <v>20.270396786518099</v>
      </c>
      <c r="AA115">
        <v>1.2473555487177399</v>
      </c>
      <c r="AB115">
        <v>8.6071290594319407</v>
      </c>
      <c r="AC115">
        <v>3.5505586428734399</v>
      </c>
      <c r="AJ115">
        <v>0.73992558692479504</v>
      </c>
      <c r="AK115">
        <v>5.9255788870256502E-2</v>
      </c>
      <c r="AL115">
        <v>0.200818624204948</v>
      </c>
    </row>
    <row r="116" spans="1:38" x14ac:dyDescent="0.2">
      <c r="A116">
        <v>225</v>
      </c>
      <c r="B116">
        <v>786</v>
      </c>
      <c r="C116">
        <v>100</v>
      </c>
      <c r="D116">
        <v>0.50540574989378495</v>
      </c>
      <c r="E116">
        <v>15.693427383855999</v>
      </c>
      <c r="F116">
        <v>2.5423383171099601</v>
      </c>
      <c r="G116">
        <v>-254.41162823135258</v>
      </c>
      <c r="H116">
        <v>-218.83821284351797</v>
      </c>
      <c r="I116">
        <v>33.586758615714999</v>
      </c>
      <c r="J116">
        <v>18.972956415917199</v>
      </c>
      <c r="K116">
        <v>6.1728320256352696</v>
      </c>
      <c r="L116">
        <v>3.0391229073362154E-5</v>
      </c>
      <c r="M116">
        <v>1.8307503137239304E-6</v>
      </c>
      <c r="N116" s="1">
        <v>-7.1747035441414196E-8</v>
      </c>
      <c r="O116" s="1">
        <v>5.7188817064463297E-11</v>
      </c>
      <c r="P116" s="1">
        <v>3.37435779983425E-10</v>
      </c>
      <c r="Q116">
        <v>66.342763721698702</v>
      </c>
      <c r="S116">
        <v>20.160152055211601</v>
      </c>
      <c r="AA116">
        <v>1.1521549182168001</v>
      </c>
      <c r="AB116">
        <v>8.3586742649390704</v>
      </c>
      <c r="AC116">
        <v>3.98625503993367</v>
      </c>
      <c r="AJ116">
        <v>0.71945779548792299</v>
      </c>
      <c r="AK116">
        <v>5.4801139595039801E-2</v>
      </c>
      <c r="AL116">
        <v>0.22574106491703699</v>
      </c>
    </row>
    <row r="117" spans="1:38" x14ac:dyDescent="0.2">
      <c r="A117">
        <v>226</v>
      </c>
      <c r="B117">
        <v>785</v>
      </c>
      <c r="C117">
        <v>100</v>
      </c>
      <c r="D117">
        <v>0.50487218258281097</v>
      </c>
      <c r="E117">
        <v>13.349397900874701</v>
      </c>
      <c r="F117">
        <v>2.5450194171832301</v>
      </c>
      <c r="G117">
        <v>-216.56912807471005</v>
      </c>
      <c r="H117">
        <v>-186.346650609872</v>
      </c>
      <c r="I117">
        <v>28.561619302403201</v>
      </c>
      <c r="J117">
        <v>16.149867506471001</v>
      </c>
      <c r="K117">
        <v>5.2453029673343696</v>
      </c>
      <c r="L117">
        <v>3.0444011704595259E-5</v>
      </c>
      <c r="M117">
        <v>1.8297526575882349E-6</v>
      </c>
      <c r="N117" s="1">
        <v>-6.44003565404073E-8</v>
      </c>
      <c r="O117" s="1">
        <v>4.84306416982174E-11</v>
      </c>
      <c r="P117" s="1">
        <v>2.9716001920332599E-10</v>
      </c>
      <c r="Q117">
        <v>66.236711525706895</v>
      </c>
      <c r="S117">
        <v>20.293934641742201</v>
      </c>
      <c r="AA117">
        <v>1.28727275203693</v>
      </c>
      <c r="AB117">
        <v>8.4730710759755308</v>
      </c>
      <c r="AC117">
        <v>3.7090100045383498</v>
      </c>
      <c r="AJ117">
        <v>0.72888671443910802</v>
      </c>
      <c r="AK117">
        <v>6.1192831851657699E-2</v>
      </c>
      <c r="AL117">
        <v>0.20992045370923401</v>
      </c>
    </row>
    <row r="118" spans="1:38" x14ac:dyDescent="0.2">
      <c r="A118">
        <v>227</v>
      </c>
      <c r="B118">
        <v>784</v>
      </c>
      <c r="C118">
        <v>100</v>
      </c>
      <c r="D118">
        <v>0.50433760582698905</v>
      </c>
      <c r="E118">
        <v>12.669273336840201</v>
      </c>
      <c r="F118">
        <v>2.5498016322703601</v>
      </c>
      <c r="G118">
        <v>-205.78557596593976</v>
      </c>
      <c r="H118">
        <v>-177.14033050549838</v>
      </c>
      <c r="I118">
        <v>27.0966707283179</v>
      </c>
      <c r="J118">
        <v>15.3398032469164</v>
      </c>
      <c r="K118">
        <v>4.9687290087579896</v>
      </c>
      <c r="L118">
        <v>3.047201687644872E-5</v>
      </c>
      <c r="M118">
        <v>1.8262431125457642E-6</v>
      </c>
      <c r="N118" s="1">
        <v>-6.4664074129988594E-8</v>
      </c>
      <c r="O118" s="1">
        <v>4.55997065410856E-11</v>
      </c>
      <c r="P118" s="1">
        <v>2.9278329130542498E-10</v>
      </c>
      <c r="Q118">
        <v>65.990179886803205</v>
      </c>
      <c r="S118">
        <v>20.556489608915701</v>
      </c>
      <c r="AA118">
        <v>1.56140807593769</v>
      </c>
      <c r="AB118">
        <v>8.6120105180967403</v>
      </c>
      <c r="AC118">
        <v>3.2799119102465899</v>
      </c>
      <c r="AJ118">
        <v>0.740322246889486</v>
      </c>
      <c r="AK118">
        <v>7.41725927485508E-2</v>
      </c>
      <c r="AL118">
        <v>0.18550516036196299</v>
      </c>
    </row>
    <row r="119" spans="1:38" x14ac:dyDescent="0.2">
      <c r="A119">
        <v>228</v>
      </c>
      <c r="B119">
        <v>783</v>
      </c>
      <c r="C119">
        <v>100</v>
      </c>
      <c r="D119">
        <v>0.50380201675898495</v>
      </c>
      <c r="E119">
        <v>13.3726427826027</v>
      </c>
      <c r="F119">
        <v>2.5523827305120999</v>
      </c>
      <c r="G119">
        <v>-217.32333269333844</v>
      </c>
      <c r="H119">
        <v>-187.13261663349792</v>
      </c>
      <c r="I119">
        <v>28.585632779283699</v>
      </c>
      <c r="J119">
        <v>16.197483175976501</v>
      </c>
      <c r="K119">
        <v>5.2392780372400098</v>
      </c>
      <c r="L119">
        <v>3.0473558395392609E-5</v>
      </c>
      <c r="M119">
        <v>1.8238334130641564E-6</v>
      </c>
      <c r="N119" s="1">
        <v>-7.10912986174044E-8</v>
      </c>
      <c r="O119" s="1">
        <v>4.79135285209766E-11</v>
      </c>
      <c r="P119" s="1">
        <v>3.1756077252436002E-10</v>
      </c>
      <c r="Q119">
        <v>65.838909760124807</v>
      </c>
      <c r="S119">
        <v>20.704508088838701</v>
      </c>
      <c r="AA119">
        <v>1.7188216535274601</v>
      </c>
      <c r="AB119">
        <v>8.6629628404074506</v>
      </c>
      <c r="AC119">
        <v>3.0747976571015099</v>
      </c>
      <c r="AJ119">
        <v>0.74451101664150598</v>
      </c>
      <c r="AK119">
        <v>8.1629339702945905E-2</v>
      </c>
      <c r="AL119">
        <v>0.17385964365554701</v>
      </c>
    </row>
    <row r="120" spans="1:38" x14ac:dyDescent="0.2">
      <c r="A120">
        <v>229</v>
      </c>
      <c r="B120">
        <v>782</v>
      </c>
      <c r="C120">
        <v>100</v>
      </c>
      <c r="D120">
        <v>0.50326541250059598</v>
      </c>
      <c r="E120">
        <v>14.197530685302199</v>
      </c>
      <c r="F120">
        <v>2.55427159859161</v>
      </c>
      <c r="G120">
        <v>-230.802061040626</v>
      </c>
      <c r="H120">
        <v>-198.79774950155706</v>
      </c>
      <c r="I120">
        <v>30.3315277818973</v>
      </c>
      <c r="J120">
        <v>17.201057089805101</v>
      </c>
      <c r="K120">
        <v>5.5583480993683203</v>
      </c>
      <c r="L120">
        <v>3.0471606232289991E-5</v>
      </c>
      <c r="M120">
        <v>1.8218958596146962E-6</v>
      </c>
      <c r="N120" s="1">
        <v>-7.8302019414551197E-8</v>
      </c>
      <c r="O120" s="1">
        <v>5.0693326717466202E-11</v>
      </c>
      <c r="P120" s="1">
        <v>3.4558704990490802E-10</v>
      </c>
      <c r="Q120">
        <v>65.721856494529604</v>
      </c>
      <c r="S120">
        <v>20.814906617408901</v>
      </c>
      <c r="AA120">
        <v>1.83721434929434</v>
      </c>
      <c r="AB120">
        <v>8.6915400096086799</v>
      </c>
      <c r="AC120">
        <v>2.9344825291583501</v>
      </c>
      <c r="AJ120">
        <v>0.746858909160942</v>
      </c>
      <c r="AK120">
        <v>8.7239356084930497E-2</v>
      </c>
      <c r="AL120">
        <v>0.16590173475412601</v>
      </c>
    </row>
    <row r="121" spans="1:38" x14ac:dyDescent="0.2">
      <c r="A121">
        <v>230</v>
      </c>
      <c r="B121">
        <v>781</v>
      </c>
      <c r="C121">
        <v>100</v>
      </c>
      <c r="D121">
        <v>0.50272779016268998</v>
      </c>
      <c r="E121">
        <v>14.8081014893811</v>
      </c>
      <c r="F121">
        <v>2.5554213996219901</v>
      </c>
      <c r="G121">
        <v>-240.75996465065634</v>
      </c>
      <c r="H121">
        <v>-207.42983080529467</v>
      </c>
      <c r="I121">
        <v>31.618018161894899</v>
      </c>
      <c r="J121">
        <v>17.944209874310001</v>
      </c>
      <c r="K121">
        <v>5.7947786973888702</v>
      </c>
      <c r="L121">
        <v>3.0476266047472922E-5</v>
      </c>
      <c r="M121">
        <v>1.8207675401982358E-6</v>
      </c>
      <c r="N121" s="1">
        <v>-8.4550823676465797E-8</v>
      </c>
      <c r="O121" s="1">
        <v>5.2754118898641603E-11</v>
      </c>
      <c r="P121" s="1">
        <v>3.6899176281716698E-10</v>
      </c>
      <c r="Q121">
        <v>65.651589524075007</v>
      </c>
      <c r="S121">
        <v>20.8808668825449</v>
      </c>
      <c r="AA121">
        <v>1.9080280803552001</v>
      </c>
      <c r="AB121">
        <v>8.7078772439884098</v>
      </c>
      <c r="AC121">
        <v>2.8516382690364401</v>
      </c>
      <c r="AJ121">
        <v>0.74820081638852498</v>
      </c>
      <c r="AK121">
        <v>9.0594416442582801E-2</v>
      </c>
      <c r="AL121">
        <v>0.16120476716889101</v>
      </c>
    </row>
    <row r="122" spans="1:38" x14ac:dyDescent="0.2">
      <c r="A122">
        <v>231</v>
      </c>
      <c r="B122">
        <v>780</v>
      </c>
      <c r="C122">
        <v>100</v>
      </c>
      <c r="D122">
        <v>0.50218914684517901</v>
      </c>
      <c r="E122">
        <v>15.2075926506025</v>
      </c>
      <c r="F122">
        <v>2.5560922904643499</v>
      </c>
      <c r="G122">
        <v>-247.26089911756256</v>
      </c>
      <c r="H122">
        <v>-213.08290518548645</v>
      </c>
      <c r="I122">
        <v>32.453111078266197</v>
      </c>
      <c r="J122">
        <v>18.431312944260601</v>
      </c>
      <c r="K122">
        <v>5.9495475602877503</v>
      </c>
      <c r="L122">
        <v>3.0488169391359565E-5</v>
      </c>
      <c r="M122">
        <v>1.8202464811449075E-6</v>
      </c>
      <c r="N122" s="1">
        <v>-8.9818912034546997E-8</v>
      </c>
      <c r="O122" s="1">
        <v>5.4097783007921598E-11</v>
      </c>
      <c r="P122" s="1">
        <v>3.87756873377501E-10</v>
      </c>
      <c r="Q122">
        <v>65.614396128955306</v>
      </c>
      <c r="S122">
        <v>20.916857016209502</v>
      </c>
      <c r="AA122">
        <v>1.9463988794229199</v>
      </c>
      <c r="AB122">
        <v>8.7193465716327392</v>
      </c>
      <c r="AC122">
        <v>2.80300140377945</v>
      </c>
      <c r="AJ122">
        <v>0.74914293350299299</v>
      </c>
      <c r="AK122">
        <v>9.2410939043297294E-2</v>
      </c>
      <c r="AL122">
        <v>0.15844612745370901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45186-565A-46B1-9173-A3DE7427D6E5}">
  <sheetPr codeName="Sheet11"/>
  <dimension ref="A1:AL5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28</v>
      </c>
      <c r="B2">
        <v>736</v>
      </c>
      <c r="C2">
        <v>300</v>
      </c>
      <c r="D2">
        <v>0.25942674528068399</v>
      </c>
      <c r="E2">
        <v>2.0598438520909501</v>
      </c>
      <c r="F2">
        <v>2.57548224658249</v>
      </c>
      <c r="G2">
        <v>-33.217847132517903</v>
      </c>
      <c r="H2">
        <v>-28.894623968486275</v>
      </c>
      <c r="I2">
        <v>4.2840243413086503</v>
      </c>
      <c r="J2">
        <v>2.5443529151666899</v>
      </c>
      <c r="K2">
        <v>0.79978957526274597</v>
      </c>
      <c r="L2">
        <v>3.2716438700827195E-5</v>
      </c>
      <c r="M2">
        <v>1.8147218177518893E-6</v>
      </c>
      <c r="N2" s="1">
        <v>-6.0607897864465606E-8</v>
      </c>
      <c r="O2" s="1">
        <v>6.8410747743438503E-12</v>
      </c>
      <c r="P2" s="1">
        <v>1.9204366745894099E-10</v>
      </c>
      <c r="Q2">
        <v>65.3522294115606</v>
      </c>
      <c r="S2">
        <v>21.264283643308499</v>
      </c>
      <c r="AA2">
        <v>2.29420242359916</v>
      </c>
      <c r="AB2">
        <v>9.0459461702194908</v>
      </c>
      <c r="AC2">
        <v>2.0433383513121401</v>
      </c>
      <c r="AJ2">
        <v>0.77593729281785595</v>
      </c>
      <c r="AK2">
        <v>0.10874646560859</v>
      </c>
      <c r="AL2">
        <v>0.115316241573552</v>
      </c>
    </row>
    <row r="3" spans="1:38" x14ac:dyDescent="0.2">
      <c r="A3">
        <v>29</v>
      </c>
      <c r="B3">
        <v>735</v>
      </c>
      <c r="C3">
        <v>300</v>
      </c>
      <c r="D3">
        <v>0.25862272479293502</v>
      </c>
      <c r="E3">
        <v>5.2988919559926204</v>
      </c>
      <c r="F3">
        <v>2.5761518460032899</v>
      </c>
      <c r="G3">
        <v>-85.450746647526259</v>
      </c>
      <c r="H3">
        <v>-74.347653051254127</v>
      </c>
      <c r="I3">
        <v>11.013334916701</v>
      </c>
      <c r="J3">
        <v>6.5499519347842501</v>
      </c>
      <c r="K3">
        <v>2.0569020278107599</v>
      </c>
      <c r="L3">
        <v>3.2776300088840597E-5</v>
      </c>
      <c r="M3">
        <v>1.8139956297576295E-6</v>
      </c>
      <c r="N3" s="1">
        <v>-1.6092339395704301E-7</v>
      </c>
      <c r="O3" s="1">
        <v>1.75377043626085E-11</v>
      </c>
      <c r="P3" s="1">
        <v>5.0820901382082395E-10</v>
      </c>
      <c r="Q3">
        <v>65.301946435458404</v>
      </c>
      <c r="S3">
        <v>21.305664581496899</v>
      </c>
      <c r="AA3">
        <v>2.3400749663725899</v>
      </c>
      <c r="AB3">
        <v>9.0423787633910209</v>
      </c>
      <c r="AC3">
        <v>2.0099352532810002</v>
      </c>
      <c r="AJ3">
        <v>0.77564426650772</v>
      </c>
      <c r="AK3">
        <v>0.110922705262007</v>
      </c>
      <c r="AL3">
        <v>0.113433028230272</v>
      </c>
    </row>
    <row r="4" spans="1:38" x14ac:dyDescent="0.2">
      <c r="A4">
        <v>30</v>
      </c>
      <c r="B4">
        <v>734</v>
      </c>
      <c r="C4">
        <v>300</v>
      </c>
      <c r="D4">
        <v>0.25781710768008598</v>
      </c>
      <c r="E4">
        <v>14.784977733782</v>
      </c>
      <c r="F4">
        <v>2.5768191465896901</v>
      </c>
      <c r="G4">
        <v>-238.42082138486666</v>
      </c>
      <c r="H4">
        <v>-207.49201270560044</v>
      </c>
      <c r="I4">
        <v>30.7092376302102</v>
      </c>
      <c r="J4">
        <v>18.289100783384001</v>
      </c>
      <c r="K4">
        <v>5.7376854535364901</v>
      </c>
      <c r="L4">
        <v>3.283787756251064E-5</v>
      </c>
      <c r="M4">
        <v>1.8132598113981356E-6</v>
      </c>
      <c r="N4" s="1">
        <v>-4.6340502754093801E-7</v>
      </c>
      <c r="O4" s="1">
        <v>4.8761008044014903E-11</v>
      </c>
      <c r="P4" s="1">
        <v>1.4587019061633601E-9</v>
      </c>
      <c r="Q4">
        <v>65.251198157556601</v>
      </c>
      <c r="S4">
        <v>21.3471913840194</v>
      </c>
      <c r="AA4">
        <v>2.3861764205290998</v>
      </c>
      <c r="AB4">
        <v>9.0381568587662606</v>
      </c>
      <c r="AC4">
        <v>1.97727717912852</v>
      </c>
      <c r="AJ4">
        <v>0.77529760333431497</v>
      </c>
      <c r="AK4">
        <v>0.11311023567586501</v>
      </c>
      <c r="AL4">
        <v>0.111592160989819</v>
      </c>
    </row>
    <row r="5" spans="1:38" x14ac:dyDescent="0.2">
      <c r="A5">
        <v>31</v>
      </c>
      <c r="B5">
        <v>733</v>
      </c>
      <c r="C5">
        <v>300</v>
      </c>
      <c r="D5">
        <v>0.257009889181535</v>
      </c>
      <c r="E5">
        <v>15.893959425742</v>
      </c>
      <c r="F5">
        <v>2.5774806300038602</v>
      </c>
      <c r="G5">
        <v>-256.29916940411823</v>
      </c>
      <c r="H5">
        <v>-223.10541030155233</v>
      </c>
      <c r="I5">
        <v>32.990865281087203</v>
      </c>
      <c r="J5">
        <v>19.675763972432101</v>
      </c>
      <c r="K5">
        <v>6.1664709486946796</v>
      </c>
      <c r="L5">
        <v>3.2901428434171233E-5</v>
      </c>
      <c r="M5">
        <v>1.8125226478592227E-6</v>
      </c>
      <c r="N5" s="1">
        <v>-5.1409678176582996E-7</v>
      </c>
      <c r="O5" s="1">
        <v>5.2229674607381802E-11</v>
      </c>
      <c r="P5" s="1">
        <v>1.61310379113612E-9</v>
      </c>
      <c r="Q5">
        <v>65.200350424161897</v>
      </c>
      <c r="S5">
        <v>21.3885894420604</v>
      </c>
      <c r="AA5">
        <v>2.4321948657497301</v>
      </c>
      <c r="AB5">
        <v>9.0333758025119604</v>
      </c>
      <c r="AC5">
        <v>1.9454894655158701</v>
      </c>
      <c r="AJ5">
        <v>0.77490511403352702</v>
      </c>
      <c r="AK5">
        <v>0.115294238925104</v>
      </c>
      <c r="AL5">
        <v>0.10980064704136699</v>
      </c>
    </row>
    <row r="6" spans="1:38" x14ac:dyDescent="0.2">
      <c r="A6">
        <v>56</v>
      </c>
      <c r="B6">
        <v>739</v>
      </c>
      <c r="C6">
        <v>280</v>
      </c>
      <c r="D6">
        <v>0.28356518302623301</v>
      </c>
      <c r="E6">
        <v>3.64544599071482</v>
      </c>
      <c r="F6">
        <v>2.5725867857868399</v>
      </c>
      <c r="G6">
        <v>-58.818047631042823</v>
      </c>
      <c r="H6">
        <v>-51.128483996693504</v>
      </c>
      <c r="I6">
        <v>7.59725696225789</v>
      </c>
      <c r="J6">
        <v>4.4916937935430097</v>
      </c>
      <c r="K6">
        <v>1.41703518452918</v>
      </c>
      <c r="L6">
        <v>3.2484530706471969E-5</v>
      </c>
      <c r="M6">
        <v>1.8176976564182746E-6</v>
      </c>
      <c r="N6" s="1">
        <v>-9.5704312173653601E-8</v>
      </c>
      <c r="O6" s="1">
        <v>1.2241836285280801E-11</v>
      </c>
      <c r="P6" s="1">
        <v>3.0699768729838901E-10</v>
      </c>
      <c r="Q6">
        <v>65.491609176475194</v>
      </c>
      <c r="S6">
        <v>21.146644459447</v>
      </c>
      <c r="AA6">
        <v>2.1646265296851199</v>
      </c>
      <c r="AB6">
        <v>9.048140088457</v>
      </c>
      <c r="AC6">
        <v>2.14897974593557</v>
      </c>
      <c r="AJ6">
        <v>0.77611918365198795</v>
      </c>
      <c r="AK6">
        <v>0.102603663910349</v>
      </c>
      <c r="AL6">
        <v>0.121277152437661</v>
      </c>
    </row>
    <row r="7" spans="1:38" x14ac:dyDescent="0.2">
      <c r="A7">
        <v>57</v>
      </c>
      <c r="B7">
        <v>738</v>
      </c>
      <c r="C7">
        <v>280</v>
      </c>
      <c r="D7">
        <v>0.28278742026405701</v>
      </c>
      <c r="E7">
        <v>10.884865195330899</v>
      </c>
      <c r="F7">
        <v>2.57142530228748</v>
      </c>
      <c r="G7">
        <v>-175.56767002208611</v>
      </c>
      <c r="H7">
        <v>-152.64006980927144</v>
      </c>
      <c r="I7">
        <v>22.6747764553376</v>
      </c>
      <c r="J7">
        <v>13.422655093823399</v>
      </c>
      <c r="K7">
        <v>4.2330085130795103</v>
      </c>
      <c r="L7">
        <v>3.2610388575924368E-5</v>
      </c>
      <c r="M7">
        <v>1.8205248732515206E-6</v>
      </c>
      <c r="N7" s="1">
        <v>-2.9595647415296301E-7</v>
      </c>
      <c r="O7" s="1">
        <v>3.6557568102662503E-11</v>
      </c>
      <c r="P7" s="1">
        <v>9.4558311367843905E-10</v>
      </c>
      <c r="Q7">
        <v>65.610505189789194</v>
      </c>
      <c r="S7">
        <v>21.0548273656023</v>
      </c>
      <c r="AA7">
        <v>2.0611337278372601</v>
      </c>
      <c r="AB7">
        <v>9.0723830306272593</v>
      </c>
      <c r="AC7">
        <v>2.2011506861438801</v>
      </c>
      <c r="AJ7">
        <v>0.77810672372133505</v>
      </c>
      <c r="AK7">
        <v>9.7686545280471895E-2</v>
      </c>
      <c r="AL7">
        <v>0.124206730998192</v>
      </c>
    </row>
    <row r="8" spans="1:38" x14ac:dyDescent="0.2">
      <c r="A8">
        <v>58</v>
      </c>
      <c r="B8">
        <v>737</v>
      </c>
      <c r="C8">
        <v>280</v>
      </c>
      <c r="D8">
        <v>0.28200811760629901</v>
      </c>
      <c r="E8">
        <v>18.585783872383299</v>
      </c>
      <c r="F8">
        <v>2.5701777218899702</v>
      </c>
      <c r="G8">
        <v>-299.67779223222095</v>
      </c>
      <c r="H8">
        <v>-260.58474131840757</v>
      </c>
      <c r="I8">
        <v>38.7002434428681</v>
      </c>
      <c r="J8">
        <v>22.9382105802332</v>
      </c>
      <c r="K8">
        <v>7.2313224545095904</v>
      </c>
      <c r="L8">
        <v>3.2738906275409967E-5</v>
      </c>
      <c r="M8">
        <v>1.8234391463682168E-6</v>
      </c>
      <c r="N8" s="1">
        <v>-5.2327920628605996E-7</v>
      </c>
      <c r="O8" s="1">
        <v>6.2434820351985902E-11</v>
      </c>
      <c r="P8" s="1">
        <v>1.6654076833167901E-9</v>
      </c>
      <c r="Q8">
        <v>65.734516168209097</v>
      </c>
      <c r="S8">
        <v>20.9580955912392</v>
      </c>
      <c r="AA8">
        <v>1.95239275705791</v>
      </c>
      <c r="AB8">
        <v>9.0951399243515905</v>
      </c>
      <c r="AC8">
        <v>2.2598555591420499</v>
      </c>
      <c r="AJ8">
        <v>0.77997219780754401</v>
      </c>
      <c r="AK8">
        <v>9.2522575995891906E-2</v>
      </c>
      <c r="AL8">
        <v>0.12750522619656299</v>
      </c>
    </row>
    <row r="9" spans="1:38" x14ac:dyDescent="0.2">
      <c r="A9">
        <v>59</v>
      </c>
      <c r="B9">
        <v>736</v>
      </c>
      <c r="C9">
        <v>280</v>
      </c>
      <c r="D9">
        <v>0.281227270475152</v>
      </c>
      <c r="E9">
        <v>20.399588253671801</v>
      </c>
      <c r="F9">
        <v>2.5699991737944901</v>
      </c>
      <c r="G9">
        <v>-328.87341994671857</v>
      </c>
      <c r="H9">
        <v>-286.03112341040361</v>
      </c>
      <c r="I9">
        <v>42.4538438649505</v>
      </c>
      <c r="J9">
        <v>25.1964169282674</v>
      </c>
      <c r="K9">
        <v>7.9375855298633304</v>
      </c>
      <c r="L9">
        <v>3.2831395782532274E-5</v>
      </c>
      <c r="M9">
        <v>1.8243963472607233E-6</v>
      </c>
      <c r="N9" s="1">
        <v>-5.9382447196993899E-7</v>
      </c>
      <c r="O9" s="1">
        <v>6.8405015667803004E-11</v>
      </c>
      <c r="P9" s="1">
        <v>1.8831273812204299E-9</v>
      </c>
      <c r="Q9">
        <v>65.763783741680498</v>
      </c>
      <c r="S9">
        <v>20.937235083664898</v>
      </c>
      <c r="AA9">
        <v>1.9283534365583801</v>
      </c>
      <c r="AB9">
        <v>9.1056726099107301</v>
      </c>
      <c r="AC9">
        <v>2.2649551281854401</v>
      </c>
      <c r="AJ9">
        <v>0.78083502444296404</v>
      </c>
      <c r="AK9">
        <v>9.1378637976904195E-2</v>
      </c>
      <c r="AL9">
        <v>0.12778633758013</v>
      </c>
    </row>
    <row r="10" spans="1:38" x14ac:dyDescent="0.2">
      <c r="A10">
        <v>81</v>
      </c>
      <c r="B10">
        <v>742</v>
      </c>
      <c r="C10">
        <v>260</v>
      </c>
      <c r="D10">
        <v>0.30756095158350699</v>
      </c>
      <c r="E10">
        <v>5.3482879929596798</v>
      </c>
      <c r="F10">
        <v>2.5698549222508298</v>
      </c>
      <c r="G10">
        <v>-86.338012509219311</v>
      </c>
      <c r="H10">
        <v>-75.000569703951925</v>
      </c>
      <c r="I10">
        <v>11.1682439100304</v>
      </c>
      <c r="J10">
        <v>6.5748675088817903</v>
      </c>
      <c r="K10">
        <v>2.0811633943426302</v>
      </c>
      <c r="L10">
        <v>3.2266236963946064E-5</v>
      </c>
      <c r="M10">
        <v>1.8202403396746048E-6</v>
      </c>
      <c r="N10" s="1">
        <v>-1.2518292645913099E-7</v>
      </c>
      <c r="O10" s="1">
        <v>1.81378995528591E-11</v>
      </c>
      <c r="P10" s="1">
        <v>4.06943039258712E-10</v>
      </c>
      <c r="Q10">
        <v>65.6094448796714</v>
      </c>
      <c r="S10">
        <v>21.043793863693299</v>
      </c>
      <c r="AA10">
        <v>2.0522783846589299</v>
      </c>
      <c r="AB10">
        <v>9.0410944266737303</v>
      </c>
      <c r="AC10">
        <v>2.2533884453025501</v>
      </c>
      <c r="AJ10">
        <v>0.77554383156949003</v>
      </c>
      <c r="AK10">
        <v>9.7281980647455801E-2</v>
      </c>
      <c r="AL10">
        <v>0.12717418778305301</v>
      </c>
    </row>
    <row r="11" spans="1:38" x14ac:dyDescent="0.2">
      <c r="A11">
        <v>82</v>
      </c>
      <c r="B11">
        <v>741</v>
      </c>
      <c r="C11">
        <v>260</v>
      </c>
      <c r="D11">
        <v>0.30680915052014102</v>
      </c>
      <c r="E11">
        <v>13.234489569502699</v>
      </c>
      <c r="F11">
        <v>2.5691282162175</v>
      </c>
      <c r="G11">
        <v>-213.59235398743962</v>
      </c>
      <c r="H11">
        <v>-185.57867856870106</v>
      </c>
      <c r="I11">
        <v>27.622812620163199</v>
      </c>
      <c r="J11">
        <v>16.280781492564198</v>
      </c>
      <c r="K11">
        <v>5.1513542554866003</v>
      </c>
      <c r="L11">
        <v>3.2364551686075421E-5</v>
      </c>
      <c r="M11">
        <v>1.8221450185450851E-6</v>
      </c>
      <c r="N11" s="1">
        <v>-3.2045675931467501E-7</v>
      </c>
      <c r="O11" s="1">
        <v>4.4864073129948801E-11</v>
      </c>
      <c r="P11" s="1">
        <v>1.0374022223089199E-9</v>
      </c>
      <c r="Q11">
        <v>65.686484022634602</v>
      </c>
      <c r="S11">
        <v>20.984429188541998</v>
      </c>
      <c r="AA11">
        <v>1.9853258889954899</v>
      </c>
      <c r="AB11">
        <v>9.0571398122498206</v>
      </c>
      <c r="AC11">
        <v>2.2866210875780402</v>
      </c>
      <c r="AJ11">
        <v>0.77685942188555801</v>
      </c>
      <c r="AK11">
        <v>9.4100939985336404E-2</v>
      </c>
      <c r="AL11">
        <v>0.12903963812910499</v>
      </c>
    </row>
    <row r="12" spans="1:38" x14ac:dyDescent="0.2">
      <c r="A12">
        <v>83</v>
      </c>
      <c r="B12">
        <v>740</v>
      </c>
      <c r="C12">
        <v>260</v>
      </c>
      <c r="D12">
        <v>0.30605586537038199</v>
      </c>
      <c r="E12">
        <v>18.903403979356899</v>
      </c>
      <c r="F12">
        <v>2.5686550878264298</v>
      </c>
      <c r="G12">
        <v>-305.02035670879786</v>
      </c>
      <c r="H12">
        <v>-265.0670982977594</v>
      </c>
      <c r="I12">
        <v>39.434692208496699</v>
      </c>
      <c r="J12">
        <v>23.2704798713219</v>
      </c>
      <c r="K12">
        <v>7.35926129940351</v>
      </c>
      <c r="L12">
        <v>3.2455731151990975E-5</v>
      </c>
      <c r="M12">
        <v>1.8235828402154915E-6</v>
      </c>
      <c r="N12" s="1">
        <v>-4.7334326776600601E-7</v>
      </c>
      <c r="O12" s="1">
        <v>6.4021190989018697E-11</v>
      </c>
      <c r="P12" s="1">
        <v>1.5261862083306101E-9</v>
      </c>
      <c r="Q12">
        <v>65.740837695633502</v>
      </c>
      <c r="S12">
        <v>20.943167779400699</v>
      </c>
      <c r="AA12">
        <v>1.9386021174388699</v>
      </c>
      <c r="AB12">
        <v>9.0700919097871999</v>
      </c>
      <c r="AC12">
        <v>2.3073004977397198</v>
      </c>
      <c r="AJ12">
        <v>0.77792111560049404</v>
      </c>
      <c r="AK12">
        <v>9.1880498997043605E-2</v>
      </c>
      <c r="AL12">
        <v>0.13019838540246101</v>
      </c>
    </row>
    <row r="13" spans="1:38" x14ac:dyDescent="0.2">
      <c r="A13">
        <v>84</v>
      </c>
      <c r="B13">
        <v>739</v>
      </c>
      <c r="C13">
        <v>260</v>
      </c>
      <c r="D13">
        <v>0.30530109173541498</v>
      </c>
      <c r="E13">
        <v>20.259769775457599</v>
      </c>
      <c r="F13">
        <v>2.56864711259239</v>
      </c>
      <c r="G13">
        <v>-326.86638951526237</v>
      </c>
      <c r="H13">
        <v>-284.11255686136758</v>
      </c>
      <c r="I13">
        <v>42.240609251489197</v>
      </c>
      <c r="J13">
        <v>24.957178642248198</v>
      </c>
      <c r="K13">
        <v>7.8873309128907803</v>
      </c>
      <c r="L13">
        <v>3.2533766753525521E-5</v>
      </c>
      <c r="M13">
        <v>1.8242055497058365E-6</v>
      </c>
      <c r="N13" s="1">
        <v>-5.2435355904686305E-7</v>
      </c>
      <c r="O13" s="1">
        <v>6.8488536838296197E-11</v>
      </c>
      <c r="P13" s="1">
        <v>1.6841507548651801E-9</v>
      </c>
      <c r="Q13">
        <v>65.755070713493396</v>
      </c>
      <c r="S13">
        <v>20.934407019329299</v>
      </c>
      <c r="AA13">
        <v>1.9280533205372099</v>
      </c>
      <c r="AB13">
        <v>9.0788419554407191</v>
      </c>
      <c r="AC13">
        <v>2.3036269911992102</v>
      </c>
      <c r="AJ13">
        <v>0.77863793673908099</v>
      </c>
      <c r="AK13">
        <v>9.1376587295005002E-2</v>
      </c>
      <c r="AL13">
        <v>0.12998547596591301</v>
      </c>
    </row>
    <row r="14" spans="1:38" x14ac:dyDescent="0.2">
      <c r="A14">
        <v>102</v>
      </c>
      <c r="B14">
        <v>746</v>
      </c>
      <c r="C14">
        <v>240</v>
      </c>
      <c r="D14">
        <v>0.33214001864298798</v>
      </c>
      <c r="E14">
        <v>3.1569980602278598</v>
      </c>
      <c r="F14">
        <v>2.5250140330762898</v>
      </c>
      <c r="G14">
        <v>-49.887279189562641</v>
      </c>
      <c r="H14">
        <v>-43.247752502499274</v>
      </c>
      <c r="I14">
        <v>6.5147688633305796</v>
      </c>
      <c r="J14">
        <v>3.7701861091722999</v>
      </c>
      <c r="K14">
        <v>1.250289312801</v>
      </c>
      <c r="L14">
        <v>2.9030423692971405E-5</v>
      </c>
      <c r="M14">
        <v>1.8000772339411883E-6</v>
      </c>
      <c r="N14" s="1">
        <v>-3.1579363709411899E-8</v>
      </c>
      <c r="O14" s="1">
        <v>1.1831559597174E-11</v>
      </c>
      <c r="P14" s="1">
        <v>1.1667146150415501E-10</v>
      </c>
      <c r="Q14">
        <v>66.146807581838502</v>
      </c>
      <c r="S14">
        <v>19.039170333002701</v>
      </c>
      <c r="AA14">
        <v>0.273057205804005</v>
      </c>
      <c r="AB14">
        <v>4.9831971916726099</v>
      </c>
      <c r="AC14">
        <v>9.5577676876820696</v>
      </c>
      <c r="AJ14">
        <v>0.43626534027202701</v>
      </c>
      <c r="AK14">
        <v>1.32101293520089E-2</v>
      </c>
      <c r="AL14">
        <v>0.55052453037596305</v>
      </c>
    </row>
    <row r="15" spans="1:38" x14ac:dyDescent="0.2">
      <c r="A15">
        <v>103</v>
      </c>
      <c r="B15">
        <v>745</v>
      </c>
      <c r="C15">
        <v>240</v>
      </c>
      <c r="D15">
        <v>0.33141531208564601</v>
      </c>
      <c r="E15">
        <v>11.5739280474839</v>
      </c>
      <c r="F15">
        <v>2.5250117186228902</v>
      </c>
      <c r="G15">
        <v>-182.85432119216568</v>
      </c>
      <c r="H15">
        <v>-158.55292461388558</v>
      </c>
      <c r="I15">
        <v>23.8681889488583</v>
      </c>
      <c r="J15">
        <v>13.823788482138999</v>
      </c>
      <c r="K15">
        <v>4.5837126070037204</v>
      </c>
      <c r="L15">
        <v>2.9044078650000946E-5</v>
      </c>
      <c r="M15">
        <v>1.8000803621132219E-6</v>
      </c>
      <c r="N15" s="1">
        <v>-1.1941979458758799E-7</v>
      </c>
      <c r="O15" s="1">
        <v>4.33526981302566E-11</v>
      </c>
      <c r="P15" s="1">
        <v>4.3813703994515399E-10</v>
      </c>
      <c r="Q15">
        <v>66.144275096445099</v>
      </c>
      <c r="S15">
        <v>19.035037546937801</v>
      </c>
      <c r="AA15">
        <v>0.27023853582942198</v>
      </c>
      <c r="AB15">
        <v>4.9667190477920897</v>
      </c>
      <c r="AC15">
        <v>9.5837297729953903</v>
      </c>
      <c r="AJ15">
        <v>0.43485906556845499</v>
      </c>
      <c r="AK15">
        <v>1.30748586913927E-2</v>
      </c>
      <c r="AL15">
        <v>0.55206607574015099</v>
      </c>
    </row>
    <row r="16" spans="1:38" x14ac:dyDescent="0.2">
      <c r="A16">
        <v>104</v>
      </c>
      <c r="B16">
        <v>744</v>
      </c>
      <c r="C16">
        <v>240</v>
      </c>
      <c r="D16">
        <v>0.33068918055350899</v>
      </c>
      <c r="E16">
        <v>29.114548970363199</v>
      </c>
      <c r="F16">
        <v>2.5250415949134402</v>
      </c>
      <c r="G16">
        <v>-459.91657034329614</v>
      </c>
      <c r="H16">
        <v>-398.87994214406484</v>
      </c>
      <c r="I16">
        <v>60.007499581410102</v>
      </c>
      <c r="J16">
        <v>34.783546301794203</v>
      </c>
      <c r="K16">
        <v>11.530324501985501</v>
      </c>
      <c r="L16">
        <v>2.907479824630007E-5</v>
      </c>
      <c r="M16">
        <v>1.8003261948523488E-6</v>
      </c>
      <c r="N16" s="1">
        <v>-3.1136731546235602E-7</v>
      </c>
      <c r="O16" s="1">
        <v>1.08969743336646E-10</v>
      </c>
      <c r="P16" s="1">
        <v>1.13351543070867E-9</v>
      </c>
      <c r="Q16">
        <v>66.1486988273344</v>
      </c>
      <c r="S16">
        <v>19.032353232007001</v>
      </c>
      <c r="AA16">
        <v>0.26699173139960097</v>
      </c>
      <c r="AB16">
        <v>4.9695398143120197</v>
      </c>
      <c r="AC16">
        <v>9.5824163949468204</v>
      </c>
      <c r="AJ16">
        <v>0.43509984710544702</v>
      </c>
      <c r="AK16">
        <v>1.2917585903095E-2</v>
      </c>
      <c r="AL16">
        <v>0.55198256699145698</v>
      </c>
    </row>
    <row r="17" spans="1:38" x14ac:dyDescent="0.2">
      <c r="A17">
        <v>105</v>
      </c>
      <c r="B17">
        <v>743</v>
      </c>
      <c r="C17">
        <v>240</v>
      </c>
      <c r="D17">
        <v>0.32996161983958999</v>
      </c>
      <c r="E17">
        <v>35.536790017651697</v>
      </c>
      <c r="F17">
        <v>2.5250519340905999</v>
      </c>
      <c r="G17">
        <v>-561.26678299791456</v>
      </c>
      <c r="H17">
        <v>-486.88604306840733</v>
      </c>
      <c r="I17">
        <v>73.198582817012394</v>
      </c>
      <c r="J17">
        <v>42.464713286601601</v>
      </c>
      <c r="K17">
        <v>14.073686777634601</v>
      </c>
      <c r="L17">
        <v>2.9096080528974511E-5</v>
      </c>
      <c r="M17">
        <v>1.8004220779752251E-6</v>
      </c>
      <c r="N17" s="1">
        <v>-3.9270283481762801E-7</v>
      </c>
      <c r="O17" s="1">
        <v>1.3291836216054199E-10</v>
      </c>
      <c r="P17" s="1">
        <v>1.41964907219402E-9</v>
      </c>
      <c r="Q17">
        <v>66.148691167700704</v>
      </c>
      <c r="S17">
        <v>19.028788230047901</v>
      </c>
      <c r="AA17">
        <v>0.26405235555141099</v>
      </c>
      <c r="AB17">
        <v>4.9601766291110696</v>
      </c>
      <c r="AC17">
        <v>9.5982916175888793</v>
      </c>
      <c r="AJ17">
        <v>0.434300706674835</v>
      </c>
      <c r="AK17">
        <v>1.2775980218342999E-2</v>
      </c>
      <c r="AL17">
        <v>0.55292331310682097</v>
      </c>
    </row>
    <row r="18" spans="1:38" x14ac:dyDescent="0.2">
      <c r="A18">
        <v>106</v>
      </c>
      <c r="B18">
        <v>742</v>
      </c>
      <c r="C18">
        <v>240</v>
      </c>
      <c r="D18">
        <v>0.32923262572033701</v>
      </c>
      <c r="E18">
        <v>37.3045048130815</v>
      </c>
      <c r="F18">
        <v>2.5250587829442601</v>
      </c>
      <c r="G18">
        <v>-589.07415082332375</v>
      </c>
      <c r="H18">
        <v>-511.12007631624635</v>
      </c>
      <c r="I18">
        <v>76.790695470696207</v>
      </c>
      <c r="J18">
        <v>44.585533722885501</v>
      </c>
      <c r="K18">
        <v>14.7737173744461</v>
      </c>
      <c r="L18">
        <v>2.9116018416334884E-5</v>
      </c>
      <c r="M18">
        <v>1.8004882010622087E-6</v>
      </c>
      <c r="N18" s="1">
        <v>-4.25682713429952E-7</v>
      </c>
      <c r="O18" s="1">
        <v>1.39438064154494E-10</v>
      </c>
      <c r="P18" s="1">
        <v>1.5285747551904699E-9</v>
      </c>
      <c r="Q18">
        <v>66.147735038656904</v>
      </c>
      <c r="S18">
        <v>19.025061914834499</v>
      </c>
      <c r="AA18">
        <v>0.26120120698721799</v>
      </c>
      <c r="AB18">
        <v>4.9482769270167903</v>
      </c>
      <c r="AC18">
        <v>9.6177249125044693</v>
      </c>
      <c r="AJ18">
        <v>0.43328495853620302</v>
      </c>
      <c r="AK18">
        <v>1.26387925621422E-2</v>
      </c>
      <c r="AL18">
        <v>0.55407624890165397</v>
      </c>
    </row>
    <row r="19" spans="1:38" x14ac:dyDescent="0.2">
      <c r="A19">
        <v>121</v>
      </c>
      <c r="B19">
        <v>749</v>
      </c>
      <c r="C19">
        <v>220</v>
      </c>
      <c r="D19">
        <v>0.35582889008462698</v>
      </c>
      <c r="E19">
        <v>7.8244115257560001</v>
      </c>
      <c r="F19">
        <v>2.5243679219946702</v>
      </c>
      <c r="G19">
        <v>-123.83651937178119</v>
      </c>
      <c r="H19">
        <v>-107.28953281529417</v>
      </c>
      <c r="I19">
        <v>16.188413204018001</v>
      </c>
      <c r="J19">
        <v>9.3453621395459301</v>
      </c>
      <c r="K19">
        <v>3.0995527464845098</v>
      </c>
      <c r="L19">
        <v>2.9046061658899672E-5</v>
      </c>
      <c r="M19">
        <v>1.8024853226717317E-6</v>
      </c>
      <c r="N19" s="1">
        <v>-7.16803947986463E-8</v>
      </c>
      <c r="O19" s="1">
        <v>2.93449478988821E-11</v>
      </c>
      <c r="P19" s="1">
        <v>2.7037718954242601E-10</v>
      </c>
      <c r="Q19">
        <v>66.185446729890202</v>
      </c>
      <c r="S19">
        <v>19.063465278462601</v>
      </c>
      <c r="AA19">
        <v>0.284084867601958</v>
      </c>
      <c r="AB19">
        <v>5.1329948194388999</v>
      </c>
      <c r="AC19">
        <v>9.3340083046062698</v>
      </c>
      <c r="AJ19">
        <v>0.44903871255722599</v>
      </c>
      <c r="AK19">
        <v>1.3733203297788901E-2</v>
      </c>
      <c r="AL19">
        <v>0.53722808414498402</v>
      </c>
    </row>
    <row r="20" spans="1:38" x14ac:dyDescent="0.2">
      <c r="A20">
        <v>122</v>
      </c>
      <c r="B20">
        <v>748</v>
      </c>
      <c r="C20">
        <v>220</v>
      </c>
      <c r="D20">
        <v>0.355129510845618</v>
      </c>
      <c r="E20">
        <v>22.604161111086398</v>
      </c>
      <c r="F20">
        <v>2.5243090978671998</v>
      </c>
      <c r="G20">
        <v>-357.63938894059402</v>
      </c>
      <c r="H20">
        <v>-309.92072271134981</v>
      </c>
      <c r="I20">
        <v>46.730319962046899</v>
      </c>
      <c r="J20">
        <v>26.996532957383501</v>
      </c>
      <c r="K20">
        <v>8.9545932113403595</v>
      </c>
      <c r="L20">
        <v>2.9036277246079946E-5</v>
      </c>
      <c r="M20">
        <v>1.8021568906218689E-6</v>
      </c>
      <c r="N20" s="1">
        <v>-2.1218780977235801E-7</v>
      </c>
      <c r="O20" s="1">
        <v>8.4759981617677304E-11</v>
      </c>
      <c r="P20" s="1">
        <v>7.9561993818994801E-10</v>
      </c>
      <c r="Q20">
        <v>66.173714477359198</v>
      </c>
      <c r="S20">
        <v>19.057066229980801</v>
      </c>
      <c r="AA20">
        <v>0.281543147821325</v>
      </c>
      <c r="AB20">
        <v>5.0900741862036796</v>
      </c>
      <c r="AC20">
        <v>9.3976019586349295</v>
      </c>
      <c r="AJ20">
        <v>0.44538080921156997</v>
      </c>
      <c r="AK20">
        <v>1.3613291377852801E-2</v>
      </c>
      <c r="AL20">
        <v>0.54100589941057597</v>
      </c>
    </row>
    <row r="21" spans="1:38" x14ac:dyDescent="0.2">
      <c r="A21">
        <v>123</v>
      </c>
      <c r="B21">
        <v>747</v>
      </c>
      <c r="C21">
        <v>220</v>
      </c>
      <c r="D21">
        <v>0.35442876047640198</v>
      </c>
      <c r="E21">
        <v>33.3648322334084</v>
      </c>
      <c r="F21">
        <v>2.5242739217480499</v>
      </c>
      <c r="G21">
        <v>-527.74745990738654</v>
      </c>
      <c r="H21">
        <v>-457.43302375005163</v>
      </c>
      <c r="I21">
        <v>68.925585607347003</v>
      </c>
      <c r="J21">
        <v>39.848893275865102</v>
      </c>
      <c r="K21">
        <v>13.2175957394922</v>
      </c>
      <c r="L21">
        <v>2.9035871559257449E-5</v>
      </c>
      <c r="M21">
        <v>1.8019656194217749E-6</v>
      </c>
      <c r="N21" s="1">
        <v>-3.2181013996536898E-7</v>
      </c>
      <c r="O21" s="1">
        <v>1.25070020795855E-10</v>
      </c>
      <c r="P21" s="1">
        <v>1.19890698282864E-9</v>
      </c>
      <c r="Q21">
        <v>66.165811199822301</v>
      </c>
      <c r="S21">
        <v>19.051599505314599</v>
      </c>
      <c r="AA21">
        <v>0.27887716576548199</v>
      </c>
      <c r="AB21">
        <v>5.0581304265344098</v>
      </c>
      <c r="AC21">
        <v>9.4455817025631301</v>
      </c>
      <c r="AJ21">
        <v>0.44265738269738197</v>
      </c>
      <c r="AK21">
        <v>1.34865676299464E-2</v>
      </c>
      <c r="AL21">
        <v>0.54385604967266998</v>
      </c>
    </row>
    <row r="22" spans="1:38" x14ac:dyDescent="0.2">
      <c r="A22">
        <v>124</v>
      </c>
      <c r="B22">
        <v>746</v>
      </c>
      <c r="C22">
        <v>220</v>
      </c>
      <c r="D22">
        <v>0.35372663494088302</v>
      </c>
      <c r="E22">
        <v>36.884933604425797</v>
      </c>
      <c r="F22">
        <v>2.5242604974382798</v>
      </c>
      <c r="G22">
        <v>-583.29304128941021</v>
      </c>
      <c r="H22">
        <v>-505.68915220428573</v>
      </c>
      <c r="I22">
        <v>76.145698950227597</v>
      </c>
      <c r="J22">
        <v>44.057265781300501</v>
      </c>
      <c r="K22">
        <v>14.6121739978334</v>
      </c>
      <c r="L22">
        <v>2.9045047830637973E-5</v>
      </c>
      <c r="M22">
        <v>1.801911745374487E-6</v>
      </c>
      <c r="N22" s="1">
        <v>-3.6655207146449498E-7</v>
      </c>
      <c r="O22" s="1">
        <v>1.38201939330331E-10</v>
      </c>
      <c r="P22" s="1">
        <v>1.35619391026088E-9</v>
      </c>
      <c r="Q22">
        <v>66.161771910773695</v>
      </c>
      <c r="S22">
        <v>19.047034537286901</v>
      </c>
      <c r="AA22">
        <v>0.27605353327993598</v>
      </c>
      <c r="AB22">
        <v>5.0371614302965702</v>
      </c>
      <c r="AC22">
        <v>9.4779785883628698</v>
      </c>
      <c r="AJ22">
        <v>0.44086916161276501</v>
      </c>
      <c r="AK22">
        <v>1.33514352092004E-2</v>
      </c>
      <c r="AL22">
        <v>0.54577940317803297</v>
      </c>
    </row>
    <row r="23" spans="1:38" x14ac:dyDescent="0.2">
      <c r="A23">
        <v>125</v>
      </c>
      <c r="B23">
        <v>745</v>
      </c>
      <c r="C23">
        <v>220</v>
      </c>
      <c r="D23">
        <v>0.35302313018710402</v>
      </c>
      <c r="E23">
        <v>38.116923149881899</v>
      </c>
      <c r="F23">
        <v>2.52425786355243</v>
      </c>
      <c r="G23">
        <v>-602.65166427899203</v>
      </c>
      <c r="H23">
        <v>-522.58671147228699</v>
      </c>
      <c r="I23">
        <v>78.637678934051905</v>
      </c>
      <c r="J23">
        <v>45.5350973465018</v>
      </c>
      <c r="K23">
        <v>15.1002493446685</v>
      </c>
      <c r="L23">
        <v>2.9059415266896229E-5</v>
      </c>
      <c r="M23">
        <v>1.8019272781792674E-6</v>
      </c>
      <c r="N23" s="1">
        <v>-3.90816472608335E-7</v>
      </c>
      <c r="O23" s="1">
        <v>1.42740798155376E-10</v>
      </c>
      <c r="P23" s="1">
        <v>1.4358155372972499E-9</v>
      </c>
      <c r="Q23">
        <v>66.159650088357907</v>
      </c>
      <c r="S23">
        <v>19.042925518602999</v>
      </c>
      <c r="AA23">
        <v>0.273158649046357</v>
      </c>
      <c r="AB23">
        <v>5.0216607361221097</v>
      </c>
      <c r="AC23">
        <v>9.5026050078704891</v>
      </c>
      <c r="AJ23">
        <v>0.43954703679565799</v>
      </c>
      <c r="AK23">
        <v>1.3212461496843299E-2</v>
      </c>
      <c r="AL23">
        <v>0.54724050170749805</v>
      </c>
    </row>
    <row r="24" spans="1:38" x14ac:dyDescent="0.2">
      <c r="A24">
        <v>137</v>
      </c>
      <c r="B24">
        <v>753</v>
      </c>
      <c r="C24">
        <v>200</v>
      </c>
      <c r="D24">
        <v>0.380052136627202</v>
      </c>
      <c r="E24">
        <v>6.3669326819157597</v>
      </c>
      <c r="F24">
        <v>2.52381078155245</v>
      </c>
      <c r="G24">
        <v>-100.95338555376517</v>
      </c>
      <c r="H24">
        <v>-87.391657352258107</v>
      </c>
      <c r="I24">
        <v>13.2161264936968</v>
      </c>
      <c r="J24">
        <v>7.6057583162647697</v>
      </c>
      <c r="K24">
        <v>2.5227456544897202</v>
      </c>
      <c r="L24">
        <v>2.9064311389378243E-5</v>
      </c>
      <c r="M24">
        <v>1.8050265231965494E-6</v>
      </c>
      <c r="N24" s="1">
        <v>-5.1912109824878503E-8</v>
      </c>
      <c r="O24" s="1">
        <v>2.38989608213145E-11</v>
      </c>
      <c r="P24" s="1">
        <v>2.0165368570643401E-10</v>
      </c>
      <c r="Q24">
        <v>66.228319574857693</v>
      </c>
      <c r="S24">
        <v>19.094426973023602</v>
      </c>
      <c r="AA24">
        <v>0.29962479037331402</v>
      </c>
      <c r="AB24">
        <v>5.3097047632854197</v>
      </c>
      <c r="AC24">
        <v>9.0679238984598705</v>
      </c>
      <c r="AJ24">
        <v>0.46408199514543802</v>
      </c>
      <c r="AK24">
        <v>1.4471477692657201E-2</v>
      </c>
      <c r="AL24">
        <v>0.52144652716190398</v>
      </c>
    </row>
    <row r="25" spans="1:38" x14ac:dyDescent="0.2">
      <c r="A25">
        <v>138</v>
      </c>
      <c r="B25">
        <v>752</v>
      </c>
      <c r="C25">
        <v>200</v>
      </c>
      <c r="D25">
        <v>0.37937911525142798</v>
      </c>
      <c r="E25">
        <v>20.177482273487001</v>
      </c>
      <c r="F25">
        <v>2.5236539345787801</v>
      </c>
      <c r="G25">
        <v>-319.77762309634869</v>
      </c>
      <c r="H25">
        <v>-276.882357158106</v>
      </c>
      <c r="I25">
        <v>41.842916586102199</v>
      </c>
      <c r="J25">
        <v>24.096115061163101</v>
      </c>
      <c r="K25">
        <v>7.99534436834535</v>
      </c>
      <c r="L25">
        <v>2.9023506905729529E-5</v>
      </c>
      <c r="M25">
        <v>1.8042368973612627E-6</v>
      </c>
      <c r="N25" s="1">
        <v>-1.6701590033107699E-7</v>
      </c>
      <c r="O25" s="1">
        <v>7.5758935051086201E-11</v>
      </c>
      <c r="P25" s="1">
        <v>6.4605818884940101E-10</v>
      </c>
      <c r="Q25">
        <v>66.2040764050315</v>
      </c>
      <c r="S25">
        <v>19.084454575639601</v>
      </c>
      <c r="AA25">
        <v>0.29705427267588602</v>
      </c>
      <c r="AB25">
        <v>5.2295362229522304</v>
      </c>
      <c r="AC25">
        <v>9.1848785237007302</v>
      </c>
      <c r="AJ25">
        <v>0.45726055456647302</v>
      </c>
      <c r="AK25">
        <v>1.4353147799025001E-2</v>
      </c>
      <c r="AL25">
        <v>0.52838629763450096</v>
      </c>
    </row>
    <row r="26" spans="1:38" x14ac:dyDescent="0.2">
      <c r="A26">
        <v>139</v>
      </c>
      <c r="B26">
        <v>751</v>
      </c>
      <c r="C26">
        <v>200</v>
      </c>
      <c r="D26">
        <v>0.378704779573308</v>
      </c>
      <c r="E26">
        <v>32.126087727011097</v>
      </c>
      <c r="F26">
        <v>2.5235379605176198</v>
      </c>
      <c r="G26">
        <v>-508.92780873825171</v>
      </c>
      <c r="H26">
        <v>-440.75885882772582</v>
      </c>
      <c r="I26">
        <v>66.561489928746596</v>
      </c>
      <c r="J26">
        <v>38.356963246237498</v>
      </c>
      <c r="K26">
        <v>12.730574387880999</v>
      </c>
      <c r="L26">
        <v>2.8994097643244754E-5</v>
      </c>
      <c r="M26">
        <v>1.8036256044221514E-6</v>
      </c>
      <c r="N26" s="1">
        <v>-2.7090911642390802E-7</v>
      </c>
      <c r="O26" s="1">
        <v>1.2063518546241701E-10</v>
      </c>
      <c r="P26" s="1">
        <v>1.04272270124638E-9</v>
      </c>
      <c r="Q26">
        <v>66.184648500388505</v>
      </c>
      <c r="S26">
        <v>19.0758697503462</v>
      </c>
      <c r="AA26">
        <v>0.29450493985927501</v>
      </c>
      <c r="AB26">
        <v>5.1637359435279899</v>
      </c>
      <c r="AC26">
        <v>9.2812408658779404</v>
      </c>
      <c r="AJ26">
        <v>0.45165755704104998</v>
      </c>
      <c r="AK26">
        <v>1.42347101868591E-2</v>
      </c>
      <c r="AL26">
        <v>0.53410773277209</v>
      </c>
    </row>
    <row r="27" spans="1:38" x14ac:dyDescent="0.2">
      <c r="A27">
        <v>140</v>
      </c>
      <c r="B27">
        <v>750</v>
      </c>
      <c r="C27">
        <v>200</v>
      </c>
      <c r="D27">
        <v>0.37802912573913899</v>
      </c>
      <c r="E27">
        <v>36.690484718845703</v>
      </c>
      <c r="F27">
        <v>2.5234909760601298</v>
      </c>
      <c r="G27">
        <v>-581.06780563794871</v>
      </c>
      <c r="H27">
        <v>-503.34738112200841</v>
      </c>
      <c r="I27">
        <v>75.961906383169705</v>
      </c>
      <c r="J27">
        <v>43.805776495709303</v>
      </c>
      <c r="K27">
        <v>14.5395743701567</v>
      </c>
      <c r="L27">
        <v>2.8989779398757488E-5</v>
      </c>
      <c r="M27">
        <v>1.8033987055805604E-6</v>
      </c>
      <c r="N27" s="1">
        <v>-3.17695102496298E-7</v>
      </c>
      <c r="O27" s="1">
        <v>1.37743085680782E-10</v>
      </c>
      <c r="P27" s="1">
        <v>1.2145532604050899E-9</v>
      </c>
      <c r="Q27">
        <v>66.176035265454303</v>
      </c>
      <c r="S27">
        <v>19.069980259331</v>
      </c>
      <c r="AA27">
        <v>0.29165583008954998</v>
      </c>
      <c r="AB27">
        <v>5.1291017449177296</v>
      </c>
      <c r="AC27">
        <v>9.3332269002074</v>
      </c>
      <c r="AJ27">
        <v>0.44870691498040399</v>
      </c>
      <c r="AK27">
        <v>1.40994736703855E-2</v>
      </c>
      <c r="AL27">
        <v>0.53719361134920995</v>
      </c>
    </row>
    <row r="28" spans="1:38" x14ac:dyDescent="0.2">
      <c r="A28">
        <v>141</v>
      </c>
      <c r="B28">
        <v>749</v>
      </c>
      <c r="C28">
        <v>200</v>
      </c>
      <c r="D28">
        <v>0.37735214988015597</v>
      </c>
      <c r="E28">
        <v>38.286711328574597</v>
      </c>
      <c r="F28">
        <v>2.5234734514052799</v>
      </c>
      <c r="G28">
        <v>-606.20876851110302</v>
      </c>
      <c r="H28">
        <v>-525.24099443916748</v>
      </c>
      <c r="I28">
        <v>79.213201655271106</v>
      </c>
      <c r="J28">
        <v>45.7148855672542</v>
      </c>
      <c r="K28">
        <v>15.1722267207738</v>
      </c>
      <c r="L28">
        <v>2.8997076210903359E-5</v>
      </c>
      <c r="M28">
        <v>1.8033436744741841E-6</v>
      </c>
      <c r="N28" s="1">
        <v>-3.4160504200958599E-7</v>
      </c>
      <c r="O28" s="1">
        <v>1.4367884362102399E-10</v>
      </c>
      <c r="P28" s="1">
        <v>1.2962682115162599E-9</v>
      </c>
      <c r="Q28">
        <v>66.172249138746594</v>
      </c>
      <c r="S28">
        <v>19.065284871149402</v>
      </c>
      <c r="AA28">
        <v>0.28866552767040299</v>
      </c>
      <c r="AB28">
        <v>5.1083549939937303</v>
      </c>
      <c r="AC28">
        <v>9.3654454684397308</v>
      </c>
      <c r="AJ28">
        <v>0.44693892322189999</v>
      </c>
      <c r="AK28">
        <v>1.39563811762985E-2</v>
      </c>
      <c r="AL28">
        <v>0.53910469560179997</v>
      </c>
    </row>
    <row r="29" spans="1:38" x14ac:dyDescent="0.2">
      <c r="A29">
        <v>150</v>
      </c>
      <c r="B29">
        <v>757</v>
      </c>
      <c r="C29">
        <v>180</v>
      </c>
      <c r="D29">
        <v>0.40408726884434598</v>
      </c>
      <c r="E29">
        <v>8.8403003902927395</v>
      </c>
      <c r="F29">
        <v>2.5232751994965201</v>
      </c>
      <c r="G29">
        <v>-140.41613097957449</v>
      </c>
      <c r="H29">
        <v>-121.45317534726911</v>
      </c>
      <c r="I29">
        <v>18.407955765961599</v>
      </c>
      <c r="J29">
        <v>10.5616805145168</v>
      </c>
      <c r="K29">
        <v>3.5035022704050101</v>
      </c>
      <c r="L29">
        <v>2.9074219171699252E-5</v>
      </c>
      <c r="M29">
        <v>1.8073270682011968E-6</v>
      </c>
      <c r="N29" s="1">
        <v>-6.38217830066917E-8</v>
      </c>
      <c r="O29" s="1">
        <v>3.3208584039736397E-11</v>
      </c>
      <c r="P29" s="1">
        <v>2.5625544987144802E-10</v>
      </c>
      <c r="Q29">
        <v>66.262241130424997</v>
      </c>
      <c r="S29">
        <v>19.125552147531899</v>
      </c>
      <c r="AA29">
        <v>0.31738824678469502</v>
      </c>
      <c r="AB29">
        <v>5.4668958225884303</v>
      </c>
      <c r="AC29">
        <v>8.8279226526698</v>
      </c>
      <c r="AJ29">
        <v>0.47744100046247401</v>
      </c>
      <c r="AK29">
        <v>1.5317240950086001E-2</v>
      </c>
      <c r="AL29">
        <v>0.50724175858743903</v>
      </c>
    </row>
    <row r="30" spans="1:38" x14ac:dyDescent="0.2">
      <c r="A30">
        <v>151</v>
      </c>
      <c r="B30">
        <v>756</v>
      </c>
      <c r="C30">
        <v>180</v>
      </c>
      <c r="D30">
        <v>0.40344021765534699</v>
      </c>
      <c r="E30">
        <v>24.761971554399299</v>
      </c>
      <c r="F30">
        <v>2.5229680250656199</v>
      </c>
      <c r="G30">
        <v>-393.03488459927593</v>
      </c>
      <c r="H30">
        <v>-340.03426534317123</v>
      </c>
      <c r="I30">
        <v>51.499411413403898</v>
      </c>
      <c r="J30">
        <v>29.5655030464814</v>
      </c>
      <c r="K30">
        <v>9.8146196497100604</v>
      </c>
      <c r="L30">
        <v>2.8993996955558579E-5</v>
      </c>
      <c r="M30">
        <v>1.8059232372989915E-6</v>
      </c>
      <c r="N30" s="1">
        <v>-1.79187107326339E-7</v>
      </c>
      <c r="O30" s="1">
        <v>9.3095612216805403E-11</v>
      </c>
      <c r="P30" s="1">
        <v>7.1863475810498499E-10</v>
      </c>
      <c r="Q30">
        <v>66.2215768398259</v>
      </c>
      <c r="S30">
        <v>19.110273388808402</v>
      </c>
      <c r="AA30">
        <v>0.31427157069065198</v>
      </c>
      <c r="AB30">
        <v>5.3362223789524004</v>
      </c>
      <c r="AC30">
        <v>9.0176558217226006</v>
      </c>
      <c r="AJ30">
        <v>0.46633698725874601</v>
      </c>
      <c r="AK30">
        <v>1.51768565493107E-2</v>
      </c>
      <c r="AL30">
        <v>0.51848615619194205</v>
      </c>
    </row>
    <row r="31" spans="1:38" x14ac:dyDescent="0.2">
      <c r="A31">
        <v>152</v>
      </c>
      <c r="B31">
        <v>755</v>
      </c>
      <c r="C31">
        <v>180</v>
      </c>
      <c r="D31">
        <v>0.40279190779555302</v>
      </c>
      <c r="E31">
        <v>33.889209792693599</v>
      </c>
      <c r="F31">
        <v>2.5228049304655902</v>
      </c>
      <c r="G31">
        <v>-537.64966502600907</v>
      </c>
      <c r="H31">
        <v>-465.25274007270588</v>
      </c>
      <c r="I31">
        <v>70.414749747899705</v>
      </c>
      <c r="J31">
        <v>40.450809928767903</v>
      </c>
      <c r="K31">
        <v>13.433147122650899</v>
      </c>
      <c r="L31">
        <v>2.8953254283754974E-5</v>
      </c>
      <c r="M31">
        <v>1.8051520949163285E-6</v>
      </c>
      <c r="N31" s="1">
        <v>-2.4897660944205599E-7</v>
      </c>
      <c r="O31" s="1">
        <v>1.2744893253055601E-10</v>
      </c>
      <c r="P31" s="1">
        <v>9.940192934455379E-10</v>
      </c>
      <c r="Q31">
        <v>66.198162927728305</v>
      </c>
      <c r="S31">
        <v>19.1000182824123</v>
      </c>
      <c r="AA31">
        <v>0.31127431920931098</v>
      </c>
      <c r="AB31">
        <v>5.2571606365746604</v>
      </c>
      <c r="AC31">
        <v>9.1333838340753495</v>
      </c>
      <c r="AJ31">
        <v>0.45961157243332501</v>
      </c>
      <c r="AK31">
        <v>1.5038128446642001E-2</v>
      </c>
      <c r="AL31">
        <v>0.52535029912003195</v>
      </c>
    </row>
    <row r="32" spans="1:38" x14ac:dyDescent="0.2">
      <c r="A32">
        <v>153</v>
      </c>
      <c r="B32">
        <v>754</v>
      </c>
      <c r="C32">
        <v>180</v>
      </c>
      <c r="D32">
        <v>0.402142335588766</v>
      </c>
      <c r="E32">
        <v>37.480952938654298</v>
      </c>
      <c r="F32">
        <v>2.5227369580313002</v>
      </c>
      <c r="G32">
        <v>-594.4467285311664</v>
      </c>
      <c r="H32">
        <v>-514.51587408729199</v>
      </c>
      <c r="I32">
        <v>77.8180932131378</v>
      </c>
      <c r="J32">
        <v>44.734615237187299</v>
      </c>
      <c r="K32">
        <v>14.8572576381105</v>
      </c>
      <c r="L32">
        <v>2.894271238105564E-5</v>
      </c>
      <c r="M32">
        <v>1.8048555853168899E-6</v>
      </c>
      <c r="N32" s="1">
        <v>-2.8235926381132E-7</v>
      </c>
      <c r="O32" s="1">
        <v>1.4094169322549801E-10</v>
      </c>
      <c r="P32" s="1">
        <v>1.1193737435787001E-9</v>
      </c>
      <c r="Q32">
        <v>66.187964953971402</v>
      </c>
      <c r="S32">
        <v>19.093363353930702</v>
      </c>
      <c r="AA32">
        <v>0.308163492831865</v>
      </c>
      <c r="AB32">
        <v>5.2169882386366204</v>
      </c>
      <c r="AC32">
        <v>9.1935199606293505</v>
      </c>
      <c r="AJ32">
        <v>0.45619224631320299</v>
      </c>
      <c r="AK32">
        <v>1.48908682149214E-2</v>
      </c>
      <c r="AL32">
        <v>0.52891688547187399</v>
      </c>
    </row>
    <row r="33" spans="1:38" x14ac:dyDescent="0.2">
      <c r="A33">
        <v>154</v>
      </c>
      <c r="B33">
        <v>753</v>
      </c>
      <c r="C33">
        <v>180</v>
      </c>
      <c r="D33">
        <v>0.401491497344444</v>
      </c>
      <c r="E33">
        <v>38.915746052660303</v>
      </c>
      <c r="F33">
        <v>2.5227064869468201</v>
      </c>
      <c r="G33">
        <v>-617.05218175914297</v>
      </c>
      <c r="H33">
        <v>-534.19920753376493</v>
      </c>
      <c r="I33">
        <v>80.741581859745807</v>
      </c>
      <c r="J33">
        <v>46.448266790139101</v>
      </c>
      <c r="K33">
        <v>15.4261886010207</v>
      </c>
      <c r="L33">
        <v>2.8945008368574993E-5</v>
      </c>
      <c r="M33">
        <v>1.8047550877739887E-6</v>
      </c>
      <c r="N33" s="1">
        <v>-3.01856342575443E-7</v>
      </c>
      <c r="O33" s="1">
        <v>1.4629543571063299E-10</v>
      </c>
      <c r="P33" s="1">
        <v>1.1871565061687399E-9</v>
      </c>
      <c r="Q33">
        <v>66.183230689106793</v>
      </c>
      <c r="S33">
        <v>19.088180656533499</v>
      </c>
      <c r="AA33">
        <v>0.30499239039724202</v>
      </c>
      <c r="AB33">
        <v>5.1928510682038098</v>
      </c>
      <c r="AC33">
        <v>9.2307451957584998</v>
      </c>
      <c r="AJ33">
        <v>0.454137123361392</v>
      </c>
      <c r="AK33">
        <v>1.4739438238206001E-2</v>
      </c>
      <c r="AL33">
        <v>0.53112343840040099</v>
      </c>
    </row>
    <row r="34" spans="1:38" x14ac:dyDescent="0.2">
      <c r="A34">
        <v>163</v>
      </c>
      <c r="B34">
        <v>763</v>
      </c>
      <c r="C34">
        <v>160</v>
      </c>
      <c r="D34">
        <v>0.42917579501038</v>
      </c>
      <c r="E34">
        <v>0.21257091812529999</v>
      </c>
      <c r="F34">
        <v>2.52325018187434</v>
      </c>
      <c r="G34">
        <v>-3.3855345152173122</v>
      </c>
      <c r="H34">
        <v>-2.9246268472062611</v>
      </c>
      <c r="I34">
        <v>0.44482716596154098</v>
      </c>
      <c r="J34">
        <v>0.25416914606568602</v>
      </c>
      <c r="K34">
        <v>8.42448837028901E-2</v>
      </c>
      <c r="L34">
        <v>2.9169424395720072E-5</v>
      </c>
      <c r="M34">
        <v>1.8111063676589455E-6</v>
      </c>
      <c r="N34" s="1">
        <v>-1.31501415669827E-9</v>
      </c>
      <c r="O34" s="1">
        <v>7.9838119969993E-13</v>
      </c>
      <c r="P34" s="1">
        <v>5.5307763048377996E-12</v>
      </c>
      <c r="Q34">
        <v>66.335726666287698</v>
      </c>
      <c r="S34">
        <v>19.181845563976001</v>
      </c>
      <c r="AA34">
        <v>0.346684046567593</v>
      </c>
      <c r="AB34">
        <v>5.7782349089729097</v>
      </c>
      <c r="AC34">
        <v>8.3575088141956595</v>
      </c>
      <c r="AJ34">
        <v>0.50383785580727902</v>
      </c>
      <c r="AK34">
        <v>1.6704760320214899E-2</v>
      </c>
      <c r="AL34">
        <v>0.47945738387250503</v>
      </c>
    </row>
    <row r="35" spans="1:38" x14ac:dyDescent="0.2">
      <c r="A35">
        <v>164</v>
      </c>
      <c r="B35">
        <v>762</v>
      </c>
      <c r="C35">
        <v>160</v>
      </c>
      <c r="D35">
        <v>0.428556730908567</v>
      </c>
      <c r="E35">
        <v>8.9435196147466094</v>
      </c>
      <c r="F35">
        <v>2.52289691168777</v>
      </c>
      <c r="G35">
        <v>-142.34764889552818</v>
      </c>
      <c r="H35">
        <v>-122.99595938993019</v>
      </c>
      <c r="I35">
        <v>18.694575187748601</v>
      </c>
      <c r="J35">
        <v>10.6880077786247</v>
      </c>
      <c r="K35">
        <v>3.5449405694359299</v>
      </c>
      <c r="L35">
        <v>2.910017925654575E-5</v>
      </c>
      <c r="M35">
        <v>1.8098755283085468E-6</v>
      </c>
      <c r="N35" s="1">
        <v>-5.5669330817903702E-8</v>
      </c>
      <c r="O35" s="1">
        <v>3.36153718254589E-11</v>
      </c>
      <c r="P35" s="1">
        <v>2.3359266137069998E-10</v>
      </c>
      <c r="Q35">
        <v>66.301851502578998</v>
      </c>
      <c r="S35">
        <v>19.1658627074221</v>
      </c>
      <c r="AA35">
        <v>0.34140233260754199</v>
      </c>
      <c r="AB35">
        <v>5.6608447865923797</v>
      </c>
      <c r="AC35">
        <v>8.53003867079895</v>
      </c>
      <c r="AJ35">
        <v>0.49389463650378601</v>
      </c>
      <c r="AK35">
        <v>1.6460019186241098E-2</v>
      </c>
      <c r="AL35">
        <v>0.48964534430997197</v>
      </c>
    </row>
    <row r="36" spans="1:38" x14ac:dyDescent="0.2">
      <c r="A36">
        <v>165</v>
      </c>
      <c r="B36">
        <v>761</v>
      </c>
      <c r="C36">
        <v>160</v>
      </c>
      <c r="D36">
        <v>0.42793646956437897</v>
      </c>
      <c r="E36">
        <v>24.7561466172899</v>
      </c>
      <c r="F36">
        <v>2.5224033570420001</v>
      </c>
      <c r="G36">
        <v>-393.66850577877688</v>
      </c>
      <c r="H36">
        <v>-340.22905111760764</v>
      </c>
      <c r="I36">
        <v>51.674761554096797</v>
      </c>
      <c r="J36">
        <v>29.558972862755201</v>
      </c>
      <c r="K36">
        <v>9.8145074808024706</v>
      </c>
      <c r="L36">
        <v>2.898535474916467E-5</v>
      </c>
      <c r="M36">
        <v>1.8079100365002374E-6</v>
      </c>
      <c r="N36" s="1">
        <v>-1.5258566384471799E-7</v>
      </c>
      <c r="O36" s="1">
        <v>9.3173192977224397E-11</v>
      </c>
      <c r="P36" s="1">
        <v>6.4179893329531301E-10</v>
      </c>
      <c r="Q36">
        <v>66.247170776681401</v>
      </c>
      <c r="S36">
        <v>19.1444043658521</v>
      </c>
      <c r="AA36">
        <v>0.33645798095125101</v>
      </c>
      <c r="AB36">
        <v>5.4827358885926998</v>
      </c>
      <c r="AC36">
        <v>8.7892309879224495</v>
      </c>
      <c r="AJ36">
        <v>0.47878582213627102</v>
      </c>
      <c r="AK36">
        <v>1.6236244419110601E-2</v>
      </c>
      <c r="AL36">
        <v>0.50497793344461706</v>
      </c>
    </row>
    <row r="37" spans="1:38" x14ac:dyDescent="0.2">
      <c r="A37">
        <v>166</v>
      </c>
      <c r="B37">
        <v>760</v>
      </c>
      <c r="C37">
        <v>160</v>
      </c>
      <c r="D37">
        <v>0.427315007501331</v>
      </c>
      <c r="E37">
        <v>33.5310523742979</v>
      </c>
      <c r="F37">
        <v>2.5221511422198901</v>
      </c>
      <c r="G37">
        <v>-532.89411639308696</v>
      </c>
      <c r="H37">
        <v>-460.65956393489984</v>
      </c>
      <c r="I37">
        <v>69.916810200055295</v>
      </c>
      <c r="J37">
        <v>40.017891849833198</v>
      </c>
      <c r="K37">
        <v>13.2946245024734</v>
      </c>
      <c r="L37">
        <v>2.8925839850164015E-5</v>
      </c>
      <c r="M37">
        <v>1.8068524831113157E-6</v>
      </c>
      <c r="N37" s="1">
        <v>-2.0849079410776999E-7</v>
      </c>
      <c r="O37" s="1">
        <v>1.2627325398783499E-10</v>
      </c>
      <c r="P37" s="1">
        <v>8.7422774357796897E-10</v>
      </c>
      <c r="Q37">
        <v>66.216568614577696</v>
      </c>
      <c r="S37">
        <v>19.131040867656299</v>
      </c>
      <c r="AA37">
        <v>0.332573554277036</v>
      </c>
      <c r="AB37">
        <v>5.3795064632735201</v>
      </c>
      <c r="AC37">
        <v>8.9403105002153094</v>
      </c>
      <c r="AJ37">
        <v>0.47001651319238502</v>
      </c>
      <c r="AK37">
        <v>1.6057176638747801E-2</v>
      </c>
      <c r="AL37">
        <v>0.51392631016886603</v>
      </c>
    </row>
    <row r="38" spans="1:38" x14ac:dyDescent="0.2">
      <c r="A38">
        <v>167</v>
      </c>
      <c r="B38">
        <v>759</v>
      </c>
      <c r="C38">
        <v>160</v>
      </c>
      <c r="D38">
        <v>0.42669234122947503</v>
      </c>
      <c r="E38">
        <v>37.478282712382402</v>
      </c>
      <c r="F38">
        <v>2.5220360172885501</v>
      </c>
      <c r="G38">
        <v>-595.403433900496</v>
      </c>
      <c r="H38">
        <v>-514.81026402625992</v>
      </c>
      <c r="I38">
        <v>78.082807609587704</v>
      </c>
      <c r="J38">
        <v>44.720802847587201</v>
      </c>
      <c r="K38">
        <v>14.860328106128801</v>
      </c>
      <c r="L38">
        <v>2.8903020443287109E-5</v>
      </c>
      <c r="M38">
        <v>1.8063876848816948E-6</v>
      </c>
      <c r="N38" s="1">
        <v>-2.38108005677969E-7</v>
      </c>
      <c r="O38" s="1">
        <v>1.4115211150330901E-10</v>
      </c>
      <c r="P38" s="1">
        <v>9.916344343437019E-10</v>
      </c>
      <c r="Q38">
        <v>66.202157370627603</v>
      </c>
      <c r="S38">
        <v>19.122655449130299</v>
      </c>
      <c r="AA38">
        <v>0.32901816489468899</v>
      </c>
      <c r="AB38">
        <v>5.3254083139859603</v>
      </c>
      <c r="AC38">
        <v>9.02076070136137</v>
      </c>
      <c r="AJ38">
        <v>0.46541724853049099</v>
      </c>
      <c r="AK38">
        <v>1.5889865768626901E-2</v>
      </c>
      <c r="AL38">
        <v>0.51869288570088101</v>
      </c>
    </row>
    <row r="39" spans="1:38" x14ac:dyDescent="0.2">
      <c r="A39">
        <v>168</v>
      </c>
      <c r="B39">
        <v>758</v>
      </c>
      <c r="C39">
        <v>160</v>
      </c>
      <c r="D39">
        <v>0.426068467245311</v>
      </c>
      <c r="E39">
        <v>39.249209633645798</v>
      </c>
      <c r="F39">
        <v>2.52197784335667</v>
      </c>
      <c r="G39">
        <v>-623.36290139582979</v>
      </c>
      <c r="H39">
        <v>-539.10408195421303</v>
      </c>
      <c r="I39">
        <v>81.713445610839202</v>
      </c>
      <c r="J39">
        <v>46.831619197249097</v>
      </c>
      <c r="K39">
        <v>15.5628685386888</v>
      </c>
      <c r="L39">
        <v>2.8896700818524933E-5</v>
      </c>
      <c r="M39">
        <v>1.8061841076684231E-6</v>
      </c>
      <c r="N39" s="1">
        <v>-2.56242961972132E-7</v>
      </c>
      <c r="O39" s="1">
        <v>1.4780353084704301E-10</v>
      </c>
      <c r="P39" s="1">
        <v>1.0582840893229599E-9</v>
      </c>
      <c r="Q39">
        <v>66.194935646755297</v>
      </c>
      <c r="S39">
        <v>19.116424222061699</v>
      </c>
      <c r="AA39">
        <v>0.325562429298694</v>
      </c>
      <c r="AB39">
        <v>5.2929791176746903</v>
      </c>
      <c r="AC39">
        <v>9.0700985842095694</v>
      </c>
      <c r="AJ39">
        <v>0.462659020116932</v>
      </c>
      <c r="AK39">
        <v>1.5725552900816401E-2</v>
      </c>
      <c r="AL39">
        <v>0.52161542698225105</v>
      </c>
    </row>
    <row r="40" spans="1:38" x14ac:dyDescent="0.2">
      <c r="A40">
        <v>180</v>
      </c>
      <c r="B40">
        <v>769</v>
      </c>
      <c r="C40">
        <v>140</v>
      </c>
      <c r="D40">
        <v>0.45397543539797802</v>
      </c>
      <c r="E40">
        <v>0.89496025016904301</v>
      </c>
      <c r="F40">
        <v>2.5232170191467298</v>
      </c>
      <c r="G40">
        <v>-14.288464711623632</v>
      </c>
      <c r="H40">
        <v>-12.327806290484617</v>
      </c>
      <c r="I40">
        <v>1.8813591336554301</v>
      </c>
      <c r="J40">
        <v>1.070703288219</v>
      </c>
      <c r="K40">
        <v>0.35469016076615001</v>
      </c>
      <c r="L40">
        <v>2.9224855450778391E-5</v>
      </c>
      <c r="M40">
        <v>1.8140408953438375E-6</v>
      </c>
      <c r="N40" s="1">
        <v>-4.6601681523797902E-9</v>
      </c>
      <c r="O40" s="1">
        <v>3.3612975110401999E-12</v>
      </c>
      <c r="P40" s="1">
        <v>2.0749018415979599E-11</v>
      </c>
      <c r="Q40">
        <v>66.380564899185998</v>
      </c>
      <c r="S40">
        <v>19.237524972350901</v>
      </c>
      <c r="AA40">
        <v>0.38215773991954199</v>
      </c>
      <c r="AB40">
        <v>6.0241253147283498</v>
      </c>
      <c r="AC40">
        <v>7.9756270738151196</v>
      </c>
      <c r="AJ40">
        <v>0.52462692109271403</v>
      </c>
      <c r="AK40">
        <v>1.8391198217866101E-2</v>
      </c>
      <c r="AL40">
        <v>0.45698188068941897</v>
      </c>
    </row>
    <row r="41" spans="1:38" x14ac:dyDescent="0.2">
      <c r="A41">
        <v>181</v>
      </c>
      <c r="B41">
        <v>768</v>
      </c>
      <c r="C41">
        <v>140</v>
      </c>
      <c r="D41">
        <v>0.45338375834414102</v>
      </c>
      <c r="E41">
        <v>9.2235387196977605</v>
      </c>
      <c r="F41">
        <v>2.5227057307826999</v>
      </c>
      <c r="G41">
        <v>-147.14621910200472</v>
      </c>
      <c r="H41">
        <v>-126.98297784849997</v>
      </c>
      <c r="I41">
        <v>19.366317296743699</v>
      </c>
      <c r="J41">
        <v>11.0274225154189</v>
      </c>
      <c r="K41">
        <v>3.6562087314226801</v>
      </c>
      <c r="L41">
        <v>2.9138662916628436E-5</v>
      </c>
      <c r="M41">
        <v>1.8125407994163898E-6</v>
      </c>
      <c r="N41" s="1">
        <v>-4.8032179277422299E-8</v>
      </c>
      <c r="O41" s="1">
        <v>3.4677924066951502E-11</v>
      </c>
      <c r="P41" s="1">
        <v>2.1374904940844899E-10</v>
      </c>
      <c r="Q41">
        <v>66.341663247446107</v>
      </c>
      <c r="S41">
        <v>19.216476071885499</v>
      </c>
      <c r="AA41">
        <v>0.37386935012600298</v>
      </c>
      <c r="AB41">
        <v>5.8822526405355404</v>
      </c>
      <c r="AC41">
        <v>8.1857386900067297</v>
      </c>
      <c r="AJ41">
        <v>0.51263830755568496</v>
      </c>
      <c r="AK41">
        <v>1.8005203585673701E-2</v>
      </c>
      <c r="AL41">
        <v>0.46935648885864101</v>
      </c>
    </row>
    <row r="42" spans="1:38" x14ac:dyDescent="0.2">
      <c r="A42">
        <v>182</v>
      </c>
      <c r="B42">
        <v>767</v>
      </c>
      <c r="C42">
        <v>140</v>
      </c>
      <c r="D42">
        <v>0.45279094361390498</v>
      </c>
      <c r="E42">
        <v>24.7605730551129</v>
      </c>
      <c r="F42">
        <v>2.5219599838497899</v>
      </c>
      <c r="G42">
        <v>-394.56583232080641</v>
      </c>
      <c r="H42">
        <v>-340.57703820764067</v>
      </c>
      <c r="I42">
        <v>51.9048157603861</v>
      </c>
      <c r="J42">
        <v>29.5692366026265</v>
      </c>
      <c r="K42">
        <v>9.8179880781913393</v>
      </c>
      <c r="L42">
        <v>2.8989304026163877E-5</v>
      </c>
      <c r="M42">
        <v>1.8099969188238396E-6</v>
      </c>
      <c r="N42" s="1">
        <v>-1.2593944686309399E-7</v>
      </c>
      <c r="O42" s="1">
        <v>9.3265810455016496E-11</v>
      </c>
      <c r="P42" s="1">
        <v>5.6460875005628705E-10</v>
      </c>
      <c r="Q42">
        <v>66.273852089994094</v>
      </c>
      <c r="S42">
        <v>19.1867651002263</v>
      </c>
      <c r="AA42">
        <v>0.36518030084465603</v>
      </c>
      <c r="AB42">
        <v>5.6532479371483602</v>
      </c>
      <c r="AC42">
        <v>8.5209545717864703</v>
      </c>
      <c r="AJ42">
        <v>0.49325049962078599</v>
      </c>
      <c r="AK42">
        <v>1.76070919914624E-2</v>
      </c>
      <c r="AL42">
        <v>0.48914240838775103</v>
      </c>
    </row>
    <row r="43" spans="1:38" x14ac:dyDescent="0.2">
      <c r="A43">
        <v>183</v>
      </c>
      <c r="B43">
        <v>766</v>
      </c>
      <c r="C43">
        <v>140</v>
      </c>
      <c r="D43">
        <v>0.45219698792282498</v>
      </c>
      <c r="E43">
        <v>32.964661491235098</v>
      </c>
      <c r="F43">
        <v>2.5215989276696802</v>
      </c>
      <c r="G43">
        <v>-524.9396702119426</v>
      </c>
      <c r="H43">
        <v>-453.21433488625706</v>
      </c>
      <c r="I43">
        <v>69.023081677992195</v>
      </c>
      <c r="J43">
        <v>39.3434183000725</v>
      </c>
      <c r="K43">
        <v>13.072920173589701</v>
      </c>
      <c r="L43">
        <v>2.891338192130776E-5</v>
      </c>
      <c r="M43">
        <v>1.8086812649701396E-6</v>
      </c>
      <c r="N43" s="1">
        <v>-1.68082243735897E-7</v>
      </c>
      <c r="O43" s="1">
        <v>1.2427441565816701E-10</v>
      </c>
      <c r="P43" s="1">
        <v>7.52554023522664E-10</v>
      </c>
      <c r="Q43">
        <v>66.237383569209101</v>
      </c>
      <c r="S43">
        <v>19.169711437880299</v>
      </c>
      <c r="AA43">
        <v>0.35962028556219899</v>
      </c>
      <c r="AB43">
        <v>5.5272714009756596</v>
      </c>
      <c r="AC43">
        <v>8.70601330637259</v>
      </c>
      <c r="AJ43">
        <v>0.48256604845344397</v>
      </c>
      <c r="AK43">
        <v>1.7350058573141001E-2</v>
      </c>
      <c r="AL43">
        <v>0.50008389297341405</v>
      </c>
    </row>
    <row r="44" spans="1:38" x14ac:dyDescent="0.2">
      <c r="A44">
        <v>184</v>
      </c>
      <c r="B44">
        <v>765</v>
      </c>
      <c r="C44">
        <v>140</v>
      </c>
      <c r="D44">
        <v>0.45160188797380102</v>
      </c>
      <c r="E44">
        <v>37.589300716067299</v>
      </c>
      <c r="F44">
        <v>2.5214000091819302</v>
      </c>
      <c r="G44">
        <v>-598.30057645517343</v>
      </c>
      <c r="H44">
        <v>-516.66717305258612</v>
      </c>
      <c r="I44">
        <v>78.633534077529404</v>
      </c>
      <c r="J44">
        <v>44.848508237667197</v>
      </c>
      <c r="K44">
        <v>14.9081068371468</v>
      </c>
      <c r="L44">
        <v>2.8872670574352303E-5</v>
      </c>
      <c r="M44">
        <v>1.8079490941147718E-6</v>
      </c>
      <c r="N44" s="1">
        <v>-1.94658663677924E-7</v>
      </c>
      <c r="O44" s="1">
        <v>1.4176299386241401E-10</v>
      </c>
      <c r="P44" s="1">
        <v>8.6660763775158103E-10</v>
      </c>
      <c r="Q44">
        <v>66.216305617230603</v>
      </c>
      <c r="S44">
        <v>19.158297265938899</v>
      </c>
      <c r="AA44">
        <v>0.35512172877886999</v>
      </c>
      <c r="AB44">
        <v>5.4503765794579504</v>
      </c>
      <c r="AC44">
        <v>8.8198988085936598</v>
      </c>
      <c r="AJ44">
        <v>0.47603768688082299</v>
      </c>
      <c r="AK44">
        <v>1.7139686066485599E-2</v>
      </c>
      <c r="AL44">
        <v>0.50682262705268999</v>
      </c>
    </row>
    <row r="45" spans="1:38" x14ac:dyDescent="0.2">
      <c r="A45">
        <v>185</v>
      </c>
      <c r="B45">
        <v>764</v>
      </c>
      <c r="C45">
        <v>140</v>
      </c>
      <c r="D45">
        <v>0.45100564045702202</v>
      </c>
      <c r="E45">
        <v>39.498193928949803</v>
      </c>
      <c r="F45">
        <v>2.5213096516548901</v>
      </c>
      <c r="G45">
        <v>-628.48671511068983</v>
      </c>
      <c r="H45">
        <v>-542.85458681832824</v>
      </c>
      <c r="I45">
        <v>82.564844325663302</v>
      </c>
      <c r="J45">
        <v>47.120549287667302</v>
      </c>
      <c r="K45">
        <v>15.6657449445072</v>
      </c>
      <c r="L45">
        <v>2.8858781423137688E-5</v>
      </c>
      <c r="M45">
        <v>1.8076553210806127E-6</v>
      </c>
      <c r="N45" s="1">
        <v>-2.0984160374927401E-7</v>
      </c>
      <c r="O45" s="1">
        <v>1.4896544632307501E-10</v>
      </c>
      <c r="P45" s="1">
        <v>9.2588452700155696E-10</v>
      </c>
      <c r="Q45">
        <v>66.207093241209407</v>
      </c>
      <c r="S45">
        <v>19.150880490310399</v>
      </c>
      <c r="AA45">
        <v>0.35115239494692102</v>
      </c>
      <c r="AB45">
        <v>5.4104032518859899</v>
      </c>
      <c r="AC45">
        <v>8.8804706216472002</v>
      </c>
      <c r="AJ45">
        <v>0.47264196657360902</v>
      </c>
      <c r="AK45">
        <v>1.6951536546527299E-2</v>
      </c>
      <c r="AL45">
        <v>0.51040649687986295</v>
      </c>
    </row>
    <row r="46" spans="1:38" x14ac:dyDescent="0.2">
      <c r="A46">
        <v>201</v>
      </c>
      <c r="B46">
        <v>776</v>
      </c>
      <c r="C46">
        <v>120</v>
      </c>
      <c r="D46">
        <v>0.47905494924462999</v>
      </c>
      <c r="E46">
        <v>5.7007248000415203</v>
      </c>
      <c r="F46">
        <v>2.5232051023494599</v>
      </c>
      <c r="G46">
        <v>-91.237208043026101</v>
      </c>
      <c r="H46">
        <v>-78.602848351140395</v>
      </c>
      <c r="I46">
        <v>12.042472184040101</v>
      </c>
      <c r="J46">
        <v>6.82308021611962</v>
      </c>
      <c r="K46">
        <v>2.25931883013922</v>
      </c>
      <c r="L46">
        <v>2.9250545963394559E-5</v>
      </c>
      <c r="M46">
        <v>1.8162841646914582E-6</v>
      </c>
      <c r="N46" s="1">
        <v>-2.3792284196876199E-8</v>
      </c>
      <c r="O46" s="1">
        <v>2.1413928171627E-11</v>
      </c>
      <c r="P46" s="1">
        <v>1.14998963585003E-10</v>
      </c>
      <c r="Q46">
        <v>66.402305692201296</v>
      </c>
      <c r="S46">
        <v>19.298962930390299</v>
      </c>
      <c r="AA46">
        <v>0.42777176754198398</v>
      </c>
      <c r="AB46">
        <v>6.2336411007479997</v>
      </c>
      <c r="AC46">
        <v>7.6373185091182902</v>
      </c>
      <c r="AJ46">
        <v>0.54229982359542594</v>
      </c>
      <c r="AK46">
        <v>2.0564614720543099E-2</v>
      </c>
      <c r="AL46">
        <v>0.43713556168402901</v>
      </c>
    </row>
    <row r="47" spans="1:38" x14ac:dyDescent="0.2">
      <c r="A47">
        <v>202</v>
      </c>
      <c r="B47">
        <v>775</v>
      </c>
      <c r="C47">
        <v>120</v>
      </c>
      <c r="D47">
        <v>0.478491151075708</v>
      </c>
      <c r="E47">
        <v>17.544185355427199</v>
      </c>
      <c r="F47">
        <v>2.5222421946649201</v>
      </c>
      <c r="G47">
        <v>-280.45702012906816</v>
      </c>
      <c r="H47">
        <v>-241.67268989492752</v>
      </c>
      <c r="I47">
        <v>37.002652515518399</v>
      </c>
      <c r="J47">
        <v>20.974294800085801</v>
      </c>
      <c r="K47">
        <v>6.9557893340048196</v>
      </c>
      <c r="L47">
        <v>2.910225290195419E-5</v>
      </c>
      <c r="M47">
        <v>1.8137585279807451E-6</v>
      </c>
      <c r="N47" s="1">
        <v>-7.1415122303943202E-8</v>
      </c>
      <c r="O47" s="1">
        <v>6.6033597360355501E-11</v>
      </c>
      <c r="P47" s="1">
        <v>3.4835225417651002E-10</v>
      </c>
      <c r="Q47">
        <v>66.340317379508704</v>
      </c>
      <c r="S47">
        <v>19.262523771887299</v>
      </c>
      <c r="AA47">
        <v>0.41217321400219098</v>
      </c>
      <c r="AB47">
        <v>5.9999734781637297</v>
      </c>
      <c r="AC47">
        <v>7.9850121564379402</v>
      </c>
      <c r="AJ47">
        <v>0.52258688142083798</v>
      </c>
      <c r="AK47">
        <v>1.9838084134246099E-2</v>
      </c>
      <c r="AL47">
        <v>0.45757503444491499</v>
      </c>
    </row>
    <row r="48" spans="1:38" x14ac:dyDescent="0.2">
      <c r="A48">
        <v>203</v>
      </c>
      <c r="B48">
        <v>774</v>
      </c>
      <c r="C48">
        <v>120</v>
      </c>
      <c r="D48">
        <v>0.47792627608270499</v>
      </c>
      <c r="E48">
        <v>28.891514015544299</v>
      </c>
      <c r="F48">
        <v>2.5214519036342899</v>
      </c>
      <c r="G48">
        <v>-461.34769621341832</v>
      </c>
      <c r="H48">
        <v>-397.6374596910926</v>
      </c>
      <c r="I48">
        <v>60.841557104832802</v>
      </c>
      <c r="J48">
        <v>34.503345582355301</v>
      </c>
      <c r="K48">
        <v>11.4582847976998</v>
      </c>
      <c r="L48">
        <v>2.896403327639426E-5</v>
      </c>
      <c r="M48">
        <v>1.8114028670698032E-6</v>
      </c>
      <c r="N48" s="1">
        <v>-1.14936837409575E-7</v>
      </c>
      <c r="O48" s="1">
        <v>1.08937362080296E-10</v>
      </c>
      <c r="P48" s="1">
        <v>5.6543512866153696E-10</v>
      </c>
      <c r="Q48">
        <v>66.2796855021993</v>
      </c>
      <c r="S48">
        <v>19.231053352001101</v>
      </c>
      <c r="AA48">
        <v>0.40035741504403199</v>
      </c>
      <c r="AB48">
        <v>5.7823547933658102</v>
      </c>
      <c r="AC48">
        <v>8.3065489373896106</v>
      </c>
      <c r="AJ48">
        <v>0.50418601758908299</v>
      </c>
      <c r="AK48">
        <v>1.9290555263439198E-2</v>
      </c>
      <c r="AL48">
        <v>0.47652342714747598</v>
      </c>
    </row>
    <row r="49" spans="1:38" x14ac:dyDescent="0.2">
      <c r="A49">
        <v>204</v>
      </c>
      <c r="B49">
        <v>773</v>
      </c>
      <c r="C49">
        <v>120</v>
      </c>
      <c r="D49">
        <v>0.47736032117765198</v>
      </c>
      <c r="E49">
        <v>35.289888153854903</v>
      </c>
      <c r="F49">
        <v>2.5210365561925498</v>
      </c>
      <c r="G49">
        <v>-563.12418813930572</v>
      </c>
      <c r="H49">
        <v>-485.46807051074308</v>
      </c>
      <c r="I49">
        <v>74.230385344895495</v>
      </c>
      <c r="J49">
        <v>42.119105527001402</v>
      </c>
      <c r="K49">
        <v>13.9981659794541</v>
      </c>
      <c r="L49">
        <v>2.8887183502312171E-5</v>
      </c>
      <c r="M49">
        <v>1.8100860894420613E-6</v>
      </c>
      <c r="N49" s="1">
        <v>-1.40546622694292E-7</v>
      </c>
      <c r="O49" s="1">
        <v>1.33185775160652E-10</v>
      </c>
      <c r="P49" s="1">
        <v>6.9081251968197705E-10</v>
      </c>
      <c r="Q49">
        <v>66.244509878780505</v>
      </c>
      <c r="S49">
        <v>19.212074807810801</v>
      </c>
      <c r="AA49">
        <v>0.39290767260546799</v>
      </c>
      <c r="AB49">
        <v>5.6542130816446896</v>
      </c>
      <c r="AC49">
        <v>8.4962945591583807</v>
      </c>
      <c r="AJ49">
        <v>0.49333200594850002</v>
      </c>
      <c r="AK49">
        <v>1.8943857627255201E-2</v>
      </c>
      <c r="AL49">
        <v>0.487724136424243</v>
      </c>
    </row>
    <row r="50" spans="1:38" x14ac:dyDescent="0.2">
      <c r="A50">
        <v>205</v>
      </c>
      <c r="B50">
        <v>772</v>
      </c>
      <c r="C50">
        <v>120</v>
      </c>
      <c r="D50">
        <v>0.47679328326077502</v>
      </c>
      <c r="E50">
        <v>38.8995390859181</v>
      </c>
      <c r="F50">
        <v>2.5208045521074798</v>
      </c>
      <c r="G50">
        <v>-620.4242798376946</v>
      </c>
      <c r="H50">
        <v>-534.98555576805256</v>
      </c>
      <c r="I50">
        <v>81.747810428782401</v>
      </c>
      <c r="J50">
        <v>46.411383886479697</v>
      </c>
      <c r="K50">
        <v>15.4313983023383</v>
      </c>
      <c r="L50">
        <v>2.8844749602819063E-5</v>
      </c>
      <c r="M50">
        <v>1.809348810962207E-6</v>
      </c>
      <c r="N50" s="1">
        <v>-1.5730054317454101E-7</v>
      </c>
      <c r="O50" s="1">
        <v>1.4687524145963999E-10</v>
      </c>
      <c r="P50" s="1">
        <v>7.6822091603596803E-10</v>
      </c>
      <c r="Q50">
        <v>66.224174825272698</v>
      </c>
      <c r="S50">
        <v>19.199487756557399</v>
      </c>
      <c r="AA50">
        <v>0.38726813317839198</v>
      </c>
      <c r="AB50">
        <v>5.5758989139354203</v>
      </c>
      <c r="AC50">
        <v>8.6131703710559595</v>
      </c>
      <c r="AJ50">
        <v>0.486691636192852</v>
      </c>
      <c r="AK50">
        <v>1.8679340702326401E-2</v>
      </c>
      <c r="AL50">
        <v>0.49462902310482099</v>
      </c>
    </row>
    <row r="51" spans="1:38" x14ac:dyDescent="0.2">
      <c r="A51">
        <v>206</v>
      </c>
      <c r="B51">
        <v>771</v>
      </c>
      <c r="C51">
        <v>120</v>
      </c>
      <c r="D51">
        <v>0.47622515922041903</v>
      </c>
      <c r="E51">
        <v>40.562602415678498</v>
      </c>
      <c r="F51">
        <v>2.5206869742023899</v>
      </c>
      <c r="G51">
        <v>-646.7342297470808</v>
      </c>
      <c r="H51">
        <v>-557.79550888350309</v>
      </c>
      <c r="I51">
        <v>85.178107420943107</v>
      </c>
      <c r="J51">
        <v>48.387898793708104</v>
      </c>
      <c r="K51">
        <v>16.091884010514001</v>
      </c>
      <c r="L51">
        <v>2.8826425777369394E-5</v>
      </c>
      <c r="M51">
        <v>1.809013518843621E-6</v>
      </c>
      <c r="N51" s="1">
        <v>-1.6821692445832899E-7</v>
      </c>
      <c r="O51" s="1">
        <v>1.53173995693037E-10</v>
      </c>
      <c r="P51" s="1">
        <v>8.1319050626497602E-10</v>
      </c>
      <c r="Q51">
        <v>66.214434570517</v>
      </c>
      <c r="S51">
        <v>19.191064917153799</v>
      </c>
      <c r="AA51">
        <v>0.38259195971690302</v>
      </c>
      <c r="AB51">
        <v>5.5321117099237203</v>
      </c>
      <c r="AC51">
        <v>8.6797968426883898</v>
      </c>
      <c r="AJ51">
        <v>0.48297658109235098</v>
      </c>
      <c r="AK51">
        <v>1.8457877567043E-2</v>
      </c>
      <c r="AL51">
        <v>0.49856554134060499</v>
      </c>
    </row>
    <row r="52" spans="1:38" x14ac:dyDescent="0.2">
      <c r="A52">
        <v>225</v>
      </c>
      <c r="B52">
        <v>786</v>
      </c>
      <c r="C52">
        <v>100</v>
      </c>
      <c r="D52">
        <v>0.50540574989378495</v>
      </c>
      <c r="E52">
        <v>2.2291160589203001</v>
      </c>
      <c r="F52">
        <v>2.5248064310888299</v>
      </c>
      <c r="G52">
        <v>-35.821908521905378</v>
      </c>
      <c r="H52">
        <v>-30.796983632452875</v>
      </c>
      <c r="I52">
        <v>4.7442995698933101</v>
      </c>
      <c r="J52">
        <v>2.6726766694573199</v>
      </c>
      <c r="K52">
        <v>0.882885924034577</v>
      </c>
      <c r="L52">
        <v>2.9427404774077833E-5</v>
      </c>
      <c r="M52">
        <v>1.8206903482879761E-6</v>
      </c>
      <c r="N52" s="1">
        <v>-7.0658171501283204E-9</v>
      </c>
      <c r="O52" s="1">
        <v>8.3519249911096795E-12</v>
      </c>
      <c r="P52" s="1">
        <v>3.84421692841782E-11</v>
      </c>
      <c r="Q52">
        <v>66.458706142570705</v>
      </c>
      <c r="S52">
        <v>19.430466962191801</v>
      </c>
      <c r="AA52">
        <v>0.52310366622165505</v>
      </c>
      <c r="AB52">
        <v>6.7040813963827501</v>
      </c>
      <c r="AC52">
        <v>6.8836418326330397</v>
      </c>
      <c r="AJ52">
        <v>0.58184641635974599</v>
      </c>
      <c r="AK52">
        <v>2.5088092335537299E-2</v>
      </c>
      <c r="AL52">
        <v>0.39306549130471602</v>
      </c>
    </row>
    <row r="53" spans="1:38" x14ac:dyDescent="0.2">
      <c r="A53">
        <v>226</v>
      </c>
      <c r="B53">
        <v>785</v>
      </c>
      <c r="C53">
        <v>100</v>
      </c>
      <c r="D53">
        <v>0.50487218258281097</v>
      </c>
      <c r="E53">
        <v>10.699017487808399</v>
      </c>
      <c r="F53">
        <v>2.5235943217499202</v>
      </c>
      <c r="G53">
        <v>-171.73819978274716</v>
      </c>
      <c r="H53">
        <v>-147.67747592395745</v>
      </c>
      <c r="I53">
        <v>22.738481178273101</v>
      </c>
      <c r="J53">
        <v>12.814609367154199</v>
      </c>
      <c r="K53">
        <v>4.2395948491394</v>
      </c>
      <c r="L53">
        <v>2.9295560978326979E-5</v>
      </c>
      <c r="M53">
        <v>1.8185245434376543E-6</v>
      </c>
      <c r="N53" s="1">
        <v>-3.32134548270506E-8</v>
      </c>
      <c r="O53" s="1">
        <v>4.0169974684408399E-11</v>
      </c>
      <c r="P53" s="1">
        <v>1.82317266235528E-10</v>
      </c>
      <c r="Q53">
        <v>66.415057399723395</v>
      </c>
      <c r="S53">
        <v>19.384492842163699</v>
      </c>
      <c r="AA53">
        <v>0.49535938388803302</v>
      </c>
      <c r="AB53">
        <v>6.4862853806027898</v>
      </c>
      <c r="AC53">
        <v>7.2188049936219603</v>
      </c>
      <c r="AJ53">
        <v>0.56356092798854396</v>
      </c>
      <c r="AK53">
        <v>2.3783513233452999E-2</v>
      </c>
      <c r="AL53">
        <v>0.41265555877800197</v>
      </c>
    </row>
    <row r="54" spans="1:38" x14ac:dyDescent="0.2">
      <c r="A54">
        <v>227</v>
      </c>
      <c r="B54">
        <v>784</v>
      </c>
      <c r="C54">
        <v>100</v>
      </c>
      <c r="D54">
        <v>0.50433760582698905</v>
      </c>
      <c r="E54">
        <v>25.4519078211768</v>
      </c>
      <c r="F54">
        <v>2.5218677986714302</v>
      </c>
      <c r="G54">
        <v>-407.82900356605865</v>
      </c>
      <c r="H54">
        <v>-350.76472914465404</v>
      </c>
      <c r="I54">
        <v>53.9793543219075</v>
      </c>
      <c r="J54">
        <v>30.430888092649099</v>
      </c>
      <c r="K54">
        <v>10.092482974161101</v>
      </c>
      <c r="L54">
        <v>2.9066940241054153E-5</v>
      </c>
      <c r="M54">
        <v>1.8146747081349774E-6</v>
      </c>
      <c r="N54" s="1">
        <v>-7.3940878362573294E-8</v>
      </c>
      <c r="O54" s="1">
        <v>9.5881007952156206E-11</v>
      </c>
      <c r="P54" s="1">
        <v>4.1828071130240801E-10</v>
      </c>
      <c r="Q54">
        <v>66.327411058781394</v>
      </c>
      <c r="S54">
        <v>19.320923236904299</v>
      </c>
      <c r="AA54">
        <v>0.46336488410486398</v>
      </c>
      <c r="AB54">
        <v>6.12431422442266</v>
      </c>
      <c r="AC54">
        <v>7.7639865957866503</v>
      </c>
      <c r="AJ54">
        <v>0.53308194385704999</v>
      </c>
      <c r="AK54">
        <v>2.2287964926956699E-2</v>
      </c>
      <c r="AL54">
        <v>0.44463009121599301</v>
      </c>
    </row>
    <row r="55" spans="1:38" x14ac:dyDescent="0.2">
      <c r="A55">
        <v>228</v>
      </c>
      <c r="B55">
        <v>783</v>
      </c>
      <c r="C55">
        <v>100</v>
      </c>
      <c r="D55">
        <v>0.50380201675898495</v>
      </c>
      <c r="E55">
        <v>32.6804135543859</v>
      </c>
      <c r="F55">
        <v>2.52110552115413</v>
      </c>
      <c r="G55">
        <v>-523.15032919627004</v>
      </c>
      <c r="H55">
        <v>-450.04904416921624</v>
      </c>
      <c r="I55">
        <v>69.214870072483805</v>
      </c>
      <c r="J55">
        <v>39.038631404041602</v>
      </c>
      <c r="K55">
        <v>12.9627313415366</v>
      </c>
      <c r="L55">
        <v>2.8953381709544451E-5</v>
      </c>
      <c r="M55">
        <v>1.81275595145572E-6</v>
      </c>
      <c r="N55" s="1">
        <v>-9.3330958849420796E-8</v>
      </c>
      <c r="O55" s="1">
        <v>1.2330261477273199E-10</v>
      </c>
      <c r="P55" s="1">
        <v>5.3201624531956801E-10</v>
      </c>
      <c r="Q55">
        <v>66.280603221571695</v>
      </c>
      <c r="S55">
        <v>19.289924559391</v>
      </c>
      <c r="AA55">
        <v>0.44871262666412798</v>
      </c>
      <c r="AB55">
        <v>5.9387384057328498</v>
      </c>
      <c r="AC55">
        <v>8.0420211866401399</v>
      </c>
      <c r="AJ55">
        <v>0.51741275259776298</v>
      </c>
      <c r="AK55">
        <v>2.1603395373402098E-2</v>
      </c>
      <c r="AL55">
        <v>0.46098385202883402</v>
      </c>
    </row>
    <row r="56" spans="1:38" x14ac:dyDescent="0.2">
      <c r="A56">
        <v>229</v>
      </c>
      <c r="B56">
        <v>782</v>
      </c>
      <c r="C56">
        <v>100</v>
      </c>
      <c r="D56">
        <v>0.50326541250059598</v>
      </c>
      <c r="E56">
        <v>37.715505790654802</v>
      </c>
      <c r="F56">
        <v>2.5206118065373899</v>
      </c>
      <c r="G56">
        <v>-603.31465671863714</v>
      </c>
      <c r="H56">
        <v>-519.12708709990136</v>
      </c>
      <c r="I56">
        <v>79.787300022495103</v>
      </c>
      <c r="J56">
        <v>45.025092586540701</v>
      </c>
      <c r="K56">
        <v>14.962837868503501</v>
      </c>
      <c r="L56">
        <v>2.8874666540176831E-5</v>
      </c>
      <c r="M56">
        <v>1.811429056401323E-6</v>
      </c>
      <c r="N56" s="1">
        <v>-1.07570041346264E-7</v>
      </c>
      <c r="O56" s="1">
        <v>1.4244568239142501E-10</v>
      </c>
      <c r="P56" s="1">
        <v>6.1330965059674497E-10</v>
      </c>
      <c r="Q56">
        <v>66.247023581315403</v>
      </c>
      <c r="S56">
        <v>19.2680141016059</v>
      </c>
      <c r="AA56">
        <v>0.43847162463699402</v>
      </c>
      <c r="AB56">
        <v>5.8064668642525197</v>
      </c>
      <c r="AC56">
        <v>8.2400238281890292</v>
      </c>
      <c r="AJ56">
        <v>0.50622641193651396</v>
      </c>
      <c r="AK56">
        <v>2.1124436471324899E-2</v>
      </c>
      <c r="AL56">
        <v>0.47264915159215998</v>
      </c>
    </row>
    <row r="57" spans="1:38" x14ac:dyDescent="0.2">
      <c r="A57">
        <v>230</v>
      </c>
      <c r="B57">
        <v>781</v>
      </c>
      <c r="C57">
        <v>100</v>
      </c>
      <c r="D57">
        <v>0.50272779016268998</v>
      </c>
      <c r="E57">
        <v>40.535547606715497</v>
      </c>
      <c r="F57">
        <v>2.5203348343558698</v>
      </c>
      <c r="G57">
        <v>-648.10409101675407</v>
      </c>
      <c r="H57">
        <v>-557.79008248383184</v>
      </c>
      <c r="I57">
        <v>85.6747223193304</v>
      </c>
      <c r="J57">
        <v>48.373960708855101</v>
      </c>
      <c r="K57">
        <v>16.083397751027501</v>
      </c>
      <c r="L57">
        <v>2.883034266399308E-5</v>
      </c>
      <c r="M57">
        <v>1.8106879501438283E-6</v>
      </c>
      <c r="N57" s="1">
        <v>-1.1738455255429301E-7</v>
      </c>
      <c r="O57" s="1">
        <v>1.53178711005058E-10</v>
      </c>
      <c r="P57" s="1">
        <v>6.6420860299821197E-10</v>
      </c>
      <c r="Q57">
        <v>66.227774879993603</v>
      </c>
      <c r="S57">
        <v>19.253743437753201</v>
      </c>
      <c r="AA57">
        <v>0.43118960214542801</v>
      </c>
      <c r="AB57">
        <v>5.7261597648281102</v>
      </c>
      <c r="AC57">
        <v>8.3611323152795904</v>
      </c>
      <c r="AJ57">
        <v>0.49942747748423899</v>
      </c>
      <c r="AK57">
        <v>2.07820335466583E-2</v>
      </c>
      <c r="AL57">
        <v>0.47979048896910198</v>
      </c>
    </row>
    <row r="58" spans="1:38" x14ac:dyDescent="0.2">
      <c r="A58">
        <v>231</v>
      </c>
      <c r="B58">
        <v>780</v>
      </c>
      <c r="C58">
        <v>100</v>
      </c>
      <c r="D58">
        <v>0.50218914684517901</v>
      </c>
      <c r="E58">
        <v>41.963868473057801</v>
      </c>
      <c r="F58">
        <v>2.5201808841359501</v>
      </c>
      <c r="G58">
        <v>-670.70387680789383</v>
      </c>
      <c r="H58">
        <v>-577.36780380994958</v>
      </c>
      <c r="I58">
        <v>88.625621229591303</v>
      </c>
      <c r="J58">
        <v>50.068362295337401</v>
      </c>
      <c r="K58">
        <v>16.651133550457399</v>
      </c>
      <c r="L58">
        <v>2.8807623575486596E-5</v>
      </c>
      <c r="M58">
        <v>1.8103129714187307E-6</v>
      </c>
      <c r="N58" s="1">
        <v>-1.2467712624028801E-7</v>
      </c>
      <c r="O58" s="1">
        <v>1.5861362914962899E-10</v>
      </c>
      <c r="P58" s="1">
        <v>6.9678802389682698E-10</v>
      </c>
      <c r="Q58">
        <v>66.217785282906405</v>
      </c>
      <c r="S58">
        <v>19.243937869510201</v>
      </c>
      <c r="AA58">
        <v>0.42543084385770202</v>
      </c>
      <c r="AB58">
        <v>5.6781919113803401</v>
      </c>
      <c r="AC58">
        <v>8.4346540923452409</v>
      </c>
      <c r="AJ58">
        <v>0.49536382156895398</v>
      </c>
      <c r="AK58">
        <v>2.05094484806948E-2</v>
      </c>
      <c r="AL58">
        <v>0.484126729950351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E8244-BEE3-4357-9952-A0E6D07E17FE}">
  <sheetPr codeName="Sheet12"/>
  <dimension ref="A1:AL17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27</v>
      </c>
      <c r="B2">
        <v>737</v>
      </c>
      <c r="C2">
        <v>300</v>
      </c>
      <c r="D2">
        <v>0.260229173885068</v>
      </c>
      <c r="E2">
        <v>2.31614814454257</v>
      </c>
      <c r="F2">
        <v>2.5265611858445598</v>
      </c>
      <c r="G2">
        <v>-36.392706352840356</v>
      </c>
      <c r="H2">
        <v>-31.608618107202901</v>
      </c>
      <c r="I2">
        <v>4.7360176663242601</v>
      </c>
      <c r="J2">
        <v>2.76158699393998</v>
      </c>
      <c r="K2">
        <v>0.91671959401543002</v>
      </c>
      <c r="L2">
        <v>2.8831969461819977E-5</v>
      </c>
      <c r="M2">
        <v>1.7909730059563751E-6</v>
      </c>
      <c r="N2" s="1">
        <v>-2.8414734762444801E-8</v>
      </c>
      <c r="O2" s="1">
        <v>8.6828066454271993E-12</v>
      </c>
      <c r="P2" s="1">
        <v>1.0032947583433199E-10</v>
      </c>
      <c r="Q2">
        <v>65.982729360855899</v>
      </c>
      <c r="S2">
        <v>18.927552416638601</v>
      </c>
      <c r="AA2">
        <v>0.21925669170089701</v>
      </c>
      <c r="AB2">
        <v>4.3249367946680604</v>
      </c>
      <c r="AC2">
        <v>10.5455247361364</v>
      </c>
      <c r="AJ2">
        <v>0.37990424882145601</v>
      </c>
      <c r="AK2">
        <v>1.06428522460306E-2</v>
      </c>
      <c r="AL2">
        <v>0.60945289893251198</v>
      </c>
    </row>
    <row r="3" spans="1:38" x14ac:dyDescent="0.2">
      <c r="A3">
        <v>28</v>
      </c>
      <c r="B3">
        <v>736</v>
      </c>
      <c r="C3">
        <v>300</v>
      </c>
      <c r="D3">
        <v>0.25942674528068399</v>
      </c>
      <c r="E3">
        <v>7.7362560636442197</v>
      </c>
      <c r="F3">
        <v>2.5272442483713098</v>
      </c>
      <c r="G3">
        <v>-121.64904129352217</v>
      </c>
      <c r="H3">
        <v>-105.67695648635907</v>
      </c>
      <c r="I3">
        <v>15.827265329398999</v>
      </c>
      <c r="J3">
        <v>9.2400542315540992</v>
      </c>
      <c r="K3">
        <v>3.0611430092797098</v>
      </c>
      <c r="L3">
        <v>2.9027735881681205E-5</v>
      </c>
      <c r="M3">
        <v>1.7928572089936967E-6</v>
      </c>
      <c r="N3" s="1">
        <v>-1.03503671124637E-7</v>
      </c>
      <c r="O3" s="1">
        <v>2.8880184662027299E-11</v>
      </c>
      <c r="P3" s="1">
        <v>3.5985843180109502E-10</v>
      </c>
      <c r="Q3">
        <v>66.019001989710105</v>
      </c>
      <c r="S3">
        <v>18.968549483638899</v>
      </c>
      <c r="AA3">
        <v>0.244615969688007</v>
      </c>
      <c r="AB3">
        <v>4.5132475443326303</v>
      </c>
      <c r="AC3">
        <v>10.2545850126302</v>
      </c>
      <c r="AJ3">
        <v>0.396066073709955</v>
      </c>
      <c r="AK3">
        <v>1.18624415452903E-2</v>
      </c>
      <c r="AL3">
        <v>0.59207148474475302</v>
      </c>
    </row>
    <row r="4" spans="1:38" x14ac:dyDescent="0.2">
      <c r="A4">
        <v>28</v>
      </c>
      <c r="B4">
        <v>736</v>
      </c>
      <c r="C4">
        <v>300</v>
      </c>
      <c r="D4">
        <v>0.25942674528068399</v>
      </c>
      <c r="E4">
        <v>2.0598438520909501</v>
      </c>
      <c r="F4">
        <v>2.57548224658249</v>
      </c>
      <c r="G4">
        <v>-33.217847132517903</v>
      </c>
      <c r="H4">
        <v>-28.894623968486275</v>
      </c>
      <c r="I4">
        <v>4.2840243413086503</v>
      </c>
      <c r="J4">
        <v>2.5443529151666899</v>
      </c>
      <c r="K4">
        <v>0.79978957526274597</v>
      </c>
      <c r="L4">
        <v>3.2716438700827195E-5</v>
      </c>
      <c r="M4">
        <v>1.8147218177518893E-6</v>
      </c>
      <c r="N4" s="1">
        <v>-6.0607897864465606E-8</v>
      </c>
      <c r="O4" s="1">
        <v>6.8410747743438503E-12</v>
      </c>
      <c r="P4" s="1">
        <v>1.9204366745894099E-10</v>
      </c>
      <c r="Q4">
        <v>65.3522294115606</v>
      </c>
      <c r="S4">
        <v>21.264283643308499</v>
      </c>
      <c r="AA4">
        <v>2.29420242359916</v>
      </c>
      <c r="AB4">
        <v>9.0459461702194908</v>
      </c>
      <c r="AC4">
        <v>2.0433383513121401</v>
      </c>
      <c r="AJ4">
        <v>0.77593729281785595</v>
      </c>
      <c r="AK4">
        <v>0.10874646560859</v>
      </c>
      <c r="AL4">
        <v>0.115316241573552</v>
      </c>
    </row>
    <row r="5" spans="1:38" x14ac:dyDescent="0.2">
      <c r="A5">
        <v>29</v>
      </c>
      <c r="B5">
        <v>735</v>
      </c>
      <c r="C5">
        <v>300</v>
      </c>
      <c r="D5">
        <v>0.25862272479293502</v>
      </c>
      <c r="E5">
        <v>14.703994291712201</v>
      </c>
      <c r="F5">
        <v>2.5272419128810699</v>
      </c>
      <c r="G5">
        <v>-231.14204255708853</v>
      </c>
      <c r="H5">
        <v>-200.83903787009578</v>
      </c>
      <c r="I5">
        <v>30.058031728406199</v>
      </c>
      <c r="J5">
        <v>17.562782105557101</v>
      </c>
      <c r="K5">
        <v>5.8181981775340299</v>
      </c>
      <c r="L5">
        <v>2.9026293110358447E-5</v>
      </c>
      <c r="M5">
        <v>1.7925769290573664E-6</v>
      </c>
      <c r="N5" s="1">
        <v>-2.01580791505745E-7</v>
      </c>
      <c r="O5" s="1">
        <v>5.4867810163040901E-11</v>
      </c>
      <c r="P5" s="1">
        <v>6.9758334159739203E-10</v>
      </c>
      <c r="Q5">
        <v>66.006926484517805</v>
      </c>
      <c r="S5">
        <v>18.963411836458398</v>
      </c>
      <c r="AA5">
        <v>0.243195012212747</v>
      </c>
      <c r="AB5">
        <v>4.4728689184510104</v>
      </c>
      <c r="AC5">
        <v>10.3135977483599</v>
      </c>
      <c r="AJ5">
        <v>0.39260313815369002</v>
      </c>
      <c r="AK5">
        <v>1.17959534384452E-2</v>
      </c>
      <c r="AL5">
        <v>0.59560090840786295</v>
      </c>
    </row>
    <row r="6" spans="1:38" x14ac:dyDescent="0.2">
      <c r="A6">
        <v>29</v>
      </c>
      <c r="B6">
        <v>735</v>
      </c>
      <c r="C6">
        <v>300</v>
      </c>
      <c r="D6">
        <v>0.25862272479293502</v>
      </c>
      <c r="E6">
        <v>5.2988919559926204</v>
      </c>
      <c r="F6">
        <v>2.5761518460032899</v>
      </c>
      <c r="G6">
        <v>-85.450746647526259</v>
      </c>
      <c r="H6">
        <v>-74.347653051254127</v>
      </c>
      <c r="I6">
        <v>11.013334916701</v>
      </c>
      <c r="J6">
        <v>6.5499519347842501</v>
      </c>
      <c r="K6">
        <v>2.0569020278107599</v>
      </c>
      <c r="L6">
        <v>3.2776300088840597E-5</v>
      </c>
      <c r="M6">
        <v>1.8139956297576295E-6</v>
      </c>
      <c r="N6" s="1">
        <v>-1.6092339395704301E-7</v>
      </c>
      <c r="O6" s="1">
        <v>1.75377043626085E-11</v>
      </c>
      <c r="P6" s="1">
        <v>5.0820901382082395E-10</v>
      </c>
      <c r="Q6">
        <v>65.301946435458404</v>
      </c>
      <c r="S6">
        <v>21.305664581496899</v>
      </c>
      <c r="AA6">
        <v>2.3400749663725899</v>
      </c>
      <c r="AB6">
        <v>9.0423787633910209</v>
      </c>
      <c r="AC6">
        <v>2.0099352532810002</v>
      </c>
      <c r="AJ6">
        <v>0.77564426650772</v>
      </c>
      <c r="AK6">
        <v>0.110922705262007</v>
      </c>
      <c r="AL6">
        <v>0.113433028230272</v>
      </c>
    </row>
    <row r="7" spans="1:38" x14ac:dyDescent="0.2">
      <c r="A7">
        <v>30</v>
      </c>
      <c r="B7">
        <v>734</v>
      </c>
      <c r="C7">
        <v>300</v>
      </c>
      <c r="D7">
        <v>0.25781710768008598</v>
      </c>
      <c r="E7">
        <v>33.031331562929999</v>
      </c>
      <c r="F7">
        <v>2.5272429937545402</v>
      </c>
      <c r="G7">
        <v>-519.08257912875843</v>
      </c>
      <c r="H7">
        <v>-451.13157776858566</v>
      </c>
      <c r="I7">
        <v>67.468600863995206</v>
      </c>
      <c r="J7">
        <v>39.455035085483203</v>
      </c>
      <c r="K7">
        <v>13.070105108435801</v>
      </c>
      <c r="L7">
        <v>2.9025802881630379E-5</v>
      </c>
      <c r="M7">
        <v>1.7923049234723218E-6</v>
      </c>
      <c r="N7" s="1">
        <v>-4.6402645639143199E-7</v>
      </c>
      <c r="O7" s="1">
        <v>1.2320054298078E-10</v>
      </c>
      <c r="P7" s="1">
        <v>1.5984128623634401E-9</v>
      </c>
      <c r="Q7">
        <v>65.9949872661943</v>
      </c>
      <c r="S7">
        <v>18.958349463001401</v>
      </c>
      <c r="AA7">
        <v>0.241804355652359</v>
      </c>
      <c r="AB7">
        <v>4.4329913404012702</v>
      </c>
      <c r="AC7">
        <v>10.371867574750601</v>
      </c>
      <c r="AJ7">
        <v>0.38918177803995901</v>
      </c>
      <c r="AK7">
        <v>1.17308781805226E-2</v>
      </c>
      <c r="AL7">
        <v>0.599087343779517</v>
      </c>
    </row>
    <row r="8" spans="1:38" x14ac:dyDescent="0.2">
      <c r="A8">
        <v>30</v>
      </c>
      <c r="B8">
        <v>734</v>
      </c>
      <c r="C8">
        <v>300</v>
      </c>
      <c r="D8">
        <v>0.25781710768008598</v>
      </c>
      <c r="E8">
        <v>14.784977733782</v>
      </c>
      <c r="F8">
        <v>2.5768191465896901</v>
      </c>
      <c r="G8">
        <v>-238.42082138486666</v>
      </c>
      <c r="H8">
        <v>-207.49201270560044</v>
      </c>
      <c r="I8">
        <v>30.7092376302102</v>
      </c>
      <c r="J8">
        <v>18.289100783384001</v>
      </c>
      <c r="K8">
        <v>5.7376854535364901</v>
      </c>
      <c r="L8">
        <v>3.283787756251064E-5</v>
      </c>
      <c r="M8">
        <v>1.8132598113981356E-6</v>
      </c>
      <c r="N8" s="1">
        <v>-4.6340502754093801E-7</v>
      </c>
      <c r="O8" s="1">
        <v>4.8761008044014903E-11</v>
      </c>
      <c r="P8" s="1">
        <v>1.4587019061633601E-9</v>
      </c>
      <c r="Q8">
        <v>65.251198157556601</v>
      </c>
      <c r="S8">
        <v>21.3471913840194</v>
      </c>
      <c r="AA8">
        <v>2.3861764205290998</v>
      </c>
      <c r="AB8">
        <v>9.0381568587662606</v>
      </c>
      <c r="AC8">
        <v>1.97727717912852</v>
      </c>
      <c r="AJ8">
        <v>0.77529760333431497</v>
      </c>
      <c r="AK8">
        <v>0.11311023567586501</v>
      </c>
      <c r="AL8">
        <v>0.111592160989819</v>
      </c>
    </row>
    <row r="9" spans="1:38" x14ac:dyDescent="0.2">
      <c r="A9">
        <v>31</v>
      </c>
      <c r="B9">
        <v>733</v>
      </c>
      <c r="C9">
        <v>300</v>
      </c>
      <c r="D9">
        <v>0.257009889181535</v>
      </c>
      <c r="E9">
        <v>35.600128432895403</v>
      </c>
      <c r="F9">
        <v>2.52724749337726</v>
      </c>
      <c r="G9">
        <v>-559.28088946168452</v>
      </c>
      <c r="H9">
        <v>-486.17691461434765</v>
      </c>
      <c r="I9">
        <v>72.657133476456593</v>
      </c>
      <c r="J9">
        <v>42.525654567133699</v>
      </c>
      <c r="K9">
        <v>14.0865224028064</v>
      </c>
      <c r="L9">
        <v>2.9026444735191341E-5</v>
      </c>
      <c r="M9">
        <v>1.792043344034973E-6</v>
      </c>
      <c r="N9" s="1">
        <v>-5.1250650248350201E-7</v>
      </c>
      <c r="O9" s="1">
        <v>1.3271878428211499E-10</v>
      </c>
      <c r="P9" s="1">
        <v>1.75739873892961E-9</v>
      </c>
      <c r="Q9">
        <v>65.983249973280707</v>
      </c>
      <c r="S9">
        <v>18.9533707527419</v>
      </c>
      <c r="AA9">
        <v>0.24043560555271701</v>
      </c>
      <c r="AB9">
        <v>4.3937830762501902</v>
      </c>
      <c r="AC9">
        <v>10.4291605921743</v>
      </c>
      <c r="AJ9">
        <v>0.38581649027390502</v>
      </c>
      <c r="AK9">
        <v>1.1666799822077601E-2</v>
      </c>
      <c r="AL9">
        <v>0.60251670990401696</v>
      </c>
    </row>
    <row r="10" spans="1:38" x14ac:dyDescent="0.2">
      <c r="A10">
        <v>31</v>
      </c>
      <c r="B10">
        <v>733</v>
      </c>
      <c r="C10">
        <v>300</v>
      </c>
      <c r="D10">
        <v>0.257009889181535</v>
      </c>
      <c r="E10">
        <v>15.893959425742</v>
      </c>
      <c r="F10">
        <v>2.5774806300038602</v>
      </c>
      <c r="G10">
        <v>-256.29916940411823</v>
      </c>
      <c r="H10">
        <v>-223.10541030155233</v>
      </c>
      <c r="I10">
        <v>32.990865281087203</v>
      </c>
      <c r="J10">
        <v>19.675763972432101</v>
      </c>
      <c r="K10">
        <v>6.1664709486946796</v>
      </c>
      <c r="L10">
        <v>3.2901428434171233E-5</v>
      </c>
      <c r="M10">
        <v>1.8125226478592227E-6</v>
      </c>
      <c r="N10" s="1">
        <v>-5.1409678176582996E-7</v>
      </c>
      <c r="O10" s="1">
        <v>5.2229674607381802E-11</v>
      </c>
      <c r="P10" s="1">
        <v>1.61310379113612E-9</v>
      </c>
      <c r="Q10">
        <v>65.200350424161897</v>
      </c>
      <c r="S10">
        <v>21.3885894420604</v>
      </c>
      <c r="AA10">
        <v>2.4321948657497301</v>
      </c>
      <c r="AB10">
        <v>9.0333758025119604</v>
      </c>
      <c r="AC10">
        <v>1.9454894655158701</v>
      </c>
      <c r="AJ10">
        <v>0.77490511403352702</v>
      </c>
      <c r="AK10">
        <v>0.115294238925104</v>
      </c>
      <c r="AL10">
        <v>0.10980064704136699</v>
      </c>
    </row>
    <row r="11" spans="1:38" x14ac:dyDescent="0.2">
      <c r="A11">
        <v>55</v>
      </c>
      <c r="B11">
        <v>740</v>
      </c>
      <c r="C11">
        <v>280</v>
      </c>
      <c r="D11">
        <v>0.28434141045255101</v>
      </c>
      <c r="E11">
        <v>0.71384751942802205</v>
      </c>
      <c r="F11">
        <v>2.5259707666165201</v>
      </c>
      <c r="G11">
        <v>-11.237517411002067</v>
      </c>
      <c r="H11">
        <v>-9.7540974625858841</v>
      </c>
      <c r="I11">
        <v>1.46416616336789</v>
      </c>
      <c r="J11">
        <v>0.85155347985363505</v>
      </c>
      <c r="K11">
        <v>0.28260323866859399</v>
      </c>
      <c r="L11">
        <v>2.8893457513525938E-5</v>
      </c>
      <c r="M11">
        <v>1.7939266394304669E-6</v>
      </c>
      <c r="N11" s="1">
        <v>-8.1877121687754799E-9</v>
      </c>
      <c r="O11" s="1">
        <v>2.6760882112107198E-12</v>
      </c>
      <c r="P11" s="1">
        <v>2.9328125689912401E-11</v>
      </c>
      <c r="Q11">
        <v>66.036370071009998</v>
      </c>
      <c r="S11">
        <v>18.964308444746202</v>
      </c>
      <c r="AA11">
        <v>0.23706446484236399</v>
      </c>
      <c r="AB11">
        <v>4.5408329474402702</v>
      </c>
      <c r="AC11">
        <v>10.221424071961</v>
      </c>
      <c r="AJ11">
        <v>0.39843109970863999</v>
      </c>
      <c r="AK11">
        <v>1.1494628907823001E-2</v>
      </c>
      <c r="AL11">
        <v>0.59007427138353596</v>
      </c>
    </row>
    <row r="12" spans="1:38" x14ac:dyDescent="0.2">
      <c r="A12">
        <v>56</v>
      </c>
      <c r="B12">
        <v>739</v>
      </c>
      <c r="C12">
        <v>280</v>
      </c>
      <c r="D12">
        <v>0.28356518302623301</v>
      </c>
      <c r="E12">
        <v>8.4480918246280101</v>
      </c>
      <c r="F12">
        <v>2.5264600448351899</v>
      </c>
      <c r="G12">
        <v>-133.05398337030121</v>
      </c>
      <c r="H12">
        <v>-115.51289330778972</v>
      </c>
      <c r="I12">
        <v>17.3305241935597</v>
      </c>
      <c r="J12">
        <v>10.090056060561301</v>
      </c>
      <c r="K12">
        <v>3.3438454100623201</v>
      </c>
      <c r="L12">
        <v>2.9032875063999149E-5</v>
      </c>
      <c r="M12">
        <v>1.7953221920859904E-6</v>
      </c>
      <c r="N12" s="1">
        <v>-1.03875189056199E-7</v>
      </c>
      <c r="O12" s="1">
        <v>3.1576552703653301E-11</v>
      </c>
      <c r="P12" s="1">
        <v>3.6718105694927899E-10</v>
      </c>
      <c r="Q12">
        <v>66.063849717622901</v>
      </c>
      <c r="S12">
        <v>18.990136355485799</v>
      </c>
      <c r="AA12">
        <v>0.25196075579292398</v>
      </c>
      <c r="AB12">
        <v>4.66978109237869</v>
      </c>
      <c r="AC12">
        <v>10.0242720787195</v>
      </c>
      <c r="AJ12">
        <v>0.40947720451812297</v>
      </c>
      <c r="AK12">
        <v>1.2208910218545799E-2</v>
      </c>
      <c r="AL12">
        <v>0.57831388526333005</v>
      </c>
    </row>
    <row r="13" spans="1:38" x14ac:dyDescent="0.2">
      <c r="A13">
        <v>56</v>
      </c>
      <c r="B13">
        <v>739</v>
      </c>
      <c r="C13">
        <v>280</v>
      </c>
      <c r="D13">
        <v>0.28356518302623301</v>
      </c>
      <c r="E13">
        <v>3.64544599071482</v>
      </c>
      <c r="F13">
        <v>2.5725867857868399</v>
      </c>
      <c r="G13">
        <v>-58.818047631042823</v>
      </c>
      <c r="H13">
        <v>-51.128483996693504</v>
      </c>
      <c r="I13">
        <v>7.59725696225789</v>
      </c>
      <c r="J13">
        <v>4.4916937935430097</v>
      </c>
      <c r="K13">
        <v>1.41703518452918</v>
      </c>
      <c r="L13">
        <v>3.2484530706471969E-5</v>
      </c>
      <c r="M13">
        <v>1.8176976564182746E-6</v>
      </c>
      <c r="N13" s="1">
        <v>-9.5704312173653601E-8</v>
      </c>
      <c r="O13" s="1">
        <v>1.2241836285280801E-11</v>
      </c>
      <c r="P13" s="1">
        <v>3.0699768729838901E-10</v>
      </c>
      <c r="Q13">
        <v>65.491609176475194</v>
      </c>
      <c r="S13">
        <v>21.146644459447</v>
      </c>
      <c r="AA13">
        <v>2.1646265296851199</v>
      </c>
      <c r="AB13">
        <v>9.048140088457</v>
      </c>
      <c r="AC13">
        <v>2.14897974593557</v>
      </c>
      <c r="AJ13">
        <v>0.77611918365198795</v>
      </c>
      <c r="AK13">
        <v>0.102603663910349</v>
      </c>
      <c r="AL13">
        <v>0.121277152437661</v>
      </c>
    </row>
    <row r="14" spans="1:38" x14ac:dyDescent="0.2">
      <c r="A14">
        <v>57</v>
      </c>
      <c r="B14">
        <v>738</v>
      </c>
      <c r="C14">
        <v>280</v>
      </c>
      <c r="D14">
        <v>0.28278742026405701</v>
      </c>
      <c r="E14">
        <v>20.719645261933099</v>
      </c>
      <c r="F14">
        <v>2.5265548052228</v>
      </c>
      <c r="G14">
        <v>-326.3598501675711</v>
      </c>
      <c r="H14">
        <v>-283.3931785563293</v>
      </c>
      <c r="I14">
        <v>42.492876043358301</v>
      </c>
      <c r="J14">
        <v>24.764699680665402</v>
      </c>
      <c r="K14">
        <v>8.2007503732363904</v>
      </c>
      <c r="L14">
        <v>2.9117992357899473E-5</v>
      </c>
      <c r="M14">
        <v>1.7962661523334954E-6</v>
      </c>
      <c r="N14" s="1">
        <v>-2.6780006727672999E-7</v>
      </c>
      <c r="O14" s="1">
        <v>7.7317161381610696E-11</v>
      </c>
      <c r="P14" s="1">
        <v>9.3786775636744806E-10</v>
      </c>
      <c r="Q14">
        <v>66.088349516914903</v>
      </c>
      <c r="S14">
        <v>18.991213098655599</v>
      </c>
      <c r="AA14">
        <v>0.247132386701854</v>
      </c>
      <c r="AB14">
        <v>4.7272004036798796</v>
      </c>
      <c r="AC14">
        <v>9.9461045940476698</v>
      </c>
      <c r="AJ14">
        <v>0.41439137388090402</v>
      </c>
      <c r="AK14">
        <v>1.1971460753452901E-2</v>
      </c>
      <c r="AL14">
        <v>0.57363716536564202</v>
      </c>
    </row>
    <row r="15" spans="1:38" x14ac:dyDescent="0.2">
      <c r="A15">
        <v>57</v>
      </c>
      <c r="B15">
        <v>738</v>
      </c>
      <c r="C15">
        <v>280</v>
      </c>
      <c r="D15">
        <v>0.28278742026405701</v>
      </c>
      <c r="E15">
        <v>10.884865195330899</v>
      </c>
      <c r="F15">
        <v>2.57142530228748</v>
      </c>
      <c r="G15">
        <v>-175.56767002208611</v>
      </c>
      <c r="H15">
        <v>-152.64006980927144</v>
      </c>
      <c r="I15">
        <v>22.6747764553376</v>
      </c>
      <c r="J15">
        <v>13.422655093823399</v>
      </c>
      <c r="K15">
        <v>4.2330085130795103</v>
      </c>
      <c r="L15">
        <v>3.2610388575924368E-5</v>
      </c>
      <c r="M15">
        <v>1.8205248732515206E-6</v>
      </c>
      <c r="N15" s="1">
        <v>-2.9595647415296301E-7</v>
      </c>
      <c r="O15" s="1">
        <v>3.6557568102662503E-11</v>
      </c>
      <c r="P15" s="1">
        <v>9.4558311367843905E-10</v>
      </c>
      <c r="Q15">
        <v>65.610505189789194</v>
      </c>
      <c r="S15">
        <v>21.0548273656023</v>
      </c>
      <c r="AA15">
        <v>2.0611337278372601</v>
      </c>
      <c r="AB15">
        <v>9.0723830306272593</v>
      </c>
      <c r="AC15">
        <v>2.2011506861438801</v>
      </c>
      <c r="AJ15">
        <v>0.77810672372133505</v>
      </c>
      <c r="AK15">
        <v>9.7686545280471895E-2</v>
      </c>
      <c r="AL15">
        <v>0.124206730998192</v>
      </c>
    </row>
    <row r="16" spans="1:38" x14ac:dyDescent="0.2">
      <c r="A16">
        <v>58</v>
      </c>
      <c r="B16">
        <v>737</v>
      </c>
      <c r="C16">
        <v>280</v>
      </c>
      <c r="D16">
        <v>0.28200811760629901</v>
      </c>
      <c r="E16">
        <v>33.232603535550403</v>
      </c>
      <c r="F16">
        <v>2.5266607789000601</v>
      </c>
      <c r="G16">
        <v>-523.52125492218795</v>
      </c>
      <c r="H16">
        <v>-454.69149572739241</v>
      </c>
      <c r="I16">
        <v>68.138156902237895</v>
      </c>
      <c r="J16">
        <v>39.751978402908399</v>
      </c>
      <c r="K16">
        <v>13.1527761118837</v>
      </c>
      <c r="L16">
        <v>2.9210508027058104E-5</v>
      </c>
      <c r="M16">
        <v>1.797293507475444E-6</v>
      </c>
      <c r="N16" s="1">
        <v>-4.51950590044477E-7</v>
      </c>
      <c r="O16" s="1">
        <v>1.23790771350735E-10</v>
      </c>
      <c r="P16" s="1">
        <v>1.5684173201613301E-9</v>
      </c>
      <c r="Q16">
        <v>66.115038145828294</v>
      </c>
      <c r="S16">
        <v>18.992613883720601</v>
      </c>
      <c r="AA16">
        <v>0.24206062202336301</v>
      </c>
      <c r="AB16">
        <v>4.7903469223886201</v>
      </c>
      <c r="AC16">
        <v>9.8599404260390298</v>
      </c>
      <c r="AJ16">
        <v>0.41979239369963101</v>
      </c>
      <c r="AK16">
        <v>1.17220220472518E-2</v>
      </c>
      <c r="AL16">
        <v>0.56848558425311602</v>
      </c>
    </row>
    <row r="17" spans="1:38" x14ac:dyDescent="0.2">
      <c r="A17">
        <v>58</v>
      </c>
      <c r="B17">
        <v>737</v>
      </c>
      <c r="C17">
        <v>280</v>
      </c>
      <c r="D17">
        <v>0.28200811760629901</v>
      </c>
      <c r="E17">
        <v>18.585783872383299</v>
      </c>
      <c r="F17">
        <v>2.5701777218899702</v>
      </c>
      <c r="G17">
        <v>-299.67779223222095</v>
      </c>
      <c r="H17">
        <v>-260.58474131840757</v>
      </c>
      <c r="I17">
        <v>38.7002434428681</v>
      </c>
      <c r="J17">
        <v>22.9382105802332</v>
      </c>
      <c r="K17">
        <v>7.2313224545095904</v>
      </c>
      <c r="L17">
        <v>3.2738906275409967E-5</v>
      </c>
      <c r="M17">
        <v>1.8234391463682168E-6</v>
      </c>
      <c r="N17" s="1">
        <v>-5.2327920628605996E-7</v>
      </c>
      <c r="O17" s="1">
        <v>6.2434820351985902E-11</v>
      </c>
      <c r="P17" s="1">
        <v>1.6654076833167901E-9</v>
      </c>
      <c r="Q17">
        <v>65.734516168209097</v>
      </c>
      <c r="S17">
        <v>20.9580955912392</v>
      </c>
      <c r="AA17">
        <v>1.95239275705791</v>
      </c>
      <c r="AB17">
        <v>9.0951399243515905</v>
      </c>
      <c r="AC17">
        <v>2.2598555591420499</v>
      </c>
      <c r="AJ17">
        <v>0.77997219780754401</v>
      </c>
      <c r="AK17">
        <v>9.2522575995891906E-2</v>
      </c>
      <c r="AL17">
        <v>0.12750522619656299</v>
      </c>
    </row>
    <row r="18" spans="1:38" x14ac:dyDescent="0.2">
      <c r="A18">
        <v>59</v>
      </c>
      <c r="B18">
        <v>736</v>
      </c>
      <c r="C18">
        <v>280</v>
      </c>
      <c r="D18">
        <v>0.281227270475152</v>
      </c>
      <c r="E18">
        <v>36.021430406123599</v>
      </c>
      <c r="F18">
        <v>2.5266942477544401</v>
      </c>
      <c r="G18">
        <v>-567.38510318535157</v>
      </c>
      <c r="H18">
        <v>-492.89502295296393</v>
      </c>
      <c r="I18">
        <v>73.814675947468203</v>
      </c>
      <c r="J18">
        <v>43.104036586287897</v>
      </c>
      <c r="K18">
        <v>14.256347177002899</v>
      </c>
      <c r="L18">
        <v>2.9250926968905134E-5</v>
      </c>
      <c r="M18">
        <v>1.7975762309032329E-6</v>
      </c>
      <c r="N18" s="1">
        <v>-5.0775626357191801E-7</v>
      </c>
      <c r="O18" s="1">
        <v>1.34038980304432E-10</v>
      </c>
      <c r="P18" s="1">
        <v>1.7507995354344099E-9</v>
      </c>
      <c r="Q18">
        <v>66.119754666329499</v>
      </c>
      <c r="S18">
        <v>18.990129431864101</v>
      </c>
      <c r="AA18">
        <v>0.23891038822302199</v>
      </c>
      <c r="AB18">
        <v>4.7943441218934097</v>
      </c>
      <c r="AC18">
        <v>9.8568613916897991</v>
      </c>
      <c r="AJ18">
        <v>0.42013419002187602</v>
      </c>
      <c r="AK18">
        <v>1.15692351040237E-2</v>
      </c>
      <c r="AL18">
        <v>0.56829657487409901</v>
      </c>
    </row>
    <row r="19" spans="1:38" x14ac:dyDescent="0.2">
      <c r="A19">
        <v>59</v>
      </c>
      <c r="B19">
        <v>736</v>
      </c>
      <c r="C19">
        <v>280</v>
      </c>
      <c r="D19">
        <v>0.281227270475152</v>
      </c>
      <c r="E19">
        <v>20.399588253671801</v>
      </c>
      <c r="F19">
        <v>2.5699991737944901</v>
      </c>
      <c r="G19">
        <v>-328.87341994671857</v>
      </c>
      <c r="H19">
        <v>-286.03112341040361</v>
      </c>
      <c r="I19">
        <v>42.4538438649505</v>
      </c>
      <c r="J19">
        <v>25.1964169282674</v>
      </c>
      <c r="K19">
        <v>7.9375855298633304</v>
      </c>
      <c r="L19">
        <v>3.2831395782532274E-5</v>
      </c>
      <c r="M19">
        <v>1.8243963472607233E-6</v>
      </c>
      <c r="N19" s="1">
        <v>-5.9382447196993899E-7</v>
      </c>
      <c r="O19" s="1">
        <v>6.8405015667803004E-11</v>
      </c>
      <c r="P19" s="1">
        <v>1.8831273812204299E-9</v>
      </c>
      <c r="Q19">
        <v>65.763783741680498</v>
      </c>
      <c r="S19">
        <v>20.937235083664898</v>
      </c>
      <c r="AA19">
        <v>1.9283534365583801</v>
      </c>
      <c r="AB19">
        <v>9.1056726099107301</v>
      </c>
      <c r="AC19">
        <v>2.2649551281854401</v>
      </c>
      <c r="AJ19">
        <v>0.78083502444296404</v>
      </c>
      <c r="AK19">
        <v>9.1378637976904195E-2</v>
      </c>
      <c r="AL19">
        <v>0.12778633758013</v>
      </c>
    </row>
    <row r="20" spans="1:38" x14ac:dyDescent="0.2">
      <c r="A20">
        <v>81</v>
      </c>
      <c r="B20">
        <v>742</v>
      </c>
      <c r="C20">
        <v>260</v>
      </c>
      <c r="D20">
        <v>0.30756095158350699</v>
      </c>
      <c r="E20">
        <v>9.6207699137561509</v>
      </c>
      <c r="F20">
        <v>2.52571796358923</v>
      </c>
      <c r="G20">
        <v>-151.76185070946201</v>
      </c>
      <c r="H20">
        <v>-131.67327851044112</v>
      </c>
      <c r="I20">
        <v>19.788772298695601</v>
      </c>
      <c r="J20">
        <v>11.490731278017</v>
      </c>
      <c r="K20">
        <v>3.8091228127800498</v>
      </c>
      <c r="L20">
        <v>2.9038929636362521E-5</v>
      </c>
      <c r="M20">
        <v>1.7977399911359745E-6</v>
      </c>
      <c r="N20" s="1">
        <v>-1.0848709973237501E-7</v>
      </c>
      <c r="O20" s="1">
        <v>3.6000003316839301E-11</v>
      </c>
      <c r="P20" s="1">
        <v>3.9039651517134798E-10</v>
      </c>
      <c r="Q20">
        <v>66.1058907429844</v>
      </c>
      <c r="S20">
        <v>19.012340658062101</v>
      </c>
      <c r="AA20">
        <v>0.260469834241709</v>
      </c>
      <c r="AB20">
        <v>4.8216787292068704</v>
      </c>
      <c r="AC20">
        <v>9.7996200355048799</v>
      </c>
      <c r="AJ20">
        <v>0.42247077434258101</v>
      </c>
      <c r="AK20">
        <v>1.2611496536730901E-2</v>
      </c>
      <c r="AL20">
        <v>0.56491772912068705</v>
      </c>
    </row>
    <row r="21" spans="1:38" x14ac:dyDescent="0.2">
      <c r="A21">
        <v>81</v>
      </c>
      <c r="B21">
        <v>742</v>
      </c>
      <c r="C21">
        <v>260</v>
      </c>
      <c r="D21">
        <v>0.30756095158350699</v>
      </c>
      <c r="E21">
        <v>5.3482879929596798</v>
      </c>
      <c r="F21">
        <v>2.5698549222508298</v>
      </c>
      <c r="G21">
        <v>-86.338012509219311</v>
      </c>
      <c r="H21">
        <v>-75.000569703951925</v>
      </c>
      <c r="I21">
        <v>11.1682439100304</v>
      </c>
      <c r="J21">
        <v>6.5748675088817903</v>
      </c>
      <c r="K21">
        <v>2.0811633943426302</v>
      </c>
      <c r="L21">
        <v>3.2266236963946064E-5</v>
      </c>
      <c r="M21">
        <v>1.8202403396746048E-6</v>
      </c>
      <c r="N21" s="1">
        <v>-1.2518292645913099E-7</v>
      </c>
      <c r="O21" s="1">
        <v>1.81378995528591E-11</v>
      </c>
      <c r="P21" s="1">
        <v>4.06943039258712E-10</v>
      </c>
      <c r="Q21">
        <v>65.6094448796714</v>
      </c>
      <c r="S21">
        <v>21.043793863693299</v>
      </c>
      <c r="AA21">
        <v>2.0522783846589299</v>
      </c>
      <c r="AB21">
        <v>9.0410944266737303</v>
      </c>
      <c r="AC21">
        <v>2.2533884453025501</v>
      </c>
      <c r="AJ21">
        <v>0.77554383156949003</v>
      </c>
      <c r="AK21">
        <v>9.7281980647455801E-2</v>
      </c>
      <c r="AL21">
        <v>0.12717418778305301</v>
      </c>
    </row>
    <row r="22" spans="1:38" x14ac:dyDescent="0.2">
      <c r="A22">
        <v>82</v>
      </c>
      <c r="B22">
        <v>741</v>
      </c>
      <c r="C22">
        <v>260</v>
      </c>
      <c r="D22">
        <v>0.30680915052014102</v>
      </c>
      <c r="E22">
        <v>24.155356838029501</v>
      </c>
      <c r="F22">
        <v>2.5257940225018798</v>
      </c>
      <c r="G22">
        <v>-381.03976510095629</v>
      </c>
      <c r="H22">
        <v>-330.67188397243751</v>
      </c>
      <c r="I22">
        <v>49.665119684976297</v>
      </c>
      <c r="J22">
        <v>28.865501549352501</v>
      </c>
      <c r="K22">
        <v>9.5634705850252892</v>
      </c>
      <c r="L22">
        <v>2.9100363406866888E-5</v>
      </c>
      <c r="M22">
        <v>1.7983961468752169E-6</v>
      </c>
      <c r="N22" s="1">
        <v>-2.8465279606472399E-7</v>
      </c>
      <c r="O22" s="1">
        <v>9.0273855556391405E-11</v>
      </c>
      <c r="P22" s="1">
        <v>1.01533850676927E-9</v>
      </c>
      <c r="Q22">
        <v>66.122063911876296</v>
      </c>
      <c r="S22">
        <v>19.011982455142</v>
      </c>
      <c r="AA22">
        <v>0.25640052530542501</v>
      </c>
      <c r="AB22">
        <v>4.8567806933875204</v>
      </c>
      <c r="AC22">
        <v>9.7527724142885805</v>
      </c>
      <c r="AJ22">
        <v>0.42547066130655598</v>
      </c>
      <c r="AK22">
        <v>1.2412258902428801E-2</v>
      </c>
      <c r="AL22">
        <v>0.562117079791014</v>
      </c>
    </row>
    <row r="23" spans="1:38" x14ac:dyDescent="0.2">
      <c r="A23">
        <v>82</v>
      </c>
      <c r="B23">
        <v>741</v>
      </c>
      <c r="C23">
        <v>260</v>
      </c>
      <c r="D23">
        <v>0.30680915052014102</v>
      </c>
      <c r="E23">
        <v>13.234489569502699</v>
      </c>
      <c r="F23">
        <v>2.5691282162175</v>
      </c>
      <c r="G23">
        <v>-213.59235398743962</v>
      </c>
      <c r="H23">
        <v>-185.57867856870106</v>
      </c>
      <c r="I23">
        <v>27.622812620163199</v>
      </c>
      <c r="J23">
        <v>16.280781492564198</v>
      </c>
      <c r="K23">
        <v>5.1513542554866003</v>
      </c>
      <c r="L23">
        <v>3.2364551686075421E-5</v>
      </c>
      <c r="M23">
        <v>1.8221450185450851E-6</v>
      </c>
      <c r="N23" s="1">
        <v>-3.2045675931467501E-7</v>
      </c>
      <c r="O23" s="1">
        <v>4.4864073129948801E-11</v>
      </c>
      <c r="P23" s="1">
        <v>1.0374022223089199E-9</v>
      </c>
      <c r="Q23">
        <v>65.686484022634602</v>
      </c>
      <c r="S23">
        <v>20.984429188541998</v>
      </c>
      <c r="AA23">
        <v>1.9853258889954899</v>
      </c>
      <c r="AB23">
        <v>9.0571398122498206</v>
      </c>
      <c r="AC23">
        <v>2.2866210875780402</v>
      </c>
      <c r="AJ23">
        <v>0.77685942188555801</v>
      </c>
      <c r="AK23">
        <v>9.4100939985336404E-2</v>
      </c>
      <c r="AL23">
        <v>0.12903963812910499</v>
      </c>
    </row>
    <row r="24" spans="1:38" x14ac:dyDescent="0.2">
      <c r="A24">
        <v>83</v>
      </c>
      <c r="B24">
        <v>740</v>
      </c>
      <c r="C24">
        <v>260</v>
      </c>
      <c r="D24">
        <v>0.30605586537038199</v>
      </c>
      <c r="E24">
        <v>34.332374130138099</v>
      </c>
      <c r="F24">
        <v>2.5258509986513298</v>
      </c>
      <c r="G24">
        <v>-541.55026891728846</v>
      </c>
      <c r="H24">
        <v>-470.06578465003685</v>
      </c>
      <c r="I24">
        <v>70.556664133891005</v>
      </c>
      <c r="J24">
        <v>41.045091665949997</v>
      </c>
      <c r="K24">
        <v>13.592398818643501</v>
      </c>
      <c r="L24">
        <v>2.9150952053778767E-5</v>
      </c>
      <c r="M24">
        <v>1.798880467234031E-6</v>
      </c>
      <c r="N24" s="1">
        <v>-4.2122110296440502E-7</v>
      </c>
      <c r="O24" s="1">
        <v>1.28163901938167E-10</v>
      </c>
      <c r="P24" s="1">
        <v>1.4906680680554099E-9</v>
      </c>
      <c r="Q24">
        <v>66.133079755523994</v>
      </c>
      <c r="S24">
        <v>19.0106248191798</v>
      </c>
      <c r="AA24">
        <v>0.25271006521655798</v>
      </c>
      <c r="AB24">
        <v>4.8777696911308004</v>
      </c>
      <c r="AC24">
        <v>9.7258156689486892</v>
      </c>
      <c r="AJ24">
        <v>0.42726392661243201</v>
      </c>
      <c r="AK24">
        <v>1.2232304028795601E-2</v>
      </c>
      <c r="AL24">
        <v>0.560503769358771</v>
      </c>
    </row>
    <row r="25" spans="1:38" x14ac:dyDescent="0.2">
      <c r="A25">
        <v>83</v>
      </c>
      <c r="B25">
        <v>740</v>
      </c>
      <c r="C25">
        <v>260</v>
      </c>
      <c r="D25">
        <v>0.30605586537038199</v>
      </c>
      <c r="E25">
        <v>18.903403979356899</v>
      </c>
      <c r="F25">
        <v>2.5686550878264298</v>
      </c>
      <c r="G25">
        <v>-305.02035670879786</v>
      </c>
      <c r="H25">
        <v>-265.0670982977594</v>
      </c>
      <c r="I25">
        <v>39.434692208496699</v>
      </c>
      <c r="J25">
        <v>23.2704798713219</v>
      </c>
      <c r="K25">
        <v>7.35926129940351</v>
      </c>
      <c r="L25">
        <v>3.2455731151990975E-5</v>
      </c>
      <c r="M25">
        <v>1.8235828402154915E-6</v>
      </c>
      <c r="N25" s="1">
        <v>-4.7334326776600601E-7</v>
      </c>
      <c r="O25" s="1">
        <v>6.4021190989018697E-11</v>
      </c>
      <c r="P25" s="1">
        <v>1.5261862083306101E-9</v>
      </c>
      <c r="Q25">
        <v>65.740837695633502</v>
      </c>
      <c r="S25">
        <v>20.943167779400699</v>
      </c>
      <c r="AA25">
        <v>1.9386021174388699</v>
      </c>
      <c r="AB25">
        <v>9.0700919097871999</v>
      </c>
      <c r="AC25">
        <v>2.3073004977397198</v>
      </c>
      <c r="AJ25">
        <v>0.77792111560049404</v>
      </c>
      <c r="AK25">
        <v>9.1880498997043605E-2</v>
      </c>
      <c r="AL25">
        <v>0.13019838540246101</v>
      </c>
    </row>
    <row r="26" spans="1:38" x14ac:dyDescent="0.2">
      <c r="A26">
        <v>84</v>
      </c>
      <c r="B26">
        <v>739</v>
      </c>
      <c r="C26">
        <v>260</v>
      </c>
      <c r="D26">
        <v>0.30530109173541498</v>
      </c>
      <c r="E26">
        <v>36.620468419328901</v>
      </c>
      <c r="F26">
        <v>2.5258703362639698</v>
      </c>
      <c r="G26">
        <v>-577.54845729419469</v>
      </c>
      <c r="H26">
        <v>-501.42144555158688</v>
      </c>
      <c r="I26">
        <v>75.213171706375405</v>
      </c>
      <c r="J26">
        <v>43.792290886942403</v>
      </c>
      <c r="K26">
        <v>14.4981584737617</v>
      </c>
      <c r="L26">
        <v>2.9179446371296746E-5</v>
      </c>
      <c r="M26">
        <v>1.7990349869621686E-6</v>
      </c>
      <c r="N26" s="1">
        <v>-4.6466172561832398E-7</v>
      </c>
      <c r="O26" s="1">
        <v>1.3659257972559801E-10</v>
      </c>
      <c r="P26" s="1">
        <v>1.63371977789135E-9</v>
      </c>
      <c r="Q26">
        <v>66.134380854062996</v>
      </c>
      <c r="S26">
        <v>19.007448096083301</v>
      </c>
      <c r="AA26">
        <v>0.24978564257797201</v>
      </c>
      <c r="AB26">
        <v>4.87234092686308</v>
      </c>
      <c r="AC26">
        <v>9.7360444804125397</v>
      </c>
      <c r="AJ26">
        <v>0.42680017479371202</v>
      </c>
      <c r="AK26">
        <v>1.2091082426154901E-2</v>
      </c>
      <c r="AL26">
        <v>0.56110874278013201</v>
      </c>
    </row>
    <row r="27" spans="1:38" x14ac:dyDescent="0.2">
      <c r="A27">
        <v>84</v>
      </c>
      <c r="B27">
        <v>739</v>
      </c>
      <c r="C27">
        <v>260</v>
      </c>
      <c r="D27">
        <v>0.30530109173541498</v>
      </c>
      <c r="E27">
        <v>20.259769775457599</v>
      </c>
      <c r="F27">
        <v>2.56864711259239</v>
      </c>
      <c r="G27">
        <v>-326.86638951526237</v>
      </c>
      <c r="H27">
        <v>-284.11255686136758</v>
      </c>
      <c r="I27">
        <v>42.240609251489197</v>
      </c>
      <c r="J27">
        <v>24.957178642248198</v>
      </c>
      <c r="K27">
        <v>7.8873309128907803</v>
      </c>
      <c r="L27">
        <v>3.2533766753525521E-5</v>
      </c>
      <c r="M27">
        <v>1.8242055497058365E-6</v>
      </c>
      <c r="N27" s="1">
        <v>-5.2435355904686305E-7</v>
      </c>
      <c r="O27" s="1">
        <v>6.8488536838296197E-11</v>
      </c>
      <c r="P27" s="1">
        <v>1.6841507548651801E-9</v>
      </c>
      <c r="Q27">
        <v>65.755070713493396</v>
      </c>
      <c r="S27">
        <v>20.934407019329299</v>
      </c>
      <c r="AA27">
        <v>1.9280533205372099</v>
      </c>
      <c r="AB27">
        <v>9.0788419554407191</v>
      </c>
      <c r="AC27">
        <v>2.3036269911992102</v>
      </c>
      <c r="AJ27">
        <v>0.77863793673908099</v>
      </c>
      <c r="AK27">
        <v>9.1376587295005002E-2</v>
      </c>
      <c r="AL27">
        <v>0.12998547596591301</v>
      </c>
    </row>
    <row r="28" spans="1:38" x14ac:dyDescent="0.2">
      <c r="A28">
        <v>101</v>
      </c>
      <c r="B28">
        <v>747</v>
      </c>
      <c r="C28">
        <v>240</v>
      </c>
      <c r="D28">
        <v>0.33286330441601902</v>
      </c>
      <c r="E28">
        <v>0.88336525739916105</v>
      </c>
      <c r="F28">
        <v>2.5688937887707102</v>
      </c>
      <c r="G28">
        <v>-14.279073436659635</v>
      </c>
      <c r="H28">
        <v>-12.391541469112846</v>
      </c>
      <c r="I28">
        <v>1.8502494413045001</v>
      </c>
      <c r="J28">
        <v>1.08303316286958</v>
      </c>
      <c r="K28">
        <v>0.34386990278094598</v>
      </c>
      <c r="L28">
        <v>3.1965198320523852E-5</v>
      </c>
      <c r="M28">
        <v>1.820385389762959E-6</v>
      </c>
      <c r="N28" s="1">
        <v>-1.7405904388145999E-8</v>
      </c>
      <c r="O28" s="1">
        <v>3.0213515995340299E-12</v>
      </c>
      <c r="P28" s="1">
        <v>5.7870427693123797E-11</v>
      </c>
      <c r="Q28">
        <v>65.607370977868598</v>
      </c>
      <c r="S28">
        <v>21.059282223265999</v>
      </c>
      <c r="AA28">
        <v>2.0655403565280901</v>
      </c>
      <c r="AB28">
        <v>9.0770775959482002</v>
      </c>
      <c r="AC28">
        <v>2.1907288463890602</v>
      </c>
      <c r="AJ28">
        <v>0.77849114178582002</v>
      </c>
      <c r="AK28">
        <v>9.7893104627461605E-2</v>
      </c>
      <c r="AL28">
        <v>0.123615753586717</v>
      </c>
    </row>
    <row r="29" spans="1:38" x14ac:dyDescent="0.2">
      <c r="A29">
        <v>102</v>
      </c>
      <c r="B29">
        <v>746</v>
      </c>
      <c r="C29">
        <v>240</v>
      </c>
      <c r="D29">
        <v>0.33214001864298798</v>
      </c>
      <c r="E29">
        <v>3.4067619219779699</v>
      </c>
      <c r="F29">
        <v>2.5671233543651102</v>
      </c>
      <c r="G29">
        <v>-55.030263554146785</v>
      </c>
      <c r="H29">
        <v>-47.76187760349351</v>
      </c>
      <c r="I29">
        <v>7.1318117555347902</v>
      </c>
      <c r="J29">
        <v>4.1771798403055103</v>
      </c>
      <c r="K29">
        <v>1.3270737131447601</v>
      </c>
      <c r="L29">
        <v>3.2001270820608378E-5</v>
      </c>
      <c r="M29">
        <v>1.8221026450517144E-6</v>
      </c>
      <c r="N29" s="1">
        <v>-6.8784539394682094E-8</v>
      </c>
      <c r="O29" s="1">
        <v>1.1675025179751999E-11</v>
      </c>
      <c r="P29" s="1">
        <v>2.2786129684333299E-10</v>
      </c>
      <c r="Q29">
        <v>65.707676302320195</v>
      </c>
      <c r="S29">
        <v>20.951773210080901</v>
      </c>
      <c r="AA29">
        <v>1.953439443647</v>
      </c>
      <c r="AB29">
        <v>9.0187537781421092</v>
      </c>
      <c r="AC29">
        <v>2.3683572658096801</v>
      </c>
      <c r="AJ29">
        <v>0.77371492636129602</v>
      </c>
      <c r="AK29">
        <v>9.2607292654266093E-2</v>
      </c>
      <c r="AL29">
        <v>0.133677780984436</v>
      </c>
    </row>
    <row r="30" spans="1:38" x14ac:dyDescent="0.2">
      <c r="A30">
        <v>102</v>
      </c>
      <c r="B30">
        <v>746</v>
      </c>
      <c r="C30">
        <v>240</v>
      </c>
      <c r="D30">
        <v>0.33214001864298798</v>
      </c>
      <c r="E30">
        <v>3.1569980602278598</v>
      </c>
      <c r="F30">
        <v>2.5250140330762898</v>
      </c>
      <c r="G30">
        <v>-49.887279189562641</v>
      </c>
      <c r="H30">
        <v>-43.247752502499274</v>
      </c>
      <c r="I30">
        <v>6.5147688633305796</v>
      </c>
      <c r="J30">
        <v>3.7701861091722999</v>
      </c>
      <c r="K30">
        <v>1.250289312801</v>
      </c>
      <c r="L30">
        <v>2.9030423692971405E-5</v>
      </c>
      <c r="M30">
        <v>1.8000772339411883E-6</v>
      </c>
      <c r="N30" s="1">
        <v>-3.1579363709411899E-8</v>
      </c>
      <c r="O30" s="1">
        <v>1.1831559597174E-11</v>
      </c>
      <c r="P30" s="1">
        <v>1.1667146150415501E-10</v>
      </c>
      <c r="Q30">
        <v>66.146807581838502</v>
      </c>
      <c r="S30">
        <v>19.039170333002701</v>
      </c>
      <c r="AA30">
        <v>0.273057205804005</v>
      </c>
      <c r="AB30">
        <v>4.9831971916726099</v>
      </c>
      <c r="AC30">
        <v>9.5577676876820696</v>
      </c>
      <c r="AJ30">
        <v>0.43626534027202701</v>
      </c>
      <c r="AK30">
        <v>1.32101293520089E-2</v>
      </c>
      <c r="AL30">
        <v>0.55052453037596305</v>
      </c>
    </row>
    <row r="31" spans="1:38" x14ac:dyDescent="0.2">
      <c r="A31">
        <v>103</v>
      </c>
      <c r="B31">
        <v>745</v>
      </c>
      <c r="C31">
        <v>240</v>
      </c>
      <c r="D31">
        <v>0.33141531208564601</v>
      </c>
      <c r="E31">
        <v>7.2463403480052602</v>
      </c>
      <c r="F31">
        <v>2.56730955449778</v>
      </c>
      <c r="G31">
        <v>-117.0418261716957</v>
      </c>
      <c r="H31">
        <v>-101.60559196909612</v>
      </c>
      <c r="I31">
        <v>15.161060946421999</v>
      </c>
      <c r="J31">
        <v>8.8898235324717003</v>
      </c>
      <c r="K31">
        <v>2.8225425077042501</v>
      </c>
      <c r="L31">
        <v>3.2060017976593177E-5</v>
      </c>
      <c r="M31">
        <v>1.822347568995735E-6</v>
      </c>
      <c r="N31" s="1">
        <v>-1.51148677841144E-7</v>
      </c>
      <c r="O31" s="1">
        <v>2.4789041999586299E-11</v>
      </c>
      <c r="P31" s="1">
        <v>4.9850947884367102E-10</v>
      </c>
      <c r="Q31">
        <v>65.705240249317001</v>
      </c>
      <c r="S31">
        <v>20.9566060659164</v>
      </c>
      <c r="AA31">
        <v>1.95799501886109</v>
      </c>
      <c r="AB31">
        <v>9.0259951245272401</v>
      </c>
      <c r="AC31">
        <v>2.3541635413781901</v>
      </c>
      <c r="AJ31">
        <v>0.774308237105088</v>
      </c>
      <c r="AK31">
        <v>9.2819913140468793E-2</v>
      </c>
      <c r="AL31">
        <v>0.132871849754442</v>
      </c>
    </row>
    <row r="32" spans="1:38" x14ac:dyDescent="0.2">
      <c r="A32">
        <v>103</v>
      </c>
      <c r="B32">
        <v>745</v>
      </c>
      <c r="C32">
        <v>240</v>
      </c>
      <c r="D32">
        <v>0.33141531208564601</v>
      </c>
      <c r="E32">
        <v>11.5739280474839</v>
      </c>
      <c r="F32">
        <v>2.5250117186228902</v>
      </c>
      <c r="G32">
        <v>-182.85432119216568</v>
      </c>
      <c r="H32">
        <v>-158.55292461388558</v>
      </c>
      <c r="I32">
        <v>23.8681889488583</v>
      </c>
      <c r="J32">
        <v>13.823788482138999</v>
      </c>
      <c r="K32">
        <v>4.5837126070037204</v>
      </c>
      <c r="L32">
        <v>2.9044078650000946E-5</v>
      </c>
      <c r="M32">
        <v>1.8000803621132219E-6</v>
      </c>
      <c r="N32" s="1">
        <v>-1.1941979458758799E-7</v>
      </c>
      <c r="O32" s="1">
        <v>4.33526981302566E-11</v>
      </c>
      <c r="P32" s="1">
        <v>4.3813703994515399E-10</v>
      </c>
      <c r="Q32">
        <v>66.144275096445099</v>
      </c>
      <c r="S32">
        <v>19.035037546937801</v>
      </c>
      <c r="AA32">
        <v>0.27023853582942198</v>
      </c>
      <c r="AB32">
        <v>4.9667190477920897</v>
      </c>
      <c r="AC32">
        <v>9.5837297729953903</v>
      </c>
      <c r="AJ32">
        <v>0.43485906556845499</v>
      </c>
      <c r="AK32">
        <v>1.30748586913927E-2</v>
      </c>
      <c r="AL32">
        <v>0.55206607574015099</v>
      </c>
    </row>
    <row r="33" spans="1:38" x14ac:dyDescent="0.2">
      <c r="A33">
        <v>104</v>
      </c>
      <c r="B33">
        <v>744</v>
      </c>
      <c r="C33">
        <v>240</v>
      </c>
      <c r="D33">
        <v>0.33068918055350899</v>
      </c>
      <c r="E33">
        <v>15.901903110182699</v>
      </c>
      <c r="F33">
        <v>2.5671621921313799</v>
      </c>
      <c r="G33">
        <v>-256.80715602083933</v>
      </c>
      <c r="H33">
        <v>-222.98426526854095</v>
      </c>
      <c r="I33">
        <v>33.252608516244699</v>
      </c>
      <c r="J33">
        <v>19.5195876640013</v>
      </c>
      <c r="K33">
        <v>6.1943507733651098</v>
      </c>
      <c r="L33">
        <v>3.2130866045765625E-5</v>
      </c>
      <c r="M33">
        <v>1.8231711700999334E-6</v>
      </c>
      <c r="N33" s="1">
        <v>-3.4279694911630898E-7</v>
      </c>
      <c r="O33" s="1">
        <v>5.4331281819729199E-11</v>
      </c>
      <c r="P33" s="1">
        <v>1.1256678270418E-9</v>
      </c>
      <c r="Q33">
        <v>65.731052352008007</v>
      </c>
      <c r="S33">
        <v>20.9383523594834</v>
      </c>
      <c r="AA33">
        <v>1.93691262286194</v>
      </c>
      <c r="AB33">
        <v>9.0356615468265105</v>
      </c>
      <c r="AC33">
        <v>2.3580211188201101</v>
      </c>
      <c r="AJ33">
        <v>0.77510062842891203</v>
      </c>
      <c r="AK33">
        <v>9.1816123716904105E-2</v>
      </c>
      <c r="AL33">
        <v>0.13308324785418299</v>
      </c>
    </row>
    <row r="34" spans="1:38" x14ac:dyDescent="0.2">
      <c r="A34">
        <v>104</v>
      </c>
      <c r="B34">
        <v>744</v>
      </c>
      <c r="C34">
        <v>240</v>
      </c>
      <c r="D34">
        <v>0.33068918055350899</v>
      </c>
      <c r="E34">
        <v>29.114548970363199</v>
      </c>
      <c r="F34">
        <v>2.5250415949134402</v>
      </c>
      <c r="G34">
        <v>-459.91657034329614</v>
      </c>
      <c r="H34">
        <v>-398.87994214406484</v>
      </c>
      <c r="I34">
        <v>60.007499581410102</v>
      </c>
      <c r="J34">
        <v>34.783546301794203</v>
      </c>
      <c r="K34">
        <v>11.530324501985501</v>
      </c>
      <c r="L34">
        <v>2.907479824630007E-5</v>
      </c>
      <c r="M34">
        <v>1.8003261948523488E-6</v>
      </c>
      <c r="N34" s="1">
        <v>-3.1136731546235602E-7</v>
      </c>
      <c r="O34" s="1">
        <v>1.08969743336646E-10</v>
      </c>
      <c r="P34" s="1">
        <v>1.13351543070867E-9</v>
      </c>
      <c r="Q34">
        <v>66.1486988273344</v>
      </c>
      <c r="S34">
        <v>19.032353232007001</v>
      </c>
      <c r="AA34">
        <v>0.26699173139960097</v>
      </c>
      <c r="AB34">
        <v>4.9695398143120197</v>
      </c>
      <c r="AC34">
        <v>9.5824163949468204</v>
      </c>
      <c r="AJ34">
        <v>0.43509984710544702</v>
      </c>
      <c r="AK34">
        <v>1.2917585903095E-2</v>
      </c>
      <c r="AL34">
        <v>0.55198256699145698</v>
      </c>
    </row>
    <row r="35" spans="1:38" x14ac:dyDescent="0.2">
      <c r="A35">
        <v>105</v>
      </c>
      <c r="B35">
        <v>743</v>
      </c>
      <c r="C35">
        <v>240</v>
      </c>
      <c r="D35">
        <v>0.32996161983958999</v>
      </c>
      <c r="E35">
        <v>19.129828127159598</v>
      </c>
      <c r="F35">
        <v>2.5672247038779399</v>
      </c>
      <c r="G35">
        <v>-308.90267903348939</v>
      </c>
      <c r="H35">
        <v>-268.2768520670474</v>
      </c>
      <c r="I35">
        <v>39.980147582976898</v>
      </c>
      <c r="J35">
        <v>23.495483840260199</v>
      </c>
      <c r="K35">
        <v>7.4515596933384201</v>
      </c>
      <c r="L35">
        <v>3.2197136357724472E-5</v>
      </c>
      <c r="M35">
        <v>1.8236404667078835E-6</v>
      </c>
      <c r="N35" s="1">
        <v>-4.2612247135640502E-7</v>
      </c>
      <c r="O35" s="1">
        <v>6.5250453029542294E-11</v>
      </c>
      <c r="P35" s="1">
        <v>1.3933755131381701E-9</v>
      </c>
      <c r="Q35">
        <v>65.739131426590404</v>
      </c>
      <c r="S35">
        <v>20.9345932098453</v>
      </c>
      <c r="AA35">
        <v>1.93192614431417</v>
      </c>
      <c r="AB35">
        <v>9.0438102318519604</v>
      </c>
      <c r="AC35">
        <v>2.350538987398</v>
      </c>
      <c r="AJ35">
        <v>0.77576833407641699</v>
      </c>
      <c r="AK35">
        <v>9.1576052214787096E-2</v>
      </c>
      <c r="AL35">
        <v>0.132655613708795</v>
      </c>
    </row>
    <row r="36" spans="1:38" x14ac:dyDescent="0.2">
      <c r="A36">
        <v>105</v>
      </c>
      <c r="B36">
        <v>743</v>
      </c>
      <c r="C36">
        <v>240</v>
      </c>
      <c r="D36">
        <v>0.32996161983958999</v>
      </c>
      <c r="E36">
        <v>35.536790017651697</v>
      </c>
      <c r="F36">
        <v>2.5250519340905999</v>
      </c>
      <c r="G36">
        <v>-561.26678299791456</v>
      </c>
      <c r="H36">
        <v>-486.88604306840733</v>
      </c>
      <c r="I36">
        <v>73.198582817012394</v>
      </c>
      <c r="J36">
        <v>42.464713286601601</v>
      </c>
      <c r="K36">
        <v>14.073686777634601</v>
      </c>
      <c r="L36">
        <v>2.9096080528974511E-5</v>
      </c>
      <c r="M36">
        <v>1.8004220779752251E-6</v>
      </c>
      <c r="N36" s="1">
        <v>-3.9270283481762801E-7</v>
      </c>
      <c r="O36" s="1">
        <v>1.3291836216054199E-10</v>
      </c>
      <c r="P36" s="1">
        <v>1.41964907219402E-9</v>
      </c>
      <c r="Q36">
        <v>66.148691167700704</v>
      </c>
      <c r="S36">
        <v>19.028788230047901</v>
      </c>
      <c r="AA36">
        <v>0.26405235555141099</v>
      </c>
      <c r="AB36">
        <v>4.9601766291110696</v>
      </c>
      <c r="AC36">
        <v>9.5982916175888793</v>
      </c>
      <c r="AJ36">
        <v>0.434300706674835</v>
      </c>
      <c r="AK36">
        <v>1.2775980218342999E-2</v>
      </c>
      <c r="AL36">
        <v>0.55292331310682097</v>
      </c>
    </row>
    <row r="37" spans="1:38" x14ac:dyDescent="0.2">
      <c r="A37">
        <v>106</v>
      </c>
      <c r="B37">
        <v>742</v>
      </c>
      <c r="C37">
        <v>240</v>
      </c>
      <c r="D37">
        <v>0.32923262572033701</v>
      </c>
      <c r="E37">
        <v>20.096256882476599</v>
      </c>
      <c r="F37">
        <v>2.5673308386792</v>
      </c>
      <c r="G37">
        <v>-324.47547475807448</v>
      </c>
      <c r="H37">
        <v>-281.86335925297033</v>
      </c>
      <c r="I37">
        <v>41.976176432156997</v>
      </c>
      <c r="J37">
        <v>24.697222387590099</v>
      </c>
      <c r="K37">
        <v>7.8276849168436202</v>
      </c>
      <c r="L37">
        <v>3.2263995558141791E-5</v>
      </c>
      <c r="M37">
        <v>1.8240407618671305E-6</v>
      </c>
      <c r="N37" s="1">
        <v>-4.6256979455372501E-7</v>
      </c>
      <c r="O37" s="1">
        <v>6.8422539668707199E-11</v>
      </c>
      <c r="P37" s="1">
        <v>1.50630700581132E-9</v>
      </c>
      <c r="Q37">
        <v>65.743532579173603</v>
      </c>
      <c r="S37">
        <v>20.933835891305002</v>
      </c>
      <c r="AA37">
        <v>1.93027439997642</v>
      </c>
      <c r="AB37">
        <v>9.0516325553917607</v>
      </c>
      <c r="AC37">
        <v>2.34072457415304</v>
      </c>
      <c r="AJ37">
        <v>0.77640919466056701</v>
      </c>
      <c r="AK37">
        <v>9.1494206584877294E-2</v>
      </c>
      <c r="AL37">
        <v>0.13209659875455501</v>
      </c>
    </row>
    <row r="38" spans="1:38" x14ac:dyDescent="0.2">
      <c r="A38">
        <v>106</v>
      </c>
      <c r="B38">
        <v>742</v>
      </c>
      <c r="C38">
        <v>240</v>
      </c>
      <c r="D38">
        <v>0.32923262572033701</v>
      </c>
      <c r="E38">
        <v>37.3045048130815</v>
      </c>
      <c r="F38">
        <v>2.5250587829442601</v>
      </c>
      <c r="G38">
        <v>-589.07415082332375</v>
      </c>
      <c r="H38">
        <v>-511.12007631624635</v>
      </c>
      <c r="I38">
        <v>76.790695470696207</v>
      </c>
      <c r="J38">
        <v>44.585533722885501</v>
      </c>
      <c r="K38">
        <v>14.7737173744461</v>
      </c>
      <c r="L38">
        <v>2.9116018416334884E-5</v>
      </c>
      <c r="M38">
        <v>1.8004882010622087E-6</v>
      </c>
      <c r="N38" s="1">
        <v>-4.25682713429952E-7</v>
      </c>
      <c r="O38" s="1">
        <v>1.39438064154494E-10</v>
      </c>
      <c r="P38" s="1">
        <v>1.5285747551904699E-9</v>
      </c>
      <c r="Q38">
        <v>66.147735038656904</v>
      </c>
      <c r="S38">
        <v>19.025061914834499</v>
      </c>
      <c r="AA38">
        <v>0.26120120698721799</v>
      </c>
      <c r="AB38">
        <v>4.9482769270167903</v>
      </c>
      <c r="AC38">
        <v>9.6177249125044693</v>
      </c>
      <c r="AJ38">
        <v>0.43328495853620302</v>
      </c>
      <c r="AK38">
        <v>1.26387925621422E-2</v>
      </c>
      <c r="AL38">
        <v>0.55407624890165397</v>
      </c>
    </row>
    <row r="39" spans="1:38" x14ac:dyDescent="0.2">
      <c r="A39">
        <v>118</v>
      </c>
      <c r="B39">
        <v>752</v>
      </c>
      <c r="C39">
        <v>220</v>
      </c>
      <c r="D39">
        <v>0.35791884114519901</v>
      </c>
      <c r="E39">
        <v>0.26193832527119099</v>
      </c>
      <c r="F39">
        <v>2.5690942858437</v>
      </c>
      <c r="G39">
        <v>-4.2412571174626388</v>
      </c>
      <c r="H39">
        <v>-3.6771368249177656</v>
      </c>
      <c r="I39">
        <v>0.55028073213175899</v>
      </c>
      <c r="J39">
        <v>0.32052780812140202</v>
      </c>
      <c r="K39">
        <v>0.10195745898254099</v>
      </c>
      <c r="L39">
        <v>3.1727863815621378E-5</v>
      </c>
      <c r="M39">
        <v>1.8198941077647327E-6</v>
      </c>
      <c r="N39" s="1">
        <v>-4.3776684550906297E-9</v>
      </c>
      <c r="O39" s="1">
        <v>9.0023773588359802E-13</v>
      </c>
      <c r="P39" s="1">
        <v>1.4914325860285301E-11</v>
      </c>
      <c r="Q39">
        <v>65.548166363005805</v>
      </c>
      <c r="S39">
        <v>21.140325895561102</v>
      </c>
      <c r="AA39">
        <v>2.1462168034916602</v>
      </c>
      <c r="AB39">
        <v>9.1576098094690099</v>
      </c>
      <c r="AC39">
        <v>2.00768112847231</v>
      </c>
      <c r="AJ39">
        <v>0.78508269751262505</v>
      </c>
      <c r="AK39">
        <v>0.10167581262806299</v>
      </c>
      <c r="AL39">
        <v>0.113241489859311</v>
      </c>
    </row>
    <row r="40" spans="1:38" x14ac:dyDescent="0.2">
      <c r="A40">
        <v>119</v>
      </c>
      <c r="B40">
        <v>751</v>
      </c>
      <c r="C40">
        <v>220</v>
      </c>
      <c r="D40">
        <v>0.35722355123761301</v>
      </c>
      <c r="E40">
        <v>1.6384003546113299</v>
      </c>
      <c r="F40">
        <v>2.5670768687924399</v>
      </c>
      <c r="G40">
        <v>-26.509317146265978</v>
      </c>
      <c r="H40">
        <v>-22.985931246398881</v>
      </c>
      <c r="I40">
        <v>3.4403025922639201</v>
      </c>
      <c r="J40">
        <v>2.00497265293812</v>
      </c>
      <c r="K40">
        <v>0.63823579828446497</v>
      </c>
      <c r="L40">
        <v>3.1768909890365409E-5</v>
      </c>
      <c r="M40">
        <v>1.8221220817519103E-6</v>
      </c>
      <c r="N40" s="1">
        <v>-2.8062158341469502E-8</v>
      </c>
      <c r="O40" s="1">
        <v>5.64560914646046E-12</v>
      </c>
      <c r="P40" s="1">
        <v>9.5213434985731198E-11</v>
      </c>
      <c r="Q40">
        <v>65.672646159383902</v>
      </c>
      <c r="S40">
        <v>21.013939465938599</v>
      </c>
      <c r="AA40">
        <v>2.0129010462225598</v>
      </c>
      <c r="AB40">
        <v>9.1036679047453593</v>
      </c>
      <c r="AC40">
        <v>2.1968454237094699</v>
      </c>
      <c r="AJ40">
        <v>0.78066946911379198</v>
      </c>
      <c r="AK40">
        <v>9.53858610364305E-2</v>
      </c>
      <c r="AL40">
        <v>0.12394466984977701</v>
      </c>
    </row>
    <row r="41" spans="1:38" x14ac:dyDescent="0.2">
      <c r="A41">
        <v>120</v>
      </c>
      <c r="B41">
        <v>750</v>
      </c>
      <c r="C41">
        <v>220</v>
      </c>
      <c r="D41">
        <v>0.356526902213751</v>
      </c>
      <c r="E41">
        <v>3.16793068225887</v>
      </c>
      <c r="F41">
        <v>2.5646602542489498</v>
      </c>
      <c r="G41">
        <v>-51.210697130572825</v>
      </c>
      <c r="H41">
        <v>-44.408374086286969</v>
      </c>
      <c r="I41">
        <v>6.6484122995512296</v>
      </c>
      <c r="J41">
        <v>3.8761707798615999</v>
      </c>
      <c r="K41">
        <v>1.23522430583561</v>
      </c>
      <c r="L41">
        <v>3.1786705275136852E-5</v>
      </c>
      <c r="M41">
        <v>1.8241349916528966E-6</v>
      </c>
      <c r="N41" s="1">
        <v>-5.5382584123367397E-8</v>
      </c>
      <c r="O41" s="1">
        <v>1.0952169564363601E-11</v>
      </c>
      <c r="P41" s="1">
        <v>1.8725030992409399E-10</v>
      </c>
      <c r="Q41">
        <v>65.800816596290701</v>
      </c>
      <c r="S41">
        <v>20.872047959083702</v>
      </c>
      <c r="AA41">
        <v>1.8659322809644101</v>
      </c>
      <c r="AB41">
        <v>9.0173018187934293</v>
      </c>
      <c r="AC41">
        <v>2.4439013448676299</v>
      </c>
      <c r="AJ41">
        <v>0.77359739391133797</v>
      </c>
      <c r="AK41">
        <v>8.8459618137073204E-2</v>
      </c>
      <c r="AL41">
        <v>0.13794298795158799</v>
      </c>
    </row>
    <row r="42" spans="1:38" x14ac:dyDescent="0.2">
      <c r="A42">
        <v>121</v>
      </c>
      <c r="B42">
        <v>749</v>
      </c>
      <c r="C42">
        <v>220</v>
      </c>
      <c r="D42">
        <v>0.35582889008462698</v>
      </c>
      <c r="E42">
        <v>6.6043103926391202</v>
      </c>
      <c r="F42">
        <v>2.5645577204179801</v>
      </c>
      <c r="G42">
        <v>-106.73669276628856</v>
      </c>
      <c r="H42">
        <v>-92.57793391088174</v>
      </c>
      <c r="I42">
        <v>13.851938419416699</v>
      </c>
      <c r="J42">
        <v>8.0831672455278802</v>
      </c>
      <c r="K42">
        <v>2.5752239226507698</v>
      </c>
      <c r="L42">
        <v>3.1817611189722317E-5</v>
      </c>
      <c r="M42">
        <v>1.8241565223347367E-6</v>
      </c>
      <c r="N42" s="1">
        <v>-1.18838139171511E-7</v>
      </c>
      <c r="O42" s="1">
        <v>2.2809903106459701E-11</v>
      </c>
      <c r="P42" s="1">
        <v>4.0003202929242201E-10</v>
      </c>
      <c r="Q42">
        <v>65.799468162571998</v>
      </c>
      <c r="S42">
        <v>20.865624272450201</v>
      </c>
      <c r="AA42">
        <v>1.86094731229247</v>
      </c>
      <c r="AB42">
        <v>8.9974563769054594</v>
      </c>
      <c r="AC42">
        <v>2.4765038757797599</v>
      </c>
      <c r="AJ42">
        <v>0.771971012252329</v>
      </c>
      <c r="AK42">
        <v>8.8231997376752705E-2</v>
      </c>
      <c r="AL42">
        <v>0.139796990370917</v>
      </c>
    </row>
    <row r="43" spans="1:38" x14ac:dyDescent="0.2">
      <c r="A43">
        <v>121</v>
      </c>
      <c r="B43">
        <v>749</v>
      </c>
      <c r="C43">
        <v>220</v>
      </c>
      <c r="D43">
        <v>0.35582889008462698</v>
      </c>
      <c r="E43">
        <v>7.8244115257560001</v>
      </c>
      <c r="F43">
        <v>2.5243679219946702</v>
      </c>
      <c r="G43">
        <v>-123.83651937178119</v>
      </c>
      <c r="H43">
        <v>-107.28953281529417</v>
      </c>
      <c r="I43">
        <v>16.188413204018001</v>
      </c>
      <c r="J43">
        <v>9.3453621395459301</v>
      </c>
      <c r="K43">
        <v>3.0995527464845098</v>
      </c>
      <c r="L43">
        <v>2.9046061658899672E-5</v>
      </c>
      <c r="M43">
        <v>1.8024853226717317E-6</v>
      </c>
      <c r="N43" s="1">
        <v>-7.16803947986463E-8</v>
      </c>
      <c r="O43" s="1">
        <v>2.93449478988821E-11</v>
      </c>
      <c r="P43" s="1">
        <v>2.7037718954242601E-10</v>
      </c>
      <c r="Q43">
        <v>66.185446729890202</v>
      </c>
      <c r="S43">
        <v>19.063465278462601</v>
      </c>
      <c r="AA43">
        <v>0.284084867601958</v>
      </c>
      <c r="AB43">
        <v>5.1329948194388999</v>
      </c>
      <c r="AC43">
        <v>9.3340083046062698</v>
      </c>
      <c r="AJ43">
        <v>0.44903871255722599</v>
      </c>
      <c r="AK43">
        <v>1.3733203297788901E-2</v>
      </c>
      <c r="AL43">
        <v>0.53722808414498402</v>
      </c>
    </row>
    <row r="44" spans="1:38" x14ac:dyDescent="0.2">
      <c r="A44">
        <v>122</v>
      </c>
      <c r="B44">
        <v>748</v>
      </c>
      <c r="C44">
        <v>220</v>
      </c>
      <c r="D44">
        <v>0.355129510845618</v>
      </c>
      <c r="E44">
        <v>12.9016194311411</v>
      </c>
      <c r="F44">
        <v>2.56518228529379</v>
      </c>
      <c r="G44">
        <v>-208.51174242383948</v>
      </c>
      <c r="H44">
        <v>-180.89602217626052</v>
      </c>
      <c r="I44">
        <v>27.0437450399833</v>
      </c>
      <c r="J44">
        <v>15.7980207270262</v>
      </c>
      <c r="K44">
        <v>5.0295136938634597</v>
      </c>
      <c r="L44">
        <v>3.1858989093335954E-5</v>
      </c>
      <c r="M44">
        <v>1.8236836573882182E-6</v>
      </c>
      <c r="N44" s="1">
        <v>-2.3973998520125201E-7</v>
      </c>
      <c r="O44" s="1">
        <v>4.4453814383060198E-11</v>
      </c>
      <c r="P44" s="1">
        <v>8.0323992402353199E-10</v>
      </c>
      <c r="Q44">
        <v>65.761679389116594</v>
      </c>
      <c r="S44">
        <v>20.900023527772699</v>
      </c>
      <c r="AA44">
        <v>1.89814454383389</v>
      </c>
      <c r="AB44">
        <v>9.0034282414492601</v>
      </c>
      <c r="AC44">
        <v>2.4367242978274999</v>
      </c>
      <c r="AJ44">
        <v>0.77245986302909198</v>
      </c>
      <c r="AK44">
        <v>8.9992866718353798E-2</v>
      </c>
      <c r="AL44">
        <v>0.13754727025255301</v>
      </c>
    </row>
    <row r="45" spans="1:38" x14ac:dyDescent="0.2">
      <c r="A45">
        <v>122</v>
      </c>
      <c r="B45">
        <v>748</v>
      </c>
      <c r="C45">
        <v>220</v>
      </c>
      <c r="D45">
        <v>0.355129510845618</v>
      </c>
      <c r="E45">
        <v>22.604161111086398</v>
      </c>
      <c r="F45">
        <v>2.5243090978671998</v>
      </c>
      <c r="G45">
        <v>-357.63938894059402</v>
      </c>
      <c r="H45">
        <v>-309.92072271134981</v>
      </c>
      <c r="I45">
        <v>46.730319962046899</v>
      </c>
      <c r="J45">
        <v>26.996532957383501</v>
      </c>
      <c r="K45">
        <v>8.9545932113403595</v>
      </c>
      <c r="L45">
        <v>2.9036277246079946E-5</v>
      </c>
      <c r="M45">
        <v>1.8021568906218689E-6</v>
      </c>
      <c r="N45" s="1">
        <v>-2.1218780977235801E-7</v>
      </c>
      <c r="O45" s="1">
        <v>8.4759981617677304E-11</v>
      </c>
      <c r="P45" s="1">
        <v>7.9561993818994801E-10</v>
      </c>
      <c r="Q45">
        <v>66.173714477359198</v>
      </c>
      <c r="S45">
        <v>19.057066229980801</v>
      </c>
      <c r="AA45">
        <v>0.281543147821325</v>
      </c>
      <c r="AB45">
        <v>5.0900741862036796</v>
      </c>
      <c r="AC45">
        <v>9.3976019586349295</v>
      </c>
      <c r="AJ45">
        <v>0.44538080921156997</v>
      </c>
      <c r="AK45">
        <v>1.3613291377852801E-2</v>
      </c>
      <c r="AL45">
        <v>0.54100589941057597</v>
      </c>
    </row>
    <row r="46" spans="1:38" x14ac:dyDescent="0.2">
      <c r="A46">
        <v>123</v>
      </c>
      <c r="B46">
        <v>747</v>
      </c>
      <c r="C46">
        <v>220</v>
      </c>
      <c r="D46">
        <v>0.35442876047640198</v>
      </c>
      <c r="E46">
        <v>17.670442927967901</v>
      </c>
      <c r="F46">
        <v>2.5656270963768999</v>
      </c>
      <c r="G46">
        <v>-285.57362582011422</v>
      </c>
      <c r="H46">
        <v>-247.80955558385307</v>
      </c>
      <c r="I46">
        <v>37.018154424605399</v>
      </c>
      <c r="J46">
        <v>21.64798089976</v>
      </c>
      <c r="K46">
        <v>6.88737773034965</v>
      </c>
      <c r="L46">
        <v>3.1906341854465636E-5</v>
      </c>
      <c r="M46">
        <v>1.8234945247197659E-6</v>
      </c>
      <c r="N46" s="1">
        <v>-3.3912348313587802E-7</v>
      </c>
      <c r="O46" s="1">
        <v>6.0757096344993106E-11</v>
      </c>
      <c r="P46" s="1">
        <v>1.13099908081224E-9</v>
      </c>
      <c r="Q46">
        <v>65.738121413154502</v>
      </c>
      <c r="S46">
        <v>20.9224245666869</v>
      </c>
      <c r="AA46">
        <v>1.9221225619390601</v>
      </c>
      <c r="AB46">
        <v>9.0096577909934208</v>
      </c>
      <c r="AC46">
        <v>2.40767366722601</v>
      </c>
      <c r="AJ46">
        <v>0.77297002175331497</v>
      </c>
      <c r="AK46">
        <v>9.1126821430814894E-2</v>
      </c>
      <c r="AL46">
        <v>0.13590315681586901</v>
      </c>
    </row>
    <row r="47" spans="1:38" x14ac:dyDescent="0.2">
      <c r="A47">
        <v>123</v>
      </c>
      <c r="B47">
        <v>747</v>
      </c>
      <c r="C47">
        <v>220</v>
      </c>
      <c r="D47">
        <v>0.35442876047640198</v>
      </c>
      <c r="E47">
        <v>33.3648322334084</v>
      </c>
      <c r="F47">
        <v>2.5242739217480499</v>
      </c>
      <c r="G47">
        <v>-527.74745990738654</v>
      </c>
      <c r="H47">
        <v>-457.43302375005163</v>
      </c>
      <c r="I47">
        <v>68.925585607347003</v>
      </c>
      <c r="J47">
        <v>39.848893275865102</v>
      </c>
      <c r="K47">
        <v>13.2175957394922</v>
      </c>
      <c r="L47">
        <v>2.9035871559257449E-5</v>
      </c>
      <c r="M47">
        <v>1.8019656194217749E-6</v>
      </c>
      <c r="N47" s="1">
        <v>-3.2181013996536898E-7</v>
      </c>
      <c r="O47" s="1">
        <v>1.25070020795855E-10</v>
      </c>
      <c r="P47" s="1">
        <v>1.19890698282864E-9</v>
      </c>
      <c r="Q47">
        <v>66.165811199822301</v>
      </c>
      <c r="S47">
        <v>19.051599505314599</v>
      </c>
      <c r="AA47">
        <v>0.27887716576548199</v>
      </c>
      <c r="AB47">
        <v>5.0581304265344098</v>
      </c>
      <c r="AC47">
        <v>9.4455817025631301</v>
      </c>
      <c r="AJ47">
        <v>0.44265738269738197</v>
      </c>
      <c r="AK47">
        <v>1.34865676299464E-2</v>
      </c>
      <c r="AL47">
        <v>0.54385604967266998</v>
      </c>
    </row>
    <row r="48" spans="1:38" x14ac:dyDescent="0.2">
      <c r="A48">
        <v>124</v>
      </c>
      <c r="B48">
        <v>746</v>
      </c>
      <c r="C48">
        <v>220</v>
      </c>
      <c r="D48">
        <v>0.35372663494088302</v>
      </c>
      <c r="E48">
        <v>19.283206992092001</v>
      </c>
      <c r="F48">
        <v>2.5658879394033902</v>
      </c>
      <c r="G48">
        <v>-311.61534987213139</v>
      </c>
      <c r="H48">
        <v>-270.46860033483108</v>
      </c>
      <c r="I48">
        <v>40.373595189422801</v>
      </c>
      <c r="J48">
        <v>23.635761812349902</v>
      </c>
      <c r="K48">
        <v>7.5152179079869201</v>
      </c>
      <c r="L48">
        <v>3.1960382299672034E-5</v>
      </c>
      <c r="M48">
        <v>1.8236105604746245E-6</v>
      </c>
      <c r="N48" s="1">
        <v>-3.8227653625765301E-7</v>
      </c>
      <c r="O48" s="1">
        <v>6.6180961039094097E-11</v>
      </c>
      <c r="P48" s="1">
        <v>1.2691462093994199E-9</v>
      </c>
      <c r="Q48">
        <v>65.729611631659495</v>
      </c>
      <c r="S48">
        <v>20.932327318101802</v>
      </c>
      <c r="AA48">
        <v>1.9322780744281101</v>
      </c>
      <c r="AB48">
        <v>9.0166555494878704</v>
      </c>
      <c r="AC48">
        <v>2.3891274263225499</v>
      </c>
      <c r="AJ48">
        <v>0.77354333188451796</v>
      </c>
      <c r="AK48">
        <v>9.1605085372537198E-2</v>
      </c>
      <c r="AL48">
        <v>0.13485158274294401</v>
      </c>
    </row>
    <row r="49" spans="1:38" x14ac:dyDescent="0.2">
      <c r="A49">
        <v>124</v>
      </c>
      <c r="B49">
        <v>746</v>
      </c>
      <c r="C49">
        <v>220</v>
      </c>
      <c r="D49">
        <v>0.35372663494088302</v>
      </c>
      <c r="E49">
        <v>36.884933604425797</v>
      </c>
      <c r="F49">
        <v>2.5242604974382798</v>
      </c>
      <c r="G49">
        <v>-583.29304128941021</v>
      </c>
      <c r="H49">
        <v>-505.68915220428573</v>
      </c>
      <c r="I49">
        <v>76.145698950227597</v>
      </c>
      <c r="J49">
        <v>44.057265781300501</v>
      </c>
      <c r="K49">
        <v>14.6121739978334</v>
      </c>
      <c r="L49">
        <v>2.9045047830637973E-5</v>
      </c>
      <c r="M49">
        <v>1.801911745374487E-6</v>
      </c>
      <c r="N49" s="1">
        <v>-3.6655207146449498E-7</v>
      </c>
      <c r="O49" s="1">
        <v>1.38201939330331E-10</v>
      </c>
      <c r="P49" s="1">
        <v>1.35619391026088E-9</v>
      </c>
      <c r="Q49">
        <v>66.161771910773695</v>
      </c>
      <c r="S49">
        <v>19.047034537286901</v>
      </c>
      <c r="AA49">
        <v>0.27605353327993598</v>
      </c>
      <c r="AB49">
        <v>5.0371614302965702</v>
      </c>
      <c r="AC49">
        <v>9.4779785883628698</v>
      </c>
      <c r="AJ49">
        <v>0.44086916161276501</v>
      </c>
      <c r="AK49">
        <v>1.33514352092004E-2</v>
      </c>
      <c r="AL49">
        <v>0.54577940317803297</v>
      </c>
    </row>
    <row r="50" spans="1:38" x14ac:dyDescent="0.2">
      <c r="A50">
        <v>125</v>
      </c>
      <c r="B50">
        <v>745</v>
      </c>
      <c r="C50">
        <v>220</v>
      </c>
      <c r="D50">
        <v>0.35302313018710402</v>
      </c>
      <c r="E50">
        <v>19.922802198945401</v>
      </c>
      <c r="F50">
        <v>2.56605618880669</v>
      </c>
      <c r="G50">
        <v>-321.92243622467078</v>
      </c>
      <c r="H50">
        <v>-279.47669399659782</v>
      </c>
      <c r="I50">
        <v>41.689085329345197</v>
      </c>
      <c r="J50">
        <v>24.432607470382301</v>
      </c>
      <c r="K50">
        <v>7.7639773773660901</v>
      </c>
      <c r="L50">
        <v>3.2018771105329787E-5</v>
      </c>
      <c r="M50">
        <v>1.8238855913948069E-6</v>
      </c>
      <c r="N50" s="1">
        <v>-4.080283018102E-7</v>
      </c>
      <c r="O50" s="1">
        <v>6.8258532941849298E-11</v>
      </c>
      <c r="P50" s="1">
        <v>1.3486184918277101E-9</v>
      </c>
      <c r="Q50">
        <v>65.728770632492498</v>
      </c>
      <c r="S50">
        <v>20.9358924674283</v>
      </c>
      <c r="AA50">
        <v>1.9354155947850999</v>
      </c>
      <c r="AB50">
        <v>9.0241279303970501</v>
      </c>
      <c r="AC50">
        <v>2.3757933748969502</v>
      </c>
      <c r="AJ50">
        <v>0.77415561045921499</v>
      </c>
      <c r="AK50">
        <v>9.17504173712545E-2</v>
      </c>
      <c r="AL50">
        <v>0.13409397216952901</v>
      </c>
    </row>
    <row r="51" spans="1:38" x14ac:dyDescent="0.2">
      <c r="A51">
        <v>125</v>
      </c>
      <c r="B51">
        <v>745</v>
      </c>
      <c r="C51">
        <v>220</v>
      </c>
      <c r="D51">
        <v>0.35302313018710402</v>
      </c>
      <c r="E51">
        <v>38.116923149881899</v>
      </c>
      <c r="F51">
        <v>2.52425786355243</v>
      </c>
      <c r="G51">
        <v>-602.65166427899203</v>
      </c>
      <c r="H51">
        <v>-522.58671147228699</v>
      </c>
      <c r="I51">
        <v>78.637678934051905</v>
      </c>
      <c r="J51">
        <v>45.5350973465018</v>
      </c>
      <c r="K51">
        <v>15.1002493446685</v>
      </c>
      <c r="L51">
        <v>2.9059415266896229E-5</v>
      </c>
      <c r="M51">
        <v>1.8019272781792674E-6</v>
      </c>
      <c r="N51" s="1">
        <v>-3.90816472608335E-7</v>
      </c>
      <c r="O51" s="1">
        <v>1.42740798155376E-10</v>
      </c>
      <c r="P51" s="1">
        <v>1.4358155372972499E-9</v>
      </c>
      <c r="Q51">
        <v>66.159650088357907</v>
      </c>
      <c r="S51">
        <v>19.042925518602999</v>
      </c>
      <c r="AA51">
        <v>0.273158649046357</v>
      </c>
      <c r="AB51">
        <v>5.0216607361221097</v>
      </c>
      <c r="AC51">
        <v>9.5026050078704891</v>
      </c>
      <c r="AJ51">
        <v>0.43954703679565799</v>
      </c>
      <c r="AK51">
        <v>1.3212461496843299E-2</v>
      </c>
      <c r="AL51">
        <v>0.54724050170749805</v>
      </c>
    </row>
    <row r="52" spans="1:38" x14ac:dyDescent="0.2">
      <c r="A52">
        <v>133</v>
      </c>
      <c r="B52">
        <v>757</v>
      </c>
      <c r="C52">
        <v>200</v>
      </c>
      <c r="D52">
        <v>0.38273115565694399</v>
      </c>
      <c r="E52">
        <v>0.16862457041565401</v>
      </c>
      <c r="F52">
        <v>2.5682618090524301</v>
      </c>
      <c r="G52">
        <v>-2.7341171230313943</v>
      </c>
      <c r="H52">
        <v>-2.3680991745788038</v>
      </c>
      <c r="I52">
        <v>0.35530548798970102</v>
      </c>
      <c r="J52">
        <v>0.205988003457163</v>
      </c>
      <c r="K52">
        <v>6.5657079749929903E-2</v>
      </c>
      <c r="L52">
        <v>3.1521980086324183E-5</v>
      </c>
      <c r="M52">
        <v>1.8203922251176173E-6</v>
      </c>
      <c r="N52" s="1">
        <v>-2.3857426436846899E-9</v>
      </c>
      <c r="O52" s="1">
        <v>5.8278277779612801E-13</v>
      </c>
      <c r="P52" s="1">
        <v>8.3557109523983794E-12</v>
      </c>
      <c r="Q52">
        <v>65.5465556777865</v>
      </c>
      <c r="S52">
        <v>21.160432287068499</v>
      </c>
      <c r="AA52">
        <v>2.1631806137346898</v>
      </c>
      <c r="AB52">
        <v>9.2067320031651594</v>
      </c>
      <c r="AC52">
        <v>1.9230994182450301</v>
      </c>
      <c r="AJ52">
        <v>0.78910129323247902</v>
      </c>
      <c r="AK52">
        <v>0.102454449955763</v>
      </c>
      <c r="AL52">
        <v>0.108444256811756</v>
      </c>
    </row>
    <row r="53" spans="1:38" x14ac:dyDescent="0.2">
      <c r="A53">
        <v>134</v>
      </c>
      <c r="B53">
        <v>756</v>
      </c>
      <c r="C53">
        <v>200</v>
      </c>
      <c r="D53">
        <v>0.38206335325268598</v>
      </c>
      <c r="E53">
        <v>1.4753245413254901</v>
      </c>
      <c r="F53">
        <v>2.5665018779009099</v>
      </c>
      <c r="G53">
        <v>-23.905975137821905</v>
      </c>
      <c r="H53">
        <v>-20.708223444505489</v>
      </c>
      <c r="I53">
        <v>3.1071774700640402</v>
      </c>
      <c r="J53">
        <v>1.80234236807022</v>
      </c>
      <c r="K53">
        <v>0.57483867595379501</v>
      </c>
      <c r="L53">
        <v>3.1564124133155636E-5</v>
      </c>
      <c r="M53">
        <v>1.8225137164066689E-6</v>
      </c>
      <c r="N53" s="1">
        <v>-2.1417135224208201E-8</v>
      </c>
      <c r="O53" s="1">
        <v>5.1105374540430802E-12</v>
      </c>
      <c r="P53" s="1">
        <v>7.4653528131873298E-11</v>
      </c>
      <c r="Q53">
        <v>65.660908194556299</v>
      </c>
      <c r="S53">
        <v>21.047434338442201</v>
      </c>
      <c r="AA53">
        <v>2.0432735526224302</v>
      </c>
      <c r="AB53">
        <v>9.1653216423904595</v>
      </c>
      <c r="AC53">
        <v>2.08306227198843</v>
      </c>
      <c r="AJ53">
        <v>0.78571549701182797</v>
      </c>
      <c r="AK53">
        <v>9.6795443179188603E-2</v>
      </c>
      <c r="AL53">
        <v>0.117489059808983</v>
      </c>
    </row>
    <row r="54" spans="1:38" x14ac:dyDescent="0.2">
      <c r="A54">
        <v>135</v>
      </c>
      <c r="B54">
        <v>755</v>
      </c>
      <c r="C54">
        <v>200</v>
      </c>
      <c r="D54">
        <v>0.38139425181150599</v>
      </c>
      <c r="E54">
        <v>2.88615133513985</v>
      </c>
      <c r="F54">
        <v>2.5645055219464101</v>
      </c>
      <c r="G54">
        <v>-46.731839643684914</v>
      </c>
      <c r="H54">
        <v>-40.485383291642044</v>
      </c>
      <c r="I54">
        <v>6.0754329154723203</v>
      </c>
      <c r="J54">
        <v>3.5257103571464001</v>
      </c>
      <c r="K54">
        <v>1.1254221566071401</v>
      </c>
      <c r="L54">
        <v>3.15910946686926E-5</v>
      </c>
      <c r="M54">
        <v>1.8244486134941723E-6</v>
      </c>
      <c r="N54" s="1">
        <v>-4.28739912480907E-8</v>
      </c>
      <c r="O54" s="1">
        <v>1.00243418733906E-11</v>
      </c>
      <c r="P54" s="1">
        <v>1.4880685990944499E-10</v>
      </c>
      <c r="Q54">
        <v>65.775383699596603</v>
      </c>
      <c r="S54">
        <v>20.9261709801991</v>
      </c>
      <c r="AA54">
        <v>1.91651874631359</v>
      </c>
      <c r="AB54">
        <v>9.1025165084948902</v>
      </c>
      <c r="AC54">
        <v>2.2794100653956799</v>
      </c>
      <c r="AJ54">
        <v>0.78057680796377804</v>
      </c>
      <c r="AK54">
        <v>9.0819274936263794E-2</v>
      </c>
      <c r="AL54">
        <v>0.128603917099958</v>
      </c>
    </row>
    <row r="55" spans="1:38" x14ac:dyDescent="0.2">
      <c r="A55">
        <v>136</v>
      </c>
      <c r="B55">
        <v>754</v>
      </c>
      <c r="C55">
        <v>200</v>
      </c>
      <c r="D55">
        <v>0.38072384753930699</v>
      </c>
      <c r="E55">
        <v>4.4674730972425101</v>
      </c>
      <c r="F55">
        <v>2.5620930764491399</v>
      </c>
      <c r="G55">
        <v>-72.26862317013186</v>
      </c>
      <c r="H55">
        <v>-62.614679179224453</v>
      </c>
      <c r="I55">
        <v>9.3987674545172606</v>
      </c>
      <c r="J55">
        <v>5.4560786165898802</v>
      </c>
      <c r="K55">
        <v>1.7436810310709201</v>
      </c>
      <c r="L55">
        <v>3.1593606409253704E-5</v>
      </c>
      <c r="M55">
        <v>1.8261411954913678E-6</v>
      </c>
      <c r="N55" s="1">
        <v>-6.7609220557657201E-8</v>
      </c>
      <c r="O55" s="1">
        <v>1.55690621117209E-11</v>
      </c>
      <c r="P55" s="1">
        <v>2.33821439898194E-10</v>
      </c>
      <c r="Q55">
        <v>65.893002208252199</v>
      </c>
      <c r="S55">
        <v>20.788991646905298</v>
      </c>
      <c r="AA55">
        <v>1.7758997206954801</v>
      </c>
      <c r="AB55">
        <v>9.0049895918217508</v>
      </c>
      <c r="AC55">
        <v>2.5371168323251201</v>
      </c>
      <c r="AJ55">
        <v>0.77258985625869703</v>
      </c>
      <c r="AK55">
        <v>8.4196689475474498E-2</v>
      </c>
      <c r="AL55">
        <v>0.14321345426582799</v>
      </c>
    </row>
    <row r="56" spans="1:38" x14ac:dyDescent="0.2">
      <c r="A56">
        <v>137</v>
      </c>
      <c r="B56">
        <v>753</v>
      </c>
      <c r="C56">
        <v>200</v>
      </c>
      <c r="D56">
        <v>0.380052136627202</v>
      </c>
      <c r="E56">
        <v>7.1872919257703103</v>
      </c>
      <c r="F56">
        <v>2.5617016073568601</v>
      </c>
      <c r="G56">
        <v>-116.22451793744666</v>
      </c>
      <c r="H56">
        <v>-100.71800263159589</v>
      </c>
      <c r="I56">
        <v>15.111353414072701</v>
      </c>
      <c r="J56">
        <v>8.7785548733542402</v>
      </c>
      <c r="K56">
        <v>2.8056710059943599</v>
      </c>
      <c r="L56">
        <v>3.1602249262103857E-5</v>
      </c>
      <c r="M56">
        <v>1.8260192807807537E-6</v>
      </c>
      <c r="N56" s="1">
        <v>-1.11575834768175E-7</v>
      </c>
      <c r="O56" s="1">
        <v>2.50406473140504E-11</v>
      </c>
      <c r="P56" s="1">
        <v>3.8419025313144702E-10</v>
      </c>
      <c r="Q56">
        <v>65.895174662666307</v>
      </c>
      <c r="S56">
        <v>20.770515447731501</v>
      </c>
      <c r="AA56">
        <v>1.76014975465774</v>
      </c>
      <c r="AB56">
        <v>8.9613930317973107</v>
      </c>
      <c r="AC56">
        <v>2.6127671031470099</v>
      </c>
      <c r="AJ56">
        <v>0.76901622671371805</v>
      </c>
      <c r="AK56">
        <v>8.3468073223807102E-2</v>
      </c>
      <c r="AL56">
        <v>0.147515700062474</v>
      </c>
    </row>
    <row r="57" spans="1:38" x14ac:dyDescent="0.2">
      <c r="A57">
        <v>137</v>
      </c>
      <c r="B57">
        <v>753</v>
      </c>
      <c r="C57">
        <v>200</v>
      </c>
      <c r="D57">
        <v>0.380052136627202</v>
      </c>
      <c r="E57">
        <v>6.3669326819157597</v>
      </c>
      <c r="F57">
        <v>2.52381078155245</v>
      </c>
      <c r="G57">
        <v>-100.95338555376517</v>
      </c>
      <c r="H57">
        <v>-87.391657352258107</v>
      </c>
      <c r="I57">
        <v>13.2161264936968</v>
      </c>
      <c r="J57">
        <v>7.6057583162647697</v>
      </c>
      <c r="K57">
        <v>2.5227456544897202</v>
      </c>
      <c r="L57">
        <v>2.9064311389378243E-5</v>
      </c>
      <c r="M57">
        <v>1.8050265231965494E-6</v>
      </c>
      <c r="N57" s="1">
        <v>-5.1912109824878503E-8</v>
      </c>
      <c r="O57" s="1">
        <v>2.38989608213145E-11</v>
      </c>
      <c r="P57" s="1">
        <v>2.0165368570643401E-10</v>
      </c>
      <c r="Q57">
        <v>66.228319574857693</v>
      </c>
      <c r="S57">
        <v>19.094426973023602</v>
      </c>
      <c r="AA57">
        <v>0.29962479037331402</v>
      </c>
      <c r="AB57">
        <v>5.3097047632854197</v>
      </c>
      <c r="AC57">
        <v>9.0679238984598705</v>
      </c>
      <c r="AJ57">
        <v>0.46408199514543802</v>
      </c>
      <c r="AK57">
        <v>1.4471477692657201E-2</v>
      </c>
      <c r="AL57">
        <v>0.52144652716190398</v>
      </c>
    </row>
    <row r="58" spans="1:38" x14ac:dyDescent="0.2">
      <c r="A58">
        <v>138</v>
      </c>
      <c r="B58">
        <v>752</v>
      </c>
      <c r="C58">
        <v>200</v>
      </c>
      <c r="D58">
        <v>0.37937911525142798</v>
      </c>
      <c r="E58">
        <v>12.168105153663999</v>
      </c>
      <c r="F58">
        <v>2.5629095806075002</v>
      </c>
      <c r="G58">
        <v>-196.79296134364404</v>
      </c>
      <c r="H58">
        <v>-170.58242424765209</v>
      </c>
      <c r="I58">
        <v>25.5675141159752</v>
      </c>
      <c r="J58">
        <v>14.868363462099101</v>
      </c>
      <c r="K58">
        <v>4.7477699743038801</v>
      </c>
      <c r="L58">
        <v>3.1625800437518204E-5</v>
      </c>
      <c r="M58">
        <v>1.8247015564885474E-6</v>
      </c>
      <c r="N58" s="1">
        <v>-1.9506948819341199E-7</v>
      </c>
      <c r="O58" s="1">
        <v>4.2259216543338902E-11</v>
      </c>
      <c r="P58" s="1">
        <v>6.6823890236133804E-10</v>
      </c>
      <c r="Q58">
        <v>65.813923263321598</v>
      </c>
      <c r="S58">
        <v>20.842666123622902</v>
      </c>
      <c r="AA58">
        <v>1.8386337042912499</v>
      </c>
      <c r="AB58">
        <v>8.9694810219606005</v>
      </c>
      <c r="AC58">
        <v>2.5352958868035702</v>
      </c>
      <c r="AJ58">
        <v>0.76967807196494797</v>
      </c>
      <c r="AK58">
        <v>8.7186211309378703E-2</v>
      </c>
      <c r="AL58">
        <v>0.14313571672567199</v>
      </c>
    </row>
    <row r="59" spans="1:38" x14ac:dyDescent="0.2">
      <c r="A59">
        <v>138</v>
      </c>
      <c r="B59">
        <v>752</v>
      </c>
      <c r="C59">
        <v>200</v>
      </c>
      <c r="D59">
        <v>0.37937911525142798</v>
      </c>
      <c r="E59">
        <v>20.177482273487001</v>
      </c>
      <c r="F59">
        <v>2.5236539345787801</v>
      </c>
      <c r="G59">
        <v>-319.77762309634869</v>
      </c>
      <c r="H59">
        <v>-276.882357158106</v>
      </c>
      <c r="I59">
        <v>41.842916586102199</v>
      </c>
      <c r="J59">
        <v>24.096115061163101</v>
      </c>
      <c r="K59">
        <v>7.99534436834535</v>
      </c>
      <c r="L59">
        <v>2.9023506905729529E-5</v>
      </c>
      <c r="M59">
        <v>1.8042368973612627E-6</v>
      </c>
      <c r="N59" s="1">
        <v>-1.6701590033107699E-7</v>
      </c>
      <c r="O59" s="1">
        <v>7.5758935051086201E-11</v>
      </c>
      <c r="P59" s="1">
        <v>6.4605818884940101E-10</v>
      </c>
      <c r="Q59">
        <v>66.2040764050315</v>
      </c>
      <c r="S59">
        <v>19.084454575639601</v>
      </c>
      <c r="AA59">
        <v>0.29705427267588602</v>
      </c>
      <c r="AB59">
        <v>5.2295362229522304</v>
      </c>
      <c r="AC59">
        <v>9.1848785237007302</v>
      </c>
      <c r="AJ59">
        <v>0.45726055456647302</v>
      </c>
      <c r="AK59">
        <v>1.4353147799025001E-2</v>
      </c>
      <c r="AL59">
        <v>0.52838629763450096</v>
      </c>
    </row>
    <row r="60" spans="1:38" x14ac:dyDescent="0.2">
      <c r="A60">
        <v>139</v>
      </c>
      <c r="B60">
        <v>751</v>
      </c>
      <c r="C60">
        <v>200</v>
      </c>
      <c r="D60">
        <v>0.378704779573308</v>
      </c>
      <c r="E60">
        <v>16.772124152224901</v>
      </c>
      <c r="F60">
        <v>2.5639033712324202</v>
      </c>
      <c r="G60">
        <v>-271.27341966961342</v>
      </c>
      <c r="H60">
        <v>-235.20335174008085</v>
      </c>
      <c r="I60">
        <v>35.219516603556599</v>
      </c>
      <c r="J60">
        <v>20.5026521295162</v>
      </c>
      <c r="K60">
        <v>6.5416366078425403</v>
      </c>
      <c r="L60">
        <v>3.1653249784305683E-5</v>
      </c>
      <c r="M60">
        <v>1.8236471960729625E-6</v>
      </c>
      <c r="N60" s="1">
        <v>-2.7760123199889199E-7</v>
      </c>
      <c r="O60" s="1">
        <v>5.8082445952069903E-11</v>
      </c>
      <c r="P60" s="1">
        <v>9.4620461811739008E-10</v>
      </c>
      <c r="Q60">
        <v>65.747201009903193</v>
      </c>
      <c r="S60">
        <v>20.901609539846401</v>
      </c>
      <c r="AA60">
        <v>1.9028313518915301</v>
      </c>
      <c r="AB60">
        <v>8.9753218865189801</v>
      </c>
      <c r="AC60">
        <v>2.47303621183974</v>
      </c>
      <c r="AJ60">
        <v>0.77015587481094006</v>
      </c>
      <c r="AK60">
        <v>9.0227658787281603E-2</v>
      </c>
      <c r="AL60">
        <v>0.139616466401777</v>
      </c>
    </row>
    <row r="61" spans="1:38" x14ac:dyDescent="0.2">
      <c r="A61">
        <v>139</v>
      </c>
      <c r="B61">
        <v>751</v>
      </c>
      <c r="C61">
        <v>200</v>
      </c>
      <c r="D61">
        <v>0.378704779573308</v>
      </c>
      <c r="E61">
        <v>32.126087727011097</v>
      </c>
      <c r="F61">
        <v>2.5235379605176198</v>
      </c>
      <c r="G61">
        <v>-508.92780873825171</v>
      </c>
      <c r="H61">
        <v>-440.75885882772582</v>
      </c>
      <c r="I61">
        <v>66.561489928746596</v>
      </c>
      <c r="J61">
        <v>38.356963246237498</v>
      </c>
      <c r="K61">
        <v>12.730574387880999</v>
      </c>
      <c r="L61">
        <v>2.8994097643244754E-5</v>
      </c>
      <c r="M61">
        <v>1.8036256044221514E-6</v>
      </c>
      <c r="N61" s="1">
        <v>-2.7090911642390802E-7</v>
      </c>
      <c r="O61" s="1">
        <v>1.2063518546241701E-10</v>
      </c>
      <c r="P61" s="1">
        <v>1.04272270124638E-9</v>
      </c>
      <c r="Q61">
        <v>66.184648500388505</v>
      </c>
      <c r="S61">
        <v>19.0758697503462</v>
      </c>
      <c r="AA61">
        <v>0.29450493985927501</v>
      </c>
      <c r="AB61">
        <v>5.1637359435279899</v>
      </c>
      <c r="AC61">
        <v>9.2812408658779404</v>
      </c>
      <c r="AJ61">
        <v>0.45165755704104998</v>
      </c>
      <c r="AK61">
        <v>1.42347101868591E-2</v>
      </c>
      <c r="AL61">
        <v>0.53410773277209</v>
      </c>
    </row>
    <row r="62" spans="1:38" x14ac:dyDescent="0.2">
      <c r="A62">
        <v>140</v>
      </c>
      <c r="B62">
        <v>750</v>
      </c>
      <c r="C62">
        <v>200</v>
      </c>
      <c r="D62">
        <v>0.37802912573913899</v>
      </c>
      <c r="E62">
        <v>18.609445363858701</v>
      </c>
      <c r="F62">
        <v>2.5643897718667099</v>
      </c>
      <c r="G62">
        <v>-300.9822394828725</v>
      </c>
      <c r="H62">
        <v>-261.02335165831136</v>
      </c>
      <c r="I62">
        <v>39.054769901344898</v>
      </c>
      <c r="J62">
        <v>22.758474040557001</v>
      </c>
      <c r="K62">
        <v>7.2568708423416597</v>
      </c>
      <c r="L62">
        <v>3.1694347419082074E-5</v>
      </c>
      <c r="M62">
        <v>1.8233817701733022E-6</v>
      </c>
      <c r="N62" s="1">
        <v>-3.1806213044966298E-7</v>
      </c>
      <c r="O62" s="1">
        <v>6.4315687230526605E-11</v>
      </c>
      <c r="P62" s="1">
        <v>1.0787390076310799E-9</v>
      </c>
      <c r="Q62">
        <v>65.720508857678993</v>
      </c>
      <c r="S62">
        <v>20.926751943053599</v>
      </c>
      <c r="AA62">
        <v>1.9298023407914899</v>
      </c>
      <c r="AB62">
        <v>8.9817539352064095</v>
      </c>
      <c r="AC62">
        <v>2.44118292326936</v>
      </c>
      <c r="AJ62">
        <v>0.77068272804205296</v>
      </c>
      <c r="AK62">
        <v>9.1503581362941996E-2</v>
      </c>
      <c r="AL62">
        <v>0.13781369059500301</v>
      </c>
    </row>
    <row r="63" spans="1:38" x14ac:dyDescent="0.2">
      <c r="A63">
        <v>140</v>
      </c>
      <c r="B63">
        <v>750</v>
      </c>
      <c r="C63">
        <v>200</v>
      </c>
      <c r="D63">
        <v>0.37802912573913899</v>
      </c>
      <c r="E63">
        <v>36.690484718845703</v>
      </c>
      <c r="F63">
        <v>2.5234909760601298</v>
      </c>
      <c r="G63">
        <v>-581.06780563794871</v>
      </c>
      <c r="H63">
        <v>-503.34738112200841</v>
      </c>
      <c r="I63">
        <v>75.961906383169705</v>
      </c>
      <c r="J63">
        <v>43.805776495709303</v>
      </c>
      <c r="K63">
        <v>14.5395743701567</v>
      </c>
      <c r="L63">
        <v>2.8989779398757488E-5</v>
      </c>
      <c r="M63">
        <v>1.8033987055805604E-6</v>
      </c>
      <c r="N63" s="1">
        <v>-3.17695102496298E-7</v>
      </c>
      <c r="O63" s="1">
        <v>1.37743085680782E-10</v>
      </c>
      <c r="P63" s="1">
        <v>1.2145532604050899E-9</v>
      </c>
      <c r="Q63">
        <v>66.176035265454303</v>
      </c>
      <c r="S63">
        <v>19.069980259331</v>
      </c>
      <c r="AA63">
        <v>0.29165583008954998</v>
      </c>
      <c r="AB63">
        <v>5.1291017449177296</v>
      </c>
      <c r="AC63">
        <v>9.3332269002074</v>
      </c>
      <c r="AJ63">
        <v>0.44870691498040399</v>
      </c>
      <c r="AK63">
        <v>1.40994736703855E-2</v>
      </c>
      <c r="AL63">
        <v>0.53719361134920995</v>
      </c>
    </row>
    <row r="64" spans="1:38" x14ac:dyDescent="0.2">
      <c r="A64">
        <v>141</v>
      </c>
      <c r="B64">
        <v>749</v>
      </c>
      <c r="C64">
        <v>200</v>
      </c>
      <c r="D64">
        <v>0.37735214988015597</v>
      </c>
      <c r="E64">
        <v>19.324121008124099</v>
      </c>
      <c r="F64">
        <v>2.5646459770599201</v>
      </c>
      <c r="G64">
        <v>-312.51864014316544</v>
      </c>
      <c r="H64">
        <v>-271.08930681584314</v>
      </c>
      <c r="I64">
        <v>40.5315592890692</v>
      </c>
      <c r="J64">
        <v>23.6431278890865</v>
      </c>
      <c r="K64">
        <v>7.5348103328776102</v>
      </c>
      <c r="L64">
        <v>3.1742996583964666E-5</v>
      </c>
      <c r="M64">
        <v>1.823491459380123E-6</v>
      </c>
      <c r="N64" s="1">
        <v>-3.4111349143577301E-7</v>
      </c>
      <c r="O64" s="1">
        <v>6.6675623541147201E-11</v>
      </c>
      <c r="P64" s="1">
        <v>1.1512627439763201E-9</v>
      </c>
      <c r="Q64">
        <v>65.712465081014699</v>
      </c>
      <c r="S64">
        <v>20.936334225649802</v>
      </c>
      <c r="AA64">
        <v>1.93958472736722</v>
      </c>
      <c r="AB64">
        <v>8.9889500098077395</v>
      </c>
      <c r="AC64">
        <v>2.4226659561604098</v>
      </c>
      <c r="AJ64">
        <v>0.77127245998456295</v>
      </c>
      <c r="AK64">
        <v>9.1964116950231198E-2</v>
      </c>
      <c r="AL64">
        <v>0.136763423065205</v>
      </c>
    </row>
    <row r="65" spans="1:38" x14ac:dyDescent="0.2">
      <c r="A65">
        <v>141</v>
      </c>
      <c r="B65">
        <v>749</v>
      </c>
      <c r="C65">
        <v>200</v>
      </c>
      <c r="D65">
        <v>0.37735214988015597</v>
      </c>
      <c r="E65">
        <v>38.286711328574597</v>
      </c>
      <c r="F65">
        <v>2.5234734514052799</v>
      </c>
      <c r="G65">
        <v>-606.20876851110302</v>
      </c>
      <c r="H65">
        <v>-525.24099443916748</v>
      </c>
      <c r="I65">
        <v>79.213201655271106</v>
      </c>
      <c r="J65">
        <v>45.7148855672542</v>
      </c>
      <c r="K65">
        <v>15.1722267207738</v>
      </c>
      <c r="L65">
        <v>2.8997076210903359E-5</v>
      </c>
      <c r="M65">
        <v>1.8033436744741841E-6</v>
      </c>
      <c r="N65" s="1">
        <v>-3.4160504200958599E-7</v>
      </c>
      <c r="O65" s="1">
        <v>1.4367884362102399E-10</v>
      </c>
      <c r="P65" s="1">
        <v>1.2962682115162599E-9</v>
      </c>
      <c r="Q65">
        <v>66.172249138746594</v>
      </c>
      <c r="S65">
        <v>19.065284871149402</v>
      </c>
      <c r="AA65">
        <v>0.28866552767040299</v>
      </c>
      <c r="AB65">
        <v>5.1083549939937303</v>
      </c>
      <c r="AC65">
        <v>9.3654454684397308</v>
      </c>
      <c r="AJ65">
        <v>0.44693892322189999</v>
      </c>
      <c r="AK65">
        <v>1.39563811762985E-2</v>
      </c>
      <c r="AL65">
        <v>0.53910469560179997</v>
      </c>
    </row>
    <row r="66" spans="1:38" x14ac:dyDescent="0.2">
      <c r="A66">
        <v>145</v>
      </c>
      <c r="B66">
        <v>762</v>
      </c>
      <c r="C66">
        <v>180</v>
      </c>
      <c r="D66">
        <v>0.40730377240013699</v>
      </c>
      <c r="E66">
        <v>0.75607613909762705</v>
      </c>
      <c r="F66">
        <v>2.5664035415888602</v>
      </c>
      <c r="G66">
        <v>-12.272703364299494</v>
      </c>
      <c r="H66">
        <v>-10.618613136016538</v>
      </c>
      <c r="I66">
        <v>1.5979232268588599</v>
      </c>
      <c r="J66">
        <v>0.92221539005192199</v>
      </c>
      <c r="K66">
        <v>0.29460532096582898</v>
      </c>
      <c r="L66">
        <v>3.1352735798783983E-5</v>
      </c>
      <c r="M66">
        <v>1.8220990191249922E-6</v>
      </c>
      <c r="N66" s="1">
        <v>-9.0448335890225001E-9</v>
      </c>
      <c r="O66" s="1">
        <v>2.63003084988218E-12</v>
      </c>
      <c r="P66" s="1">
        <v>3.2682252415736302E-11</v>
      </c>
      <c r="Q66">
        <v>65.609874907355007</v>
      </c>
      <c r="S66">
        <v>21.116868851228499</v>
      </c>
      <c r="AA66">
        <v>2.1124656565223301</v>
      </c>
      <c r="AB66">
        <v>9.2336283005294302</v>
      </c>
      <c r="AC66">
        <v>1.9271622843646601</v>
      </c>
      <c r="AJ66">
        <v>0.79130181606541194</v>
      </c>
      <c r="AK66">
        <v>0.100039202711085</v>
      </c>
      <c r="AL66">
        <v>0.108658981223502</v>
      </c>
    </row>
    <row r="67" spans="1:38" x14ac:dyDescent="0.2">
      <c r="A67">
        <v>146</v>
      </c>
      <c r="B67">
        <v>761</v>
      </c>
      <c r="C67">
        <v>180</v>
      </c>
      <c r="D67">
        <v>0.40666295991877599</v>
      </c>
      <c r="E67">
        <v>2.0437762512249402</v>
      </c>
      <c r="F67">
        <v>2.5647604483230002</v>
      </c>
      <c r="G67">
        <v>-33.154532292702058</v>
      </c>
      <c r="H67">
        <v>-28.689735995666858</v>
      </c>
      <c r="I67">
        <v>4.3173585041195102</v>
      </c>
      <c r="J67">
        <v>2.4929186583038101</v>
      </c>
      <c r="K67">
        <v>0.79686828162110801</v>
      </c>
      <c r="L67">
        <v>3.1387870836028976E-5</v>
      </c>
      <c r="M67">
        <v>1.8240266292316832E-6</v>
      </c>
      <c r="N67" s="1">
        <v>-2.5080227858930699E-8</v>
      </c>
      <c r="O67" s="1">
        <v>7.1249288607832498E-12</v>
      </c>
      <c r="P67" s="1">
        <v>9.0145072507094097E-11</v>
      </c>
      <c r="Q67">
        <v>65.714979375659993</v>
      </c>
      <c r="S67">
        <v>21.011988333522101</v>
      </c>
      <c r="AA67">
        <v>2.0014134647151098</v>
      </c>
      <c r="AB67">
        <v>9.1928900601060093</v>
      </c>
      <c r="AC67">
        <v>2.0787287659966198</v>
      </c>
      <c r="AJ67">
        <v>0.78797175961604304</v>
      </c>
      <c r="AK67">
        <v>9.47995321798525E-2</v>
      </c>
      <c r="AL67">
        <v>0.117228708204103</v>
      </c>
    </row>
    <row r="68" spans="1:38" x14ac:dyDescent="0.2">
      <c r="A68">
        <v>147</v>
      </c>
      <c r="B68">
        <v>760</v>
      </c>
      <c r="C68">
        <v>180</v>
      </c>
      <c r="D68">
        <v>0.40602090693510101</v>
      </c>
      <c r="E68">
        <v>3.4230566269849199</v>
      </c>
      <c r="F68">
        <v>2.5629250219200701</v>
      </c>
      <c r="G68">
        <v>-55.49045412282338</v>
      </c>
      <c r="H68">
        <v>-48.023551289304912</v>
      </c>
      <c r="I68">
        <v>7.2273172661457403</v>
      </c>
      <c r="J68">
        <v>4.1749805407581304</v>
      </c>
      <c r="K68">
        <v>1.3356054499091199</v>
      </c>
      <c r="L68">
        <v>3.1409987219163802E-5</v>
      </c>
      <c r="M68">
        <v>1.8257729558345244E-6</v>
      </c>
      <c r="N68" s="1">
        <v>-4.2986533657724399E-8</v>
      </c>
      <c r="O68" s="1">
        <v>1.19630016322119E-11</v>
      </c>
      <c r="P68" s="1">
        <v>1.53766407976837E-10</v>
      </c>
      <c r="Q68">
        <v>65.819138401558206</v>
      </c>
      <c r="S68">
        <v>20.900825960168401</v>
      </c>
      <c r="AA68">
        <v>1.8853992837383999</v>
      </c>
      <c r="AB68">
        <v>9.13357625069502</v>
      </c>
      <c r="AC68">
        <v>2.2610601038398599</v>
      </c>
      <c r="AJ68">
        <v>0.78312008174884795</v>
      </c>
      <c r="AK68">
        <v>8.9330883678164094E-2</v>
      </c>
      <c r="AL68">
        <v>0.127549034572987</v>
      </c>
    </row>
    <row r="69" spans="1:38" x14ac:dyDescent="0.2">
      <c r="A69">
        <v>148</v>
      </c>
      <c r="B69">
        <v>759</v>
      </c>
      <c r="C69">
        <v>180</v>
      </c>
      <c r="D69">
        <v>0.40537760984353299</v>
      </c>
      <c r="E69">
        <v>4.9450426091462996</v>
      </c>
      <c r="F69">
        <v>2.5607720266515699</v>
      </c>
      <c r="G69">
        <v>-80.094966283716715</v>
      </c>
      <c r="H69">
        <v>-69.32461650603571</v>
      </c>
      <c r="I69">
        <v>10.4348687474504</v>
      </c>
      <c r="J69">
        <v>6.0298823814099904</v>
      </c>
      <c r="K69">
        <v>1.9310749093164501</v>
      </c>
      <c r="L69">
        <v>3.1412541496768212E-5</v>
      </c>
      <c r="M69">
        <v>1.8272920208779392E-6</v>
      </c>
      <c r="N69" s="1">
        <v>-6.33149116752316E-8</v>
      </c>
      <c r="O69" s="1">
        <v>1.7333942662496101E-11</v>
      </c>
      <c r="P69" s="1">
        <v>2.25556030433005E-10</v>
      </c>
      <c r="Q69">
        <v>65.924186200942103</v>
      </c>
      <c r="S69">
        <v>20.778155126388199</v>
      </c>
      <c r="AA69">
        <v>1.75968312193004</v>
      </c>
      <c r="AB69">
        <v>9.0460721001328199</v>
      </c>
      <c r="AC69">
        <v>2.4919034506067201</v>
      </c>
      <c r="AJ69">
        <v>0.77595650664944005</v>
      </c>
      <c r="AK69">
        <v>8.34108588764777E-2</v>
      </c>
      <c r="AL69">
        <v>0.140632634474082</v>
      </c>
    </row>
    <row r="70" spans="1:38" x14ac:dyDescent="0.2">
      <c r="A70">
        <v>149</v>
      </c>
      <c r="B70">
        <v>758</v>
      </c>
      <c r="C70">
        <v>180</v>
      </c>
      <c r="D70">
        <v>0.40473306502448703</v>
      </c>
      <c r="E70">
        <v>6.7336891733194104</v>
      </c>
      <c r="F70">
        <v>2.5580005697559001</v>
      </c>
      <c r="G70">
        <v>-108.94289210507371</v>
      </c>
      <c r="H70">
        <v>-94.300893516176274</v>
      </c>
      <c r="I70">
        <v>14.199678600492099</v>
      </c>
      <c r="J70">
        <v>8.2065970451086603</v>
      </c>
      <c r="K70">
        <v>2.6324033125457702</v>
      </c>
      <c r="L70">
        <v>3.1379752908960505E-5</v>
      </c>
      <c r="M70">
        <v>1.8284715523645029E-6</v>
      </c>
      <c r="N70" s="1">
        <v>-8.73006457968924E-8</v>
      </c>
      <c r="O70" s="1">
        <v>2.3699148866847101E-11</v>
      </c>
      <c r="P70" s="1">
        <v>3.10098112911009E-10</v>
      </c>
      <c r="Q70">
        <v>66.034471086642199</v>
      </c>
      <c r="S70">
        <v>20.631394651179299</v>
      </c>
      <c r="AA70">
        <v>1.6128707567884599</v>
      </c>
      <c r="AB70">
        <v>8.9070843887526401</v>
      </c>
      <c r="AC70">
        <v>2.8141791166372698</v>
      </c>
      <c r="AJ70">
        <v>0.76456444902115805</v>
      </c>
      <c r="AK70">
        <v>7.6504836481186805E-2</v>
      </c>
      <c r="AL70">
        <v>0.158930714497654</v>
      </c>
    </row>
    <row r="71" spans="1:38" x14ac:dyDescent="0.2">
      <c r="A71">
        <v>150</v>
      </c>
      <c r="B71">
        <v>757</v>
      </c>
      <c r="C71">
        <v>180</v>
      </c>
      <c r="D71">
        <v>0.40408726884434598</v>
      </c>
      <c r="E71">
        <v>9.0155175194300394</v>
      </c>
      <c r="F71">
        <v>2.5592145239687998</v>
      </c>
      <c r="G71">
        <v>-145.87950720924383</v>
      </c>
      <c r="H71">
        <v>-126.30664580560965</v>
      </c>
      <c r="I71">
        <v>19.000011069877399</v>
      </c>
      <c r="J71">
        <v>10.9916112956469</v>
      </c>
      <c r="K71">
        <v>3.5227674096850898</v>
      </c>
      <c r="L71">
        <v>3.1399836136812086E-5</v>
      </c>
      <c r="M71">
        <v>1.8272332998426367E-6</v>
      </c>
      <c r="N71" s="1">
        <v>-1.2073126113443701E-7</v>
      </c>
      <c r="O71" s="1">
        <v>3.1636805602833402E-11</v>
      </c>
      <c r="P71" s="1">
        <v>4.2633287229051702E-10</v>
      </c>
      <c r="Q71">
        <v>65.956371340085497</v>
      </c>
      <c r="S71">
        <v>20.702143882764599</v>
      </c>
      <c r="AA71">
        <v>1.6894631054276099</v>
      </c>
      <c r="AB71">
        <v>8.9185215997207106</v>
      </c>
      <c r="AC71">
        <v>2.73350007200141</v>
      </c>
      <c r="AJ71">
        <v>0.76550143105994295</v>
      </c>
      <c r="AK71">
        <v>8.0133228574579898E-2</v>
      </c>
      <c r="AL71">
        <v>0.154365340365476</v>
      </c>
    </row>
    <row r="72" spans="1:38" x14ac:dyDescent="0.2">
      <c r="A72">
        <v>150</v>
      </c>
      <c r="B72">
        <v>757</v>
      </c>
      <c r="C72">
        <v>180</v>
      </c>
      <c r="D72">
        <v>0.40408726884434598</v>
      </c>
      <c r="E72">
        <v>8.8403003902927395</v>
      </c>
      <c r="F72">
        <v>2.5232751994965201</v>
      </c>
      <c r="G72">
        <v>-140.41613097957449</v>
      </c>
      <c r="H72">
        <v>-121.45317534726911</v>
      </c>
      <c r="I72">
        <v>18.407955765961599</v>
      </c>
      <c r="J72">
        <v>10.5616805145168</v>
      </c>
      <c r="K72">
        <v>3.5035022704050101</v>
      </c>
      <c r="L72">
        <v>2.9074219171699252E-5</v>
      </c>
      <c r="M72">
        <v>1.8073270682011968E-6</v>
      </c>
      <c r="N72" s="1">
        <v>-6.38217830066917E-8</v>
      </c>
      <c r="O72" s="1">
        <v>3.3208584039736397E-11</v>
      </c>
      <c r="P72" s="1">
        <v>2.5625544987144802E-10</v>
      </c>
      <c r="Q72">
        <v>66.262241130424997</v>
      </c>
      <c r="S72">
        <v>19.125552147531899</v>
      </c>
      <c r="AA72">
        <v>0.31738824678469502</v>
      </c>
      <c r="AB72">
        <v>5.4668958225884303</v>
      </c>
      <c r="AC72">
        <v>8.8279226526698</v>
      </c>
      <c r="AJ72">
        <v>0.47744100046247401</v>
      </c>
      <c r="AK72">
        <v>1.5317240950086001E-2</v>
      </c>
      <c r="AL72">
        <v>0.50724175858743903</v>
      </c>
    </row>
    <row r="73" spans="1:38" x14ac:dyDescent="0.2">
      <c r="A73">
        <v>151</v>
      </c>
      <c r="B73">
        <v>756</v>
      </c>
      <c r="C73">
        <v>180</v>
      </c>
      <c r="D73">
        <v>0.40344021765534699</v>
      </c>
      <c r="E73">
        <v>13.9157527851093</v>
      </c>
      <c r="F73">
        <v>2.5611892555999298</v>
      </c>
      <c r="G73">
        <v>-225.2364389364372</v>
      </c>
      <c r="H73">
        <v>-195.07421333619297</v>
      </c>
      <c r="I73">
        <v>29.307900306315101</v>
      </c>
      <c r="J73">
        <v>16.9727199473216</v>
      </c>
      <c r="K73">
        <v>5.4333168682021897</v>
      </c>
      <c r="L73">
        <v>3.1405558919517468E-5</v>
      </c>
      <c r="M73">
        <v>1.824885245776192E-6</v>
      </c>
      <c r="N73" s="1">
        <v>-1.9253131461988599E-7</v>
      </c>
      <c r="O73" s="1">
        <v>4.8621892327798903E-11</v>
      </c>
      <c r="P73" s="1">
        <v>6.7600512752033798E-10</v>
      </c>
      <c r="Q73">
        <v>65.820463816481407</v>
      </c>
      <c r="S73">
        <v>20.822852749303301</v>
      </c>
      <c r="AA73">
        <v>1.8207613189401</v>
      </c>
      <c r="AB73">
        <v>8.9321129572935796</v>
      </c>
      <c r="AC73">
        <v>2.6038091579814999</v>
      </c>
      <c r="AJ73">
        <v>0.76661408416142995</v>
      </c>
      <c r="AK73">
        <v>8.6354782765066099E-2</v>
      </c>
      <c r="AL73">
        <v>0.14703113307350299</v>
      </c>
    </row>
    <row r="74" spans="1:38" x14ac:dyDescent="0.2">
      <c r="A74">
        <v>151</v>
      </c>
      <c r="B74">
        <v>756</v>
      </c>
      <c r="C74">
        <v>180</v>
      </c>
      <c r="D74">
        <v>0.40344021765534699</v>
      </c>
      <c r="E74">
        <v>24.761971554399299</v>
      </c>
      <c r="F74">
        <v>2.5229680250656199</v>
      </c>
      <c r="G74">
        <v>-393.03488459927593</v>
      </c>
      <c r="H74">
        <v>-340.03426534317123</v>
      </c>
      <c r="I74">
        <v>51.499411413403898</v>
      </c>
      <c r="J74">
        <v>29.5655030464814</v>
      </c>
      <c r="K74">
        <v>9.8146196497100604</v>
      </c>
      <c r="L74">
        <v>2.8993996955558579E-5</v>
      </c>
      <c r="M74">
        <v>1.8059232372989915E-6</v>
      </c>
      <c r="N74" s="1">
        <v>-1.79187107326339E-7</v>
      </c>
      <c r="O74" s="1">
        <v>9.3095612216805403E-11</v>
      </c>
      <c r="P74" s="1">
        <v>7.1863475810498499E-10</v>
      </c>
      <c r="Q74">
        <v>66.2215768398259</v>
      </c>
      <c r="S74">
        <v>19.110273388808402</v>
      </c>
      <c r="AA74">
        <v>0.31427157069065198</v>
      </c>
      <c r="AB74">
        <v>5.3362223789524004</v>
      </c>
      <c r="AC74">
        <v>9.0176558217226006</v>
      </c>
      <c r="AJ74">
        <v>0.46633698725874601</v>
      </c>
      <c r="AK74">
        <v>1.51768565493107E-2</v>
      </c>
      <c r="AL74">
        <v>0.51848615619194205</v>
      </c>
    </row>
    <row r="75" spans="1:38" x14ac:dyDescent="0.2">
      <c r="A75">
        <v>152</v>
      </c>
      <c r="B75">
        <v>755</v>
      </c>
      <c r="C75">
        <v>180</v>
      </c>
      <c r="D75">
        <v>0.40279190779555302</v>
      </c>
      <c r="E75">
        <v>16.9894012537256</v>
      </c>
      <c r="F75">
        <v>2.5623821953907902</v>
      </c>
      <c r="G75">
        <v>-275.01848481162654</v>
      </c>
      <c r="H75">
        <v>-238.25298584445974</v>
      </c>
      <c r="I75">
        <v>35.758886317333797</v>
      </c>
      <c r="J75">
        <v>20.729231785295099</v>
      </c>
      <c r="K75">
        <v>6.6303150577170298</v>
      </c>
      <c r="L75">
        <v>3.142401714924506E-5</v>
      </c>
      <c r="M75">
        <v>1.8235490097227268E-6</v>
      </c>
      <c r="N75" s="1">
        <v>-2.42679122756683E-7</v>
      </c>
      <c r="O75" s="1">
        <v>5.9182312578899896E-11</v>
      </c>
      <c r="P75" s="1">
        <v>8.4736924666093203E-10</v>
      </c>
      <c r="Q75">
        <v>65.739538331317704</v>
      </c>
      <c r="S75">
        <v>20.8944533018954</v>
      </c>
      <c r="AA75">
        <v>1.89871536360033</v>
      </c>
      <c r="AB75">
        <v>8.9394850099846401</v>
      </c>
      <c r="AC75">
        <v>2.5278079932017801</v>
      </c>
      <c r="AJ75">
        <v>0.76721741900681795</v>
      </c>
      <c r="AK75">
        <v>9.0048526139451995E-2</v>
      </c>
      <c r="AL75">
        <v>0.142734054853729</v>
      </c>
    </row>
    <row r="76" spans="1:38" x14ac:dyDescent="0.2">
      <c r="A76">
        <v>152</v>
      </c>
      <c r="B76">
        <v>755</v>
      </c>
      <c r="C76">
        <v>180</v>
      </c>
      <c r="D76">
        <v>0.40279190779555302</v>
      </c>
      <c r="E76">
        <v>33.889209792693599</v>
      </c>
      <c r="F76">
        <v>2.5228049304655902</v>
      </c>
      <c r="G76">
        <v>-537.64966502600907</v>
      </c>
      <c r="H76">
        <v>-465.25274007270588</v>
      </c>
      <c r="I76">
        <v>70.414749747899705</v>
      </c>
      <c r="J76">
        <v>40.450809928767903</v>
      </c>
      <c r="K76">
        <v>13.433147122650899</v>
      </c>
      <c r="L76">
        <v>2.8953254283754974E-5</v>
      </c>
      <c r="M76">
        <v>1.8051520949163285E-6</v>
      </c>
      <c r="N76" s="1">
        <v>-2.4897660944205599E-7</v>
      </c>
      <c r="O76" s="1">
        <v>1.2744893253055601E-10</v>
      </c>
      <c r="P76" s="1">
        <v>9.940192934455379E-10</v>
      </c>
      <c r="Q76">
        <v>66.198162927728305</v>
      </c>
      <c r="S76">
        <v>19.1000182824123</v>
      </c>
      <c r="AA76">
        <v>0.31127431920931098</v>
      </c>
      <c r="AB76">
        <v>5.2571606365746604</v>
      </c>
      <c r="AC76">
        <v>9.1333838340753495</v>
      </c>
      <c r="AJ76">
        <v>0.45961157243332501</v>
      </c>
      <c r="AK76">
        <v>1.5038128446642001E-2</v>
      </c>
      <c r="AL76">
        <v>0.52535029912003195</v>
      </c>
    </row>
    <row r="77" spans="1:38" x14ac:dyDescent="0.2">
      <c r="A77">
        <v>153</v>
      </c>
      <c r="B77">
        <v>754</v>
      </c>
      <c r="C77">
        <v>180</v>
      </c>
      <c r="D77">
        <v>0.402142335588766</v>
      </c>
      <c r="E77">
        <v>18.2857073451374</v>
      </c>
      <c r="F77">
        <v>2.5629545147080202</v>
      </c>
      <c r="G77">
        <v>-296.00010566131812</v>
      </c>
      <c r="H77">
        <v>-256.49103256153882</v>
      </c>
      <c r="I77">
        <v>38.464755001488903</v>
      </c>
      <c r="J77">
        <v>22.319205966675899</v>
      </c>
      <c r="K77">
        <v>7.1346203142510998</v>
      </c>
      <c r="L77">
        <v>3.1457383855824582E-5</v>
      </c>
      <c r="M77">
        <v>1.8231427282524075E-6</v>
      </c>
      <c r="N77" s="1">
        <v>-2.6967650078416301E-7</v>
      </c>
      <c r="O77" s="1">
        <v>6.3572364244291096E-11</v>
      </c>
      <c r="P77" s="1">
        <v>9.3648434963512505E-10</v>
      </c>
      <c r="Q77">
        <v>65.706420407291702</v>
      </c>
      <c r="S77">
        <v>20.9252090767698</v>
      </c>
      <c r="AA77">
        <v>1.9318168076061</v>
      </c>
      <c r="AB77">
        <v>8.9463137543614693</v>
      </c>
      <c r="AC77">
        <v>2.49023995397084</v>
      </c>
      <c r="AJ77">
        <v>0.76777689223302004</v>
      </c>
      <c r="AK77">
        <v>9.1615222880509606E-2</v>
      </c>
      <c r="AL77">
        <v>0.14060788488647</v>
      </c>
    </row>
    <row r="78" spans="1:38" x14ac:dyDescent="0.2">
      <c r="A78">
        <v>153</v>
      </c>
      <c r="B78">
        <v>754</v>
      </c>
      <c r="C78">
        <v>180</v>
      </c>
      <c r="D78">
        <v>0.402142335588766</v>
      </c>
      <c r="E78">
        <v>37.480952938654298</v>
      </c>
      <c r="F78">
        <v>2.5227369580313002</v>
      </c>
      <c r="G78">
        <v>-594.4467285311664</v>
      </c>
      <c r="H78">
        <v>-514.51587408729199</v>
      </c>
      <c r="I78">
        <v>77.8180932131378</v>
      </c>
      <c r="J78">
        <v>44.734615237187299</v>
      </c>
      <c r="K78">
        <v>14.8572576381105</v>
      </c>
      <c r="L78">
        <v>2.894271238105564E-5</v>
      </c>
      <c r="M78">
        <v>1.8048555853168899E-6</v>
      </c>
      <c r="N78" s="1">
        <v>-2.8235926381132E-7</v>
      </c>
      <c r="O78" s="1">
        <v>1.4094169322549801E-10</v>
      </c>
      <c r="P78" s="1">
        <v>1.1193737435787001E-9</v>
      </c>
      <c r="Q78">
        <v>66.187964953971402</v>
      </c>
      <c r="S78">
        <v>19.093363353930702</v>
      </c>
      <c r="AA78">
        <v>0.308163492831865</v>
      </c>
      <c r="AB78">
        <v>5.2169882386366204</v>
      </c>
      <c r="AC78">
        <v>9.1935199606293505</v>
      </c>
      <c r="AJ78">
        <v>0.45619224631320299</v>
      </c>
      <c r="AK78">
        <v>1.48908682149214E-2</v>
      </c>
      <c r="AL78">
        <v>0.52891688547187399</v>
      </c>
    </row>
    <row r="79" spans="1:38" x14ac:dyDescent="0.2">
      <c r="A79">
        <v>154</v>
      </c>
      <c r="B79">
        <v>753</v>
      </c>
      <c r="C79">
        <v>180</v>
      </c>
      <c r="D79">
        <v>0.401491497344444</v>
      </c>
      <c r="E79">
        <v>18.8728143909271</v>
      </c>
      <c r="F79">
        <v>2.56326578517203</v>
      </c>
      <c r="G79">
        <v>-305.48538644769087</v>
      </c>
      <c r="H79">
        <v>-264.77060548550469</v>
      </c>
      <c r="I79">
        <v>39.677221616904198</v>
      </c>
      <c r="J79">
        <v>23.0447019877165</v>
      </c>
      <c r="K79">
        <v>7.3628004166022896</v>
      </c>
      <c r="L79">
        <v>3.1498449511153698E-5</v>
      </c>
      <c r="M79">
        <v>1.8231489276418668E-6</v>
      </c>
      <c r="N79" s="1">
        <v>-2.8740888840155698E-7</v>
      </c>
      <c r="O79" s="1">
        <v>6.5511666034986503E-11</v>
      </c>
      <c r="P79" s="1">
        <v>9.9268027803386792E-10</v>
      </c>
      <c r="Q79">
        <v>65.694043352647597</v>
      </c>
      <c r="S79">
        <v>20.938495672688902</v>
      </c>
      <c r="AA79">
        <v>1.94566640177926</v>
      </c>
      <c r="AB79">
        <v>8.9535646902957104</v>
      </c>
      <c r="AC79">
        <v>2.4682298825883402</v>
      </c>
      <c r="AJ79">
        <v>0.76837126404378697</v>
      </c>
      <c r="AK79">
        <v>9.2268680195002895E-2</v>
      </c>
      <c r="AL79">
        <v>0.139360055761209</v>
      </c>
    </row>
    <row r="80" spans="1:38" x14ac:dyDescent="0.2">
      <c r="A80">
        <v>154</v>
      </c>
      <c r="B80">
        <v>753</v>
      </c>
      <c r="C80">
        <v>180</v>
      </c>
      <c r="D80">
        <v>0.401491497344444</v>
      </c>
      <c r="E80">
        <v>38.915746052660303</v>
      </c>
      <c r="F80">
        <v>2.5227064869468201</v>
      </c>
      <c r="G80">
        <v>-617.05218175914297</v>
      </c>
      <c r="H80">
        <v>-534.19920753376493</v>
      </c>
      <c r="I80">
        <v>80.741581859745807</v>
      </c>
      <c r="J80">
        <v>46.448266790139101</v>
      </c>
      <c r="K80">
        <v>15.4261886010207</v>
      </c>
      <c r="L80">
        <v>2.8945008368574993E-5</v>
      </c>
      <c r="M80">
        <v>1.8047550877739887E-6</v>
      </c>
      <c r="N80" s="1">
        <v>-3.01856342575443E-7</v>
      </c>
      <c r="O80" s="1">
        <v>1.4629543571063299E-10</v>
      </c>
      <c r="P80" s="1">
        <v>1.1871565061687399E-9</v>
      </c>
      <c r="Q80">
        <v>66.183230689106793</v>
      </c>
      <c r="S80">
        <v>19.088180656533499</v>
      </c>
      <c r="AA80">
        <v>0.30499239039724202</v>
      </c>
      <c r="AB80">
        <v>5.1928510682038098</v>
      </c>
      <c r="AC80">
        <v>9.2307451957584998</v>
      </c>
      <c r="AJ80">
        <v>0.454137123361392</v>
      </c>
      <c r="AK80">
        <v>1.4739438238206001E-2</v>
      </c>
      <c r="AL80">
        <v>0.53112343840040099</v>
      </c>
    </row>
    <row r="81" spans="1:38" x14ac:dyDescent="0.2">
      <c r="A81">
        <v>156</v>
      </c>
      <c r="B81">
        <v>770</v>
      </c>
      <c r="C81">
        <v>160</v>
      </c>
      <c r="D81">
        <v>0.43347601016152998</v>
      </c>
      <c r="E81">
        <v>2.76480551603774E-2</v>
      </c>
      <c r="F81">
        <v>2.56592766304848</v>
      </c>
      <c r="G81">
        <v>-0.44962671087452216</v>
      </c>
      <c r="H81">
        <v>-0.38839750714603638</v>
      </c>
      <c r="I81">
        <v>5.8696451831937502E-2</v>
      </c>
      <c r="J81">
        <v>3.36657898640393E-2</v>
      </c>
      <c r="K81">
        <v>1.07750719392961E-2</v>
      </c>
      <c r="L81">
        <v>3.1106947490403651E-5</v>
      </c>
      <c r="M81">
        <v>1.8211512145743382E-6</v>
      </c>
      <c r="N81" s="1">
        <v>-2.55802776056721E-10</v>
      </c>
      <c r="O81" s="1">
        <v>9.6647202734516198E-14</v>
      </c>
      <c r="P81" s="1">
        <v>9.7755382660457509E-13</v>
      </c>
      <c r="Q81">
        <v>65.553264682035305</v>
      </c>
      <c r="S81">
        <v>21.180220923551001</v>
      </c>
      <c r="AA81">
        <v>2.17794098702876</v>
      </c>
      <c r="AB81">
        <v>9.2735611426483509</v>
      </c>
      <c r="AC81">
        <v>1.8150122647364599</v>
      </c>
      <c r="AJ81">
        <v>0.79456545414377</v>
      </c>
      <c r="AK81">
        <v>0.103119319332066</v>
      </c>
      <c r="AL81">
        <v>0.102315226524162</v>
      </c>
    </row>
    <row r="82" spans="1:38" x14ac:dyDescent="0.2">
      <c r="A82">
        <v>157</v>
      </c>
      <c r="B82">
        <v>769</v>
      </c>
      <c r="C82">
        <v>160</v>
      </c>
      <c r="D82">
        <v>0.43286523053303499</v>
      </c>
      <c r="E82">
        <v>0.44241214001222301</v>
      </c>
      <c r="F82">
        <v>2.5654818230697201</v>
      </c>
      <c r="G82">
        <v>-7.1930015758404471</v>
      </c>
      <c r="H82">
        <v>-6.2146647151847185</v>
      </c>
      <c r="I82">
        <v>0.93876779797124199</v>
      </c>
      <c r="J82">
        <v>0.53880309660126802</v>
      </c>
      <c r="K82">
        <v>0.172447972943677</v>
      </c>
      <c r="L82">
        <v>3.1144876001080707E-5</v>
      </c>
      <c r="M82">
        <v>1.8221457567203179E-6</v>
      </c>
      <c r="N82" s="1">
        <v>-4.2206343396864303E-9</v>
      </c>
      <c r="O82" s="1">
        <v>1.54687490223912E-12</v>
      </c>
      <c r="P82" s="1">
        <v>1.60117047072273E-11</v>
      </c>
      <c r="Q82">
        <v>65.595703195660306</v>
      </c>
      <c r="S82">
        <v>21.144168328094</v>
      </c>
      <c r="AA82">
        <v>2.1382947796449301</v>
      </c>
      <c r="AB82">
        <v>9.2736165286518908</v>
      </c>
      <c r="AC82">
        <v>1.8482171679487001</v>
      </c>
      <c r="AJ82">
        <v>0.79457065636477497</v>
      </c>
      <c r="AK82">
        <v>0.10124224221942001</v>
      </c>
      <c r="AL82">
        <v>0.10418710141580299</v>
      </c>
    </row>
    <row r="83" spans="1:38" x14ac:dyDescent="0.2">
      <c r="A83">
        <v>158</v>
      </c>
      <c r="B83">
        <v>768</v>
      </c>
      <c r="C83">
        <v>160</v>
      </c>
      <c r="D83">
        <v>0.43225327762570398</v>
      </c>
      <c r="E83">
        <v>1.0616335308499101</v>
      </c>
      <c r="F83">
        <v>2.56478721156794</v>
      </c>
      <c r="G83">
        <v>-17.255218916082786</v>
      </c>
      <c r="H83">
        <v>-14.910956311747084</v>
      </c>
      <c r="I83">
        <v>2.25160889817576</v>
      </c>
      <c r="J83">
        <v>1.29312363138207</v>
      </c>
      <c r="K83">
        <v>0.41392655346285201</v>
      </c>
      <c r="L83">
        <v>3.1182103900909158E-5</v>
      </c>
      <c r="M83">
        <v>1.8233430872830698E-6</v>
      </c>
      <c r="N83" s="1">
        <v>-1.04318681608287E-8</v>
      </c>
      <c r="O83" s="1">
        <v>3.7143990229560398E-12</v>
      </c>
      <c r="P83" s="1">
        <v>3.9300863769800499E-11</v>
      </c>
      <c r="Q83">
        <v>65.651492815406897</v>
      </c>
      <c r="S83">
        <v>21.0936732371947</v>
      </c>
      <c r="AA83">
        <v>2.08361806754968</v>
      </c>
      <c r="AB83">
        <v>9.26556125933487</v>
      </c>
      <c r="AC83">
        <v>1.9056546205137499</v>
      </c>
      <c r="AJ83">
        <v>0.79391312407348502</v>
      </c>
      <c r="AK83">
        <v>9.8657510981519606E-2</v>
      </c>
      <c r="AL83">
        <v>0.107429364944994</v>
      </c>
    </row>
    <row r="84" spans="1:38" x14ac:dyDescent="0.2">
      <c r="A84">
        <v>159</v>
      </c>
      <c r="B84">
        <v>767</v>
      </c>
      <c r="C84">
        <v>160</v>
      </c>
      <c r="D84">
        <v>0.43164014805557099</v>
      </c>
      <c r="E84">
        <v>2.3113407095268199</v>
      </c>
      <c r="F84">
        <v>2.5632844225707201</v>
      </c>
      <c r="G84">
        <v>-37.545892787006082</v>
      </c>
      <c r="H84">
        <v>-32.449386265475496</v>
      </c>
      <c r="I84">
        <v>4.8997803408456297</v>
      </c>
      <c r="J84">
        <v>2.8152939228189799</v>
      </c>
      <c r="K84">
        <v>0.90171059020004096</v>
      </c>
      <c r="L84">
        <v>3.1212553553535263E-5</v>
      </c>
      <c r="M84">
        <v>1.8251172231030564E-6</v>
      </c>
      <c r="N84" s="1">
        <v>-2.33029313787025E-8</v>
      </c>
      <c r="O84" s="1">
        <v>8.1034908024360601E-12</v>
      </c>
      <c r="P84" s="1">
        <v>8.7257540629834E-11</v>
      </c>
      <c r="Q84">
        <v>65.748078009473303</v>
      </c>
      <c r="S84">
        <v>20.9973936854588</v>
      </c>
      <c r="AA84">
        <v>1.9816496169126601</v>
      </c>
      <c r="AB84">
        <v>9.2283868235493802</v>
      </c>
      <c r="AC84">
        <v>2.0444918646057402</v>
      </c>
      <c r="AJ84">
        <v>0.79087541470124101</v>
      </c>
      <c r="AK84">
        <v>9.3846902464908802E-2</v>
      </c>
      <c r="AL84">
        <v>0.11527768283385</v>
      </c>
    </row>
    <row r="85" spans="1:38" x14ac:dyDescent="0.2">
      <c r="A85">
        <v>160</v>
      </c>
      <c r="B85">
        <v>766</v>
      </c>
      <c r="C85">
        <v>160</v>
      </c>
      <c r="D85">
        <v>0.43102583842564002</v>
      </c>
      <c r="E85">
        <v>3.6348358925695701</v>
      </c>
      <c r="F85">
        <v>2.5616388507229</v>
      </c>
      <c r="G85">
        <v>-59.00714029858328</v>
      </c>
      <c r="H85">
        <v>-51.00407498158097</v>
      </c>
      <c r="I85">
        <v>7.7015496482724402</v>
      </c>
      <c r="J85">
        <v>4.4269676175516599</v>
      </c>
      <c r="K85">
        <v>1.4189493930980099</v>
      </c>
      <c r="L85">
        <v>3.1232545555599226E-5</v>
      </c>
      <c r="M85">
        <v>1.8267240618003737E-6</v>
      </c>
      <c r="N85" s="1">
        <v>-3.7524185314474099E-8</v>
      </c>
      <c r="O85" s="1">
        <v>1.2772469468786901E-11</v>
      </c>
      <c r="P85" s="1">
        <v>1.3972691117059E-10</v>
      </c>
      <c r="Q85">
        <v>65.842814181474097</v>
      </c>
      <c r="S85">
        <v>20.896942722333499</v>
      </c>
      <c r="AA85">
        <v>1.8766711531886999</v>
      </c>
      <c r="AB85">
        <v>9.1761560439534993</v>
      </c>
      <c r="AC85">
        <v>2.2074158990500501</v>
      </c>
      <c r="AJ85">
        <v>0.78660481441316898</v>
      </c>
      <c r="AK85">
        <v>8.8898570722823297E-2</v>
      </c>
      <c r="AL85">
        <v>0.124496614864007</v>
      </c>
    </row>
    <row r="86" spans="1:38" x14ac:dyDescent="0.2">
      <c r="A86">
        <v>161</v>
      </c>
      <c r="B86">
        <v>765</v>
      </c>
      <c r="C86">
        <v>160</v>
      </c>
      <c r="D86">
        <v>0.43041034532582101</v>
      </c>
      <c r="E86">
        <v>5.0662230206867598</v>
      </c>
      <c r="F86">
        <v>2.5597737189694101</v>
      </c>
      <c r="G86">
        <v>-82.182517703354989</v>
      </c>
      <c r="H86">
        <v>-71.044718133815763</v>
      </c>
      <c r="I86">
        <v>10.728507026479001</v>
      </c>
      <c r="J86">
        <v>6.1690725059484599</v>
      </c>
      <c r="K86">
        <v>1.9791683081762601</v>
      </c>
      <c r="L86">
        <v>3.1238040725968287E-5</v>
      </c>
      <c r="M86">
        <v>1.8281313323045597E-6</v>
      </c>
      <c r="N86" s="1">
        <v>-5.34011460514467E-8</v>
      </c>
      <c r="O86" s="1">
        <v>1.78484455567724E-11</v>
      </c>
      <c r="P86" s="1">
        <v>1.97869427950067E-10</v>
      </c>
      <c r="Q86">
        <v>65.936667928322393</v>
      </c>
      <c r="S86">
        <v>20.789177998835601</v>
      </c>
      <c r="AA86">
        <v>1.7658646641162501</v>
      </c>
      <c r="AB86">
        <v>9.1027848535482807</v>
      </c>
      <c r="AC86">
        <v>2.4055045551773899</v>
      </c>
      <c r="AJ86">
        <v>0.78060130174687403</v>
      </c>
      <c r="AK86">
        <v>8.3680294410844194E-2</v>
      </c>
      <c r="AL86">
        <v>0.13571840384228101</v>
      </c>
    </row>
    <row r="87" spans="1:38" x14ac:dyDescent="0.2">
      <c r="A87">
        <v>162</v>
      </c>
      <c r="B87">
        <v>764</v>
      </c>
      <c r="C87">
        <v>160</v>
      </c>
      <c r="D87">
        <v>0.42979366533288699</v>
      </c>
      <c r="E87">
        <v>6.6748982635092799</v>
      </c>
      <c r="F87">
        <v>2.5575361315239098</v>
      </c>
      <c r="G87">
        <v>-108.17826216623986</v>
      </c>
      <c r="H87">
        <v>-93.52708201719723</v>
      </c>
      <c r="I87">
        <v>14.1263849482163</v>
      </c>
      <c r="J87">
        <v>8.1248658407432597</v>
      </c>
      <c r="K87">
        <v>2.6098940230932399</v>
      </c>
      <c r="L87">
        <v>3.1220946037313533E-5</v>
      </c>
      <c r="M87">
        <v>1.8292733753924955E-6</v>
      </c>
      <c r="N87" s="1">
        <v>-7.1510178083370403E-8</v>
      </c>
      <c r="O87" s="1">
        <v>2.3590835927816E-11</v>
      </c>
      <c r="P87" s="1">
        <v>2.6391695254417002E-10</v>
      </c>
      <c r="Q87">
        <v>66.0315199392751</v>
      </c>
      <c r="S87">
        <v>20.667838364265201</v>
      </c>
      <c r="AA87">
        <v>1.6436258031314901</v>
      </c>
      <c r="AB87">
        <v>8.9960498469397798</v>
      </c>
      <c r="AC87">
        <v>2.6609660463883298</v>
      </c>
      <c r="AJ87">
        <v>0.77185932486351605</v>
      </c>
      <c r="AK87">
        <v>7.7929168611818603E-2</v>
      </c>
      <c r="AL87">
        <v>0.150211506524664</v>
      </c>
    </row>
    <row r="88" spans="1:38" x14ac:dyDescent="0.2">
      <c r="A88">
        <v>163</v>
      </c>
      <c r="B88">
        <v>763</v>
      </c>
      <c r="C88">
        <v>160</v>
      </c>
      <c r="D88">
        <v>0.42917579501038</v>
      </c>
      <c r="E88">
        <v>8.6293220580623906</v>
      </c>
      <c r="F88">
        <v>2.5546447862180002</v>
      </c>
      <c r="G88">
        <v>-139.6810659661196</v>
      </c>
      <c r="H88">
        <v>-120.77251205731608</v>
      </c>
      <c r="I88">
        <v>18.248857702845601</v>
      </c>
      <c r="J88">
        <v>10.496392780535199</v>
      </c>
      <c r="K88">
        <v>3.3778950813892101</v>
      </c>
      <c r="L88">
        <v>3.1162468331915116E-5</v>
      </c>
      <c r="M88">
        <v>1.8299314106726463E-6</v>
      </c>
      <c r="N88" s="1">
        <v>-9.3174868712341695E-8</v>
      </c>
      <c r="O88" s="1">
        <v>3.0628190073112598E-11</v>
      </c>
      <c r="P88" s="1">
        <v>3.4307286289476302E-10</v>
      </c>
      <c r="Q88">
        <v>66.127535741877594</v>
      </c>
      <c r="S88">
        <v>20.522589097797699</v>
      </c>
      <c r="AA88">
        <v>1.5013896961450599</v>
      </c>
      <c r="AB88">
        <v>8.8292260791404402</v>
      </c>
      <c r="AC88">
        <v>3.0192593850390699</v>
      </c>
      <c r="AJ88">
        <v>0.75817639776531098</v>
      </c>
      <c r="AK88">
        <v>7.1244582293861297E-2</v>
      </c>
      <c r="AL88">
        <v>0.170579019940826</v>
      </c>
    </row>
    <row r="89" spans="1:38" x14ac:dyDescent="0.2">
      <c r="A89">
        <v>163</v>
      </c>
      <c r="B89">
        <v>763</v>
      </c>
      <c r="C89">
        <v>160</v>
      </c>
      <c r="D89">
        <v>0.42917579501038</v>
      </c>
      <c r="E89">
        <v>0.21257091812529999</v>
      </c>
      <c r="F89">
        <v>2.52325018187434</v>
      </c>
      <c r="G89">
        <v>-3.3855345152173122</v>
      </c>
      <c r="H89">
        <v>-2.9246268472062611</v>
      </c>
      <c r="I89">
        <v>0.44482716596154098</v>
      </c>
      <c r="J89">
        <v>0.25416914606568602</v>
      </c>
      <c r="K89">
        <v>8.42448837028901E-2</v>
      </c>
      <c r="L89">
        <v>2.9169424395720072E-5</v>
      </c>
      <c r="M89">
        <v>1.8111063676589455E-6</v>
      </c>
      <c r="N89" s="1">
        <v>-1.31501415669827E-9</v>
      </c>
      <c r="O89" s="1">
        <v>7.9838119969993E-13</v>
      </c>
      <c r="P89" s="1">
        <v>5.5307763048377996E-12</v>
      </c>
      <c r="Q89">
        <v>66.335726666287698</v>
      </c>
      <c r="S89">
        <v>19.181845563976001</v>
      </c>
      <c r="AA89">
        <v>0.346684046567593</v>
      </c>
      <c r="AB89">
        <v>5.7782349089729097</v>
      </c>
      <c r="AC89">
        <v>8.3575088141956595</v>
      </c>
      <c r="AJ89">
        <v>0.50383785580727902</v>
      </c>
      <c r="AK89">
        <v>1.6704760320214899E-2</v>
      </c>
      <c r="AL89">
        <v>0.47945738387250503</v>
      </c>
    </row>
    <row r="90" spans="1:38" x14ac:dyDescent="0.2">
      <c r="A90">
        <v>164</v>
      </c>
      <c r="B90">
        <v>762</v>
      </c>
      <c r="C90">
        <v>160</v>
      </c>
      <c r="D90">
        <v>0.428556730908567</v>
      </c>
      <c r="E90">
        <v>10.0598115383956</v>
      </c>
      <c r="F90">
        <v>2.55629258931681</v>
      </c>
      <c r="G90">
        <v>-162.87981063076106</v>
      </c>
      <c r="H90">
        <v>-140.87069396404226</v>
      </c>
      <c r="I90">
        <v>21.261765605679098</v>
      </c>
      <c r="J90">
        <v>12.2413747680211</v>
      </c>
      <c r="K90">
        <v>3.9353130312380298</v>
      </c>
      <c r="L90">
        <v>3.118273697502727E-5</v>
      </c>
      <c r="M90">
        <v>1.8284494261722885E-6</v>
      </c>
      <c r="N90" s="1">
        <v>-1.12447629836103E-7</v>
      </c>
      <c r="O90" s="1">
        <v>3.55815765534219E-11</v>
      </c>
      <c r="P90" s="1">
        <v>4.1111833818871602E-10</v>
      </c>
      <c r="Q90">
        <v>66.030196784361493</v>
      </c>
      <c r="S90">
        <v>20.6160860162997</v>
      </c>
      <c r="AA90">
        <v>1.60123832626871</v>
      </c>
      <c r="AB90">
        <v>8.8574257587038794</v>
      </c>
      <c r="AC90">
        <v>2.89505311436608</v>
      </c>
      <c r="AJ90">
        <v>0.76048970417985695</v>
      </c>
      <c r="AK90">
        <v>7.5971829485946898E-2</v>
      </c>
      <c r="AL90">
        <v>0.163538466334195</v>
      </c>
    </row>
    <row r="91" spans="1:38" x14ac:dyDescent="0.2">
      <c r="A91">
        <v>164</v>
      </c>
      <c r="B91">
        <v>762</v>
      </c>
      <c r="C91">
        <v>160</v>
      </c>
      <c r="D91">
        <v>0.428556730908567</v>
      </c>
      <c r="E91">
        <v>8.9435196147466094</v>
      </c>
      <c r="F91">
        <v>2.52289691168777</v>
      </c>
      <c r="G91">
        <v>-142.34764889552818</v>
      </c>
      <c r="H91">
        <v>-122.99595938993019</v>
      </c>
      <c r="I91">
        <v>18.694575187748601</v>
      </c>
      <c r="J91">
        <v>10.6880077786247</v>
      </c>
      <c r="K91">
        <v>3.5449405694359299</v>
      </c>
      <c r="L91">
        <v>2.910017925654575E-5</v>
      </c>
      <c r="M91">
        <v>1.8098755283085468E-6</v>
      </c>
      <c r="N91" s="1">
        <v>-5.5669330817903702E-8</v>
      </c>
      <c r="O91" s="1">
        <v>3.36153718254589E-11</v>
      </c>
      <c r="P91" s="1">
        <v>2.3359266137069998E-10</v>
      </c>
      <c r="Q91">
        <v>66.301851502578998</v>
      </c>
      <c r="S91">
        <v>19.1658627074221</v>
      </c>
      <c r="AA91">
        <v>0.34140233260754199</v>
      </c>
      <c r="AB91">
        <v>5.6608447865923797</v>
      </c>
      <c r="AC91">
        <v>8.53003867079895</v>
      </c>
      <c r="AJ91">
        <v>0.49389463650378601</v>
      </c>
      <c r="AK91">
        <v>1.6460019186241098E-2</v>
      </c>
      <c r="AL91">
        <v>0.48964534430997197</v>
      </c>
    </row>
    <row r="92" spans="1:38" x14ac:dyDescent="0.2">
      <c r="A92">
        <v>165</v>
      </c>
      <c r="B92">
        <v>761</v>
      </c>
      <c r="C92">
        <v>160</v>
      </c>
      <c r="D92">
        <v>0.42793646956437897</v>
      </c>
      <c r="E92">
        <v>13.8451062591332</v>
      </c>
      <c r="F92">
        <v>2.5589265782704298</v>
      </c>
      <c r="G92">
        <v>-224.27197151011498</v>
      </c>
      <c r="H92">
        <v>-194.03027948450762</v>
      </c>
      <c r="I92">
        <v>29.243042136641002</v>
      </c>
      <c r="J92">
        <v>16.8545847274344</v>
      </c>
      <c r="K92">
        <v>5.4105132897134798</v>
      </c>
      <c r="L92">
        <v>3.1179571549336492E-5</v>
      </c>
      <c r="M92">
        <v>1.8254220854560621E-6</v>
      </c>
      <c r="N92" s="1">
        <v>-1.6014168511216299E-7</v>
      </c>
      <c r="O92" s="1">
        <v>4.8714693280666402E-11</v>
      </c>
      <c r="P92" s="1">
        <v>5.8157710853422698E-10</v>
      </c>
      <c r="Q92">
        <v>65.854404736750496</v>
      </c>
      <c r="S92">
        <v>20.7755237947209</v>
      </c>
      <c r="AA92">
        <v>1.7737947970572301</v>
      </c>
      <c r="AB92">
        <v>8.8836694706520998</v>
      </c>
      <c r="AC92">
        <v>2.7126072008192201</v>
      </c>
      <c r="AJ92">
        <v>0.76264066135083297</v>
      </c>
      <c r="AK92">
        <v>8.4147599642089593E-2</v>
      </c>
      <c r="AL92">
        <v>0.15321173900707599</v>
      </c>
    </row>
    <row r="93" spans="1:38" x14ac:dyDescent="0.2">
      <c r="A93">
        <v>165</v>
      </c>
      <c r="B93">
        <v>761</v>
      </c>
      <c r="C93">
        <v>160</v>
      </c>
      <c r="D93">
        <v>0.42793646956437897</v>
      </c>
      <c r="E93">
        <v>24.7561466172899</v>
      </c>
      <c r="F93">
        <v>2.5224033570420001</v>
      </c>
      <c r="G93">
        <v>-393.66850577877688</v>
      </c>
      <c r="H93">
        <v>-340.22905111760764</v>
      </c>
      <c r="I93">
        <v>51.674761554096797</v>
      </c>
      <c r="J93">
        <v>29.558972862755201</v>
      </c>
      <c r="K93">
        <v>9.8145074808024706</v>
      </c>
      <c r="L93">
        <v>2.898535474916467E-5</v>
      </c>
      <c r="M93">
        <v>1.8079100365002374E-6</v>
      </c>
      <c r="N93" s="1">
        <v>-1.5258566384471799E-7</v>
      </c>
      <c r="O93" s="1">
        <v>9.3173192977224397E-11</v>
      </c>
      <c r="P93" s="1">
        <v>6.4179893329531301E-10</v>
      </c>
      <c r="Q93">
        <v>66.247170776681401</v>
      </c>
      <c r="S93">
        <v>19.1444043658521</v>
      </c>
      <c r="AA93">
        <v>0.33645798095125101</v>
      </c>
      <c r="AB93">
        <v>5.4827358885926998</v>
      </c>
      <c r="AC93">
        <v>8.7892309879224495</v>
      </c>
      <c r="AJ93">
        <v>0.47878582213627102</v>
      </c>
      <c r="AK93">
        <v>1.6236244419110601E-2</v>
      </c>
      <c r="AL93">
        <v>0.50497793344461706</v>
      </c>
    </row>
    <row r="94" spans="1:38" x14ac:dyDescent="0.2">
      <c r="A94">
        <v>166</v>
      </c>
      <c r="B94">
        <v>760</v>
      </c>
      <c r="C94">
        <v>160</v>
      </c>
      <c r="D94">
        <v>0.427315007501331</v>
      </c>
      <c r="E94">
        <v>16.319035368744</v>
      </c>
      <c r="F94">
        <v>2.5604739193754198</v>
      </c>
      <c r="G94">
        <v>-264.39965717449371</v>
      </c>
      <c r="H94">
        <v>-228.81116418073663</v>
      </c>
      <c r="I94">
        <v>34.446588582255202</v>
      </c>
      <c r="J94">
        <v>19.8728965854622</v>
      </c>
      <c r="K94">
        <v>6.37344330877806</v>
      </c>
      <c r="L94">
        <v>3.1187604018598692E-5</v>
      </c>
      <c r="M94">
        <v>1.8236329823370357E-6</v>
      </c>
      <c r="N94" s="1">
        <v>-1.94947511830118E-7</v>
      </c>
      <c r="O94" s="1">
        <v>5.7222453598417298E-11</v>
      </c>
      <c r="P94" s="1">
        <v>7.0351992385727402E-10</v>
      </c>
      <c r="Q94">
        <v>65.749402815122494</v>
      </c>
      <c r="S94">
        <v>20.8691076047878</v>
      </c>
      <c r="AA94">
        <v>1.87550316152769</v>
      </c>
      <c r="AB94">
        <v>8.8950204430982502</v>
      </c>
      <c r="AC94">
        <v>2.6109659754635799</v>
      </c>
      <c r="AJ94">
        <v>0.76357037427112995</v>
      </c>
      <c r="AK94">
        <v>8.8967361362014705E-2</v>
      </c>
      <c r="AL94">
        <v>0.147462264366855</v>
      </c>
    </row>
    <row r="95" spans="1:38" x14ac:dyDescent="0.2">
      <c r="A95">
        <v>166</v>
      </c>
      <c r="B95">
        <v>760</v>
      </c>
      <c r="C95">
        <v>160</v>
      </c>
      <c r="D95">
        <v>0.427315007501331</v>
      </c>
      <c r="E95">
        <v>33.5310523742979</v>
      </c>
      <c r="F95">
        <v>2.5221511422198901</v>
      </c>
      <c r="G95">
        <v>-532.89411639308696</v>
      </c>
      <c r="H95">
        <v>-460.65956393489984</v>
      </c>
      <c r="I95">
        <v>69.916810200055295</v>
      </c>
      <c r="J95">
        <v>40.017891849833198</v>
      </c>
      <c r="K95">
        <v>13.2946245024734</v>
      </c>
      <c r="L95">
        <v>2.8925839850164015E-5</v>
      </c>
      <c r="M95">
        <v>1.8068524831113157E-6</v>
      </c>
      <c r="N95" s="1">
        <v>-2.0849079410776999E-7</v>
      </c>
      <c r="O95" s="1">
        <v>1.2627325398783499E-10</v>
      </c>
      <c r="P95" s="1">
        <v>8.7422774357796897E-10</v>
      </c>
      <c r="Q95">
        <v>66.216568614577696</v>
      </c>
      <c r="S95">
        <v>19.131040867656299</v>
      </c>
      <c r="AA95">
        <v>0.332573554277036</v>
      </c>
      <c r="AB95">
        <v>5.3795064632735201</v>
      </c>
      <c r="AC95">
        <v>8.9403105002153094</v>
      </c>
      <c r="AJ95">
        <v>0.47001651319238502</v>
      </c>
      <c r="AK95">
        <v>1.6057176638747801E-2</v>
      </c>
      <c r="AL95">
        <v>0.51392631016886603</v>
      </c>
    </row>
    <row r="96" spans="1:38" x14ac:dyDescent="0.2">
      <c r="A96">
        <v>167</v>
      </c>
      <c r="B96">
        <v>759</v>
      </c>
      <c r="C96">
        <v>160</v>
      </c>
      <c r="D96">
        <v>0.42669234122947503</v>
      </c>
      <c r="E96">
        <v>17.555457896926999</v>
      </c>
      <c r="F96">
        <v>2.5612615852059801</v>
      </c>
      <c r="G96">
        <v>-284.4428425974894</v>
      </c>
      <c r="H96">
        <v>-246.21768251804622</v>
      </c>
      <c r="I96">
        <v>37.034500876270997</v>
      </c>
      <c r="J96">
        <v>21.385340518880501</v>
      </c>
      <c r="K96">
        <v>6.8542229338574803</v>
      </c>
      <c r="L96">
        <v>3.1210649845385105E-5</v>
      </c>
      <c r="M96">
        <v>1.8229043002270496E-6</v>
      </c>
      <c r="N96" s="1">
        <v>-2.1651766886586201E-7</v>
      </c>
      <c r="O96" s="1">
        <v>6.1425291579003297E-11</v>
      </c>
      <c r="P96" s="1">
        <v>7.7653495518197896E-10</v>
      </c>
      <c r="Q96">
        <v>65.700322533370795</v>
      </c>
      <c r="S96">
        <v>20.913819667120801</v>
      </c>
      <c r="AA96">
        <v>1.9238432835435899</v>
      </c>
      <c r="AB96">
        <v>8.9028661511645204</v>
      </c>
      <c r="AC96">
        <v>2.5591483648002198</v>
      </c>
      <c r="AJ96">
        <v>0.76421328153489698</v>
      </c>
      <c r="AK96">
        <v>9.1256796449734501E-2</v>
      </c>
      <c r="AL96">
        <v>0.14452992201536699</v>
      </c>
    </row>
    <row r="97" spans="1:38" x14ac:dyDescent="0.2">
      <c r="A97">
        <v>167</v>
      </c>
      <c r="B97">
        <v>759</v>
      </c>
      <c r="C97">
        <v>160</v>
      </c>
      <c r="D97">
        <v>0.42669234122947503</v>
      </c>
      <c r="E97">
        <v>37.478282712382402</v>
      </c>
      <c r="F97">
        <v>2.5220360172885501</v>
      </c>
      <c r="G97">
        <v>-595.403433900496</v>
      </c>
      <c r="H97">
        <v>-514.81026402625992</v>
      </c>
      <c r="I97">
        <v>78.082807609587704</v>
      </c>
      <c r="J97">
        <v>44.720802847587201</v>
      </c>
      <c r="K97">
        <v>14.860328106128801</v>
      </c>
      <c r="L97">
        <v>2.8903020443287109E-5</v>
      </c>
      <c r="M97">
        <v>1.8063876848816948E-6</v>
      </c>
      <c r="N97" s="1">
        <v>-2.38108005677969E-7</v>
      </c>
      <c r="O97" s="1">
        <v>1.4115211150330901E-10</v>
      </c>
      <c r="P97" s="1">
        <v>9.916344343437019E-10</v>
      </c>
      <c r="Q97">
        <v>66.202157370627603</v>
      </c>
      <c r="S97">
        <v>19.122655449130299</v>
      </c>
      <c r="AA97">
        <v>0.32901816489468899</v>
      </c>
      <c r="AB97">
        <v>5.3254083139859603</v>
      </c>
      <c r="AC97">
        <v>9.02076070136137</v>
      </c>
      <c r="AJ97">
        <v>0.46541724853049099</v>
      </c>
      <c r="AK97">
        <v>1.5889865768626901E-2</v>
      </c>
      <c r="AL97">
        <v>0.51869288570088101</v>
      </c>
    </row>
    <row r="98" spans="1:38" x14ac:dyDescent="0.2">
      <c r="A98">
        <v>168</v>
      </c>
      <c r="B98">
        <v>758</v>
      </c>
      <c r="C98">
        <v>160</v>
      </c>
      <c r="D98">
        <v>0.426068467245311</v>
      </c>
      <c r="E98">
        <v>18.173524777403699</v>
      </c>
      <c r="F98">
        <v>2.5617052821454802</v>
      </c>
      <c r="G98">
        <v>-294.44732624000557</v>
      </c>
      <c r="H98">
        <v>-254.93729171519323</v>
      </c>
      <c r="I98">
        <v>38.316476288427801</v>
      </c>
      <c r="J98">
        <v>22.145352161518801</v>
      </c>
      <c r="K98">
        <v>7.0943074147010901</v>
      </c>
      <c r="L98">
        <v>3.1242300727322388E-5</v>
      </c>
      <c r="M98">
        <v>1.8226921741298791E-6</v>
      </c>
      <c r="N98" s="1">
        <v>-2.3141155091804601E-7</v>
      </c>
      <c r="O98" s="1">
        <v>6.3486825315032901E-11</v>
      </c>
      <c r="P98" s="1">
        <v>8.2490554062699699E-10</v>
      </c>
      <c r="Q98">
        <v>65.677710950566905</v>
      </c>
      <c r="S98">
        <v>20.935887799016399</v>
      </c>
      <c r="AA98">
        <v>1.94732582204426</v>
      </c>
      <c r="AB98">
        <v>8.9103319280879294</v>
      </c>
      <c r="AC98">
        <v>2.5287435002844201</v>
      </c>
      <c r="AJ98">
        <v>0.76482537767456804</v>
      </c>
      <c r="AK98">
        <v>9.2367208827029201E-2</v>
      </c>
      <c r="AL98">
        <v>0.14280741349840201</v>
      </c>
    </row>
    <row r="99" spans="1:38" x14ac:dyDescent="0.2">
      <c r="A99">
        <v>168</v>
      </c>
      <c r="B99">
        <v>758</v>
      </c>
      <c r="C99">
        <v>160</v>
      </c>
      <c r="D99">
        <v>0.426068467245311</v>
      </c>
      <c r="E99">
        <v>39.249209633645798</v>
      </c>
      <c r="F99">
        <v>2.52197784335667</v>
      </c>
      <c r="G99">
        <v>-623.36290139582979</v>
      </c>
      <c r="H99">
        <v>-539.10408195421303</v>
      </c>
      <c r="I99">
        <v>81.713445610839202</v>
      </c>
      <c r="J99">
        <v>46.831619197249097</v>
      </c>
      <c r="K99">
        <v>15.5628685386888</v>
      </c>
      <c r="L99">
        <v>2.8896700818524933E-5</v>
      </c>
      <c r="M99">
        <v>1.8061841076684231E-6</v>
      </c>
      <c r="N99" s="1">
        <v>-2.56242961972132E-7</v>
      </c>
      <c r="O99" s="1">
        <v>1.4780353084704301E-10</v>
      </c>
      <c r="P99" s="1">
        <v>1.0582840893229599E-9</v>
      </c>
      <c r="Q99">
        <v>66.194935646755297</v>
      </c>
      <c r="S99">
        <v>19.116424222061699</v>
      </c>
      <c r="AA99">
        <v>0.325562429298694</v>
      </c>
      <c r="AB99">
        <v>5.2929791176746903</v>
      </c>
      <c r="AC99">
        <v>9.0700985842095694</v>
      </c>
      <c r="AJ99">
        <v>0.462659020116932</v>
      </c>
      <c r="AK99">
        <v>1.5725552900816401E-2</v>
      </c>
      <c r="AL99">
        <v>0.52161542698225105</v>
      </c>
    </row>
    <row r="100" spans="1:38" x14ac:dyDescent="0.2">
      <c r="A100">
        <v>170</v>
      </c>
      <c r="B100">
        <v>779</v>
      </c>
      <c r="C100">
        <v>140</v>
      </c>
      <c r="D100">
        <v>0.45983034738392797</v>
      </c>
      <c r="E100">
        <v>0.18970072235322699</v>
      </c>
      <c r="F100">
        <v>2.5641217039017201</v>
      </c>
      <c r="G100">
        <v>-3.0901272059340155</v>
      </c>
      <c r="H100">
        <v>-2.6642429705843771</v>
      </c>
      <c r="I100">
        <v>0.40477520823992502</v>
      </c>
      <c r="J100">
        <v>0.23065524858682099</v>
      </c>
      <c r="K100">
        <v>7.3982729472071102E-2</v>
      </c>
      <c r="L100">
        <v>3.089951145350365E-5</v>
      </c>
      <c r="M100">
        <v>1.8215677259175425E-6</v>
      </c>
      <c r="N100" s="1">
        <v>-1.30978984988957E-9</v>
      </c>
      <c r="O100" s="1">
        <v>6.67261965159166E-13</v>
      </c>
      <c r="P100" s="1">
        <v>5.4053930115398501E-12</v>
      </c>
      <c r="Q100">
        <v>65.575050811873794</v>
      </c>
      <c r="S100">
        <v>21.166091641399099</v>
      </c>
      <c r="AA100">
        <v>2.1612006890188198</v>
      </c>
      <c r="AB100">
        <v>9.2850686147747794</v>
      </c>
      <c r="AC100">
        <v>1.8125882429333</v>
      </c>
      <c r="AJ100">
        <v>0.79550630405115497</v>
      </c>
      <c r="AK100">
        <v>0.102320910445581</v>
      </c>
      <c r="AL100">
        <v>0.102172785503263</v>
      </c>
    </row>
    <row r="101" spans="1:38" x14ac:dyDescent="0.2">
      <c r="A101">
        <v>171</v>
      </c>
      <c r="B101">
        <v>778</v>
      </c>
      <c r="C101">
        <v>140</v>
      </c>
      <c r="D101">
        <v>0.45924986919088701</v>
      </c>
      <c r="E101">
        <v>0.58960848388311804</v>
      </c>
      <c r="F101">
        <v>2.5637077135183</v>
      </c>
      <c r="G101">
        <v>-9.6021778794223849</v>
      </c>
      <c r="H101">
        <v>-8.2803975140453279</v>
      </c>
      <c r="I101">
        <v>1.2574612237806699</v>
      </c>
      <c r="J101">
        <v>0.71698330595332105</v>
      </c>
      <c r="K101">
        <v>0.22998272415148599</v>
      </c>
      <c r="L101">
        <v>3.0930558641794137E-5</v>
      </c>
      <c r="M101">
        <v>1.8224926561418017E-6</v>
      </c>
      <c r="N101" s="1">
        <v>-4.1994932337646798E-9</v>
      </c>
      <c r="O101" s="1">
        <v>2.0746242902331602E-12</v>
      </c>
      <c r="P101" s="1">
        <v>1.7175166662370301E-11</v>
      </c>
      <c r="Q101">
        <v>65.614882794669896</v>
      </c>
      <c r="S101">
        <v>21.132284383015801</v>
      </c>
      <c r="AA101">
        <v>2.1240151060465799</v>
      </c>
      <c r="AB101">
        <v>9.2852019296349493</v>
      </c>
      <c r="AC101">
        <v>1.8436157866326</v>
      </c>
      <c r="AJ101">
        <v>0.79551783373987806</v>
      </c>
      <c r="AK101">
        <v>0.100560392198489</v>
      </c>
      <c r="AL101">
        <v>0.103921774061632</v>
      </c>
    </row>
    <row r="102" spans="1:38" x14ac:dyDescent="0.2">
      <c r="A102">
        <v>172</v>
      </c>
      <c r="B102">
        <v>777</v>
      </c>
      <c r="C102">
        <v>140</v>
      </c>
      <c r="D102">
        <v>0.45866828548302802</v>
      </c>
      <c r="E102">
        <v>0.99002326539001995</v>
      </c>
      <c r="F102">
        <v>2.5632997982044898</v>
      </c>
      <c r="G102">
        <v>-16.119432069694195</v>
      </c>
      <c r="H102">
        <v>-13.903216783337042</v>
      </c>
      <c r="I102">
        <v>2.1103797422817201</v>
      </c>
      <c r="J102">
        <v>1.20404515239078</v>
      </c>
      <c r="K102">
        <v>0.38622999388659102</v>
      </c>
      <c r="L102">
        <v>3.096130667442326E-5</v>
      </c>
      <c r="M102">
        <v>1.8233885237980621E-6</v>
      </c>
      <c r="N102" s="1">
        <v>-7.2726953550590801E-9</v>
      </c>
      <c r="O102" s="1">
        <v>3.48463199436613E-12</v>
      </c>
      <c r="P102" s="1">
        <v>2.9483707756546903E-11</v>
      </c>
      <c r="Q102">
        <v>65.653524555385005</v>
      </c>
      <c r="S102">
        <v>21.099200324138799</v>
      </c>
      <c r="AA102">
        <v>2.0877038921232098</v>
      </c>
      <c r="AB102">
        <v>9.2845788599327896</v>
      </c>
      <c r="AC102">
        <v>1.87499236842012</v>
      </c>
      <c r="AJ102">
        <v>0.79546752869378601</v>
      </c>
      <c r="AK102">
        <v>9.8841638967211404E-2</v>
      </c>
      <c r="AL102">
        <v>0.10569083233900201</v>
      </c>
    </row>
    <row r="103" spans="1:38" x14ac:dyDescent="0.2">
      <c r="A103">
        <v>173</v>
      </c>
      <c r="B103">
        <v>776</v>
      </c>
      <c r="C103">
        <v>140</v>
      </c>
      <c r="D103">
        <v>0.45808559309917701</v>
      </c>
      <c r="E103">
        <v>1.3907932087991</v>
      </c>
      <c r="F103">
        <v>2.5628978735425498</v>
      </c>
      <c r="G103">
        <v>-22.639398120211876</v>
      </c>
      <c r="H103">
        <v>-19.530560234253798</v>
      </c>
      <c r="I103">
        <v>2.9631967649602799</v>
      </c>
      <c r="J103">
        <v>1.69166025939987</v>
      </c>
      <c r="K103">
        <v>0.54266431103502399</v>
      </c>
      <c r="L103">
        <v>3.0991778463814246E-5</v>
      </c>
      <c r="M103">
        <v>1.8242558457638609E-6</v>
      </c>
      <c r="N103" s="1">
        <v>-1.05354000723676E-8</v>
      </c>
      <c r="O103" s="1">
        <v>4.8966296190759999E-12</v>
      </c>
      <c r="P103" s="1">
        <v>4.2346782375757403E-11</v>
      </c>
      <c r="Q103">
        <v>65.690994142452894</v>
      </c>
      <c r="S103">
        <v>21.066828066541099</v>
      </c>
      <c r="AA103">
        <v>2.0522534322395001</v>
      </c>
      <c r="AB103">
        <v>9.2832097437017804</v>
      </c>
      <c r="AC103">
        <v>1.90671461506457</v>
      </c>
      <c r="AJ103">
        <v>0.79535623281394996</v>
      </c>
      <c r="AK103">
        <v>9.7163982433327606E-2</v>
      </c>
      <c r="AL103">
        <v>0.10747978475272101</v>
      </c>
    </row>
    <row r="104" spans="1:38" x14ac:dyDescent="0.2">
      <c r="A104">
        <v>174</v>
      </c>
      <c r="B104">
        <v>775</v>
      </c>
      <c r="C104">
        <v>140</v>
      </c>
      <c r="D104">
        <v>0.45750178886609999</v>
      </c>
      <c r="E104">
        <v>1.7917700776257399</v>
      </c>
      <c r="F104">
        <v>2.5625018448984198</v>
      </c>
      <c r="G104">
        <v>-29.159645821978089</v>
      </c>
      <c r="H104">
        <v>-25.160338536695122</v>
      </c>
      <c r="I104">
        <v>3.8155867817420801</v>
      </c>
      <c r="J104">
        <v>2.1796527482283601</v>
      </c>
      <c r="K104">
        <v>0.69922684395053303</v>
      </c>
      <c r="L104">
        <v>3.1021997961454468E-5</v>
      </c>
      <c r="M104">
        <v>1.8250951672713267E-6</v>
      </c>
      <c r="N104" s="1">
        <v>-1.3993810698673701E-8</v>
      </c>
      <c r="O104" s="1">
        <v>6.30997289062181E-12</v>
      </c>
      <c r="P104" s="1">
        <v>5.5780728719740702E-11</v>
      </c>
      <c r="Q104">
        <v>65.727310829615305</v>
      </c>
      <c r="S104">
        <v>21.035155334477899</v>
      </c>
      <c r="AA104">
        <v>2.0176491015160298</v>
      </c>
      <c r="AB104">
        <v>9.2811053489802902</v>
      </c>
      <c r="AC104">
        <v>1.9387793854103801</v>
      </c>
      <c r="AJ104">
        <v>0.79518482385299305</v>
      </c>
      <c r="AK104">
        <v>9.55267075028505E-2</v>
      </c>
      <c r="AL104">
        <v>0.10928846864415501</v>
      </c>
    </row>
    <row r="105" spans="1:38" x14ac:dyDescent="0.2">
      <c r="A105">
        <v>175</v>
      </c>
      <c r="B105">
        <v>774</v>
      </c>
      <c r="C105">
        <v>140</v>
      </c>
      <c r="D105">
        <v>0.45691686959843703</v>
      </c>
      <c r="E105">
        <v>2.7396686196544802</v>
      </c>
      <c r="F105">
        <v>2.5614406647182602</v>
      </c>
      <c r="G105">
        <v>-44.566187181361961</v>
      </c>
      <c r="H105">
        <v>-38.459957002092565</v>
      </c>
      <c r="I105">
        <v>5.8312850873985402</v>
      </c>
      <c r="J105">
        <v>3.3327566664519499</v>
      </c>
      <c r="K105">
        <v>1.0695811374400199</v>
      </c>
      <c r="L105">
        <v>3.1047420395836031E-5</v>
      </c>
      <c r="M105">
        <v>1.8264158259207827E-6</v>
      </c>
      <c r="N105" s="1">
        <v>-2.1986966561426599E-8</v>
      </c>
      <c r="O105" s="1">
        <v>9.6615311575532598E-12</v>
      </c>
      <c r="P105" s="1">
        <v>8.6993544013129003E-11</v>
      </c>
      <c r="Q105">
        <v>65.797334163054998</v>
      </c>
      <c r="S105">
        <v>20.965756246180401</v>
      </c>
      <c r="AA105">
        <v>1.94405515550291</v>
      </c>
      <c r="AB105">
        <v>9.2552098605805195</v>
      </c>
      <c r="AC105">
        <v>2.03764457468111</v>
      </c>
      <c r="AJ105">
        <v>0.793069262577902</v>
      </c>
      <c r="AK105">
        <v>9.2054329670956794E-2</v>
      </c>
      <c r="AL105">
        <v>0.11487640775114</v>
      </c>
    </row>
    <row r="106" spans="1:38" x14ac:dyDescent="0.2">
      <c r="A106">
        <v>176</v>
      </c>
      <c r="B106">
        <v>773</v>
      </c>
      <c r="C106">
        <v>140</v>
      </c>
      <c r="D106">
        <v>0.456330832098647</v>
      </c>
      <c r="E106">
        <v>4.0204667023643701</v>
      </c>
      <c r="F106">
        <v>2.5599404003269401</v>
      </c>
      <c r="G106">
        <v>-65.361692108876298</v>
      </c>
      <c r="H106">
        <v>-56.413872918369925</v>
      </c>
      <c r="I106">
        <v>8.5530939067116396</v>
      </c>
      <c r="J106">
        <v>4.8902584810013403</v>
      </c>
      <c r="K106">
        <v>1.57053136934395</v>
      </c>
      <c r="L106">
        <v>3.1062967673297091E-5</v>
      </c>
      <c r="M106">
        <v>1.8278611255556699E-6</v>
      </c>
      <c r="N106" s="1">
        <v>-3.3049070297320002E-8</v>
      </c>
      <c r="O106" s="1">
        <v>1.4208202191276201E-11</v>
      </c>
      <c r="P106" s="1">
        <v>1.29906672395499E-10</v>
      </c>
      <c r="Q106">
        <v>65.883111660324403</v>
      </c>
      <c r="S106">
        <v>20.874251172749801</v>
      </c>
      <c r="AA106">
        <v>1.84854752665133</v>
      </c>
      <c r="AB106">
        <v>9.2064679675703598</v>
      </c>
      <c r="AC106">
        <v>2.1876216727040099</v>
      </c>
      <c r="AJ106">
        <v>0.78908501813668697</v>
      </c>
      <c r="AK106">
        <v>8.7553227966462296E-2</v>
      </c>
      <c r="AL106">
        <v>0.123361753896849</v>
      </c>
    </row>
    <row r="107" spans="1:38" x14ac:dyDescent="0.2">
      <c r="A107">
        <v>177</v>
      </c>
      <c r="B107">
        <v>772</v>
      </c>
      <c r="C107">
        <v>140</v>
      </c>
      <c r="D107">
        <v>0.45574367315696301</v>
      </c>
      <c r="E107">
        <v>5.3883605516033501</v>
      </c>
      <c r="F107">
        <v>2.5582754121555702</v>
      </c>
      <c r="G107">
        <v>-87.540080310184194</v>
      </c>
      <c r="H107">
        <v>-75.565878126715788</v>
      </c>
      <c r="I107">
        <v>11.4569221484651</v>
      </c>
      <c r="J107">
        <v>6.5527705566710299</v>
      </c>
      <c r="K107">
        <v>2.1062472500031499</v>
      </c>
      <c r="L107">
        <v>3.1066941252291295E-5</v>
      </c>
      <c r="M107">
        <v>1.8291259516858707E-6</v>
      </c>
      <c r="N107" s="1">
        <v>-4.5258079656749798E-8</v>
      </c>
      <c r="O107" s="1">
        <v>1.9086906564840701E-11</v>
      </c>
      <c r="P107" s="1">
        <v>1.7685345012345901E-10</v>
      </c>
      <c r="Q107">
        <v>65.967136922205</v>
      </c>
      <c r="S107">
        <v>20.7777158701895</v>
      </c>
      <c r="AA107">
        <v>1.7492987674358</v>
      </c>
      <c r="AB107">
        <v>9.14063391230966</v>
      </c>
      <c r="AC107">
        <v>2.36521452785983</v>
      </c>
      <c r="AJ107">
        <v>0.78370004555593298</v>
      </c>
      <c r="AK107">
        <v>8.2879731783149696E-2</v>
      </c>
      <c r="AL107">
        <v>0.13342022266091599</v>
      </c>
    </row>
    <row r="108" spans="1:38" x14ac:dyDescent="0.2">
      <c r="A108">
        <v>178</v>
      </c>
      <c r="B108">
        <v>771</v>
      </c>
      <c r="C108">
        <v>140</v>
      </c>
      <c r="D108">
        <v>0.45515538955130802</v>
      </c>
      <c r="E108">
        <v>6.8895005115749202</v>
      </c>
      <c r="F108">
        <v>2.5563525281452599</v>
      </c>
      <c r="G108">
        <v>-111.83750729407026</v>
      </c>
      <c r="H108">
        <v>-96.551179377157666</v>
      </c>
      <c r="I108">
        <v>14.639973104355199</v>
      </c>
      <c r="J108">
        <v>8.3755599500489009</v>
      </c>
      <c r="K108">
        <v>2.6950510290431402</v>
      </c>
      <c r="L108">
        <v>3.1054376219899395E-5</v>
      </c>
      <c r="M108">
        <v>1.8301651092747995E-6</v>
      </c>
      <c r="N108" s="1">
        <v>-5.8917109318823899E-8</v>
      </c>
      <c r="O108" s="1">
        <v>2.4470932720826E-11</v>
      </c>
      <c r="P108" s="1">
        <v>2.2908466626753499E-10</v>
      </c>
      <c r="Q108">
        <v>66.050355660463893</v>
      </c>
      <c r="S108">
        <v>20.672409608313998</v>
      </c>
      <c r="AA108">
        <v>1.6430020682388899</v>
      </c>
      <c r="AB108">
        <v>9.0500083522541797</v>
      </c>
      <c r="AC108">
        <v>2.58422431072893</v>
      </c>
      <c r="AJ108">
        <v>0.77628092175154295</v>
      </c>
      <c r="AK108">
        <v>7.7878725090696696E-2</v>
      </c>
      <c r="AL108">
        <v>0.14584035315775901</v>
      </c>
    </row>
    <row r="109" spans="1:38" x14ac:dyDescent="0.2">
      <c r="A109">
        <v>179</v>
      </c>
      <c r="B109">
        <v>770</v>
      </c>
      <c r="C109">
        <v>140</v>
      </c>
      <c r="D109">
        <v>0.45456597804726301</v>
      </c>
      <c r="E109">
        <v>8.6234628021767392</v>
      </c>
      <c r="F109">
        <v>2.5539783578293598</v>
      </c>
      <c r="G109">
        <v>-139.84236717913763</v>
      </c>
      <c r="H109">
        <v>-120.74020060940059</v>
      </c>
      <c r="I109">
        <v>18.312003613801501</v>
      </c>
      <c r="J109">
        <v>10.477840243661401</v>
      </c>
      <c r="K109">
        <v>3.3764823322566602</v>
      </c>
      <c r="L109">
        <v>3.1014778350874223E-5</v>
      </c>
      <c r="M109">
        <v>1.8308799318081766E-6</v>
      </c>
      <c r="N109" s="1">
        <v>-7.46377643181019E-8</v>
      </c>
      <c r="O109" s="1">
        <v>3.07350020392286E-11</v>
      </c>
      <c r="P109" s="1">
        <v>2.8917711609645499E-10</v>
      </c>
      <c r="Q109">
        <v>66.134568614592297</v>
      </c>
      <c r="S109">
        <v>20.550597930869301</v>
      </c>
      <c r="AA109">
        <v>1.52285624551425</v>
      </c>
      <c r="AB109">
        <v>8.9183272561914695</v>
      </c>
      <c r="AC109">
        <v>2.8736499528325701</v>
      </c>
      <c r="AJ109">
        <v>0.76548822673001204</v>
      </c>
      <c r="AK109">
        <v>7.2231196682398705E-2</v>
      </c>
      <c r="AL109">
        <v>0.16228057658758899</v>
      </c>
    </row>
    <row r="110" spans="1:38" x14ac:dyDescent="0.2">
      <c r="A110">
        <v>180</v>
      </c>
      <c r="B110">
        <v>769</v>
      </c>
      <c r="C110">
        <v>140</v>
      </c>
      <c r="D110">
        <v>0.45397543539797802</v>
      </c>
      <c r="E110">
        <v>10.6646944666427</v>
      </c>
      <c r="F110">
        <v>2.55118185098959</v>
      </c>
      <c r="G110">
        <v>-172.7237065544148</v>
      </c>
      <c r="H110">
        <v>-149.14245601150262</v>
      </c>
      <c r="I110">
        <v>22.627501360564299</v>
      </c>
      <c r="J110">
        <v>12.9470620977455</v>
      </c>
      <c r="K110">
        <v>4.1802956784542502</v>
      </c>
      <c r="L110">
        <v>3.093305399104896E-5</v>
      </c>
      <c r="M110">
        <v>1.8308621894060387E-6</v>
      </c>
      <c r="N110" s="1">
        <v>-9.2625404426038098E-8</v>
      </c>
      <c r="O110" s="1">
        <v>3.8165576295068703E-11</v>
      </c>
      <c r="P110" s="1">
        <v>3.5830298574570798E-10</v>
      </c>
      <c r="Q110">
        <v>66.205220682829705</v>
      </c>
      <c r="S110">
        <v>20.418613725860599</v>
      </c>
      <c r="AA110">
        <v>1.39748223072433</v>
      </c>
      <c r="AB110">
        <v>8.7297578494983306</v>
      </c>
      <c r="AC110">
        <v>3.2489255110869601</v>
      </c>
      <c r="AJ110">
        <v>0.75000745196367002</v>
      </c>
      <c r="AK110">
        <v>6.6346874096022496E-2</v>
      </c>
      <c r="AL110">
        <v>0.18364567394030701</v>
      </c>
    </row>
    <row r="111" spans="1:38" x14ac:dyDescent="0.2">
      <c r="A111">
        <v>180</v>
      </c>
      <c r="B111">
        <v>769</v>
      </c>
      <c r="C111">
        <v>140</v>
      </c>
      <c r="D111">
        <v>0.45397543539797802</v>
      </c>
      <c r="E111">
        <v>0.89496025016904301</v>
      </c>
      <c r="F111">
        <v>2.5232170191467298</v>
      </c>
      <c r="G111">
        <v>-14.288464711623632</v>
      </c>
      <c r="H111">
        <v>-12.327806290484617</v>
      </c>
      <c r="I111">
        <v>1.8813591336554301</v>
      </c>
      <c r="J111">
        <v>1.070703288219</v>
      </c>
      <c r="K111">
        <v>0.35469016076615001</v>
      </c>
      <c r="L111">
        <v>2.9224855450778391E-5</v>
      </c>
      <c r="M111">
        <v>1.8140408953438375E-6</v>
      </c>
      <c r="N111" s="1">
        <v>-4.6601681523797902E-9</v>
      </c>
      <c r="O111" s="1">
        <v>3.3612975110401999E-12</v>
      </c>
      <c r="P111" s="1">
        <v>2.0749018415979599E-11</v>
      </c>
      <c r="Q111">
        <v>66.380564899185998</v>
      </c>
      <c r="S111">
        <v>19.237524972350901</v>
      </c>
      <c r="AA111">
        <v>0.38215773991954199</v>
      </c>
      <c r="AB111">
        <v>6.0241253147283498</v>
      </c>
      <c r="AC111">
        <v>7.9756270738151196</v>
      </c>
      <c r="AJ111">
        <v>0.52462692109271403</v>
      </c>
      <c r="AK111">
        <v>1.8391198217866101E-2</v>
      </c>
      <c r="AL111">
        <v>0.45698188068941897</v>
      </c>
    </row>
    <row r="112" spans="1:38" x14ac:dyDescent="0.2">
      <c r="A112">
        <v>181</v>
      </c>
      <c r="B112">
        <v>768</v>
      </c>
      <c r="C112">
        <v>140</v>
      </c>
      <c r="D112">
        <v>0.45338375834414102</v>
      </c>
      <c r="E112">
        <v>11.1522817971743</v>
      </c>
      <c r="F112">
        <v>2.5531025351057499</v>
      </c>
      <c r="G112">
        <v>-180.6871415910966</v>
      </c>
      <c r="H112">
        <v>-156.06444326043305</v>
      </c>
      <c r="I112">
        <v>23.6495205596345</v>
      </c>
      <c r="J112">
        <v>13.544893115100299</v>
      </c>
      <c r="K112">
        <v>4.3681292246699099</v>
      </c>
      <c r="L112">
        <v>3.0955850731804797E-5</v>
      </c>
      <c r="M112">
        <v>1.8293612039158429E-6</v>
      </c>
      <c r="N112" s="1">
        <v>-1.00536739494339E-7</v>
      </c>
      <c r="O112" s="1">
        <v>3.9762544637805601E-11</v>
      </c>
      <c r="P112" s="1">
        <v>3.8550021617911302E-10</v>
      </c>
      <c r="Q112">
        <v>66.100608961020797</v>
      </c>
      <c r="S112">
        <v>20.524414385089699</v>
      </c>
      <c r="AA112">
        <v>1.5091785730506999</v>
      </c>
      <c r="AB112">
        <v>8.7740064196970007</v>
      </c>
      <c r="AC112">
        <v>3.0917916611416301</v>
      </c>
      <c r="AJ112">
        <v>0.75364136039500396</v>
      </c>
      <c r="AK112">
        <v>7.1633834285459899E-2</v>
      </c>
      <c r="AL112">
        <v>0.17472480531953499</v>
      </c>
    </row>
    <row r="113" spans="1:38" x14ac:dyDescent="0.2">
      <c r="A113">
        <v>181</v>
      </c>
      <c r="B113">
        <v>768</v>
      </c>
      <c r="C113">
        <v>140</v>
      </c>
      <c r="D113">
        <v>0.45338375834414102</v>
      </c>
      <c r="E113">
        <v>9.2235387196977605</v>
      </c>
      <c r="F113">
        <v>2.5227057307826999</v>
      </c>
      <c r="G113">
        <v>-147.14621910200472</v>
      </c>
      <c r="H113">
        <v>-126.98297784849997</v>
      </c>
      <c r="I113">
        <v>19.366317296743699</v>
      </c>
      <c r="J113">
        <v>11.0274225154189</v>
      </c>
      <c r="K113">
        <v>3.6562087314226801</v>
      </c>
      <c r="L113">
        <v>2.9138662916628436E-5</v>
      </c>
      <c r="M113">
        <v>1.8125407994163898E-6</v>
      </c>
      <c r="N113" s="1">
        <v>-4.8032179277422299E-8</v>
      </c>
      <c r="O113" s="1">
        <v>3.4677924066951502E-11</v>
      </c>
      <c r="P113" s="1">
        <v>2.1374904940844899E-10</v>
      </c>
      <c r="Q113">
        <v>66.341663247446107</v>
      </c>
      <c r="S113">
        <v>19.216476071885499</v>
      </c>
      <c r="AA113">
        <v>0.37386935012600298</v>
      </c>
      <c r="AB113">
        <v>5.8822526405355404</v>
      </c>
      <c r="AC113">
        <v>8.1857386900067297</v>
      </c>
      <c r="AJ113">
        <v>0.51263830755568496</v>
      </c>
      <c r="AK113">
        <v>1.8005203585673701E-2</v>
      </c>
      <c r="AL113">
        <v>0.46935648885864101</v>
      </c>
    </row>
    <row r="114" spans="1:38" x14ac:dyDescent="0.2">
      <c r="A114">
        <v>182</v>
      </c>
      <c r="B114">
        <v>767</v>
      </c>
      <c r="C114">
        <v>140</v>
      </c>
      <c r="D114">
        <v>0.45279094361390498</v>
      </c>
      <c r="E114">
        <v>13.6701695064211</v>
      </c>
      <c r="F114">
        <v>2.55638945955261</v>
      </c>
      <c r="G114">
        <v>-221.62619171254218</v>
      </c>
      <c r="H114">
        <v>-191.4919070684208</v>
      </c>
      <c r="I114">
        <v>28.971095172928202</v>
      </c>
      <c r="J114">
        <v>16.610892764941799</v>
      </c>
      <c r="K114">
        <v>5.3474518349850602</v>
      </c>
      <c r="L114">
        <v>3.0951168500294754E-5</v>
      </c>
      <c r="M114">
        <v>1.8258729170653324E-6</v>
      </c>
      <c r="N114" s="1">
        <v>-1.27920355583184E-7</v>
      </c>
      <c r="O114" s="1">
        <v>4.84438479675813E-11</v>
      </c>
      <c r="P114" s="1">
        <v>4.86395197122961E-10</v>
      </c>
      <c r="Q114">
        <v>65.892555347164603</v>
      </c>
      <c r="S114">
        <v>20.719257337561</v>
      </c>
      <c r="AA114">
        <v>1.71847247039002</v>
      </c>
      <c r="AB114">
        <v>8.8211762278231198</v>
      </c>
      <c r="AC114">
        <v>2.8485386170610498</v>
      </c>
      <c r="AJ114">
        <v>0.75751192775050902</v>
      </c>
      <c r="AK114">
        <v>8.1548569415428193E-2</v>
      </c>
      <c r="AL114">
        <v>0.160939502834062</v>
      </c>
    </row>
    <row r="115" spans="1:38" x14ac:dyDescent="0.2">
      <c r="A115">
        <v>182</v>
      </c>
      <c r="B115">
        <v>767</v>
      </c>
      <c r="C115">
        <v>140</v>
      </c>
      <c r="D115">
        <v>0.45279094361390498</v>
      </c>
      <c r="E115">
        <v>24.7605730551129</v>
      </c>
      <c r="F115">
        <v>2.5219599838497899</v>
      </c>
      <c r="G115">
        <v>-394.56583232080641</v>
      </c>
      <c r="H115">
        <v>-340.57703820764067</v>
      </c>
      <c r="I115">
        <v>51.9048157603861</v>
      </c>
      <c r="J115">
        <v>29.5692366026265</v>
      </c>
      <c r="K115">
        <v>9.8179880781913393</v>
      </c>
      <c r="L115">
        <v>2.8989304026163877E-5</v>
      </c>
      <c r="M115">
        <v>1.8099969188238396E-6</v>
      </c>
      <c r="N115" s="1">
        <v>-1.2593944686309399E-7</v>
      </c>
      <c r="O115" s="1">
        <v>9.3265810455016496E-11</v>
      </c>
      <c r="P115" s="1">
        <v>5.6460875005628705E-10</v>
      </c>
      <c r="Q115">
        <v>66.273852089994094</v>
      </c>
      <c r="S115">
        <v>19.1867651002263</v>
      </c>
      <c r="AA115">
        <v>0.36518030084465603</v>
      </c>
      <c r="AB115">
        <v>5.6532479371483602</v>
      </c>
      <c r="AC115">
        <v>8.5209545717864703</v>
      </c>
      <c r="AJ115">
        <v>0.49325049962078599</v>
      </c>
      <c r="AK115">
        <v>1.76070919914624E-2</v>
      </c>
      <c r="AL115">
        <v>0.48914240838775103</v>
      </c>
    </row>
    <row r="116" spans="1:38" x14ac:dyDescent="0.2">
      <c r="A116">
        <v>183</v>
      </c>
      <c r="B116">
        <v>766</v>
      </c>
      <c r="C116">
        <v>140</v>
      </c>
      <c r="D116">
        <v>0.45219698792282498</v>
      </c>
      <c r="E116">
        <v>15.510120229124</v>
      </c>
      <c r="F116">
        <v>2.55824461337702</v>
      </c>
      <c r="G116">
        <v>-251.52747129944245</v>
      </c>
      <c r="H116">
        <v>-217.3913544294399</v>
      </c>
      <c r="I116">
        <v>32.8500378867368</v>
      </c>
      <c r="J116">
        <v>18.852607312793001</v>
      </c>
      <c r="K116">
        <v>6.0627979623300403</v>
      </c>
      <c r="L116">
        <v>3.0952775138524769E-5</v>
      </c>
      <c r="M116">
        <v>1.8237828661623437E-6</v>
      </c>
      <c r="N116" s="1">
        <v>-1.5005102085669401E-7</v>
      </c>
      <c r="O116" s="1">
        <v>5.47579321019757E-11</v>
      </c>
      <c r="P116" s="1">
        <v>5.66276309790512E-10</v>
      </c>
      <c r="Q116">
        <v>65.769864739467806</v>
      </c>
      <c r="S116">
        <v>20.830593003214201</v>
      </c>
      <c r="AA116">
        <v>1.8389537105579401</v>
      </c>
      <c r="AB116">
        <v>8.8396477091121106</v>
      </c>
      <c r="AC116">
        <v>2.7209408376478099</v>
      </c>
      <c r="AJ116">
        <v>0.75902649234879604</v>
      </c>
      <c r="AK116">
        <v>8.7257660541987997E-2</v>
      </c>
      <c r="AL116">
        <v>0.15371584710921499</v>
      </c>
    </row>
    <row r="117" spans="1:38" x14ac:dyDescent="0.2">
      <c r="A117">
        <v>183</v>
      </c>
      <c r="B117">
        <v>766</v>
      </c>
      <c r="C117">
        <v>140</v>
      </c>
      <c r="D117">
        <v>0.45219698792282498</v>
      </c>
      <c r="E117">
        <v>32.964661491235098</v>
      </c>
      <c r="F117">
        <v>2.5215989276696802</v>
      </c>
      <c r="G117">
        <v>-524.9396702119426</v>
      </c>
      <c r="H117">
        <v>-453.21433488625706</v>
      </c>
      <c r="I117">
        <v>69.023081677992195</v>
      </c>
      <c r="J117">
        <v>39.3434183000725</v>
      </c>
      <c r="K117">
        <v>13.072920173589701</v>
      </c>
      <c r="L117">
        <v>2.891338192130776E-5</v>
      </c>
      <c r="M117">
        <v>1.8086812649701396E-6</v>
      </c>
      <c r="N117" s="1">
        <v>-1.68082243735897E-7</v>
      </c>
      <c r="O117" s="1">
        <v>1.2427441565816701E-10</v>
      </c>
      <c r="P117" s="1">
        <v>7.52554023522664E-10</v>
      </c>
      <c r="Q117">
        <v>66.237383569209101</v>
      </c>
      <c r="S117">
        <v>19.169711437880299</v>
      </c>
      <c r="AA117">
        <v>0.35962028556219899</v>
      </c>
      <c r="AB117">
        <v>5.5272714009756596</v>
      </c>
      <c r="AC117">
        <v>8.70601330637259</v>
      </c>
      <c r="AJ117">
        <v>0.48256604845344397</v>
      </c>
      <c r="AK117">
        <v>1.7350058573141001E-2</v>
      </c>
      <c r="AL117">
        <v>0.50008389297341405</v>
      </c>
    </row>
    <row r="118" spans="1:38" x14ac:dyDescent="0.2">
      <c r="A118">
        <v>184</v>
      </c>
      <c r="B118">
        <v>765</v>
      </c>
      <c r="C118">
        <v>140</v>
      </c>
      <c r="D118">
        <v>0.45160188797380102</v>
      </c>
      <c r="E118">
        <v>16.719508814805401</v>
      </c>
      <c r="F118">
        <v>2.55937527180535</v>
      </c>
      <c r="G118">
        <v>-271.17125959903899</v>
      </c>
      <c r="H118">
        <v>-234.43090672475088</v>
      </c>
      <c r="I118">
        <v>35.3902161289679</v>
      </c>
      <c r="J118">
        <v>20.3281783896029</v>
      </c>
      <c r="K118">
        <v>6.5326523230068299</v>
      </c>
      <c r="L118">
        <v>3.0964363032419552E-5</v>
      </c>
      <c r="M118">
        <v>1.822583592705042E-6</v>
      </c>
      <c r="N118" s="1">
        <v>-1.6705336080257101E-7</v>
      </c>
      <c r="O118" s="1">
        <v>5.88765469431825E-11</v>
      </c>
      <c r="P118" s="1">
        <v>6.2591069931625104E-10</v>
      </c>
      <c r="Q118">
        <v>65.696443395796905</v>
      </c>
      <c r="S118">
        <v>20.897059183177401</v>
      </c>
      <c r="AA118">
        <v>1.91092085639831</v>
      </c>
      <c r="AB118">
        <v>8.8502819134029007</v>
      </c>
      <c r="AC118">
        <v>2.6452946512244302</v>
      </c>
      <c r="AJ118">
        <v>0.759898269134056</v>
      </c>
      <c r="AK118">
        <v>9.0667541830320802E-2</v>
      </c>
      <c r="AL118">
        <v>0.149434189035622</v>
      </c>
    </row>
    <row r="119" spans="1:38" x14ac:dyDescent="0.2">
      <c r="A119">
        <v>184</v>
      </c>
      <c r="B119">
        <v>765</v>
      </c>
      <c r="C119">
        <v>140</v>
      </c>
      <c r="D119">
        <v>0.45160188797380102</v>
      </c>
      <c r="E119">
        <v>37.589300716067299</v>
      </c>
      <c r="F119">
        <v>2.5214000091819302</v>
      </c>
      <c r="G119">
        <v>-598.30057645517343</v>
      </c>
      <c r="H119">
        <v>-516.66717305258612</v>
      </c>
      <c r="I119">
        <v>78.633534077529404</v>
      </c>
      <c r="J119">
        <v>44.848508237667197</v>
      </c>
      <c r="K119">
        <v>14.9081068371468</v>
      </c>
      <c r="L119">
        <v>2.8872670574352303E-5</v>
      </c>
      <c r="M119">
        <v>1.8079490941147718E-6</v>
      </c>
      <c r="N119" s="1">
        <v>-1.94658663677924E-7</v>
      </c>
      <c r="O119" s="1">
        <v>1.4176299386241401E-10</v>
      </c>
      <c r="P119" s="1">
        <v>8.6660763775158103E-10</v>
      </c>
      <c r="Q119">
        <v>66.216305617230603</v>
      </c>
      <c r="S119">
        <v>19.158297265938899</v>
      </c>
      <c r="AA119">
        <v>0.35512172877886999</v>
      </c>
      <c r="AB119">
        <v>5.4503765794579504</v>
      </c>
      <c r="AC119">
        <v>8.8198988085936598</v>
      </c>
      <c r="AJ119">
        <v>0.47603768688082299</v>
      </c>
      <c r="AK119">
        <v>1.7139686066485599E-2</v>
      </c>
      <c r="AL119">
        <v>0.50682262705268999</v>
      </c>
    </row>
    <row r="120" spans="1:38" x14ac:dyDescent="0.2">
      <c r="A120">
        <v>185</v>
      </c>
      <c r="B120">
        <v>764</v>
      </c>
      <c r="C120">
        <v>140</v>
      </c>
      <c r="D120">
        <v>0.45100564045702202</v>
      </c>
      <c r="E120">
        <v>17.308334553485899</v>
      </c>
      <c r="F120">
        <v>2.5599340702165301</v>
      </c>
      <c r="G120">
        <v>-280.71924479981061</v>
      </c>
      <c r="H120">
        <v>-242.74324836511153</v>
      </c>
      <c r="I120">
        <v>36.615722349418199</v>
      </c>
      <c r="J120">
        <v>21.049621806932802</v>
      </c>
      <c r="K120">
        <v>6.7612423127841996</v>
      </c>
      <c r="L120">
        <v>3.0987841904940891E-5</v>
      </c>
      <c r="M120">
        <v>1.8221978023206826E-6</v>
      </c>
      <c r="N120" s="1">
        <v>-1.78562128603633E-7</v>
      </c>
      <c r="O120" s="1">
        <v>6.0852372597214697E-11</v>
      </c>
      <c r="P120" s="1">
        <v>6.6431371182722102E-10</v>
      </c>
      <c r="Q120">
        <v>65.6655599827956</v>
      </c>
      <c r="S120">
        <v>20.9265061577183</v>
      </c>
      <c r="AA120">
        <v>1.94242113412803</v>
      </c>
      <c r="AB120">
        <v>8.8586589555591004</v>
      </c>
      <c r="AC120">
        <v>2.6068537697987901</v>
      </c>
      <c r="AJ120">
        <v>0.76058535161843599</v>
      </c>
      <c r="AK120">
        <v>9.2158237325498396E-2</v>
      </c>
      <c r="AL120">
        <v>0.14725641105606499</v>
      </c>
    </row>
    <row r="121" spans="1:38" x14ac:dyDescent="0.2">
      <c r="A121">
        <v>185</v>
      </c>
      <c r="B121">
        <v>764</v>
      </c>
      <c r="C121">
        <v>140</v>
      </c>
      <c r="D121">
        <v>0.45100564045702202</v>
      </c>
      <c r="E121">
        <v>39.498193928949803</v>
      </c>
      <c r="F121">
        <v>2.5213096516548901</v>
      </c>
      <c r="G121">
        <v>-628.48671511068983</v>
      </c>
      <c r="H121">
        <v>-542.85458681832824</v>
      </c>
      <c r="I121">
        <v>82.564844325663302</v>
      </c>
      <c r="J121">
        <v>47.120549287667302</v>
      </c>
      <c r="K121">
        <v>15.6657449445072</v>
      </c>
      <c r="L121">
        <v>2.8858781423137688E-5</v>
      </c>
      <c r="M121">
        <v>1.8076553210806127E-6</v>
      </c>
      <c r="N121" s="1">
        <v>-2.0984160374927401E-7</v>
      </c>
      <c r="O121" s="1">
        <v>1.4896544632307501E-10</v>
      </c>
      <c r="P121" s="1">
        <v>9.2588452700155696E-10</v>
      </c>
      <c r="Q121">
        <v>66.207093241209407</v>
      </c>
      <c r="S121">
        <v>19.150880490310399</v>
      </c>
      <c r="AA121">
        <v>0.35115239494692102</v>
      </c>
      <c r="AB121">
        <v>5.4104032518859899</v>
      </c>
      <c r="AC121">
        <v>8.8804706216472002</v>
      </c>
      <c r="AJ121">
        <v>0.47264196657360902</v>
      </c>
      <c r="AK121">
        <v>1.6951536546527299E-2</v>
      </c>
      <c r="AL121">
        <v>0.51040649687986295</v>
      </c>
    </row>
    <row r="122" spans="1:38" x14ac:dyDescent="0.2">
      <c r="A122">
        <v>187</v>
      </c>
      <c r="B122">
        <v>790</v>
      </c>
      <c r="C122">
        <v>120</v>
      </c>
      <c r="D122">
        <v>0.486836758688802</v>
      </c>
      <c r="E122">
        <v>0.23245956087660199</v>
      </c>
      <c r="F122">
        <v>2.5621813609897499</v>
      </c>
      <c r="G122">
        <v>-3.7939476772696534</v>
      </c>
      <c r="H122">
        <v>-3.2634120524825896</v>
      </c>
      <c r="I122">
        <v>0.49902236258953497</v>
      </c>
      <c r="J122">
        <v>0.28234247221912101</v>
      </c>
      <c r="K122">
        <v>9.0727207845585398E-2</v>
      </c>
      <c r="L122">
        <v>3.0714341140752187E-5</v>
      </c>
      <c r="M122">
        <v>1.8218624918468033E-6</v>
      </c>
      <c r="N122" s="1">
        <v>-1.11448837048092E-9</v>
      </c>
      <c r="O122" s="1">
        <v>8.2229811109339902E-13</v>
      </c>
      <c r="P122" s="1">
        <v>5.1799843293226197E-12</v>
      </c>
      <c r="Q122">
        <v>65.594909417004104</v>
      </c>
      <c r="S122">
        <v>21.153389102998698</v>
      </c>
      <c r="AA122">
        <v>2.1460872307522298</v>
      </c>
      <c r="AB122">
        <v>9.2960210956723195</v>
      </c>
      <c r="AC122">
        <v>1.80959315357251</v>
      </c>
      <c r="AJ122">
        <v>0.79640166482566499</v>
      </c>
      <c r="AK122">
        <v>0.10159988571956299</v>
      </c>
      <c r="AL122">
        <v>0.101998449454771</v>
      </c>
    </row>
    <row r="123" spans="1:38" x14ac:dyDescent="0.2">
      <c r="A123">
        <v>188</v>
      </c>
      <c r="B123">
        <v>789</v>
      </c>
      <c r="C123">
        <v>120</v>
      </c>
      <c r="D123">
        <v>0.48628771830721002</v>
      </c>
      <c r="E123">
        <v>0.61811587753525299</v>
      </c>
      <c r="F123">
        <v>2.5617976051225502</v>
      </c>
      <c r="G123">
        <v>-10.085916498397163</v>
      </c>
      <c r="H123">
        <v>-8.6772214379357013</v>
      </c>
      <c r="I123">
        <v>1.3262675332688001</v>
      </c>
      <c r="J123">
        <v>0.75080097507371901</v>
      </c>
      <c r="K123">
        <v>0.24128208891259501</v>
      </c>
      <c r="L123">
        <v>3.0739200772801445E-5</v>
      </c>
      <c r="M123">
        <v>1.8227232466523833E-6</v>
      </c>
      <c r="N123" s="1">
        <v>-3.0616848810876701E-9</v>
      </c>
      <c r="O123" s="1">
        <v>2.1874378731815402E-12</v>
      </c>
      <c r="P123" s="1">
        <v>1.40618738204702E-11</v>
      </c>
      <c r="Q123">
        <v>65.632307755480497</v>
      </c>
      <c r="S123">
        <v>21.1216950826173</v>
      </c>
      <c r="AA123">
        <v>2.11121294840135</v>
      </c>
      <c r="AB123">
        <v>9.2962712928145397</v>
      </c>
      <c r="AC123">
        <v>1.8385129206861901</v>
      </c>
      <c r="AJ123">
        <v>0.79642270637496404</v>
      </c>
      <c r="AK123">
        <v>9.9948820964591303E-2</v>
      </c>
      <c r="AL123">
        <v>0.103628472660444</v>
      </c>
    </row>
    <row r="124" spans="1:38" x14ac:dyDescent="0.2">
      <c r="A124">
        <v>189</v>
      </c>
      <c r="B124">
        <v>788</v>
      </c>
      <c r="C124">
        <v>120</v>
      </c>
      <c r="D124">
        <v>0.48573764312303003</v>
      </c>
      <c r="E124">
        <v>1.00399352524649</v>
      </c>
      <c r="F124">
        <v>2.5614197756741399</v>
      </c>
      <c r="G124">
        <v>-16.378634170844801</v>
      </c>
      <c r="H124">
        <v>-14.093792545266529</v>
      </c>
      <c r="I124">
        <v>2.1531749758076302</v>
      </c>
      <c r="J124">
        <v>1.21958654262288</v>
      </c>
      <c r="K124">
        <v>0.39196758562631601</v>
      </c>
      <c r="L124">
        <v>3.0763721432567518E-5</v>
      </c>
      <c r="M124">
        <v>1.8235574452001199E-6</v>
      </c>
      <c r="N124" s="1">
        <v>-5.1363202785004501E-9</v>
      </c>
      <c r="O124" s="1">
        <v>3.5544325922558702E-12</v>
      </c>
      <c r="P124" s="1">
        <v>2.3319189673815201E-11</v>
      </c>
      <c r="Q124">
        <v>65.668616440103094</v>
      </c>
      <c r="S124">
        <v>21.090674488451601</v>
      </c>
      <c r="AA124">
        <v>2.0771485054040202</v>
      </c>
      <c r="AB124">
        <v>9.2958587291444505</v>
      </c>
      <c r="AC124">
        <v>1.86770183689666</v>
      </c>
      <c r="AJ124">
        <v>0.79638957220771001</v>
      </c>
      <c r="AK124">
        <v>9.8336418660281394E-2</v>
      </c>
      <c r="AL124">
        <v>0.105274009132008</v>
      </c>
    </row>
    <row r="125" spans="1:38" x14ac:dyDescent="0.2">
      <c r="A125">
        <v>190</v>
      </c>
      <c r="B125">
        <v>787</v>
      </c>
      <c r="C125">
        <v>120</v>
      </c>
      <c r="D125">
        <v>0.48518653020799002</v>
      </c>
      <c r="E125">
        <v>1.38995854518033</v>
      </c>
      <c r="F125">
        <v>2.5610477941949501</v>
      </c>
      <c r="G125">
        <v>-22.669904076726127</v>
      </c>
      <c r="H125">
        <v>-19.511241060194763</v>
      </c>
      <c r="I125">
        <v>2.9794491501498399</v>
      </c>
      <c r="J125">
        <v>1.6885388227754199</v>
      </c>
      <c r="K125">
        <v>0.54273042007685401</v>
      </c>
      <c r="L125">
        <v>3.0787922455668202E-5</v>
      </c>
      <c r="M125">
        <v>1.8243655812936287E-6</v>
      </c>
      <c r="N125" s="1">
        <v>-7.3422557684523201E-9</v>
      </c>
      <c r="O125" s="1">
        <v>4.9227112332384996E-12</v>
      </c>
      <c r="P125" s="1">
        <v>3.2961865102140901E-11</v>
      </c>
      <c r="Q125">
        <v>65.703853007766497</v>
      </c>
      <c r="S125">
        <v>21.060316483855701</v>
      </c>
      <c r="AA125">
        <v>2.0438808694217401</v>
      </c>
      <c r="AB125">
        <v>9.2947940750149591</v>
      </c>
      <c r="AC125">
        <v>1.8971555639409801</v>
      </c>
      <c r="AJ125">
        <v>0.79630313378116202</v>
      </c>
      <c r="AK125">
        <v>9.6762041238748403E-2</v>
      </c>
      <c r="AL125">
        <v>0.10693482498008799</v>
      </c>
    </row>
    <row r="126" spans="1:38" x14ac:dyDescent="0.2">
      <c r="A126">
        <v>191</v>
      </c>
      <c r="B126">
        <v>786</v>
      </c>
      <c r="C126">
        <v>120</v>
      </c>
      <c r="D126">
        <v>0.48463437662276798</v>
      </c>
      <c r="E126">
        <v>1.7758804242442401</v>
      </c>
      <c r="F126">
        <v>2.5606815741719902</v>
      </c>
      <c r="G126">
        <v>-28.957588046018888</v>
      </c>
      <c r="H126">
        <v>-24.927731367793992</v>
      </c>
      <c r="I126">
        <v>3.8048026041872101</v>
      </c>
      <c r="J126">
        <v>2.1575018510949202</v>
      </c>
      <c r="K126">
        <v>0.69351864837723198</v>
      </c>
      <c r="L126">
        <v>3.0811823925516952E-5</v>
      </c>
      <c r="M126">
        <v>1.8251481700878968E-6</v>
      </c>
      <c r="N126" s="1">
        <v>-9.6834722122912303E-9</v>
      </c>
      <c r="O126" s="1">
        <v>6.29171413722603E-12</v>
      </c>
      <c r="P126" s="1">
        <v>4.3000187801250903E-11</v>
      </c>
      <c r="Q126">
        <v>65.738035934743706</v>
      </c>
      <c r="S126">
        <v>21.030609556124901</v>
      </c>
      <c r="AA126">
        <v>2.0113962311696598</v>
      </c>
      <c r="AB126">
        <v>9.2930883217578302</v>
      </c>
      <c r="AC126">
        <v>1.9268699562038401</v>
      </c>
      <c r="AJ126">
        <v>0.79616428779651405</v>
      </c>
      <c r="AK126">
        <v>9.5225015257659598E-2</v>
      </c>
      <c r="AL126">
        <v>0.10861069694582499</v>
      </c>
    </row>
    <row r="127" spans="1:38" x14ac:dyDescent="0.2">
      <c r="A127">
        <v>192</v>
      </c>
      <c r="B127">
        <v>785</v>
      </c>
      <c r="C127">
        <v>120</v>
      </c>
      <c r="D127">
        <v>0.48408117941691098</v>
      </c>
      <c r="E127">
        <v>2.1616325118339401</v>
      </c>
      <c r="F127">
        <v>2.5603210217966899</v>
      </c>
      <c r="G127">
        <v>-35.239613067990824</v>
      </c>
      <c r="H127">
        <v>-30.34148236777699</v>
      </c>
      <c r="I127">
        <v>4.6289568588704997</v>
      </c>
      <c r="J127">
        <v>2.6263245657424998</v>
      </c>
      <c r="K127">
        <v>0.84428182772058302</v>
      </c>
      <c r="L127">
        <v>3.0835446612747163E-5</v>
      </c>
      <c r="M127">
        <v>1.8259057451565003E-6</v>
      </c>
      <c r="N127" s="1">
        <v>-1.2164079564525001E-8</v>
      </c>
      <c r="O127" s="1">
        <v>7.6608946563095305E-12</v>
      </c>
      <c r="P127" s="1">
        <v>5.3444829986370999E-11</v>
      </c>
      <c r="Q127">
        <v>65.771184515686897</v>
      </c>
      <c r="S127">
        <v>21.001541596588801</v>
      </c>
      <c r="AA127">
        <v>1.97968009872727</v>
      </c>
      <c r="AB127">
        <v>9.2907527220174497</v>
      </c>
      <c r="AC127">
        <v>1.95684106697949</v>
      </c>
      <c r="AJ127">
        <v>0.79597395137966898</v>
      </c>
      <c r="AK127">
        <v>9.3724635862184102E-2</v>
      </c>
      <c r="AL127">
        <v>0.11030141275814501</v>
      </c>
    </row>
    <row r="128" spans="1:38" x14ac:dyDescent="0.2">
      <c r="A128">
        <v>193</v>
      </c>
      <c r="B128">
        <v>784</v>
      </c>
      <c r="C128">
        <v>120</v>
      </c>
      <c r="D128">
        <v>0.48352693562881199</v>
      </c>
      <c r="E128">
        <v>2.5470923779636299</v>
      </c>
      <c r="F128">
        <v>2.5599660368570301</v>
      </c>
      <c r="G128">
        <v>-41.513977039675204</v>
      </c>
      <c r="H128">
        <v>-35.750772469410443</v>
      </c>
      <c r="I128">
        <v>5.4516431634723199</v>
      </c>
      <c r="J128">
        <v>3.0948612509753799</v>
      </c>
      <c r="K128">
        <v>0.99497116027789001</v>
      </c>
      <c r="L128">
        <v>3.0858811921330571E-5</v>
      </c>
      <c r="M128">
        <v>1.8266388556483675E-6</v>
      </c>
      <c r="N128" s="1">
        <v>-1.47883266946813E-8</v>
      </c>
      <c r="O128" s="1">
        <v>9.0297205594090296E-12</v>
      </c>
      <c r="P128" s="1">
        <v>6.4306879022566402E-11</v>
      </c>
      <c r="Q128">
        <v>65.803318742264395</v>
      </c>
      <c r="S128">
        <v>20.973099985113699</v>
      </c>
      <c r="AA128">
        <v>1.9487173955727299</v>
      </c>
      <c r="AB128">
        <v>9.2877987408334395</v>
      </c>
      <c r="AC128">
        <v>1.98706513621559</v>
      </c>
      <c r="AJ128">
        <v>0.79573305814101802</v>
      </c>
      <c r="AK128">
        <v>9.2260171414318706E-2</v>
      </c>
      <c r="AL128">
        <v>0.11200677044466199</v>
      </c>
    </row>
    <row r="129" spans="1:38" x14ac:dyDescent="0.2">
      <c r="A129">
        <v>194</v>
      </c>
      <c r="B129">
        <v>783</v>
      </c>
      <c r="C129">
        <v>120</v>
      </c>
      <c r="D129">
        <v>0.48297164228566197</v>
      </c>
      <c r="E129">
        <v>2.9321421256949001</v>
      </c>
      <c r="F129">
        <v>2.5596165135097899</v>
      </c>
      <c r="G129">
        <v>-47.778753761357692</v>
      </c>
      <c r="H129">
        <v>-41.153943945432722</v>
      </c>
      <c r="I129">
        <v>6.2726031491028298</v>
      </c>
      <c r="J129">
        <v>3.5629719247807401</v>
      </c>
      <c r="K129">
        <v>1.1455396190089</v>
      </c>
      <c r="L129">
        <v>3.0881941834261634E-5</v>
      </c>
      <c r="M129">
        <v>1.827348063564297E-6</v>
      </c>
      <c r="N129" s="1">
        <v>-1.75606116247143E-8</v>
      </c>
      <c r="O129" s="1">
        <v>1.03976752562097E-11</v>
      </c>
      <c r="P129" s="1">
        <v>7.5597868837127795E-11</v>
      </c>
      <c r="Q129">
        <v>65.834459188797695</v>
      </c>
      <c r="S129">
        <v>20.945271666944201</v>
      </c>
      <c r="AA129">
        <v>1.91849255066236</v>
      </c>
      <c r="AB129">
        <v>9.2842380022393094</v>
      </c>
      <c r="AC129">
        <v>2.0175385913563</v>
      </c>
      <c r="AJ129">
        <v>0.79544255386891405</v>
      </c>
      <c r="AK129">
        <v>9.0830867744709096E-2</v>
      </c>
      <c r="AL129">
        <v>0.113726578386376</v>
      </c>
    </row>
    <row r="130" spans="1:38" x14ac:dyDescent="0.2">
      <c r="A130">
        <v>195</v>
      </c>
      <c r="B130">
        <v>782</v>
      </c>
      <c r="C130">
        <v>120</v>
      </c>
      <c r="D130">
        <v>0.48241529640335601</v>
      </c>
      <c r="E130">
        <v>3.9308532235823099</v>
      </c>
      <c r="F130">
        <v>2.5585418473071</v>
      </c>
      <c r="G130">
        <v>-64.02285790422718</v>
      </c>
      <c r="H130">
        <v>-55.154444674701232</v>
      </c>
      <c r="I130">
        <v>8.4048838833587105</v>
      </c>
      <c r="J130">
        <v>4.7761777760677697</v>
      </c>
      <c r="K130">
        <v>1.5363646397730699</v>
      </c>
      <c r="L130">
        <v>3.0897424947224177E-5</v>
      </c>
      <c r="M130">
        <v>1.8285000746835924E-6</v>
      </c>
      <c r="N130" s="1">
        <v>-2.4177110318613499E-8</v>
      </c>
      <c r="O130" s="1">
        <v>1.39599422591999E-11</v>
      </c>
      <c r="P130" s="1">
        <v>1.0318461618503501E-10</v>
      </c>
      <c r="Q130">
        <v>65.899509128437899</v>
      </c>
      <c r="S130">
        <v>20.877549846559099</v>
      </c>
      <c r="AA130">
        <v>1.8474428413032</v>
      </c>
      <c r="AB130">
        <v>9.2516567483121204</v>
      </c>
      <c r="AC130">
        <v>2.1238414353875701</v>
      </c>
      <c r="AJ130">
        <v>0.79278041389165899</v>
      </c>
      <c r="AK130">
        <v>8.7481294640491106E-2</v>
      </c>
      <c r="AL130">
        <v>0.11973829146784901</v>
      </c>
    </row>
    <row r="131" spans="1:38" x14ac:dyDescent="0.2">
      <c r="A131">
        <v>196</v>
      </c>
      <c r="B131">
        <v>781</v>
      </c>
      <c r="C131">
        <v>120</v>
      </c>
      <c r="D131">
        <v>0.48185789498648202</v>
      </c>
      <c r="E131">
        <v>5.2105207979650503</v>
      </c>
      <c r="F131">
        <v>2.5571023774058999</v>
      </c>
      <c r="G131">
        <v>-84.814088955818704</v>
      </c>
      <c r="H131">
        <v>-73.075911062060399</v>
      </c>
      <c r="I131">
        <v>11.1352064637464</v>
      </c>
      <c r="J131">
        <v>6.3298625190076097</v>
      </c>
      <c r="K131">
        <v>2.0376660879925099</v>
      </c>
      <c r="L131">
        <v>3.0902631354472341E-5</v>
      </c>
      <c r="M131">
        <v>1.8296855293879588E-6</v>
      </c>
      <c r="N131" s="1">
        <v>-3.2803257073717402E-8</v>
      </c>
      <c r="O131" s="1">
        <v>1.85427043869692E-11</v>
      </c>
      <c r="P131" s="1">
        <v>1.38942898549805E-10</v>
      </c>
      <c r="Q131">
        <v>65.975219941366703</v>
      </c>
      <c r="S131">
        <v>20.792485812405801</v>
      </c>
      <c r="AA131">
        <v>1.75959805897695</v>
      </c>
      <c r="AB131">
        <v>9.1973678108606407</v>
      </c>
      <c r="AC131">
        <v>2.27532837638979</v>
      </c>
      <c r="AJ131">
        <v>0.78834214247053302</v>
      </c>
      <c r="AK131">
        <v>8.3344213615311399E-2</v>
      </c>
      <c r="AL131">
        <v>0.12831364391415501</v>
      </c>
    </row>
    <row r="132" spans="1:38" x14ac:dyDescent="0.2">
      <c r="A132">
        <v>197</v>
      </c>
      <c r="B132">
        <v>780</v>
      </c>
      <c r="C132">
        <v>120</v>
      </c>
      <c r="D132">
        <v>0.48129943502824801</v>
      </c>
      <c r="E132">
        <v>6.5779782701707896</v>
      </c>
      <c r="F132">
        <v>2.5555056636172</v>
      </c>
      <c r="G132">
        <v>-106.99982938807059</v>
      </c>
      <c r="H132">
        <v>-92.203441402739102</v>
      </c>
      <c r="I132">
        <v>14.049649133866399</v>
      </c>
      <c r="J132">
        <v>7.9889540122028997</v>
      </c>
      <c r="K132">
        <v>2.5740417498664301</v>
      </c>
      <c r="L132">
        <v>3.0896747905672225E-5</v>
      </c>
      <c r="M132">
        <v>1.830691172874079E-6</v>
      </c>
      <c r="N132" s="1">
        <v>-4.2278169201597197E-8</v>
      </c>
      <c r="O132" s="1">
        <v>2.3462457861707999E-11</v>
      </c>
      <c r="P132" s="1">
        <v>1.77875541767133E-10</v>
      </c>
      <c r="Q132">
        <v>66.048955227002594</v>
      </c>
      <c r="S132">
        <v>20.702708357786499</v>
      </c>
      <c r="AA132">
        <v>1.6683256187911599</v>
      </c>
      <c r="AB132">
        <v>9.1263196722223494</v>
      </c>
      <c r="AC132">
        <v>2.4536911241972499</v>
      </c>
      <c r="AJ132">
        <v>0.78252972353439898</v>
      </c>
      <c r="AK132">
        <v>7.9049071835247106E-2</v>
      </c>
      <c r="AL132">
        <v>0.13842120463035301</v>
      </c>
    </row>
    <row r="133" spans="1:38" x14ac:dyDescent="0.2">
      <c r="A133">
        <v>198</v>
      </c>
      <c r="B133">
        <v>779</v>
      </c>
      <c r="C133">
        <v>120</v>
      </c>
      <c r="D133">
        <v>0.48073991351043299</v>
      </c>
      <c r="E133">
        <v>8.0791293750169206</v>
      </c>
      <c r="F133">
        <v>2.5536687374560398</v>
      </c>
      <c r="G133">
        <v>-131.31295585800805</v>
      </c>
      <c r="H133">
        <v>-113.16834937608246</v>
      </c>
      <c r="I133">
        <v>17.2452658669634</v>
      </c>
      <c r="J133">
        <v>9.8083252457071293</v>
      </c>
      <c r="K133">
        <v>3.1637342998001001</v>
      </c>
      <c r="L133">
        <v>3.0875279048296756E-5</v>
      </c>
      <c r="M133">
        <v>1.8314707041877173E-6</v>
      </c>
      <c r="N133" s="1">
        <v>-5.2815789857925397E-8</v>
      </c>
      <c r="O133" s="1">
        <v>2.8892525344149299E-11</v>
      </c>
      <c r="P133" s="1">
        <v>2.2097113451284501E-10</v>
      </c>
      <c r="Q133">
        <v>66.121328813614795</v>
      </c>
      <c r="S133">
        <v>20.604960690361398</v>
      </c>
      <c r="AA133">
        <v>1.5707954052837501</v>
      </c>
      <c r="AB133">
        <v>9.0313421112521404</v>
      </c>
      <c r="AC133">
        <v>2.6715729794878702</v>
      </c>
      <c r="AJ133">
        <v>0.77475279975903399</v>
      </c>
      <c r="AK133">
        <v>7.4463127525371098E-2</v>
      </c>
      <c r="AL133">
        <v>0.15078407271559299</v>
      </c>
    </row>
    <row r="134" spans="1:38" x14ac:dyDescent="0.2">
      <c r="A134">
        <v>199</v>
      </c>
      <c r="B134">
        <v>778</v>
      </c>
      <c r="C134">
        <v>120</v>
      </c>
      <c r="D134">
        <v>0.48017932740332298</v>
      </c>
      <c r="E134">
        <v>9.8084553879356697</v>
      </c>
      <c r="F134">
        <v>2.5514298055460101</v>
      </c>
      <c r="G134">
        <v>-159.26184854105642</v>
      </c>
      <c r="H134">
        <v>-137.26988303629437</v>
      </c>
      <c r="I134">
        <v>20.921814683691199</v>
      </c>
      <c r="J134">
        <v>11.900892866968199</v>
      </c>
      <c r="K134">
        <v>3.8442975646890698</v>
      </c>
      <c r="L134">
        <v>3.0829217666798315E-5</v>
      </c>
      <c r="M134">
        <v>1.8319277166362555E-6</v>
      </c>
      <c r="N134" s="1">
        <v>-6.4829342633439098E-8</v>
      </c>
      <c r="O134" s="1">
        <v>3.5190289627470503E-11</v>
      </c>
      <c r="P134" s="1">
        <v>2.7018595934261498E-10</v>
      </c>
      <c r="Q134">
        <v>66.193331818009995</v>
      </c>
      <c r="S134">
        <v>20.492938653442</v>
      </c>
      <c r="AA134">
        <v>1.46157516107986</v>
      </c>
      <c r="AB134">
        <v>8.8981166122575406</v>
      </c>
      <c r="AC134">
        <v>2.9540377552104999</v>
      </c>
      <c r="AJ134">
        <v>0.76383119236965702</v>
      </c>
      <c r="AK134">
        <v>6.9331602855733795E-2</v>
      </c>
      <c r="AL134">
        <v>0.16683720477460801</v>
      </c>
    </row>
    <row r="135" spans="1:38" x14ac:dyDescent="0.2">
      <c r="A135">
        <v>200</v>
      </c>
      <c r="B135">
        <v>777</v>
      </c>
      <c r="C135">
        <v>120</v>
      </c>
      <c r="D135">
        <v>0.47961767366567098</v>
      </c>
      <c r="E135">
        <v>12.012545574686399</v>
      </c>
      <c r="F135">
        <v>2.5484000181437501</v>
      </c>
      <c r="G135">
        <v>-194.78216144917593</v>
      </c>
      <c r="H135">
        <v>-167.89784263186206</v>
      </c>
      <c r="I135">
        <v>25.600455951353499</v>
      </c>
      <c r="J135">
        <v>14.5612053293064</v>
      </c>
      <c r="K135">
        <v>4.7137598058236998</v>
      </c>
      <c r="L135">
        <v>3.0736014134885786E-5</v>
      </c>
      <c r="M135">
        <v>1.8318088106396591E-6</v>
      </c>
      <c r="N135" s="1">
        <v>-7.9327522775298899E-8</v>
      </c>
      <c r="O135" s="1">
        <v>4.3289897208703102E-11</v>
      </c>
      <c r="P135" s="1">
        <v>3.3042215429971801E-10</v>
      </c>
      <c r="Q135">
        <v>66.266610437644403</v>
      </c>
      <c r="S135">
        <v>20.351642635411199</v>
      </c>
      <c r="AA135">
        <v>1.3279059353401499</v>
      </c>
      <c r="AB135">
        <v>8.6909882060670007</v>
      </c>
      <c r="AC135">
        <v>3.3628527855371102</v>
      </c>
      <c r="AJ135">
        <v>0.74682171652662999</v>
      </c>
      <c r="AK135">
        <v>6.3055921950920302E-2</v>
      </c>
      <c r="AL135">
        <v>0.19012236152244899</v>
      </c>
    </row>
    <row r="136" spans="1:38" x14ac:dyDescent="0.2">
      <c r="A136">
        <v>201</v>
      </c>
      <c r="B136">
        <v>776</v>
      </c>
      <c r="C136">
        <v>120</v>
      </c>
      <c r="D136">
        <v>0.47905494924462999</v>
      </c>
      <c r="E136">
        <v>12.479186154470399</v>
      </c>
      <c r="F136">
        <v>2.5483326845565202</v>
      </c>
      <c r="G136">
        <v>-202.27329183043622</v>
      </c>
      <c r="H136">
        <v>-174.39086250001526</v>
      </c>
      <c r="I136">
        <v>26.576208674089401</v>
      </c>
      <c r="J136">
        <v>15.123437948024501</v>
      </c>
      <c r="K136">
        <v>4.8970003917059701</v>
      </c>
      <c r="L136">
        <v>3.0697642929235547E-5</v>
      </c>
      <c r="M136">
        <v>1.830590060303353E-6</v>
      </c>
      <c r="N136" s="1">
        <v>-8.4108163528215606E-8</v>
      </c>
      <c r="O136" s="1">
        <v>4.49576272627145E-11</v>
      </c>
      <c r="P136" s="1">
        <v>3.4818394119570602E-10</v>
      </c>
      <c r="Q136">
        <v>66.224554583830397</v>
      </c>
      <c r="S136">
        <v>20.361018525291801</v>
      </c>
      <c r="AA136">
        <v>1.3454542990402401</v>
      </c>
      <c r="AB136">
        <v>8.6218491050582795</v>
      </c>
      <c r="AC136">
        <v>3.4471234867790899</v>
      </c>
      <c r="AJ136">
        <v>0.74113516562571902</v>
      </c>
      <c r="AK136">
        <v>6.3911166384276297E-2</v>
      </c>
      <c r="AL136">
        <v>0.19495366799000299</v>
      </c>
    </row>
    <row r="137" spans="1:38" x14ac:dyDescent="0.2">
      <c r="A137">
        <v>201</v>
      </c>
      <c r="B137">
        <v>776</v>
      </c>
      <c r="C137">
        <v>120</v>
      </c>
      <c r="D137">
        <v>0.47905494924462999</v>
      </c>
      <c r="E137">
        <v>5.7007248000415203</v>
      </c>
      <c r="F137">
        <v>2.5232051023494599</v>
      </c>
      <c r="G137">
        <v>-91.237208043026101</v>
      </c>
      <c r="H137">
        <v>-78.602848351140395</v>
      </c>
      <c r="I137">
        <v>12.042472184040101</v>
      </c>
      <c r="J137">
        <v>6.82308021611962</v>
      </c>
      <c r="K137">
        <v>2.25931883013922</v>
      </c>
      <c r="L137">
        <v>2.9250545963394559E-5</v>
      </c>
      <c r="M137">
        <v>1.8162841646914582E-6</v>
      </c>
      <c r="N137" s="1">
        <v>-2.3792284196876199E-8</v>
      </c>
      <c r="O137" s="1">
        <v>2.1413928171627E-11</v>
      </c>
      <c r="P137" s="1">
        <v>1.14998963585003E-10</v>
      </c>
      <c r="Q137">
        <v>66.402305692201296</v>
      </c>
      <c r="S137">
        <v>19.298962930390299</v>
      </c>
      <c r="AA137">
        <v>0.42777176754198398</v>
      </c>
      <c r="AB137">
        <v>6.2336411007479997</v>
      </c>
      <c r="AC137">
        <v>7.6373185091182902</v>
      </c>
      <c r="AJ137">
        <v>0.54229982359542594</v>
      </c>
      <c r="AK137">
        <v>2.0564614720543099E-2</v>
      </c>
      <c r="AL137">
        <v>0.43713556168402901</v>
      </c>
    </row>
    <row r="138" spans="1:38" x14ac:dyDescent="0.2">
      <c r="A138">
        <v>202</v>
      </c>
      <c r="B138">
        <v>775</v>
      </c>
      <c r="C138">
        <v>120</v>
      </c>
      <c r="D138">
        <v>0.478491151075708</v>
      </c>
      <c r="E138">
        <v>12.5702229646477</v>
      </c>
      <c r="F138">
        <v>2.5514676806235599</v>
      </c>
      <c r="G138">
        <v>-203.89419606260574</v>
      </c>
      <c r="H138">
        <v>-175.84853158226207</v>
      </c>
      <c r="I138">
        <v>26.757300463047802</v>
      </c>
      <c r="J138">
        <v>15.2424899399478</v>
      </c>
      <c r="K138">
        <v>4.92666360624865</v>
      </c>
      <c r="L138">
        <v>3.0718282001208158E-5</v>
      </c>
      <c r="M138">
        <v>1.8281229776810083E-6</v>
      </c>
      <c r="N138" s="1">
        <v>-8.8487442216548703E-8</v>
      </c>
      <c r="O138" s="1">
        <v>4.5036745274892999E-11</v>
      </c>
      <c r="P138" s="1">
        <v>3.6195473117203501E-10</v>
      </c>
      <c r="Q138">
        <v>66.055795074840901</v>
      </c>
      <c r="S138">
        <v>20.534705518416899</v>
      </c>
      <c r="AA138">
        <v>1.5281255711134401</v>
      </c>
      <c r="AB138">
        <v>8.7011206211255594</v>
      </c>
      <c r="AC138">
        <v>3.18025321450303</v>
      </c>
      <c r="AJ138">
        <v>0.74765150089379095</v>
      </c>
      <c r="AK138">
        <v>7.2559428550289296E-2</v>
      </c>
      <c r="AL138">
        <v>0.179789070555919</v>
      </c>
    </row>
    <row r="139" spans="1:38" x14ac:dyDescent="0.2">
      <c r="A139">
        <v>202</v>
      </c>
      <c r="B139">
        <v>775</v>
      </c>
      <c r="C139">
        <v>120</v>
      </c>
      <c r="D139">
        <v>0.478491151075708</v>
      </c>
      <c r="E139">
        <v>17.544185355427199</v>
      </c>
      <c r="F139">
        <v>2.5222421946649201</v>
      </c>
      <c r="G139">
        <v>-280.45702012906816</v>
      </c>
      <c r="H139">
        <v>-241.67268989492752</v>
      </c>
      <c r="I139">
        <v>37.002652515518399</v>
      </c>
      <c r="J139">
        <v>20.974294800085801</v>
      </c>
      <c r="K139">
        <v>6.9557893340048196</v>
      </c>
      <c r="L139">
        <v>2.910225290195419E-5</v>
      </c>
      <c r="M139">
        <v>1.8137585279807451E-6</v>
      </c>
      <c r="N139" s="1">
        <v>-7.1415122303943202E-8</v>
      </c>
      <c r="O139" s="1">
        <v>6.6033597360355501E-11</v>
      </c>
      <c r="P139" s="1">
        <v>3.4835225417651002E-10</v>
      </c>
      <c r="Q139">
        <v>66.340317379508704</v>
      </c>
      <c r="S139">
        <v>19.262523771887299</v>
      </c>
      <c r="AA139">
        <v>0.41217321400219098</v>
      </c>
      <c r="AB139">
        <v>5.9999734781637297</v>
      </c>
      <c r="AC139">
        <v>7.9850121564379402</v>
      </c>
      <c r="AJ139">
        <v>0.52258688142083798</v>
      </c>
      <c r="AK139">
        <v>1.9838084134246099E-2</v>
      </c>
      <c r="AL139">
        <v>0.45757503444491499</v>
      </c>
    </row>
    <row r="140" spans="1:38" x14ac:dyDescent="0.2">
      <c r="A140">
        <v>203</v>
      </c>
      <c r="B140">
        <v>774</v>
      </c>
      <c r="C140">
        <v>120</v>
      </c>
      <c r="D140">
        <v>0.47792627608270499</v>
      </c>
      <c r="E140">
        <v>13.9299995316201</v>
      </c>
      <c r="F140">
        <v>2.5545433689788499</v>
      </c>
      <c r="G140">
        <v>-226.09083077192531</v>
      </c>
      <c r="H140">
        <v>-195.05899599252132</v>
      </c>
      <c r="I140">
        <v>29.634565037868398</v>
      </c>
      <c r="J140">
        <v>16.898752377486399</v>
      </c>
      <c r="K140">
        <v>5.4530291796097003</v>
      </c>
      <c r="L140">
        <v>3.0715620527792588E-5</v>
      </c>
      <c r="M140">
        <v>1.8250210050857999E-6</v>
      </c>
      <c r="N140" s="1">
        <v>-1.01934877068631E-7</v>
      </c>
      <c r="O140" s="1">
        <v>4.9632829828700297E-11</v>
      </c>
      <c r="P140" s="1">
        <v>4.1265898430855898E-10</v>
      </c>
      <c r="Q140">
        <v>65.867229126233894</v>
      </c>
      <c r="S140">
        <v>20.7145917769672</v>
      </c>
      <c r="AA140">
        <v>1.72053286255116</v>
      </c>
      <c r="AB140">
        <v>8.7525067287558294</v>
      </c>
      <c r="AC140">
        <v>2.9451395054917202</v>
      </c>
      <c r="AJ140">
        <v>0.75187161236740996</v>
      </c>
      <c r="AK140">
        <v>8.1674220283069102E-2</v>
      </c>
      <c r="AL140">
        <v>0.16645416734952001</v>
      </c>
    </row>
    <row r="141" spans="1:38" x14ac:dyDescent="0.2">
      <c r="A141">
        <v>203</v>
      </c>
      <c r="B141">
        <v>774</v>
      </c>
      <c r="C141">
        <v>120</v>
      </c>
      <c r="D141">
        <v>0.47792627608270499</v>
      </c>
      <c r="E141">
        <v>28.891514015544299</v>
      </c>
      <c r="F141">
        <v>2.5214519036342899</v>
      </c>
      <c r="G141">
        <v>-461.34769621341832</v>
      </c>
      <c r="H141">
        <v>-397.6374596910926</v>
      </c>
      <c r="I141">
        <v>60.841557104832802</v>
      </c>
      <c r="J141">
        <v>34.503345582355301</v>
      </c>
      <c r="K141">
        <v>11.4582847976998</v>
      </c>
      <c r="L141">
        <v>2.896403327639426E-5</v>
      </c>
      <c r="M141">
        <v>1.8114028670698032E-6</v>
      </c>
      <c r="N141" s="1">
        <v>-1.14936837409575E-7</v>
      </c>
      <c r="O141" s="1">
        <v>1.08937362080296E-10</v>
      </c>
      <c r="P141" s="1">
        <v>5.6543512866153696E-10</v>
      </c>
      <c r="Q141">
        <v>66.2796855021993</v>
      </c>
      <c r="S141">
        <v>19.231053352001101</v>
      </c>
      <c r="AA141">
        <v>0.40035741504403199</v>
      </c>
      <c r="AB141">
        <v>5.7823547933658102</v>
      </c>
      <c r="AC141">
        <v>8.3065489373896106</v>
      </c>
      <c r="AJ141">
        <v>0.50418601758908299</v>
      </c>
      <c r="AK141">
        <v>1.9290555263439198E-2</v>
      </c>
      <c r="AL141">
        <v>0.47652342714747598</v>
      </c>
    </row>
    <row r="142" spans="1:38" x14ac:dyDescent="0.2">
      <c r="A142">
        <v>204</v>
      </c>
      <c r="B142">
        <v>773</v>
      </c>
      <c r="C142">
        <v>120</v>
      </c>
      <c r="D142">
        <v>0.47736032117765198</v>
      </c>
      <c r="E142">
        <v>15.127619921423699</v>
      </c>
      <c r="F142">
        <v>2.5564020944669998</v>
      </c>
      <c r="G142">
        <v>-245.60133167220749</v>
      </c>
      <c r="H142">
        <v>-211.95396887806152</v>
      </c>
      <c r="I142">
        <v>32.163038564398903</v>
      </c>
      <c r="J142">
        <v>18.356793612943999</v>
      </c>
      <c r="K142">
        <v>5.9175432355361801</v>
      </c>
      <c r="L142">
        <v>3.0715136244797433E-5</v>
      </c>
      <c r="M142">
        <v>1.8230092408867777E-6</v>
      </c>
      <c r="N142" s="1">
        <v>-1.14572099166035E-7</v>
      </c>
      <c r="O142" s="1">
        <v>5.3707017340942301E-11</v>
      </c>
      <c r="P142" s="1">
        <v>4.59586849952134E-10</v>
      </c>
      <c r="Q142">
        <v>65.747767083143302</v>
      </c>
      <c r="S142">
        <v>20.824810560029299</v>
      </c>
      <c r="AA142">
        <v>1.8393393217318901</v>
      </c>
      <c r="AB142">
        <v>8.7752448402436407</v>
      </c>
      <c r="AC142">
        <v>2.8128381948518202</v>
      </c>
      <c r="AJ142">
        <v>0.75373774743200905</v>
      </c>
      <c r="AK142">
        <v>8.7303904768345195E-2</v>
      </c>
      <c r="AL142">
        <v>0.15895834779964399</v>
      </c>
    </row>
    <row r="143" spans="1:38" x14ac:dyDescent="0.2">
      <c r="A143">
        <v>204</v>
      </c>
      <c r="B143">
        <v>773</v>
      </c>
      <c r="C143">
        <v>120</v>
      </c>
      <c r="D143">
        <v>0.47736032117765198</v>
      </c>
      <c r="E143">
        <v>35.289888153854903</v>
      </c>
      <c r="F143">
        <v>2.5210365561925498</v>
      </c>
      <c r="G143">
        <v>-563.12418813930572</v>
      </c>
      <c r="H143">
        <v>-485.46807051074308</v>
      </c>
      <c r="I143">
        <v>74.230385344895495</v>
      </c>
      <c r="J143">
        <v>42.119105527001402</v>
      </c>
      <c r="K143">
        <v>13.9981659794541</v>
      </c>
      <c r="L143">
        <v>2.8887183502312171E-5</v>
      </c>
      <c r="M143">
        <v>1.8100860894420613E-6</v>
      </c>
      <c r="N143" s="1">
        <v>-1.40546622694292E-7</v>
      </c>
      <c r="O143" s="1">
        <v>1.33185775160652E-10</v>
      </c>
      <c r="P143" s="1">
        <v>6.9081251968197705E-10</v>
      </c>
      <c r="Q143">
        <v>66.244509878780505</v>
      </c>
      <c r="S143">
        <v>19.212074807810801</v>
      </c>
      <c r="AA143">
        <v>0.39290767260546799</v>
      </c>
      <c r="AB143">
        <v>5.6542130816446896</v>
      </c>
      <c r="AC143">
        <v>8.4962945591583807</v>
      </c>
      <c r="AJ143">
        <v>0.49333200594850002</v>
      </c>
      <c r="AK143">
        <v>1.8943857627255201E-2</v>
      </c>
      <c r="AL143">
        <v>0.487724136424243</v>
      </c>
    </row>
    <row r="144" spans="1:38" x14ac:dyDescent="0.2">
      <c r="A144">
        <v>205</v>
      </c>
      <c r="B144">
        <v>772</v>
      </c>
      <c r="C144">
        <v>120</v>
      </c>
      <c r="D144">
        <v>0.47679328326077502</v>
      </c>
      <c r="E144">
        <v>15.9619547023404</v>
      </c>
      <c r="F144">
        <v>2.5575385006594802</v>
      </c>
      <c r="G144">
        <v>-259.17871301537377</v>
      </c>
      <c r="H144">
        <v>-223.7303100620928</v>
      </c>
      <c r="I144">
        <v>33.917048225882397</v>
      </c>
      <c r="J144">
        <v>19.373667659202201</v>
      </c>
      <c r="K144">
        <v>6.2411395559537004</v>
      </c>
      <c r="L144">
        <v>3.0723021024471203E-5</v>
      </c>
      <c r="M144">
        <v>1.8218423316569744E-6</v>
      </c>
      <c r="N144" s="1">
        <v>-1.24943525545803E-7</v>
      </c>
      <c r="O144" s="1">
        <v>5.6533218100639699E-11</v>
      </c>
      <c r="P144" s="1">
        <v>4.9684370213510097E-10</v>
      </c>
      <c r="Q144">
        <v>65.675915124576704</v>
      </c>
      <c r="S144">
        <v>20.890882091922201</v>
      </c>
      <c r="AA144">
        <v>1.91061468431425</v>
      </c>
      <c r="AB144">
        <v>8.7883417138685402</v>
      </c>
      <c r="AC144">
        <v>2.7342463853182402</v>
      </c>
      <c r="AJ144">
        <v>0.75481237642311805</v>
      </c>
      <c r="AK144">
        <v>9.0680932829336605E-2</v>
      </c>
      <c r="AL144">
        <v>0.154506690747544</v>
      </c>
    </row>
    <row r="145" spans="1:38" x14ac:dyDescent="0.2">
      <c r="A145">
        <v>205</v>
      </c>
      <c r="B145">
        <v>772</v>
      </c>
      <c r="C145">
        <v>120</v>
      </c>
      <c r="D145">
        <v>0.47679328326077502</v>
      </c>
      <c r="E145">
        <v>38.8995390859181</v>
      </c>
      <c r="F145">
        <v>2.5208045521074798</v>
      </c>
      <c r="G145">
        <v>-620.4242798376946</v>
      </c>
      <c r="H145">
        <v>-534.98555576805256</v>
      </c>
      <c r="I145">
        <v>81.747810428782401</v>
      </c>
      <c r="J145">
        <v>46.411383886479697</v>
      </c>
      <c r="K145">
        <v>15.4313983023383</v>
      </c>
      <c r="L145">
        <v>2.8844749602819063E-5</v>
      </c>
      <c r="M145">
        <v>1.809348810962207E-6</v>
      </c>
      <c r="N145" s="1">
        <v>-1.5730054317454101E-7</v>
      </c>
      <c r="O145" s="1">
        <v>1.4687524145963999E-10</v>
      </c>
      <c r="P145" s="1">
        <v>7.6822091603596803E-10</v>
      </c>
      <c r="Q145">
        <v>66.224174825272698</v>
      </c>
      <c r="S145">
        <v>19.199487756557399</v>
      </c>
      <c r="AA145">
        <v>0.38726813317839198</v>
      </c>
      <c r="AB145">
        <v>5.5758989139354203</v>
      </c>
      <c r="AC145">
        <v>8.6131703710559595</v>
      </c>
      <c r="AJ145">
        <v>0.486691636192852</v>
      </c>
      <c r="AK145">
        <v>1.8679340702326401E-2</v>
      </c>
      <c r="AL145">
        <v>0.49462902310482099</v>
      </c>
    </row>
    <row r="146" spans="1:38" x14ac:dyDescent="0.2">
      <c r="A146">
        <v>206</v>
      </c>
      <c r="B146">
        <v>771</v>
      </c>
      <c r="C146">
        <v>120</v>
      </c>
      <c r="D146">
        <v>0.47622515922041903</v>
      </c>
      <c r="E146">
        <v>16.435984685829801</v>
      </c>
      <c r="F146">
        <v>2.5581514726308701</v>
      </c>
      <c r="G146">
        <v>-266.87744775921448</v>
      </c>
      <c r="H146">
        <v>-230.4317366246425</v>
      </c>
      <c r="I146">
        <v>34.904669956013898</v>
      </c>
      <c r="J146">
        <v>19.953214900883001</v>
      </c>
      <c r="K146">
        <v>6.4249458492489797</v>
      </c>
      <c r="L146">
        <v>3.0740450877037055E-5</v>
      </c>
      <c r="M146">
        <v>1.8213842545866515E-6</v>
      </c>
      <c r="N146" s="1">
        <v>-1.3290133112252201E-7</v>
      </c>
      <c r="O146" s="1">
        <v>5.8123136608355199E-11</v>
      </c>
      <c r="P146" s="1">
        <v>5.2402580236098895E-10</v>
      </c>
      <c r="Q146">
        <v>65.641766332488203</v>
      </c>
      <c r="S146">
        <v>20.923573639185602</v>
      </c>
      <c r="AA146">
        <v>1.94555369933115</v>
      </c>
      <c r="AB146">
        <v>8.7979481030265401</v>
      </c>
      <c r="AC146">
        <v>2.6911582259684099</v>
      </c>
      <c r="AJ146">
        <v>0.75560079338309605</v>
      </c>
      <c r="AK146">
        <v>9.23347169123266E-2</v>
      </c>
      <c r="AL146">
        <v>0.15206448970457601</v>
      </c>
    </row>
    <row r="147" spans="1:38" x14ac:dyDescent="0.2">
      <c r="A147">
        <v>206</v>
      </c>
      <c r="B147">
        <v>771</v>
      </c>
      <c r="C147">
        <v>120</v>
      </c>
      <c r="D147">
        <v>0.47622515922041903</v>
      </c>
      <c r="E147">
        <v>40.562602415678498</v>
      </c>
      <c r="F147">
        <v>2.5206869742023899</v>
      </c>
      <c r="G147">
        <v>-646.7342297470808</v>
      </c>
      <c r="H147">
        <v>-557.79550888350309</v>
      </c>
      <c r="I147">
        <v>85.178107420943107</v>
      </c>
      <c r="J147">
        <v>48.387898793708104</v>
      </c>
      <c r="K147">
        <v>16.091884010514001</v>
      </c>
      <c r="L147">
        <v>2.8826425777369394E-5</v>
      </c>
      <c r="M147">
        <v>1.809013518843621E-6</v>
      </c>
      <c r="N147" s="1">
        <v>-1.6821692445832899E-7</v>
      </c>
      <c r="O147" s="1">
        <v>1.53173995693037E-10</v>
      </c>
      <c r="P147" s="1">
        <v>8.1319050626497602E-10</v>
      </c>
      <c r="Q147">
        <v>66.214434570517</v>
      </c>
      <c r="S147">
        <v>19.191064917153799</v>
      </c>
      <c r="AA147">
        <v>0.38259195971690302</v>
      </c>
      <c r="AB147">
        <v>5.5321117099237203</v>
      </c>
      <c r="AC147">
        <v>8.6797968426883898</v>
      </c>
      <c r="AJ147">
        <v>0.48297658109235098</v>
      </c>
      <c r="AK147">
        <v>1.8457877567043E-2</v>
      </c>
      <c r="AL147">
        <v>0.49856554134060499</v>
      </c>
    </row>
    <row r="148" spans="1:38" x14ac:dyDescent="0.2">
      <c r="A148">
        <v>207</v>
      </c>
      <c r="B148">
        <v>804</v>
      </c>
      <c r="C148">
        <v>100</v>
      </c>
      <c r="D148">
        <v>0.514840551455232</v>
      </c>
      <c r="E148">
        <v>4.1561533249925703E-2</v>
      </c>
      <c r="F148">
        <v>2.5601054642122199</v>
      </c>
      <c r="G148">
        <v>-0.67991396595357656</v>
      </c>
      <c r="H148">
        <v>-0.5830862475282218</v>
      </c>
      <c r="I148">
        <v>8.9892511187257801E-2</v>
      </c>
      <c r="J148">
        <v>5.0450499782402999E-2</v>
      </c>
      <c r="K148">
        <v>1.62343051217676E-2</v>
      </c>
      <c r="L148">
        <v>3.0553705539162186E-5</v>
      </c>
      <c r="M148">
        <v>1.821849875987024E-6</v>
      </c>
      <c r="N148" s="1">
        <v>-1.208168826326E-10</v>
      </c>
      <c r="O148" s="1">
        <v>1.47755361449456E-13</v>
      </c>
      <c r="P148" s="1">
        <v>6.9328578334553198E-13</v>
      </c>
      <c r="Q148">
        <v>65.606578098463203</v>
      </c>
      <c r="S148">
        <v>21.147349700705199</v>
      </c>
      <c r="AA148">
        <v>2.1383819347242001</v>
      </c>
      <c r="AB148">
        <v>9.3061910483660295</v>
      </c>
      <c r="AC148">
        <v>1.8014992177411999</v>
      </c>
      <c r="AJ148">
        <v>0.79723285959221202</v>
      </c>
      <c r="AK148">
        <v>0.101230013291514</v>
      </c>
      <c r="AL148">
        <v>0.101537127116272</v>
      </c>
    </row>
    <row r="149" spans="1:38" x14ac:dyDescent="0.2">
      <c r="A149">
        <v>208</v>
      </c>
      <c r="B149">
        <v>803</v>
      </c>
      <c r="C149">
        <v>100</v>
      </c>
      <c r="D149">
        <v>0.51432467592807896</v>
      </c>
      <c r="E149">
        <v>0.414407209789529</v>
      </c>
      <c r="F149">
        <v>2.5597485594543801</v>
      </c>
      <c r="G149">
        <v>-6.777881072038733</v>
      </c>
      <c r="H149">
        <v>-5.8137757909080339</v>
      </c>
      <c r="I149">
        <v>0.89588373473093597</v>
      </c>
      <c r="J149">
        <v>0.50304355810607104</v>
      </c>
      <c r="K149">
        <v>0.16189371735709099</v>
      </c>
      <c r="L149">
        <v>3.0573161821148061E-5</v>
      </c>
      <c r="M149">
        <v>1.8226573899118948E-6</v>
      </c>
      <c r="N149" s="1">
        <v>-1.25022408538225E-9</v>
      </c>
      <c r="O149" s="1">
        <v>1.4739804864855101E-12</v>
      </c>
      <c r="P149" s="1">
        <v>7.0474108154793699E-12</v>
      </c>
      <c r="Q149">
        <v>65.641952084758401</v>
      </c>
      <c r="S149">
        <v>21.117475403671602</v>
      </c>
      <c r="AA149">
        <v>2.1054812976745398</v>
      </c>
      <c r="AB149">
        <v>9.3067007265501598</v>
      </c>
      <c r="AC149">
        <v>1.8283904873452099</v>
      </c>
      <c r="AJ149">
        <v>0.797275068975562</v>
      </c>
      <c r="AK149">
        <v>9.9672330655363101E-2</v>
      </c>
      <c r="AL149">
        <v>0.103052600369074</v>
      </c>
    </row>
    <row r="150" spans="1:38" x14ac:dyDescent="0.2">
      <c r="A150">
        <v>209</v>
      </c>
      <c r="B150">
        <v>802</v>
      </c>
      <c r="C150">
        <v>100</v>
      </c>
      <c r="D150">
        <v>0.51380784076640695</v>
      </c>
      <c r="E150">
        <v>0.78725638468838799</v>
      </c>
      <c r="F150">
        <v>2.5593974301437998</v>
      </c>
      <c r="G150">
        <v>-12.87321159806854</v>
      </c>
      <c r="H150">
        <v>-11.044266524155367</v>
      </c>
      <c r="I150">
        <v>1.7011068910507099</v>
      </c>
      <c r="J150">
        <v>0.95565062126592704</v>
      </c>
      <c r="K150">
        <v>0.30759442649129798</v>
      </c>
      <c r="L150">
        <v>3.0592247143805842E-5</v>
      </c>
      <c r="M150">
        <v>1.8234405166455117E-6</v>
      </c>
      <c r="N150" s="1">
        <v>-2.4634844482942899E-9</v>
      </c>
      <c r="O150" s="1">
        <v>2.80146172323484E-12</v>
      </c>
      <c r="P150" s="1">
        <v>1.3649343760824999E-11</v>
      </c>
      <c r="Q150">
        <v>65.676323885097105</v>
      </c>
      <c r="S150">
        <v>21.088230562200501</v>
      </c>
      <c r="AA150">
        <v>2.0733338143012001</v>
      </c>
      <c r="AB150">
        <v>9.3066272866573705</v>
      </c>
      <c r="AC150">
        <v>1.8554844517437299</v>
      </c>
      <c r="AJ150">
        <v>0.79726961706214905</v>
      </c>
      <c r="AK150">
        <v>9.81505897547372E-2</v>
      </c>
      <c r="AL150">
        <v>0.104579793183112</v>
      </c>
    </row>
    <row r="151" spans="1:38" x14ac:dyDescent="0.2">
      <c r="A151">
        <v>210</v>
      </c>
      <c r="B151">
        <v>801</v>
      </c>
      <c r="C151">
        <v>100</v>
      </c>
      <c r="D151">
        <v>0.51329004329004402</v>
      </c>
      <c r="E151">
        <v>1.15999007540572</v>
      </c>
      <c r="F151">
        <v>2.5590520037309701</v>
      </c>
      <c r="G151">
        <v>-18.963954500994799</v>
      </c>
      <c r="H151">
        <v>-16.272888407638547</v>
      </c>
      <c r="I151">
        <v>2.5052982296292399</v>
      </c>
      <c r="J151">
        <v>1.40812828639743</v>
      </c>
      <c r="K151">
        <v>0.45328898112055199</v>
      </c>
      <c r="L151">
        <v>3.0610977557238581E-5</v>
      </c>
      <c r="M151">
        <v>1.8241997189366633E-6</v>
      </c>
      <c r="N151" s="1">
        <v>-3.7629186430803803E-9</v>
      </c>
      <c r="O151" s="1">
        <v>4.1296972402559603E-12</v>
      </c>
      <c r="P151" s="1">
        <v>2.0504819667263801E-11</v>
      </c>
      <c r="Q151">
        <v>65.709710177819503</v>
      </c>
      <c r="S151">
        <v>21.059605027896598</v>
      </c>
      <c r="AA151">
        <v>2.0419272204115901</v>
      </c>
      <c r="AB151">
        <v>9.3059812901367707</v>
      </c>
      <c r="AC151">
        <v>1.88277628373543</v>
      </c>
      <c r="AJ151">
        <v>0.79721736687927602</v>
      </c>
      <c r="AK151">
        <v>9.6664191954957193E-2</v>
      </c>
      <c r="AL151">
        <v>0.10611844116576601</v>
      </c>
    </row>
    <row r="152" spans="1:38" x14ac:dyDescent="0.2">
      <c r="A152">
        <v>211</v>
      </c>
      <c r="B152">
        <v>800</v>
      </c>
      <c r="C152">
        <v>100</v>
      </c>
      <c r="D152">
        <v>0.51277128080883805</v>
      </c>
      <c r="E152">
        <v>1.53249246383796</v>
      </c>
      <c r="F152">
        <v>2.55871220106284</v>
      </c>
      <c r="G152">
        <v>-25.048212489973526</v>
      </c>
      <c r="H152">
        <v>-21.498016083443929</v>
      </c>
      <c r="I152">
        <v>3.3082014690673098</v>
      </c>
      <c r="J152">
        <v>1.86033715627714</v>
      </c>
      <c r="K152">
        <v>0.59893115888586101</v>
      </c>
      <c r="L152">
        <v>3.0629369636290042E-5</v>
      </c>
      <c r="M152">
        <v>1.824935475897653E-6</v>
      </c>
      <c r="N152" s="1">
        <v>-5.1509091989507902E-9</v>
      </c>
      <c r="O152" s="1">
        <v>5.45819614841657E-12</v>
      </c>
      <c r="P152" s="1">
        <v>2.76197671045759E-11</v>
      </c>
      <c r="Q152">
        <v>65.742128379653707</v>
      </c>
      <c r="S152">
        <v>21.031588115370901</v>
      </c>
      <c r="AA152">
        <v>2.0112486364948099</v>
      </c>
      <c r="AB152">
        <v>9.3047735360966008</v>
      </c>
      <c r="AC152">
        <v>1.91026133238383</v>
      </c>
      <c r="AJ152">
        <v>0.79711920010663195</v>
      </c>
      <c r="AK152">
        <v>9.5212510287646601E-2</v>
      </c>
      <c r="AL152">
        <v>0.10766828960572</v>
      </c>
    </row>
    <row r="153" spans="1:38" x14ac:dyDescent="0.2">
      <c r="A153">
        <v>212</v>
      </c>
      <c r="B153">
        <v>799</v>
      </c>
      <c r="C153">
        <v>100</v>
      </c>
      <c r="D153">
        <v>0.51225155062258299</v>
      </c>
      <c r="E153">
        <v>1.90465121123558</v>
      </c>
      <c r="F153">
        <v>2.5583779370447401</v>
      </c>
      <c r="G153">
        <v>-31.124147096490159</v>
      </c>
      <c r="H153">
        <v>-26.718073263008872</v>
      </c>
      <c r="I153">
        <v>4.1095684684804201</v>
      </c>
      <c r="J153">
        <v>2.3121422265283398</v>
      </c>
      <c r="K153">
        <v>0.74447609309659002</v>
      </c>
      <c r="L153">
        <v>3.064744043010884E-5</v>
      </c>
      <c r="M153">
        <v>1.8256482806005446E-6</v>
      </c>
      <c r="N153" s="1">
        <v>-6.6299055554748199E-9</v>
      </c>
      <c r="O153" s="1">
        <v>6.78647976356623E-12</v>
      </c>
      <c r="P153" s="1">
        <v>3.5000325075907898E-11</v>
      </c>
      <c r="Q153">
        <v>65.773596545751801</v>
      </c>
      <c r="S153">
        <v>21.004168669246901</v>
      </c>
      <c r="AA153">
        <v>1.9812846463282601</v>
      </c>
      <c r="AB153">
        <v>9.3030150142053802</v>
      </c>
      <c r="AC153">
        <v>1.9379351244674801</v>
      </c>
      <c r="AJ153">
        <v>0.79697601327622403</v>
      </c>
      <c r="AK153">
        <v>9.37948931656815E-2</v>
      </c>
      <c r="AL153">
        <v>0.109229093558093</v>
      </c>
    </row>
    <row r="154" spans="1:38" x14ac:dyDescent="0.2">
      <c r="A154">
        <v>213</v>
      </c>
      <c r="B154">
        <v>798</v>
      </c>
      <c r="C154">
        <v>100</v>
      </c>
      <c r="D154">
        <v>0.51173085002101004</v>
      </c>
      <c r="E154">
        <v>2.2763577369544001</v>
      </c>
      <c r="F154">
        <v>2.5580491213020098</v>
      </c>
      <c r="G154">
        <v>-37.189983146981042</v>
      </c>
      <c r="H154">
        <v>-31.931536608454667</v>
      </c>
      <c r="I154">
        <v>4.9091598175105098</v>
      </c>
      <c r="J154">
        <v>2.7634132284915198</v>
      </c>
      <c r="K154">
        <v>0.88988038501612798</v>
      </c>
      <c r="L154">
        <v>3.0665207413771737E-5</v>
      </c>
      <c r="M154">
        <v>1.8263386377488517E-6</v>
      </c>
      <c r="N154" s="1">
        <v>-8.2024293575217303E-9</v>
      </c>
      <c r="O154" s="1">
        <v>8.1140827251968E-12</v>
      </c>
      <c r="P154" s="1">
        <v>4.26528603338959E-11</v>
      </c>
      <c r="Q154">
        <v>65.804133272161906</v>
      </c>
      <c r="S154">
        <v>20.9773351298801</v>
      </c>
      <c r="AA154">
        <v>1.95202137395317</v>
      </c>
      <c r="AB154">
        <v>9.3007168596482508</v>
      </c>
      <c r="AC154">
        <v>1.9657933643563801</v>
      </c>
      <c r="AJ154">
        <v>0.796788714140369</v>
      </c>
      <c r="AK154">
        <v>9.2410668017228401E-2</v>
      </c>
      <c r="AL154">
        <v>0.110800617842402</v>
      </c>
    </row>
    <row r="155" spans="1:38" x14ac:dyDescent="0.2">
      <c r="A155">
        <v>214</v>
      </c>
      <c r="B155">
        <v>797</v>
      </c>
      <c r="C155">
        <v>100</v>
      </c>
      <c r="D155">
        <v>0.511209176283699</v>
      </c>
      <c r="E155">
        <v>2.6475074506043201</v>
      </c>
      <c r="F155">
        <v>2.5577256588472199</v>
      </c>
      <c r="G155">
        <v>-43.244012468919145</v>
      </c>
      <c r="H155">
        <v>-37.136938961754126</v>
      </c>
      <c r="I155">
        <v>5.7067453227725196</v>
      </c>
      <c r="J155">
        <v>3.2140249151469198</v>
      </c>
      <c r="K155">
        <v>1.0351021977069801</v>
      </c>
      <c r="L155">
        <v>3.0682688443311238E-5</v>
      </c>
      <c r="M155">
        <v>1.8270070614570189E-6</v>
      </c>
      <c r="N155" s="1">
        <v>-9.8710799491042008E-9</v>
      </c>
      <c r="O155" s="1">
        <v>9.4405539332065599E-12</v>
      </c>
      <c r="P155" s="1">
        <v>5.0583984886037499E-11</v>
      </c>
      <c r="Q155">
        <v>65.833757601705599</v>
      </c>
      <c r="S155">
        <v>20.951075597642902</v>
      </c>
      <c r="AA155">
        <v>1.9234445586728901</v>
      </c>
      <c r="AB155">
        <v>9.2978903119111997</v>
      </c>
      <c r="AC155">
        <v>1.9938319300673</v>
      </c>
      <c r="AJ155">
        <v>0.79655821835214702</v>
      </c>
      <c r="AK155">
        <v>9.1059144822218704E-2</v>
      </c>
      <c r="AL155">
        <v>0.112382636825633</v>
      </c>
    </row>
    <row r="156" spans="1:38" x14ac:dyDescent="0.2">
      <c r="A156">
        <v>215</v>
      </c>
      <c r="B156">
        <v>796</v>
      </c>
      <c r="C156">
        <v>100</v>
      </c>
      <c r="D156">
        <v>0.51068652668007097</v>
      </c>
      <c r="E156">
        <v>3.0179999432825801</v>
      </c>
      <c r="F156">
        <v>2.5574074507534998</v>
      </c>
      <c r="G156">
        <v>-49.284596925018462</v>
      </c>
      <c r="H156">
        <v>-42.332872002124269</v>
      </c>
      <c r="I156">
        <v>6.50210440339914</v>
      </c>
      <c r="J156">
        <v>3.6638572970608201</v>
      </c>
      <c r="K156">
        <v>1.1801013336351101</v>
      </c>
      <c r="L156">
        <v>3.0699901714622287E-5</v>
      </c>
      <c r="M156">
        <v>1.8276540731499403E-6</v>
      </c>
      <c r="N156" s="1">
        <v>-1.16385400752081E-8</v>
      </c>
      <c r="O156" s="1">
        <v>1.07654573224118E-11</v>
      </c>
      <c r="P156" s="1">
        <v>5.8800573758714894E-11</v>
      </c>
      <c r="Q156">
        <v>65.862488933676104</v>
      </c>
      <c r="S156">
        <v>20.925377895627602</v>
      </c>
      <c r="AA156">
        <v>1.89553962785396</v>
      </c>
      <c r="AB156">
        <v>9.29454667793269</v>
      </c>
      <c r="AC156">
        <v>2.02204686490954</v>
      </c>
      <c r="AJ156">
        <v>0.79628544650205901</v>
      </c>
      <c r="AK156">
        <v>8.9739619541186297E-2</v>
      </c>
      <c r="AL156">
        <v>0.113974933956754</v>
      </c>
    </row>
    <row r="157" spans="1:38" x14ac:dyDescent="0.2">
      <c r="A157">
        <v>216</v>
      </c>
      <c r="B157">
        <v>795</v>
      </c>
      <c r="C157">
        <v>100</v>
      </c>
      <c r="D157">
        <v>0.51016289846931695</v>
      </c>
      <c r="E157">
        <v>3.3877391364560201</v>
      </c>
      <c r="F157">
        <v>2.5570943948108802</v>
      </c>
      <c r="G157">
        <v>-55.310170753190675</v>
      </c>
      <c r="H157">
        <v>-47.517988311549907</v>
      </c>
      <c r="I157">
        <v>7.2950263929604997</v>
      </c>
      <c r="J157">
        <v>4.1127958266463596</v>
      </c>
      <c r="K157">
        <v>1.3248392954639301</v>
      </c>
      <c r="L157">
        <v>3.0716865725356984E-5</v>
      </c>
      <c r="M157">
        <v>1.8282801995773654E-6</v>
      </c>
      <c r="N157" s="1">
        <v>-1.3507581772846301E-8</v>
      </c>
      <c r="O157" s="1">
        <v>1.2088372469652501E-11</v>
      </c>
      <c r="P157" s="1">
        <v>6.7309782948758703E-11</v>
      </c>
      <c r="Q157">
        <v>65.890346937786404</v>
      </c>
      <c r="S157">
        <v>20.900229629728599</v>
      </c>
      <c r="AA157">
        <v>1.8682917665738701</v>
      </c>
      <c r="AB157">
        <v>9.2906972978542104</v>
      </c>
      <c r="AC157">
        <v>2.05043436805679</v>
      </c>
      <c r="AJ157">
        <v>0.79597132136605298</v>
      </c>
      <c r="AK157">
        <v>8.84513773925278E-2</v>
      </c>
      <c r="AL157">
        <v>0.115577301241419</v>
      </c>
    </row>
    <row r="158" spans="1:38" x14ac:dyDescent="0.2">
      <c r="A158">
        <v>217</v>
      </c>
      <c r="B158">
        <v>794</v>
      </c>
      <c r="C158">
        <v>100</v>
      </c>
      <c r="D158">
        <v>0.50963828890034402</v>
      </c>
      <c r="E158">
        <v>3.75663339427066</v>
      </c>
      <c r="F158">
        <v>2.5567863861753599</v>
      </c>
      <c r="G158">
        <v>-61.319242308344833</v>
      </c>
      <c r="H158">
        <v>-52.691002930158703</v>
      </c>
      <c r="I158">
        <v>8.0853107606110797</v>
      </c>
      <c r="J158">
        <v>4.5607315378465501</v>
      </c>
      <c r="K158">
        <v>1.46927933228326</v>
      </c>
      <c r="L158">
        <v>3.0733599241508247E-5</v>
      </c>
      <c r="M158">
        <v>1.8288859709808446E-6</v>
      </c>
      <c r="N158" s="1">
        <v>-1.5481072466573899E-8</v>
      </c>
      <c r="O158" s="1">
        <v>1.3408895053909999E-11</v>
      </c>
      <c r="P158" s="1">
        <v>7.6119067650613795E-11</v>
      </c>
      <c r="Q158">
        <v>65.9173514734142</v>
      </c>
      <c r="S158">
        <v>20.8756182460892</v>
      </c>
      <c r="AA158">
        <v>1.8416859838577899</v>
      </c>
      <c r="AB158">
        <v>9.2863535156664394</v>
      </c>
      <c r="AC158">
        <v>2.0789907809722701</v>
      </c>
      <c r="AJ158">
        <v>0.79561676555236704</v>
      </c>
      <c r="AK158">
        <v>8.7193695965429294E-2</v>
      </c>
      <c r="AL158">
        <v>0.117189538482203</v>
      </c>
    </row>
    <row r="159" spans="1:38" x14ac:dyDescent="0.2">
      <c r="A159">
        <v>218</v>
      </c>
      <c r="B159">
        <v>793</v>
      </c>
      <c r="C159">
        <v>100</v>
      </c>
      <c r="D159">
        <v>0.50911269521174396</v>
      </c>
      <c r="E159">
        <v>4.2872228546865401</v>
      </c>
      <c r="F159">
        <v>2.5562987604475902</v>
      </c>
      <c r="G159">
        <v>-69.960149839485666</v>
      </c>
      <c r="H159">
        <v>-60.127461649182798</v>
      </c>
      <c r="I159">
        <v>9.2226123812811007</v>
      </c>
      <c r="J159">
        <v>5.2047979784738798</v>
      </c>
      <c r="K159">
        <v>1.67712120391431</v>
      </c>
      <c r="L159">
        <v>3.0748033213990827E-5</v>
      </c>
      <c r="M159">
        <v>1.8295785794446893E-6</v>
      </c>
      <c r="N159" s="1">
        <v>-1.8231374211884699E-8</v>
      </c>
      <c r="O159" s="1">
        <v>1.5311929735933901E-11</v>
      </c>
      <c r="P159" s="1">
        <v>8.8524227781917405E-11</v>
      </c>
      <c r="Q159">
        <v>65.951934175452493</v>
      </c>
      <c r="S159">
        <v>20.841474995005399</v>
      </c>
      <c r="AA159">
        <v>1.80544805136991</v>
      </c>
      <c r="AB159">
        <v>9.2739082412666107</v>
      </c>
      <c r="AC159">
        <v>2.1272345369055299</v>
      </c>
      <c r="AJ159">
        <v>0.79460016783254706</v>
      </c>
      <c r="AK159">
        <v>8.5483371995989696E-2</v>
      </c>
      <c r="AL159">
        <v>0.119916460171462</v>
      </c>
    </row>
    <row r="160" spans="1:38" x14ac:dyDescent="0.2">
      <c r="A160">
        <v>219</v>
      </c>
      <c r="B160">
        <v>792</v>
      </c>
      <c r="C160">
        <v>100</v>
      </c>
      <c r="D160">
        <v>0.50858611463174297</v>
      </c>
      <c r="E160">
        <v>5.5174418287754001</v>
      </c>
      <c r="F160">
        <v>2.5550017565763299</v>
      </c>
      <c r="G160">
        <v>-89.984767605810589</v>
      </c>
      <c r="H160">
        <v>-77.34904891460053</v>
      </c>
      <c r="I160">
        <v>11.862853768211099</v>
      </c>
      <c r="J160">
        <v>6.6969164283014297</v>
      </c>
      <c r="K160">
        <v>2.1594669414899701</v>
      </c>
      <c r="L160">
        <v>3.0749417933030834E-5</v>
      </c>
      <c r="M160">
        <v>1.8306161130917989E-6</v>
      </c>
      <c r="N160" s="1">
        <v>-2.4053768326648701E-8</v>
      </c>
      <c r="O160" s="1">
        <v>1.9743162025262701E-11</v>
      </c>
      <c r="P160" s="1">
        <v>1.15629640307018E-10</v>
      </c>
      <c r="Q160">
        <v>66.019218302662097</v>
      </c>
      <c r="S160">
        <v>20.7650016671952</v>
      </c>
      <c r="AA160">
        <v>1.7266569416508299</v>
      </c>
      <c r="AB160">
        <v>9.2233625400571704</v>
      </c>
      <c r="AC160">
        <v>2.2657605484346202</v>
      </c>
      <c r="AJ160">
        <v>0.79046885485027196</v>
      </c>
      <c r="AK160">
        <v>8.1773452213446493E-2</v>
      </c>
      <c r="AL160">
        <v>0.12775769293628</v>
      </c>
    </row>
    <row r="161" spans="1:38" x14ac:dyDescent="0.2">
      <c r="A161">
        <v>220</v>
      </c>
      <c r="B161">
        <v>791</v>
      </c>
      <c r="C161">
        <v>100</v>
      </c>
      <c r="D161">
        <v>0.50805854437814801</v>
      </c>
      <c r="E161">
        <v>6.8159109623130902</v>
      </c>
      <c r="F161">
        <v>2.5535904532239901</v>
      </c>
      <c r="G161">
        <v>-111.09258428425711</v>
      </c>
      <c r="H161">
        <v>-95.506458595618781</v>
      </c>
      <c r="I161">
        <v>14.646549535909701</v>
      </c>
      <c r="J161">
        <v>8.2707280220164208</v>
      </c>
      <c r="K161">
        <v>2.6691480435743999</v>
      </c>
      <c r="L161">
        <v>3.0742131552939886E-5</v>
      </c>
      <c r="M161">
        <v>1.8314966519635226E-6</v>
      </c>
      <c r="N161" s="1">
        <v>-3.03901127300518E-8</v>
      </c>
      <c r="O161" s="1">
        <v>2.4439442602939002E-11</v>
      </c>
      <c r="P161" s="1">
        <v>1.4477871926063399E-10</v>
      </c>
      <c r="Q161">
        <v>66.084132921008305</v>
      </c>
      <c r="S161">
        <v>20.685482719864002</v>
      </c>
      <c r="AA161">
        <v>1.64590605714236</v>
      </c>
      <c r="AB161">
        <v>9.1595520278617499</v>
      </c>
      <c r="AC161">
        <v>2.42492627412352</v>
      </c>
      <c r="AJ161">
        <v>0.78525005806832904</v>
      </c>
      <c r="AK161">
        <v>7.7973957522904799E-2</v>
      </c>
      <c r="AL161">
        <v>0.13677598440876501</v>
      </c>
    </row>
    <row r="162" spans="1:38" x14ac:dyDescent="0.2">
      <c r="A162">
        <v>221</v>
      </c>
      <c r="B162">
        <v>790</v>
      </c>
      <c r="C162">
        <v>100</v>
      </c>
      <c r="D162">
        <v>0.507529981658283</v>
      </c>
      <c r="E162">
        <v>8.2121735442303105</v>
      </c>
      <c r="F162">
        <v>2.5520159107716802</v>
      </c>
      <c r="G162">
        <v>-133.75579143542922</v>
      </c>
      <c r="H162">
        <v>-115.00558965306726</v>
      </c>
      <c r="I162">
        <v>17.6364593729595</v>
      </c>
      <c r="J162">
        <v>9.9614937617017691</v>
      </c>
      <c r="K162">
        <v>3.2179162792708</v>
      </c>
      <c r="L162">
        <v>3.0723511802756714E-5</v>
      </c>
      <c r="M162">
        <v>1.8321900456024962E-6</v>
      </c>
      <c r="N162" s="1">
        <v>-3.7331168539536402E-8</v>
      </c>
      <c r="O162" s="1">
        <v>2.9512741306911003E-11</v>
      </c>
      <c r="P162" s="1">
        <v>1.7646967548603699E-10</v>
      </c>
      <c r="Q162">
        <v>66.146928294280102</v>
      </c>
      <c r="S162">
        <v>20.601033565941499</v>
      </c>
      <c r="AA162">
        <v>1.56158219858088</v>
      </c>
      <c r="AB162">
        <v>9.07809371409774</v>
      </c>
      <c r="AC162">
        <v>2.6123622270996898</v>
      </c>
      <c r="AJ162">
        <v>0.77858277645512897</v>
      </c>
      <c r="AK162">
        <v>7.4009210331664493E-2</v>
      </c>
      <c r="AL162">
        <v>0.14740801321320601</v>
      </c>
    </row>
    <row r="163" spans="1:38" x14ac:dyDescent="0.2">
      <c r="A163">
        <v>222</v>
      </c>
      <c r="B163">
        <v>789</v>
      </c>
      <c r="C163">
        <v>100</v>
      </c>
      <c r="D163">
        <v>0.50700042366897302</v>
      </c>
      <c r="E163">
        <v>9.7586753009790304</v>
      </c>
      <c r="F163">
        <v>2.5501962864895802</v>
      </c>
      <c r="G163">
        <v>-158.81264576635959</v>
      </c>
      <c r="H163">
        <v>-136.56697859920155</v>
      </c>
      <c r="I163">
        <v>20.943997709511901</v>
      </c>
      <c r="J163">
        <v>11.8318066928324</v>
      </c>
      <c r="K163">
        <v>3.8266369348424099</v>
      </c>
      <c r="L163">
        <v>3.0688962672850962E-5</v>
      </c>
      <c r="M163">
        <v>1.8326420987550872E-6</v>
      </c>
      <c r="N163" s="1">
        <v>-4.50280182936959E-8</v>
      </c>
      <c r="O163" s="1">
        <v>3.5162181647426902E-11</v>
      </c>
      <c r="P163" s="1">
        <v>2.1155779682453701E-10</v>
      </c>
      <c r="Q163">
        <v>66.207895831394396</v>
      </c>
      <c r="S163">
        <v>20.508535967904599</v>
      </c>
      <c r="AA163">
        <v>1.47104479179476</v>
      </c>
      <c r="AB163">
        <v>8.9714621228461997</v>
      </c>
      <c r="AC163">
        <v>2.84106128606002</v>
      </c>
      <c r="AJ163">
        <v>0.76984656848128397</v>
      </c>
      <c r="AK163">
        <v>6.9755368522574607E-2</v>
      </c>
      <c r="AL163">
        <v>0.16039806299614101</v>
      </c>
    </row>
    <row r="164" spans="1:38" x14ac:dyDescent="0.2">
      <c r="A164">
        <v>223</v>
      </c>
      <c r="B164">
        <v>788</v>
      </c>
      <c r="C164">
        <v>100</v>
      </c>
      <c r="D164">
        <v>0.50646986759647905</v>
      </c>
      <c r="E164">
        <v>11.560690883040399</v>
      </c>
      <c r="F164">
        <v>2.5479797531349799</v>
      </c>
      <c r="G164">
        <v>-187.94549518318951</v>
      </c>
      <c r="H164">
        <v>-161.63667053827481</v>
      </c>
      <c r="I164">
        <v>24.792748098680299</v>
      </c>
      <c r="J164">
        <v>14.007273458923301</v>
      </c>
      <c r="K164">
        <v>4.5371988803350698</v>
      </c>
      <c r="L164">
        <v>3.0629603518979544E-5</v>
      </c>
      <c r="M164">
        <v>1.8327434107116919E-6</v>
      </c>
      <c r="N164" s="1">
        <v>-5.3764587968213103E-8</v>
      </c>
      <c r="O164" s="1">
        <v>4.1788015582318501E-11</v>
      </c>
      <c r="P164" s="1">
        <v>2.5170336240454398E-10</v>
      </c>
      <c r="Q164">
        <v>66.267275321402096</v>
      </c>
      <c r="S164">
        <v>20.4022755847691</v>
      </c>
      <c r="AA164">
        <v>1.369523495465</v>
      </c>
      <c r="AB164">
        <v>8.8252107233455401</v>
      </c>
      <c r="AC164">
        <v>3.13571487501815</v>
      </c>
      <c r="AJ164">
        <v>0.75784886693186404</v>
      </c>
      <c r="AK164">
        <v>6.4988692468435305E-2</v>
      </c>
      <c r="AL164">
        <v>0.17716244059969999</v>
      </c>
    </row>
    <row r="165" spans="1:38" x14ac:dyDescent="0.2">
      <c r="A165">
        <v>224</v>
      </c>
      <c r="B165">
        <v>787</v>
      </c>
      <c r="C165">
        <v>100</v>
      </c>
      <c r="D165">
        <v>0.50593831061642502</v>
      </c>
      <c r="E165">
        <v>13.8713147919295</v>
      </c>
      <c r="F165">
        <v>2.5450455872375799</v>
      </c>
      <c r="G165">
        <v>-225.19725807203292</v>
      </c>
      <c r="H165">
        <v>-193.68973185177001</v>
      </c>
      <c r="I165">
        <v>29.7198756970832</v>
      </c>
      <c r="J165">
        <v>16.789686887434002</v>
      </c>
      <c r="K165">
        <v>5.4503207571168</v>
      </c>
      <c r="L165">
        <v>3.0525430689796154E-5</v>
      </c>
      <c r="M165">
        <v>1.8322331289249993E-6</v>
      </c>
      <c r="N165" s="1">
        <v>-6.4174194238310104E-8</v>
      </c>
      <c r="O165" s="1">
        <v>5.0353593642914498E-11</v>
      </c>
      <c r="P165" s="1">
        <v>3.0075269419058498E-10</v>
      </c>
      <c r="Q165">
        <v>66.324559962458594</v>
      </c>
      <c r="S165">
        <v>20.270396786518099</v>
      </c>
      <c r="AA165">
        <v>1.2473555487177399</v>
      </c>
      <c r="AB165">
        <v>8.6071290594319407</v>
      </c>
      <c r="AC165">
        <v>3.5505586428734399</v>
      </c>
      <c r="AJ165">
        <v>0.73992558692479504</v>
      </c>
      <c r="AK165">
        <v>5.9255788870256502E-2</v>
      </c>
      <c r="AL165">
        <v>0.200818624204948</v>
      </c>
    </row>
    <row r="166" spans="1:38" x14ac:dyDescent="0.2">
      <c r="A166">
        <v>225</v>
      </c>
      <c r="B166">
        <v>786</v>
      </c>
      <c r="C166">
        <v>100</v>
      </c>
      <c r="D166">
        <v>0.50540574989378495</v>
      </c>
      <c r="E166">
        <v>15.693427383855999</v>
      </c>
      <c r="F166">
        <v>2.5423383171099601</v>
      </c>
      <c r="G166">
        <v>-254.41162823135258</v>
      </c>
      <c r="H166">
        <v>-218.83821284351797</v>
      </c>
      <c r="I166">
        <v>33.586758615714999</v>
      </c>
      <c r="J166">
        <v>18.972956415917199</v>
      </c>
      <c r="K166">
        <v>6.1728320256352696</v>
      </c>
      <c r="L166">
        <v>3.0391229073362154E-5</v>
      </c>
      <c r="M166">
        <v>1.8307503137239304E-6</v>
      </c>
      <c r="N166" s="1">
        <v>-7.1747035441414196E-8</v>
      </c>
      <c r="O166" s="1">
        <v>5.7188817064463297E-11</v>
      </c>
      <c r="P166" s="1">
        <v>3.37435779983425E-10</v>
      </c>
      <c r="Q166">
        <v>66.342763721698702</v>
      </c>
      <c r="S166">
        <v>20.160152055211601</v>
      </c>
      <c r="AA166">
        <v>1.1521549182168001</v>
      </c>
      <c r="AB166">
        <v>8.3586742649390704</v>
      </c>
      <c r="AC166">
        <v>3.98625503993367</v>
      </c>
      <c r="AJ166">
        <v>0.71945779548792299</v>
      </c>
      <c r="AK166">
        <v>5.4801139595039801E-2</v>
      </c>
      <c r="AL166">
        <v>0.22574106491703699</v>
      </c>
    </row>
    <row r="167" spans="1:38" x14ac:dyDescent="0.2">
      <c r="A167">
        <v>225</v>
      </c>
      <c r="B167">
        <v>786</v>
      </c>
      <c r="C167">
        <v>100</v>
      </c>
      <c r="D167">
        <v>0.50540574989378495</v>
      </c>
      <c r="E167">
        <v>2.2291160589203001</v>
      </c>
      <c r="F167">
        <v>2.5248064310888299</v>
      </c>
      <c r="G167">
        <v>-35.821908521905378</v>
      </c>
      <c r="H167">
        <v>-30.796983632452875</v>
      </c>
      <c r="I167">
        <v>4.7442995698933101</v>
      </c>
      <c r="J167">
        <v>2.6726766694573199</v>
      </c>
      <c r="K167">
        <v>0.882885924034577</v>
      </c>
      <c r="L167">
        <v>2.9427404774077833E-5</v>
      </c>
      <c r="M167">
        <v>1.8206903482879761E-6</v>
      </c>
      <c r="N167" s="1">
        <v>-7.0658171501283204E-9</v>
      </c>
      <c r="O167" s="1">
        <v>8.3519249911096795E-12</v>
      </c>
      <c r="P167" s="1">
        <v>3.84421692841782E-11</v>
      </c>
      <c r="Q167">
        <v>66.458706142570705</v>
      </c>
      <c r="S167">
        <v>19.430466962191801</v>
      </c>
      <c r="AA167">
        <v>0.52310366622165505</v>
      </c>
      <c r="AB167">
        <v>6.7040813963827501</v>
      </c>
      <c r="AC167">
        <v>6.8836418326330397</v>
      </c>
      <c r="AJ167">
        <v>0.58184641635974599</v>
      </c>
      <c r="AK167">
        <v>2.5088092335537299E-2</v>
      </c>
      <c r="AL167">
        <v>0.39306549130471602</v>
      </c>
    </row>
    <row r="168" spans="1:38" x14ac:dyDescent="0.2">
      <c r="A168">
        <v>226</v>
      </c>
      <c r="B168">
        <v>785</v>
      </c>
      <c r="C168">
        <v>100</v>
      </c>
      <c r="D168">
        <v>0.50487218258281097</v>
      </c>
      <c r="E168">
        <v>13.349397900874701</v>
      </c>
      <c r="F168">
        <v>2.5450194171832301</v>
      </c>
      <c r="G168">
        <v>-216.56912807471005</v>
      </c>
      <c r="H168">
        <v>-186.346650609872</v>
      </c>
      <c r="I168">
        <v>28.561619302403201</v>
      </c>
      <c r="J168">
        <v>16.149867506471001</v>
      </c>
      <c r="K168">
        <v>5.2453029673343696</v>
      </c>
      <c r="L168">
        <v>3.0444011704595259E-5</v>
      </c>
      <c r="M168">
        <v>1.8297526575882349E-6</v>
      </c>
      <c r="N168" s="1">
        <v>-6.44003565404073E-8</v>
      </c>
      <c r="O168" s="1">
        <v>4.84306416982174E-11</v>
      </c>
      <c r="P168" s="1">
        <v>2.9716001920332599E-10</v>
      </c>
      <c r="Q168">
        <v>66.236711525706895</v>
      </c>
      <c r="S168">
        <v>20.293934641742201</v>
      </c>
      <c r="AA168">
        <v>1.28727275203693</v>
      </c>
      <c r="AB168">
        <v>8.4730710759755308</v>
      </c>
      <c r="AC168">
        <v>3.7090100045383498</v>
      </c>
      <c r="AJ168">
        <v>0.72888671443910802</v>
      </c>
      <c r="AK168">
        <v>6.1192831851657699E-2</v>
      </c>
      <c r="AL168">
        <v>0.20992045370923401</v>
      </c>
    </row>
    <row r="169" spans="1:38" x14ac:dyDescent="0.2">
      <c r="A169">
        <v>226</v>
      </c>
      <c r="B169">
        <v>785</v>
      </c>
      <c r="C169">
        <v>100</v>
      </c>
      <c r="D169">
        <v>0.50487218258281097</v>
      </c>
      <c r="E169">
        <v>10.699017487808399</v>
      </c>
      <c r="F169">
        <v>2.5235943217499202</v>
      </c>
      <c r="G169">
        <v>-171.73819978274716</v>
      </c>
      <c r="H169">
        <v>-147.67747592395745</v>
      </c>
      <c r="I169">
        <v>22.738481178273101</v>
      </c>
      <c r="J169">
        <v>12.814609367154199</v>
      </c>
      <c r="K169">
        <v>4.2395948491394</v>
      </c>
      <c r="L169">
        <v>2.9295560978326979E-5</v>
      </c>
      <c r="M169">
        <v>1.8185245434376543E-6</v>
      </c>
      <c r="N169" s="1">
        <v>-3.32134548270506E-8</v>
      </c>
      <c r="O169" s="1">
        <v>4.0169974684408399E-11</v>
      </c>
      <c r="P169" s="1">
        <v>1.82317266235528E-10</v>
      </c>
      <c r="Q169">
        <v>66.415057399723395</v>
      </c>
      <c r="S169">
        <v>19.384492842163699</v>
      </c>
      <c r="AA169">
        <v>0.49535938388803302</v>
      </c>
      <c r="AB169">
        <v>6.4862853806027898</v>
      </c>
      <c r="AC169">
        <v>7.2188049936219603</v>
      </c>
      <c r="AJ169">
        <v>0.56356092798854396</v>
      </c>
      <c r="AK169">
        <v>2.3783513233452999E-2</v>
      </c>
      <c r="AL169">
        <v>0.41265555877800197</v>
      </c>
    </row>
    <row r="170" spans="1:38" x14ac:dyDescent="0.2">
      <c r="A170">
        <v>227</v>
      </c>
      <c r="B170">
        <v>784</v>
      </c>
      <c r="C170">
        <v>100</v>
      </c>
      <c r="D170">
        <v>0.50433760582698905</v>
      </c>
      <c r="E170">
        <v>12.669273336840201</v>
      </c>
      <c r="F170">
        <v>2.5498016322703601</v>
      </c>
      <c r="G170">
        <v>-205.78557596593976</v>
      </c>
      <c r="H170">
        <v>-177.14033050549838</v>
      </c>
      <c r="I170">
        <v>27.0966707283179</v>
      </c>
      <c r="J170">
        <v>15.3398032469164</v>
      </c>
      <c r="K170">
        <v>4.9687290087579896</v>
      </c>
      <c r="L170">
        <v>3.047201687644872E-5</v>
      </c>
      <c r="M170">
        <v>1.8262431125457642E-6</v>
      </c>
      <c r="N170" s="1">
        <v>-6.4664074129988594E-8</v>
      </c>
      <c r="O170" s="1">
        <v>4.55997065410856E-11</v>
      </c>
      <c r="P170" s="1">
        <v>2.9278329130542498E-10</v>
      </c>
      <c r="Q170">
        <v>65.990179886803205</v>
      </c>
      <c r="S170">
        <v>20.556489608915701</v>
      </c>
      <c r="AA170">
        <v>1.56140807593769</v>
      </c>
      <c r="AB170">
        <v>8.6120105180967403</v>
      </c>
      <c r="AC170">
        <v>3.2799119102465899</v>
      </c>
      <c r="AJ170">
        <v>0.740322246889486</v>
      </c>
      <c r="AK170">
        <v>7.41725927485508E-2</v>
      </c>
      <c r="AL170">
        <v>0.18550516036196299</v>
      </c>
    </row>
    <row r="171" spans="1:38" x14ac:dyDescent="0.2">
      <c r="A171">
        <v>227</v>
      </c>
      <c r="B171">
        <v>784</v>
      </c>
      <c r="C171">
        <v>100</v>
      </c>
      <c r="D171">
        <v>0.50433760582698905</v>
      </c>
      <c r="E171">
        <v>25.4519078211768</v>
      </c>
      <c r="F171">
        <v>2.5218677986714302</v>
      </c>
      <c r="G171">
        <v>-407.82900356605865</v>
      </c>
      <c r="H171">
        <v>-350.76472914465404</v>
      </c>
      <c r="I171">
        <v>53.9793543219075</v>
      </c>
      <c r="J171">
        <v>30.430888092649099</v>
      </c>
      <c r="K171">
        <v>10.092482974161101</v>
      </c>
      <c r="L171">
        <v>2.9066940241054153E-5</v>
      </c>
      <c r="M171">
        <v>1.8146747081349774E-6</v>
      </c>
      <c r="N171" s="1">
        <v>-7.3940878362573294E-8</v>
      </c>
      <c r="O171" s="1">
        <v>9.5881007952156206E-11</v>
      </c>
      <c r="P171" s="1">
        <v>4.1828071130240801E-10</v>
      </c>
      <c r="Q171">
        <v>66.327411058781394</v>
      </c>
      <c r="S171">
        <v>19.320923236904299</v>
      </c>
      <c r="AA171">
        <v>0.46336488410486398</v>
      </c>
      <c r="AB171">
        <v>6.12431422442266</v>
      </c>
      <c r="AC171">
        <v>7.7639865957866503</v>
      </c>
      <c r="AJ171">
        <v>0.53308194385704999</v>
      </c>
      <c r="AK171">
        <v>2.2287964926956699E-2</v>
      </c>
      <c r="AL171">
        <v>0.44463009121599301</v>
      </c>
    </row>
    <row r="172" spans="1:38" x14ac:dyDescent="0.2">
      <c r="A172">
        <v>228</v>
      </c>
      <c r="B172">
        <v>783</v>
      </c>
      <c r="C172">
        <v>100</v>
      </c>
      <c r="D172">
        <v>0.50380201675898495</v>
      </c>
      <c r="E172">
        <v>13.3726427826027</v>
      </c>
      <c r="F172">
        <v>2.5523827305120999</v>
      </c>
      <c r="G172">
        <v>-217.32333269333844</v>
      </c>
      <c r="H172">
        <v>-187.13261663349792</v>
      </c>
      <c r="I172">
        <v>28.585632779283699</v>
      </c>
      <c r="J172">
        <v>16.197483175976501</v>
      </c>
      <c r="K172">
        <v>5.2392780372400098</v>
      </c>
      <c r="L172">
        <v>3.0473558395392609E-5</v>
      </c>
      <c r="M172">
        <v>1.8238334130641564E-6</v>
      </c>
      <c r="N172" s="1">
        <v>-7.10912986174044E-8</v>
      </c>
      <c r="O172" s="1">
        <v>4.79135285209766E-11</v>
      </c>
      <c r="P172" s="1">
        <v>3.1756077252436002E-10</v>
      </c>
      <c r="Q172">
        <v>65.838909760124807</v>
      </c>
      <c r="S172">
        <v>20.704508088838701</v>
      </c>
      <c r="AA172">
        <v>1.7188216535274601</v>
      </c>
      <c r="AB172">
        <v>8.6629628404074506</v>
      </c>
      <c r="AC172">
        <v>3.0747976571015099</v>
      </c>
      <c r="AJ172">
        <v>0.74451101664150598</v>
      </c>
      <c r="AK172">
        <v>8.1629339702945905E-2</v>
      </c>
      <c r="AL172">
        <v>0.17385964365554701</v>
      </c>
    </row>
    <row r="173" spans="1:38" x14ac:dyDescent="0.2">
      <c r="A173">
        <v>228</v>
      </c>
      <c r="B173">
        <v>783</v>
      </c>
      <c r="C173">
        <v>100</v>
      </c>
      <c r="D173">
        <v>0.50380201675898495</v>
      </c>
      <c r="E173">
        <v>32.6804135543859</v>
      </c>
      <c r="F173">
        <v>2.52110552115413</v>
      </c>
      <c r="G173">
        <v>-523.15032919627004</v>
      </c>
      <c r="H173">
        <v>-450.04904416921624</v>
      </c>
      <c r="I173">
        <v>69.214870072483805</v>
      </c>
      <c r="J173">
        <v>39.038631404041602</v>
      </c>
      <c r="K173">
        <v>12.9627313415366</v>
      </c>
      <c r="L173">
        <v>2.8953381709544451E-5</v>
      </c>
      <c r="M173">
        <v>1.81275595145572E-6</v>
      </c>
      <c r="N173" s="1">
        <v>-9.3330958849420796E-8</v>
      </c>
      <c r="O173" s="1">
        <v>1.2330261477273199E-10</v>
      </c>
      <c r="P173" s="1">
        <v>5.3201624531956801E-10</v>
      </c>
      <c r="Q173">
        <v>66.280603221571695</v>
      </c>
      <c r="S173">
        <v>19.289924559391</v>
      </c>
      <c r="AA173">
        <v>0.44871262666412798</v>
      </c>
      <c r="AB173">
        <v>5.9387384057328498</v>
      </c>
      <c r="AC173">
        <v>8.0420211866401399</v>
      </c>
      <c r="AJ173">
        <v>0.51741275259776298</v>
      </c>
      <c r="AK173">
        <v>2.1603395373402098E-2</v>
      </c>
      <c r="AL173">
        <v>0.46098385202883402</v>
      </c>
    </row>
    <row r="174" spans="1:38" x14ac:dyDescent="0.2">
      <c r="A174">
        <v>229</v>
      </c>
      <c r="B174">
        <v>782</v>
      </c>
      <c r="C174">
        <v>100</v>
      </c>
      <c r="D174">
        <v>0.50326541250059598</v>
      </c>
      <c r="E174">
        <v>14.197530685302199</v>
      </c>
      <c r="F174">
        <v>2.55427159859161</v>
      </c>
      <c r="G174">
        <v>-230.802061040626</v>
      </c>
      <c r="H174">
        <v>-198.79774950155706</v>
      </c>
      <c r="I174">
        <v>30.3315277818973</v>
      </c>
      <c r="J174">
        <v>17.201057089805101</v>
      </c>
      <c r="K174">
        <v>5.5583480993683203</v>
      </c>
      <c r="L174">
        <v>3.0471606232289991E-5</v>
      </c>
      <c r="M174">
        <v>1.8218958596146962E-6</v>
      </c>
      <c r="N174" s="1">
        <v>-7.8302019414551197E-8</v>
      </c>
      <c r="O174" s="1">
        <v>5.0693326717466202E-11</v>
      </c>
      <c r="P174" s="1">
        <v>3.4558704990490802E-10</v>
      </c>
      <c r="Q174">
        <v>65.721856494529604</v>
      </c>
      <c r="S174">
        <v>20.814906617408901</v>
      </c>
      <c r="AA174">
        <v>1.83721434929434</v>
      </c>
      <c r="AB174">
        <v>8.6915400096086799</v>
      </c>
      <c r="AC174">
        <v>2.9344825291583501</v>
      </c>
      <c r="AJ174">
        <v>0.746858909160942</v>
      </c>
      <c r="AK174">
        <v>8.7239356084930497E-2</v>
      </c>
      <c r="AL174">
        <v>0.16590173475412601</v>
      </c>
    </row>
    <row r="175" spans="1:38" x14ac:dyDescent="0.2">
      <c r="A175">
        <v>229</v>
      </c>
      <c r="B175">
        <v>782</v>
      </c>
      <c r="C175">
        <v>100</v>
      </c>
      <c r="D175">
        <v>0.50326541250059598</v>
      </c>
      <c r="E175">
        <v>37.715505790654802</v>
      </c>
      <c r="F175">
        <v>2.5206118065373899</v>
      </c>
      <c r="G175">
        <v>-603.31465671863714</v>
      </c>
      <c r="H175">
        <v>-519.12708709990136</v>
      </c>
      <c r="I175">
        <v>79.787300022495103</v>
      </c>
      <c r="J175">
        <v>45.025092586540701</v>
      </c>
      <c r="K175">
        <v>14.962837868503501</v>
      </c>
      <c r="L175">
        <v>2.8874666540176831E-5</v>
      </c>
      <c r="M175">
        <v>1.811429056401323E-6</v>
      </c>
      <c r="N175" s="1">
        <v>-1.07570041346264E-7</v>
      </c>
      <c r="O175" s="1">
        <v>1.4244568239142501E-10</v>
      </c>
      <c r="P175" s="1">
        <v>6.1330965059674497E-10</v>
      </c>
      <c r="Q175">
        <v>66.247023581315403</v>
      </c>
      <c r="S175">
        <v>19.2680141016059</v>
      </c>
      <c r="AA175">
        <v>0.43847162463699402</v>
      </c>
      <c r="AB175">
        <v>5.8064668642525197</v>
      </c>
      <c r="AC175">
        <v>8.2400238281890292</v>
      </c>
      <c r="AJ175">
        <v>0.50622641193651396</v>
      </c>
      <c r="AK175">
        <v>2.1124436471324899E-2</v>
      </c>
      <c r="AL175">
        <v>0.47264915159215998</v>
      </c>
    </row>
    <row r="176" spans="1:38" x14ac:dyDescent="0.2">
      <c r="A176">
        <v>230</v>
      </c>
      <c r="B176">
        <v>781</v>
      </c>
      <c r="C176">
        <v>100</v>
      </c>
      <c r="D176">
        <v>0.50272779016268998</v>
      </c>
      <c r="E176">
        <v>14.8081014893811</v>
      </c>
      <c r="F176">
        <v>2.5554213996219901</v>
      </c>
      <c r="G176">
        <v>-240.75996465065634</v>
      </c>
      <c r="H176">
        <v>-207.42983080529467</v>
      </c>
      <c r="I176">
        <v>31.618018161894899</v>
      </c>
      <c r="J176">
        <v>17.944209874310001</v>
      </c>
      <c r="K176">
        <v>5.7947786973888702</v>
      </c>
      <c r="L176">
        <v>3.0476266047472922E-5</v>
      </c>
      <c r="M176">
        <v>1.8207675401982358E-6</v>
      </c>
      <c r="N176" s="1">
        <v>-8.4550823676465797E-8</v>
      </c>
      <c r="O176" s="1">
        <v>5.2754118898641603E-11</v>
      </c>
      <c r="P176" s="1">
        <v>3.6899176281716698E-10</v>
      </c>
      <c r="Q176">
        <v>65.651589524075007</v>
      </c>
      <c r="S176">
        <v>20.8808668825449</v>
      </c>
      <c r="AA176">
        <v>1.9080280803552001</v>
      </c>
      <c r="AB176">
        <v>8.7078772439884098</v>
      </c>
      <c r="AC176">
        <v>2.8516382690364401</v>
      </c>
      <c r="AJ176">
        <v>0.74820081638852498</v>
      </c>
      <c r="AK176">
        <v>9.0594416442582801E-2</v>
      </c>
      <c r="AL176">
        <v>0.16120476716889101</v>
      </c>
    </row>
    <row r="177" spans="1:38" x14ac:dyDescent="0.2">
      <c r="A177">
        <v>230</v>
      </c>
      <c r="B177">
        <v>781</v>
      </c>
      <c r="C177">
        <v>100</v>
      </c>
      <c r="D177">
        <v>0.50272779016268998</v>
      </c>
      <c r="E177">
        <v>40.535547606715497</v>
      </c>
      <c r="F177">
        <v>2.5203348343558698</v>
      </c>
      <c r="G177">
        <v>-648.10409101675407</v>
      </c>
      <c r="H177">
        <v>-557.79008248383184</v>
      </c>
      <c r="I177">
        <v>85.6747223193304</v>
      </c>
      <c r="J177">
        <v>48.373960708855101</v>
      </c>
      <c r="K177">
        <v>16.083397751027501</v>
      </c>
      <c r="L177">
        <v>2.883034266399308E-5</v>
      </c>
      <c r="M177">
        <v>1.8106879501438283E-6</v>
      </c>
      <c r="N177" s="1">
        <v>-1.1738455255429301E-7</v>
      </c>
      <c r="O177" s="1">
        <v>1.53178711005058E-10</v>
      </c>
      <c r="P177" s="1">
        <v>6.6420860299821197E-10</v>
      </c>
      <c r="Q177">
        <v>66.227774879993603</v>
      </c>
      <c r="S177">
        <v>19.253743437753201</v>
      </c>
      <c r="AA177">
        <v>0.43118960214542801</v>
      </c>
      <c r="AB177">
        <v>5.7261597648281102</v>
      </c>
      <c r="AC177">
        <v>8.3611323152795904</v>
      </c>
      <c r="AJ177">
        <v>0.49942747748423899</v>
      </c>
      <c r="AK177">
        <v>2.07820335466583E-2</v>
      </c>
      <c r="AL177">
        <v>0.47979048896910198</v>
      </c>
    </row>
    <row r="178" spans="1:38" x14ac:dyDescent="0.2">
      <c r="A178">
        <v>231</v>
      </c>
      <c r="B178">
        <v>780</v>
      </c>
      <c r="C178">
        <v>100</v>
      </c>
      <c r="D178">
        <v>0.50218914684517901</v>
      </c>
      <c r="E178">
        <v>15.2075926506025</v>
      </c>
      <c r="F178">
        <v>2.5560922904643499</v>
      </c>
      <c r="G178">
        <v>-247.26089911756256</v>
      </c>
      <c r="H178">
        <v>-213.08290518548645</v>
      </c>
      <c r="I178">
        <v>32.453111078266197</v>
      </c>
      <c r="J178">
        <v>18.431312944260601</v>
      </c>
      <c r="K178">
        <v>5.9495475602877503</v>
      </c>
      <c r="L178">
        <v>3.0488169391359565E-5</v>
      </c>
      <c r="M178">
        <v>1.8202464811449075E-6</v>
      </c>
      <c r="N178" s="1">
        <v>-8.9818912034546997E-8</v>
      </c>
      <c r="O178" s="1">
        <v>5.4097783007921598E-11</v>
      </c>
      <c r="P178" s="1">
        <v>3.87756873377501E-10</v>
      </c>
      <c r="Q178">
        <v>65.614396128955306</v>
      </c>
      <c r="S178">
        <v>20.916857016209502</v>
      </c>
      <c r="AA178">
        <v>1.9463988794229199</v>
      </c>
      <c r="AB178">
        <v>8.7193465716327392</v>
      </c>
      <c r="AC178">
        <v>2.80300140377945</v>
      </c>
      <c r="AJ178">
        <v>0.74914293350299299</v>
      </c>
      <c r="AK178">
        <v>9.2410939043297294E-2</v>
      </c>
      <c r="AL178">
        <v>0.15844612745370901</v>
      </c>
    </row>
    <row r="179" spans="1:38" x14ac:dyDescent="0.2">
      <c r="A179">
        <v>231</v>
      </c>
      <c r="B179">
        <v>780</v>
      </c>
      <c r="C179">
        <v>100</v>
      </c>
      <c r="D179">
        <v>0.50218914684517901</v>
      </c>
      <c r="E179">
        <v>41.963868473057801</v>
      </c>
      <c r="F179">
        <v>2.5201808841359501</v>
      </c>
      <c r="G179">
        <v>-670.70387680789383</v>
      </c>
      <c r="H179">
        <v>-577.36780380994958</v>
      </c>
      <c r="I179">
        <v>88.625621229591303</v>
      </c>
      <c r="J179">
        <v>50.068362295337401</v>
      </c>
      <c r="K179">
        <v>16.651133550457399</v>
      </c>
      <c r="L179">
        <v>2.8807623575486596E-5</v>
      </c>
      <c r="M179">
        <v>1.8103129714187307E-6</v>
      </c>
      <c r="N179" s="1">
        <v>-1.2467712624028801E-7</v>
      </c>
      <c r="O179" s="1">
        <v>1.5861362914962899E-10</v>
      </c>
      <c r="P179" s="1">
        <v>6.9678802389682698E-10</v>
      </c>
      <c r="Q179">
        <v>66.217785282906405</v>
      </c>
      <c r="S179">
        <v>19.243937869510201</v>
      </c>
      <c r="AA179">
        <v>0.42543084385770202</v>
      </c>
      <c r="AB179">
        <v>5.6781919113803401</v>
      </c>
      <c r="AC179">
        <v>8.4346540923452409</v>
      </c>
      <c r="AJ179">
        <v>0.49536382156895398</v>
      </c>
      <c r="AK179">
        <v>2.05094484806948E-2</v>
      </c>
      <c r="AL179">
        <v>0.484126729950351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62008-A351-4F23-BC23-5BEC710C2EEE}">
  <sheetPr codeName="Sheet13"/>
  <dimension ref="A1:AJ19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300</v>
      </c>
      <c r="D2">
        <v>0.27978602134956498</v>
      </c>
      <c r="E2">
        <v>8.5186382395500498E-2</v>
      </c>
      <c r="F2">
        <v>2.5446339321928</v>
      </c>
      <c r="G2">
        <v>-1.3890922706396605</v>
      </c>
      <c r="H2">
        <v>-1.214973448501949</v>
      </c>
      <c r="I2">
        <v>0.16820636829223901</v>
      </c>
      <c r="J2">
        <v>9.8783087069936396E-2</v>
      </c>
      <c r="K2">
        <v>3.3476871198558703E-2</v>
      </c>
      <c r="L2">
        <v>0</v>
      </c>
      <c r="M2">
        <v>1.2383389820830548E-6</v>
      </c>
      <c r="N2">
        <v>0</v>
      </c>
      <c r="O2" s="1">
        <v>4.7626640041657498E-14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761</v>
      </c>
      <c r="C3">
        <v>300</v>
      </c>
      <c r="D3">
        <v>0.27902190204515798</v>
      </c>
      <c r="E3">
        <v>0.30667528935855198</v>
      </c>
      <c r="F3">
        <v>2.5446339321928</v>
      </c>
      <c r="G3">
        <v>-5.0001971203193323</v>
      </c>
      <c r="H3">
        <v>-4.3743215269706601</v>
      </c>
      <c r="I3">
        <v>0.60520774872955696</v>
      </c>
      <c r="J3">
        <v>0.35557956767405702</v>
      </c>
      <c r="K3">
        <v>0.12051843114985</v>
      </c>
      <c r="L3">
        <v>0</v>
      </c>
      <c r="M3">
        <v>1.2383389820830548E-6</v>
      </c>
      <c r="N3">
        <v>0</v>
      </c>
      <c r="O3" s="1">
        <v>1.7145831534597901E-13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760</v>
      </c>
      <c r="C4">
        <v>300</v>
      </c>
      <c r="D4">
        <v>0.27825630353772701</v>
      </c>
      <c r="E4">
        <v>0.52705363543246897</v>
      </c>
      <c r="F4">
        <v>2.5446339321928</v>
      </c>
      <c r="G4">
        <v>-8.5923231354781553</v>
      </c>
      <c r="H4">
        <v>-7.5183411937310733</v>
      </c>
      <c r="I4">
        <v>1.03952179426712</v>
      </c>
      <c r="J4">
        <v>0.61102404075703698</v>
      </c>
      <c r="K4">
        <v>0.20712355862451601</v>
      </c>
      <c r="L4">
        <v>0</v>
      </c>
      <c r="M4">
        <v>1.2383389820830548E-6</v>
      </c>
      <c r="N4">
        <v>0</v>
      </c>
      <c r="O4" s="1">
        <v>2.9466908995909E-13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759</v>
      </c>
      <c r="C5">
        <v>300</v>
      </c>
      <c r="D5">
        <v>0.27748922152788302</v>
      </c>
      <c r="E5">
        <v>0.74633107996001702</v>
      </c>
      <c r="F5">
        <v>2.5446339321928</v>
      </c>
      <c r="G5">
        <v>-12.165635084067342</v>
      </c>
      <c r="H5">
        <v>-10.647166289955548</v>
      </c>
      <c r="I5">
        <v>1.471170657474</v>
      </c>
      <c r="J5">
        <v>0.86512797991604595</v>
      </c>
      <c r="K5">
        <v>0.29329604958811301</v>
      </c>
      <c r="L5">
        <v>0</v>
      </c>
      <c r="M5">
        <v>1.2383389820830548E-6</v>
      </c>
      <c r="N5">
        <v>0</v>
      </c>
      <c r="O5" s="1">
        <v>4.1726436429861501E-13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758</v>
      </c>
      <c r="C6">
        <v>300</v>
      </c>
      <c r="D6">
        <v>0.27672065169955901</v>
      </c>
      <c r="E6">
        <v>0.96451717726009101</v>
      </c>
      <c r="F6">
        <v>2.5446339321928</v>
      </c>
      <c r="G6">
        <v>-15.720295939508565</v>
      </c>
      <c r="H6">
        <v>-13.760929203901481</v>
      </c>
      <c r="I6">
        <v>1.9001762455579501</v>
      </c>
      <c r="J6">
        <v>1.1179027325803399</v>
      </c>
      <c r="K6">
        <v>0.37903965873351803</v>
      </c>
      <c r="L6">
        <v>0</v>
      </c>
      <c r="M6">
        <v>1.238338982083055E-6</v>
      </c>
      <c r="N6">
        <v>0</v>
      </c>
      <c r="O6" s="1">
        <v>5.3924948006464801E-13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757</v>
      </c>
      <c r="C7">
        <v>300</v>
      </c>
      <c r="D7">
        <v>0.27595058971994302</v>
      </c>
      <c r="E7">
        <v>1.18162137988081</v>
      </c>
      <c r="F7">
        <v>2.5446339321928</v>
      </c>
      <c r="G7">
        <v>-19.256466934842482</v>
      </c>
      <c r="H7">
        <v>-16.859760916707206</v>
      </c>
      <c r="I7">
        <v>2.3265602272827</v>
      </c>
      <c r="J7">
        <v>1.36935952383421</v>
      </c>
      <c r="K7">
        <v>0.46435810075933698</v>
      </c>
      <c r="L7">
        <v>0</v>
      </c>
      <c r="M7">
        <v>1.2383389820830548E-6</v>
      </c>
      <c r="N7">
        <v>0</v>
      </c>
      <c r="O7" s="1">
        <v>6.6062972205851901E-13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756</v>
      </c>
      <c r="C8">
        <v>300</v>
      </c>
      <c r="D8">
        <v>0.27517903123937498</v>
      </c>
      <c r="E8">
        <v>1.3976530387720301</v>
      </c>
      <c r="F8">
        <v>2.5446339321928</v>
      </c>
      <c r="G8">
        <v>-22.77430756663987</v>
      </c>
      <c r="H8">
        <v>-19.943791004252105</v>
      </c>
      <c r="I8">
        <v>2.7503440338024099</v>
      </c>
      <c r="J8">
        <v>1.61950945666771</v>
      </c>
      <c r="K8">
        <v>0.54925505043769796</v>
      </c>
      <c r="L8">
        <v>0</v>
      </c>
      <c r="M8">
        <v>1.2383389820830548E-6</v>
      </c>
      <c r="N8">
        <v>0</v>
      </c>
      <c r="O8" s="1">
        <v>7.8141031827923496E-13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755</v>
      </c>
      <c r="C9">
        <v>300</v>
      </c>
      <c r="D9">
        <v>0.27440597189125798</v>
      </c>
      <c r="E9">
        <v>1.61262140382109</v>
      </c>
      <c r="F9">
        <v>2.5446339321928</v>
      </c>
      <c r="G9">
        <v>-26.273975604827719</v>
      </c>
      <c r="H9">
        <v>-23.013147644202178</v>
      </c>
      <c r="I9">
        <v>3.1715488602106099</v>
      </c>
      <c r="J9">
        <v>1.86836351264857</v>
      </c>
      <c r="K9">
        <v>0.63373414282479301</v>
      </c>
      <c r="L9">
        <v>0</v>
      </c>
      <c r="M9">
        <v>1.2383389820830548E-6</v>
      </c>
      <c r="N9">
        <v>0</v>
      </c>
      <c r="O9" s="1">
        <v>9.0159644022301201E-13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754</v>
      </c>
      <c r="C10">
        <v>300</v>
      </c>
      <c r="D10">
        <v>0.27363140729202201</v>
      </c>
      <c r="E10">
        <v>1.82653562777284</v>
      </c>
      <c r="F10">
        <v>2.5446339321928</v>
      </c>
      <c r="G10">
        <v>-29.755627157640102</v>
      </c>
      <c r="H10">
        <v>-26.067957671359366</v>
      </c>
      <c r="I10">
        <v>3.59019567373872</v>
      </c>
      <c r="J10">
        <v>2.1159325565143701</v>
      </c>
      <c r="K10">
        <v>0.71779897480139898</v>
      </c>
      <c r="L10">
        <v>0</v>
      </c>
      <c r="M10">
        <v>1.238338982083055E-6</v>
      </c>
      <c r="N10">
        <v>0</v>
      </c>
      <c r="O10" s="1">
        <v>1.02119320507493E-12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753</v>
      </c>
      <c r="C11">
        <v>300</v>
      </c>
      <c r="D11">
        <v>0.27285533304097898</v>
      </c>
      <c r="E11">
        <v>2.0394047657296799</v>
      </c>
      <c r="F11">
        <v>2.5446339321928</v>
      </c>
      <c r="G11">
        <v>-33.219416664523443</v>
      </c>
      <c r="H11">
        <v>-29.108346569950655</v>
      </c>
      <c r="I11">
        <v>4.0063052132463897</v>
      </c>
      <c r="J11">
        <v>2.3622273356418502</v>
      </c>
      <c r="K11">
        <v>0.801453104876369</v>
      </c>
      <c r="L11">
        <v>0</v>
      </c>
      <c r="M11">
        <v>1.2383389820830548E-6</v>
      </c>
      <c r="N11">
        <v>0</v>
      </c>
      <c r="O11" s="1">
        <v>1.1402056754293899E-12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752</v>
      </c>
      <c r="C12">
        <v>300</v>
      </c>
      <c r="D12">
        <v>0.27207774472028401</v>
      </c>
      <c r="E12">
        <v>2.2512377777583499</v>
      </c>
      <c r="F12">
        <v>2.5446339321928</v>
      </c>
      <c r="G12">
        <v>-36.665496939647632</v>
      </c>
      <c r="H12">
        <v>-32.134438510262015</v>
      </c>
      <c r="I12">
        <v>4.4198979948159796</v>
      </c>
      <c r="J12">
        <v>2.6072584831152499</v>
      </c>
      <c r="K12">
        <v>0.88470005421108999</v>
      </c>
      <c r="L12">
        <v>0</v>
      </c>
      <c r="M12">
        <v>1.2383389820830548E-6</v>
      </c>
      <c r="N12">
        <v>0</v>
      </c>
      <c r="O12" s="1">
        <v>1.2586388607475499E-12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751</v>
      </c>
      <c r="C13">
        <v>300</v>
      </c>
      <c r="D13">
        <v>0.27129863789483999</v>
      </c>
      <c r="E13">
        <v>2.4620435290746499</v>
      </c>
      <c r="F13">
        <v>2.5446339321928</v>
      </c>
      <c r="G13">
        <v>-40.09401917594024</v>
      </c>
      <c r="H13">
        <v>-35.146356350713532</v>
      </c>
      <c r="I13">
        <v>4.83099431257794</v>
      </c>
      <c r="J13">
        <v>2.85103651798772</v>
      </c>
      <c r="K13">
        <v>0.96754330669206401</v>
      </c>
      <c r="L13">
        <v>0</v>
      </c>
      <c r="M13">
        <v>1.238338982083055E-6</v>
      </c>
      <c r="N13">
        <v>0</v>
      </c>
      <c r="O13" s="1">
        <v>1.3764977174605801E-12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750</v>
      </c>
      <c r="C14">
        <v>300</v>
      </c>
      <c r="D14">
        <v>0.270518008112205</v>
      </c>
      <c r="E14">
        <v>2.6718307918769701</v>
      </c>
      <c r="F14">
        <v>2.5446339321928</v>
      </c>
      <c r="G14">
        <v>-43.505132975964791</v>
      </c>
      <c r="H14">
        <v>-38.144221663475236</v>
      </c>
      <c r="I14">
        <v>5.2396142427694397</v>
      </c>
      <c r="J14">
        <v>3.0935718474520399</v>
      </c>
      <c r="K14">
        <v>1.0499863096514399</v>
      </c>
      <c r="L14">
        <v>0</v>
      </c>
      <c r="M14">
        <v>1.2383389820830548E-6</v>
      </c>
      <c r="N14">
        <v>0</v>
      </c>
      <c r="O14" s="1">
        <v>1.4937871499947899E-12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749</v>
      </c>
      <c r="C15">
        <v>300</v>
      </c>
      <c r="D15">
        <v>0.26973585090251001</v>
      </c>
      <c r="E15">
        <v>2.8806082478515398</v>
      </c>
      <c r="F15">
        <v>2.5446339321928</v>
      </c>
      <c r="G15">
        <v>-46.89898639371259</v>
      </c>
      <c r="H15">
        <v>-41.128154769686823</v>
      </c>
      <c r="I15">
        <v>5.6457776490982399</v>
      </c>
      <c r="J15">
        <v>3.3348747697876302</v>
      </c>
      <c r="K15">
        <v>1.13203247485158</v>
      </c>
      <c r="L15">
        <v>0</v>
      </c>
      <c r="M15">
        <v>1.2383389820830548E-6</v>
      </c>
      <c r="N15">
        <v>0</v>
      </c>
      <c r="O15" s="1">
        <v>1.6105120121722801E-12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748</v>
      </c>
      <c r="C16">
        <v>300</v>
      </c>
      <c r="D16">
        <v>0.26895216177838999</v>
      </c>
      <c r="E16">
        <v>3.0883844880927098</v>
      </c>
      <c r="F16">
        <v>2.5446339321928</v>
      </c>
      <c r="G16">
        <v>-50.275725934283081</v>
      </c>
      <c r="H16">
        <v>-44.098274737784834</v>
      </c>
      <c r="I16">
        <v>6.0495041830272198</v>
      </c>
      <c r="J16">
        <v>3.5749554743134402</v>
      </c>
      <c r="K16">
        <v>1.21368517845368</v>
      </c>
      <c r="L16">
        <v>0</v>
      </c>
      <c r="M16">
        <v>1.2383389820830548E-6</v>
      </c>
      <c r="N16">
        <v>0</v>
      </c>
      <c r="O16" s="1">
        <v>1.72667710716636E-12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747</v>
      </c>
      <c r="C17">
        <v>300</v>
      </c>
      <c r="D17">
        <v>0.26816693623486898</v>
      </c>
      <c r="E17">
        <v>3.2951680145657098</v>
      </c>
      <c r="F17">
        <v>2.5446339321928</v>
      </c>
      <c r="G17">
        <v>-53.63549657866983</v>
      </c>
      <c r="H17">
        <v>-47.054699403855039</v>
      </c>
      <c r="I17">
        <v>6.4508132870801198</v>
      </c>
      <c r="J17">
        <v>3.8138240431263699</v>
      </c>
      <c r="K17">
        <v>1.2949477615926199</v>
      </c>
      <c r="L17">
        <v>0</v>
      </c>
      <c r="M17">
        <v>1.2383389820830548E-6</v>
      </c>
      <c r="N17">
        <v>0</v>
      </c>
      <c r="O17" s="1">
        <v>1.8422871883193602E-12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746</v>
      </c>
      <c r="C18">
        <v>300</v>
      </c>
      <c r="D18">
        <v>0.26738016974930101</v>
      </c>
      <c r="E18">
        <v>3.5009672419670799</v>
      </c>
      <c r="F18">
        <v>2.5446339321928</v>
      </c>
      <c r="G18">
        <v>-56.978441815001624</v>
      </c>
      <c r="H18">
        <v>-49.997545397675786</v>
      </c>
      <c r="I18">
        <v>6.8497241989165802</v>
      </c>
      <c r="J18">
        <v>4.0514904532990501</v>
      </c>
      <c r="K18">
        <v>1.3758235311081299</v>
      </c>
      <c r="L18">
        <v>0</v>
      </c>
      <c r="M18">
        <v>1.2383389820830548E-6</v>
      </c>
      <c r="N18">
        <v>0</v>
      </c>
      <c r="O18" s="1">
        <v>1.9573469601827801E-12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745</v>
      </c>
      <c r="C19">
        <v>300</v>
      </c>
      <c r="D19">
        <v>0.26659185778126798</v>
      </c>
      <c r="E19">
        <v>3.70579049973106</v>
      </c>
      <c r="F19">
        <v>2.5446339321928</v>
      </c>
      <c r="G19">
        <v>-60.304703672133357</v>
      </c>
      <c r="H19">
        <v>-52.926928170856996</v>
      </c>
      <c r="I19">
        <v>7.2462559556807404</v>
      </c>
      <c r="J19">
        <v>4.2879645792448997</v>
      </c>
      <c r="K19">
        <v>1.45631576033321</v>
      </c>
      <c r="L19">
        <v>0</v>
      </c>
      <c r="M19">
        <v>1.2383389820830548E-6</v>
      </c>
      <c r="N19">
        <v>0</v>
      </c>
      <c r="O19" s="1">
        <v>2.0718610796390298E-12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744</v>
      </c>
      <c r="C20">
        <v>300</v>
      </c>
      <c r="D20">
        <v>0.26580199577250502</v>
      </c>
      <c r="E20">
        <v>3.90964602945721</v>
      </c>
      <c r="F20">
        <v>2.5446339321928</v>
      </c>
      <c r="G20">
        <v>-63.614422678712899</v>
      </c>
      <c r="H20">
        <v>-55.842961959595428</v>
      </c>
      <c r="I20">
        <v>7.6404273893894397</v>
      </c>
      <c r="J20">
        <v>4.5232561897844699</v>
      </c>
      <c r="K20">
        <v>1.5364276880832599</v>
      </c>
      <c r="L20">
        <v>0</v>
      </c>
      <c r="M20">
        <v>1.238338982083055E-6</v>
      </c>
      <c r="N20">
        <v>0</v>
      </c>
      <c r="O20" s="1">
        <v>2.1858341544632801E-12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743</v>
      </c>
      <c r="C21">
        <v>300</v>
      </c>
      <c r="D21">
        <v>0.265010579146782</v>
      </c>
      <c r="E21">
        <v>4.1125419924813196</v>
      </c>
      <c r="F21">
        <v>2.5446339321928</v>
      </c>
      <c r="G21">
        <v>-66.90773798729731</v>
      </c>
      <c r="H21">
        <v>-58.745759892301926</v>
      </c>
      <c r="I21">
        <v>8.0322571421496605</v>
      </c>
      <c r="J21">
        <v>4.7573749569480199</v>
      </c>
      <c r="K21">
        <v>1.61616252163131</v>
      </c>
      <c r="L21">
        <v>0</v>
      </c>
      <c r="M21">
        <v>1.2383389820830548E-6</v>
      </c>
      <c r="N21">
        <v>0</v>
      </c>
      <c r="O21" s="1">
        <v>2.2992707475561702E-12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742</v>
      </c>
      <c r="C22">
        <v>300</v>
      </c>
      <c r="D22">
        <v>0.264217603309855</v>
      </c>
      <c r="E22">
        <v>4.3144864658203996</v>
      </c>
      <c r="F22">
        <v>2.5446339321928</v>
      </c>
      <c r="G22">
        <v>-70.184787309259846</v>
      </c>
      <c r="H22">
        <v>-61.635433931199437</v>
      </c>
      <c r="I22">
        <v>8.4217636586321305</v>
      </c>
      <c r="J22">
        <v>4.9903304513244899</v>
      </c>
      <c r="K22">
        <v>1.6955234351144699</v>
      </c>
      <c r="L22">
        <v>0</v>
      </c>
      <c r="M22">
        <v>1.2383389820830548E-6</v>
      </c>
      <c r="N22">
        <v>0</v>
      </c>
      <c r="O22" s="1">
        <v>2.4121753746768398E-12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741</v>
      </c>
      <c r="C23">
        <v>300</v>
      </c>
      <c r="D23">
        <v>0.26342306364936202</v>
      </c>
      <c r="E23">
        <v>4.51548744476852</v>
      </c>
      <c r="F23">
        <v>2.5446339321928</v>
      </c>
      <c r="G23">
        <v>-73.445706957918475</v>
      </c>
      <c r="H23">
        <v>-64.5120949089101</v>
      </c>
      <c r="I23">
        <v>8.8089651915479603</v>
      </c>
      <c r="J23">
        <v>5.2221321451059701</v>
      </c>
      <c r="K23">
        <v>1.77451357055408</v>
      </c>
      <c r="L23">
        <v>0</v>
      </c>
      <c r="M23">
        <v>1.2383389820830548E-6</v>
      </c>
      <c r="N23">
        <v>0</v>
      </c>
      <c r="O23" s="1">
        <v>2.5245525058941001E-12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740</v>
      </c>
      <c r="C24">
        <v>300</v>
      </c>
      <c r="D24">
        <v>0.26262695553471999</v>
      </c>
      <c r="E24">
        <v>4.71555284569411</v>
      </c>
      <c r="F24">
        <v>2.5446339321928</v>
      </c>
      <c r="G24">
        <v>-76.690631894911903</v>
      </c>
      <c r="H24">
        <v>-67.375852567941607</v>
      </c>
      <c r="I24">
        <v>9.1938798075016308</v>
      </c>
      <c r="J24">
        <v>5.4527894153632603</v>
      </c>
      <c r="K24">
        <v>1.8531360389549401</v>
      </c>
      <c r="L24">
        <v>0</v>
      </c>
      <c r="M24">
        <v>1.2383389820830548E-6</v>
      </c>
      <c r="N24">
        <v>0</v>
      </c>
      <c r="O24" s="1">
        <v>2.6364065671504499E-12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739</v>
      </c>
      <c r="C25">
        <v>300</v>
      </c>
      <c r="D25">
        <v>0.261829274317047</v>
      </c>
      <c r="E25">
        <v>4.91469050489418</v>
      </c>
      <c r="F25">
        <v>2.5446339321928</v>
      </c>
      <c r="G25">
        <v>-79.91969571241998</v>
      </c>
      <c r="H25">
        <v>-70.226815543848133</v>
      </c>
      <c r="I25">
        <v>9.5765253851423608</v>
      </c>
      <c r="J25">
        <v>5.6823115427600301</v>
      </c>
      <c r="K25">
        <v>1.93139391985511</v>
      </c>
      <c r="L25">
        <v>0</v>
      </c>
      <c r="M25">
        <v>1.238338982083055E-6</v>
      </c>
      <c r="N25">
        <v>0</v>
      </c>
      <c r="O25" s="1">
        <v>2.7477419396214502E-12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738</v>
      </c>
      <c r="C26">
        <v>300</v>
      </c>
      <c r="D26">
        <v>0.26103001532908299</v>
      </c>
      <c r="E26">
        <v>5.1129081821584403</v>
      </c>
      <c r="F26">
        <v>2.5446339321928</v>
      </c>
      <c r="G26">
        <v>-83.133030691976359</v>
      </c>
      <c r="H26">
        <v>-73.065091415689281</v>
      </c>
      <c r="I26">
        <v>9.9569196224962404</v>
      </c>
      <c r="J26">
        <v>5.9107077157130901</v>
      </c>
      <c r="K26">
        <v>2.0092902627264899</v>
      </c>
      <c r="L26">
        <v>0</v>
      </c>
      <c r="M26">
        <v>1.2383389820830548E-6</v>
      </c>
      <c r="N26">
        <v>0</v>
      </c>
      <c r="O26" s="1">
        <v>2.8585629617083902E-12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737</v>
      </c>
      <c r="C27">
        <v>300</v>
      </c>
      <c r="D27">
        <v>0.260229173885068</v>
      </c>
      <c r="E27">
        <v>6.4455257603840499</v>
      </c>
      <c r="F27">
        <v>2.5446339321928</v>
      </c>
      <c r="G27">
        <v>-104.78809965642118</v>
      </c>
      <c r="H27">
        <v>-92.116073127529035</v>
      </c>
      <c r="I27">
        <v>12.5446978457577</v>
      </c>
      <c r="J27">
        <v>7.4502754114862499</v>
      </c>
      <c r="K27">
        <v>2.53298742850202</v>
      </c>
      <c r="L27">
        <v>0</v>
      </c>
      <c r="M27">
        <v>1.238338982083055E-6</v>
      </c>
      <c r="N27">
        <v>0</v>
      </c>
      <c r="O27" s="1">
        <v>3.60361276810431E-12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736</v>
      </c>
      <c r="C28">
        <v>300</v>
      </c>
      <c r="D28">
        <v>0.25942674528068399</v>
      </c>
      <c r="E28">
        <v>10.1390537496509</v>
      </c>
      <c r="F28">
        <v>2.5446339321928</v>
      </c>
      <c r="G28">
        <v>-164.81588318277957</v>
      </c>
      <c r="H28">
        <v>-144.91375647264769</v>
      </c>
      <c r="I28">
        <v>19.721673398535199</v>
      </c>
      <c r="J28">
        <v>11.7180071293872</v>
      </c>
      <c r="K28">
        <v>3.98448422045277</v>
      </c>
      <c r="L28">
        <v>0</v>
      </c>
      <c r="M28">
        <v>1.2383389820830548E-6</v>
      </c>
      <c r="N28">
        <v>0</v>
      </c>
      <c r="O28" s="1">
        <v>5.6686180316438503E-12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735</v>
      </c>
      <c r="C29">
        <v>300</v>
      </c>
      <c r="D29">
        <v>0.25862272479293502</v>
      </c>
      <c r="E29">
        <v>15.775439566398701</v>
      </c>
      <c r="F29">
        <v>2.5446339321928</v>
      </c>
      <c r="G29">
        <v>-256.40775189417894</v>
      </c>
      <c r="H29">
        <v>-225.49077147106055</v>
      </c>
      <c r="I29">
        <v>30.667044014401</v>
      </c>
      <c r="J29">
        <v>18.2297209070686</v>
      </c>
      <c r="K29">
        <v>6.1994927312803902</v>
      </c>
      <c r="L29">
        <v>0</v>
      </c>
      <c r="M29">
        <v>1.2383389820830548E-6</v>
      </c>
      <c r="N29">
        <v>0</v>
      </c>
      <c r="O29" s="1">
        <v>8.8198507860040195E-12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734</v>
      </c>
      <c r="C30">
        <v>300</v>
      </c>
      <c r="D30">
        <v>0.25781710768008598</v>
      </c>
      <c r="E30">
        <v>30.950370443252499</v>
      </c>
      <c r="F30">
        <v>2.5446339321928</v>
      </c>
      <c r="G30">
        <v>-502.99492421643123</v>
      </c>
      <c r="H30">
        <v>-442.43376282456768</v>
      </c>
      <c r="I30">
        <v>60.131223146366999</v>
      </c>
      <c r="J30">
        <v>35.760738906943502</v>
      </c>
      <c r="K30">
        <v>12.1629952551098</v>
      </c>
      <c r="L30">
        <v>0</v>
      </c>
      <c r="M30">
        <v>1.2383389820830548E-6</v>
      </c>
      <c r="N30">
        <v>0</v>
      </c>
      <c r="O30" s="1">
        <v>1.73039646807986E-11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733</v>
      </c>
      <c r="C31">
        <v>300</v>
      </c>
      <c r="D31">
        <v>0.257009889181535</v>
      </c>
      <c r="E31">
        <v>33.217528585215597</v>
      </c>
      <c r="F31">
        <v>2.5446339321928</v>
      </c>
      <c r="G31">
        <v>-539.77549261579975</v>
      </c>
      <c r="H31">
        <v>-474.88103558062056</v>
      </c>
      <c r="I31">
        <v>64.497795592286494</v>
      </c>
      <c r="J31">
        <v>38.375133133273202</v>
      </c>
      <c r="K31">
        <v>13.053951755092299</v>
      </c>
      <c r="L31">
        <v>0</v>
      </c>
      <c r="M31">
        <v>1.2383389820830548E-6</v>
      </c>
      <c r="N31">
        <v>0</v>
      </c>
      <c r="O31" s="1">
        <v>1.8571504417883299E-11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762</v>
      </c>
      <c r="C32">
        <v>280</v>
      </c>
      <c r="D32">
        <v>0.30103897985799499</v>
      </c>
      <c r="E32">
        <v>5.95801848835599E-2</v>
      </c>
      <c r="F32">
        <v>2.5440037919938501</v>
      </c>
      <c r="G32">
        <v>-0.97201299175220979</v>
      </c>
      <c r="H32">
        <v>-0.85023259302007081</v>
      </c>
      <c r="I32">
        <v>0.117645170972457</v>
      </c>
      <c r="J32">
        <v>6.9089852456353004E-2</v>
      </c>
      <c r="K32">
        <v>2.3419849086334901E-2</v>
      </c>
      <c r="L32">
        <v>0</v>
      </c>
      <c r="M32">
        <v>1.2383167902535472E-6</v>
      </c>
      <c r="N32">
        <v>0</v>
      </c>
      <c r="O32" s="1">
        <v>3.33105355488671E-14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761</v>
      </c>
      <c r="C33">
        <v>280</v>
      </c>
      <c r="D33">
        <v>0.30029541169076102</v>
      </c>
      <c r="E33">
        <v>0.27621085493337399</v>
      </c>
      <c r="F33">
        <v>2.5440037919938501</v>
      </c>
      <c r="G33">
        <v>-4.5056599661427379</v>
      </c>
      <c r="H33">
        <v>-3.9419574484656352</v>
      </c>
      <c r="I33">
        <v>0.54508777032065103</v>
      </c>
      <c r="J33">
        <v>0.32025709208433101</v>
      </c>
      <c r="K33">
        <v>0.10857328743087</v>
      </c>
      <c r="L33">
        <v>0</v>
      </c>
      <c r="M33">
        <v>1.238316790253547E-6</v>
      </c>
      <c r="N33">
        <v>0</v>
      </c>
      <c r="O33" s="1">
        <v>1.5442603140998201E-13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760</v>
      </c>
      <c r="C34">
        <v>280</v>
      </c>
      <c r="D34">
        <v>0.29955040410395301</v>
      </c>
      <c r="E34">
        <v>0.49176618688283102</v>
      </c>
      <c r="F34">
        <v>2.5440037919938501</v>
      </c>
      <c r="G34">
        <v>-8.0209130155566157</v>
      </c>
      <c r="H34">
        <v>-7.0188366256639343</v>
      </c>
      <c r="I34">
        <v>0.96992342824631494</v>
      </c>
      <c r="J34">
        <v>0.57011458116643199</v>
      </c>
      <c r="K34">
        <v>0.193304030611295</v>
      </c>
      <c r="L34">
        <v>0</v>
      </c>
      <c r="M34">
        <v>1.2383167902535472E-6</v>
      </c>
      <c r="N34">
        <v>0</v>
      </c>
      <c r="O34" s="1">
        <v>2.7494031920017499E-13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759</v>
      </c>
      <c r="C35">
        <v>280</v>
      </c>
      <c r="D35">
        <v>0.298803952913825</v>
      </c>
      <c r="E35">
        <v>0.70625526775125103</v>
      </c>
      <c r="F35">
        <v>2.5440037919938501</v>
      </c>
      <c r="G35">
        <v>-11.517927425434548</v>
      </c>
      <c r="H35">
        <v>-10.080995997073297</v>
      </c>
      <c r="I35">
        <v>1.39217306434263</v>
      </c>
      <c r="J35">
        <v>0.81867311907664198</v>
      </c>
      <c r="K35">
        <v>0.27761565056384002</v>
      </c>
      <c r="L35">
        <v>0</v>
      </c>
      <c r="M35">
        <v>1.238316790253547E-6</v>
      </c>
      <c r="N35">
        <v>0</v>
      </c>
      <c r="O35" s="1">
        <v>3.9485847935819798E-13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758</v>
      </c>
      <c r="C36">
        <v>280</v>
      </c>
      <c r="D36">
        <v>0.29805605392037998</v>
      </c>
      <c r="E36">
        <v>0.91968708905982399</v>
      </c>
      <c r="F36">
        <v>2.5440037919938501</v>
      </c>
      <c r="G36">
        <v>-14.996856845923688</v>
      </c>
      <c r="H36">
        <v>-13.128560114713478</v>
      </c>
      <c r="I36">
        <v>1.8118573740098001</v>
      </c>
      <c r="J36">
        <v>1.06594339034938</v>
      </c>
      <c r="K36">
        <v>0.361511681686221</v>
      </c>
      <c r="L36">
        <v>0</v>
      </c>
      <c r="M36">
        <v>1.238316790253547E-6</v>
      </c>
      <c r="N36">
        <v>0</v>
      </c>
      <c r="O36" s="1">
        <v>5.1418553893099197E-13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757</v>
      </c>
      <c r="C37">
        <v>280</v>
      </c>
      <c r="D37">
        <v>0.29730670290734501</v>
      </c>
      <c r="E37">
        <v>1.1320705419977799</v>
      </c>
      <c r="F37">
        <v>2.5440037919938501</v>
      </c>
      <c r="G37">
        <v>-18.457853214098584</v>
      </c>
      <c r="H37">
        <v>-16.161652140592757</v>
      </c>
      <c r="I37">
        <v>2.22899681940088</v>
      </c>
      <c r="J37">
        <v>1.31193595912524</v>
      </c>
      <c r="K37">
        <v>0.44499561893755202</v>
      </c>
      <c r="L37">
        <v>0</v>
      </c>
      <c r="M37">
        <v>1.2383167902535472E-6</v>
      </c>
      <c r="N37">
        <v>0</v>
      </c>
      <c r="O37" s="1">
        <v>6.3292646887116297E-13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756</v>
      </c>
      <c r="C38">
        <v>280</v>
      </c>
      <c r="D38">
        <v>0.29655589564203599</v>
      </c>
      <c r="E38">
        <v>1.34341442433522</v>
      </c>
      <c r="F38">
        <v>2.5440037919938501</v>
      </c>
      <c r="G38">
        <v>-21.90106686773748</v>
      </c>
      <c r="H38">
        <v>-19.180393944812089</v>
      </c>
      <c r="I38">
        <v>2.6436116435168699</v>
      </c>
      <c r="J38">
        <v>1.55666127721243</v>
      </c>
      <c r="K38">
        <v>0.52807092055563598</v>
      </c>
      <c r="L38">
        <v>0</v>
      </c>
      <c r="M38">
        <v>1.2383167902535472E-6</v>
      </c>
      <c r="N38">
        <v>0</v>
      </c>
      <c r="O38" s="1">
        <v>7.5108618790183399E-13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755</v>
      </c>
      <c r="C39">
        <v>280</v>
      </c>
      <c r="D39">
        <v>0.29580362787530801</v>
      </c>
      <c r="E39">
        <v>1.5537274388329501</v>
      </c>
      <c r="F39">
        <v>2.5440037919938501</v>
      </c>
      <c r="G39">
        <v>-25.326646520413203</v>
      </c>
      <c r="H39">
        <v>-22.184906082308672</v>
      </c>
      <c r="I39">
        <v>3.0557218675334599</v>
      </c>
      <c r="J39">
        <v>1.8001296822911801</v>
      </c>
      <c r="K39">
        <v>0.61074100743192195</v>
      </c>
      <c r="L39">
        <v>0</v>
      </c>
      <c r="M39">
        <v>1.2383167902535472E-6</v>
      </c>
      <c r="N39">
        <v>0</v>
      </c>
      <c r="O39" s="1">
        <v>8.68669561627638E-13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754</v>
      </c>
      <c r="C40">
        <v>280</v>
      </c>
      <c r="D40">
        <v>0.29504989534147702</v>
      </c>
      <c r="E40">
        <v>1.7630181958537201</v>
      </c>
      <c r="F40">
        <v>2.5440037919938501</v>
      </c>
      <c r="G40">
        <v>-28.734739305076637</v>
      </c>
      <c r="H40">
        <v>-25.175307829581755</v>
      </c>
      <c r="I40">
        <v>3.4653472963976801</v>
      </c>
      <c r="J40">
        <v>2.04235140098677</v>
      </c>
      <c r="K40">
        <v>0.69300926413791197</v>
      </c>
      <c r="L40">
        <v>0</v>
      </c>
      <c r="M40">
        <v>1.2383167902535472E-6</v>
      </c>
      <c r="N40">
        <v>0</v>
      </c>
      <c r="O40" s="1">
        <v>9.8568140399459906E-13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753</v>
      </c>
      <c r="C41">
        <v>280</v>
      </c>
      <c r="D41">
        <v>0.29429469375822398</v>
      </c>
      <c r="E41">
        <v>1.9712952135517501</v>
      </c>
      <c r="F41">
        <v>2.5440037919938501</v>
      </c>
      <c r="G41">
        <v>-32.125490778143892</v>
      </c>
      <c r="H41">
        <v>-28.15171718685415</v>
      </c>
      <c r="I41">
        <v>3.87250751965087</v>
      </c>
      <c r="J41">
        <v>2.2833365491355799</v>
      </c>
      <c r="K41">
        <v>0.77487903899968302</v>
      </c>
      <c r="L41">
        <v>0</v>
      </c>
      <c r="M41">
        <v>1.2383167902535472E-6</v>
      </c>
      <c r="N41">
        <v>0</v>
      </c>
      <c r="O41" s="1">
        <v>1.10212647739611E-12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752</v>
      </c>
      <c r="C42">
        <v>280</v>
      </c>
      <c r="D42">
        <v>0.29353801882651298</v>
      </c>
      <c r="E42">
        <v>2.1785669211213499</v>
      </c>
      <c r="F42">
        <v>2.5440037919938501</v>
      </c>
      <c r="G42">
        <v>-35.499044973425306</v>
      </c>
      <c r="H42">
        <v>-31.114250923923919</v>
      </c>
      <c r="I42">
        <v>4.2772219182572098</v>
      </c>
      <c r="J42">
        <v>2.52309513559416</v>
      </c>
      <c r="K42">
        <v>0.85635364537484004</v>
      </c>
      <c r="L42">
        <v>0</v>
      </c>
      <c r="M42">
        <v>1.238316790253547E-6</v>
      </c>
      <c r="N42">
        <v>0</v>
      </c>
      <c r="O42" s="1">
        <v>1.21800949448921E-12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751</v>
      </c>
      <c r="C43">
        <v>280</v>
      </c>
      <c r="D43">
        <v>0.29277986623053498</v>
      </c>
      <c r="E43">
        <v>2.3848416561085601</v>
      </c>
      <c r="F43">
        <v>2.5440037919938501</v>
      </c>
      <c r="G43">
        <v>-38.855544359285823</v>
      </c>
      <c r="H43">
        <v>-34.063024541240551</v>
      </c>
      <c r="I43">
        <v>4.6795096597620098</v>
      </c>
      <c r="J43">
        <v>2.7616370591706301</v>
      </c>
      <c r="K43">
        <v>0.93743636059576996</v>
      </c>
      <c r="L43">
        <v>0</v>
      </c>
      <c r="M43">
        <v>1.238316790253547E-6</v>
      </c>
      <c r="N43">
        <v>0</v>
      </c>
      <c r="O43" s="1">
        <v>1.33333511669151E-12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750</v>
      </c>
      <c r="C44">
        <v>280</v>
      </c>
      <c r="D44">
        <v>0.292020231637589</v>
      </c>
      <c r="E44">
        <v>2.5901276706954302</v>
      </c>
      <c r="F44">
        <v>2.5440037919938501</v>
      </c>
      <c r="G44">
        <v>-42.195129942007583</v>
      </c>
      <c r="H44">
        <v>-36.998152359131254</v>
      </c>
      <c r="I44">
        <v>5.0793897110651702</v>
      </c>
      <c r="J44">
        <v>2.9989721159478502</v>
      </c>
      <c r="K44">
        <v>1.01813042843989</v>
      </c>
      <c r="L44">
        <v>0</v>
      </c>
      <c r="M44">
        <v>1.2383167902535474E-6</v>
      </c>
      <c r="N44">
        <v>0</v>
      </c>
      <c r="O44" s="1">
        <v>1.4481079576947E-12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749</v>
      </c>
      <c r="C45">
        <v>280</v>
      </c>
      <c r="D45">
        <v>0.291259110698039</v>
      </c>
      <c r="E45">
        <v>2.7944331297136702</v>
      </c>
      <c r="F45">
        <v>2.5440037919938501</v>
      </c>
      <c r="G45">
        <v>-45.517941234356726</v>
      </c>
      <c r="H45">
        <v>-39.919747488919654</v>
      </c>
      <c r="I45">
        <v>5.4768808349430698</v>
      </c>
      <c r="J45">
        <v>3.23510999702625</v>
      </c>
      <c r="K45">
        <v>1.0984390583488599</v>
      </c>
      <c r="L45">
        <v>0</v>
      </c>
      <c r="M45">
        <v>1.238316790253547E-6</v>
      </c>
      <c r="N45">
        <v>0</v>
      </c>
      <c r="O45" s="1">
        <v>1.56233258235397E-12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748</v>
      </c>
      <c r="C46">
        <v>280</v>
      </c>
      <c r="D46">
        <v>0.29049649904519698</v>
      </c>
      <c r="E46">
        <v>2.9977661120256802</v>
      </c>
      <c r="F46">
        <v>2.5440037919938501</v>
      </c>
      <c r="G46">
        <v>-48.824116279018156</v>
      </c>
      <c r="H46">
        <v>-42.827921852141138</v>
      </c>
      <c r="I46">
        <v>5.8720015931812304</v>
      </c>
      <c r="J46">
        <v>3.4700602901667601</v>
      </c>
      <c r="K46">
        <v>1.17836542597139</v>
      </c>
      <c r="L46">
        <v>0</v>
      </c>
      <c r="M46">
        <v>1.2383167902535472E-6</v>
      </c>
      <c r="N46">
        <v>0</v>
      </c>
      <c r="O46" s="1">
        <v>1.6760135074601699E-12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747</v>
      </c>
      <c r="C47">
        <v>280</v>
      </c>
      <c r="D47">
        <v>0.28973239229525299</v>
      </c>
      <c r="E47">
        <v>3.2001346131219499</v>
      </c>
      <c r="F47">
        <v>2.5440037919938501</v>
      </c>
      <c r="G47">
        <v>-52.113791691819415</v>
      </c>
      <c r="H47">
        <v>-45.722786217145469</v>
      </c>
      <c r="I47">
        <v>6.2647703520795401</v>
      </c>
      <c r="J47">
        <v>3.7038324828404598</v>
      </c>
      <c r="K47">
        <v>1.2579126741842801</v>
      </c>
      <c r="L47">
        <v>0</v>
      </c>
      <c r="M47">
        <v>1.238316790253547E-6</v>
      </c>
      <c r="N47">
        <v>0</v>
      </c>
      <c r="O47" s="1">
        <v>1.78915520319194E-12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746</v>
      </c>
      <c r="C48">
        <v>280</v>
      </c>
      <c r="D48">
        <v>0.288966786047197</v>
      </c>
      <c r="E48">
        <v>3.4015465452390301</v>
      </c>
      <c r="F48">
        <v>2.5440037919938501</v>
      </c>
      <c r="G48">
        <v>-55.387102664552295</v>
      </c>
      <c r="H48">
        <v>-48.604450200290962</v>
      </c>
      <c r="I48">
        <v>6.6552052830901403</v>
      </c>
      <c r="J48">
        <v>3.9364359624070602</v>
      </c>
      <c r="K48">
        <v>1.33708391313877</v>
      </c>
      <c r="L48">
        <v>0</v>
      </c>
      <c r="M48">
        <v>1.238316790253547E-6</v>
      </c>
      <c r="N48">
        <v>0</v>
      </c>
      <c r="O48" s="1">
        <v>1.9017620931816901E-12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745</v>
      </c>
      <c r="C49">
        <v>280</v>
      </c>
      <c r="D49">
        <v>0.28819967588272899</v>
      </c>
      <c r="E49">
        <v>3.6020097384611498</v>
      </c>
      <c r="F49">
        <v>2.5440037919938501</v>
      </c>
      <c r="G49">
        <v>-58.644182983804434</v>
      </c>
      <c r="H49">
        <v>-51.473022281194261</v>
      </c>
      <c r="I49">
        <v>7.0433243653785498</v>
      </c>
      <c r="J49">
        <v>4.1678800174315001</v>
      </c>
      <c r="K49">
        <v>1.4158822206935799</v>
      </c>
      <c r="L49">
        <v>0</v>
      </c>
      <c r="M49">
        <v>1.2383167902535468E-6</v>
      </c>
      <c r="N49">
        <v>0</v>
      </c>
      <c r="O49" s="1">
        <v>2.0138385551315E-12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744</v>
      </c>
      <c r="C50">
        <v>280</v>
      </c>
      <c r="D50">
        <v>0.28743105736617303</v>
      </c>
      <c r="E50">
        <v>3.8015319423818901</v>
      </c>
      <c r="F50">
        <v>2.5440037919938501</v>
      </c>
      <c r="G50">
        <v>-61.885165058895396</v>
      </c>
      <c r="H50">
        <v>-54.328609825992935</v>
      </c>
      <c r="I50">
        <v>7.42914538947299</v>
      </c>
      <c r="J50">
        <v>4.3981738396479697</v>
      </c>
      <c r="K50">
        <v>1.49431064306804</v>
      </c>
      <c r="L50">
        <v>0</v>
      </c>
      <c r="M50">
        <v>1.2383167902535472E-6</v>
      </c>
      <c r="N50">
        <v>0</v>
      </c>
      <c r="O50" s="1">
        <v>2.1253889217421301E-12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743</v>
      </c>
      <c r="C51">
        <v>280</v>
      </c>
      <c r="D51">
        <v>0.28666092604438298</v>
      </c>
      <c r="E51">
        <v>4.0001208262389696</v>
      </c>
      <c r="F51">
        <v>2.5440037919938501</v>
      </c>
      <c r="G51">
        <v>-65.110179924938123</v>
      </c>
      <c r="H51">
        <v>-57.171319088796615</v>
      </c>
      <c r="I51">
        <v>7.8126859579210901</v>
      </c>
      <c r="J51">
        <v>4.6273265241563299</v>
      </c>
      <c r="K51">
        <v>1.5723721948951499</v>
      </c>
      <c r="L51">
        <v>0</v>
      </c>
      <c r="M51">
        <v>1.238316790253547E-6</v>
      </c>
      <c r="N51">
        <v>0</v>
      </c>
      <c r="O51" s="1">
        <v>2.2364174807883801E-12</v>
      </c>
      <c r="P51">
        <v>0</v>
      </c>
      <c r="Q51">
        <v>100</v>
      </c>
      <c r="AJ51">
        <v>1</v>
      </c>
    </row>
    <row r="52" spans="1:36" x14ac:dyDescent="0.2">
      <c r="A52">
        <v>53</v>
      </c>
      <c r="B52">
        <v>742</v>
      </c>
      <c r="C52">
        <v>280</v>
      </c>
      <c r="D52">
        <v>0.28588927744668102</v>
      </c>
      <c r="E52">
        <v>4.1977839819908302</v>
      </c>
      <c r="F52">
        <v>2.5440037919938501</v>
      </c>
      <c r="G52">
        <v>-68.319357293775795</v>
      </c>
      <c r="H52">
        <v>-60.001255255187765</v>
      </c>
      <c r="I52">
        <v>8.1939634916889492</v>
      </c>
      <c r="J52">
        <v>4.8553470730212798</v>
      </c>
      <c r="K52">
        <v>1.6500698604308399</v>
      </c>
      <c r="L52">
        <v>0</v>
      </c>
      <c r="M52">
        <v>1.238316790253547E-6</v>
      </c>
      <c r="N52">
        <v>0</v>
      </c>
      <c r="O52" s="1">
        <v>2.34692847683919E-12</v>
      </c>
      <c r="P52">
        <v>0</v>
      </c>
      <c r="Q52">
        <v>100</v>
      </c>
      <c r="AJ52">
        <v>1</v>
      </c>
    </row>
    <row r="53" spans="1:36" x14ac:dyDescent="0.2">
      <c r="A53">
        <v>54</v>
      </c>
      <c r="B53">
        <v>741</v>
      </c>
      <c r="C53">
        <v>280</v>
      </c>
      <c r="D53">
        <v>0.28511610708475299</v>
      </c>
      <c r="E53">
        <v>4.39452892304638</v>
      </c>
      <c r="F53">
        <v>2.5440037919938501</v>
      </c>
      <c r="G53">
        <v>-71.512825534144923</v>
      </c>
      <c r="H53">
        <v>-62.818522423607654</v>
      </c>
      <c r="I53">
        <v>8.5729952280602202</v>
      </c>
      <c r="J53">
        <v>5.0822443938419299</v>
      </c>
      <c r="K53">
        <v>1.72740659305471</v>
      </c>
      <c r="L53">
        <v>0</v>
      </c>
      <c r="M53">
        <v>1.2383167902535468E-6</v>
      </c>
      <c r="N53">
        <v>0</v>
      </c>
      <c r="O53" s="1">
        <v>2.45692611054743E-12</v>
      </c>
      <c r="P53">
        <v>0</v>
      </c>
      <c r="Q53">
        <v>100</v>
      </c>
      <c r="AJ53">
        <v>1</v>
      </c>
    </row>
    <row r="54" spans="1:36" x14ac:dyDescent="0.2">
      <c r="A54">
        <v>55</v>
      </c>
      <c r="B54">
        <v>740</v>
      </c>
      <c r="C54">
        <v>280</v>
      </c>
      <c r="D54">
        <v>0.28434141045255101</v>
      </c>
      <c r="E54">
        <v>4.9435029892564399</v>
      </c>
      <c r="F54">
        <v>2.5440037919938501</v>
      </c>
      <c r="G54">
        <v>-80.436721375802122</v>
      </c>
      <c r="H54">
        <v>-70.671664986032468</v>
      </c>
      <c r="I54">
        <v>9.6383125793511795</v>
      </c>
      <c r="J54">
        <v>5.7163776245765696</v>
      </c>
      <c r="K54">
        <v>1.94319796409658</v>
      </c>
      <c r="L54">
        <v>0</v>
      </c>
      <c r="M54">
        <v>1.2383167902535468E-6</v>
      </c>
      <c r="N54">
        <v>0</v>
      </c>
      <c r="O54" s="1">
        <v>2.7638506389562399E-12</v>
      </c>
      <c r="P54">
        <v>0</v>
      </c>
      <c r="Q54">
        <v>100</v>
      </c>
      <c r="AJ54">
        <v>1</v>
      </c>
    </row>
    <row r="55" spans="1:36" x14ac:dyDescent="0.2">
      <c r="A55">
        <v>56</v>
      </c>
      <c r="B55">
        <v>739</v>
      </c>
      <c r="C55">
        <v>280</v>
      </c>
      <c r="D55">
        <v>0.28356518302623301</v>
      </c>
      <c r="E55">
        <v>10.5367808455744</v>
      </c>
      <c r="F55">
        <v>2.5440037919938501</v>
      </c>
      <c r="G55">
        <v>-171.42552151003267</v>
      </c>
      <c r="H55">
        <v>-150.64460885704861</v>
      </c>
      <c r="I55">
        <v>20.531455469035201</v>
      </c>
      <c r="J55">
        <v>12.1825110579632</v>
      </c>
      <c r="K55">
        <v>4.1418101964841201</v>
      </c>
      <c r="L55">
        <v>0</v>
      </c>
      <c r="M55">
        <v>1.238316790253547E-6</v>
      </c>
      <c r="N55">
        <v>0</v>
      </c>
      <c r="O55" s="1">
        <v>5.8909822722617697E-12</v>
      </c>
      <c r="P55">
        <v>0</v>
      </c>
      <c r="Q55">
        <v>100</v>
      </c>
      <c r="AJ55">
        <v>1</v>
      </c>
    </row>
    <row r="56" spans="1:36" x14ac:dyDescent="0.2">
      <c r="A56">
        <v>57</v>
      </c>
      <c r="B56">
        <v>738</v>
      </c>
      <c r="C56">
        <v>280</v>
      </c>
      <c r="D56">
        <v>0.28278742026405701</v>
      </c>
      <c r="E56">
        <v>19.995660893070301</v>
      </c>
      <c r="F56">
        <v>2.5440037919938501</v>
      </c>
      <c r="G56">
        <v>-325.27545434539593</v>
      </c>
      <c r="H56">
        <v>-285.90156134979077</v>
      </c>
      <c r="I56">
        <v>38.939715171443503</v>
      </c>
      <c r="J56">
        <v>23.115710846103902</v>
      </c>
      <c r="K56">
        <v>7.8599178806250096</v>
      </c>
      <c r="L56">
        <v>0</v>
      </c>
      <c r="M56">
        <v>1.238316790253547E-6</v>
      </c>
      <c r="N56">
        <v>0</v>
      </c>
      <c r="O56" s="1">
        <v>1.1179323701385499E-11</v>
      </c>
      <c r="P56">
        <v>0</v>
      </c>
      <c r="Q56">
        <v>100</v>
      </c>
      <c r="AJ56">
        <v>1</v>
      </c>
    </row>
    <row r="57" spans="1:36" x14ac:dyDescent="0.2">
      <c r="A57">
        <v>58</v>
      </c>
      <c r="B57">
        <v>737</v>
      </c>
      <c r="C57">
        <v>280</v>
      </c>
      <c r="D57">
        <v>0.28200811760629901</v>
      </c>
      <c r="E57">
        <v>29.693265026154499</v>
      </c>
      <c r="F57">
        <v>2.5440037919938501</v>
      </c>
      <c r="G57">
        <v>-482.97150147949992</v>
      </c>
      <c r="H57">
        <v>-424.5939763358511</v>
      </c>
      <c r="I57">
        <v>57.790947031281299</v>
      </c>
      <c r="J57">
        <v>34.321948361575103</v>
      </c>
      <c r="K57">
        <v>11.6718635088521</v>
      </c>
      <c r="L57">
        <v>0</v>
      </c>
      <c r="M57">
        <v>1.238316790253547E-6</v>
      </c>
      <c r="N57">
        <v>0</v>
      </c>
      <c r="O57" s="1">
        <v>1.6601132778434501E-11</v>
      </c>
      <c r="P57">
        <v>0</v>
      </c>
      <c r="Q57">
        <v>100</v>
      </c>
      <c r="AJ57">
        <v>1</v>
      </c>
    </row>
    <row r="58" spans="1:36" x14ac:dyDescent="0.2">
      <c r="A58">
        <v>59</v>
      </c>
      <c r="B58">
        <v>736</v>
      </c>
      <c r="C58">
        <v>280</v>
      </c>
      <c r="D58">
        <v>0.281227270475152</v>
      </c>
      <c r="E58">
        <v>31.888710612140802</v>
      </c>
      <c r="F58">
        <v>2.5440037919938501</v>
      </c>
      <c r="G58">
        <v>-518.61915805278784</v>
      </c>
      <c r="H58">
        <v>-456.02424782781708</v>
      </c>
      <c r="I58">
        <v>62.02735988205</v>
      </c>
      <c r="J58">
        <v>36.8547349216784</v>
      </c>
      <c r="K58">
        <v>12.534851839646</v>
      </c>
      <c r="L58">
        <v>0</v>
      </c>
      <c r="M58">
        <v>1.238316790253547E-6</v>
      </c>
      <c r="N58">
        <v>0</v>
      </c>
      <c r="O58" s="1">
        <v>1.7828578923163999E-11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762</v>
      </c>
      <c r="C59">
        <v>260</v>
      </c>
      <c r="D59">
        <v>0.322291938366422</v>
      </c>
      <c r="E59">
        <v>5.2751864445606901E-2</v>
      </c>
      <c r="F59">
        <v>2.5433738191431599</v>
      </c>
      <c r="G59">
        <v>-0.86102803397798555</v>
      </c>
      <c r="H59">
        <v>-0.75320455040530543</v>
      </c>
      <c r="I59">
        <v>0.104162182845655</v>
      </c>
      <c r="J59">
        <v>6.1171655282160599E-2</v>
      </c>
      <c r="K59">
        <v>2.07409009436837E-2</v>
      </c>
      <c r="L59">
        <v>0</v>
      </c>
      <c r="M59">
        <v>1.2382945389796266E-6</v>
      </c>
      <c r="N59">
        <v>0</v>
      </c>
      <c r="O59" s="1">
        <v>2.94929070683243E-14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761</v>
      </c>
      <c r="C60">
        <v>260</v>
      </c>
      <c r="D60">
        <v>0.321568921336364</v>
      </c>
      <c r="E60">
        <v>0.26435118897099102</v>
      </c>
      <c r="F60">
        <v>2.5433738191431599</v>
      </c>
      <c r="G60">
        <v>-4.3142789231698195</v>
      </c>
      <c r="H60">
        <v>-3.7747801014822078</v>
      </c>
      <c r="I60">
        <v>0.52168333577103099</v>
      </c>
      <c r="J60">
        <v>0.30650621276019901</v>
      </c>
      <c r="K60">
        <v>0.103937214019152</v>
      </c>
      <c r="L60">
        <v>0</v>
      </c>
      <c r="M60">
        <v>1.2382945389796268E-6</v>
      </c>
      <c r="N60">
        <v>0</v>
      </c>
      <c r="O60" s="1">
        <v>1.4779544062867201E-13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760</v>
      </c>
      <c r="C61">
        <v>260</v>
      </c>
      <c r="D61">
        <v>0.320844504670183</v>
      </c>
      <c r="E61">
        <v>0.474914649262207</v>
      </c>
      <c r="F61">
        <v>2.5433738191431599</v>
      </c>
      <c r="G61">
        <v>-7.7497914230352407</v>
      </c>
      <c r="H61">
        <v>-6.7820535631867962</v>
      </c>
      <c r="I61">
        <v>0.93668669588002096</v>
      </c>
      <c r="J61">
        <v>0.55057824953393297</v>
      </c>
      <c r="K61">
        <v>0.18672624750938099</v>
      </c>
      <c r="L61">
        <v>0</v>
      </c>
      <c r="M61">
        <v>1.2382945389796266E-6</v>
      </c>
      <c r="N61">
        <v>0</v>
      </c>
      <c r="O61" s="1">
        <v>2.6551883546255499E-13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759</v>
      </c>
      <c r="C62">
        <v>260</v>
      </c>
      <c r="D62">
        <v>0.32011868429976698</v>
      </c>
      <c r="E62">
        <v>0.684450759258312</v>
      </c>
      <c r="F62">
        <v>2.5433738191431599</v>
      </c>
      <c r="G62">
        <v>-11.167711289463488</v>
      </c>
      <c r="H62">
        <v>-9.7751428343275322</v>
      </c>
      <c r="I62">
        <v>1.3491919344435901</v>
      </c>
      <c r="J62">
        <v>0.79339788816093504</v>
      </c>
      <c r="K62">
        <v>0.26911134891248301</v>
      </c>
      <c r="L62">
        <v>0</v>
      </c>
      <c r="M62">
        <v>1.2382945389796268E-6</v>
      </c>
      <c r="N62">
        <v>0</v>
      </c>
      <c r="O62" s="1">
        <v>3.8266785160672099E-13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758</v>
      </c>
      <c r="C63">
        <v>260</v>
      </c>
      <c r="D63">
        <v>0.31939145614120401</v>
      </c>
      <c r="E63">
        <v>0.89296794267549096</v>
      </c>
      <c r="F63">
        <v>2.5433738191431599</v>
      </c>
      <c r="G63">
        <v>-14.56818273312604</v>
      </c>
      <c r="H63">
        <v>-12.754164565184132</v>
      </c>
      <c r="I63">
        <v>1.7592185113144601</v>
      </c>
      <c r="J63">
        <v>1.03497514275414</v>
      </c>
      <c r="K63">
        <v>0.351095830252873</v>
      </c>
      <c r="L63">
        <v>0</v>
      </c>
      <c r="M63">
        <v>1.2382945389796266E-6</v>
      </c>
      <c r="N63">
        <v>0</v>
      </c>
      <c r="O63" s="1">
        <v>4.9924719865544398E-13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757</v>
      </c>
      <c r="C64">
        <v>260</v>
      </c>
      <c r="D64">
        <v>0.318662816094747</v>
      </c>
      <c r="E64">
        <v>1.10047453052158</v>
      </c>
      <c r="F64">
        <v>2.5433738191431599</v>
      </c>
      <c r="G64">
        <v>-17.951348379908605</v>
      </c>
      <c r="H64">
        <v>-15.719234121471851</v>
      </c>
      <c r="I64">
        <v>2.1667856704720201</v>
      </c>
      <c r="J64">
        <v>1.27531991614667</v>
      </c>
      <c r="K64">
        <v>0.43268296710403498</v>
      </c>
      <c r="L64">
        <v>0</v>
      </c>
      <c r="M64">
        <v>1.2382945389796266E-6</v>
      </c>
      <c r="N64">
        <v>0</v>
      </c>
      <c r="O64" s="1">
        <v>6.1526153437092097E-13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756</v>
      </c>
      <c r="C65">
        <v>260</v>
      </c>
      <c r="D65">
        <v>0.317932760044698</v>
      </c>
      <c r="E65">
        <v>1.3069787677775699</v>
      </c>
      <c r="F65">
        <v>2.5433738191431599</v>
      </c>
      <c r="G65">
        <v>-21.317349380887933</v>
      </c>
      <c r="H65">
        <v>-18.670465679240593</v>
      </c>
      <c r="I65">
        <v>2.57191245362419</v>
      </c>
      <c r="J65">
        <v>1.5144420076812399</v>
      </c>
      <c r="K65">
        <v>0.513876001215537</v>
      </c>
      <c r="L65">
        <v>0</v>
      </c>
      <c r="M65">
        <v>1.2382945389796266E-6</v>
      </c>
      <c r="N65">
        <v>0</v>
      </c>
      <c r="O65" s="1">
        <v>7.3071546841880802E-13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755</v>
      </c>
      <c r="C66">
        <v>260</v>
      </c>
      <c r="D66">
        <v>0.31720128385935797</v>
      </c>
      <c r="E66">
        <v>1.5124888090197</v>
      </c>
      <c r="F66">
        <v>2.5433738191431599</v>
      </c>
      <c r="G66">
        <v>-24.666325341867179</v>
      </c>
      <c r="H66">
        <v>-21.607972161822303</v>
      </c>
      <c r="I66">
        <v>2.9746176920146601</v>
      </c>
      <c r="J66">
        <v>1.75235110818064</v>
      </c>
      <c r="K66">
        <v>0.59467813879174103</v>
      </c>
      <c r="L66">
        <v>0</v>
      </c>
      <c r="M66">
        <v>1.2382945389796266E-6</v>
      </c>
      <c r="N66">
        <v>0</v>
      </c>
      <c r="O66" s="1">
        <v>8.4561355992059903E-13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754</v>
      </c>
      <c r="C67">
        <v>260</v>
      </c>
      <c r="D67">
        <v>0.31646838339093702</v>
      </c>
      <c r="E67">
        <v>1.7170127230299399</v>
      </c>
      <c r="F67">
        <v>2.5433738191431599</v>
      </c>
      <c r="G67">
        <v>-27.998414399530642</v>
      </c>
      <c r="H67">
        <v>-24.531865305170051</v>
      </c>
      <c r="I67">
        <v>3.3749200159281401</v>
      </c>
      <c r="J67">
        <v>1.9890568053350199</v>
      </c>
      <c r="K67">
        <v>0.675092552304555</v>
      </c>
      <c r="L67">
        <v>0</v>
      </c>
      <c r="M67">
        <v>1.2382945389796266E-6</v>
      </c>
      <c r="N67">
        <v>0</v>
      </c>
      <c r="O67" s="1">
        <v>9.5996032003130001E-13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753</v>
      </c>
      <c r="C68">
        <v>260</v>
      </c>
      <c r="D68">
        <v>0.31573405447546998</v>
      </c>
      <c r="E68">
        <v>1.9205584923019301</v>
      </c>
      <c r="F68">
        <v>2.5433738191431599</v>
      </c>
      <c r="G68">
        <v>-31.313753214314289</v>
      </c>
      <c r="H68">
        <v>-27.442255650290846</v>
      </c>
      <c r="I68">
        <v>3.7728378541377401</v>
      </c>
      <c r="J68">
        <v>2.2245685831726001</v>
      </c>
      <c r="K68">
        <v>0.75512238029915302</v>
      </c>
      <c r="L68">
        <v>0</v>
      </c>
      <c r="M68">
        <v>1.2382945389796266E-6</v>
      </c>
      <c r="N68">
        <v>0</v>
      </c>
      <c r="O68" s="1">
        <v>1.0737602116631701E-12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752</v>
      </c>
      <c r="C69">
        <v>260</v>
      </c>
      <c r="D69">
        <v>0.31499829293274201</v>
      </c>
      <c r="E69">
        <v>2.1231340166886401</v>
      </c>
      <c r="F69">
        <v>2.5433738191431599</v>
      </c>
      <c r="G69">
        <v>-34.612477030803134</v>
      </c>
      <c r="H69">
        <v>-30.339252594861296</v>
      </c>
      <c r="I69">
        <v>4.1683894414884</v>
      </c>
      <c r="J69">
        <v>2.4588958263280301</v>
      </c>
      <c r="K69">
        <v>0.83477072882817605</v>
      </c>
      <c r="L69">
        <v>0</v>
      </c>
      <c r="M69">
        <v>1.2382945389796268E-6</v>
      </c>
      <c r="N69">
        <v>0</v>
      </c>
      <c r="O69" s="1">
        <v>1.1870176515251201E-12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751</v>
      </c>
      <c r="C70">
        <v>260</v>
      </c>
      <c r="D70">
        <v>0.31426109456622597</v>
      </c>
      <c r="E70">
        <v>2.3247471108249602</v>
      </c>
      <c r="F70">
        <v>2.5433738191431599</v>
      </c>
      <c r="G70">
        <v>-37.894719636611221</v>
      </c>
      <c r="H70">
        <v>-33.222964355905503</v>
      </c>
      <c r="I70">
        <v>4.5615928142417701</v>
      </c>
      <c r="J70">
        <v>2.6920478170991098</v>
      </c>
      <c r="K70">
        <v>0.91404067043834902</v>
      </c>
      <c r="L70">
        <v>0</v>
      </c>
      <c r="M70">
        <v>1.2382945389796266E-6</v>
      </c>
      <c r="N70">
        <v>0</v>
      </c>
      <c r="O70" s="1">
        <v>1.2997370086816999E-12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750</v>
      </c>
      <c r="C71">
        <v>260</v>
      </c>
      <c r="D71">
        <v>0.313522455162978</v>
      </c>
      <c r="E71">
        <v>2.5254055080799702</v>
      </c>
      <c r="F71">
        <v>2.5433738191431599</v>
      </c>
      <c r="G71">
        <v>-41.160613427715269</v>
      </c>
      <c r="H71">
        <v>-36.093498025778267</v>
      </c>
      <c r="I71">
        <v>4.9524658182446402</v>
      </c>
      <c r="J71">
        <v>2.9240337400663599</v>
      </c>
      <c r="K71">
        <v>0.99293524572442005</v>
      </c>
      <c r="L71">
        <v>0</v>
      </c>
      <c r="M71">
        <v>1.2382945389796266E-6</v>
      </c>
      <c r="N71">
        <v>0</v>
      </c>
      <c r="O71" s="1">
        <v>1.41192260676275E-12</v>
      </c>
      <c r="P71">
        <v>0</v>
      </c>
      <c r="Q71">
        <v>100</v>
      </c>
      <c r="AJ71">
        <v>1</v>
      </c>
    </row>
    <row r="72" spans="1:36" x14ac:dyDescent="0.2">
      <c r="A72">
        <v>74</v>
      </c>
      <c r="B72">
        <v>749</v>
      </c>
      <c r="C72">
        <v>260</v>
      </c>
      <c r="D72">
        <v>0.312782370493568</v>
      </c>
      <c r="E72">
        <v>2.7251168611303802</v>
      </c>
      <c r="F72">
        <v>2.5433738191431599</v>
      </c>
      <c r="G72">
        <v>-44.41028941867733</v>
      </c>
      <c r="H72">
        <v>-38.950959579881584</v>
      </c>
      <c r="I72">
        <v>5.34102611044929</v>
      </c>
      <c r="J72">
        <v>3.1548626827978601</v>
      </c>
      <c r="K72">
        <v>1.0714574635546199</v>
      </c>
      <c r="L72">
        <v>0</v>
      </c>
      <c r="M72">
        <v>1.2382945389796266E-6</v>
      </c>
      <c r="N72">
        <v>0</v>
      </c>
      <c r="O72" s="1">
        <v>1.5235787242840301E-12</v>
      </c>
      <c r="P72">
        <v>0</v>
      </c>
      <c r="Q72">
        <v>100</v>
      </c>
      <c r="AJ72">
        <v>1</v>
      </c>
    </row>
    <row r="73" spans="1:36" x14ac:dyDescent="0.2">
      <c r="A73">
        <v>75</v>
      </c>
      <c r="B73">
        <v>748</v>
      </c>
      <c r="C73">
        <v>260</v>
      </c>
      <c r="D73">
        <v>0.31204083631200402</v>
      </c>
      <c r="E73">
        <v>2.92388874163544</v>
      </c>
      <c r="F73">
        <v>2.5433738191431599</v>
      </c>
      <c r="G73">
        <v>-47.643877238217897</v>
      </c>
      <c r="H73">
        <v>-41.795453871541092</v>
      </c>
      <c r="I73">
        <v>5.7272911586709103</v>
      </c>
      <c r="J73">
        <v>3.3845436355135701</v>
      </c>
      <c r="K73">
        <v>1.14961030094289</v>
      </c>
      <c r="L73">
        <v>0</v>
      </c>
      <c r="M73">
        <v>1.2382945389796264E-6</v>
      </c>
      <c r="N73">
        <v>0</v>
      </c>
      <c r="O73" s="1">
        <v>1.63470959446543E-12</v>
      </c>
      <c r="P73">
        <v>0</v>
      </c>
      <c r="Q73">
        <v>100</v>
      </c>
      <c r="AJ73">
        <v>1</v>
      </c>
    </row>
    <row r="74" spans="1:36" x14ac:dyDescent="0.2">
      <c r="A74">
        <v>76</v>
      </c>
      <c r="B74">
        <v>747</v>
      </c>
      <c r="C74">
        <v>260</v>
      </c>
      <c r="D74">
        <v>0.31129784835563601</v>
      </c>
      <c r="E74">
        <v>3.1217286435756599</v>
      </c>
      <c r="F74">
        <v>2.5433738191431599</v>
      </c>
      <c r="G74">
        <v>-50.861505184485473</v>
      </c>
      <c r="H74">
        <v>-44.627084679257102</v>
      </c>
      <c r="I74">
        <v>6.1112782485206703</v>
      </c>
      <c r="J74">
        <v>3.6130854949908402</v>
      </c>
      <c r="K74">
        <v>1.2273967043614999</v>
      </c>
      <c r="L74">
        <v>0</v>
      </c>
      <c r="M74">
        <v>1.2382945389796266E-6</v>
      </c>
      <c r="N74">
        <v>0</v>
      </c>
      <c r="O74" s="1">
        <v>1.7453194070976599E-12</v>
      </c>
      <c r="P74">
        <v>0</v>
      </c>
      <c r="Q74">
        <v>100</v>
      </c>
      <c r="AJ74">
        <v>1</v>
      </c>
    </row>
    <row r="75" spans="1:36" x14ac:dyDescent="0.2">
      <c r="A75">
        <v>77</v>
      </c>
      <c r="B75">
        <v>746</v>
      </c>
      <c r="C75">
        <v>260</v>
      </c>
      <c r="D75">
        <v>0.31055340234509199</v>
      </c>
      <c r="E75">
        <v>3.3186439818373001</v>
      </c>
      <c r="F75">
        <v>2.5433738191431599</v>
      </c>
      <c r="G75">
        <v>-54.063300202834867</v>
      </c>
      <c r="H75">
        <v>-47.445954686008186</v>
      </c>
      <c r="I75">
        <v>6.4930044810152401</v>
      </c>
      <c r="J75">
        <v>3.8404970629652602</v>
      </c>
      <c r="K75">
        <v>1.3048195891846099</v>
      </c>
      <c r="L75">
        <v>0</v>
      </c>
      <c r="M75">
        <v>1.2382945389796268E-6</v>
      </c>
      <c r="N75">
        <v>0</v>
      </c>
      <c r="O75" s="1">
        <v>1.8554123077508001E-12</v>
      </c>
      <c r="P75">
        <v>0</v>
      </c>
      <c r="Q75">
        <v>100</v>
      </c>
      <c r="AJ75">
        <v>1</v>
      </c>
    </row>
    <row r="76" spans="1:36" x14ac:dyDescent="0.2">
      <c r="A76">
        <v>78</v>
      </c>
      <c r="B76">
        <v>745</v>
      </c>
      <c r="C76">
        <v>260</v>
      </c>
      <c r="D76">
        <v>0.309807493984187</v>
      </c>
      <c r="E76">
        <v>3.51464209525018</v>
      </c>
      <c r="F76">
        <v>2.5433738191431599</v>
      </c>
      <c r="G76">
        <v>-57.249387936160865</v>
      </c>
      <c r="H76">
        <v>-50.25216552221891</v>
      </c>
      <c r="I76">
        <v>6.8724867789048298</v>
      </c>
      <c r="J76">
        <v>4.0667870496860399</v>
      </c>
      <c r="K76">
        <v>1.3818818408825999</v>
      </c>
      <c r="L76">
        <v>0</v>
      </c>
      <c r="M76">
        <v>1.2382945389796266E-6</v>
      </c>
      <c r="N76">
        <v>0</v>
      </c>
      <c r="O76" s="1">
        <v>1.9649923994727401E-12</v>
      </c>
      <c r="P76">
        <v>0</v>
      </c>
      <c r="Q76">
        <v>100</v>
      </c>
      <c r="AJ76">
        <v>1</v>
      </c>
    </row>
    <row r="77" spans="1:36" x14ac:dyDescent="0.2">
      <c r="A77">
        <v>79</v>
      </c>
      <c r="B77">
        <v>744</v>
      </c>
      <c r="C77">
        <v>260</v>
      </c>
      <c r="D77">
        <v>0.30906011895984098</v>
      </c>
      <c r="E77">
        <v>3.70973024775315</v>
      </c>
      <c r="F77">
        <v>2.5433738191431599</v>
      </c>
      <c r="G77">
        <v>-60.419892744700327</v>
      </c>
      <c r="H77">
        <v>-53.045817781975877</v>
      </c>
      <c r="I77">
        <v>7.2497418893225696</v>
      </c>
      <c r="J77">
        <v>4.2919640753026798</v>
      </c>
      <c r="K77">
        <v>1.45858631548032</v>
      </c>
      <c r="L77">
        <v>0</v>
      </c>
      <c r="M77">
        <v>1.2382945389796268E-6</v>
      </c>
      <c r="N77">
        <v>0</v>
      </c>
      <c r="O77" s="1">
        <v>2.0740637434407602E-12</v>
      </c>
      <c r="P77">
        <v>0</v>
      </c>
      <c r="Q77">
        <v>100</v>
      </c>
      <c r="AJ77">
        <v>1</v>
      </c>
    </row>
    <row r="78" spans="1:36" x14ac:dyDescent="0.2">
      <c r="A78">
        <v>80</v>
      </c>
      <c r="B78">
        <v>743</v>
      </c>
      <c r="C78">
        <v>260</v>
      </c>
      <c r="D78">
        <v>0.30831127294198801</v>
      </c>
      <c r="E78">
        <v>3.90391562642179</v>
      </c>
      <c r="F78">
        <v>2.5433738191431599</v>
      </c>
      <c r="G78">
        <v>-63.574937674721198</v>
      </c>
      <c r="H78">
        <v>-55.827010994381141</v>
      </c>
      <c r="I78">
        <v>7.6247863802982403</v>
      </c>
      <c r="J78">
        <v>4.5160366676210799</v>
      </c>
      <c r="K78">
        <v>1.5349358387816401</v>
      </c>
      <c r="L78">
        <v>0</v>
      </c>
      <c r="M78">
        <v>1.2382945389796266E-6</v>
      </c>
      <c r="N78">
        <v>0</v>
      </c>
      <c r="O78" s="1">
        <v>2.1826303578588501E-12</v>
      </c>
      <c r="P78">
        <v>0</v>
      </c>
      <c r="Q78">
        <v>100</v>
      </c>
      <c r="AJ78">
        <v>1</v>
      </c>
    </row>
    <row r="79" spans="1:36" x14ac:dyDescent="0.2">
      <c r="A79">
        <v>81</v>
      </c>
      <c r="B79">
        <v>742</v>
      </c>
      <c r="C79">
        <v>260</v>
      </c>
      <c r="D79">
        <v>0.30756095158350699</v>
      </c>
      <c r="E79">
        <v>11.2965271544603</v>
      </c>
      <c r="F79">
        <v>2.5433738191431599</v>
      </c>
      <c r="G79">
        <v>-183.94093776737273</v>
      </c>
      <c r="H79">
        <v>-161.55634962381663</v>
      </c>
      <c r="I79">
        <v>22.050522724283201</v>
      </c>
      <c r="J79">
        <v>13.0660749314456</v>
      </c>
      <c r="K79">
        <v>4.4415520319643802</v>
      </c>
      <c r="L79">
        <v>0</v>
      </c>
      <c r="M79">
        <v>1.2382945389796264E-6</v>
      </c>
      <c r="N79">
        <v>0</v>
      </c>
      <c r="O79" s="1">
        <v>6.3157469231221896E-12</v>
      </c>
      <c r="P79">
        <v>0</v>
      </c>
      <c r="Q79">
        <v>100</v>
      </c>
      <c r="AJ79">
        <v>1</v>
      </c>
    </row>
    <row r="80" spans="1:36" x14ac:dyDescent="0.2">
      <c r="A80">
        <v>82</v>
      </c>
      <c r="B80">
        <v>741</v>
      </c>
      <c r="C80">
        <v>260</v>
      </c>
      <c r="D80">
        <v>0.30680915052014102</v>
      </c>
      <c r="E80">
        <v>22.424263300405801</v>
      </c>
      <c r="F80">
        <v>2.5433738191431599</v>
      </c>
      <c r="G80">
        <v>-365.08969893606132</v>
      </c>
      <c r="H80">
        <v>-320.72468380513988</v>
      </c>
      <c r="I80">
        <v>43.746009102126401</v>
      </c>
      <c r="J80">
        <v>25.933516069685901</v>
      </c>
      <c r="K80">
        <v>8.8167390619599502</v>
      </c>
      <c r="L80">
        <v>0</v>
      </c>
      <c r="M80">
        <v>1.2382945389796268E-6</v>
      </c>
      <c r="N80">
        <v>0</v>
      </c>
      <c r="O80" s="1">
        <v>1.25371249062947E-11</v>
      </c>
      <c r="P80">
        <v>0</v>
      </c>
      <c r="Q80">
        <v>100</v>
      </c>
      <c r="AJ80">
        <v>1</v>
      </c>
    </row>
    <row r="81" spans="1:36" x14ac:dyDescent="0.2">
      <c r="A81">
        <v>83</v>
      </c>
      <c r="B81">
        <v>740</v>
      </c>
      <c r="C81">
        <v>260</v>
      </c>
      <c r="D81">
        <v>0.30605586537038199</v>
      </c>
      <c r="E81">
        <v>30.2260683563056</v>
      </c>
      <c r="F81">
        <v>2.5433738191431599</v>
      </c>
      <c r="G81">
        <v>-492.05203154830429</v>
      </c>
      <c r="H81">
        <v>-432.34553140421281</v>
      </c>
      <c r="I81">
        <v>58.931550258196097</v>
      </c>
      <c r="J81">
        <v>34.951656994324097</v>
      </c>
      <c r="K81">
        <v>11.884241368218699</v>
      </c>
      <c r="L81">
        <v>0</v>
      </c>
      <c r="M81">
        <v>1.2382945389796268E-6</v>
      </c>
      <c r="N81">
        <v>0</v>
      </c>
      <c r="O81" s="1">
        <v>1.6899016450736602E-11</v>
      </c>
      <c r="P81">
        <v>0</v>
      </c>
      <c r="Q81">
        <v>100</v>
      </c>
      <c r="AJ81">
        <v>1</v>
      </c>
    </row>
    <row r="82" spans="1:36" x14ac:dyDescent="0.2">
      <c r="A82">
        <v>84</v>
      </c>
      <c r="B82">
        <v>739</v>
      </c>
      <c r="C82">
        <v>260</v>
      </c>
      <c r="D82">
        <v>0.30530109173541498</v>
      </c>
      <c r="E82">
        <v>32.018777662285402</v>
      </c>
      <c r="F82">
        <v>2.5433738191431599</v>
      </c>
      <c r="G82">
        <v>-521.17324843471545</v>
      </c>
      <c r="H82">
        <v>-458.02498412069235</v>
      </c>
      <c r="I82">
        <v>62.390223103317702</v>
      </c>
      <c r="J82">
        <v>37.019761410060298</v>
      </c>
      <c r="K82">
        <v>12.589096192345</v>
      </c>
      <c r="L82">
        <v>0</v>
      </c>
      <c r="M82">
        <v>1.2382945389796268E-6</v>
      </c>
      <c r="N82">
        <v>0</v>
      </c>
      <c r="O82" s="1">
        <v>1.7901297782731901E-11</v>
      </c>
      <c r="P82">
        <v>0</v>
      </c>
      <c r="Q82">
        <v>100</v>
      </c>
      <c r="AJ82">
        <v>1</v>
      </c>
    </row>
    <row r="83" spans="1:36" x14ac:dyDescent="0.2">
      <c r="A83">
        <v>86</v>
      </c>
      <c r="B83">
        <v>762</v>
      </c>
      <c r="C83">
        <v>240</v>
      </c>
      <c r="D83">
        <v>0.34354489687485301</v>
      </c>
      <c r="E83">
        <v>7.40137675417403E-2</v>
      </c>
      <c r="F83">
        <v>2.5427440136239099</v>
      </c>
      <c r="G83">
        <v>-1.2086517788592053</v>
      </c>
      <c r="H83">
        <v>-1.0573695003547612</v>
      </c>
      <c r="I83">
        <v>0.14614527218706799</v>
      </c>
      <c r="J83">
        <v>8.5827197233297903E-2</v>
      </c>
      <c r="K83">
        <v>2.9107832776393401E-2</v>
      </c>
      <c r="L83">
        <v>0</v>
      </c>
      <c r="M83">
        <v>1.2382722283092387E-6</v>
      </c>
      <c r="N83">
        <v>0</v>
      </c>
      <c r="O83" s="1">
        <v>4.1380170934733401E-14</v>
      </c>
      <c r="P83">
        <v>0</v>
      </c>
      <c r="Q83">
        <v>100</v>
      </c>
      <c r="AJ83">
        <v>1</v>
      </c>
    </row>
    <row r="84" spans="1:36" x14ac:dyDescent="0.2">
      <c r="A84">
        <v>87</v>
      </c>
      <c r="B84">
        <v>761</v>
      </c>
      <c r="C84">
        <v>240</v>
      </c>
      <c r="D84">
        <v>0.34284243098196698</v>
      </c>
      <c r="E84">
        <v>0.28030037679620001</v>
      </c>
      <c r="F84">
        <v>2.5427440136239099</v>
      </c>
      <c r="G84">
        <v>-4.5767781769417493</v>
      </c>
      <c r="H84">
        <v>-4.0047295941879257</v>
      </c>
      <c r="I84">
        <v>0.55315822922576197</v>
      </c>
      <c r="J84">
        <v>0.32499875359549801</v>
      </c>
      <c r="K84">
        <v>0.11023538952185601</v>
      </c>
      <c r="L84">
        <v>0</v>
      </c>
      <c r="M84">
        <v>1.2382722283092385E-6</v>
      </c>
      <c r="N84">
        <v>0</v>
      </c>
      <c r="O84" s="1">
        <v>1.5671243189121099E-13</v>
      </c>
      <c r="P84">
        <v>0</v>
      </c>
      <c r="Q84">
        <v>100</v>
      </c>
      <c r="AJ84">
        <v>1</v>
      </c>
    </row>
    <row r="85" spans="1:36" x14ac:dyDescent="0.2">
      <c r="A85">
        <v>88</v>
      </c>
      <c r="B85">
        <v>760</v>
      </c>
      <c r="C85">
        <v>240</v>
      </c>
      <c r="D85">
        <v>0.34213860523641398</v>
      </c>
      <c r="E85">
        <v>0.48559516669111602</v>
      </c>
      <c r="F85">
        <v>2.5427440136239099</v>
      </c>
      <c r="G85">
        <v>-7.9278981088136105</v>
      </c>
      <c r="H85">
        <v>-6.9383964623673355</v>
      </c>
      <c r="I85">
        <v>0.95775216226712001</v>
      </c>
      <c r="J85">
        <v>0.562960391460406</v>
      </c>
      <c r="K85">
        <v>0.19097288759282</v>
      </c>
      <c r="L85">
        <v>0</v>
      </c>
      <c r="M85">
        <v>1.2382722283092385E-6</v>
      </c>
      <c r="N85">
        <v>0</v>
      </c>
      <c r="O85" s="1">
        <v>2.7149017905927701E-13</v>
      </c>
      <c r="P85">
        <v>0</v>
      </c>
      <c r="Q85">
        <v>100</v>
      </c>
      <c r="AJ85">
        <v>1</v>
      </c>
    </row>
    <row r="86" spans="1:36" x14ac:dyDescent="0.2">
      <c r="A86">
        <v>89</v>
      </c>
      <c r="B86">
        <v>759</v>
      </c>
      <c r="C86">
        <v>240</v>
      </c>
      <c r="D86">
        <v>0.34143341568570601</v>
      </c>
      <c r="E86">
        <v>0.68990606723763404</v>
      </c>
      <c r="F86">
        <v>2.5427440136239099</v>
      </c>
      <c r="G86">
        <v>-11.262147586777756</v>
      </c>
      <c r="H86">
        <v>-9.8584798820576687</v>
      </c>
      <c r="I86">
        <v>1.3599454582377399</v>
      </c>
      <c r="J86">
        <v>0.79972154223175695</v>
      </c>
      <c r="K86">
        <v>0.27132344567174099</v>
      </c>
      <c r="L86">
        <v>0</v>
      </c>
      <c r="M86">
        <v>1.2382722283092389E-6</v>
      </c>
      <c r="N86">
        <v>0</v>
      </c>
      <c r="O86" s="1">
        <v>3.8571784600889299E-13</v>
      </c>
      <c r="P86">
        <v>0</v>
      </c>
      <c r="Q86">
        <v>100</v>
      </c>
      <c r="AJ86">
        <v>1</v>
      </c>
    </row>
    <row r="87" spans="1:36" x14ac:dyDescent="0.2">
      <c r="A87">
        <v>90</v>
      </c>
      <c r="B87">
        <v>758</v>
      </c>
      <c r="C87">
        <v>240</v>
      </c>
      <c r="D87">
        <v>0.34072685836202499</v>
      </c>
      <c r="E87">
        <v>0.89324092358750595</v>
      </c>
      <c r="F87">
        <v>2.5427440136239099</v>
      </c>
      <c r="G87">
        <v>-14.579661169633205</v>
      </c>
      <c r="H87">
        <v>-12.765088455094235</v>
      </c>
      <c r="I87">
        <v>1.75975630561893</v>
      </c>
      <c r="J87">
        <v>1.03529153536453</v>
      </c>
      <c r="K87">
        <v>0.35129014906792</v>
      </c>
      <c r="L87">
        <v>0</v>
      </c>
      <c r="M87">
        <v>1.2382722283092387E-6</v>
      </c>
      <c r="N87">
        <v>0</v>
      </c>
      <c r="O87" s="1">
        <v>4.9939981886620097E-13</v>
      </c>
      <c r="P87">
        <v>0</v>
      </c>
      <c r="Q87">
        <v>100</v>
      </c>
      <c r="AJ87">
        <v>1</v>
      </c>
    </row>
    <row r="88" spans="1:36" x14ac:dyDescent="0.2">
      <c r="A88">
        <v>91</v>
      </c>
      <c r="B88">
        <v>757</v>
      </c>
      <c r="C88">
        <v>240</v>
      </c>
      <c r="D88">
        <v>0.340018929282145</v>
      </c>
      <c r="E88">
        <v>1.0956074984646</v>
      </c>
      <c r="F88">
        <v>2.5427440136239099</v>
      </c>
      <c r="G88">
        <v>-17.880572003274811</v>
      </c>
      <c r="H88">
        <v>-15.658329642232641</v>
      </c>
      <c r="I88">
        <v>2.15720269964778</v>
      </c>
      <c r="J88">
        <v>1.26967960122557</v>
      </c>
      <c r="K88">
        <v>0.43087605067375401</v>
      </c>
      <c r="L88">
        <v>0</v>
      </c>
      <c r="M88">
        <v>1.2382722283092385E-6</v>
      </c>
      <c r="N88">
        <v>0</v>
      </c>
      <c r="O88" s="1">
        <v>6.1254043767294202E-13</v>
      </c>
      <c r="P88">
        <v>0</v>
      </c>
      <c r="Q88">
        <v>100</v>
      </c>
      <c r="AJ88">
        <v>1</v>
      </c>
    </row>
    <row r="89" spans="1:36" x14ac:dyDescent="0.2">
      <c r="A89">
        <v>92</v>
      </c>
      <c r="B89">
        <v>756</v>
      </c>
      <c r="C89">
        <v>240</v>
      </c>
      <c r="D89">
        <v>0.33930962444735902</v>
      </c>
      <c r="E89">
        <v>1.29701347160299</v>
      </c>
      <c r="F89">
        <v>2.5427440136239099</v>
      </c>
      <c r="G89">
        <v>-21.165011812415507</v>
      </c>
      <c r="H89">
        <v>-18.538309754630259</v>
      </c>
      <c r="I89">
        <v>2.55230244161225</v>
      </c>
      <c r="J89">
        <v>1.50289487048371</v>
      </c>
      <c r="K89">
        <v>0.51008417074375201</v>
      </c>
      <c r="L89">
        <v>0</v>
      </c>
      <c r="M89">
        <v>1.2382722283092385E-6</v>
      </c>
      <c r="N89">
        <v>0</v>
      </c>
      <c r="O89" s="1">
        <v>7.2514399607230105E-13</v>
      </c>
      <c r="P89">
        <v>0</v>
      </c>
      <c r="Q89">
        <v>100</v>
      </c>
      <c r="AJ89">
        <v>1</v>
      </c>
    </row>
    <row r="90" spans="1:36" x14ac:dyDescent="0.2">
      <c r="A90">
        <v>93</v>
      </c>
      <c r="B90">
        <v>755</v>
      </c>
      <c r="C90">
        <v>240</v>
      </c>
      <c r="D90">
        <v>0.338598939843407</v>
      </c>
      <c r="E90">
        <v>1.4974664420219701</v>
      </c>
      <c r="F90">
        <v>2.5427440136239099</v>
      </c>
      <c r="G90">
        <v>-24.433110938602205</v>
      </c>
      <c r="H90">
        <v>-21.405133985875722</v>
      </c>
      <c r="I90">
        <v>2.9450731437304598</v>
      </c>
      <c r="J90">
        <v>1.7349463767876001</v>
      </c>
      <c r="K90">
        <v>0.58891749778924296</v>
      </c>
      <c r="L90">
        <v>0</v>
      </c>
      <c r="M90">
        <v>1.2382722283092385E-6</v>
      </c>
      <c r="N90">
        <v>0</v>
      </c>
      <c r="O90" s="1">
        <v>8.3721474258084103E-13</v>
      </c>
      <c r="P90">
        <v>0</v>
      </c>
      <c r="Q90">
        <v>100</v>
      </c>
      <c r="AJ90">
        <v>1</v>
      </c>
    </row>
    <row r="91" spans="1:36" x14ac:dyDescent="0.2">
      <c r="A91">
        <v>94</v>
      </c>
      <c r="B91">
        <v>754</v>
      </c>
      <c r="C91">
        <v>240</v>
      </c>
      <c r="D91">
        <v>0.33788687144039198</v>
      </c>
      <c r="E91">
        <v>1.6969739284080201</v>
      </c>
      <c r="F91">
        <v>2.5427440136239099</v>
      </c>
      <c r="G91">
        <v>-27.684998347319855</v>
      </c>
      <c r="H91">
        <v>-24.258906416972657</v>
      </c>
      <c r="I91">
        <v>3.3355322302946901</v>
      </c>
      <c r="J91">
        <v>1.96584305724868</v>
      </c>
      <c r="K91">
        <v>0.66737898872859802</v>
      </c>
      <c r="L91">
        <v>0</v>
      </c>
      <c r="M91">
        <v>1.2382722283092385E-6</v>
      </c>
      <c r="N91">
        <v>0</v>
      </c>
      <c r="O91" s="1">
        <v>9.4875688080205797E-13</v>
      </c>
      <c r="P91">
        <v>0</v>
      </c>
      <c r="Q91">
        <v>100</v>
      </c>
      <c r="AJ91">
        <v>1</v>
      </c>
    </row>
    <row r="92" spans="1:36" x14ac:dyDescent="0.2">
      <c r="A92">
        <v>95</v>
      </c>
      <c r="B92">
        <v>753</v>
      </c>
      <c r="C92">
        <v>240</v>
      </c>
      <c r="D92">
        <v>0.33717341519271199</v>
      </c>
      <c r="E92">
        <v>1.8955433707489799</v>
      </c>
      <c r="F92">
        <v>2.5427440136239099</v>
      </c>
      <c r="G92">
        <v>-30.920801655515724</v>
      </c>
      <c r="H92">
        <v>-27.099730039227897</v>
      </c>
      <c r="I92">
        <v>3.7236969412735199</v>
      </c>
      <c r="J92">
        <v>2.1955937543746198</v>
      </c>
      <c r="K92">
        <v>0.74547156952990201</v>
      </c>
      <c r="L92">
        <v>0</v>
      </c>
      <c r="M92">
        <v>1.2382722283092385E-6</v>
      </c>
      <c r="N92">
        <v>0</v>
      </c>
      <c r="O92" s="1">
        <v>1.05977457034001E-12</v>
      </c>
      <c r="P92">
        <v>0</v>
      </c>
      <c r="Q92">
        <v>100</v>
      </c>
      <c r="AJ92">
        <v>1</v>
      </c>
    </row>
    <row r="93" spans="1:36" x14ac:dyDescent="0.2">
      <c r="A93">
        <v>96</v>
      </c>
      <c r="B93">
        <v>752</v>
      </c>
      <c r="C93">
        <v>240</v>
      </c>
      <c r="D93">
        <v>0.33645856703896998</v>
      </c>
      <c r="E93">
        <v>2.0931821307698399</v>
      </c>
      <c r="F93">
        <v>2.5427440136239099</v>
      </c>
      <c r="G93">
        <v>-34.140647139557821</v>
      </c>
      <c r="H93">
        <v>-29.927706760017831</v>
      </c>
      <c r="I93">
        <v>4.1095843335511697</v>
      </c>
      <c r="J93">
        <v>2.42420721661358</v>
      </c>
      <c r="K93">
        <v>0.82319813538235398</v>
      </c>
      <c r="L93">
        <v>0</v>
      </c>
      <c r="M93">
        <v>1.2382722283092387E-6</v>
      </c>
      <c r="N93">
        <v>0</v>
      </c>
      <c r="O93" s="1">
        <v>1.17027192704301E-12</v>
      </c>
      <c r="P93">
        <v>0</v>
      </c>
      <c r="Q93">
        <v>100</v>
      </c>
      <c r="AJ93">
        <v>1</v>
      </c>
    </row>
    <row r="94" spans="1:36" x14ac:dyDescent="0.2">
      <c r="A94">
        <v>97</v>
      </c>
      <c r="B94">
        <v>751</v>
      </c>
      <c r="C94">
        <v>240</v>
      </c>
      <c r="D94">
        <v>0.33574232290192102</v>
      </c>
      <c r="E94">
        <v>2.2898974927892799</v>
      </c>
      <c r="F94">
        <v>2.5427440136239099</v>
      </c>
      <c r="G94">
        <v>-37.344659750047633</v>
      </c>
      <c r="H94">
        <v>-32.74293741457312</v>
      </c>
      <c r="I94">
        <v>4.4932112829903001</v>
      </c>
      <c r="J94">
        <v>2.6516920993856199</v>
      </c>
      <c r="K94">
        <v>0.90056155103309998</v>
      </c>
      <c r="L94">
        <v>0</v>
      </c>
      <c r="M94">
        <v>1.2382722283092387E-6</v>
      </c>
      <c r="N94">
        <v>0</v>
      </c>
      <c r="O94" s="1">
        <v>1.2802530234824201E-12</v>
      </c>
      <c r="P94">
        <v>0</v>
      </c>
      <c r="Q94">
        <v>100</v>
      </c>
      <c r="AJ94">
        <v>1</v>
      </c>
    </row>
    <row r="95" spans="1:36" x14ac:dyDescent="0.2">
      <c r="A95">
        <v>98</v>
      </c>
      <c r="B95">
        <v>750</v>
      </c>
      <c r="C95">
        <v>240</v>
      </c>
      <c r="D95">
        <v>0.335024678688366</v>
      </c>
      <c r="E95">
        <v>2.4856966660639599</v>
      </c>
      <c r="F95">
        <v>2.5427440136239099</v>
      </c>
      <c r="G95">
        <v>-40.532963150883546</v>
      </c>
      <c r="H95">
        <v>-35.545521799046078</v>
      </c>
      <c r="I95">
        <v>4.8745944894076798</v>
      </c>
      <c r="J95">
        <v>2.8780569678362098</v>
      </c>
      <c r="K95">
        <v>0.97756465170922102</v>
      </c>
      <c r="L95">
        <v>0</v>
      </c>
      <c r="M95">
        <v>1.2382722283092385E-6</v>
      </c>
      <c r="N95">
        <v>0</v>
      </c>
      <c r="O95" s="1">
        <v>1.38972189026341E-12</v>
      </c>
      <c r="P95">
        <v>0</v>
      </c>
      <c r="Q95">
        <v>100</v>
      </c>
      <c r="AJ95">
        <v>1</v>
      </c>
    </row>
    <row r="96" spans="1:36" x14ac:dyDescent="0.2">
      <c r="A96">
        <v>99</v>
      </c>
      <c r="B96">
        <v>749</v>
      </c>
      <c r="C96">
        <v>240</v>
      </c>
      <c r="D96">
        <v>0.33430563028909699</v>
      </c>
      <c r="E96">
        <v>2.68058678485533</v>
      </c>
      <c r="F96">
        <v>2.5427440136239099</v>
      </c>
      <c r="G96">
        <v>-43.705679721159335</v>
      </c>
      <c r="H96">
        <v>-38.335558671021346</v>
      </c>
      <c r="I96">
        <v>5.2537504770708603</v>
      </c>
      <c r="J96">
        <v>3.1033102969511699</v>
      </c>
      <c r="K96">
        <v>1.0542102431439599</v>
      </c>
      <c r="L96">
        <v>0</v>
      </c>
      <c r="M96">
        <v>1.2382722283092387E-6</v>
      </c>
      <c r="N96">
        <v>0</v>
      </c>
      <c r="O96" s="1">
        <v>1.49868251606224E-12</v>
      </c>
      <c r="P96">
        <v>0</v>
      </c>
      <c r="Q96">
        <v>100</v>
      </c>
      <c r="AJ96">
        <v>1</v>
      </c>
    </row>
    <row r="97" spans="1:36" x14ac:dyDescent="0.2">
      <c r="A97">
        <v>100</v>
      </c>
      <c r="B97">
        <v>748</v>
      </c>
      <c r="C97">
        <v>240</v>
      </c>
      <c r="D97">
        <v>0.33358517357881101</v>
      </c>
      <c r="E97">
        <v>2.8745749080634799</v>
      </c>
      <c r="F97">
        <v>2.5427440136239099</v>
      </c>
      <c r="G97">
        <v>-46.862930550005579</v>
      </c>
      <c r="H97">
        <v>-41.113145743837528</v>
      </c>
      <c r="I97">
        <v>5.63069559434759</v>
      </c>
      <c r="J97">
        <v>3.3274604711708</v>
      </c>
      <c r="K97">
        <v>1.1305011014327899</v>
      </c>
      <c r="L97">
        <v>0</v>
      </c>
      <c r="M97">
        <v>1.2382722283092387E-6</v>
      </c>
      <c r="N97">
        <v>0</v>
      </c>
      <c r="O97" s="1">
        <v>1.6071388474215901E-12</v>
      </c>
      <c r="P97">
        <v>0</v>
      </c>
      <c r="Q97">
        <v>100</v>
      </c>
      <c r="AJ97">
        <v>1</v>
      </c>
    </row>
    <row r="98" spans="1:36" x14ac:dyDescent="0.2">
      <c r="A98">
        <v>101</v>
      </c>
      <c r="B98">
        <v>747</v>
      </c>
      <c r="C98">
        <v>240</v>
      </c>
      <c r="D98">
        <v>0.33286330441601902</v>
      </c>
      <c r="E98">
        <v>3.4861858997650699</v>
      </c>
      <c r="F98">
        <v>2.5427440136239099</v>
      </c>
      <c r="G98">
        <v>-56.826928836274902</v>
      </c>
      <c r="H98">
        <v>-49.864648849748377</v>
      </c>
      <c r="I98">
        <v>6.8247610513419703</v>
      </c>
      <c r="J98">
        <v>4.0349079453796897</v>
      </c>
      <c r="K98">
        <v>1.3710329789732001</v>
      </c>
      <c r="L98">
        <v>0</v>
      </c>
      <c r="M98">
        <v>1.2382722283092385E-6</v>
      </c>
      <c r="N98">
        <v>0</v>
      </c>
      <c r="O98" s="1">
        <v>1.9490828967891802E-12</v>
      </c>
      <c r="P98">
        <v>0</v>
      </c>
      <c r="Q98">
        <v>100</v>
      </c>
      <c r="AJ98">
        <v>1</v>
      </c>
    </row>
    <row r="99" spans="1:36" x14ac:dyDescent="0.2">
      <c r="A99">
        <v>102</v>
      </c>
      <c r="B99">
        <v>746</v>
      </c>
      <c r="C99">
        <v>240</v>
      </c>
      <c r="D99">
        <v>0.33214001864298798</v>
      </c>
      <c r="E99">
        <v>6.4495795629389097</v>
      </c>
      <c r="F99">
        <v>2.5427440136239099</v>
      </c>
      <c r="G99">
        <v>-105.11940708344305</v>
      </c>
      <c r="H99">
        <v>-92.259004871030271</v>
      </c>
      <c r="I99">
        <v>12.618753090725299</v>
      </c>
      <c r="J99">
        <v>7.4637687876101904</v>
      </c>
      <c r="K99">
        <v>2.5364643583397801</v>
      </c>
      <c r="L99">
        <v>0</v>
      </c>
      <c r="M99">
        <v>1.2382722283092389E-6</v>
      </c>
      <c r="N99">
        <v>0</v>
      </c>
      <c r="O99" s="1">
        <v>3.6058791983675901E-12</v>
      </c>
      <c r="P99">
        <v>0</v>
      </c>
      <c r="Q99">
        <v>100</v>
      </c>
      <c r="AJ99">
        <v>1</v>
      </c>
    </row>
    <row r="100" spans="1:36" x14ac:dyDescent="0.2">
      <c r="A100">
        <v>103</v>
      </c>
      <c r="B100">
        <v>745</v>
      </c>
      <c r="C100">
        <v>240</v>
      </c>
      <c r="D100">
        <v>0.33141531208564601</v>
      </c>
      <c r="E100">
        <v>12.631726635428</v>
      </c>
      <c r="F100">
        <v>2.5427440136239099</v>
      </c>
      <c r="G100">
        <v>-205.85531987441971</v>
      </c>
      <c r="H100">
        <v>-180.70709756761528</v>
      </c>
      <c r="I100">
        <v>24.699918780930499</v>
      </c>
      <c r="J100">
        <v>14.616151774189699</v>
      </c>
      <c r="K100">
        <v>4.9677539570431604</v>
      </c>
      <c r="L100">
        <v>0</v>
      </c>
      <c r="M100">
        <v>1.2382722283092385E-6</v>
      </c>
      <c r="N100">
        <v>0</v>
      </c>
      <c r="O100" s="1">
        <v>7.0622402390211598E-12</v>
      </c>
      <c r="P100">
        <v>0</v>
      </c>
      <c r="Q100">
        <v>100</v>
      </c>
      <c r="AJ100">
        <v>1</v>
      </c>
    </row>
    <row r="101" spans="1:36" x14ac:dyDescent="0.2">
      <c r="A101">
        <v>104</v>
      </c>
      <c r="B101">
        <v>744</v>
      </c>
      <c r="C101">
        <v>240</v>
      </c>
      <c r="D101">
        <v>0.33068918055350899</v>
      </c>
      <c r="E101">
        <v>25.935849990726101</v>
      </c>
      <c r="F101">
        <v>2.5427440136239099</v>
      </c>
      <c r="G101">
        <v>-422.61778005156651</v>
      </c>
      <c r="H101">
        <v>-371.06338410339038</v>
      </c>
      <c r="I101">
        <v>50.685145699430798</v>
      </c>
      <c r="J101">
        <v>30.006423375407401</v>
      </c>
      <c r="K101">
        <v>10.1999453550035</v>
      </c>
      <c r="L101">
        <v>0</v>
      </c>
      <c r="M101">
        <v>1.2382722283092387E-6</v>
      </c>
      <c r="N101">
        <v>0</v>
      </c>
      <c r="O101" s="1">
        <v>1.45004090671185E-11</v>
      </c>
      <c r="P101">
        <v>0</v>
      </c>
      <c r="Q101">
        <v>100</v>
      </c>
      <c r="AJ101">
        <v>1</v>
      </c>
    </row>
    <row r="102" spans="1:36" x14ac:dyDescent="0.2">
      <c r="A102">
        <v>105</v>
      </c>
      <c r="B102">
        <v>743</v>
      </c>
      <c r="C102">
        <v>240</v>
      </c>
      <c r="D102">
        <v>0.32996161983958999</v>
      </c>
      <c r="E102">
        <v>30.8143174292405</v>
      </c>
      <c r="F102">
        <v>2.5427440136239099</v>
      </c>
      <c r="G102">
        <v>-502.05090856421964</v>
      </c>
      <c r="H102">
        <v>-440.89511141260232</v>
      </c>
      <c r="I102">
        <v>60.183828324181803</v>
      </c>
      <c r="J102">
        <v>35.6459003510058</v>
      </c>
      <c r="K102">
        <v>12.1185291418006</v>
      </c>
      <c r="L102">
        <v>0</v>
      </c>
      <c r="M102">
        <v>1.2382722283092387E-6</v>
      </c>
      <c r="N102">
        <v>0</v>
      </c>
      <c r="O102" s="1">
        <v>1.7227899143764201E-11</v>
      </c>
      <c r="P102">
        <v>0</v>
      </c>
      <c r="Q102">
        <v>100</v>
      </c>
      <c r="AJ102">
        <v>1</v>
      </c>
    </row>
    <row r="103" spans="1:36" x14ac:dyDescent="0.2">
      <c r="A103">
        <v>106</v>
      </c>
      <c r="B103">
        <v>742</v>
      </c>
      <c r="C103">
        <v>240</v>
      </c>
      <c r="D103">
        <v>0.32923262572033701</v>
      </c>
      <c r="E103">
        <v>32.198589792471601</v>
      </c>
      <c r="F103">
        <v>2.5427440136239099</v>
      </c>
      <c r="G103">
        <v>-524.54168512499905</v>
      </c>
      <c r="H103">
        <v>-460.7386984678825</v>
      </c>
      <c r="I103">
        <v>62.850797081334299</v>
      </c>
      <c r="J103">
        <v>37.242347242019498</v>
      </c>
      <c r="K103">
        <v>12.6629301337268</v>
      </c>
      <c r="L103">
        <v>0</v>
      </c>
      <c r="M103">
        <v>1.2382722283092385E-6</v>
      </c>
      <c r="N103">
        <v>0</v>
      </c>
      <c r="O103" s="1">
        <v>1.8001828493846602E-11</v>
      </c>
      <c r="P103">
        <v>0</v>
      </c>
      <c r="Q103">
        <v>100</v>
      </c>
      <c r="AJ103">
        <v>1</v>
      </c>
    </row>
    <row r="104" spans="1:36" x14ac:dyDescent="0.2">
      <c r="A104">
        <v>108</v>
      </c>
      <c r="B104">
        <v>762</v>
      </c>
      <c r="C104">
        <v>220</v>
      </c>
      <c r="D104">
        <v>0.36479785538328002</v>
      </c>
      <c r="E104">
        <v>0.135221789788323</v>
      </c>
      <c r="F104">
        <v>2.5421143754192301</v>
      </c>
      <c r="G104">
        <v>-2.2092482549185659</v>
      </c>
      <c r="H104">
        <v>-1.9328583190719693</v>
      </c>
      <c r="I104">
        <v>0.26700471994068198</v>
      </c>
      <c r="J104">
        <v>0.156804708203199</v>
      </c>
      <c r="K104">
        <v>5.3192645891876299E-2</v>
      </c>
      <c r="L104">
        <v>0</v>
      </c>
      <c r="M104">
        <v>1.238249858290302E-6</v>
      </c>
      <c r="N104">
        <v>0</v>
      </c>
      <c r="O104" s="1">
        <v>7.5600809976141495E-14</v>
      </c>
      <c r="P104">
        <v>0</v>
      </c>
      <c r="Q104">
        <v>100</v>
      </c>
      <c r="AJ104">
        <v>1</v>
      </c>
    </row>
    <row r="105" spans="1:36" x14ac:dyDescent="0.2">
      <c r="A105">
        <v>109</v>
      </c>
      <c r="B105">
        <v>761</v>
      </c>
      <c r="C105">
        <v>220</v>
      </c>
      <c r="D105">
        <v>0.36411594062757002</v>
      </c>
      <c r="E105">
        <v>0.33579261507535602</v>
      </c>
      <c r="F105">
        <v>2.5421143754192301</v>
      </c>
      <c r="G105">
        <v>-5.4855036104600678</v>
      </c>
      <c r="H105">
        <v>-4.8002041765148853</v>
      </c>
      <c r="I105">
        <v>0.66266927809813103</v>
      </c>
      <c r="J105">
        <v>0.38934011653295397</v>
      </c>
      <c r="K105">
        <v>0.13209185956472899</v>
      </c>
      <c r="L105">
        <v>0</v>
      </c>
      <c r="M105">
        <v>1.238249858290302E-6</v>
      </c>
      <c r="N105">
        <v>0</v>
      </c>
      <c r="O105" s="1">
        <v>1.87737447666114E-13</v>
      </c>
      <c r="P105">
        <v>0</v>
      </c>
      <c r="Q105">
        <v>100</v>
      </c>
      <c r="AJ105">
        <v>1</v>
      </c>
    </row>
    <row r="106" spans="1:36" x14ac:dyDescent="0.2">
      <c r="A106">
        <v>110</v>
      </c>
      <c r="B106">
        <v>760</v>
      </c>
      <c r="C106">
        <v>220</v>
      </c>
      <c r="D106">
        <v>0.36343270580264397</v>
      </c>
      <c r="E106">
        <v>0.53542061787136197</v>
      </c>
      <c r="F106">
        <v>2.5421143754192301</v>
      </c>
      <c r="G106">
        <v>-8.7455676349865001</v>
      </c>
      <c r="H106">
        <v>-7.6545362177360161</v>
      </c>
      <c r="I106">
        <v>1.0560242145385299</v>
      </c>
      <c r="J106">
        <v>0.62072405433262001</v>
      </c>
      <c r="K106">
        <v>0.21062019201361201</v>
      </c>
      <c r="L106">
        <v>0</v>
      </c>
      <c r="M106">
        <v>1.2382498582903022E-6</v>
      </c>
      <c r="N106">
        <v>0</v>
      </c>
      <c r="O106" s="1">
        <v>2.9934696510352199E-13</v>
      </c>
      <c r="P106">
        <v>0</v>
      </c>
      <c r="Q106">
        <v>100</v>
      </c>
      <c r="AJ106">
        <v>1</v>
      </c>
    </row>
    <row r="107" spans="1:36" x14ac:dyDescent="0.2">
      <c r="A107">
        <v>111</v>
      </c>
      <c r="B107">
        <v>759</v>
      </c>
      <c r="C107">
        <v>220</v>
      </c>
      <c r="D107">
        <v>0.36274814707164799</v>
      </c>
      <c r="E107">
        <v>0.73411312696938202</v>
      </c>
      <c r="F107">
        <v>2.5421143754192301</v>
      </c>
      <c r="G107">
        <v>-11.989566275048434</v>
      </c>
      <c r="H107">
        <v>-10.495955859265461</v>
      </c>
      <c r="I107">
        <v>1.4470865821663199</v>
      </c>
      <c r="J107">
        <v>0.85096523998290097</v>
      </c>
      <c r="K107">
        <v>0.28878052619025701</v>
      </c>
      <c r="L107">
        <v>0</v>
      </c>
      <c r="M107">
        <v>1.2382498582903022E-6</v>
      </c>
      <c r="N107">
        <v>0</v>
      </c>
      <c r="O107" s="1">
        <v>4.1043345972481498E-13</v>
      </c>
      <c r="P107">
        <v>0</v>
      </c>
      <c r="Q107">
        <v>100</v>
      </c>
      <c r="AJ107">
        <v>1</v>
      </c>
    </row>
    <row r="108" spans="1:36" x14ac:dyDescent="0.2">
      <c r="A108">
        <v>112</v>
      </c>
      <c r="B108">
        <v>758</v>
      </c>
      <c r="C108">
        <v>220</v>
      </c>
      <c r="D108">
        <v>0.36206226058284502</v>
      </c>
      <c r="E108">
        <v>0.93187739407689496</v>
      </c>
      <c r="F108">
        <v>2.5421143754192301</v>
      </c>
      <c r="G108">
        <v>-15.217624155019857</v>
      </c>
      <c r="H108">
        <v>-13.32456344996814</v>
      </c>
      <c r="I108">
        <v>1.83587325321409</v>
      </c>
      <c r="J108">
        <v>1.0800722992074701</v>
      </c>
      <c r="K108">
        <v>0.366575714722991</v>
      </c>
      <c r="L108">
        <v>0</v>
      </c>
      <c r="M108">
        <v>1.2382498582903022E-6</v>
      </c>
      <c r="N108">
        <v>0</v>
      </c>
      <c r="O108" s="1">
        <v>5.2100098586886705E-13</v>
      </c>
      <c r="P108">
        <v>0</v>
      </c>
      <c r="Q108">
        <v>100</v>
      </c>
      <c r="AJ108">
        <v>1</v>
      </c>
    </row>
    <row r="109" spans="1:36" x14ac:dyDescent="0.2">
      <c r="A109">
        <v>113</v>
      </c>
      <c r="B109">
        <v>757</v>
      </c>
      <c r="C109">
        <v>220</v>
      </c>
      <c r="D109">
        <v>0.36137504246954599</v>
      </c>
      <c r="E109">
        <v>1.12872059665274</v>
      </c>
      <c r="F109">
        <v>2.5421143754192301</v>
      </c>
      <c r="G109">
        <v>-18.429864624254101</v>
      </c>
      <c r="H109">
        <v>-16.140458311155953</v>
      </c>
      <c r="I109">
        <v>2.2224009252032602</v>
      </c>
      <c r="J109">
        <v>1.3080537683992901</v>
      </c>
      <c r="K109">
        <v>0.44400858103271101</v>
      </c>
      <c r="L109">
        <v>0</v>
      </c>
      <c r="M109">
        <v>1.2382498582903022E-6</v>
      </c>
      <c r="N109">
        <v>0</v>
      </c>
      <c r="O109" s="1">
        <v>6.3105355636307399E-13</v>
      </c>
      <c r="P109">
        <v>0</v>
      </c>
      <c r="Q109">
        <v>100</v>
      </c>
      <c r="AJ109">
        <v>1</v>
      </c>
    </row>
    <row r="110" spans="1:36" x14ac:dyDescent="0.2">
      <c r="A110">
        <v>114</v>
      </c>
      <c r="B110">
        <v>756</v>
      </c>
      <c r="C110">
        <v>220</v>
      </c>
      <c r="D110">
        <v>0.36068648885002402</v>
      </c>
      <c r="E110">
        <v>1.32464983516918</v>
      </c>
      <c r="F110">
        <v>2.5421143754192301</v>
      </c>
      <c r="G110">
        <v>-21.626409713188121</v>
      </c>
      <c r="H110">
        <v>-18.943738696993133</v>
      </c>
      <c r="I110">
        <v>2.6066861159160299</v>
      </c>
      <c r="J110">
        <v>1.53491809148474</v>
      </c>
      <c r="K110">
        <v>0.52108191825583305</v>
      </c>
      <c r="L110">
        <v>0</v>
      </c>
      <c r="M110">
        <v>1.2382498582903024E-6</v>
      </c>
      <c r="N110">
        <v>0</v>
      </c>
      <c r="O110" s="1">
        <v>7.4059514099258204E-13</v>
      </c>
      <c r="P110">
        <v>0</v>
      </c>
      <c r="Q110">
        <v>100</v>
      </c>
      <c r="AJ110">
        <v>1</v>
      </c>
    </row>
    <row r="111" spans="1:36" x14ac:dyDescent="0.2">
      <c r="A111">
        <v>115</v>
      </c>
      <c r="B111">
        <v>755</v>
      </c>
      <c r="C111">
        <v>220</v>
      </c>
      <c r="D111">
        <v>0.35999659582745702</v>
      </c>
      <c r="E111">
        <v>1.5196721377415601</v>
      </c>
      <c r="F111">
        <v>2.5421143754192301</v>
      </c>
      <c r="G111">
        <v>-24.807380209749919</v>
      </c>
      <c r="H111">
        <v>-21.734501860256636</v>
      </c>
      <c r="I111">
        <v>2.98874517287679</v>
      </c>
      <c r="J111">
        <v>1.76067362532663</v>
      </c>
      <c r="K111">
        <v>0.59779849106551397</v>
      </c>
      <c r="L111">
        <v>0</v>
      </c>
      <c r="M111">
        <v>1.2382498582903022E-6</v>
      </c>
      <c r="N111">
        <v>0</v>
      </c>
      <c r="O111" s="1">
        <v>8.4962966908871501E-13</v>
      </c>
      <c r="P111">
        <v>0</v>
      </c>
      <c r="Q111">
        <v>100</v>
      </c>
      <c r="AJ111">
        <v>1</v>
      </c>
    </row>
    <row r="112" spans="1:36" x14ac:dyDescent="0.2">
      <c r="A112">
        <v>116</v>
      </c>
      <c r="B112">
        <v>754</v>
      </c>
      <c r="C112">
        <v>220</v>
      </c>
      <c r="D112">
        <v>0.35930535948985198</v>
      </c>
      <c r="E112">
        <v>1.7137944590354901</v>
      </c>
      <c r="F112">
        <v>2.5421143754192301</v>
      </c>
      <c r="G112">
        <v>-27.972895642304088</v>
      </c>
      <c r="H112">
        <v>-24.512844036276416</v>
      </c>
      <c r="I112">
        <v>3.3685942715549499</v>
      </c>
      <c r="J112">
        <v>1.9853286384940501</v>
      </c>
      <c r="K112">
        <v>0.67416103524172399</v>
      </c>
      <c r="L112">
        <v>0</v>
      </c>
      <c r="M112">
        <v>1.238249858290302E-6</v>
      </c>
      <c r="N112">
        <v>0</v>
      </c>
      <c r="O112" s="1">
        <v>9.5816102891795108E-13</v>
      </c>
      <c r="P112">
        <v>0</v>
      </c>
      <c r="Q112">
        <v>100</v>
      </c>
      <c r="AJ112">
        <v>1</v>
      </c>
    </row>
    <row r="113" spans="1:36" x14ac:dyDescent="0.2">
      <c r="A113">
        <v>117</v>
      </c>
      <c r="B113">
        <v>753</v>
      </c>
      <c r="C113">
        <v>220</v>
      </c>
      <c r="D113">
        <v>0.35861277590995699</v>
      </c>
      <c r="E113">
        <v>1.9070236810777901</v>
      </c>
      <c r="F113">
        <v>2.5421143754192301</v>
      </c>
      <c r="G113">
        <v>-31.123074293681146</v>
      </c>
      <c r="H113">
        <v>-27.278860454102347</v>
      </c>
      <c r="I113">
        <v>3.7462494173159802</v>
      </c>
      <c r="J113">
        <v>2.2088913122385998</v>
      </c>
      <c r="K113">
        <v>0.75017225799027898</v>
      </c>
      <c r="L113">
        <v>0</v>
      </c>
      <c r="M113">
        <v>1.2382498582903024E-6</v>
      </c>
      <c r="N113">
        <v>0</v>
      </c>
      <c r="O113" s="1">
        <v>1.06619306813533E-12</v>
      </c>
      <c r="P113">
        <v>0</v>
      </c>
      <c r="Q113">
        <v>100</v>
      </c>
      <c r="AJ113">
        <v>1</v>
      </c>
    </row>
    <row r="114" spans="1:36" x14ac:dyDescent="0.2">
      <c r="A114">
        <v>118</v>
      </c>
      <c r="B114">
        <v>752</v>
      </c>
      <c r="C114">
        <v>220</v>
      </c>
      <c r="D114">
        <v>0.35791884114519901</v>
      </c>
      <c r="E114">
        <v>2.2283317094799999</v>
      </c>
      <c r="F114">
        <v>2.5421143754192301</v>
      </c>
      <c r="G114">
        <v>-36.362520584214188</v>
      </c>
      <c r="H114">
        <v>-31.877565118621249</v>
      </c>
      <c r="I114">
        <v>4.3749260748114196</v>
      </c>
      <c r="J114">
        <v>2.5807299478252101</v>
      </c>
      <c r="K114">
        <v>0.87656626744519495</v>
      </c>
      <c r="L114">
        <v>0</v>
      </c>
      <c r="M114">
        <v>1.2382498582903022E-6</v>
      </c>
      <c r="N114">
        <v>0</v>
      </c>
      <c r="O114" s="1">
        <v>1.24583236470928E-12</v>
      </c>
      <c r="P114">
        <v>0</v>
      </c>
      <c r="Q114">
        <v>100</v>
      </c>
      <c r="AJ114">
        <v>1</v>
      </c>
    </row>
    <row r="115" spans="1:36" x14ac:dyDescent="0.2">
      <c r="A115">
        <v>119</v>
      </c>
      <c r="B115">
        <v>751</v>
      </c>
      <c r="C115">
        <v>220</v>
      </c>
      <c r="D115">
        <v>0.35722355123761301</v>
      </c>
      <c r="E115">
        <v>3.0892389975943999</v>
      </c>
      <c r="F115">
        <v>2.5421143754192301</v>
      </c>
      <c r="G115">
        <v>-50.404975551464055</v>
      </c>
      <c r="H115">
        <v>-44.196915959445782</v>
      </c>
      <c r="I115">
        <v>6.0616702553515296</v>
      </c>
      <c r="J115">
        <v>3.57732635143282</v>
      </c>
      <c r="K115">
        <v>1.2152242351742899</v>
      </c>
      <c r="L115">
        <v>0</v>
      </c>
      <c r="M115">
        <v>1.2382498582903024E-6</v>
      </c>
      <c r="N115">
        <v>0</v>
      </c>
      <c r="O115" s="1">
        <v>1.72715485273208E-12</v>
      </c>
      <c r="P115">
        <v>0</v>
      </c>
      <c r="Q115">
        <v>100</v>
      </c>
      <c r="AJ115">
        <v>1</v>
      </c>
    </row>
    <row r="116" spans="1:36" x14ac:dyDescent="0.2">
      <c r="A116">
        <v>120</v>
      </c>
      <c r="B116">
        <v>750</v>
      </c>
      <c r="C116">
        <v>220</v>
      </c>
      <c r="D116">
        <v>0.356526902213751</v>
      </c>
      <c r="E116">
        <v>4.0100935760749703</v>
      </c>
      <c r="F116">
        <v>2.5421143754192301</v>
      </c>
      <c r="G116">
        <v>-65.422056357284433</v>
      </c>
      <c r="H116">
        <v>-57.375979456950589</v>
      </c>
      <c r="I116">
        <v>7.8640247278833399</v>
      </c>
      <c r="J116">
        <v>4.6430756881422299</v>
      </c>
      <c r="K116">
        <v>1.5774638682076001</v>
      </c>
      <c r="L116">
        <v>0</v>
      </c>
      <c r="M116">
        <v>1.2382498582903022E-6</v>
      </c>
      <c r="N116">
        <v>0</v>
      </c>
      <c r="O116" s="1">
        <v>2.2419931203836799E-12</v>
      </c>
      <c r="P116">
        <v>0</v>
      </c>
      <c r="Q116">
        <v>100</v>
      </c>
      <c r="AJ116">
        <v>1</v>
      </c>
    </row>
    <row r="117" spans="1:36" x14ac:dyDescent="0.2">
      <c r="A117">
        <v>121</v>
      </c>
      <c r="B117">
        <v>749</v>
      </c>
      <c r="C117">
        <v>220</v>
      </c>
      <c r="D117">
        <v>0.35582889008462698</v>
      </c>
      <c r="E117">
        <v>9.8236720494104102</v>
      </c>
      <c r="F117">
        <v>2.5421143754192301</v>
      </c>
      <c r="G117">
        <v>-160.24753112554293</v>
      </c>
      <c r="H117">
        <v>-140.56739677576542</v>
      </c>
      <c r="I117">
        <v>19.253665655508001</v>
      </c>
      <c r="J117">
        <v>11.3728467203691</v>
      </c>
      <c r="K117">
        <v>3.8643705981129699</v>
      </c>
      <c r="L117">
        <v>0</v>
      </c>
      <c r="M117">
        <v>1.2382498582903022E-6</v>
      </c>
      <c r="N117">
        <v>0</v>
      </c>
      <c r="O117" s="1">
        <v>5.4922920709598498E-12</v>
      </c>
      <c r="P117">
        <v>0</v>
      </c>
      <c r="Q117">
        <v>100</v>
      </c>
      <c r="AJ117">
        <v>1</v>
      </c>
    </row>
    <row r="118" spans="1:36" x14ac:dyDescent="0.2">
      <c r="A118">
        <v>122</v>
      </c>
      <c r="B118">
        <v>748</v>
      </c>
      <c r="C118">
        <v>220</v>
      </c>
      <c r="D118">
        <v>0.355129510845618</v>
      </c>
      <c r="E118">
        <v>20.757561618739398</v>
      </c>
      <c r="F118">
        <v>2.5421143754192301</v>
      </c>
      <c r="G118">
        <v>-338.56468754459843</v>
      </c>
      <c r="H118">
        <v>-297.04497898743688</v>
      </c>
      <c r="I118">
        <v>40.659754744319201</v>
      </c>
      <c r="J118">
        <v>24.027888635115801</v>
      </c>
      <c r="K118">
        <v>8.1654711603274102</v>
      </c>
      <c r="L118">
        <v>0</v>
      </c>
      <c r="M118">
        <v>1.2382498582903022E-6</v>
      </c>
      <c r="N118">
        <v>0</v>
      </c>
      <c r="O118" s="1">
        <v>1.16052928597006E-11</v>
      </c>
      <c r="P118">
        <v>0</v>
      </c>
      <c r="Q118">
        <v>100</v>
      </c>
      <c r="AJ118">
        <v>1</v>
      </c>
    </row>
    <row r="119" spans="1:36" x14ac:dyDescent="0.2">
      <c r="A119">
        <v>123</v>
      </c>
      <c r="B119">
        <v>747</v>
      </c>
      <c r="C119">
        <v>220</v>
      </c>
      <c r="D119">
        <v>0.35442876047640198</v>
      </c>
      <c r="E119">
        <v>28.819726868200799</v>
      </c>
      <c r="F119">
        <v>2.5421143754192301</v>
      </c>
      <c r="G119">
        <v>-470.00560747860789</v>
      </c>
      <c r="H119">
        <v>-412.44958110458214</v>
      </c>
      <c r="I119">
        <v>56.419179899059699</v>
      </c>
      <c r="J119">
        <v>33.355921992574203</v>
      </c>
      <c r="K119">
        <v>11.3369119607169</v>
      </c>
      <c r="L119">
        <v>0</v>
      </c>
      <c r="M119">
        <v>1.2382498582903022E-6</v>
      </c>
      <c r="N119">
        <v>0</v>
      </c>
      <c r="O119" s="1">
        <v>1.61127485291967E-11</v>
      </c>
      <c r="P119">
        <v>0</v>
      </c>
      <c r="Q119">
        <v>100</v>
      </c>
      <c r="AJ119">
        <v>1</v>
      </c>
    </row>
    <row r="120" spans="1:36" x14ac:dyDescent="0.2">
      <c r="A120">
        <v>124</v>
      </c>
      <c r="B120">
        <v>746</v>
      </c>
      <c r="C120">
        <v>220</v>
      </c>
      <c r="D120">
        <v>0.35372663494088302</v>
      </c>
      <c r="E120">
        <v>31.484652915946299</v>
      </c>
      <c r="F120">
        <v>2.5421143754192301</v>
      </c>
      <c r="G120">
        <v>-513.40485162319351</v>
      </c>
      <c r="H120">
        <v>-450.62474385555169</v>
      </c>
      <c r="I120">
        <v>61.600458978209097</v>
      </c>
      <c r="J120">
        <v>36.435579626480298</v>
      </c>
      <c r="K120">
        <v>12.3852227973629</v>
      </c>
      <c r="L120">
        <v>0</v>
      </c>
      <c r="M120">
        <v>1.2382498582903024E-6</v>
      </c>
      <c r="N120">
        <v>0</v>
      </c>
      <c r="O120" s="1">
        <v>1.7602675323180502E-11</v>
      </c>
      <c r="P120">
        <v>0</v>
      </c>
      <c r="Q120">
        <v>100</v>
      </c>
      <c r="AJ120">
        <v>1</v>
      </c>
    </row>
    <row r="121" spans="1:36" x14ac:dyDescent="0.2">
      <c r="A121">
        <v>125</v>
      </c>
      <c r="B121">
        <v>745</v>
      </c>
      <c r="C121">
        <v>220</v>
      </c>
      <c r="D121">
        <v>0.35302313018710402</v>
      </c>
      <c r="E121">
        <v>32.458648152638702</v>
      </c>
      <c r="F121">
        <v>2.5421143754192301</v>
      </c>
      <c r="G121">
        <v>-529.22382838180238</v>
      </c>
      <c r="H121">
        <v>-464.6026310522538</v>
      </c>
      <c r="I121">
        <v>63.469230790697303</v>
      </c>
      <c r="J121">
        <v>37.557852657560801</v>
      </c>
      <c r="K121">
        <v>12.768366548135999</v>
      </c>
      <c r="L121">
        <v>0</v>
      </c>
      <c r="M121">
        <v>1.2382498582903024E-6</v>
      </c>
      <c r="N121">
        <v>0</v>
      </c>
      <c r="O121" s="1">
        <v>1.81472238676283E-11</v>
      </c>
      <c r="P121">
        <v>0</v>
      </c>
      <c r="Q121">
        <v>100</v>
      </c>
      <c r="AJ121">
        <v>1</v>
      </c>
    </row>
    <row r="122" spans="1:36" x14ac:dyDescent="0.2">
      <c r="A122">
        <v>127</v>
      </c>
      <c r="B122">
        <v>763</v>
      </c>
      <c r="C122">
        <v>200</v>
      </c>
      <c r="D122">
        <v>0.38671090093133698</v>
      </c>
      <c r="E122">
        <v>5.6458568735616499E-2</v>
      </c>
      <c r="F122">
        <v>2.5414849045122199</v>
      </c>
      <c r="G122">
        <v>-0.9229736174922436</v>
      </c>
      <c r="H122">
        <v>-0.80739673659542555</v>
      </c>
      <c r="I122">
        <v>0.111544545574306</v>
      </c>
      <c r="J122">
        <v>6.5478174628413405E-2</v>
      </c>
      <c r="K122">
        <v>2.2214796017626701E-2</v>
      </c>
      <c r="L122">
        <v>0</v>
      </c>
      <c r="M122">
        <v>1.2382274289707083E-6</v>
      </c>
      <c r="N122">
        <v>0</v>
      </c>
      <c r="O122" s="1">
        <v>3.1565279036669299E-14</v>
      </c>
      <c r="P122">
        <v>0</v>
      </c>
      <c r="Q122">
        <v>100</v>
      </c>
      <c r="AJ122">
        <v>1</v>
      </c>
    </row>
    <row r="123" spans="1:36" x14ac:dyDescent="0.2">
      <c r="A123">
        <v>128</v>
      </c>
      <c r="B123">
        <v>762</v>
      </c>
      <c r="C123">
        <v>200</v>
      </c>
      <c r="D123">
        <v>0.38605081389170998</v>
      </c>
      <c r="E123">
        <v>0.25166749389080201</v>
      </c>
      <c r="F123">
        <v>2.5414849045122199</v>
      </c>
      <c r="G123">
        <v>-4.1137137951032319</v>
      </c>
      <c r="H123">
        <v>-3.5993117701038626</v>
      </c>
      <c r="I123">
        <v>0.49693476790742303</v>
      </c>
      <c r="J123">
        <v>0.29183645628084398</v>
      </c>
      <c r="K123">
        <v>9.9023800394794595E-2</v>
      </c>
      <c r="L123">
        <v>0</v>
      </c>
      <c r="M123">
        <v>1.2382274289707085E-6</v>
      </c>
      <c r="N123">
        <v>0</v>
      </c>
      <c r="O123" s="1">
        <v>1.40704145482721E-13</v>
      </c>
      <c r="P123">
        <v>0</v>
      </c>
      <c r="Q123">
        <v>100</v>
      </c>
      <c r="AJ123">
        <v>1</v>
      </c>
    </row>
    <row r="124" spans="1:36" x14ac:dyDescent="0.2">
      <c r="A124">
        <v>129</v>
      </c>
      <c r="B124">
        <v>761</v>
      </c>
      <c r="C124">
        <v>200</v>
      </c>
      <c r="D124">
        <v>0.38538945027317301</v>
      </c>
      <c r="E124">
        <v>0.44598113607283602</v>
      </c>
      <c r="F124">
        <v>2.5414849045122199</v>
      </c>
      <c r="G124">
        <v>-7.2890509728160389</v>
      </c>
      <c r="H124">
        <v>-6.378874255462212</v>
      </c>
      <c r="I124">
        <v>0.88012059890134398</v>
      </c>
      <c r="J124">
        <v>0.51709995900633698</v>
      </c>
      <c r="K124">
        <v>0.17548053709901201</v>
      </c>
      <c r="L124">
        <v>0</v>
      </c>
      <c r="M124">
        <v>1.2382274289707083E-6</v>
      </c>
      <c r="N124">
        <v>0</v>
      </c>
      <c r="O124" s="1">
        <v>2.4934247042555898E-13</v>
      </c>
      <c r="P124">
        <v>0</v>
      </c>
      <c r="Q124">
        <v>100</v>
      </c>
      <c r="AJ124">
        <v>1</v>
      </c>
    </row>
    <row r="125" spans="1:36" x14ac:dyDescent="0.2">
      <c r="A125">
        <v>130</v>
      </c>
      <c r="B125">
        <v>760</v>
      </c>
      <c r="C125">
        <v>200</v>
      </c>
      <c r="D125">
        <v>0.38472680636887402</v>
      </c>
      <c r="E125">
        <v>0.63940627559722696</v>
      </c>
      <c r="F125">
        <v>2.5414849045122199</v>
      </c>
      <c r="G125">
        <v>-10.449101909268869</v>
      </c>
      <c r="H125">
        <v>-9.1461779803451932</v>
      </c>
      <c r="I125">
        <v>1.2611178714839799</v>
      </c>
      <c r="J125">
        <v>0.74127675047767405</v>
      </c>
      <c r="K125">
        <v>0.25158767398618298</v>
      </c>
      <c r="L125">
        <v>0</v>
      </c>
      <c r="M125">
        <v>1.2382274289707083E-6</v>
      </c>
      <c r="N125">
        <v>0</v>
      </c>
      <c r="O125" s="1">
        <v>3.5748404465470599E-13</v>
      </c>
      <c r="P125">
        <v>0</v>
      </c>
      <c r="Q125">
        <v>100</v>
      </c>
      <c r="AJ125">
        <v>1</v>
      </c>
    </row>
    <row r="126" spans="1:36" x14ac:dyDescent="0.2">
      <c r="A126">
        <v>131</v>
      </c>
      <c r="B126">
        <v>759</v>
      </c>
      <c r="C126">
        <v>200</v>
      </c>
      <c r="D126">
        <v>0.38406287845759102</v>
      </c>
      <c r="E126">
        <v>0.83194962073511203</v>
      </c>
      <c r="F126">
        <v>2.5414849045122199</v>
      </c>
      <c r="G126">
        <v>-13.593982127134373</v>
      </c>
      <c r="H126">
        <v>-11.901315733786415</v>
      </c>
      <c r="I126">
        <v>1.6399422500101299</v>
      </c>
      <c r="J126">
        <v>0.96437481180208395</v>
      </c>
      <c r="K126">
        <v>0.32734785056485899</v>
      </c>
      <c r="L126">
        <v>0</v>
      </c>
      <c r="M126">
        <v>1.2382274289707083E-6</v>
      </c>
      <c r="N126">
        <v>0</v>
      </c>
      <c r="O126" s="1">
        <v>4.6513261868058302E-13</v>
      </c>
      <c r="P126">
        <v>0</v>
      </c>
      <c r="Q126">
        <v>100</v>
      </c>
      <c r="AJ126">
        <v>1</v>
      </c>
    </row>
    <row r="127" spans="1:36" x14ac:dyDescent="0.2">
      <c r="A127">
        <v>132</v>
      </c>
      <c r="B127">
        <v>758</v>
      </c>
      <c r="C127">
        <v>200</v>
      </c>
      <c r="D127">
        <v>0.383397662803666</v>
      </c>
      <c r="E127">
        <v>1.0236178133565199</v>
      </c>
      <c r="F127">
        <v>2.5414849045122199</v>
      </c>
      <c r="G127">
        <v>-16.723806006098016</v>
      </c>
      <c r="H127">
        <v>-14.644379386488117</v>
      </c>
      <c r="I127">
        <v>2.0166092417299999</v>
      </c>
      <c r="J127">
        <v>1.18640204409818</v>
      </c>
      <c r="K127">
        <v>0.40276368021669701</v>
      </c>
      <c r="L127">
        <v>0</v>
      </c>
      <c r="M127">
        <v>1.2382274289707085E-6</v>
      </c>
      <c r="N127">
        <v>0</v>
      </c>
      <c r="O127" s="1">
        <v>5.7229190588958298E-13</v>
      </c>
      <c r="P127">
        <v>0</v>
      </c>
      <c r="Q127">
        <v>100</v>
      </c>
      <c r="AJ127">
        <v>1</v>
      </c>
    </row>
    <row r="128" spans="1:36" x14ac:dyDescent="0.2">
      <c r="A128">
        <v>133</v>
      </c>
      <c r="B128">
        <v>757</v>
      </c>
      <c r="C128">
        <v>200</v>
      </c>
      <c r="D128">
        <v>0.38273115565694399</v>
      </c>
      <c r="E128">
        <v>1.30020314354786</v>
      </c>
      <c r="F128">
        <v>2.5414849045122199</v>
      </c>
      <c r="G128">
        <v>-21.240079650858807</v>
      </c>
      <c r="H128">
        <v>-18.602851895844847</v>
      </c>
      <c r="I128">
        <v>2.5600424744104799</v>
      </c>
      <c r="J128">
        <v>1.5067817727841299</v>
      </c>
      <c r="K128">
        <v>0.51159192062854597</v>
      </c>
      <c r="L128">
        <v>0</v>
      </c>
      <c r="M128">
        <v>1.2382274289707083E-6</v>
      </c>
      <c r="N128">
        <v>0</v>
      </c>
      <c r="O128" s="1">
        <v>7.2692730172864599E-13</v>
      </c>
      <c r="P128">
        <v>0</v>
      </c>
      <c r="Q128">
        <v>100</v>
      </c>
      <c r="AJ128">
        <v>1</v>
      </c>
    </row>
    <row r="129" spans="1:36" x14ac:dyDescent="0.2">
      <c r="A129">
        <v>134</v>
      </c>
      <c r="B129">
        <v>756</v>
      </c>
      <c r="C129">
        <v>200</v>
      </c>
      <c r="D129">
        <v>0.38206335325268598</v>
      </c>
      <c r="E129">
        <v>2.1474926675284198</v>
      </c>
      <c r="F129">
        <v>2.5414849045122199</v>
      </c>
      <c r="G129">
        <v>-35.077148853862269</v>
      </c>
      <c r="H129">
        <v>-30.728062639742923</v>
      </c>
      <c r="I129">
        <v>4.2259011943053499</v>
      </c>
      <c r="J129">
        <v>2.4883748589295802</v>
      </c>
      <c r="K129">
        <v>0.84497557460038797</v>
      </c>
      <c r="L129">
        <v>0</v>
      </c>
      <c r="M129">
        <v>1.2382274289707083E-6</v>
      </c>
      <c r="N129">
        <v>0</v>
      </c>
      <c r="O129" s="1">
        <v>1.2006362682901901E-12</v>
      </c>
      <c r="P129">
        <v>0</v>
      </c>
      <c r="Q129">
        <v>100</v>
      </c>
      <c r="AJ129">
        <v>1</v>
      </c>
    </row>
    <row r="130" spans="1:36" x14ac:dyDescent="0.2">
      <c r="A130">
        <v>135</v>
      </c>
      <c r="B130">
        <v>755</v>
      </c>
      <c r="C130">
        <v>200</v>
      </c>
      <c r="D130">
        <v>0.38139425181150599</v>
      </c>
      <c r="E130">
        <v>3.03336030420907</v>
      </c>
      <c r="F130">
        <v>2.5414849045122199</v>
      </c>
      <c r="G130">
        <v>-49.540944895450629</v>
      </c>
      <c r="H130">
        <v>-43.407288185215187</v>
      </c>
      <c r="I130">
        <v>5.96572164590326</v>
      </c>
      <c r="J130">
        <v>3.51441429443509</v>
      </c>
      <c r="K130">
        <v>1.1935385879426399</v>
      </c>
      <c r="L130">
        <v>0</v>
      </c>
      <c r="M130">
        <v>1.2382274289707083E-6</v>
      </c>
      <c r="N130">
        <v>0</v>
      </c>
      <c r="O130" s="1">
        <v>1.69591377474493E-12</v>
      </c>
      <c r="P130">
        <v>0</v>
      </c>
      <c r="Q130">
        <v>100</v>
      </c>
      <c r="AJ130">
        <v>1</v>
      </c>
    </row>
    <row r="131" spans="1:36" x14ac:dyDescent="0.2">
      <c r="A131">
        <v>136</v>
      </c>
      <c r="B131">
        <v>754</v>
      </c>
      <c r="C131">
        <v>200</v>
      </c>
      <c r="D131">
        <v>0.38072384753930699</v>
      </c>
      <c r="E131">
        <v>3.9902531232030798</v>
      </c>
      <c r="F131">
        <v>2.5414849045122199</v>
      </c>
      <c r="G131">
        <v>-65.16110595350473</v>
      </c>
      <c r="H131">
        <v>-57.105016348006828</v>
      </c>
      <c r="I131">
        <v>7.8431481336687803</v>
      </c>
      <c r="J131">
        <v>4.6224701909666601</v>
      </c>
      <c r="K131">
        <v>1.5700479338353199</v>
      </c>
      <c r="L131">
        <v>0</v>
      </c>
      <c r="M131">
        <v>1.2382274289707085E-6</v>
      </c>
      <c r="N131">
        <v>0</v>
      </c>
      <c r="O131" s="1">
        <v>2.23090057154406E-12</v>
      </c>
      <c r="P131">
        <v>0</v>
      </c>
      <c r="Q131">
        <v>100</v>
      </c>
      <c r="AJ131">
        <v>1</v>
      </c>
    </row>
    <row r="132" spans="1:36" x14ac:dyDescent="0.2">
      <c r="A132">
        <v>137</v>
      </c>
      <c r="B132">
        <v>753</v>
      </c>
      <c r="C132">
        <v>200</v>
      </c>
      <c r="D132">
        <v>0.380052136627202</v>
      </c>
      <c r="E132">
        <v>8.7900631400407594</v>
      </c>
      <c r="F132">
        <v>2.5414849045122199</v>
      </c>
      <c r="G132">
        <v>-143.52505867187784</v>
      </c>
      <c r="H132">
        <v>-125.80588574864566</v>
      </c>
      <c r="I132">
        <v>17.2676245414726</v>
      </c>
      <c r="J132">
        <v>10.1814646019976</v>
      </c>
      <c r="K132">
        <v>3.4586328348575401</v>
      </c>
      <c r="L132">
        <v>0</v>
      </c>
      <c r="M132">
        <v>1.2382274289707083E-6</v>
      </c>
      <c r="N132">
        <v>0</v>
      </c>
      <c r="O132" s="1">
        <v>4.914414268357E-12</v>
      </c>
      <c r="P132">
        <v>0</v>
      </c>
      <c r="Q132">
        <v>100</v>
      </c>
      <c r="AJ132">
        <v>1</v>
      </c>
    </row>
    <row r="133" spans="1:36" x14ac:dyDescent="0.2">
      <c r="A133">
        <v>138</v>
      </c>
      <c r="B133">
        <v>752</v>
      </c>
      <c r="C133">
        <v>200</v>
      </c>
      <c r="D133">
        <v>0.37937911525142798</v>
      </c>
      <c r="E133">
        <v>18.730215115895199</v>
      </c>
      <c r="F133">
        <v>2.5414849045122199</v>
      </c>
      <c r="G133">
        <v>-305.79210265581469</v>
      </c>
      <c r="H133">
        <v>-268.09386396972212</v>
      </c>
      <c r="I133">
        <v>36.773387978434798</v>
      </c>
      <c r="J133">
        <v>21.692294227630502</v>
      </c>
      <c r="K133">
        <v>7.3697919994099301</v>
      </c>
      <c r="L133">
        <v>0</v>
      </c>
      <c r="M133">
        <v>1.2382274289707083E-6</v>
      </c>
      <c r="N133">
        <v>0</v>
      </c>
      <c r="O133" s="1">
        <v>1.04718288081062E-11</v>
      </c>
      <c r="P133">
        <v>0</v>
      </c>
      <c r="Q133">
        <v>100</v>
      </c>
      <c r="AJ133">
        <v>1</v>
      </c>
    </row>
    <row r="134" spans="1:36" x14ac:dyDescent="0.2">
      <c r="A134">
        <v>139</v>
      </c>
      <c r="B134">
        <v>751</v>
      </c>
      <c r="C134">
        <v>200</v>
      </c>
      <c r="D134">
        <v>0.378704779573308</v>
      </c>
      <c r="E134">
        <v>27.532340387778401</v>
      </c>
      <c r="F134">
        <v>2.5414849045122199</v>
      </c>
      <c r="G134">
        <v>-449.44278749961717</v>
      </c>
      <c r="H134">
        <v>-394.11446555102145</v>
      </c>
      <c r="I134">
        <v>54.023650782205301</v>
      </c>
      <c r="J134">
        <v>31.882339586711801</v>
      </c>
      <c r="K134">
        <v>10.8331709304654</v>
      </c>
      <c r="L134">
        <v>0</v>
      </c>
      <c r="M134">
        <v>1.2382274289707087E-6</v>
      </c>
      <c r="N134">
        <v>0</v>
      </c>
      <c r="O134" s="1">
        <v>1.53929868633836E-11</v>
      </c>
      <c r="P134">
        <v>0</v>
      </c>
      <c r="Q134">
        <v>100</v>
      </c>
      <c r="AJ134">
        <v>1</v>
      </c>
    </row>
    <row r="135" spans="1:36" x14ac:dyDescent="0.2">
      <c r="A135">
        <v>140</v>
      </c>
      <c r="B135">
        <v>750</v>
      </c>
      <c r="C135">
        <v>200</v>
      </c>
      <c r="D135">
        <v>0.37802912573913899</v>
      </c>
      <c r="E135">
        <v>30.9363185845671</v>
      </c>
      <c r="F135">
        <v>2.5414849045122199</v>
      </c>
      <c r="G135">
        <v>-504.94924342108953</v>
      </c>
      <c r="H135">
        <v>-442.87687687340173</v>
      </c>
      <c r="I135">
        <v>60.667904557188798</v>
      </c>
      <c r="J135">
        <v>35.8195303864252</v>
      </c>
      <c r="K135">
        <v>12.1725368227219</v>
      </c>
      <c r="L135">
        <v>0</v>
      </c>
      <c r="M135">
        <v>1.2382274289707085E-6</v>
      </c>
      <c r="N135">
        <v>0</v>
      </c>
      <c r="O135" s="1">
        <v>1.7296108462507499E-11</v>
      </c>
      <c r="P135">
        <v>0</v>
      </c>
      <c r="Q135">
        <v>100</v>
      </c>
      <c r="AJ135">
        <v>1</v>
      </c>
    </row>
    <row r="136" spans="1:36" x14ac:dyDescent="0.2">
      <c r="A136">
        <v>141</v>
      </c>
      <c r="B136">
        <v>749</v>
      </c>
      <c r="C136">
        <v>200</v>
      </c>
      <c r="D136">
        <v>0.37735214988015597</v>
      </c>
      <c r="E136">
        <v>32.168397397667697</v>
      </c>
      <c r="F136">
        <v>2.5414849045122199</v>
      </c>
      <c r="G136">
        <v>-524.99643283711941</v>
      </c>
      <c r="H136">
        <v>-460.5522637505577</v>
      </c>
      <c r="I136">
        <v>63.047663343503103</v>
      </c>
      <c r="J136">
        <v>37.241293378228498</v>
      </c>
      <c r="K136">
        <v>12.657323811192001</v>
      </c>
      <c r="L136">
        <v>0</v>
      </c>
      <c r="M136">
        <v>1.2382274289707085E-6</v>
      </c>
      <c r="N136">
        <v>0</v>
      </c>
      <c r="O136" s="1">
        <v>1.7984948303857501E-11</v>
      </c>
      <c r="P136">
        <v>0</v>
      </c>
      <c r="Q136">
        <v>100</v>
      </c>
      <c r="AJ136">
        <v>1</v>
      </c>
    </row>
    <row r="137" spans="1:36" x14ac:dyDescent="0.2">
      <c r="A137">
        <v>143</v>
      </c>
      <c r="B137">
        <v>764</v>
      </c>
      <c r="C137">
        <v>180</v>
      </c>
      <c r="D137">
        <v>0.40858169020874802</v>
      </c>
      <c r="E137">
        <v>6.6097845125666896E-2</v>
      </c>
      <c r="F137">
        <v>2.5408556008859402</v>
      </c>
      <c r="G137">
        <v>-1.0812054604402717</v>
      </c>
      <c r="H137">
        <v>-0.94568863592310037</v>
      </c>
      <c r="I137">
        <v>0.130662705025474</v>
      </c>
      <c r="J137">
        <v>7.6666945010636395E-2</v>
      </c>
      <c r="K137">
        <v>2.6014010832657999E-2</v>
      </c>
      <c r="L137">
        <v>0</v>
      </c>
      <c r="M137">
        <v>1.2382049403983212E-6</v>
      </c>
      <c r="N137">
        <v>0</v>
      </c>
      <c r="O137" s="1">
        <v>3.6954477802729602E-14</v>
      </c>
      <c r="P137">
        <v>0</v>
      </c>
      <c r="Q137">
        <v>100</v>
      </c>
      <c r="AJ137">
        <v>1</v>
      </c>
    </row>
    <row r="138" spans="1:36" x14ac:dyDescent="0.2">
      <c r="A138">
        <v>144</v>
      </c>
      <c r="B138">
        <v>763</v>
      </c>
      <c r="C138">
        <v>180</v>
      </c>
      <c r="D138">
        <v>0.40794334797085602</v>
      </c>
      <c r="E138">
        <v>0.25513172719430599</v>
      </c>
      <c r="F138">
        <v>2.5408556008859402</v>
      </c>
      <c r="G138">
        <v>-4.1728514640749514</v>
      </c>
      <c r="H138">
        <v>-3.6505688432558023</v>
      </c>
      <c r="I138">
        <v>0.50406082210022596</v>
      </c>
      <c r="J138">
        <v>0.29589060014443702</v>
      </c>
      <c r="K138">
        <v>0.10041173811898101</v>
      </c>
      <c r="L138">
        <v>0</v>
      </c>
      <c r="M138">
        <v>1.238204940398321E-6</v>
      </c>
      <c r="N138">
        <v>0</v>
      </c>
      <c r="O138" s="1">
        <v>1.4264095495774199E-13</v>
      </c>
      <c r="P138">
        <v>0</v>
      </c>
      <c r="Q138">
        <v>100</v>
      </c>
      <c r="AJ138">
        <v>1</v>
      </c>
    </row>
    <row r="139" spans="1:36" x14ac:dyDescent="0.2">
      <c r="A139">
        <v>145</v>
      </c>
      <c r="B139">
        <v>762</v>
      </c>
      <c r="C139">
        <v>180</v>
      </c>
      <c r="D139">
        <v>0.40730377240013699</v>
      </c>
      <c r="E139">
        <v>0.83806938862207803</v>
      </c>
      <c r="F139">
        <v>2.5408556008859402</v>
      </c>
      <c r="G139">
        <v>-13.705534766344863</v>
      </c>
      <c r="H139">
        <v>-11.992542023689605</v>
      </c>
      <c r="I139">
        <v>1.65482562204053</v>
      </c>
      <c r="J139">
        <v>0.97183468834891895</v>
      </c>
      <c r="K139">
        <v>0.329837472200254</v>
      </c>
      <c r="L139">
        <v>0</v>
      </c>
      <c r="M139">
        <v>1.238204940398321E-6</v>
      </c>
      <c r="N139">
        <v>0</v>
      </c>
      <c r="O139" s="1">
        <v>4.6855410429946803E-13</v>
      </c>
      <c r="P139">
        <v>0</v>
      </c>
      <c r="Q139">
        <v>100</v>
      </c>
      <c r="AJ139">
        <v>1</v>
      </c>
    </row>
    <row r="140" spans="1:36" x14ac:dyDescent="0.2">
      <c r="A140">
        <v>146</v>
      </c>
      <c r="B140">
        <v>761</v>
      </c>
      <c r="C140">
        <v>180</v>
      </c>
      <c r="D140">
        <v>0.40666295991877599</v>
      </c>
      <c r="E140">
        <v>1.68777054181165</v>
      </c>
      <c r="F140">
        <v>2.5408556008859402</v>
      </c>
      <c r="G140">
        <v>-27.597960239299944</v>
      </c>
      <c r="H140">
        <v>-24.153488428407616</v>
      </c>
      <c r="I140">
        <v>3.3307274678647398</v>
      </c>
      <c r="J140">
        <v>1.95691254044515</v>
      </c>
      <c r="K140">
        <v>0.66425283720301298</v>
      </c>
      <c r="L140">
        <v>0</v>
      </c>
      <c r="M140">
        <v>1.2382049403983212E-6</v>
      </c>
      <c r="N140">
        <v>0</v>
      </c>
      <c r="O140" s="1">
        <v>9.436113825632149E-13</v>
      </c>
      <c r="P140">
        <v>0</v>
      </c>
      <c r="Q140">
        <v>100</v>
      </c>
      <c r="AJ140">
        <v>1</v>
      </c>
    </row>
    <row r="141" spans="1:36" x14ac:dyDescent="0.2">
      <c r="A141">
        <v>147</v>
      </c>
      <c r="B141">
        <v>760</v>
      </c>
      <c r="C141">
        <v>180</v>
      </c>
      <c r="D141">
        <v>0.40602090693510101</v>
      </c>
      <c r="E141">
        <v>2.5716999329503198</v>
      </c>
      <c r="F141">
        <v>2.5408556008859402</v>
      </c>
      <c r="G141">
        <v>-42.046657138048154</v>
      </c>
      <c r="H141">
        <v>-36.806281013302289</v>
      </c>
      <c r="I141">
        <v>5.0722316456912004</v>
      </c>
      <c r="J141">
        <v>2.9814242403555902</v>
      </c>
      <c r="K141">
        <v>1.0121393486720001</v>
      </c>
      <c r="L141">
        <v>0</v>
      </c>
      <c r="M141">
        <v>1.2382049403983212E-6</v>
      </c>
      <c r="N141">
        <v>0</v>
      </c>
      <c r="O141" s="1">
        <v>1.43780524019821E-12</v>
      </c>
      <c r="P141">
        <v>0</v>
      </c>
      <c r="Q141">
        <v>100</v>
      </c>
      <c r="AJ141">
        <v>1</v>
      </c>
    </row>
    <row r="142" spans="1:36" x14ac:dyDescent="0.2">
      <c r="A142">
        <v>148</v>
      </c>
      <c r="B142">
        <v>759</v>
      </c>
      <c r="C142">
        <v>180</v>
      </c>
      <c r="D142">
        <v>0.40537760984353299</v>
      </c>
      <c r="E142">
        <v>3.5155197883928202</v>
      </c>
      <c r="F142">
        <v>2.5408556008859402</v>
      </c>
      <c r="G142">
        <v>-57.470946300565181</v>
      </c>
      <c r="H142">
        <v>-50.318347089444316</v>
      </c>
      <c r="I142">
        <v>6.9298059498337103</v>
      </c>
      <c r="J142">
        <v>4.07510100349847</v>
      </c>
      <c r="K142">
        <v>1.38359684319212</v>
      </c>
      <c r="L142">
        <v>0</v>
      </c>
      <c r="M142">
        <v>1.238204940398321E-6</v>
      </c>
      <c r="N142">
        <v>0</v>
      </c>
      <c r="O142" s="1">
        <v>1.96548310672191E-12</v>
      </c>
      <c r="P142">
        <v>0</v>
      </c>
      <c r="Q142">
        <v>100</v>
      </c>
      <c r="AJ142">
        <v>1</v>
      </c>
    </row>
    <row r="143" spans="1:36" x14ac:dyDescent="0.2">
      <c r="A143">
        <v>149</v>
      </c>
      <c r="B143">
        <v>758</v>
      </c>
      <c r="C143">
        <v>180</v>
      </c>
      <c r="D143">
        <v>0.40473306502448703</v>
      </c>
      <c r="E143">
        <v>4.5813001012284102</v>
      </c>
      <c r="F143">
        <v>2.5408556008859402</v>
      </c>
      <c r="G143">
        <v>-74.885060951552077</v>
      </c>
      <c r="H143">
        <v>-65.578386860293534</v>
      </c>
      <c r="I143">
        <v>9.0255288670499194</v>
      </c>
      <c r="J143">
        <v>5.3098566025359801</v>
      </c>
      <c r="K143">
        <v>1.8030540970651701</v>
      </c>
      <c r="L143">
        <v>0</v>
      </c>
      <c r="M143">
        <v>1.2382049403983212E-6</v>
      </c>
      <c r="N143">
        <v>0</v>
      </c>
      <c r="O143" s="1">
        <v>2.5613475382837601E-12</v>
      </c>
      <c r="P143">
        <v>0</v>
      </c>
      <c r="Q143">
        <v>100</v>
      </c>
      <c r="AJ143">
        <v>1</v>
      </c>
    </row>
    <row r="144" spans="1:36" x14ac:dyDescent="0.2">
      <c r="A144">
        <v>150</v>
      </c>
      <c r="B144">
        <v>757</v>
      </c>
      <c r="C144">
        <v>180</v>
      </c>
      <c r="D144">
        <v>0.40408726884434598</v>
      </c>
      <c r="E144">
        <v>10.521546332394999</v>
      </c>
      <c r="F144">
        <v>2.5408556008859402</v>
      </c>
      <c r="G144">
        <v>-171.96247475084812</v>
      </c>
      <c r="H144">
        <v>-150.62141420107716</v>
      </c>
      <c r="I144">
        <v>20.716459301821001</v>
      </c>
      <c r="J144">
        <v>12.193228661097301</v>
      </c>
      <c r="K144">
        <v>4.1409461949456698</v>
      </c>
      <c r="L144">
        <v>0</v>
      </c>
      <c r="M144">
        <v>1.2382049403983215E-6</v>
      </c>
      <c r="N144">
        <v>0</v>
      </c>
      <c r="O144" s="1">
        <v>5.8824648466474696E-12</v>
      </c>
      <c r="P144">
        <v>0</v>
      </c>
      <c r="Q144">
        <v>100</v>
      </c>
      <c r="AJ144">
        <v>1</v>
      </c>
    </row>
    <row r="145" spans="1:36" x14ac:dyDescent="0.2">
      <c r="A145">
        <v>151</v>
      </c>
      <c r="B145">
        <v>756</v>
      </c>
      <c r="C145">
        <v>180</v>
      </c>
      <c r="D145">
        <v>0.40344021765534699</v>
      </c>
      <c r="E145">
        <v>21.802625652816999</v>
      </c>
      <c r="F145">
        <v>2.5408556008859402</v>
      </c>
      <c r="G145">
        <v>-356.29571935103633</v>
      </c>
      <c r="H145">
        <v>-312.14120367233892</v>
      </c>
      <c r="I145">
        <v>42.903867928579302</v>
      </c>
      <c r="J145">
        <v>25.263464855302001</v>
      </c>
      <c r="K145">
        <v>8.5808204312023708</v>
      </c>
      <c r="L145">
        <v>0</v>
      </c>
      <c r="M145">
        <v>1.238204940398321E-6</v>
      </c>
      <c r="N145">
        <v>0</v>
      </c>
      <c r="O145" s="1">
        <v>1.21895750791334E-11</v>
      </c>
      <c r="P145">
        <v>0</v>
      </c>
      <c r="Q145">
        <v>100</v>
      </c>
      <c r="AJ145">
        <v>1</v>
      </c>
    </row>
    <row r="146" spans="1:36" x14ac:dyDescent="0.2">
      <c r="A146">
        <v>152</v>
      </c>
      <c r="B146">
        <v>755</v>
      </c>
      <c r="C146">
        <v>180</v>
      </c>
      <c r="D146">
        <v>0.40279190779555302</v>
      </c>
      <c r="E146">
        <v>28.4359354844512</v>
      </c>
      <c r="F146">
        <v>2.5408556008859402</v>
      </c>
      <c r="G146">
        <v>-464.64047898021465</v>
      </c>
      <c r="H146">
        <v>-407.14112215998875</v>
      </c>
      <c r="I146">
        <v>55.925066206512497</v>
      </c>
      <c r="J146">
        <v>32.945528430473303</v>
      </c>
      <c r="K146">
        <v>11.191480332269199</v>
      </c>
      <c r="L146">
        <v>0</v>
      </c>
      <c r="M146">
        <v>1.2382049403983212E-6</v>
      </c>
      <c r="N146">
        <v>0</v>
      </c>
      <c r="O146" s="1">
        <v>1.5898175570809101E-11</v>
      </c>
      <c r="P146">
        <v>0</v>
      </c>
      <c r="Q146">
        <v>100</v>
      </c>
      <c r="AJ146">
        <v>1</v>
      </c>
    </row>
    <row r="147" spans="1:36" x14ac:dyDescent="0.2">
      <c r="A147">
        <v>153</v>
      </c>
      <c r="B147">
        <v>754</v>
      </c>
      <c r="C147">
        <v>180</v>
      </c>
      <c r="D147">
        <v>0.402142335588766</v>
      </c>
      <c r="E147">
        <v>31.097385760683999</v>
      </c>
      <c r="F147">
        <v>2.5408556008859402</v>
      </c>
      <c r="G147">
        <v>-508.06718132393127</v>
      </c>
      <c r="H147">
        <v>-445.28336324281088</v>
      </c>
      <c r="I147">
        <v>61.124293512262398</v>
      </c>
      <c r="J147">
        <v>36.024466182326698</v>
      </c>
      <c r="K147">
        <v>12.238942563222</v>
      </c>
      <c r="L147">
        <v>0</v>
      </c>
      <c r="M147">
        <v>1.2382049403983212E-6</v>
      </c>
      <c r="N147">
        <v>0</v>
      </c>
      <c r="O147" s="1">
        <v>1.7386159104449699E-11</v>
      </c>
      <c r="P147">
        <v>0</v>
      </c>
      <c r="Q147">
        <v>100</v>
      </c>
      <c r="AJ147">
        <v>1</v>
      </c>
    </row>
    <row r="148" spans="1:36" x14ac:dyDescent="0.2">
      <c r="A148">
        <v>154</v>
      </c>
      <c r="B148">
        <v>753</v>
      </c>
      <c r="C148">
        <v>180</v>
      </c>
      <c r="D148">
        <v>0.401491497344444</v>
      </c>
      <c r="E148">
        <v>32.201352731456403</v>
      </c>
      <c r="F148">
        <v>2.5408556008859402</v>
      </c>
      <c r="G148">
        <v>-526.04044992364084</v>
      </c>
      <c r="H148">
        <v>-461.12836359157086</v>
      </c>
      <c r="I148">
        <v>63.257892444642501</v>
      </c>
      <c r="J148">
        <v>37.298586796072101</v>
      </c>
      <c r="K148">
        <v>12.673428871844701</v>
      </c>
      <c r="L148">
        <v>0</v>
      </c>
      <c r="M148">
        <v>1.2382049403983215E-6</v>
      </c>
      <c r="N148">
        <v>0</v>
      </c>
      <c r="O148" s="1">
        <v>1.8003373218446801E-11</v>
      </c>
      <c r="P148">
        <v>0</v>
      </c>
      <c r="Q148">
        <v>100</v>
      </c>
      <c r="AJ148">
        <v>1</v>
      </c>
    </row>
    <row r="149" spans="1:36" x14ac:dyDescent="0.2">
      <c r="A149">
        <v>158</v>
      </c>
      <c r="B149">
        <v>768</v>
      </c>
      <c r="C149">
        <v>160</v>
      </c>
      <c r="D149">
        <v>0.43225327762570398</v>
      </c>
      <c r="E149">
        <v>0.21238237917799399</v>
      </c>
      <c r="F149">
        <v>2.5402264645234101</v>
      </c>
      <c r="G149">
        <v>-3.4774299668145163</v>
      </c>
      <c r="H149">
        <v>-3.0393270325005854</v>
      </c>
      <c r="I149">
        <v>0.42078752755504001</v>
      </c>
      <c r="J149">
        <v>0.24646470821029001</v>
      </c>
      <c r="K149">
        <v>8.3607655515800697E-2</v>
      </c>
      <c r="L149">
        <v>0</v>
      </c>
      <c r="M149">
        <v>1.2381823926209778E-6</v>
      </c>
      <c r="N149">
        <v>0</v>
      </c>
      <c r="O149" s="1">
        <v>1.1874032961441199E-13</v>
      </c>
      <c r="P149">
        <v>0</v>
      </c>
      <c r="Q149">
        <v>100</v>
      </c>
      <c r="AJ149">
        <v>1</v>
      </c>
    </row>
    <row r="150" spans="1:36" x14ac:dyDescent="0.2">
      <c r="A150">
        <v>159</v>
      </c>
      <c r="B150">
        <v>767</v>
      </c>
      <c r="C150">
        <v>160</v>
      </c>
      <c r="D150">
        <v>0.43164014805557099</v>
      </c>
      <c r="E150">
        <v>1.0558407581821401</v>
      </c>
      <c r="F150">
        <v>2.5402264645234101</v>
      </c>
      <c r="G150">
        <v>-17.285653109639313</v>
      </c>
      <c r="H150">
        <v>-15.110978519935319</v>
      </c>
      <c r="I150">
        <v>2.0907317114877499</v>
      </c>
      <c r="J150">
        <v>1.2251267274012201</v>
      </c>
      <c r="K150">
        <v>0.41564827897352002</v>
      </c>
      <c r="L150">
        <v>0</v>
      </c>
      <c r="M150">
        <v>1.2381823926209778E-6</v>
      </c>
      <c r="N150">
        <v>0</v>
      </c>
      <c r="O150" s="1">
        <v>5.9030735097758897E-13</v>
      </c>
      <c r="P150">
        <v>0</v>
      </c>
      <c r="Q150">
        <v>100</v>
      </c>
      <c r="AJ150">
        <v>1</v>
      </c>
    </row>
    <row r="151" spans="1:36" x14ac:dyDescent="0.2">
      <c r="A151">
        <v>160</v>
      </c>
      <c r="B151">
        <v>766</v>
      </c>
      <c r="C151">
        <v>160</v>
      </c>
      <c r="D151">
        <v>0.43102583842564002</v>
      </c>
      <c r="E151">
        <v>1.9261651583116299</v>
      </c>
      <c r="F151">
        <v>2.5402264645234101</v>
      </c>
      <c r="G151">
        <v>-31.530319833322871</v>
      </c>
      <c r="H151">
        <v>-27.569119450886234</v>
      </c>
      <c r="I151">
        <v>3.8119620674942301</v>
      </c>
      <c r="J151">
        <v>2.2347159324507899</v>
      </c>
      <c r="K151">
        <v>0.75826513313371702</v>
      </c>
      <c r="L151">
        <v>0</v>
      </c>
      <c r="M151">
        <v>1.2381823926209778E-6</v>
      </c>
      <c r="N151">
        <v>0</v>
      </c>
      <c r="O151" s="1">
        <v>1.0768948284454399E-12</v>
      </c>
      <c r="P151">
        <v>0</v>
      </c>
      <c r="Q151">
        <v>100</v>
      </c>
      <c r="AJ151">
        <v>1</v>
      </c>
    </row>
    <row r="152" spans="1:36" x14ac:dyDescent="0.2">
      <c r="A152">
        <v>161</v>
      </c>
      <c r="B152">
        <v>765</v>
      </c>
      <c r="C152">
        <v>160</v>
      </c>
      <c r="D152">
        <v>0.43041034532582101</v>
      </c>
      <c r="E152">
        <v>2.8409514232477902</v>
      </c>
      <c r="F152">
        <v>2.5402264645234101</v>
      </c>
      <c r="G152">
        <v>-46.499273479229025</v>
      </c>
      <c r="H152">
        <v>-40.665711935037315</v>
      </c>
      <c r="I152">
        <v>5.6191894660614601</v>
      </c>
      <c r="J152">
        <v>3.2956319075098399</v>
      </c>
      <c r="K152">
        <v>1.1183850979132199</v>
      </c>
      <c r="L152">
        <v>0</v>
      </c>
      <c r="M152">
        <v>1.238182392620978E-6</v>
      </c>
      <c r="N152">
        <v>0</v>
      </c>
      <c r="O152" s="1">
        <v>1.5883403779569799E-12</v>
      </c>
      <c r="P152">
        <v>0</v>
      </c>
      <c r="Q152">
        <v>100</v>
      </c>
      <c r="AJ152">
        <v>1</v>
      </c>
    </row>
    <row r="153" spans="1:36" x14ac:dyDescent="0.2">
      <c r="A153">
        <v>162</v>
      </c>
      <c r="B153">
        <v>764</v>
      </c>
      <c r="C153">
        <v>160</v>
      </c>
      <c r="D153">
        <v>0.42979366533288699</v>
      </c>
      <c r="E153">
        <v>3.8358013015934298</v>
      </c>
      <c r="F153">
        <v>2.5402264645234101</v>
      </c>
      <c r="G153">
        <v>-62.774894449533591</v>
      </c>
      <c r="H153">
        <v>-54.91055922222796</v>
      </c>
      <c r="I153">
        <v>7.5826401458859598</v>
      </c>
      <c r="J153">
        <v>4.4491490895335497</v>
      </c>
      <c r="K153">
        <v>1.5100233601861499</v>
      </c>
      <c r="L153">
        <v>0</v>
      </c>
      <c r="M153">
        <v>1.238182392620978E-6</v>
      </c>
      <c r="N153">
        <v>0</v>
      </c>
      <c r="O153" s="1">
        <v>2.1445484914964598E-12</v>
      </c>
      <c r="P153">
        <v>0</v>
      </c>
      <c r="Q153">
        <v>100</v>
      </c>
      <c r="AJ153">
        <v>1</v>
      </c>
    </row>
    <row r="154" spans="1:36" x14ac:dyDescent="0.2">
      <c r="A154">
        <v>163</v>
      </c>
      <c r="B154">
        <v>763</v>
      </c>
      <c r="C154">
        <v>160</v>
      </c>
      <c r="D154">
        <v>0.42917579501038</v>
      </c>
      <c r="E154">
        <v>5.1102934490764698</v>
      </c>
      <c r="F154">
        <v>2.5402264645234101</v>
      </c>
      <c r="G154">
        <v>-83.622525803540285</v>
      </c>
      <c r="H154">
        <v>-73.161194768431955</v>
      </c>
      <c r="I154">
        <v>10.0963480529926</v>
      </c>
      <c r="J154">
        <v>5.9266944655998399</v>
      </c>
      <c r="K154">
        <v>2.01174718886146</v>
      </c>
      <c r="L154">
        <v>0</v>
      </c>
      <c r="M154">
        <v>1.2381823926209778E-6</v>
      </c>
      <c r="N154">
        <v>0</v>
      </c>
      <c r="O154" s="1">
        <v>2.8571010971732599E-12</v>
      </c>
      <c r="P154">
        <v>0</v>
      </c>
      <c r="Q154">
        <v>100</v>
      </c>
      <c r="AJ154">
        <v>1</v>
      </c>
    </row>
    <row r="155" spans="1:36" x14ac:dyDescent="0.2">
      <c r="A155">
        <v>164</v>
      </c>
      <c r="B155">
        <v>762</v>
      </c>
      <c r="C155">
        <v>160</v>
      </c>
      <c r="D155">
        <v>0.428556730908567</v>
      </c>
      <c r="E155">
        <v>10.6368791269411</v>
      </c>
      <c r="F155">
        <v>2.5402264645234101</v>
      </c>
      <c r="G155">
        <v>-174.03605975273391</v>
      </c>
      <c r="H155">
        <v>-152.29454646478359</v>
      </c>
      <c r="I155">
        <v>21.0032490826936</v>
      </c>
      <c r="J155">
        <v>12.334644662695601</v>
      </c>
      <c r="K155">
        <v>4.1873743445692098</v>
      </c>
      <c r="L155">
        <v>0</v>
      </c>
      <c r="M155">
        <v>1.2381823926209778E-6</v>
      </c>
      <c r="N155">
        <v>0</v>
      </c>
      <c r="O155" s="1">
        <v>5.9469459683523597E-12</v>
      </c>
      <c r="P155">
        <v>0</v>
      </c>
      <c r="Q155">
        <v>100</v>
      </c>
      <c r="AJ155">
        <v>1</v>
      </c>
    </row>
    <row r="156" spans="1:36" x14ac:dyDescent="0.2">
      <c r="A156">
        <v>165</v>
      </c>
      <c r="B156">
        <v>761</v>
      </c>
      <c r="C156">
        <v>160</v>
      </c>
      <c r="D156">
        <v>0.42793646956437897</v>
      </c>
      <c r="E156">
        <v>21.471239505952699</v>
      </c>
      <c r="F156">
        <v>2.5402264645234101</v>
      </c>
      <c r="G156">
        <v>-351.26083874807358</v>
      </c>
      <c r="H156">
        <v>-307.44144660263049</v>
      </c>
      <c r="I156">
        <v>42.372375521387603</v>
      </c>
      <c r="J156">
        <v>24.895171948550999</v>
      </c>
      <c r="K156">
        <v>8.4524902821926506</v>
      </c>
      <c r="L156">
        <v>0</v>
      </c>
      <c r="M156">
        <v>1.2381823926209778E-6</v>
      </c>
      <c r="N156">
        <v>0</v>
      </c>
      <c r="O156" s="1">
        <v>1.2004301232684301E-11</v>
      </c>
      <c r="P156">
        <v>0</v>
      </c>
      <c r="Q156">
        <v>100</v>
      </c>
      <c r="AJ156">
        <v>1</v>
      </c>
    </row>
    <row r="157" spans="1:36" x14ac:dyDescent="0.2">
      <c r="A157">
        <v>166</v>
      </c>
      <c r="B157">
        <v>760</v>
      </c>
      <c r="C157">
        <v>160</v>
      </c>
      <c r="D157">
        <v>0.427315007501331</v>
      </c>
      <c r="E157">
        <v>27.7212131040251</v>
      </c>
      <c r="F157">
        <v>2.5402264645234101</v>
      </c>
      <c r="G157">
        <v>-453.4532011272201</v>
      </c>
      <c r="H157">
        <v>-396.96543541317391</v>
      </c>
      <c r="I157">
        <v>54.6752801762049</v>
      </c>
      <c r="J157">
        <v>32.137768353707997</v>
      </c>
      <c r="K157">
        <v>10.9128904415323</v>
      </c>
      <c r="L157">
        <v>0</v>
      </c>
      <c r="M157">
        <v>1.2381823926209778E-6</v>
      </c>
      <c r="N157">
        <v>0</v>
      </c>
      <c r="O157" s="1">
        <v>1.5498583234744999E-11</v>
      </c>
      <c r="P157">
        <v>0</v>
      </c>
      <c r="Q157">
        <v>100</v>
      </c>
      <c r="AJ157">
        <v>1</v>
      </c>
    </row>
    <row r="158" spans="1:36" x14ac:dyDescent="0.2">
      <c r="A158">
        <v>167</v>
      </c>
      <c r="B158">
        <v>759</v>
      </c>
      <c r="C158">
        <v>160</v>
      </c>
      <c r="D158">
        <v>0.42669234122947503</v>
      </c>
      <c r="E158">
        <v>30.6046818613755</v>
      </c>
      <c r="F158">
        <v>2.5402264645234101</v>
      </c>
      <c r="G158">
        <v>-500.55955574642007</v>
      </c>
      <c r="H158">
        <v>-438.29194341181426</v>
      </c>
      <c r="I158">
        <v>60.328065043458501</v>
      </c>
      <c r="J158">
        <v>35.476167756705898</v>
      </c>
      <c r="K158">
        <v>12.048013155046499</v>
      </c>
      <c r="L158">
        <v>0</v>
      </c>
      <c r="M158">
        <v>1.2381823926209778E-6</v>
      </c>
      <c r="N158">
        <v>0</v>
      </c>
      <c r="O158" s="1">
        <v>1.7110694521970499E-11</v>
      </c>
      <c r="P158">
        <v>0</v>
      </c>
      <c r="Q158">
        <v>100</v>
      </c>
      <c r="AJ158">
        <v>1</v>
      </c>
    </row>
    <row r="159" spans="1:36" x14ac:dyDescent="0.2">
      <c r="A159">
        <v>168</v>
      </c>
      <c r="B159">
        <v>758</v>
      </c>
      <c r="C159">
        <v>160</v>
      </c>
      <c r="D159">
        <v>0.426068467245311</v>
      </c>
      <c r="E159">
        <v>31.937339977655999</v>
      </c>
      <c r="F159">
        <v>2.5402264645234101</v>
      </c>
      <c r="G159">
        <v>-522.29311235557373</v>
      </c>
      <c r="H159">
        <v>-457.41405882357105</v>
      </c>
      <c r="I159">
        <v>62.919122855067201</v>
      </c>
      <c r="J159">
        <v>37.016281797894401</v>
      </c>
      <c r="K159">
        <v>12.5726349298734</v>
      </c>
      <c r="L159">
        <v>0</v>
      </c>
      <c r="M159">
        <v>1.238182392620978E-6</v>
      </c>
      <c r="N159">
        <v>0</v>
      </c>
      <c r="O159" s="1">
        <v>1.78557669926855E-11</v>
      </c>
      <c r="P159">
        <v>0</v>
      </c>
      <c r="Q159">
        <v>100</v>
      </c>
      <c r="AJ159">
        <v>1</v>
      </c>
    </row>
    <row r="160" spans="1:36" x14ac:dyDescent="0.2">
      <c r="A160">
        <v>175</v>
      </c>
      <c r="B160">
        <v>774</v>
      </c>
      <c r="C160">
        <v>140</v>
      </c>
      <c r="D160">
        <v>0.45691686959843703</v>
      </c>
      <c r="E160">
        <v>0.55584175981425898</v>
      </c>
      <c r="F160">
        <v>2.5395974954075999</v>
      </c>
      <c r="G160">
        <v>-9.112036882122716</v>
      </c>
      <c r="H160">
        <v>-7.9549545739782994</v>
      </c>
      <c r="I160">
        <v>1.10498238852544</v>
      </c>
      <c r="J160">
        <v>0.64551583086866104</v>
      </c>
      <c r="K160">
        <v>0.21887002204853201</v>
      </c>
      <c r="L160">
        <v>0</v>
      </c>
      <c r="M160">
        <v>1.2381597856864878E-6</v>
      </c>
      <c r="N160">
        <v>0</v>
      </c>
      <c r="O160" s="1">
        <v>3.1076416993373202E-13</v>
      </c>
      <c r="P160">
        <v>0</v>
      </c>
      <c r="Q160">
        <v>100</v>
      </c>
      <c r="AJ160">
        <v>1</v>
      </c>
    </row>
    <row r="161" spans="1:36" x14ac:dyDescent="0.2">
      <c r="A161">
        <v>176</v>
      </c>
      <c r="B161">
        <v>773</v>
      </c>
      <c r="C161">
        <v>140</v>
      </c>
      <c r="D161">
        <v>0.456330832098647</v>
      </c>
      <c r="E161">
        <v>1.41542772419577</v>
      </c>
      <c r="F161">
        <v>2.5395974954075999</v>
      </c>
      <c r="G161">
        <v>-23.200606670582534</v>
      </c>
      <c r="H161">
        <v>-20.258601796711442</v>
      </c>
      <c r="I161">
        <v>2.81222088024766</v>
      </c>
      <c r="J161">
        <v>1.6435786047636201</v>
      </c>
      <c r="K161">
        <v>0.55734332970296097</v>
      </c>
      <c r="L161">
        <v>0</v>
      </c>
      <c r="M161">
        <v>1.238159785686488E-6</v>
      </c>
      <c r="N161">
        <v>0</v>
      </c>
      <c r="O161" s="1">
        <v>7.9134792239769299E-13</v>
      </c>
      <c r="P161">
        <v>0</v>
      </c>
      <c r="Q161">
        <v>100</v>
      </c>
      <c r="AJ161">
        <v>1</v>
      </c>
    </row>
    <row r="162" spans="1:36" x14ac:dyDescent="0.2">
      <c r="A162">
        <v>177</v>
      </c>
      <c r="B162">
        <v>772</v>
      </c>
      <c r="C162">
        <v>140</v>
      </c>
      <c r="D162">
        <v>0.45574367315696301</v>
      </c>
      <c r="E162">
        <v>2.31056540799749</v>
      </c>
      <c r="F162">
        <v>2.5395974954075999</v>
      </c>
      <c r="G162">
        <v>-37.868428247236693</v>
      </c>
      <c r="H162">
        <v>-33.073127712288191</v>
      </c>
      <c r="I162">
        <v>4.5881457541486803</v>
      </c>
      <c r="J162">
        <v>2.6826745205439302</v>
      </c>
      <c r="K162">
        <v>0.90981559565077896</v>
      </c>
      <c r="L162">
        <v>0</v>
      </c>
      <c r="M162">
        <v>1.2381597856864878E-6</v>
      </c>
      <c r="N162">
        <v>0</v>
      </c>
      <c r="O162" s="1">
        <v>1.29180819615618E-12</v>
      </c>
      <c r="P162">
        <v>0</v>
      </c>
      <c r="Q162">
        <v>100</v>
      </c>
      <c r="AJ162">
        <v>1</v>
      </c>
    </row>
    <row r="163" spans="1:36" x14ac:dyDescent="0.2">
      <c r="A163">
        <v>178</v>
      </c>
      <c r="B163">
        <v>771</v>
      </c>
      <c r="C163">
        <v>140</v>
      </c>
      <c r="D163">
        <v>0.45515538955130802</v>
      </c>
      <c r="E163">
        <v>3.26551319594427</v>
      </c>
      <c r="F163">
        <v>2.5395974954075999</v>
      </c>
      <c r="G163">
        <v>-53.512821262123381</v>
      </c>
      <c r="H163">
        <v>-46.745915252887102</v>
      </c>
      <c r="I163">
        <v>6.4807795903235004</v>
      </c>
      <c r="J163">
        <v>3.7909493031988801</v>
      </c>
      <c r="K163">
        <v>1.28583887873938</v>
      </c>
      <c r="L163">
        <v>0</v>
      </c>
      <c r="M163">
        <v>1.2381597856864878E-6</v>
      </c>
      <c r="N163">
        <v>0</v>
      </c>
      <c r="O163" s="1">
        <v>1.8257075504445301E-12</v>
      </c>
      <c r="P163">
        <v>0</v>
      </c>
      <c r="Q163">
        <v>100</v>
      </c>
      <c r="AJ163">
        <v>1</v>
      </c>
    </row>
    <row r="164" spans="1:36" x14ac:dyDescent="0.2">
      <c r="A164">
        <v>179</v>
      </c>
      <c r="B164">
        <v>770</v>
      </c>
      <c r="C164">
        <v>140</v>
      </c>
      <c r="D164">
        <v>0.45456597804726301</v>
      </c>
      <c r="E164">
        <v>4.3324499862151598</v>
      </c>
      <c r="F164">
        <v>2.5395974954075999</v>
      </c>
      <c r="G164">
        <v>-70.988398467013113</v>
      </c>
      <c r="H164">
        <v>-62.024175322669826</v>
      </c>
      <c r="I164">
        <v>8.5934171924874505</v>
      </c>
      <c r="J164">
        <v>5.0289438590402602</v>
      </c>
      <c r="K164">
        <v>1.70595930813823</v>
      </c>
      <c r="L164">
        <v>0</v>
      </c>
      <c r="M164">
        <v>1.2381597856864882E-6</v>
      </c>
      <c r="N164">
        <v>0</v>
      </c>
      <c r="O164" s="1">
        <v>2.4222185540637801E-12</v>
      </c>
      <c r="P164">
        <v>0</v>
      </c>
      <c r="Q164">
        <v>100</v>
      </c>
      <c r="AJ164">
        <v>1</v>
      </c>
    </row>
    <row r="165" spans="1:36" x14ac:dyDescent="0.2">
      <c r="A165">
        <v>180</v>
      </c>
      <c r="B165">
        <v>769</v>
      </c>
      <c r="C165">
        <v>140</v>
      </c>
      <c r="D165">
        <v>0.45397543539797802</v>
      </c>
      <c r="E165">
        <v>6.0331482051213303</v>
      </c>
      <c r="F165">
        <v>2.5395974954075999</v>
      </c>
      <c r="G165">
        <v>-98.842848583466335</v>
      </c>
      <c r="H165">
        <v>-86.378696052129868</v>
      </c>
      <c r="I165">
        <v>11.960036972927499</v>
      </c>
      <c r="J165">
        <v>7.0021885132209096</v>
      </c>
      <c r="K165">
        <v>2.3756316566035198</v>
      </c>
      <c r="L165">
        <v>0</v>
      </c>
      <c r="M165">
        <v>1.238159785686488E-6</v>
      </c>
      <c r="N165">
        <v>0</v>
      </c>
      <c r="O165" s="1">
        <v>3.3730576390630099E-12</v>
      </c>
      <c r="P165">
        <v>0</v>
      </c>
      <c r="Q165">
        <v>100</v>
      </c>
      <c r="AJ165">
        <v>1</v>
      </c>
    </row>
    <row r="166" spans="1:36" x14ac:dyDescent="0.2">
      <c r="A166">
        <v>181</v>
      </c>
      <c r="B166">
        <v>768</v>
      </c>
      <c r="C166">
        <v>140</v>
      </c>
      <c r="D166">
        <v>0.45338375834414102</v>
      </c>
      <c r="E166">
        <v>10.916814086150699</v>
      </c>
      <c r="F166">
        <v>2.5395974954075999</v>
      </c>
      <c r="G166">
        <v>-178.83175354460434</v>
      </c>
      <c r="H166">
        <v>-156.31252053189755</v>
      </c>
      <c r="I166">
        <v>21.629191771317</v>
      </c>
      <c r="J166">
        <v>12.668703537190201</v>
      </c>
      <c r="K166">
        <v>4.2986394914516097</v>
      </c>
      <c r="L166">
        <v>0</v>
      </c>
      <c r="M166">
        <v>1.238159785686488E-6</v>
      </c>
      <c r="N166">
        <v>0</v>
      </c>
      <c r="O166" s="1">
        <v>6.1034540998451902E-12</v>
      </c>
      <c r="P166">
        <v>0</v>
      </c>
      <c r="Q166">
        <v>100</v>
      </c>
      <c r="AJ166">
        <v>1</v>
      </c>
    </row>
    <row r="167" spans="1:36" x14ac:dyDescent="0.2">
      <c r="A167">
        <v>182</v>
      </c>
      <c r="B167">
        <v>767</v>
      </c>
      <c r="C167">
        <v>140</v>
      </c>
      <c r="D167">
        <v>0.45279094361390498</v>
      </c>
      <c r="E167">
        <v>21.094773605989602</v>
      </c>
      <c r="F167">
        <v>2.5395974954075999</v>
      </c>
      <c r="G167">
        <v>-345.51831608485134</v>
      </c>
      <c r="H167">
        <v>-302.07022243909512</v>
      </c>
      <c r="I167">
        <v>41.7709884591224</v>
      </c>
      <c r="J167">
        <v>24.4769590043779</v>
      </c>
      <c r="K167">
        <v>8.3063452551578099</v>
      </c>
      <c r="L167">
        <v>0</v>
      </c>
      <c r="M167">
        <v>1.2381597856864878E-6</v>
      </c>
      <c r="N167">
        <v>0</v>
      </c>
      <c r="O167" s="1">
        <v>1.17938238605821E-11</v>
      </c>
      <c r="P167">
        <v>0</v>
      </c>
      <c r="Q167">
        <v>100</v>
      </c>
      <c r="AJ167">
        <v>1</v>
      </c>
    </row>
    <row r="168" spans="1:36" x14ac:dyDescent="0.2">
      <c r="A168">
        <v>183</v>
      </c>
      <c r="B168">
        <v>766</v>
      </c>
      <c r="C168">
        <v>140</v>
      </c>
      <c r="D168">
        <v>0.45219698792282498</v>
      </c>
      <c r="E168">
        <v>26.792218384593198</v>
      </c>
      <c r="F168">
        <v>2.5395974954075999</v>
      </c>
      <c r="G168">
        <v>-438.78562203086994</v>
      </c>
      <c r="H168">
        <v>-383.68684441389587</v>
      </c>
      <c r="I168">
        <v>53.022929910960002</v>
      </c>
      <c r="J168">
        <v>31.084041278284101</v>
      </c>
      <c r="K168">
        <v>10.54978926111</v>
      </c>
      <c r="L168">
        <v>0</v>
      </c>
      <c r="M168">
        <v>1.238159785686488E-6</v>
      </c>
      <c r="N168">
        <v>0</v>
      </c>
      <c r="O168" s="1">
        <v>1.49791939161851E-11</v>
      </c>
      <c r="P168">
        <v>0</v>
      </c>
      <c r="Q168">
        <v>100</v>
      </c>
      <c r="AJ168">
        <v>1</v>
      </c>
    </row>
    <row r="169" spans="1:36" x14ac:dyDescent="0.2">
      <c r="A169">
        <v>184</v>
      </c>
      <c r="B169">
        <v>765</v>
      </c>
      <c r="C169">
        <v>140</v>
      </c>
      <c r="D169">
        <v>0.45160188797380102</v>
      </c>
      <c r="E169">
        <v>30.10261408165</v>
      </c>
      <c r="F169">
        <v>2.5395974954075999</v>
      </c>
      <c r="G169">
        <v>-492.9415838788824</v>
      </c>
      <c r="H169">
        <v>-431.1293858774099</v>
      </c>
      <c r="I169">
        <v>59.540719550616501</v>
      </c>
      <c r="J169">
        <v>34.920391336197802</v>
      </c>
      <c r="K169">
        <v>11.8533012164664</v>
      </c>
      <c r="L169">
        <v>0</v>
      </c>
      <c r="M169">
        <v>1.2381597856864878E-6</v>
      </c>
      <c r="N169">
        <v>0</v>
      </c>
      <c r="O169" s="1">
        <v>1.68299947111664E-11</v>
      </c>
      <c r="P169">
        <v>0</v>
      </c>
      <c r="Q169">
        <v>100</v>
      </c>
      <c r="AJ169">
        <v>1</v>
      </c>
    </row>
    <row r="170" spans="1:36" x14ac:dyDescent="0.2">
      <c r="A170">
        <v>185</v>
      </c>
      <c r="B170">
        <v>764</v>
      </c>
      <c r="C170">
        <v>140</v>
      </c>
      <c r="D170">
        <v>0.45100564045702202</v>
      </c>
      <c r="E170">
        <v>31.524830041672502</v>
      </c>
      <c r="F170">
        <v>2.5395974954075999</v>
      </c>
      <c r="G170">
        <v>-516.16856693561067</v>
      </c>
      <c r="H170">
        <v>-451.53491885572737</v>
      </c>
      <c r="I170">
        <v>62.318515238763197</v>
      </c>
      <c r="J170">
        <v>36.565676334522998</v>
      </c>
      <c r="K170">
        <v>12.4133175035332</v>
      </c>
      <c r="L170">
        <v>0</v>
      </c>
      <c r="M170">
        <v>1.2381597856864878E-6</v>
      </c>
      <c r="N170">
        <v>0</v>
      </c>
      <c r="O170" s="1">
        <v>1.76251378512403E-11</v>
      </c>
      <c r="P170">
        <v>0</v>
      </c>
      <c r="Q170">
        <v>100</v>
      </c>
      <c r="AJ170">
        <v>1</v>
      </c>
    </row>
    <row r="171" spans="1:36" x14ac:dyDescent="0.2">
      <c r="A171">
        <v>195</v>
      </c>
      <c r="B171">
        <v>782</v>
      </c>
      <c r="C171">
        <v>120</v>
      </c>
      <c r="D171">
        <v>0.48241529640335601</v>
      </c>
      <c r="E171">
        <v>0.61514438692887596</v>
      </c>
      <c r="F171">
        <v>2.5389686935214599</v>
      </c>
      <c r="G171">
        <v>-10.098847750421418</v>
      </c>
      <c r="H171">
        <v>-8.8027939835201394</v>
      </c>
      <c r="I171">
        <v>1.2283123412796999</v>
      </c>
      <c r="J171">
        <v>0.71507582338859499</v>
      </c>
      <c r="K171">
        <v>0.242281202008714</v>
      </c>
      <c r="L171">
        <v>0</v>
      </c>
      <c r="M171">
        <v>1.2381371196426337E-6</v>
      </c>
      <c r="N171">
        <v>0</v>
      </c>
      <c r="O171" s="1">
        <v>3.4391952640842599E-13</v>
      </c>
      <c r="P171">
        <v>0</v>
      </c>
      <c r="Q171">
        <v>100</v>
      </c>
      <c r="AJ171">
        <v>1</v>
      </c>
    </row>
    <row r="172" spans="1:36" x14ac:dyDescent="0.2">
      <c r="A172">
        <v>196</v>
      </c>
      <c r="B172">
        <v>781</v>
      </c>
      <c r="C172">
        <v>120</v>
      </c>
      <c r="D172">
        <v>0.48185789498648202</v>
      </c>
      <c r="E172">
        <v>1.477904915801</v>
      </c>
      <c r="F172">
        <v>2.5389686935214599</v>
      </c>
      <c r="G172">
        <v>-24.259868452768245</v>
      </c>
      <c r="H172">
        <v>-21.150724168699135</v>
      </c>
      <c r="I172">
        <v>2.9494325134649699</v>
      </c>
      <c r="J172">
        <v>1.71778782315652</v>
      </c>
      <c r="K172">
        <v>0.58208867229127004</v>
      </c>
      <c r="L172">
        <v>0</v>
      </c>
      <c r="M172">
        <v>1.2381371196426337E-6</v>
      </c>
      <c r="N172">
        <v>0</v>
      </c>
      <c r="O172" s="1">
        <v>8.2627813814017097E-13</v>
      </c>
      <c r="P172">
        <v>0</v>
      </c>
      <c r="Q172">
        <v>100</v>
      </c>
      <c r="AJ172">
        <v>1</v>
      </c>
    </row>
    <row r="173" spans="1:36" x14ac:dyDescent="0.2">
      <c r="A173">
        <v>197</v>
      </c>
      <c r="B173">
        <v>780</v>
      </c>
      <c r="C173">
        <v>120</v>
      </c>
      <c r="D173">
        <v>0.48129943502824801</v>
      </c>
      <c r="E173">
        <v>2.3783843446609398</v>
      </c>
      <c r="F173">
        <v>2.5389686935214599</v>
      </c>
      <c r="G173">
        <v>-39.036529190103288</v>
      </c>
      <c r="H173">
        <v>-34.040509655131075</v>
      </c>
      <c r="I173">
        <v>4.74388219624195</v>
      </c>
      <c r="J173">
        <v>2.7640948654118702</v>
      </c>
      <c r="K173">
        <v>0.93675213512073796</v>
      </c>
      <c r="L173">
        <v>0</v>
      </c>
      <c r="M173">
        <v>1.2381371196426339E-6</v>
      </c>
      <c r="N173">
        <v>0</v>
      </c>
      <c r="O173" s="1">
        <v>1.3297249146932099E-12</v>
      </c>
      <c r="P173">
        <v>0</v>
      </c>
      <c r="Q173">
        <v>100</v>
      </c>
      <c r="AJ173">
        <v>1</v>
      </c>
    </row>
    <row r="174" spans="1:36" x14ac:dyDescent="0.2">
      <c r="A174">
        <v>198</v>
      </c>
      <c r="B174">
        <v>779</v>
      </c>
      <c r="C174">
        <v>120</v>
      </c>
      <c r="D174">
        <v>0.48073991351043299</v>
      </c>
      <c r="E174">
        <v>3.3412042810584999</v>
      </c>
      <c r="F174">
        <v>2.5389686935214599</v>
      </c>
      <c r="G174">
        <v>-54.832673636942388</v>
      </c>
      <c r="H174">
        <v>-47.824705748208551</v>
      </c>
      <c r="I174">
        <v>6.66061672644949</v>
      </c>
      <c r="J174">
        <v>3.8825915025336899</v>
      </c>
      <c r="K174">
        <v>1.31596907420877</v>
      </c>
      <c r="L174">
        <v>0</v>
      </c>
      <c r="M174">
        <v>1.2381371196426337E-6</v>
      </c>
      <c r="N174">
        <v>0</v>
      </c>
      <c r="O174" s="1">
        <v>1.8680254886375299E-12</v>
      </c>
      <c r="P174">
        <v>0</v>
      </c>
      <c r="Q174">
        <v>100</v>
      </c>
      <c r="AJ174">
        <v>1</v>
      </c>
    </row>
    <row r="175" spans="1:36" x14ac:dyDescent="0.2">
      <c r="A175">
        <v>199</v>
      </c>
      <c r="B175">
        <v>778</v>
      </c>
      <c r="C175">
        <v>120</v>
      </c>
      <c r="D175">
        <v>0.48017932740332298</v>
      </c>
      <c r="E175">
        <v>4.4169053563296004</v>
      </c>
      <c r="F175">
        <v>2.5389686935214599</v>
      </c>
      <c r="G175">
        <v>-72.477256209622766</v>
      </c>
      <c r="H175">
        <v>-63.227007156597814</v>
      </c>
      <c r="I175">
        <v>8.80012277317695</v>
      </c>
      <c r="J175">
        <v>5.1319735663230297</v>
      </c>
      <c r="K175">
        <v>1.7396454582523799</v>
      </c>
      <c r="L175">
        <v>0</v>
      </c>
      <c r="M175">
        <v>1.2381371196426339E-6</v>
      </c>
      <c r="N175">
        <v>0</v>
      </c>
      <c r="O175" s="1">
        <v>2.4694364942898402E-12</v>
      </c>
      <c r="P175">
        <v>0</v>
      </c>
      <c r="Q175">
        <v>100</v>
      </c>
      <c r="AJ175">
        <v>1</v>
      </c>
    </row>
    <row r="176" spans="1:36" x14ac:dyDescent="0.2">
      <c r="A176">
        <v>200</v>
      </c>
      <c r="B176">
        <v>777</v>
      </c>
      <c r="C176">
        <v>120</v>
      </c>
      <c r="D176">
        <v>0.47961767366567098</v>
      </c>
      <c r="E176">
        <v>5.7375952283121396</v>
      </c>
      <c r="F176">
        <v>2.5389686935214599</v>
      </c>
      <c r="G176">
        <v>-94.137104672451954</v>
      </c>
      <c r="H176">
        <v>-82.13905182533972</v>
      </c>
      <c r="I176">
        <v>11.4250848422722</v>
      </c>
      <c r="J176">
        <v>6.6656691438708897</v>
      </c>
      <c r="K176">
        <v>2.2598133025241398</v>
      </c>
      <c r="L176">
        <v>0</v>
      </c>
      <c r="M176">
        <v>1.2381371196426339E-6</v>
      </c>
      <c r="N176">
        <v>0</v>
      </c>
      <c r="O176" s="1">
        <v>3.20781766943524E-12</v>
      </c>
      <c r="P176">
        <v>0</v>
      </c>
      <c r="Q176">
        <v>100</v>
      </c>
      <c r="AJ176">
        <v>1</v>
      </c>
    </row>
    <row r="177" spans="1:36" x14ac:dyDescent="0.2">
      <c r="A177">
        <v>201</v>
      </c>
      <c r="B177">
        <v>776</v>
      </c>
      <c r="C177">
        <v>120</v>
      </c>
      <c r="D177">
        <v>0.47905494924462999</v>
      </c>
      <c r="E177">
        <v>9.2313282868777602</v>
      </c>
      <c r="F177">
        <v>2.5389686935214599</v>
      </c>
      <c r="G177">
        <v>-151.4406372754286</v>
      </c>
      <c r="H177">
        <v>-132.16583806519486</v>
      </c>
      <c r="I177">
        <v>18.371824057793201</v>
      </c>
      <c r="J177">
        <v>10.723225866676801</v>
      </c>
      <c r="K177">
        <v>3.6358574685984899</v>
      </c>
      <c r="L177">
        <v>0</v>
      </c>
      <c r="M177">
        <v>1.2381371196426337E-6</v>
      </c>
      <c r="N177">
        <v>0</v>
      </c>
      <c r="O177" s="1">
        <v>5.1611200882351404E-12</v>
      </c>
      <c r="P177">
        <v>0</v>
      </c>
      <c r="Q177">
        <v>100</v>
      </c>
      <c r="AJ177">
        <v>1</v>
      </c>
    </row>
    <row r="178" spans="1:36" x14ac:dyDescent="0.2">
      <c r="A178">
        <v>202</v>
      </c>
      <c r="B178">
        <v>775</v>
      </c>
      <c r="C178">
        <v>120</v>
      </c>
      <c r="D178">
        <v>0.478491151075708</v>
      </c>
      <c r="E178">
        <v>16.036217879971499</v>
      </c>
      <c r="F178">
        <v>2.5389686935214599</v>
      </c>
      <c r="G178">
        <v>-263.0434588794314</v>
      </c>
      <c r="H178">
        <v>-229.61074064189913</v>
      </c>
      <c r="I178">
        <v>31.896883306332299</v>
      </c>
      <c r="J178">
        <v>18.625609761199001</v>
      </c>
      <c r="K178">
        <v>6.31603608224483</v>
      </c>
      <c r="L178">
        <v>0</v>
      </c>
      <c r="M178">
        <v>1.2381371196426339E-6</v>
      </c>
      <c r="N178">
        <v>0</v>
      </c>
      <c r="O178" s="1">
        <v>8.9656486767225296E-12</v>
      </c>
      <c r="P178">
        <v>0</v>
      </c>
      <c r="Q178">
        <v>100</v>
      </c>
      <c r="AJ178">
        <v>1</v>
      </c>
    </row>
    <row r="179" spans="1:36" x14ac:dyDescent="0.2">
      <c r="A179">
        <v>203</v>
      </c>
      <c r="B179">
        <v>774</v>
      </c>
      <c r="C179">
        <v>120</v>
      </c>
      <c r="D179">
        <v>0.47792627608270499</v>
      </c>
      <c r="E179">
        <v>23.362771910236699</v>
      </c>
      <c r="F179">
        <v>2.5389686935214599</v>
      </c>
      <c r="G179">
        <v>-383.17509691487925</v>
      </c>
      <c r="H179">
        <v>-334.54138134881327</v>
      </c>
      <c r="I179">
        <v>46.443886325804201</v>
      </c>
      <c r="J179">
        <v>27.131892943903601</v>
      </c>
      <c r="K179">
        <v>9.2016778189703992</v>
      </c>
      <c r="L179">
        <v>0</v>
      </c>
      <c r="M179">
        <v>1.2381371196426339E-6</v>
      </c>
      <c r="N179">
        <v>0</v>
      </c>
      <c r="O179" s="1">
        <v>1.3061833321882699E-11</v>
      </c>
      <c r="P179">
        <v>0</v>
      </c>
      <c r="Q179">
        <v>100</v>
      </c>
      <c r="AJ179">
        <v>1</v>
      </c>
    </row>
    <row r="180" spans="1:36" x14ac:dyDescent="0.2">
      <c r="A180">
        <v>204</v>
      </c>
      <c r="B180">
        <v>773</v>
      </c>
      <c r="C180">
        <v>120</v>
      </c>
      <c r="D180">
        <v>0.47736032117765198</v>
      </c>
      <c r="E180">
        <v>27.756733172866198</v>
      </c>
      <c r="F180">
        <v>2.5389686935214599</v>
      </c>
      <c r="G180">
        <v>-455.18571997979109</v>
      </c>
      <c r="H180">
        <v>-397.49259804824914</v>
      </c>
      <c r="I180">
        <v>55.1480398905911</v>
      </c>
      <c r="J180">
        <v>32.230803453405798</v>
      </c>
      <c r="K180">
        <v>10.9322865002989</v>
      </c>
      <c r="L180">
        <v>0</v>
      </c>
      <c r="M180">
        <v>1.2381371196426339E-6</v>
      </c>
      <c r="N180">
        <v>0</v>
      </c>
      <c r="O180" s="1">
        <v>1.5518442060597E-11</v>
      </c>
      <c r="P180">
        <v>0</v>
      </c>
      <c r="Q180">
        <v>100</v>
      </c>
      <c r="AJ180">
        <v>1</v>
      </c>
    </row>
    <row r="181" spans="1:36" x14ac:dyDescent="0.2">
      <c r="A181">
        <v>205</v>
      </c>
      <c r="B181">
        <v>772</v>
      </c>
      <c r="C181">
        <v>120</v>
      </c>
      <c r="D181">
        <v>0.47679328326077502</v>
      </c>
      <c r="E181">
        <v>30.3299376807838</v>
      </c>
      <c r="F181">
        <v>2.5389686935214599</v>
      </c>
      <c r="G181">
        <v>-497.32373997088177</v>
      </c>
      <c r="H181">
        <v>-434.37760311528541</v>
      </c>
      <c r="I181">
        <v>60.226892652343103</v>
      </c>
      <c r="J181">
        <v>35.214476397983098</v>
      </c>
      <c r="K181">
        <v>11.9457706422985</v>
      </c>
      <c r="L181">
        <v>0</v>
      </c>
      <c r="M181">
        <v>1.2381371196426337E-6</v>
      </c>
      <c r="N181">
        <v>0</v>
      </c>
      <c r="O181" s="1">
        <v>1.6957088489825299E-11</v>
      </c>
      <c r="P181">
        <v>0</v>
      </c>
      <c r="Q181">
        <v>100</v>
      </c>
      <c r="AJ181">
        <v>1</v>
      </c>
    </row>
    <row r="182" spans="1:36" x14ac:dyDescent="0.2">
      <c r="A182">
        <v>206</v>
      </c>
      <c r="B182">
        <v>771</v>
      </c>
      <c r="C182">
        <v>120</v>
      </c>
      <c r="D182">
        <v>0.47622515922041903</v>
      </c>
      <c r="E182">
        <v>31.571337341486501</v>
      </c>
      <c r="F182">
        <v>2.5389686935214599</v>
      </c>
      <c r="G182">
        <v>-517.61644933976231</v>
      </c>
      <c r="H182">
        <v>-452.19326481823913</v>
      </c>
      <c r="I182">
        <v>62.656883131277198</v>
      </c>
      <c r="J182">
        <v>36.651310870344297</v>
      </c>
      <c r="K182">
        <v>12.4347091880436</v>
      </c>
      <c r="L182">
        <v>0</v>
      </c>
      <c r="M182">
        <v>1.2381371196426334E-6</v>
      </c>
      <c r="N182">
        <v>0</v>
      </c>
      <c r="O182" s="1">
        <v>1.7651139500392E-11</v>
      </c>
      <c r="P182">
        <v>0</v>
      </c>
      <c r="Q182">
        <v>100</v>
      </c>
      <c r="AJ182">
        <v>1</v>
      </c>
    </row>
    <row r="183" spans="1:36" x14ac:dyDescent="0.2">
      <c r="A183">
        <v>218</v>
      </c>
      <c r="B183">
        <v>793</v>
      </c>
      <c r="C183">
        <v>100</v>
      </c>
      <c r="D183">
        <v>0.50911269521174396</v>
      </c>
      <c r="E183">
        <v>0.16288721744496401</v>
      </c>
      <c r="F183">
        <v>2.53834005884787</v>
      </c>
      <c r="G183">
        <v>-2.6789972093326453</v>
      </c>
      <c r="H183">
        <v>-2.3301357468447872</v>
      </c>
      <c r="I183">
        <v>0.32721611638874198</v>
      </c>
      <c r="J183">
        <v>0.18959483544849301</v>
      </c>
      <c r="K183">
        <v>6.4170762651438104E-2</v>
      </c>
      <c r="L183">
        <v>0</v>
      </c>
      <c r="M183">
        <v>1.2381143945371711E-6</v>
      </c>
      <c r="N183">
        <v>0</v>
      </c>
      <c r="O183" s="1">
        <v>9.1068204265571404E-14</v>
      </c>
      <c r="P183">
        <v>0</v>
      </c>
      <c r="Q183">
        <v>100</v>
      </c>
      <c r="AJ183">
        <v>1</v>
      </c>
    </row>
    <row r="184" spans="1:36" x14ac:dyDescent="0.2">
      <c r="A184">
        <v>219</v>
      </c>
      <c r="B184">
        <v>792</v>
      </c>
      <c r="C184">
        <v>100</v>
      </c>
      <c r="D184">
        <v>0.50858611463174297</v>
      </c>
      <c r="E184">
        <v>1.0070781620356599</v>
      </c>
      <c r="F184">
        <v>2.53834005884787</v>
      </c>
      <c r="G184">
        <v>-16.561337257475795</v>
      </c>
      <c r="H184">
        <v>-14.407636079154294</v>
      </c>
      <c r="I184">
        <v>2.0219698430469801</v>
      </c>
      <c r="J184">
        <v>1.1720656227110899</v>
      </c>
      <c r="K184">
        <v>0.39674674735770799</v>
      </c>
      <c r="L184">
        <v>0</v>
      </c>
      <c r="M184">
        <v>1.2381143945371711E-6</v>
      </c>
      <c r="N184">
        <v>0</v>
      </c>
      <c r="O184" s="1">
        <v>5.6304479387799603E-13</v>
      </c>
      <c r="P184">
        <v>0</v>
      </c>
      <c r="Q184">
        <v>100</v>
      </c>
      <c r="AJ184">
        <v>1</v>
      </c>
    </row>
    <row r="185" spans="1:36" x14ac:dyDescent="0.2">
      <c r="A185">
        <v>220</v>
      </c>
      <c r="B185">
        <v>791</v>
      </c>
      <c r="C185">
        <v>100</v>
      </c>
      <c r="D185">
        <v>0.50805854437814801</v>
      </c>
      <c r="E185">
        <v>1.8800013445486301</v>
      </c>
      <c r="F185">
        <v>2.53834005884787</v>
      </c>
      <c r="G185">
        <v>-30.912730723168604</v>
      </c>
      <c r="H185">
        <v>-26.898188817631773</v>
      </c>
      <c r="I185">
        <v>3.7725338585131998</v>
      </c>
      <c r="J185">
        <v>2.1877417159415899</v>
      </c>
      <c r="K185">
        <v>0.74064203414965202</v>
      </c>
      <c r="L185">
        <v>0</v>
      </c>
      <c r="M185">
        <v>1.2381143945371711E-6</v>
      </c>
      <c r="N185">
        <v>0</v>
      </c>
      <c r="O185" s="1">
        <v>1.0510852180451199E-12</v>
      </c>
      <c r="P185">
        <v>0</v>
      </c>
      <c r="Q185">
        <v>100</v>
      </c>
      <c r="AJ185">
        <v>1</v>
      </c>
    </row>
    <row r="186" spans="1:36" x14ac:dyDescent="0.2">
      <c r="A186">
        <v>221</v>
      </c>
      <c r="B186">
        <v>790</v>
      </c>
      <c r="C186">
        <v>100</v>
      </c>
      <c r="D186">
        <v>0.507529981658283</v>
      </c>
      <c r="E186">
        <v>2.7978648146853899</v>
      </c>
      <c r="F186">
        <v>2.53834005884787</v>
      </c>
      <c r="G186">
        <v>-45.999482768460901</v>
      </c>
      <c r="H186">
        <v>-40.033810048251446</v>
      </c>
      <c r="I186">
        <v>5.6113179891919698</v>
      </c>
      <c r="J186">
        <v>3.2554695768466702</v>
      </c>
      <c r="K186">
        <v>1.1022419178757701</v>
      </c>
      <c r="L186">
        <v>0</v>
      </c>
      <c r="M186">
        <v>1.2381143945371709E-6</v>
      </c>
      <c r="N186">
        <v>0</v>
      </c>
      <c r="O186" s="1">
        <v>1.5642511944641299E-12</v>
      </c>
      <c r="P186">
        <v>0</v>
      </c>
      <c r="Q186">
        <v>100</v>
      </c>
      <c r="AJ186">
        <v>1</v>
      </c>
    </row>
    <row r="187" spans="1:36" x14ac:dyDescent="0.2">
      <c r="A187">
        <v>222</v>
      </c>
      <c r="B187">
        <v>789</v>
      </c>
      <c r="C187">
        <v>100</v>
      </c>
      <c r="D187">
        <v>0.50700042366897302</v>
      </c>
      <c r="E187">
        <v>3.7892933031924998</v>
      </c>
      <c r="F187">
        <v>2.53834005884787</v>
      </c>
      <c r="G187">
        <v>-62.291885570587567</v>
      </c>
      <c r="H187">
        <v>-54.224272282431876</v>
      </c>
      <c r="I187">
        <v>7.59554986410176</v>
      </c>
      <c r="J187">
        <v>4.4085325335186596</v>
      </c>
      <c r="K187">
        <v>1.4928233472832699</v>
      </c>
      <c r="L187">
        <v>0</v>
      </c>
      <c r="M187">
        <v>1.2381143945371709E-6</v>
      </c>
      <c r="N187">
        <v>0</v>
      </c>
      <c r="O187" s="1">
        <v>2.11854645177355E-12</v>
      </c>
      <c r="P187">
        <v>0</v>
      </c>
      <c r="Q187">
        <v>100</v>
      </c>
      <c r="AJ187">
        <v>1</v>
      </c>
    </row>
    <row r="188" spans="1:36" x14ac:dyDescent="0.2">
      <c r="A188">
        <v>223</v>
      </c>
      <c r="B188">
        <v>788</v>
      </c>
      <c r="C188">
        <v>100</v>
      </c>
      <c r="D188">
        <v>0.50646986759647905</v>
      </c>
      <c r="E188">
        <v>4.9116715608580099</v>
      </c>
      <c r="F188">
        <v>2.53834005884787</v>
      </c>
      <c r="G188">
        <v>-80.732728163641823</v>
      </c>
      <c r="H188">
        <v>-70.291066632782091</v>
      </c>
      <c r="I188">
        <v>9.8399486697071197</v>
      </c>
      <c r="J188">
        <v>5.7136541143172597</v>
      </c>
      <c r="K188">
        <v>1.93499351819998</v>
      </c>
      <c r="L188">
        <v>0</v>
      </c>
      <c r="M188">
        <v>1.2381143945371709E-6</v>
      </c>
      <c r="N188">
        <v>0</v>
      </c>
      <c r="O188" s="1">
        <v>2.7460540858017E-12</v>
      </c>
      <c r="P188">
        <v>0</v>
      </c>
      <c r="Q188">
        <v>100</v>
      </c>
      <c r="AJ188">
        <v>1</v>
      </c>
    </row>
    <row r="189" spans="1:36" x14ac:dyDescent="0.2">
      <c r="A189">
        <v>224</v>
      </c>
      <c r="B189">
        <v>787</v>
      </c>
      <c r="C189">
        <v>100</v>
      </c>
      <c r="D189">
        <v>0.50593831061642502</v>
      </c>
      <c r="E189">
        <v>6.3032694149652704</v>
      </c>
      <c r="F189">
        <v>2.53834005884787</v>
      </c>
      <c r="G189">
        <v>-103.59367947203098</v>
      </c>
      <c r="H189">
        <v>-90.213593791022618</v>
      </c>
      <c r="I189">
        <v>12.6209363590136</v>
      </c>
      <c r="J189">
        <v>7.3316071242783796</v>
      </c>
      <c r="K189">
        <v>2.4832249694023498</v>
      </c>
      <c r="L189">
        <v>0</v>
      </c>
      <c r="M189">
        <v>1.2381143945371711E-6</v>
      </c>
      <c r="N189">
        <v>0</v>
      </c>
      <c r="O189" s="1">
        <v>3.5240790261331299E-12</v>
      </c>
      <c r="P189">
        <v>0</v>
      </c>
      <c r="Q189">
        <v>100</v>
      </c>
      <c r="AJ189">
        <v>1</v>
      </c>
    </row>
    <row r="190" spans="1:36" x14ac:dyDescent="0.2">
      <c r="A190">
        <v>225</v>
      </c>
      <c r="B190">
        <v>786</v>
      </c>
      <c r="C190">
        <v>100</v>
      </c>
      <c r="D190">
        <v>0.50540574989378495</v>
      </c>
      <c r="E190">
        <v>8.6509081753710806</v>
      </c>
      <c r="F190">
        <v>2.53834005884787</v>
      </c>
      <c r="G190">
        <v>-142.15959957127262</v>
      </c>
      <c r="H190">
        <v>-123.82350903637123</v>
      </c>
      <c r="I190">
        <v>17.3120809468926</v>
      </c>
      <c r="J190">
        <v>10.061056528942199</v>
      </c>
      <c r="K190">
        <v>3.4080966201579899</v>
      </c>
      <c r="L190">
        <v>0</v>
      </c>
      <c r="M190">
        <v>1.2381143945371711E-6</v>
      </c>
      <c r="N190">
        <v>0</v>
      </c>
      <c r="O190" s="1">
        <v>4.8366144695398301E-12</v>
      </c>
      <c r="P190">
        <v>0</v>
      </c>
      <c r="Q190">
        <v>100</v>
      </c>
      <c r="AJ190">
        <v>1</v>
      </c>
    </row>
    <row r="191" spans="1:36" x14ac:dyDescent="0.2">
      <c r="A191">
        <v>226</v>
      </c>
      <c r="B191">
        <v>785</v>
      </c>
      <c r="C191">
        <v>100</v>
      </c>
      <c r="D191">
        <v>0.50487218258281097</v>
      </c>
      <c r="E191">
        <v>12.1632945399673</v>
      </c>
      <c r="F191">
        <v>2.53834005884787</v>
      </c>
      <c r="G191">
        <v>-199.85399591204762</v>
      </c>
      <c r="H191">
        <v>-174.11168274852966</v>
      </c>
      <c r="I191">
        <v>24.327659749107301</v>
      </c>
      <c r="J191">
        <v>14.144303562895301</v>
      </c>
      <c r="K191">
        <v>4.7918301953159501</v>
      </c>
      <c r="L191">
        <v>0</v>
      </c>
      <c r="M191">
        <v>1.2381143945371707E-6</v>
      </c>
      <c r="N191">
        <v>0</v>
      </c>
      <c r="O191" s="1">
        <v>6.8003457182409999E-12</v>
      </c>
      <c r="P191">
        <v>0</v>
      </c>
      <c r="Q191">
        <v>100</v>
      </c>
      <c r="AJ191">
        <v>1</v>
      </c>
    </row>
    <row r="192" spans="1:36" x14ac:dyDescent="0.2">
      <c r="A192">
        <v>227</v>
      </c>
      <c r="B192">
        <v>784</v>
      </c>
      <c r="C192">
        <v>100</v>
      </c>
      <c r="D192">
        <v>0.50433760582698905</v>
      </c>
      <c r="E192">
        <v>20.391636095853499</v>
      </c>
      <c r="F192">
        <v>2.53834005884787</v>
      </c>
      <c r="G192">
        <v>-335.01236026897368</v>
      </c>
      <c r="H192">
        <v>-291.92012668297741</v>
      </c>
      <c r="I192">
        <v>40.762648239129902</v>
      </c>
      <c r="J192">
        <v>23.709956686470498</v>
      </c>
      <c r="K192">
        <v>8.0334532107999195</v>
      </c>
      <c r="L192">
        <v>0</v>
      </c>
      <c r="M192">
        <v>1.2381143945371711E-6</v>
      </c>
      <c r="N192">
        <v>0</v>
      </c>
      <c r="O192" s="1">
        <v>1.14007084804787E-11</v>
      </c>
      <c r="P192">
        <v>0</v>
      </c>
      <c r="Q192">
        <v>100</v>
      </c>
      <c r="AJ192">
        <v>1</v>
      </c>
    </row>
    <row r="193" spans="1:36" x14ac:dyDescent="0.2">
      <c r="A193">
        <v>228</v>
      </c>
      <c r="B193">
        <v>783</v>
      </c>
      <c r="C193">
        <v>100</v>
      </c>
      <c r="D193">
        <v>0.50380201675898495</v>
      </c>
      <c r="E193">
        <v>25.0594080507501</v>
      </c>
      <c r="F193">
        <v>2.53834005884787</v>
      </c>
      <c r="G193">
        <v>-411.64868732590696</v>
      </c>
      <c r="H193">
        <v>-358.7715895117725</v>
      </c>
      <c r="I193">
        <v>50.065897660497498</v>
      </c>
      <c r="J193">
        <v>29.1338395825093</v>
      </c>
      <c r="K193">
        <v>9.8723604677792096</v>
      </c>
      <c r="L193">
        <v>0</v>
      </c>
      <c r="M193">
        <v>1.2381143945371711E-6</v>
      </c>
      <c r="N193">
        <v>0</v>
      </c>
      <c r="O193" s="1">
        <v>1.40104013497012E-11</v>
      </c>
      <c r="P193">
        <v>0</v>
      </c>
      <c r="Q193">
        <v>100</v>
      </c>
      <c r="AJ193">
        <v>1</v>
      </c>
    </row>
    <row r="194" spans="1:36" x14ac:dyDescent="0.2">
      <c r="A194">
        <v>229</v>
      </c>
      <c r="B194">
        <v>782</v>
      </c>
      <c r="C194">
        <v>100</v>
      </c>
      <c r="D194">
        <v>0.50326541250059598</v>
      </c>
      <c r="E194">
        <v>28.510477786240799</v>
      </c>
      <c r="F194">
        <v>2.53834005884787</v>
      </c>
      <c r="G194">
        <v>-468.28216064204167</v>
      </c>
      <c r="H194">
        <v>-408.21315421658761</v>
      </c>
      <c r="I194">
        <v>56.929352628018798</v>
      </c>
      <c r="J194">
        <v>33.142061947409999</v>
      </c>
      <c r="K194">
        <v>11.231937851219699</v>
      </c>
      <c r="L194">
        <v>0</v>
      </c>
      <c r="M194">
        <v>1.2381143945371709E-6</v>
      </c>
      <c r="N194">
        <v>0</v>
      </c>
      <c r="O194" s="1">
        <v>1.59398512386257E-11</v>
      </c>
      <c r="P194">
        <v>0</v>
      </c>
      <c r="Q194">
        <v>100</v>
      </c>
      <c r="AJ194">
        <v>1</v>
      </c>
    </row>
    <row r="195" spans="1:36" x14ac:dyDescent="0.2">
      <c r="A195">
        <v>230</v>
      </c>
      <c r="B195">
        <v>781</v>
      </c>
      <c r="C195">
        <v>100</v>
      </c>
      <c r="D195">
        <v>0.50272779016268998</v>
      </c>
      <c r="E195">
        <v>30.5343028487986</v>
      </c>
      <c r="F195">
        <v>2.53834005884787</v>
      </c>
      <c r="G195">
        <v>-501.4623606276507</v>
      </c>
      <c r="H195">
        <v>-437.22578345994884</v>
      </c>
      <c r="I195">
        <v>60.936846907652402</v>
      </c>
      <c r="J195">
        <v>35.490411501751801</v>
      </c>
      <c r="K195">
        <v>12.029240425200401</v>
      </c>
      <c r="L195">
        <v>0</v>
      </c>
      <c r="M195">
        <v>1.2381143945371709E-6</v>
      </c>
      <c r="N195">
        <v>0</v>
      </c>
      <c r="O195" s="1">
        <v>1.7071346497037101E-11</v>
      </c>
      <c r="P195">
        <v>0</v>
      </c>
      <c r="Q195">
        <v>100</v>
      </c>
      <c r="AJ195">
        <v>1</v>
      </c>
    </row>
    <row r="196" spans="1:36" x14ac:dyDescent="0.2">
      <c r="A196">
        <v>231</v>
      </c>
      <c r="B196">
        <v>780</v>
      </c>
      <c r="C196">
        <v>100</v>
      </c>
      <c r="D196">
        <v>0.50218914684517901</v>
      </c>
      <c r="E196">
        <v>31.615702756373601</v>
      </c>
      <c r="F196">
        <v>2.53834005884787</v>
      </c>
      <c r="G196">
        <v>-519.15902539931039</v>
      </c>
      <c r="H196">
        <v>-452.74727452427044</v>
      </c>
      <c r="I196">
        <v>63.060106228970199</v>
      </c>
      <c r="J196">
        <v>36.7429267062967</v>
      </c>
      <c r="K196">
        <v>12.4552668371485</v>
      </c>
      <c r="L196">
        <v>0</v>
      </c>
      <c r="M196">
        <v>1.2381143945371709E-6</v>
      </c>
      <c r="N196">
        <v>0</v>
      </c>
      <c r="O196" s="1">
        <v>1.7675943648493E-11</v>
      </c>
      <c r="P196">
        <v>0</v>
      </c>
      <c r="Q196">
        <v>100</v>
      </c>
      <c r="AJ19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DDF89-EF24-47B0-AC82-A2CA57E39F33}">
  <sheetPr codeName="Sheet14"/>
  <dimension ref="A1:AJ23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763</v>
      </c>
      <c r="C2">
        <v>300</v>
      </c>
      <c r="D2">
        <v>0.280548665733729</v>
      </c>
      <c r="E2">
        <v>3.6640424314097002</v>
      </c>
      <c r="F2">
        <v>0.57562331808927703</v>
      </c>
      <c r="G2">
        <v>-79.426035181624101</v>
      </c>
      <c r="H2">
        <v>-46.590191368192684</v>
      </c>
      <c r="I2">
        <v>31.692265215951899</v>
      </c>
      <c r="J2">
        <v>13.987846155723499</v>
      </c>
      <c r="K2">
        <v>6.3653474698907502</v>
      </c>
      <c r="L2">
        <v>1.1143947810126759E-3</v>
      </c>
      <c r="M2">
        <v>1.6962729035982141E-4</v>
      </c>
      <c r="N2" s="1">
        <v>4.48768805945829E-6</v>
      </c>
      <c r="O2" s="1">
        <v>7.8075751011229701E-7</v>
      </c>
      <c r="P2" s="1">
        <v>-3.1131763242762998E-6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300</v>
      </c>
      <c r="D3">
        <v>0.27978602134956498</v>
      </c>
      <c r="E3">
        <v>3.66923287261117</v>
      </c>
      <c r="F3">
        <v>0.576265301537632</v>
      </c>
      <c r="G3">
        <v>-79.506818810029102</v>
      </c>
      <c r="H3">
        <v>-46.670200818467727</v>
      </c>
      <c r="I3">
        <v>31.7236320841692</v>
      </c>
      <c r="J3">
        <v>14.012958379491501</v>
      </c>
      <c r="K3">
        <v>6.3672632428512701</v>
      </c>
      <c r="L3">
        <v>1.1149294593023494E-3</v>
      </c>
      <c r="M3">
        <v>1.6932698841657168E-4</v>
      </c>
      <c r="N3" s="1">
        <v>4.5244026331551696E-6</v>
      </c>
      <c r="O3" s="1">
        <v>7.7920196086855595E-7</v>
      </c>
      <c r="P3" s="1">
        <v>-3.11576236744018E-6</v>
      </c>
      <c r="AE3">
        <v>100</v>
      </c>
      <c r="AJ3">
        <v>1</v>
      </c>
    </row>
    <row r="4" spans="1:36" x14ac:dyDescent="0.2">
      <c r="A4">
        <v>3</v>
      </c>
      <c r="B4">
        <v>761</v>
      </c>
      <c r="C4">
        <v>300</v>
      </c>
      <c r="D4">
        <v>0.27902190204515798</v>
      </c>
      <c r="E4">
        <v>3.6819395447338699</v>
      </c>
      <c r="F4">
        <v>0.576908308179374</v>
      </c>
      <c r="G4">
        <v>-79.750326798291553</v>
      </c>
      <c r="H4">
        <v>-46.845885373734909</v>
      </c>
      <c r="I4">
        <v>31.819898908728</v>
      </c>
      <c r="J4">
        <v>14.066793464001901</v>
      </c>
      <c r="K4">
        <v>6.38219192293045</v>
      </c>
      <c r="L4">
        <v>1.1154597627144281E-3</v>
      </c>
      <c r="M4">
        <v>1.6902618480831816E-4</v>
      </c>
      <c r="N4" s="1">
        <v>4.5705624040289401E-6</v>
      </c>
      <c r="O4" s="1">
        <v>7.7922939592723405E-7</v>
      </c>
      <c r="P4" s="1">
        <v>-3.1246916792668E-6</v>
      </c>
      <c r="AE4">
        <v>100</v>
      </c>
      <c r="AJ4">
        <v>1</v>
      </c>
    </row>
    <row r="5" spans="1:36" x14ac:dyDescent="0.2">
      <c r="A5">
        <v>4</v>
      </c>
      <c r="B5">
        <v>760</v>
      </c>
      <c r="C5">
        <v>300</v>
      </c>
      <c r="D5">
        <v>0.27825630353772701</v>
      </c>
      <c r="E5">
        <v>3.6945592545915602</v>
      </c>
      <c r="F5">
        <v>0.57755233730724798</v>
      </c>
      <c r="G5">
        <v>-79.991745922893202</v>
      </c>
      <c r="H5">
        <v>-47.020565557462675</v>
      </c>
      <c r="I5">
        <v>31.915302346327099</v>
      </c>
      <c r="J5">
        <v>14.120324867089501</v>
      </c>
      <c r="K5">
        <v>6.3969254662129797</v>
      </c>
      <c r="L5">
        <v>1.1159856656337461E-3</v>
      </c>
      <c r="M5">
        <v>1.6872488244912802E-4</v>
      </c>
      <c r="N5" s="1">
        <v>4.6168520982015696E-6</v>
      </c>
      <c r="O5" s="1">
        <v>7.7921990914606903E-7</v>
      </c>
      <c r="P5" s="1">
        <v>-3.1335039123376002E-6</v>
      </c>
      <c r="AE5">
        <v>100</v>
      </c>
      <c r="AJ5">
        <v>1</v>
      </c>
    </row>
    <row r="6" spans="1:36" x14ac:dyDescent="0.2">
      <c r="A6">
        <v>5</v>
      </c>
      <c r="B6">
        <v>759</v>
      </c>
      <c r="C6">
        <v>300</v>
      </c>
      <c r="D6">
        <v>0.27748922152788302</v>
      </c>
      <c r="E6">
        <v>3.7070926052357702</v>
      </c>
      <c r="F6">
        <v>0.57819738819157096</v>
      </c>
      <c r="G6">
        <v>-80.231091647858619</v>
      </c>
      <c r="H6">
        <v>-47.194248096561992</v>
      </c>
      <c r="I6">
        <v>32.0098483527848</v>
      </c>
      <c r="J6">
        <v>14.173554296891799</v>
      </c>
      <c r="K6">
        <v>6.4114654976744996</v>
      </c>
      <c r="L6">
        <v>1.116507142505252E-3</v>
      </c>
      <c r="M6">
        <v>1.6842308428334E-4</v>
      </c>
      <c r="N6" s="1">
        <v>4.6632695023560397E-6</v>
      </c>
      <c r="O6" s="1">
        <v>7.7917385884848902E-7</v>
      </c>
      <c r="P6" s="1">
        <v>-3.1421993358115499E-6</v>
      </c>
      <c r="AE6">
        <v>100</v>
      </c>
      <c r="AJ6">
        <v>1</v>
      </c>
    </row>
    <row r="7" spans="1:36" x14ac:dyDescent="0.2">
      <c r="A7">
        <v>6</v>
      </c>
      <c r="B7">
        <v>758</v>
      </c>
      <c r="C7">
        <v>300</v>
      </c>
      <c r="D7">
        <v>0.27672065169955901</v>
      </c>
      <c r="E7">
        <v>3.7195401912581798</v>
      </c>
      <c r="F7">
        <v>0.57884346008014098</v>
      </c>
      <c r="G7">
        <v>-80.468379231716611</v>
      </c>
      <c r="H7">
        <v>-47.366939618434891</v>
      </c>
      <c r="I7">
        <v>32.1035428042332</v>
      </c>
      <c r="J7">
        <v>14.2264834316274</v>
      </c>
      <c r="K7">
        <v>6.4258136228112699</v>
      </c>
      <c r="L7">
        <v>1.1170241678359536E-3</v>
      </c>
      <c r="M7">
        <v>1.6812079328550449E-4</v>
      </c>
      <c r="N7" s="1">
        <v>4.7098123882637998E-6</v>
      </c>
      <c r="O7" s="1">
        <v>7.7909160068512398E-7</v>
      </c>
      <c r="P7" s="1">
        <v>-3.15077821574796E-6</v>
      </c>
      <c r="AE7">
        <v>100</v>
      </c>
      <c r="AJ7">
        <v>1</v>
      </c>
    </row>
    <row r="8" spans="1:36" x14ac:dyDescent="0.2">
      <c r="A8">
        <v>7</v>
      </c>
      <c r="B8">
        <v>757</v>
      </c>
      <c r="C8">
        <v>300</v>
      </c>
      <c r="D8">
        <v>0.27595058971994302</v>
      </c>
      <c r="E8">
        <v>3.73190259891568</v>
      </c>
      <c r="F8">
        <v>0.57949055219813395</v>
      </c>
      <c r="G8">
        <v>-80.703623730586386</v>
      </c>
      <c r="H8">
        <v>-47.538646652412638</v>
      </c>
      <c r="I8">
        <v>32.196391498331202</v>
      </c>
      <c r="J8">
        <v>14.2791139200296</v>
      </c>
      <c r="K8">
        <v>6.4399714279374596</v>
      </c>
      <c r="L8">
        <v>1.1175367161963979E-3</v>
      </c>
      <c r="M8">
        <v>1.6781801246025402E-4</v>
      </c>
      <c r="N8" s="1">
        <v>4.7564785128916598E-6</v>
      </c>
      <c r="O8" s="1">
        <v>7.7897348768033204E-7</v>
      </c>
      <c r="P8" s="1">
        <v>-3.1592408152444898E-6</v>
      </c>
      <c r="AE8">
        <v>100</v>
      </c>
      <c r="AJ8">
        <v>1</v>
      </c>
    </row>
    <row r="9" spans="1:36" x14ac:dyDescent="0.2">
      <c r="A9">
        <v>8</v>
      </c>
      <c r="B9">
        <v>756</v>
      </c>
      <c r="C9">
        <v>300</v>
      </c>
      <c r="D9">
        <v>0.27517903123937498</v>
      </c>
      <c r="E9">
        <v>3.7441804060413699</v>
      </c>
      <c r="F9">
        <v>0.58013866374805401</v>
      </c>
      <c r="G9">
        <v>-80.93683999663233</v>
      </c>
      <c r="H9">
        <v>-47.709375628470561</v>
      </c>
      <c r="I9">
        <v>32.288400153630697</v>
      </c>
      <c r="J9">
        <v>14.331447380975399</v>
      </c>
      <c r="K9">
        <v>6.4539404801115197</v>
      </c>
      <c r="L9">
        <v>1.118044762222764E-3</v>
      </c>
      <c r="M9">
        <v>1.6751474484224941E-4</v>
      </c>
      <c r="N9" s="1">
        <v>4.80326561825088E-6</v>
      </c>
      <c r="O9" s="1">
        <v>7.7881987023431402E-7</v>
      </c>
      <c r="P9" s="1">
        <v>-3.16758739439734E-6</v>
      </c>
      <c r="AE9">
        <v>100</v>
      </c>
      <c r="AJ9">
        <v>1</v>
      </c>
    </row>
    <row r="10" spans="1:36" x14ac:dyDescent="0.2">
      <c r="A10">
        <v>9</v>
      </c>
      <c r="B10">
        <v>755</v>
      </c>
      <c r="C10">
        <v>300</v>
      </c>
      <c r="D10">
        <v>0.27440597189125798</v>
      </c>
      <c r="E10">
        <v>3.7563741822778902</v>
      </c>
      <c r="F10">
        <v>0.58078779390964097</v>
      </c>
      <c r="G10">
        <v>-81.168042683487158</v>
      </c>
      <c r="H10">
        <v>-47.87913288004949</v>
      </c>
      <c r="I10">
        <v>32.379574411722501</v>
      </c>
      <c r="J10">
        <v>14.3834854043349</v>
      </c>
      <c r="K10">
        <v>6.4677223276188602</v>
      </c>
      <c r="L10">
        <v>1.1185482806184512E-3</v>
      </c>
      <c r="M10">
        <v>1.6721099349605636E-4</v>
      </c>
      <c r="N10" s="1">
        <v>4.85017143164905E-6</v>
      </c>
      <c r="O10" s="1">
        <v>7.7863109619172504E-7</v>
      </c>
      <c r="P10" s="1">
        <v>-3.1758182105314602E-6</v>
      </c>
      <c r="AE10">
        <v>100</v>
      </c>
      <c r="AJ10">
        <v>1</v>
      </c>
    </row>
    <row r="11" spans="1:36" x14ac:dyDescent="0.2">
      <c r="A11">
        <v>10</v>
      </c>
      <c r="B11">
        <v>754</v>
      </c>
      <c r="C11">
        <v>300</v>
      </c>
      <c r="D11">
        <v>0.27363140729202201</v>
      </c>
      <c r="E11">
        <v>3.7684844890928701</v>
      </c>
      <c r="F11">
        <v>0.58143794183976405</v>
      </c>
      <c r="G11">
        <v>-81.397246246955305</v>
      </c>
      <c r="H11">
        <v>-48.047924644101762</v>
      </c>
      <c r="I11">
        <v>32.469919837501401</v>
      </c>
      <c r="J11">
        <v>14.4352295509964</v>
      </c>
      <c r="K11">
        <v>6.4813185000771796</v>
      </c>
      <c r="L11">
        <v>1.1190472461558236E-3</v>
      </c>
      <c r="M11">
        <v>1.6690676151603711E-4</v>
      </c>
      <c r="N11" s="1">
        <v>4.89719366568359E-6</v>
      </c>
      <c r="O11" s="1">
        <v>7.7840751086449301E-7</v>
      </c>
      <c r="P11" s="1">
        <v>-3.18393351824791E-6</v>
      </c>
      <c r="AE11">
        <v>100</v>
      </c>
      <c r="AJ11">
        <v>1</v>
      </c>
    </row>
    <row r="12" spans="1:36" x14ac:dyDescent="0.2">
      <c r="A12">
        <v>11</v>
      </c>
      <c r="B12">
        <v>753</v>
      </c>
      <c r="C12">
        <v>300</v>
      </c>
      <c r="D12">
        <v>0.27285533304097898</v>
      </c>
      <c r="E12">
        <v>3.78051187992914</v>
      </c>
      <c r="F12">
        <v>0.58208910667238001</v>
      </c>
      <c r="G12">
        <v>-81.624464948626141</v>
      </c>
      <c r="H12">
        <v>-48.215757062859169</v>
      </c>
      <c r="I12">
        <v>32.559441920591198</v>
      </c>
      <c r="J12">
        <v>14.486681353403201</v>
      </c>
      <c r="K12">
        <v>6.4947305087723404</v>
      </c>
      <c r="L12">
        <v>1.1195416336781839E-3</v>
      </c>
      <c r="M12">
        <v>1.6660205202628591E-4</v>
      </c>
      <c r="N12" s="1">
        <v>4.9443300183980298E-6</v>
      </c>
      <c r="O12" s="1">
        <v>7.7814945708247195E-7</v>
      </c>
      <c r="P12" s="1">
        <v>-3.1919335695851202E-6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300</v>
      </c>
      <c r="D13">
        <v>0.27207774472028401</v>
      </c>
      <c r="E13">
        <v>3.79245690014826</v>
      </c>
      <c r="F13">
        <v>0.58274128751843002</v>
      </c>
      <c r="G13">
        <v>-81.849712855017671</v>
      </c>
      <c r="H13">
        <v>-48.382636182965989</v>
      </c>
      <c r="I13">
        <v>32.648146074987501</v>
      </c>
      <c r="J13">
        <v>14.5378423153049</v>
      </c>
      <c r="K13">
        <v>6.5079598466383102</v>
      </c>
      <c r="L13">
        <v>1.1200314181014448E-3</v>
      </c>
      <c r="M13">
        <v>1.6629686818048775E-4</v>
      </c>
      <c r="N13" s="1">
        <v>4.9915781731841798E-6</v>
      </c>
      <c r="O13" s="1">
        <v>7.7785727520047197E-7</v>
      </c>
      <c r="P13" s="1">
        <v>-3.1998186140044001E-6</v>
      </c>
      <c r="AE13">
        <v>100</v>
      </c>
      <c r="AJ13">
        <v>1</v>
      </c>
    </row>
    <row r="14" spans="1:36" x14ac:dyDescent="0.2">
      <c r="A14">
        <v>13</v>
      </c>
      <c r="B14">
        <v>751</v>
      </c>
      <c r="C14">
        <v>300</v>
      </c>
      <c r="D14">
        <v>0.27129863789483999</v>
      </c>
      <c r="E14">
        <v>3.80432008723231</v>
      </c>
      <c r="F14">
        <v>0.58339448346576706</v>
      </c>
      <c r="G14">
        <v>-82.073003842294895</v>
      </c>
      <c r="H14">
        <v>-48.548567957906023</v>
      </c>
      <c r="I14">
        <v>32.736037640926398</v>
      </c>
      <c r="J14">
        <v>14.5887139124924</v>
      </c>
      <c r="K14">
        <v>6.5210079886803403</v>
      </c>
      <c r="L14">
        <v>1.1205165744157335E-3</v>
      </c>
      <c r="M14">
        <v>1.6599121316179932E-4</v>
      </c>
      <c r="N14" s="1">
        <v>5.0389357990212403E-6</v>
      </c>
      <c r="O14" s="1">
        <v>7.7753130315842302E-7</v>
      </c>
      <c r="P14" s="1">
        <v>-3.20758889859373E-6</v>
      </c>
      <c r="AE14">
        <v>100</v>
      </c>
      <c r="AJ14">
        <v>1</v>
      </c>
    </row>
    <row r="15" spans="1:36" x14ac:dyDescent="0.2">
      <c r="A15">
        <v>14</v>
      </c>
      <c r="B15">
        <v>750</v>
      </c>
      <c r="C15">
        <v>300</v>
      </c>
      <c r="D15">
        <v>0.270518008112205</v>
      </c>
      <c r="E15">
        <v>3.8161019707655899</v>
      </c>
      <c r="F15">
        <v>0.58404869357908595</v>
      </c>
      <c r="G15">
        <v>-82.294351596230456</v>
      </c>
      <c r="H15">
        <v>-48.713558247626409</v>
      </c>
      <c r="I15">
        <v>32.823121884852803</v>
      </c>
      <c r="J15">
        <v>14.6392975926963</v>
      </c>
      <c r="K15">
        <v>6.53387639201841</v>
      </c>
      <c r="L15">
        <v>1.1209970776875702E-3</v>
      </c>
      <c r="M15">
        <v>1.6568509018277566E-4</v>
      </c>
      <c r="N15" s="1">
        <v>5.0864005504315699E-6</v>
      </c>
      <c r="O15" s="1">
        <v>7.7717187649614901E-7</v>
      </c>
      <c r="P15" s="1">
        <v>-3.21524466808708E-6</v>
      </c>
      <c r="AE15">
        <v>100</v>
      </c>
      <c r="AJ15">
        <v>1</v>
      </c>
    </row>
    <row r="16" spans="1:36" x14ac:dyDescent="0.2">
      <c r="A16">
        <v>15</v>
      </c>
      <c r="B16">
        <v>749</v>
      </c>
      <c r="C16">
        <v>300</v>
      </c>
      <c r="D16">
        <v>0.26973585090251001</v>
      </c>
      <c r="E16">
        <v>3.8278030726243402</v>
      </c>
      <c r="F16">
        <v>0.58470391689982804</v>
      </c>
      <c r="G16">
        <v>-82.513769616649938</v>
      </c>
      <c r="H16">
        <v>-48.87761282081398</v>
      </c>
      <c r="I16">
        <v>32.909404001181898</v>
      </c>
      <c r="J16">
        <v>14.6895947762776</v>
      </c>
      <c r="K16">
        <v>6.5465664962872498</v>
      </c>
      <c r="L16">
        <v>1.1214729030611576E-3</v>
      </c>
      <c r="M16">
        <v>1.653785024852026E-4</v>
      </c>
      <c r="N16" s="1">
        <v>5.1339700677145403E-6</v>
      </c>
      <c r="O16" s="1">
        <v>7.7677932840968696E-7</v>
      </c>
      <c r="P16" s="1">
        <v>-3.2227861650565399E-6</v>
      </c>
      <c r="AE16">
        <v>100</v>
      </c>
      <c r="AJ16">
        <v>1</v>
      </c>
    </row>
    <row r="17" spans="1:36" x14ac:dyDescent="0.2">
      <c r="A17">
        <v>16</v>
      </c>
      <c r="B17">
        <v>748</v>
      </c>
      <c r="C17">
        <v>300</v>
      </c>
      <c r="D17">
        <v>0.26895216177838999</v>
      </c>
      <c r="E17">
        <v>3.8394239069466001</v>
      </c>
      <c r="F17">
        <v>0.58536015244613604</v>
      </c>
      <c r="G17">
        <v>-82.731271217130711</v>
      </c>
      <c r="H17">
        <v>-49.040737354371288</v>
      </c>
      <c r="I17">
        <v>32.994889112164302</v>
      </c>
      <c r="J17">
        <v>14.7396068560848</v>
      </c>
      <c r="K17">
        <v>6.5590797236576499</v>
      </c>
      <c r="L17">
        <v>1.1219440257605906E-3</v>
      </c>
      <c r="M17">
        <v>1.650714533400102E-4</v>
      </c>
      <c r="N17" s="1">
        <v>5.1816419768972598E-6</v>
      </c>
      <c r="O17" s="1">
        <v>7.7635398976282702E-7</v>
      </c>
      <c r="P17" s="1">
        <v>-3.2302136299215699E-6</v>
      </c>
      <c r="AE17">
        <v>100</v>
      </c>
      <c r="AJ17">
        <v>1</v>
      </c>
    </row>
    <row r="18" spans="1:36" x14ac:dyDescent="0.2">
      <c r="A18">
        <v>17</v>
      </c>
      <c r="B18">
        <v>747</v>
      </c>
      <c r="C18">
        <v>300</v>
      </c>
      <c r="D18">
        <v>0.26816693623486898</v>
      </c>
      <c r="E18">
        <v>3.8509649801941799</v>
      </c>
      <c r="F18">
        <v>0.58601739921274598</v>
      </c>
      <c r="G18">
        <v>-82.946869526683955</v>
      </c>
      <c r="H18">
        <v>-49.202937434065532</v>
      </c>
      <c r="I18">
        <v>33.079582268545202</v>
      </c>
      <c r="J18">
        <v>14.789335197652001</v>
      </c>
      <c r="K18">
        <v>6.5714174790160804</v>
      </c>
      <c r="L18">
        <v>1.1224104210913086E-3</v>
      </c>
      <c r="M18">
        <v>1.6476394604712205E-4</v>
      </c>
      <c r="N18" s="1">
        <v>5.2294138898006902E-6</v>
      </c>
      <c r="O18" s="1">
        <v>7.7589618911686005E-7</v>
      </c>
      <c r="P18" s="1">
        <v>-3.2375273010332098E-6</v>
      </c>
      <c r="AE18">
        <v>100</v>
      </c>
      <c r="AJ18">
        <v>1</v>
      </c>
    </row>
    <row r="19" spans="1:36" x14ac:dyDescent="0.2">
      <c r="A19">
        <v>18</v>
      </c>
      <c r="B19">
        <v>746</v>
      </c>
      <c r="C19">
        <v>300</v>
      </c>
      <c r="D19">
        <v>0.26738016974930101</v>
      </c>
      <c r="E19">
        <v>3.8624267912204502</v>
      </c>
      <c r="F19">
        <v>0.58667565617094397</v>
      </c>
      <c r="G19">
        <v>-83.160577491560389</v>
      </c>
      <c r="H19">
        <v>-49.364218555255071</v>
      </c>
      <c r="I19">
        <v>33.163488450272602</v>
      </c>
      <c r="J19">
        <v>14.8387811394336</v>
      </c>
      <c r="K19">
        <v>6.5835811501526198</v>
      </c>
      <c r="L19">
        <v>1.1228720644420381E-3</v>
      </c>
      <c r="M19">
        <v>1.6445598393534667E-4</v>
      </c>
      <c r="N19" s="1">
        <v>5.2772834041312399E-6</v>
      </c>
      <c r="O19" s="1">
        <v>7.75406252761505E-7</v>
      </c>
      <c r="P19" s="1">
        <v>-3.24472741476587E-6</v>
      </c>
      <c r="AE19">
        <v>100</v>
      </c>
      <c r="AJ19">
        <v>1</v>
      </c>
    </row>
    <row r="20" spans="1:36" x14ac:dyDescent="0.2">
      <c r="A20">
        <v>19</v>
      </c>
      <c r="B20">
        <v>745</v>
      </c>
      <c r="C20">
        <v>300</v>
      </c>
      <c r="D20">
        <v>0.26659185778126798</v>
      </c>
      <c r="E20">
        <v>3.87380983158398</v>
      </c>
      <c r="F20">
        <v>0.58733492226846895</v>
      </c>
      <c r="G20">
        <v>-83.372407882342259</v>
      </c>
      <c r="H20">
        <v>-49.524586126760198</v>
      </c>
      <c r="I20">
        <v>33.246612569313797</v>
      </c>
      <c r="J20">
        <v>14.8879459939744</v>
      </c>
      <c r="K20">
        <v>6.5955721083672803</v>
      </c>
      <c r="L20">
        <v>1.1233289312865035E-3</v>
      </c>
      <c r="M20">
        <v>1.6414757036223095E-4</v>
      </c>
      <c r="N20" s="1">
        <v>5.3252481039002503E-6</v>
      </c>
      <c r="O20" s="1">
        <v>7.7488450479431795E-7</v>
      </c>
      <c r="P20" s="1">
        <v>-3.25181420581299E-6</v>
      </c>
      <c r="AE20">
        <v>100</v>
      </c>
      <c r="AJ20">
        <v>1</v>
      </c>
    </row>
    <row r="21" spans="1:36" x14ac:dyDescent="0.2">
      <c r="A21">
        <v>20</v>
      </c>
      <c r="B21">
        <v>744</v>
      </c>
      <c r="C21">
        <v>300</v>
      </c>
      <c r="D21">
        <v>0.26580199577250502</v>
      </c>
      <c r="E21">
        <v>3.88511458501833</v>
      </c>
      <c r="F21">
        <v>0.58799519642945897</v>
      </c>
      <c r="G21">
        <v>-83.582373282863884</v>
      </c>
      <c r="H21">
        <v>-49.684045463947839</v>
      </c>
      <c r="I21">
        <v>33.328959465226298</v>
      </c>
      <c r="J21">
        <v>14.936831045843601</v>
      </c>
      <c r="K21">
        <v>6.6073917076368902</v>
      </c>
      <c r="L21">
        <v>1.1237809971851975E-3</v>
      </c>
      <c r="M21">
        <v>1.6383870871392443E-4</v>
      </c>
      <c r="N21" s="1">
        <v>5.3733055586984201E-6</v>
      </c>
      <c r="O21" s="1">
        <v>7.7433126703059797E-7</v>
      </c>
      <c r="P21" s="1">
        <v>-3.2587879067747201E-6</v>
      </c>
      <c r="AE21">
        <v>100</v>
      </c>
      <c r="AJ21">
        <v>1</v>
      </c>
    </row>
    <row r="22" spans="1:36" x14ac:dyDescent="0.2">
      <c r="A22">
        <v>21</v>
      </c>
      <c r="B22">
        <v>743</v>
      </c>
      <c r="C22">
        <v>300</v>
      </c>
      <c r="D22">
        <v>0.265010579146782</v>
      </c>
      <c r="E22">
        <v>3.8963415281740601</v>
      </c>
      <c r="F22">
        <v>0.58865647755436701</v>
      </c>
      <c r="G22">
        <v>-83.79048610652022</v>
      </c>
      <c r="H22">
        <v>-49.842601798081034</v>
      </c>
      <c r="I22">
        <v>33.4105339116512</v>
      </c>
      <c r="J22">
        <v>14.985437554455499</v>
      </c>
      <c r="K22">
        <v>6.6190412859496597</v>
      </c>
      <c r="L22">
        <v>1.1242282377871369E-3</v>
      </c>
      <c r="M22">
        <v>1.6352940240504921E-4</v>
      </c>
      <c r="N22" s="1">
        <v>5.4214533247165697E-6</v>
      </c>
      <c r="O22" s="1">
        <v>7.7374685916828103E-7</v>
      </c>
      <c r="P22" s="1">
        <v>-3.2656487488143001E-6</v>
      </c>
      <c r="AE22">
        <v>100</v>
      </c>
      <c r="AJ22">
        <v>1</v>
      </c>
    </row>
    <row r="23" spans="1:36" x14ac:dyDescent="0.2">
      <c r="A23">
        <v>22</v>
      </c>
      <c r="B23">
        <v>742</v>
      </c>
      <c r="C23">
        <v>300</v>
      </c>
      <c r="D23">
        <v>0.264217603309855</v>
      </c>
      <c r="E23">
        <v>3.9074911302795798</v>
      </c>
      <c r="F23">
        <v>0.58931876451991005</v>
      </c>
      <c r="G23">
        <v>-83.996758589294132</v>
      </c>
      <c r="H23">
        <v>-50.000260271849264</v>
      </c>
      <c r="I23">
        <v>33.491340613522098</v>
      </c>
      <c r="J23">
        <v>15.0337667527369</v>
      </c>
      <c r="K23">
        <v>6.6305221647962203</v>
      </c>
      <c r="L23">
        <v>1.12467062883161E-3</v>
      </c>
      <c r="M23">
        <v>1.6321965487853319E-4</v>
      </c>
      <c r="N23" s="1">
        <v>5.4696889442918402E-6</v>
      </c>
      <c r="O23" s="1">
        <v>7.7313159873529703E-7</v>
      </c>
      <c r="P23" s="1">
        <v>-3.2723969614056302E-6</v>
      </c>
      <c r="AE23">
        <v>100</v>
      </c>
      <c r="AJ23">
        <v>1</v>
      </c>
    </row>
    <row r="24" spans="1:36" x14ac:dyDescent="0.2">
      <c r="A24">
        <v>23</v>
      </c>
      <c r="B24">
        <v>741</v>
      </c>
      <c r="C24">
        <v>300</v>
      </c>
      <c r="D24">
        <v>0.26342306364936202</v>
      </c>
      <c r="E24">
        <v>3.9185638532077798</v>
      </c>
      <c r="F24">
        <v>0.58998205617897403</v>
      </c>
      <c r="G24">
        <v>-84.201202791519847</v>
      </c>
      <c r="H24">
        <v>-50.157025940084175</v>
      </c>
      <c r="I24">
        <v>33.571384207759998</v>
      </c>
      <c r="J24">
        <v>15.0818198473546</v>
      </c>
      <c r="K24">
        <v>6.64183564935247</v>
      </c>
      <c r="L24">
        <v>1.125108146149987E-3</v>
      </c>
      <c r="M24">
        <v>1.6290946960549651E-4</v>
      </c>
      <c r="N24" s="1">
        <v>5.51800994599486E-6</v>
      </c>
      <c r="O24" s="1">
        <v>7.7248580111874499E-7</v>
      </c>
      <c r="P24" s="1">
        <v>-3.2790327724217599E-6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300</v>
      </c>
      <c r="D25">
        <v>0.26262695553471999</v>
      </c>
      <c r="E25">
        <v>3.9295601516910201</v>
      </c>
      <c r="F25">
        <v>0.59064635136056898</v>
      </c>
      <c r="G25">
        <v>-84.403830602830965</v>
      </c>
      <c r="H25">
        <v>-50.312903772377929</v>
      </c>
      <c r="I25">
        <v>33.650669265236601</v>
      </c>
      <c r="J25">
        <v>15.1295980195128</v>
      </c>
      <c r="K25">
        <v>6.65298302891261</v>
      </c>
      <c r="L25">
        <v>1.125540765667381E-3</v>
      </c>
      <c r="M25">
        <v>1.6259885008507538E-4</v>
      </c>
      <c r="N25" s="1">
        <v>5.56641384495456E-6</v>
      </c>
      <c r="O25" s="1">
        <v>7.7180977962244996E-7</v>
      </c>
      <c r="P25" s="1">
        <v>-3.2855564083477602E-6</v>
      </c>
      <c r="AE25">
        <v>100</v>
      </c>
      <c r="AJ25">
        <v>1</v>
      </c>
    </row>
    <row r="26" spans="1:36" x14ac:dyDescent="0.2">
      <c r="A26">
        <v>25</v>
      </c>
      <c r="B26">
        <v>739</v>
      </c>
      <c r="C26">
        <v>300</v>
      </c>
      <c r="D26">
        <v>0.261829274317047</v>
      </c>
      <c r="E26">
        <v>3.9404804732276002</v>
      </c>
      <c r="F26">
        <v>0.59131164886975696</v>
      </c>
      <c r="G26">
        <v>-84.604653740471917</v>
      </c>
      <c r="H26">
        <v>-50.467898651754489</v>
      </c>
      <c r="I26">
        <v>33.729200290092798</v>
      </c>
      <c r="J26">
        <v>15.177102424568499</v>
      </c>
      <c r="K26">
        <v>6.6639655767977803</v>
      </c>
      <c r="L26">
        <v>1.1259684634045196E-3</v>
      </c>
      <c r="M26">
        <v>1.6228779984426821E-4</v>
      </c>
      <c r="N26" s="1">
        <v>5.6148981427308197E-6</v>
      </c>
      <c r="O26" s="1">
        <v>7.7110384546321997E-7</v>
      </c>
      <c r="P26" s="1">
        <v>-3.2919680942341399E-6</v>
      </c>
      <c r="AE26">
        <v>100</v>
      </c>
      <c r="AJ26">
        <v>1</v>
      </c>
    </row>
    <row r="27" spans="1:36" x14ac:dyDescent="0.2">
      <c r="A27">
        <v>26</v>
      </c>
      <c r="B27">
        <v>738</v>
      </c>
      <c r="C27">
        <v>300</v>
      </c>
      <c r="D27">
        <v>0.26103001532908299</v>
      </c>
      <c r="E27">
        <v>3.95132525830254</v>
      </c>
      <c r="F27">
        <v>0.59197794748758104</v>
      </c>
      <c r="G27">
        <v>-84.803683754358673</v>
      </c>
      <c r="H27">
        <v>-50.622015377363745</v>
      </c>
      <c r="I27">
        <v>33.806981721749302</v>
      </c>
      <c r="J27">
        <v>15.224334192850799</v>
      </c>
      <c r="K27">
        <v>6.67478455079684</v>
      </c>
      <c r="L27">
        <v>1.1263912154793015E-3</v>
      </c>
      <c r="M27">
        <v>1.6197632243779072E-4</v>
      </c>
      <c r="N27" s="1">
        <v>5.6634603276515901E-6</v>
      </c>
      <c r="O27" s="1">
        <v>7.7036830782892199E-7</v>
      </c>
      <c r="P27" s="1">
        <v>-3.2982680539137401E-6</v>
      </c>
      <c r="AE27">
        <v>100</v>
      </c>
      <c r="AJ27">
        <v>1</v>
      </c>
    </row>
    <row r="28" spans="1:36" x14ac:dyDescent="0.2">
      <c r="A28">
        <v>27</v>
      </c>
      <c r="B28">
        <v>737</v>
      </c>
      <c r="C28">
        <v>300</v>
      </c>
      <c r="D28">
        <v>0.260229173885068</v>
      </c>
      <c r="E28">
        <v>4.1776396877188997</v>
      </c>
      <c r="F28">
        <v>0.59264524597101398</v>
      </c>
      <c r="G28">
        <v>-89.625128239859208</v>
      </c>
      <c r="H28">
        <v>-53.537519656116224</v>
      </c>
      <c r="I28">
        <v>35.727366515575604</v>
      </c>
      <c r="J28">
        <v>16.102078989014299</v>
      </c>
      <c r="K28">
        <v>7.0491406387206998</v>
      </c>
      <c r="L28">
        <v>1.1268089981088247E-3</v>
      </c>
      <c r="M28">
        <v>1.6166442144791216E-4</v>
      </c>
      <c r="N28" s="1">
        <v>6.0228457775669104E-6</v>
      </c>
      <c r="O28" s="1">
        <v>8.1147122032989199E-7</v>
      </c>
      <c r="P28" s="1">
        <v>-3.484224600965E-6</v>
      </c>
      <c r="AE28">
        <v>100</v>
      </c>
      <c r="AJ28">
        <v>1</v>
      </c>
    </row>
    <row r="29" spans="1:36" x14ac:dyDescent="0.2">
      <c r="A29">
        <v>28</v>
      </c>
      <c r="B29">
        <v>736</v>
      </c>
      <c r="C29">
        <v>300</v>
      </c>
      <c r="D29">
        <v>0.25942674528068399</v>
      </c>
      <c r="E29">
        <v>4.9701503073030402</v>
      </c>
      <c r="F29">
        <v>0.59331354305285799</v>
      </c>
      <c r="G29">
        <v>-106.58478499745361</v>
      </c>
      <c r="H29">
        <v>-63.712905782543409</v>
      </c>
      <c r="I29">
        <v>42.485976752829799</v>
      </c>
      <c r="J29">
        <v>19.163531168282098</v>
      </c>
      <c r="K29">
        <v>8.3769372290567201</v>
      </c>
      <c r="L29">
        <v>1.1272217876108104E-3</v>
      </c>
      <c r="M29">
        <v>1.6135210048428208E-4</v>
      </c>
      <c r="N29" s="1">
        <v>7.2070467517173502E-6</v>
      </c>
      <c r="O29" s="1">
        <v>9.6181765569322408E-7</v>
      </c>
      <c r="P29" s="1">
        <v>-4.1416360369381001E-6</v>
      </c>
      <c r="AE29">
        <v>100</v>
      </c>
      <c r="AJ29">
        <v>1</v>
      </c>
    </row>
    <row r="30" spans="1:36" x14ac:dyDescent="0.2">
      <c r="A30">
        <v>29</v>
      </c>
      <c r="B30">
        <v>735</v>
      </c>
      <c r="C30">
        <v>300</v>
      </c>
      <c r="D30">
        <v>0.25862272479293502</v>
      </c>
      <c r="E30">
        <v>6.1514976679642803</v>
      </c>
      <c r="F30">
        <v>0.59398283744173197</v>
      </c>
      <c r="G30">
        <v>-131.86618550275838</v>
      </c>
      <c r="H30">
        <v>-78.88045079453228</v>
      </c>
      <c r="I30">
        <v>52.560883770209699</v>
      </c>
      <c r="J30">
        <v>23.726928088634999</v>
      </c>
      <c r="K30">
        <v>10.356355908292899</v>
      </c>
      <c r="L30">
        <v>1.1276295604055191E-3</v>
      </c>
      <c r="M30">
        <v>1.6103936318377179E-4</v>
      </c>
      <c r="N30" s="1">
        <v>8.9716263909129694E-6</v>
      </c>
      <c r="O30" s="1">
        <v>1.1859864416205899E-6</v>
      </c>
      <c r="P30" s="1">
        <v>-5.1216011425175502E-6</v>
      </c>
      <c r="AE30">
        <v>100</v>
      </c>
      <c r="AJ30">
        <v>1</v>
      </c>
    </row>
    <row r="31" spans="1:36" x14ac:dyDescent="0.2">
      <c r="A31">
        <v>30</v>
      </c>
      <c r="B31">
        <v>734</v>
      </c>
      <c r="C31">
        <v>300</v>
      </c>
      <c r="D31">
        <v>0.25781710768008598</v>
      </c>
      <c r="E31">
        <v>9.4080063387699404</v>
      </c>
      <c r="F31">
        <v>0.59465312782199797</v>
      </c>
      <c r="G31">
        <v>-201.5937571055081</v>
      </c>
      <c r="H31">
        <v>-120.6748476380471</v>
      </c>
      <c r="I31">
        <v>80.349792291521396</v>
      </c>
      <c r="J31">
        <v>36.300489143845702</v>
      </c>
      <c r="K31">
        <v>15.8209986605604</v>
      </c>
      <c r="L31">
        <v>1.1280322930175457E-3</v>
      </c>
      <c r="M31">
        <v>1.6072621321029816E-4</v>
      </c>
      <c r="N31" s="1">
        <v>1.3799899815075801E-5</v>
      </c>
      <c r="O31" s="1">
        <v>1.8070353513019201E-6</v>
      </c>
      <c r="P31" s="1">
        <v>-7.8260063496890708E-6</v>
      </c>
      <c r="AE31">
        <v>100</v>
      </c>
      <c r="AJ31">
        <v>1</v>
      </c>
    </row>
    <row r="32" spans="1:36" x14ac:dyDescent="0.2">
      <c r="A32">
        <v>31</v>
      </c>
      <c r="B32">
        <v>733</v>
      </c>
      <c r="C32">
        <v>300</v>
      </c>
      <c r="D32">
        <v>0.257009889181535</v>
      </c>
      <c r="E32">
        <v>9.8568683592178701</v>
      </c>
      <c r="F32">
        <v>0.59532441285366899</v>
      </c>
      <c r="G32">
        <v>-211.12776019641069</v>
      </c>
      <c r="H32">
        <v>-126.47036121500442</v>
      </c>
      <c r="I32">
        <v>84.145544587548997</v>
      </c>
      <c r="J32">
        <v>38.045880850339799</v>
      </c>
      <c r="K32">
        <v>16.557137833419699</v>
      </c>
      <c r="L32">
        <v>1.1284299620773106E-3</v>
      </c>
      <c r="M32">
        <v>1.6041265425464866E-4</v>
      </c>
      <c r="N32" s="1">
        <v>1.4540886722248199E-5</v>
      </c>
      <c r="O32" s="1">
        <v>1.88613481230538E-6</v>
      </c>
      <c r="P32" s="1">
        <v>-8.1920852760545204E-6</v>
      </c>
      <c r="AE32">
        <v>100</v>
      </c>
      <c r="AJ32">
        <v>1</v>
      </c>
    </row>
    <row r="33" spans="1:36" x14ac:dyDescent="0.2">
      <c r="A33">
        <v>32</v>
      </c>
      <c r="B33">
        <v>763</v>
      </c>
      <c r="C33">
        <v>280</v>
      </c>
      <c r="D33">
        <v>0.30178111277325198</v>
      </c>
      <c r="E33">
        <v>4.0042573995497701</v>
      </c>
      <c r="F33">
        <v>0.55530498152672303</v>
      </c>
      <c r="G33">
        <v>-86.942538252088042</v>
      </c>
      <c r="H33">
        <v>-50.889683915329158</v>
      </c>
      <c r="I33">
        <v>34.797226095384303</v>
      </c>
      <c r="J33">
        <v>15.392300868042801</v>
      </c>
      <c r="K33">
        <v>7.2109156819387801</v>
      </c>
      <c r="L33">
        <v>1.1781678797255345E-3</v>
      </c>
      <c r="M33">
        <v>1.9044450154222575E-4</v>
      </c>
      <c r="N33" s="1">
        <v>5.2862645117637004E-6</v>
      </c>
      <c r="O33" s="1">
        <v>1.0927231760316301E-6</v>
      </c>
      <c r="P33" s="1">
        <v>-4.0595988228374998E-6</v>
      </c>
      <c r="AE33">
        <v>100</v>
      </c>
      <c r="AJ33">
        <v>1</v>
      </c>
    </row>
    <row r="34" spans="1:36" x14ac:dyDescent="0.2">
      <c r="A34">
        <v>33</v>
      </c>
      <c r="B34">
        <v>762</v>
      </c>
      <c r="C34">
        <v>280</v>
      </c>
      <c r="D34">
        <v>0.30103897985799499</v>
      </c>
      <c r="E34">
        <v>4.0081363554788698</v>
      </c>
      <c r="F34">
        <v>0.55595979118679795</v>
      </c>
      <c r="G34">
        <v>-86.99193668287306</v>
      </c>
      <c r="H34">
        <v>-50.954391591446836</v>
      </c>
      <c r="I34">
        <v>34.816054478265499</v>
      </c>
      <c r="J34">
        <v>15.413657670723399</v>
      </c>
      <c r="K34">
        <v>7.2093997066276501</v>
      </c>
      <c r="L34">
        <v>1.1788203777820347E-3</v>
      </c>
      <c r="M34">
        <v>1.9010555393408489E-4</v>
      </c>
      <c r="N34" s="1">
        <v>5.33217629979079E-6</v>
      </c>
      <c r="O34" s="1">
        <v>1.0900694467684599E-6</v>
      </c>
      <c r="P34" s="1">
        <v>-4.0617102053000302E-6</v>
      </c>
      <c r="AE34">
        <v>100</v>
      </c>
      <c r="AJ34">
        <v>1</v>
      </c>
    </row>
    <row r="35" spans="1:36" x14ac:dyDescent="0.2">
      <c r="A35">
        <v>34</v>
      </c>
      <c r="B35">
        <v>761</v>
      </c>
      <c r="C35">
        <v>280</v>
      </c>
      <c r="D35">
        <v>0.30029541169076102</v>
      </c>
      <c r="E35">
        <v>4.0204033410544397</v>
      </c>
      <c r="F35">
        <v>0.55661573479163895</v>
      </c>
      <c r="G35">
        <v>-87.223262195468081</v>
      </c>
      <c r="H35">
        <v>-51.125802638725375</v>
      </c>
      <c r="I35">
        <v>34.907663567582503</v>
      </c>
      <c r="J35">
        <v>15.4672882537585</v>
      </c>
      <c r="K35">
        <v>7.22294230966975</v>
      </c>
      <c r="L35">
        <v>1.1794678747175601E-3</v>
      </c>
      <c r="M35">
        <v>1.8976592145625762E-4</v>
      </c>
      <c r="N35" s="1">
        <v>5.3894643678549898E-6</v>
      </c>
      <c r="O35" s="1">
        <v>1.0896803868502899E-6</v>
      </c>
      <c r="P35" s="1">
        <v>-4.0722703179972599E-6</v>
      </c>
      <c r="AE35">
        <v>100</v>
      </c>
      <c r="AJ35">
        <v>1</v>
      </c>
    </row>
    <row r="36" spans="1:36" x14ac:dyDescent="0.2">
      <c r="A36">
        <v>35</v>
      </c>
      <c r="B36">
        <v>760</v>
      </c>
      <c r="C36">
        <v>280</v>
      </c>
      <c r="D36">
        <v>0.29955040410395301</v>
      </c>
      <c r="E36">
        <v>4.0325921573464596</v>
      </c>
      <c r="F36">
        <v>0.55727281173612397</v>
      </c>
      <c r="G36">
        <v>-87.452694429352647</v>
      </c>
      <c r="H36">
        <v>-51.296320177992428</v>
      </c>
      <c r="I36">
        <v>34.998482261261302</v>
      </c>
      <c r="J36">
        <v>15.520648040478299</v>
      </c>
      <c r="K36">
        <v>7.2362980436518196</v>
      </c>
      <c r="L36">
        <v>1.1801103374306891E-3</v>
      </c>
      <c r="M36">
        <v>1.8942560748166481E-4</v>
      </c>
      <c r="N36" s="1">
        <v>5.4469483900254896E-6</v>
      </c>
      <c r="O36" s="1">
        <v>1.0892459185178899E-6</v>
      </c>
      <c r="P36" s="1">
        <v>-4.0826955111895603E-6</v>
      </c>
      <c r="AE36">
        <v>100</v>
      </c>
      <c r="AJ36">
        <v>1</v>
      </c>
    </row>
    <row r="37" spans="1:36" x14ac:dyDescent="0.2">
      <c r="A37">
        <v>36</v>
      </c>
      <c r="B37">
        <v>759</v>
      </c>
      <c r="C37">
        <v>280</v>
      </c>
      <c r="D37">
        <v>0.298803952913825</v>
      </c>
      <c r="E37">
        <v>4.0447033818234503</v>
      </c>
      <c r="F37">
        <v>0.55793102138828998</v>
      </c>
      <c r="G37">
        <v>-87.680248095353363</v>
      </c>
      <c r="H37">
        <v>-51.465950703957965</v>
      </c>
      <c r="I37">
        <v>35.088516222490597</v>
      </c>
      <c r="J37">
        <v>15.573738608356001</v>
      </c>
      <c r="K37">
        <v>7.2494685306421598</v>
      </c>
      <c r="L37">
        <v>1.1807477328957259E-3</v>
      </c>
      <c r="M37">
        <v>1.8908461542892623E-4</v>
      </c>
      <c r="N37" s="1">
        <v>5.5046255346709004E-6</v>
      </c>
      <c r="O37" s="1">
        <v>1.0887664648723399E-6</v>
      </c>
      <c r="P37" s="1">
        <v>-4.0929859330359999E-6</v>
      </c>
      <c r="AE37">
        <v>100</v>
      </c>
      <c r="AJ37">
        <v>1</v>
      </c>
    </row>
    <row r="38" spans="1:36" x14ac:dyDescent="0.2">
      <c r="A38">
        <v>37</v>
      </c>
      <c r="B38">
        <v>758</v>
      </c>
      <c r="C38">
        <v>280</v>
      </c>
      <c r="D38">
        <v>0.29805605392037998</v>
      </c>
      <c r="E38">
        <v>4.0567375848196496</v>
      </c>
      <c r="F38">
        <v>0.55859036308921095</v>
      </c>
      <c r="G38">
        <v>-87.905937728204208</v>
      </c>
      <c r="H38">
        <v>-51.634700628370538</v>
      </c>
      <c r="I38">
        <v>35.177771046105697</v>
      </c>
      <c r="J38">
        <v>15.626561509622301</v>
      </c>
      <c r="K38">
        <v>7.26245537496278</v>
      </c>
      <c r="L38">
        <v>1.181380028165392E-3</v>
      </c>
      <c r="M38">
        <v>1.8874294876228289E-4</v>
      </c>
      <c r="N38" s="1">
        <v>5.5624929469663504E-6</v>
      </c>
      <c r="O38" s="1">
        <v>1.0882424464325101E-6</v>
      </c>
      <c r="P38" s="1">
        <v>-4.1031417297056197E-6</v>
      </c>
      <c r="AE38">
        <v>100</v>
      </c>
      <c r="AJ38">
        <v>1</v>
      </c>
    </row>
    <row r="39" spans="1:36" x14ac:dyDescent="0.2">
      <c r="A39">
        <v>38</v>
      </c>
      <c r="B39">
        <v>757</v>
      </c>
      <c r="C39">
        <v>280</v>
      </c>
      <c r="D39">
        <v>0.29730670290734501</v>
      </c>
      <c r="E39">
        <v>4.0686953294049104</v>
      </c>
      <c r="F39">
        <v>0.55925083615285598</v>
      </c>
      <c r="G39">
        <v>-88.129777684054261</v>
      </c>
      <c r="H39">
        <v>-51.802576278231001</v>
      </c>
      <c r="I39">
        <v>35.266252257571402</v>
      </c>
      <c r="J39">
        <v>15.6791182707295</v>
      </c>
      <c r="K39">
        <v>7.2752601630314704</v>
      </c>
      <c r="L39">
        <v>1.1820071903734558E-3</v>
      </c>
      <c r="M39">
        <v>1.8840061099152221E-4</v>
      </c>
      <c r="N39" s="1">
        <v>5.6205477487462002E-6</v>
      </c>
      <c r="O39" s="1">
        <v>1.08767428112173E-6</v>
      </c>
      <c r="P39" s="1">
        <v>-4.1131630453051702E-6</v>
      </c>
      <c r="AE39">
        <v>100</v>
      </c>
      <c r="AJ39">
        <v>1</v>
      </c>
    </row>
    <row r="40" spans="1:36" x14ac:dyDescent="0.2">
      <c r="A40">
        <v>39</v>
      </c>
      <c r="B40">
        <v>756</v>
      </c>
      <c r="C40">
        <v>280</v>
      </c>
      <c r="D40">
        <v>0.29655589564203599</v>
      </c>
      <c r="E40">
        <v>4.0805771716740802</v>
      </c>
      <c r="F40">
        <v>0.55991243986604</v>
      </c>
      <c r="G40">
        <v>-88.351782147065947</v>
      </c>
      <c r="H40">
        <v>-51.96958389934565</v>
      </c>
      <c r="I40">
        <v>35.3539653156041</v>
      </c>
      <c r="J40">
        <v>15.7314103934428</v>
      </c>
      <c r="K40">
        <v>7.2878844639536302</v>
      </c>
      <c r="L40">
        <v>1.1826291867375706E-3</v>
      </c>
      <c r="M40">
        <v>1.8805760567189731E-4</v>
      </c>
      <c r="N40" s="1">
        <v>5.6787870389634504E-6</v>
      </c>
      <c r="O40" s="1">
        <v>1.08706238436676E-6</v>
      </c>
      <c r="P40" s="1">
        <v>-4.1230500222336597E-6</v>
      </c>
      <c r="AE40">
        <v>100</v>
      </c>
      <c r="AJ40">
        <v>1</v>
      </c>
    </row>
    <row r="41" spans="1:36" x14ac:dyDescent="0.2">
      <c r="A41">
        <v>40</v>
      </c>
      <c r="B41">
        <v>755</v>
      </c>
      <c r="C41">
        <v>280</v>
      </c>
      <c r="D41">
        <v>0.29580362787530801</v>
      </c>
      <c r="E41">
        <v>4.0923836606903299</v>
      </c>
      <c r="F41">
        <v>0.56057517348827202</v>
      </c>
      <c r="G41">
        <v>-88.571965128509078</v>
      </c>
      <c r="H41">
        <v>-52.135729655479274</v>
      </c>
      <c r="I41">
        <v>35.440915611789698</v>
      </c>
      <c r="J41">
        <v>15.783439354589801</v>
      </c>
      <c r="K41">
        <v>7.3003298294942196</v>
      </c>
      <c r="L41">
        <v>1.1832459845620446E-3</v>
      </c>
      <c r="M41">
        <v>1.8771393640405846E-4</v>
      </c>
      <c r="N41" s="1">
        <v>5.7372078936573904E-6</v>
      </c>
      <c r="O41" s="1">
        <v>1.0864071691034301E-6</v>
      </c>
      <c r="P41" s="1">
        <v>-4.1328028011855196E-6</v>
      </c>
      <c r="AE41">
        <v>100</v>
      </c>
      <c r="AJ41">
        <v>1</v>
      </c>
    </row>
    <row r="42" spans="1:36" x14ac:dyDescent="0.2">
      <c r="A42">
        <v>41</v>
      </c>
      <c r="B42">
        <v>754</v>
      </c>
      <c r="C42">
        <v>280</v>
      </c>
      <c r="D42">
        <v>0.29504989534147702</v>
      </c>
      <c r="E42">
        <v>4.1041153386657001</v>
      </c>
      <c r="F42">
        <v>0.56123903625165195</v>
      </c>
      <c r="G42">
        <v>-88.790340470987374</v>
      </c>
      <c r="H42">
        <v>-52.30101963052573</v>
      </c>
      <c r="I42">
        <v>35.527108472258099</v>
      </c>
      <c r="J42">
        <v>15.8352066067321</v>
      </c>
      <c r="K42">
        <v>7.3125977944724996</v>
      </c>
      <c r="L42">
        <v>1.1838575512406082E-3</v>
      </c>
      <c r="M42">
        <v>1.8736960683395949E-4</v>
      </c>
      <c r="N42" s="1">
        <v>5.7958073662705299E-6</v>
      </c>
      <c r="O42" s="1">
        <v>1.08570904584487E-6</v>
      </c>
      <c r="P42" s="1">
        <v>-4.14242152139339E-6</v>
      </c>
      <c r="AE42">
        <v>100</v>
      </c>
      <c r="AJ42">
        <v>1</v>
      </c>
    </row>
    <row r="43" spans="1:36" x14ac:dyDescent="0.2">
      <c r="A43">
        <v>42</v>
      </c>
      <c r="B43">
        <v>753</v>
      </c>
      <c r="C43">
        <v>280</v>
      </c>
      <c r="D43">
        <v>0.29429469375822398</v>
      </c>
      <c r="E43">
        <v>4.11577274100551</v>
      </c>
      <c r="F43">
        <v>0.56190402736077705</v>
      </c>
      <c r="G43">
        <v>-89.006921849712839</v>
      </c>
      <c r="H43">
        <v>-52.46545982895087</v>
      </c>
      <c r="I43">
        <v>35.612549158175398</v>
      </c>
      <c r="J43">
        <v>15.886713578305599</v>
      </c>
      <c r="K43">
        <v>7.3246898769118802</v>
      </c>
      <c r="L43">
        <v>1.1844638542590721E-3</v>
      </c>
      <c r="M43">
        <v>1.8702462065274742E-4</v>
      </c>
      <c r="N43" s="1">
        <v>5.8545824877847399E-6</v>
      </c>
      <c r="O43" s="1">
        <v>1.0849684227127001E-6</v>
      </c>
      <c r="P43" s="1">
        <v>-4.1519063207330698E-6</v>
      </c>
      <c r="AE43">
        <v>100</v>
      </c>
      <c r="AJ43">
        <v>1</v>
      </c>
    </row>
    <row r="44" spans="1:36" x14ac:dyDescent="0.2">
      <c r="A44">
        <v>43</v>
      </c>
      <c r="B44">
        <v>752</v>
      </c>
      <c r="C44">
        <v>280</v>
      </c>
      <c r="D44">
        <v>0.29353801882651298</v>
      </c>
      <c r="E44">
        <v>4.1273563964363804</v>
      </c>
      <c r="F44">
        <v>0.56257014599264399</v>
      </c>
      <c r="G44">
        <v>-89.22172277558505</v>
      </c>
      <c r="H44">
        <v>-52.629056177301607</v>
      </c>
      <c r="I44">
        <v>35.697242866958199</v>
      </c>
      <c r="J44">
        <v>15.937961674093501</v>
      </c>
      <c r="K44">
        <v>7.3366075783380502</v>
      </c>
      <c r="L44">
        <v>1.1850648611981401E-3</v>
      </c>
      <c r="M44">
        <v>1.8667898159666925E-4</v>
      </c>
      <c r="N44" s="1">
        <v>5.91353026697501E-6</v>
      </c>
      <c r="O44" s="1">
        <v>1.0841857054899301E-6</v>
      </c>
      <c r="P44" s="1">
        <v>-4.1612573359128197E-6</v>
      </c>
      <c r="AE44">
        <v>100</v>
      </c>
      <c r="AJ44">
        <v>1</v>
      </c>
    </row>
    <row r="45" spans="1:36" x14ac:dyDescent="0.2">
      <c r="A45">
        <v>44</v>
      </c>
      <c r="B45">
        <v>751</v>
      </c>
      <c r="C45">
        <v>280</v>
      </c>
      <c r="D45">
        <v>0.29277986623053498</v>
      </c>
      <c r="E45">
        <v>4.1388668268045601</v>
      </c>
      <c r="F45">
        <v>0.56323739129652295</v>
      </c>
      <c r="G45">
        <v>-89.434756591137528</v>
      </c>
      <c r="H45">
        <v>-52.791814521510354</v>
      </c>
      <c r="I45">
        <v>35.781194730636102</v>
      </c>
      <c r="J45">
        <v>15.9889522744188</v>
      </c>
      <c r="K45">
        <v>7.3483523834901101</v>
      </c>
      <c r="L45">
        <v>1.1856605397362171E-3</v>
      </c>
      <c r="M45">
        <v>1.8633269344697981E-4</v>
      </c>
      <c r="N45" s="1">
        <v>5.9726476902100102E-6</v>
      </c>
      <c r="O45" s="1">
        <v>1.0833612975868401E-6</v>
      </c>
      <c r="P45" s="1">
        <v>-4.1704747023309003E-6</v>
      </c>
      <c r="AE45">
        <v>100</v>
      </c>
      <c r="AJ45">
        <v>1</v>
      </c>
    </row>
    <row r="46" spans="1:36" x14ac:dyDescent="0.2">
      <c r="A46">
        <v>45</v>
      </c>
      <c r="B46">
        <v>750</v>
      </c>
      <c r="C46">
        <v>280</v>
      </c>
      <c r="D46">
        <v>0.292020231637589</v>
      </c>
      <c r="E46">
        <v>4.1503045475981999</v>
      </c>
      <c r="F46">
        <v>0.56390576239388301</v>
      </c>
      <c r="G46">
        <v>-89.646036482133127</v>
      </c>
      <c r="H46">
        <v>-52.953740633435018</v>
      </c>
      <c r="I46">
        <v>35.864409820474101</v>
      </c>
      <c r="J46">
        <v>16.039686737137998</v>
      </c>
      <c r="K46">
        <v>7.3599257613176299</v>
      </c>
      <c r="L46">
        <v>1.1862508576521245E-3</v>
      </c>
      <c r="M46">
        <v>1.8598576002979911E-4</v>
      </c>
      <c r="N46" s="1">
        <v>6.0319317222841604E-6</v>
      </c>
      <c r="O46" s="1">
        <v>1.08249560019612E-6</v>
      </c>
      <c r="P46" s="1">
        <v>-4.1795585546611897E-6</v>
      </c>
      <c r="AE46">
        <v>100</v>
      </c>
      <c r="AJ46">
        <v>1</v>
      </c>
    </row>
    <row r="47" spans="1:36" x14ac:dyDescent="0.2">
      <c r="A47">
        <v>46</v>
      </c>
      <c r="B47">
        <v>749</v>
      </c>
      <c r="C47">
        <v>280</v>
      </c>
      <c r="D47">
        <v>0.291259110698039</v>
      </c>
      <c r="E47">
        <v>4.1616700676955496</v>
      </c>
      <c r="F47">
        <v>0.56457525837825995</v>
      </c>
      <c r="G47">
        <v>-89.855575472418238</v>
      </c>
      <c r="H47">
        <v>-53.114840207528246</v>
      </c>
      <c r="I47">
        <v>35.946893144899001</v>
      </c>
      <c r="J47">
        <v>16.090166396642399</v>
      </c>
      <c r="K47">
        <v>7.3713291646005201</v>
      </c>
      <c r="L47">
        <v>1.1868357828276948E-3</v>
      </c>
      <c r="M47">
        <v>1.8563818521600471E-4</v>
      </c>
      <c r="N47" s="1">
        <v>6.0913793061569899E-6</v>
      </c>
      <c r="O47" s="1">
        <v>1.0815890122442899E-6</v>
      </c>
      <c r="P47" s="1">
        <v>-4.1885090266588003E-6</v>
      </c>
      <c r="AE47">
        <v>100</v>
      </c>
      <c r="AJ47">
        <v>1</v>
      </c>
    </row>
    <row r="48" spans="1:36" x14ac:dyDescent="0.2">
      <c r="A48">
        <v>47</v>
      </c>
      <c r="B48">
        <v>748</v>
      </c>
      <c r="C48">
        <v>280</v>
      </c>
      <c r="D48">
        <v>0.29049649904519698</v>
      </c>
      <c r="E48">
        <v>4.1729638895280203</v>
      </c>
      <c r="F48">
        <v>0.56524587831520301</v>
      </c>
      <c r="G48">
        <v>-90.063386427743779</v>
      </c>
      <c r="H48">
        <v>-53.275118862800056</v>
      </c>
      <c r="I48">
        <v>36.028649651011698</v>
      </c>
      <c r="J48">
        <v>16.140392564469199</v>
      </c>
      <c r="K48">
        <v>7.3825640303050797</v>
      </c>
      <c r="L48">
        <v>1.1874152832506905E-3</v>
      </c>
      <c r="M48">
        <v>1.8528997292108906E-4</v>
      </c>
      <c r="N48" s="1">
        <v>6.1509873632881996E-6</v>
      </c>
      <c r="O48" s="1">
        <v>1.08064193045132E-6</v>
      </c>
      <c r="P48" s="1">
        <v>-4.1973262513835103E-6</v>
      </c>
      <c r="AE48">
        <v>100</v>
      </c>
      <c r="AJ48">
        <v>1</v>
      </c>
    </row>
    <row r="49" spans="1:36" x14ac:dyDescent="0.2">
      <c r="A49">
        <v>48</v>
      </c>
      <c r="B49">
        <v>747</v>
      </c>
      <c r="C49">
        <v>280</v>
      </c>
      <c r="D49">
        <v>0.28973239229525299</v>
      </c>
      <c r="E49">
        <v>4.1841865091374899</v>
      </c>
      <c r="F49">
        <v>0.56591762124212097</v>
      </c>
      <c r="G49">
        <v>-90.269482057294752</v>
      </c>
      <c r="H49">
        <v>-53.434582143430973</v>
      </c>
      <c r="I49">
        <v>36.109684225185298</v>
      </c>
      <c r="J49">
        <v>16.1903665294954</v>
      </c>
      <c r="K49">
        <v>7.3936317797521598</v>
      </c>
      <c r="L49">
        <v>1.1879893270176443E-3</v>
      </c>
      <c r="M49">
        <v>1.8494112710506919E-4</v>
      </c>
      <c r="N49" s="1">
        <v>6.2107527938378698E-6</v>
      </c>
      <c r="O49" s="1">
        <v>1.07965474936275E-6</v>
      </c>
      <c r="P49" s="1">
        <v>-4.2060103613184698E-6</v>
      </c>
      <c r="AE49">
        <v>100</v>
      </c>
      <c r="AJ49">
        <v>1</v>
      </c>
    </row>
    <row r="50" spans="1:36" x14ac:dyDescent="0.2">
      <c r="A50">
        <v>49</v>
      </c>
      <c r="B50">
        <v>746</v>
      </c>
      <c r="C50">
        <v>280</v>
      </c>
      <c r="D50">
        <v>0.288966786047197</v>
      </c>
      <c r="E50">
        <v>4.1953384163311096</v>
      </c>
      <c r="F50">
        <v>0.56659048616824004</v>
      </c>
      <c r="G50">
        <v>-90.473874917320202</v>
      </c>
      <c r="H50">
        <v>-53.593235520633364</v>
      </c>
      <c r="I50">
        <v>36.1900016945022</v>
      </c>
      <c r="J50">
        <v>16.2400895585182</v>
      </c>
      <c r="K50">
        <v>7.4045338189553798</v>
      </c>
      <c r="L50">
        <v>1.188557882336316E-3</v>
      </c>
      <c r="M50">
        <v>1.8459165177229231E-4</v>
      </c>
      <c r="N50" s="1">
        <v>6.2706724770075199E-6</v>
      </c>
      <c r="O50" s="1">
        <v>1.0786278614051201E-6</v>
      </c>
      <c r="P50" s="1">
        <v>-4.2145614885821796E-6</v>
      </c>
      <c r="AE50">
        <v>100</v>
      </c>
      <c r="AJ50">
        <v>1</v>
      </c>
    </row>
    <row r="51" spans="1:36" x14ac:dyDescent="0.2">
      <c r="A51">
        <v>50</v>
      </c>
      <c r="B51">
        <v>745</v>
      </c>
      <c r="C51">
        <v>280</v>
      </c>
      <c r="D51">
        <v>0.28819967588272899</v>
      </c>
      <c r="E51">
        <v>4.2064200945664201</v>
      </c>
      <c r="F51">
        <v>0.56726447207448205</v>
      </c>
      <c r="G51">
        <v>-90.676577408941455</v>
      </c>
      <c r="H51">
        <v>-53.751084391070549</v>
      </c>
      <c r="I51">
        <v>36.269606825863299</v>
      </c>
      <c r="J51">
        <v>16.289562895786801</v>
      </c>
      <c r="K51">
        <v>7.4152715384828696</v>
      </c>
      <c r="L51">
        <v>1.1891209175285175E-3</v>
      </c>
      <c r="M51">
        <v>1.8424155097129891E-4</v>
      </c>
      <c r="N51" s="1">
        <v>6.3307432709872896E-6</v>
      </c>
      <c r="O51" s="1">
        <v>1.07756165687209E-6</v>
      </c>
      <c r="P51" s="1">
        <v>-4.2229797648717798E-6</v>
      </c>
      <c r="AE51">
        <v>100</v>
      </c>
      <c r="AJ51">
        <v>1</v>
      </c>
    </row>
    <row r="52" spans="1:36" x14ac:dyDescent="0.2">
      <c r="A52">
        <v>51</v>
      </c>
      <c r="B52">
        <v>744</v>
      </c>
      <c r="C52">
        <v>280</v>
      </c>
      <c r="D52">
        <v>0.28743105736617303</v>
      </c>
      <c r="E52">
        <v>4.2174320212024998</v>
      </c>
      <c r="F52">
        <v>0.56793957791337202</v>
      </c>
      <c r="G52">
        <v>-90.877601783852498</v>
      </c>
      <c r="H52">
        <v>-53.908134079950131</v>
      </c>
      <c r="I52">
        <v>36.348504328255302</v>
      </c>
      <c r="J52">
        <v>16.338787763956599</v>
      </c>
      <c r="K52">
        <v>7.4258463139643798</v>
      </c>
      <c r="L52">
        <v>1.1896784010331357E-3</v>
      </c>
      <c r="M52">
        <v>1.8389082879471358E-4</v>
      </c>
      <c r="N52" s="1">
        <v>6.3909620134661803E-6</v>
      </c>
      <c r="O52" s="1">
        <v>1.07645652400483E-6</v>
      </c>
      <c r="P52" s="1">
        <v>-4.2312653217757097E-6</v>
      </c>
      <c r="AE52">
        <v>100</v>
      </c>
      <c r="AJ52">
        <v>1</v>
      </c>
    </row>
    <row r="53" spans="1:36" x14ac:dyDescent="0.2">
      <c r="A53">
        <v>52</v>
      </c>
      <c r="B53">
        <v>743</v>
      </c>
      <c r="C53">
        <v>280</v>
      </c>
      <c r="D53">
        <v>0.28666092604438298</v>
      </c>
      <c r="E53">
        <v>4.2283746674639202</v>
      </c>
      <c r="F53">
        <v>0.56861580260894296</v>
      </c>
      <c r="G53">
        <v>-91.076960143820969</v>
      </c>
      <c r="H53">
        <v>-54.064389840452009</v>
      </c>
      <c r="I53">
        <v>36.4266988525371</v>
      </c>
      <c r="J53">
        <v>16.387765363925801</v>
      </c>
      <c r="K53">
        <v>7.4362595060903098</v>
      </c>
      <c r="L53">
        <v>1.190230301408338E-3</v>
      </c>
      <c r="M53">
        <v>1.8353948937903207E-4</v>
      </c>
      <c r="N53" s="1">
        <v>6.45132552170634E-6</v>
      </c>
      <c r="O53" s="1">
        <v>1.07531284899669E-6</v>
      </c>
      <c r="P53" s="1">
        <v>-4.2394182907921203E-6</v>
      </c>
      <c r="AE53">
        <v>100</v>
      </c>
      <c r="AJ53">
        <v>1</v>
      </c>
    </row>
    <row r="54" spans="1:36" x14ac:dyDescent="0.2">
      <c r="A54">
        <v>53</v>
      </c>
      <c r="B54">
        <v>742</v>
      </c>
      <c r="C54">
        <v>280</v>
      </c>
      <c r="D54">
        <v>0.28588927744668102</v>
      </c>
      <c r="E54">
        <v>4.2392484984674397</v>
      </c>
      <c r="F54">
        <v>0.56929314505667095</v>
      </c>
      <c r="G54">
        <v>-91.274664441541901</v>
      </c>
      <c r="H54">
        <v>-54.219856853958014</v>
      </c>
      <c r="I54">
        <v>36.504194991768998</v>
      </c>
      <c r="J54">
        <v>16.436496874922302</v>
      </c>
      <c r="K54">
        <v>7.4465124607208102</v>
      </c>
      <c r="L54">
        <v>1.1907765873347598E-3</v>
      </c>
      <c r="M54">
        <v>1.8318753690447324E-4</v>
      </c>
      <c r="N54" s="1">
        <v>6.5118305927302602E-6</v>
      </c>
      <c r="O54" s="1">
        <v>1.0741310160146099E-6</v>
      </c>
      <c r="P54" s="1">
        <v>-4.24743880341526E-6</v>
      </c>
      <c r="AE54">
        <v>100</v>
      </c>
      <c r="AJ54">
        <v>1</v>
      </c>
    </row>
    <row r="55" spans="1:36" x14ac:dyDescent="0.2">
      <c r="A55">
        <v>54</v>
      </c>
      <c r="B55">
        <v>741</v>
      </c>
      <c r="C55">
        <v>280</v>
      </c>
      <c r="D55">
        <v>0.28511610708475299</v>
      </c>
      <c r="E55">
        <v>4.25005397339166</v>
      </c>
      <c r="F55">
        <v>0.56997160412335401</v>
      </c>
      <c r="G55">
        <v>-91.470726484567379</v>
      </c>
      <c r="H55">
        <v>-54.374540232110895</v>
      </c>
      <c r="I55">
        <v>36.580997282772003</v>
      </c>
      <c r="J55">
        <v>16.484983455140299</v>
      </c>
      <c r="K55">
        <v>7.4566065092461198</v>
      </c>
      <c r="L55">
        <v>1.1913172276178301E-3</v>
      </c>
      <c r="M55">
        <v>1.8283497559480217E-4</v>
      </c>
      <c r="N55" s="1">
        <v>6.57247400371325E-6</v>
      </c>
      <c r="O55" s="1">
        <v>1.0729114072560601E-6</v>
      </c>
      <c r="P55" s="1">
        <v>-4.2553269913606403E-6</v>
      </c>
      <c r="AE55">
        <v>100</v>
      </c>
      <c r="AJ55">
        <v>1</v>
      </c>
    </row>
    <row r="56" spans="1:36" x14ac:dyDescent="0.2">
      <c r="A56">
        <v>55</v>
      </c>
      <c r="B56">
        <v>740</v>
      </c>
      <c r="C56">
        <v>280</v>
      </c>
      <c r="D56">
        <v>0.28434141045255101</v>
      </c>
      <c r="E56">
        <v>4.32564497762296</v>
      </c>
      <c r="F56">
        <v>0.57065117864704396</v>
      </c>
      <c r="G56">
        <v>-93.060391670169466</v>
      </c>
      <c r="H56">
        <v>-55.358421506089833</v>
      </c>
      <c r="I56">
        <v>37.215067427094503</v>
      </c>
      <c r="J56">
        <v>16.784878183569901</v>
      </c>
      <c r="K56">
        <v>7.5801910860477397</v>
      </c>
      <c r="L56">
        <v>1.191852191190932E-3</v>
      </c>
      <c r="M56">
        <v>1.8248180971718918E-4</v>
      </c>
      <c r="N56" s="1">
        <v>6.7342171303712502E-6</v>
      </c>
      <c r="O56" s="1">
        <v>1.0879660355230701E-6</v>
      </c>
      <c r="P56" s="1">
        <v>-4.32797129675519E-6</v>
      </c>
      <c r="AE56">
        <v>100</v>
      </c>
      <c r="AJ56">
        <v>1</v>
      </c>
    </row>
    <row r="57" spans="1:36" x14ac:dyDescent="0.2">
      <c r="A57">
        <v>56</v>
      </c>
      <c r="B57">
        <v>739</v>
      </c>
      <c r="C57">
        <v>280</v>
      </c>
      <c r="D57">
        <v>0.28356518302623301</v>
      </c>
      <c r="E57">
        <v>5.4951342867569499</v>
      </c>
      <c r="F57">
        <v>0.57133186743696396</v>
      </c>
      <c r="G57">
        <v>-118.17310375612755</v>
      </c>
      <c r="H57">
        <v>-70.34655298200984</v>
      </c>
      <c r="I57">
        <v>47.255540608997102</v>
      </c>
      <c r="J57">
        <v>21.331355083088201</v>
      </c>
      <c r="K57">
        <v>9.6181126941308595</v>
      </c>
      <c r="L57">
        <v>1.1923814471176786E-3</v>
      </c>
      <c r="M57">
        <v>1.8212804358195078E-4</v>
      </c>
      <c r="N57" s="1">
        <v>8.6118820070845501E-6</v>
      </c>
      <c r="O57" s="1">
        <v>1.37699328627593E-6</v>
      </c>
      <c r="P57" s="1">
        <v>-5.4941633309874096E-6</v>
      </c>
      <c r="AE57">
        <v>100</v>
      </c>
      <c r="AJ57">
        <v>1</v>
      </c>
    </row>
    <row r="58" spans="1:36" x14ac:dyDescent="0.2">
      <c r="A58">
        <v>57</v>
      </c>
      <c r="B58">
        <v>738</v>
      </c>
      <c r="C58">
        <v>280</v>
      </c>
      <c r="D58">
        <v>0.28278742026405701</v>
      </c>
      <c r="E58">
        <v>7.5459003486025704</v>
      </c>
      <c r="F58">
        <v>0.57201366927340502</v>
      </c>
      <c r="G58">
        <v>-162.21004115028884</v>
      </c>
      <c r="H58">
        <v>-96.628953398047472</v>
      </c>
      <c r="I58">
        <v>64.862192533048699</v>
      </c>
      <c r="J58">
        <v>29.303775091146701</v>
      </c>
      <c r="K58">
        <v>13.191818227329501</v>
      </c>
      <c r="L58">
        <v>1.1929049645947555E-3</v>
      </c>
      <c r="M58">
        <v>1.8177368154242027E-4</v>
      </c>
      <c r="N58" s="1">
        <v>1.19040888155313E-5</v>
      </c>
      <c r="O58" s="1">
        <v>1.88385561016646E-6</v>
      </c>
      <c r="P58" s="1">
        <v>-7.5390879317642303E-6</v>
      </c>
      <c r="AE58">
        <v>100</v>
      </c>
      <c r="AJ58">
        <v>1</v>
      </c>
    </row>
    <row r="59" spans="1:36" x14ac:dyDescent="0.2">
      <c r="A59">
        <v>58</v>
      </c>
      <c r="B59">
        <v>737</v>
      </c>
      <c r="C59">
        <v>280</v>
      </c>
      <c r="D59">
        <v>0.28200811760629901</v>
      </c>
      <c r="E59">
        <v>9.6920163710894105</v>
      </c>
      <c r="F59">
        <v>0.572696582907678</v>
      </c>
      <c r="G59">
        <v>-208.26061793250679</v>
      </c>
      <c r="H59">
        <v>-124.14866667894565</v>
      </c>
      <c r="I59">
        <v>83.272283938510697</v>
      </c>
      <c r="J59">
        <v>37.652912121403098</v>
      </c>
      <c r="K59">
        <v>16.9234751181531</v>
      </c>
      <c r="L59">
        <v>1.1934227129547308E-3</v>
      </c>
      <c r="M59">
        <v>1.8141872799472535E-4</v>
      </c>
      <c r="N59" s="1">
        <v>1.53902786470296E-5</v>
      </c>
      <c r="O59" s="1">
        <v>2.4106141118687101E-6</v>
      </c>
      <c r="P59" s="1">
        <v>-9.6761163157050401E-6</v>
      </c>
      <c r="AE59">
        <v>100</v>
      </c>
      <c r="AJ59">
        <v>1</v>
      </c>
    </row>
    <row r="60" spans="1:36" x14ac:dyDescent="0.2">
      <c r="A60">
        <v>59</v>
      </c>
      <c r="B60">
        <v>736</v>
      </c>
      <c r="C60">
        <v>280</v>
      </c>
      <c r="D60">
        <v>0.281227270475152</v>
      </c>
      <c r="E60">
        <v>10.181554832539399</v>
      </c>
      <c r="F60">
        <v>0.57338060706197302</v>
      </c>
      <c r="G60">
        <v>-218.69228943732983</v>
      </c>
      <c r="H60">
        <v>-130.45891068292784</v>
      </c>
      <c r="I60">
        <v>87.4391371602796</v>
      </c>
      <c r="J60">
        <v>39.5703607256889</v>
      </c>
      <c r="K60">
        <v>17.7570617267823</v>
      </c>
      <c r="L60">
        <v>1.193934661668567E-3</v>
      </c>
      <c r="M60">
        <v>1.810631873775854E-4</v>
      </c>
      <c r="N60" s="1">
        <v>1.6273303432819501E-5</v>
      </c>
      <c r="O60" s="1">
        <v>2.5228918262984201E-6</v>
      </c>
      <c r="P60" s="1">
        <v>-1.0157221797905899E-5</v>
      </c>
      <c r="AE60">
        <v>100</v>
      </c>
      <c r="AJ60">
        <v>1</v>
      </c>
    </row>
    <row r="61" spans="1:36" x14ac:dyDescent="0.2">
      <c r="A61">
        <v>60</v>
      </c>
      <c r="B61">
        <v>763</v>
      </c>
      <c r="C61">
        <v>260</v>
      </c>
      <c r="D61">
        <v>0.32301355981277102</v>
      </c>
      <c r="E61">
        <v>4.3353901472419496</v>
      </c>
      <c r="F61">
        <v>0.53322718601784402</v>
      </c>
      <c r="G61">
        <v>-94.291553068259233</v>
      </c>
      <c r="H61">
        <v>-55.056987338827831</v>
      </c>
      <c r="I61">
        <v>37.868114371372002</v>
      </c>
      <c r="J61">
        <v>16.787474453599401</v>
      </c>
      <c r="K61">
        <v>8.1304747036976206</v>
      </c>
      <c r="L61">
        <v>1.2502062592153155E-3</v>
      </c>
      <c r="M61">
        <v>2.1619892271408308E-4</v>
      </c>
      <c r="N61" s="1">
        <v>6.0595779370609502E-6</v>
      </c>
      <c r="O61" s="1">
        <v>1.5479429100324101E-6</v>
      </c>
      <c r="P61" s="1">
        <v>-5.3089411649772896E-6</v>
      </c>
      <c r="AE61">
        <v>100</v>
      </c>
      <c r="AJ61">
        <v>1</v>
      </c>
    </row>
    <row r="62" spans="1:36" x14ac:dyDescent="0.2">
      <c r="A62">
        <v>61</v>
      </c>
      <c r="B62">
        <v>762</v>
      </c>
      <c r="C62">
        <v>260</v>
      </c>
      <c r="D62">
        <v>0.322291938366422</v>
      </c>
      <c r="E62">
        <v>4.3389234662787297</v>
      </c>
      <c r="F62">
        <v>0.53389446466297097</v>
      </c>
      <c r="G62">
        <v>-94.330509298174988</v>
      </c>
      <c r="H62">
        <v>-55.11866357784799</v>
      </c>
      <c r="I62">
        <v>37.882750054363903</v>
      </c>
      <c r="J62">
        <v>16.809038720145999</v>
      </c>
      <c r="K62">
        <v>8.1269309825449003</v>
      </c>
      <c r="L62">
        <v>1.2510211468493256E-3</v>
      </c>
      <c r="M62">
        <v>2.158157703819739E-4</v>
      </c>
      <c r="N62" s="1">
        <v>6.11965814553203E-6</v>
      </c>
      <c r="O62" s="1">
        <v>1.54401938450923E-6</v>
      </c>
      <c r="P62" s="1">
        <v>-5.3119184731985897E-6</v>
      </c>
      <c r="AE62">
        <v>100</v>
      </c>
      <c r="AJ62">
        <v>1</v>
      </c>
    </row>
    <row r="63" spans="1:36" x14ac:dyDescent="0.2">
      <c r="A63">
        <v>62</v>
      </c>
      <c r="B63">
        <v>761</v>
      </c>
      <c r="C63">
        <v>260</v>
      </c>
      <c r="D63">
        <v>0.321568921336364</v>
      </c>
      <c r="E63">
        <v>4.3506542169439504</v>
      </c>
      <c r="F63">
        <v>0.53456301242489901</v>
      </c>
      <c r="G63">
        <v>-94.54756504626107</v>
      </c>
      <c r="H63">
        <v>-55.284541300491895</v>
      </c>
      <c r="I63">
        <v>37.968876330583399</v>
      </c>
      <c r="J63">
        <v>16.862377417239401</v>
      </c>
      <c r="K63">
        <v>8.1387116501165906</v>
      </c>
      <c r="L63">
        <v>1.2518303327266013E-3</v>
      </c>
      <c r="M63">
        <v>2.1543166561275434E-4</v>
      </c>
      <c r="N63" s="1">
        <v>6.1915982606106101E-6</v>
      </c>
      <c r="O63" s="1">
        <v>1.5429899802795401E-6</v>
      </c>
      <c r="P63" s="1">
        <v>-5.3248634098478497E-6</v>
      </c>
      <c r="AE63">
        <v>100</v>
      </c>
      <c r="AJ63">
        <v>1</v>
      </c>
    </row>
    <row r="64" spans="1:36" x14ac:dyDescent="0.2">
      <c r="A64">
        <v>63</v>
      </c>
      <c r="B64">
        <v>760</v>
      </c>
      <c r="C64">
        <v>260</v>
      </c>
      <c r="D64">
        <v>0.320844504670183</v>
      </c>
      <c r="E64">
        <v>4.3623148803933098</v>
      </c>
      <c r="F64">
        <v>0.53523282891560098</v>
      </c>
      <c r="G64">
        <v>-94.762909837413503</v>
      </c>
      <c r="H64">
        <v>-55.44962696172982</v>
      </c>
      <c r="I64">
        <v>38.054279882045201</v>
      </c>
      <c r="J64">
        <v>16.9154763897386</v>
      </c>
      <c r="K64">
        <v>8.1503126204562104</v>
      </c>
      <c r="L64">
        <v>1.2526337723695741E-3</v>
      </c>
      <c r="M64">
        <v>2.1504661203728426E-4</v>
      </c>
      <c r="N64" s="1">
        <v>6.2638383950802103E-6</v>
      </c>
      <c r="O64" s="1">
        <v>1.54190309688923E-6</v>
      </c>
      <c r="P64" s="1">
        <v>-5.3376511433965004E-6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260</v>
      </c>
      <c r="D65">
        <v>0.32011868429976698</v>
      </c>
      <c r="E65">
        <v>4.3739059986522602</v>
      </c>
      <c r="F65">
        <v>0.53590391371433699</v>
      </c>
      <c r="G65">
        <v>-94.976557430605283</v>
      </c>
      <c r="H65">
        <v>-55.613926691007947</v>
      </c>
      <c r="I65">
        <v>38.138966000289003</v>
      </c>
      <c r="J65">
        <v>16.968337025140901</v>
      </c>
      <c r="K65">
        <v>8.1617355028009104</v>
      </c>
      <c r="L65">
        <v>1.2534314213789972E-3</v>
      </c>
      <c r="M65">
        <v>2.1466061335622145E-4</v>
      </c>
      <c r="N65" s="1">
        <v>6.3363749037008496E-6</v>
      </c>
      <c r="O65" s="1">
        <v>1.5407592293982299E-6</v>
      </c>
      <c r="P65" s="1">
        <v>-5.3502815770358801E-6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260</v>
      </c>
      <c r="D66">
        <v>0.31939145614120401</v>
      </c>
      <c r="E66">
        <v>4.3854281076303998</v>
      </c>
      <c r="F66">
        <v>0.53657626636747402</v>
      </c>
      <c r="G66">
        <v>-95.188521431866306</v>
      </c>
      <c r="H66">
        <v>-55.77744654727249</v>
      </c>
      <c r="I66">
        <v>38.2229399174253</v>
      </c>
      <c r="J66">
        <v>17.020960688971201</v>
      </c>
      <c r="K66">
        <v>8.1729818900097193</v>
      </c>
      <c r="L66">
        <v>1.2542232354384919E-3</v>
      </c>
      <c r="M66">
        <v>2.142736733401142E-4</v>
      </c>
      <c r="N66" s="1">
        <v>6.4092041001249598E-6</v>
      </c>
      <c r="O66" s="1">
        <v>1.53955887061859E-6</v>
      </c>
      <c r="P66" s="1">
        <v>-5.3627546126848802E-6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260</v>
      </c>
      <c r="D67">
        <v>0.318662816094747</v>
      </c>
      <c r="E67">
        <v>4.3968817370649296</v>
      </c>
      <c r="F67">
        <v>0.53724988638831195</v>
      </c>
      <c r="G67">
        <v>-95.398815293341386</v>
      </c>
      <c r="H67">
        <v>-55.940192518140591</v>
      </c>
      <c r="I67">
        <v>38.306206805737197</v>
      </c>
      <c r="J67">
        <v>17.0733487245374</v>
      </c>
      <c r="K67">
        <v>8.1840533585277697</v>
      </c>
      <c r="L67">
        <v>1.2550091703184281E-3</v>
      </c>
      <c r="M67">
        <v>2.138857958293569E-4</v>
      </c>
      <c r="N67" s="1">
        <v>6.4823222569311899E-6</v>
      </c>
      <c r="O67" s="1">
        <v>1.53830251112024E-6</v>
      </c>
      <c r="P67" s="1">
        <v>-5.3750701510353596E-6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260</v>
      </c>
      <c r="D68">
        <v>0.317932760044698</v>
      </c>
      <c r="E68">
        <v>4.4082674108111801</v>
      </c>
      <c r="F68">
        <v>0.53792477325695998</v>
      </c>
      <c r="G68">
        <v>-95.607452319875449</v>
      </c>
      <c r="H68">
        <v>-56.102170523484226</v>
      </c>
      <c r="I68">
        <v>38.3887717803063</v>
      </c>
      <c r="J68">
        <v>17.125502454050899</v>
      </c>
      <c r="K68">
        <v>8.1949514689954697</v>
      </c>
      <c r="L68">
        <v>1.2557891818809422E-3</v>
      </c>
      <c r="M68">
        <v>2.1349698473430826E-4</v>
      </c>
      <c r="N68" s="1">
        <v>6.5557256061739303E-6</v>
      </c>
      <c r="O68" s="1">
        <v>1.53699063936003E-6</v>
      </c>
      <c r="P68" s="1">
        <v>-5.3872280920278103E-6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260</v>
      </c>
      <c r="D69">
        <v>0.31720128385935797</v>
      </c>
      <c r="E69">
        <v>4.4195856467399697</v>
      </c>
      <c r="F69">
        <v>0.538600926420158</v>
      </c>
      <c r="G69">
        <v>-95.814445667062344</v>
      </c>
      <c r="H69">
        <v>-56.263386414018818</v>
      </c>
      <c r="I69">
        <v>38.470639898209598</v>
      </c>
      <c r="J69">
        <v>17.177423178205299</v>
      </c>
      <c r="K69">
        <v>8.2056777661245199</v>
      </c>
      <c r="L69">
        <v>1.2565632260841176E-3</v>
      </c>
      <c r="M69">
        <v>2.1310724403527992E-4</v>
      </c>
      <c r="N69" s="1">
        <v>6.6294103393825996E-6</v>
      </c>
      <c r="O69" s="1">
        <v>1.53562374167028E-6</v>
      </c>
      <c r="P69" s="1">
        <v>-5.3992283348428702E-6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260</v>
      </c>
      <c r="D70">
        <v>0.31646838339093702</v>
      </c>
      <c r="E70">
        <v>4.4308369568540904</v>
      </c>
      <c r="F70">
        <v>0.53927834529111296</v>
      </c>
      <c r="G70">
        <v>-96.019808344045074</v>
      </c>
      <c r="H70">
        <v>-56.423845972675544</v>
      </c>
      <c r="I70">
        <v>38.551816159626902</v>
      </c>
      <c r="J70">
        <v>17.2291121766172</v>
      </c>
      <c r="K70">
        <v>8.2162337789815005</v>
      </c>
      <c r="L70">
        <v>1.2573312589863942E-3</v>
      </c>
      <c r="M70">
        <v>2.1271657778253823E-4</v>
      </c>
      <c r="N70" s="1">
        <v>6.7033726078758197E-6</v>
      </c>
      <c r="O70" s="1">
        <v>1.53420230232392E-6</v>
      </c>
      <c r="P70" s="1">
        <v>-5.4110707781602301E-6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260</v>
      </c>
      <c r="D71">
        <v>0.31573405447546998</v>
      </c>
      <c r="E71">
        <v>4.4420218473776103</v>
      </c>
      <c r="F71">
        <v>0.53995702924936895</v>
      </c>
      <c r="G71">
        <v>-96.223553215721438</v>
      </c>
      <c r="H71">
        <v>-56.583554915633172</v>
      </c>
      <c r="I71">
        <v>38.632305508708001</v>
      </c>
      <c r="J71">
        <v>17.280570708154698</v>
      </c>
      <c r="K71">
        <v>8.2266210212185999</v>
      </c>
      <c r="L71">
        <v>1.2580932367510316E-3</v>
      </c>
      <c r="M71">
        <v>2.1232499009630598E-4</v>
      </c>
      <c r="N71" s="1">
        <v>6.7776085230765504E-6</v>
      </c>
      <c r="O71" s="1">
        <v>1.53272680358929E-6</v>
      </c>
      <c r="P71" s="1">
        <v>-5.4227553203871403E-6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260</v>
      </c>
      <c r="D72">
        <v>0.31499829293274201</v>
      </c>
      <c r="E72">
        <v>4.4531408188896204</v>
      </c>
      <c r="F72">
        <v>0.54063697764063301</v>
      </c>
      <c r="G72">
        <v>-96.425693005908428</v>
      </c>
      <c r="H72">
        <v>-56.74251889391784</v>
      </c>
      <c r="I72">
        <v>38.712112834825398</v>
      </c>
      <c r="J72">
        <v>17.3318000114493</v>
      </c>
      <c r="K72">
        <v>8.2368409913863907</v>
      </c>
      <c r="L72">
        <v>1.2588491156507505E-3</v>
      </c>
      <c r="M72">
        <v>2.1193248516678911E-4</v>
      </c>
      <c r="N72" s="1">
        <v>6.8521141568862998E-6</v>
      </c>
      <c r="O72" s="1">
        <v>1.53119772579954E-6</v>
      </c>
      <c r="P72" s="1">
        <v>-5.4342818599401203E-6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260</v>
      </c>
      <c r="D73">
        <v>0.31426109456622597</v>
      </c>
      <c r="E73">
        <v>4.4641943662571304</v>
      </c>
      <c r="F73">
        <v>0.54131818977665003</v>
      </c>
      <c r="G73">
        <v>-96.626240296150314</v>
      </c>
      <c r="H73">
        <v>-56.900743492443922</v>
      </c>
      <c r="I73">
        <v>38.7912429720799</v>
      </c>
      <c r="J73">
        <v>17.382801304618301</v>
      </c>
      <c r="K73">
        <v>8.2468951728724793</v>
      </c>
      <c r="L73">
        <v>1.2595988520720028E-3</v>
      </c>
      <c r="M73">
        <v>2.1153906725410911E-4</v>
      </c>
      <c r="N73" s="1">
        <v>6.9268855417860403E-6</v>
      </c>
      <c r="O73" s="1">
        <v>1.5296155473511101E-6</v>
      </c>
      <c r="P73" s="1">
        <v>-5.4456502952805399E-6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260</v>
      </c>
      <c r="D74">
        <v>0.313522455162978</v>
      </c>
      <c r="E74">
        <v>4.4751829787625201</v>
      </c>
      <c r="F74">
        <v>0.54200066493503596</v>
      </c>
      <c r="G74">
        <v>-96.825207528740208</v>
      </c>
      <c r="H74">
        <v>-57.058234231536403</v>
      </c>
      <c r="I74">
        <v>38.8697007004955</v>
      </c>
      <c r="J74">
        <v>17.433575785749799</v>
      </c>
      <c r="K74">
        <v>8.2567850342008597</v>
      </c>
      <c r="L74">
        <v>1.2603424025194898E-3</v>
      </c>
      <c r="M74">
        <v>2.1114474068828658E-4</v>
      </c>
      <c r="N74" s="1">
        <v>7.0019186712291304E-6</v>
      </c>
      <c r="O74" s="1">
        <v>1.5279807447692199E-6</v>
      </c>
      <c r="P74" s="1">
        <v>-5.4568605251876204E-6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260</v>
      </c>
      <c r="D75">
        <v>0.312782370493568</v>
      </c>
      <c r="E75">
        <v>4.4861071403138597</v>
      </c>
      <c r="F75">
        <v>0.54268440235913196</v>
      </c>
      <c r="G75">
        <v>-97.022607011526063</v>
      </c>
      <c r="H75">
        <v>-57.2149965695099</v>
      </c>
      <c r="I75">
        <v>38.9474907479336</v>
      </c>
      <c r="J75">
        <v>17.4841246337093</v>
      </c>
      <c r="K75">
        <v>8.26651202948171</v>
      </c>
      <c r="L75">
        <v>1.2610797236205821E-3</v>
      </c>
      <c r="M75">
        <v>2.107495098691947E-4</v>
      </c>
      <c r="N75" s="1">
        <v>7.0772095001946396E-6</v>
      </c>
      <c r="O75" s="1">
        <v>1.52629379280044E-6</v>
      </c>
      <c r="P75" s="1">
        <v>-5.4679124491338002E-6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260</v>
      </c>
      <c r="D76">
        <v>0.31204083631200402</v>
      </c>
      <c r="E76">
        <v>4.4969673292214303</v>
      </c>
      <c r="F76">
        <v>0.54336940125788002</v>
      </c>
      <c r="G76">
        <v>-97.218450913329491</v>
      </c>
      <c r="H76">
        <v>-57.37103589972201</v>
      </c>
      <c r="I76">
        <v>39.0246177882374</v>
      </c>
      <c r="J76">
        <v>17.534449007263301</v>
      </c>
      <c r="K76">
        <v>8.2760775980596595</v>
      </c>
      <c r="L76">
        <v>1.2618107721300393E-3</v>
      </c>
      <c r="M76">
        <v>2.1035337926653702E-4</v>
      </c>
      <c r="N76" s="1">
        <v>7.1527539450726302E-6</v>
      </c>
      <c r="O76" s="1">
        <v>1.5245551643564799E-6</v>
      </c>
      <c r="P76" s="1">
        <v>-5.4788059671310497E-6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260</v>
      </c>
      <c r="D77">
        <v>0.31129784835563601</v>
      </c>
      <c r="E77">
        <v>4.5077640185549699</v>
      </c>
      <c r="F77">
        <v>0.54405566080565904</v>
      </c>
      <c r="G77">
        <v>-97.41275127192165</v>
      </c>
      <c r="H77">
        <v>-57.526357555028305</v>
      </c>
      <c r="I77">
        <v>39.101086444418101</v>
      </c>
      <c r="J77">
        <v>17.584550046454801</v>
      </c>
      <c r="K77">
        <v>8.2854831652329306</v>
      </c>
      <c r="L77">
        <v>1.2625355049341819E-3</v>
      </c>
      <c r="M77">
        <v>2.0995635341972029E-4</v>
      </c>
      <c r="N77" s="1">
        <v>7.2285478844659096E-6</v>
      </c>
      <c r="O77" s="1">
        <v>1.5227653306543701E-6</v>
      </c>
      <c r="P77" s="1">
        <v>-5.4895409802816602E-6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260</v>
      </c>
      <c r="D78">
        <v>0.31055340234509199</v>
      </c>
      <c r="E78">
        <v>4.51849767601409</v>
      </c>
      <c r="F78">
        <v>0.54474318014216805</v>
      </c>
      <c r="G78">
        <v>-97.605519991468825</v>
      </c>
      <c r="H78">
        <v>-57.680966806034341</v>
      </c>
      <c r="I78">
        <v>39.176901287614399</v>
      </c>
      <c r="J78">
        <v>17.634428872094499</v>
      </c>
      <c r="K78">
        <v>8.2947301420732593</v>
      </c>
      <c r="L78">
        <v>1.263253879055466E-3</v>
      </c>
      <c r="M78">
        <v>2.0955843693781808E-4</v>
      </c>
      <c r="N78" s="1">
        <v>7.30458715925257E-6</v>
      </c>
      <c r="O78" s="1">
        <v>1.52092476119106E-6</v>
      </c>
      <c r="P78" s="1">
        <v>-5.5001173907392504E-6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260</v>
      </c>
      <c r="D79">
        <v>0.309807493984187</v>
      </c>
      <c r="E79">
        <v>4.5291687640459299</v>
      </c>
      <c r="F79">
        <v>0.54543195837226799</v>
      </c>
      <c r="G79">
        <v>-97.79676884531851</v>
      </c>
      <c r="H79">
        <v>-57.834868862499754</v>
      </c>
      <c r="I79">
        <v>39.252066838195098</v>
      </c>
      <c r="J79">
        <v>17.684086586209901</v>
      </c>
      <c r="K79">
        <v>8.3038199257013101</v>
      </c>
      <c r="L79">
        <v>1.2639658516571636E-3</v>
      </c>
      <c r="M79">
        <v>2.0915963449949314E-4</v>
      </c>
      <c r="N79" s="1">
        <v>7.38086757303705E-6</v>
      </c>
      <c r="O79" s="1">
        <v>1.5190339238012799E-6</v>
      </c>
      <c r="P79" s="1">
        <v>-5.5105351019700799E-6</v>
      </c>
      <c r="AE79">
        <v>100</v>
      </c>
      <c r="AJ79">
        <v>1</v>
      </c>
    </row>
    <row r="80" spans="1:36" x14ac:dyDescent="0.2">
      <c r="A80">
        <v>79</v>
      </c>
      <c r="B80">
        <v>744</v>
      </c>
      <c r="C80">
        <v>260</v>
      </c>
      <c r="D80">
        <v>0.30906011895984098</v>
      </c>
      <c r="E80">
        <v>4.5397777400295398</v>
      </c>
      <c r="F80">
        <v>0.54612199456586497</v>
      </c>
      <c r="G80">
        <v>-97.986509480222082</v>
      </c>
      <c r="H80">
        <v>-57.988068875596994</v>
      </c>
      <c r="I80">
        <v>39.326587567440598</v>
      </c>
      <c r="J80">
        <v>17.7335242727566</v>
      </c>
      <c r="K80">
        <v>8.3127538996820505</v>
      </c>
      <c r="L80">
        <v>1.2646713800474486E-3</v>
      </c>
      <c r="M80">
        <v>2.0875995085283891E-4</v>
      </c>
      <c r="N80" s="1">
        <v>7.4573848927322301E-6</v>
      </c>
      <c r="O80" s="1">
        <v>1.51709328473526E-6</v>
      </c>
      <c r="P80" s="1">
        <v>-5.5207940190906801E-6</v>
      </c>
      <c r="AE80">
        <v>100</v>
      </c>
      <c r="AJ80">
        <v>1</v>
      </c>
    </row>
    <row r="81" spans="1:36" x14ac:dyDescent="0.2">
      <c r="A81">
        <v>80</v>
      </c>
      <c r="B81">
        <v>743</v>
      </c>
      <c r="C81">
        <v>260</v>
      </c>
      <c r="D81">
        <v>0.30831127294198801</v>
      </c>
      <c r="E81">
        <v>4.5503250560591901</v>
      </c>
      <c r="F81">
        <v>0.54681328775775795</v>
      </c>
      <c r="G81">
        <v>-98.174753411894116</v>
      </c>
      <c r="H81">
        <v>-58.140571935051732</v>
      </c>
      <c r="I81">
        <v>39.400467895745102</v>
      </c>
      <c r="J81">
        <v>17.7827429967674</v>
      </c>
      <c r="K81">
        <v>8.3215334336846105</v>
      </c>
      <c r="L81">
        <v>1.2653704216842557E-3</v>
      </c>
      <c r="M81">
        <v>2.0835939081533978E-4</v>
      </c>
      <c r="N81" s="1">
        <v>7.5341348485132297E-6</v>
      </c>
      <c r="O81" s="1">
        <v>1.5151033086034001E-6</v>
      </c>
      <c r="P81" s="1">
        <v>-5.5308940487253197E-6</v>
      </c>
      <c r="AE81">
        <v>100</v>
      </c>
      <c r="AJ81">
        <v>1</v>
      </c>
    </row>
    <row r="82" spans="1:36" x14ac:dyDescent="0.2">
      <c r="A82">
        <v>81</v>
      </c>
      <c r="B82">
        <v>742</v>
      </c>
      <c r="C82">
        <v>260</v>
      </c>
      <c r="D82">
        <v>0.30756095158350699</v>
      </c>
      <c r="E82">
        <v>6.0403676284808903</v>
      </c>
      <c r="F82">
        <v>0.54750583694753097</v>
      </c>
      <c r="G82">
        <v>-130.27061906753028</v>
      </c>
      <c r="H82">
        <v>-77.202807002158082</v>
      </c>
      <c r="I82">
        <v>52.279238274787197</v>
      </c>
      <c r="J82">
        <v>23.616476166499002</v>
      </c>
      <c r="K82">
        <v>11.032517319189299</v>
      </c>
      <c r="L82">
        <v>1.2660629341795032E-3</v>
      </c>
      <c r="M82">
        <v>2.0795795927368933E-4</v>
      </c>
      <c r="N82" s="1">
        <v>1.0080207180204601E-5</v>
      </c>
      <c r="O82" s="1">
        <v>2.0039122988794001E-6</v>
      </c>
      <c r="P82" s="1">
        <v>-7.33831763716678E-6</v>
      </c>
      <c r="AE82">
        <v>100</v>
      </c>
      <c r="AJ82">
        <v>1</v>
      </c>
    </row>
    <row r="83" spans="1:36" x14ac:dyDescent="0.2">
      <c r="A83">
        <v>82</v>
      </c>
      <c r="B83">
        <v>741</v>
      </c>
      <c r="C83">
        <v>260</v>
      </c>
      <c r="D83">
        <v>0.30680915052014102</v>
      </c>
      <c r="E83">
        <v>8.2931169091007408</v>
      </c>
      <c r="F83">
        <v>0.548199641099408</v>
      </c>
      <c r="G83">
        <v>-178.78316004027724</v>
      </c>
      <c r="H83">
        <v>-106.02795090374322</v>
      </c>
      <c r="I83">
        <v>71.744766521012806</v>
      </c>
      <c r="J83">
        <v>32.438773867392001</v>
      </c>
      <c r="K83">
        <v>15.1279137878838</v>
      </c>
      <c r="L83">
        <v>1.2667488753036703E-3</v>
      </c>
      <c r="M83">
        <v>2.0755566118368932E-4</v>
      </c>
      <c r="N83" s="1">
        <v>1.3948107616298E-5</v>
      </c>
      <c r="O83" s="1">
        <v>2.7412081076816599E-6</v>
      </c>
      <c r="P83" s="1">
        <v>-1.00699048195802E-5</v>
      </c>
      <c r="AE83">
        <v>100</v>
      </c>
      <c r="AJ83">
        <v>1</v>
      </c>
    </row>
    <row r="84" spans="1:36" x14ac:dyDescent="0.2">
      <c r="A84">
        <v>83</v>
      </c>
      <c r="B84">
        <v>740</v>
      </c>
      <c r="C84">
        <v>260</v>
      </c>
      <c r="D84">
        <v>0.30605586537038199</v>
      </c>
      <c r="E84">
        <v>9.8945920472153794</v>
      </c>
      <c r="F84">
        <v>0.54889469914212896</v>
      </c>
      <c r="G84">
        <v>-213.22220897363275</v>
      </c>
      <c r="H84">
        <v>-126.54160933947676</v>
      </c>
      <c r="I84">
        <v>85.561133028004605</v>
      </c>
      <c r="J84">
        <v>38.7203227644018</v>
      </c>
      <c r="K84">
        <v>18.026393883343498</v>
      </c>
      <c r="L84">
        <v>1.26742820299016E-3</v>
      </c>
      <c r="M84">
        <v>2.0715250157008234E-4</v>
      </c>
      <c r="N84" s="1">
        <v>1.67711667319179E-5</v>
      </c>
      <c r="O84" s="1">
        <v>3.2585496354658702E-6</v>
      </c>
      <c r="P84" s="1">
        <v>-1.20080949208262E-5</v>
      </c>
      <c r="AE84">
        <v>100</v>
      </c>
      <c r="AJ84">
        <v>1</v>
      </c>
    </row>
    <row r="85" spans="1:36" x14ac:dyDescent="0.2">
      <c r="A85">
        <v>84</v>
      </c>
      <c r="B85">
        <v>739</v>
      </c>
      <c r="C85">
        <v>260</v>
      </c>
      <c r="D85">
        <v>0.30530109173541498</v>
      </c>
      <c r="E85">
        <v>10.262925252844401</v>
      </c>
      <c r="F85">
        <v>0.54959100996883603</v>
      </c>
      <c r="G85">
        <v>-221.07083053033375</v>
      </c>
      <c r="H85">
        <v>-131.29238117002564</v>
      </c>
      <c r="I85">
        <v>88.706537999657698</v>
      </c>
      <c r="J85">
        <v>40.179653317402099</v>
      </c>
      <c r="K85">
        <v>18.673750237338002</v>
      </c>
      <c r="L85">
        <v>1.2681008753398979E-3</v>
      </c>
      <c r="M85">
        <v>2.0674848552640709E-4</v>
      </c>
      <c r="N85" s="1">
        <v>1.7529965711597899E-5</v>
      </c>
      <c r="O85" s="1">
        <v>3.3673880771127799E-6</v>
      </c>
      <c r="P85" s="1">
        <v>-1.2448304331128699E-5</v>
      </c>
      <c r="AE85">
        <v>100</v>
      </c>
      <c r="AJ85">
        <v>1</v>
      </c>
    </row>
    <row r="86" spans="1:36" x14ac:dyDescent="0.2">
      <c r="A86">
        <v>85</v>
      </c>
      <c r="B86">
        <v>763</v>
      </c>
      <c r="C86">
        <v>240</v>
      </c>
      <c r="D86">
        <v>0.34424600685229401</v>
      </c>
      <c r="E86">
        <v>4.6604277959109002</v>
      </c>
      <c r="F86">
        <v>0.50907701171511699</v>
      </c>
      <c r="G86">
        <v>-101.53970197000777</v>
      </c>
      <c r="H86">
        <v>-59.124513432542287</v>
      </c>
      <c r="I86">
        <v>40.937948675803</v>
      </c>
      <c r="J86">
        <v>18.183124533690702</v>
      </c>
      <c r="K86">
        <v>9.1546616497366102</v>
      </c>
      <c r="L86">
        <v>1.3315557993801683E-3</v>
      </c>
      <c r="M86">
        <v>2.4855478567683675E-4</v>
      </c>
      <c r="N86" s="1">
        <v>6.66046605691478E-6</v>
      </c>
      <c r="O86" s="1">
        <v>2.2302830154447901E-6</v>
      </c>
      <c r="P86" s="1">
        <v>-6.9796126578057703E-6</v>
      </c>
      <c r="AE86">
        <v>100</v>
      </c>
      <c r="AJ86">
        <v>1</v>
      </c>
    </row>
    <row r="87" spans="1:36" x14ac:dyDescent="0.2">
      <c r="A87">
        <v>86</v>
      </c>
      <c r="B87">
        <v>762</v>
      </c>
      <c r="C87">
        <v>240</v>
      </c>
      <c r="D87">
        <v>0.34354489687485301</v>
      </c>
      <c r="E87">
        <v>4.6649531858038902</v>
      </c>
      <c r="F87">
        <v>0.50975559360291101</v>
      </c>
      <c r="G87">
        <v>-101.5973306022251</v>
      </c>
      <c r="H87">
        <v>-59.200130431127256</v>
      </c>
      <c r="I87">
        <v>40.960121473961898</v>
      </c>
      <c r="J87">
        <v>18.210504291215301</v>
      </c>
      <c r="K87">
        <v>9.1513526175012192</v>
      </c>
      <c r="L87">
        <v>1.3325981129443847E-3</v>
      </c>
      <c r="M87">
        <v>2.4812266716740008E-4</v>
      </c>
      <c r="N87" s="1">
        <v>6.7417340236950698E-6</v>
      </c>
      <c r="O87" s="1">
        <v>2.2251963385225498E-6</v>
      </c>
      <c r="P87" s="1">
        <v>-6.9864911365866101E-6</v>
      </c>
      <c r="AE87">
        <v>100</v>
      </c>
      <c r="AJ87">
        <v>1</v>
      </c>
    </row>
    <row r="88" spans="1:36" x14ac:dyDescent="0.2">
      <c r="A88">
        <v>87</v>
      </c>
      <c r="B88">
        <v>761</v>
      </c>
      <c r="C88">
        <v>240</v>
      </c>
      <c r="D88">
        <v>0.34284243098196698</v>
      </c>
      <c r="E88">
        <v>4.6760560937787403</v>
      </c>
      <c r="F88">
        <v>0.510435610420229</v>
      </c>
      <c r="G88">
        <v>-101.79809041711103</v>
      </c>
      <c r="H88">
        <v>-59.359289510290616</v>
      </c>
      <c r="I88">
        <v>41.039962126635402</v>
      </c>
      <c r="J88">
        <v>18.2635827238011</v>
      </c>
      <c r="K88">
        <v>9.1609127543610303</v>
      </c>
      <c r="L88">
        <v>1.3336340289794061E-3</v>
      </c>
      <c r="M88">
        <v>2.4768920616416955E-4</v>
      </c>
      <c r="N88" s="1">
        <v>6.8329695759914299E-6</v>
      </c>
      <c r="O88" s="1">
        <v>2.22321190169292E-6</v>
      </c>
      <c r="P88" s="1">
        <v>-7.0031324000611199E-6</v>
      </c>
      <c r="AE88">
        <v>100</v>
      </c>
      <c r="AJ88">
        <v>1</v>
      </c>
    </row>
    <row r="89" spans="1:36" x14ac:dyDescent="0.2">
      <c r="A89">
        <v>88</v>
      </c>
      <c r="B89">
        <v>760</v>
      </c>
      <c r="C89">
        <v>240</v>
      </c>
      <c r="D89">
        <v>0.34213860523641398</v>
      </c>
      <c r="E89">
        <v>4.6870964726251403</v>
      </c>
      <c r="F89">
        <v>0.51111706220977304</v>
      </c>
      <c r="G89">
        <v>-101.99731228539528</v>
      </c>
      <c r="H89">
        <v>-59.517751042777078</v>
      </c>
      <c r="I89">
        <v>41.119143867822203</v>
      </c>
      <c r="J89">
        <v>18.316452216578501</v>
      </c>
      <c r="K89">
        <v>9.1702993681346907</v>
      </c>
      <c r="L89">
        <v>1.3346634856921684E-3</v>
      </c>
      <c r="M89">
        <v>2.4725440591611515E-4</v>
      </c>
      <c r="N89" s="1">
        <v>6.9246779028625697E-6</v>
      </c>
      <c r="O89" s="1">
        <v>2.2211523821741401E-6</v>
      </c>
      <c r="P89" s="1">
        <v>-7.0195907843429104E-6</v>
      </c>
      <c r="AE89">
        <v>100</v>
      </c>
      <c r="AJ89">
        <v>1</v>
      </c>
    </row>
    <row r="90" spans="1:36" x14ac:dyDescent="0.2">
      <c r="A90">
        <v>89</v>
      </c>
      <c r="B90">
        <v>759</v>
      </c>
      <c r="C90">
        <v>240</v>
      </c>
      <c r="D90">
        <v>0.34143341568570601</v>
      </c>
      <c r="E90">
        <v>4.6980748224359301</v>
      </c>
      <c r="F90">
        <v>0.51179994897400405</v>
      </c>
      <c r="G90">
        <v>-102.1950088831137</v>
      </c>
      <c r="H90">
        <v>-59.675520705865864</v>
      </c>
      <c r="I90">
        <v>41.197671563392902</v>
      </c>
      <c r="J90">
        <v>18.3691139139585</v>
      </c>
      <c r="K90">
        <v>9.1795140500777297</v>
      </c>
      <c r="L90">
        <v>1.33568642132544E-3</v>
      </c>
      <c r="M90">
        <v>2.468182697779008E-4</v>
      </c>
      <c r="N90" s="1">
        <v>7.0168544851920398E-6</v>
      </c>
      <c r="O90" s="1">
        <v>2.2190183423588799E-6</v>
      </c>
      <c r="P90" s="1">
        <v>-7.0358657369258003E-6</v>
      </c>
      <c r="AE90">
        <v>100</v>
      </c>
      <c r="AJ90">
        <v>1</v>
      </c>
    </row>
    <row r="91" spans="1:36" x14ac:dyDescent="0.2">
      <c r="A91">
        <v>90</v>
      </c>
      <c r="B91">
        <v>758</v>
      </c>
      <c r="C91">
        <v>240</v>
      </c>
      <c r="D91">
        <v>0.34072685836202499</v>
      </c>
      <c r="E91">
        <v>4.7089916379610797</v>
      </c>
      <c r="F91">
        <v>0.51248427067487601</v>
      </c>
      <c r="G91">
        <v>-102.39119275146219</v>
      </c>
      <c r="H91">
        <v>-59.832604115543923</v>
      </c>
      <c r="I91">
        <v>41.275550026764897</v>
      </c>
      <c r="J91">
        <v>18.421568940215501</v>
      </c>
      <c r="K91">
        <v>9.1885583761623497</v>
      </c>
      <c r="L91">
        <v>1.336702774164914E-3</v>
      </c>
      <c r="M91">
        <v>2.4638080121033759E-4</v>
      </c>
      <c r="N91" s="1">
        <v>7.1094947275578698E-6</v>
      </c>
      <c r="O91" s="1">
        <v>2.2168103431014199E-6</v>
      </c>
      <c r="P91" s="1">
        <v>-7.0519567029940104E-6</v>
      </c>
      <c r="AE91">
        <v>100</v>
      </c>
      <c r="AJ91">
        <v>1</v>
      </c>
    </row>
    <row r="92" spans="1:36" x14ac:dyDescent="0.2">
      <c r="A92">
        <v>91</v>
      </c>
      <c r="B92">
        <v>757</v>
      </c>
      <c r="C92">
        <v>240</v>
      </c>
      <c r="D92">
        <v>0.340018929282145</v>
      </c>
      <c r="E92">
        <v>4.71984740889076</v>
      </c>
      <c r="F92">
        <v>0.51317002723357097</v>
      </c>
      <c r="G92">
        <v>-102.5858763031986</v>
      </c>
      <c r="H92">
        <v>-59.989006830006275</v>
      </c>
      <c r="I92">
        <v>41.352784021464302</v>
      </c>
      <c r="J92">
        <v>18.473818400586101</v>
      </c>
      <c r="K92">
        <v>9.1974339076949008</v>
      </c>
      <c r="L92">
        <v>1.3377124825460231E-3</v>
      </c>
      <c r="M92">
        <v>2.4594200378070396E-4</v>
      </c>
      <c r="N92" s="1">
        <v>7.20259395869492E-6</v>
      </c>
      <c r="O92" s="1">
        <v>2.2145289438931901E-6</v>
      </c>
      <c r="P92" s="1">
        <v>-7.0678631260643999E-6</v>
      </c>
      <c r="AE92">
        <v>100</v>
      </c>
      <c r="AJ92">
        <v>1</v>
      </c>
    </row>
    <row r="93" spans="1:36" x14ac:dyDescent="0.2">
      <c r="A93">
        <v>92</v>
      </c>
      <c r="B93">
        <v>756</v>
      </c>
      <c r="C93">
        <v>240</v>
      </c>
      <c r="D93">
        <v>0.33930962444735902</v>
      </c>
      <c r="E93">
        <v>4.7306426198009399</v>
      </c>
      <c r="F93">
        <v>0.513857218530266</v>
      </c>
      <c r="G93">
        <v>-102.77907182169818</v>
      </c>
      <c r="H93">
        <v>-60.144734348871737</v>
      </c>
      <c r="I93">
        <v>41.429378260727901</v>
      </c>
      <c r="J93">
        <v>18.525863381062901</v>
      </c>
      <c r="K93">
        <v>9.2061421912715797</v>
      </c>
      <c r="L93">
        <v>1.3387154848615219E-3</v>
      </c>
      <c r="M93">
        <v>2.4550188116323523E-4</v>
      </c>
      <c r="N93" s="1">
        <v>7.2961474314857896E-6</v>
      </c>
      <c r="O93" s="1">
        <v>2.2121747028803998E-6</v>
      </c>
      <c r="P93" s="1">
        <v>-7.08358444813233E-6</v>
      </c>
      <c r="AE93">
        <v>100</v>
      </c>
      <c r="AJ93">
        <v>1</v>
      </c>
    </row>
    <row r="94" spans="1:36" x14ac:dyDescent="0.2">
      <c r="A94">
        <v>93</v>
      </c>
      <c r="B94">
        <v>755</v>
      </c>
      <c r="C94">
        <v>240</v>
      </c>
      <c r="D94">
        <v>0.338598939843407</v>
      </c>
      <c r="E94">
        <v>4.7413777502237702</v>
      </c>
      <c r="F94">
        <v>0.51454584440387996</v>
      </c>
      <c r="G94">
        <v>-102.97079146272102</v>
      </c>
      <c r="H94">
        <v>-60.29979211398566</v>
      </c>
      <c r="I94">
        <v>41.5053374081972</v>
      </c>
      <c r="J94">
        <v>18.5777049486633</v>
      </c>
      <c r="K94">
        <v>9.2146847589777501</v>
      </c>
      <c r="L94">
        <v>1.3397117195683959E-3</v>
      </c>
      <c r="M94">
        <v>2.4506043713939626E-4</v>
      </c>
      <c r="N94" s="1">
        <v>7.3901503231555401E-6</v>
      </c>
      <c r="O94" s="1">
        <v>2.2097481769363899E-6</v>
      </c>
      <c r="P94" s="1">
        <v>-7.0991201099981397E-6</v>
      </c>
      <c r="AE94">
        <v>100</v>
      </c>
      <c r="AJ94">
        <v>1</v>
      </c>
    </row>
    <row r="95" spans="1:36" x14ac:dyDescent="0.2">
      <c r="A95">
        <v>94</v>
      </c>
      <c r="B95">
        <v>754</v>
      </c>
      <c r="C95">
        <v>240</v>
      </c>
      <c r="D95">
        <v>0.33788687144039198</v>
      </c>
      <c r="E95">
        <v>4.7520532747423401</v>
      </c>
      <c r="F95">
        <v>0.51523590465179603</v>
      </c>
      <c r="G95">
        <v>-103.1610472567056</v>
      </c>
      <c r="H95">
        <v>-60.45418551053168</v>
      </c>
      <c r="I95">
        <v>41.580666078827001</v>
      </c>
      <c r="J95">
        <v>18.629344151804901</v>
      </c>
      <c r="K95">
        <v>9.2230631286339602</v>
      </c>
      <c r="L95">
        <v>1.3407011251952078E-3</v>
      </c>
      <c r="M95">
        <v>2.4461767559829566E-4</v>
      </c>
      <c r="N95" s="1">
        <v>7.4845977355421801E-6</v>
      </c>
      <c r="O95" s="1">
        <v>2.2072499217470199E-6</v>
      </c>
      <c r="P95" s="1">
        <v>-7.1144695516387099E-6</v>
      </c>
      <c r="AE95">
        <v>100</v>
      </c>
      <c r="AJ95">
        <v>1</v>
      </c>
    </row>
    <row r="96" spans="1:36" x14ac:dyDescent="0.2">
      <c r="A96">
        <v>95</v>
      </c>
      <c r="B96">
        <v>753</v>
      </c>
      <c r="C96">
        <v>240</v>
      </c>
      <c r="D96">
        <v>0.33717341519271199</v>
      </c>
      <c r="E96">
        <v>4.7626696630299401</v>
      </c>
      <c r="F96">
        <v>0.51592739902965501</v>
      </c>
      <c r="G96">
        <v>-103.34985110985129</v>
      </c>
      <c r="H96">
        <v>-60.607919867441744</v>
      </c>
      <c r="I96">
        <v>41.655368839304302</v>
      </c>
      <c r="J96">
        <v>18.680782020456899</v>
      </c>
      <c r="K96">
        <v>9.2312788039314508</v>
      </c>
      <c r="L96">
        <v>1.3416836403493037E-3</v>
      </c>
      <c r="M96">
        <v>2.4417360053697847E-4</v>
      </c>
      <c r="N96" s="1">
        <v>7.5794846952970596E-6</v>
      </c>
      <c r="O96" s="1">
        <v>2.2046804918666599E-6</v>
      </c>
      <c r="P96" s="1">
        <v>-7.1296322124919202E-6</v>
      </c>
      <c r="AE96">
        <v>100</v>
      </c>
      <c r="AJ96">
        <v>1</v>
      </c>
    </row>
    <row r="97" spans="1:36" x14ac:dyDescent="0.2">
      <c r="A97">
        <v>96</v>
      </c>
      <c r="B97">
        <v>752</v>
      </c>
      <c r="C97">
        <v>240</v>
      </c>
      <c r="D97">
        <v>0.33645856703896998</v>
      </c>
      <c r="E97">
        <v>4.7732273799725897</v>
      </c>
      <c r="F97">
        <v>0.51662032725108598</v>
      </c>
      <c r="G97">
        <v>-103.5372148070074</v>
      </c>
      <c r="H97">
        <v>-60.761000458866739</v>
      </c>
      <c r="I97">
        <v>41.729450209195903</v>
      </c>
      <c r="J97">
        <v>18.7320195666282</v>
      </c>
      <c r="K97">
        <v>9.2393332747294608</v>
      </c>
      <c r="L97">
        <v>1.3426592037241709E-3</v>
      </c>
      <c r="M97">
        <v>2.4372821606076148E-4</v>
      </c>
      <c r="N97" s="1">
        <v>7.6748061542481703E-6</v>
      </c>
      <c r="O97" s="1">
        <v>2.2020404408130398E-6</v>
      </c>
      <c r="P97" s="1">
        <v>-7.1446075318704903E-6</v>
      </c>
      <c r="AE97">
        <v>100</v>
      </c>
      <c r="AJ97">
        <v>1</v>
      </c>
    </row>
    <row r="98" spans="1:36" x14ac:dyDescent="0.2">
      <c r="A98">
        <v>97</v>
      </c>
      <c r="B98">
        <v>751</v>
      </c>
      <c r="C98">
        <v>240</v>
      </c>
      <c r="D98">
        <v>0.33574232290192102</v>
      </c>
      <c r="E98">
        <v>4.7837268856133699</v>
      </c>
      <c r="F98">
        <v>0.51731468898748201</v>
      </c>
      <c r="G98">
        <v>-103.72315001068847</v>
      </c>
      <c r="H98">
        <v>-60.913432503378658</v>
      </c>
      <c r="I98">
        <v>41.802914660536302</v>
      </c>
      <c r="J98">
        <v>18.783057784149701</v>
      </c>
      <c r="K98">
        <v>9.2472280170051899</v>
      </c>
      <c r="L98">
        <v>1.3436277541067985E-3</v>
      </c>
      <c r="M98">
        <v>2.4328152638353187E-4</v>
      </c>
      <c r="N98" s="1">
        <v>7.7705569895129093E-6</v>
      </c>
      <c r="O98" s="1">
        <v>2.1993303210779E-6</v>
      </c>
      <c r="P98" s="1">
        <v>-7.1593949491103597E-6</v>
      </c>
      <c r="AE98">
        <v>100</v>
      </c>
      <c r="AJ98">
        <v>1</v>
      </c>
    </row>
    <row r="99" spans="1:36" x14ac:dyDescent="0.2">
      <c r="A99">
        <v>98</v>
      </c>
      <c r="B99">
        <v>750</v>
      </c>
      <c r="C99">
        <v>240</v>
      </c>
      <c r="D99">
        <v>0.335024678688366</v>
      </c>
      <c r="E99">
        <v>4.7941686353695898</v>
      </c>
      <c r="F99">
        <v>0.51801048386774795</v>
      </c>
      <c r="G99">
        <v>-103.90766826600809</v>
      </c>
      <c r="H99">
        <v>-61.065221166649771</v>
      </c>
      <c r="I99">
        <v>41.875766619798803</v>
      </c>
      <c r="J99">
        <v>18.8338976495324</v>
      </c>
      <c r="K99">
        <v>9.2549644933317001</v>
      </c>
      <c r="L99">
        <v>1.3445892303850036E-3</v>
      </c>
      <c r="M99">
        <v>2.4283353582802005E-4</v>
      </c>
      <c r="N99" s="1">
        <v>7.8667320040563997E-6</v>
      </c>
      <c r="O99" s="1">
        <v>2.1965506842623601E-6</v>
      </c>
      <c r="P99" s="1">
        <v>-7.1739939041256397E-6</v>
      </c>
      <c r="AE99">
        <v>100</v>
      </c>
      <c r="AJ99">
        <v>1</v>
      </c>
    </row>
    <row r="100" spans="1:36" x14ac:dyDescent="0.2">
      <c r="A100">
        <v>99</v>
      </c>
      <c r="B100">
        <v>749</v>
      </c>
      <c r="C100">
        <v>240</v>
      </c>
      <c r="D100">
        <v>0.33430563028909699</v>
      </c>
      <c r="E100">
        <v>4.8045530800142497</v>
      </c>
      <c r="F100">
        <v>0.51870771147807404</v>
      </c>
      <c r="G100">
        <v>-104.09078100049396</v>
      </c>
      <c r="H100">
        <v>-61.216371561130856</v>
      </c>
      <c r="I100">
        <v>41.948010467806903</v>
      </c>
      <c r="J100">
        <v>18.884540121899899</v>
      </c>
      <c r="K100">
        <v>9.2625441528978207</v>
      </c>
      <c r="L100">
        <v>1.3455435715547743E-3</v>
      </c>
      <c r="M100">
        <v>2.4238424882604508E-4</v>
      </c>
      <c r="N100" s="1">
        <v>7.9633259269262795E-6</v>
      </c>
      <c r="O100" s="1">
        <v>2.1937020811020701E-6</v>
      </c>
      <c r="P100" s="1">
        <v>-7.1884038376156599E-6</v>
      </c>
      <c r="AE100">
        <v>100</v>
      </c>
      <c r="AJ100">
        <v>1</v>
      </c>
    </row>
    <row r="101" spans="1:36" x14ac:dyDescent="0.2">
      <c r="A101">
        <v>100</v>
      </c>
      <c r="B101">
        <v>748</v>
      </c>
      <c r="C101">
        <v>240</v>
      </c>
      <c r="D101">
        <v>0.33358517357881101</v>
      </c>
      <c r="E101">
        <v>4.8148806656619003</v>
      </c>
      <c r="F101">
        <v>0.51940637136170698</v>
      </c>
      <c r="G101">
        <v>-104.27249952399814</v>
      </c>
      <c r="H101">
        <v>-61.366888745786689</v>
      </c>
      <c r="I101">
        <v>42.019650539681599</v>
      </c>
      <c r="J101">
        <v>18.934986142942801</v>
      </c>
      <c r="K101">
        <v>9.2699684315363999</v>
      </c>
      <c r="L101">
        <v>1.3464907167278104E-3</v>
      </c>
      <c r="M101">
        <v>2.419336699187921E-4</v>
      </c>
      <c r="N101" s="1">
        <v>8.0603334134883896E-6</v>
      </c>
      <c r="O101" s="1">
        <v>2.1907850614942998E-6</v>
      </c>
      <c r="P101" s="1">
        <v>-7.2026241912770802E-6</v>
      </c>
      <c r="AE101">
        <v>100</v>
      </c>
      <c r="AJ101">
        <v>1</v>
      </c>
    </row>
    <row r="102" spans="1:36" x14ac:dyDescent="0.2">
      <c r="A102">
        <v>101</v>
      </c>
      <c r="B102">
        <v>747</v>
      </c>
      <c r="C102">
        <v>240</v>
      </c>
      <c r="D102">
        <v>0.33286330441601902</v>
      </c>
      <c r="E102">
        <v>4.9239283102270699</v>
      </c>
      <c r="F102">
        <v>0.520106463018706</v>
      </c>
      <c r="G102">
        <v>-106.59110618714944</v>
      </c>
      <c r="H102">
        <v>-62.776097796381627</v>
      </c>
      <c r="I102">
        <v>42.952336582767899</v>
      </c>
      <c r="J102">
        <v>19.3738865373459</v>
      </c>
      <c r="K102">
        <v>9.4671546314739299</v>
      </c>
      <c r="L102">
        <v>1.3474306051391109E-3</v>
      </c>
      <c r="M102">
        <v>2.4148180375702685E-4</v>
      </c>
      <c r="N102" s="1">
        <v>8.3247476675955195E-6</v>
      </c>
      <c r="O102" s="1">
        <v>2.2325869915844002E-6</v>
      </c>
      <c r="P102" s="1">
        <v>-7.3643877268676098E-6</v>
      </c>
      <c r="AE102">
        <v>100</v>
      </c>
      <c r="AJ102">
        <v>1</v>
      </c>
    </row>
    <row r="103" spans="1:36" x14ac:dyDescent="0.2">
      <c r="A103">
        <v>102</v>
      </c>
      <c r="B103">
        <v>746</v>
      </c>
      <c r="C103">
        <v>240</v>
      </c>
      <c r="D103">
        <v>0.33214001864298798</v>
      </c>
      <c r="E103">
        <v>5.4847732843233601</v>
      </c>
      <c r="F103">
        <v>0.52080798590573996</v>
      </c>
      <c r="G103">
        <v>-118.68420558176194</v>
      </c>
      <c r="H103">
        <v>-69.948003162065376</v>
      </c>
      <c r="I103">
        <v>47.823520721948199</v>
      </c>
      <c r="J103">
        <v>21.591797140851</v>
      </c>
      <c r="K103">
        <v>10.531277232212</v>
      </c>
      <c r="L103">
        <v>1.3483631761540098E-3</v>
      </c>
      <c r="M103">
        <v>2.4102865510126123E-4</v>
      </c>
      <c r="N103" s="1">
        <v>9.3643181488703607E-6</v>
      </c>
      <c r="O103" s="1">
        <v>2.4781670633056399E-6</v>
      </c>
      <c r="P103" s="1">
        <v>-8.2015738989528099E-6</v>
      </c>
      <c r="AE103">
        <v>100</v>
      </c>
      <c r="AJ103">
        <v>1</v>
      </c>
    </row>
    <row r="104" spans="1:36" x14ac:dyDescent="0.2">
      <c r="A104">
        <v>103</v>
      </c>
      <c r="B104">
        <v>745</v>
      </c>
      <c r="C104">
        <v>240</v>
      </c>
      <c r="D104">
        <v>0.33141531208564601</v>
      </c>
      <c r="E104">
        <v>6.64086380613172</v>
      </c>
      <c r="F104">
        <v>0.52151093943584204</v>
      </c>
      <c r="G104">
        <v>-143.64278799882547</v>
      </c>
      <c r="H104">
        <v>-84.717920632642844</v>
      </c>
      <c r="I104">
        <v>57.878178732257702</v>
      </c>
      <c r="J104">
        <v>26.1564782674436</v>
      </c>
      <c r="K104">
        <v>12.733891667384</v>
      </c>
      <c r="L104">
        <v>1.3492883692761779E-3</v>
      </c>
      <c r="M104">
        <v>2.4057422882200289E-4</v>
      </c>
      <c r="N104" s="1">
        <v>1.1448979055879799E-5</v>
      </c>
      <c r="O104" s="1">
        <v>2.9899538320725098E-6</v>
      </c>
      <c r="P104" s="1">
        <v>-9.9282008307270303E-6</v>
      </c>
      <c r="AE104">
        <v>100</v>
      </c>
      <c r="AJ104">
        <v>1</v>
      </c>
    </row>
    <row r="105" spans="1:36" x14ac:dyDescent="0.2">
      <c r="A105">
        <v>104</v>
      </c>
      <c r="B105">
        <v>744</v>
      </c>
      <c r="C105">
        <v>240</v>
      </c>
      <c r="D105">
        <v>0.33068918055350899</v>
      </c>
      <c r="E105">
        <v>9.1548565528216006</v>
      </c>
      <c r="F105">
        <v>0.52221532297820195</v>
      </c>
      <c r="G105">
        <v>-197.94102221956129</v>
      </c>
      <c r="H105">
        <v>-116.82515318956145</v>
      </c>
      <c r="I105">
        <v>79.753338250102701</v>
      </c>
      <c r="J105">
        <v>36.0769922404806</v>
      </c>
      <c r="K105">
        <v>17.530807982828399</v>
      </c>
      <c r="L105">
        <v>1.3502061241548514E-3</v>
      </c>
      <c r="M105">
        <v>2.4011852989985869E-4</v>
      </c>
      <c r="N105" s="1">
        <v>1.5936221462926802E-5</v>
      </c>
      <c r="O105" s="1">
        <v>4.1072601413649202E-6</v>
      </c>
      <c r="P105" s="1">
        <v>-1.36835506019735E-5</v>
      </c>
      <c r="AE105">
        <v>100</v>
      </c>
      <c r="AJ105">
        <v>1</v>
      </c>
    </row>
    <row r="106" spans="1:36" x14ac:dyDescent="0.2">
      <c r="A106">
        <v>105</v>
      </c>
      <c r="B106">
        <v>743</v>
      </c>
      <c r="C106">
        <v>240</v>
      </c>
      <c r="D106">
        <v>0.32996161983958999</v>
      </c>
      <c r="E106">
        <v>10.081420300240399</v>
      </c>
      <c r="F106">
        <v>0.52292113585794298</v>
      </c>
      <c r="G106">
        <v>-217.88684291217982</v>
      </c>
      <c r="H106">
        <v>-128.68877465614585</v>
      </c>
      <c r="I106">
        <v>87.786092076760198</v>
      </c>
      <c r="J106">
        <v>39.748804713763803</v>
      </c>
      <c r="K106">
        <v>19.279045364460401</v>
      </c>
      <c r="L106">
        <v>1.351116380592435E-3</v>
      </c>
      <c r="M106">
        <v>2.3966156342573449E-4</v>
      </c>
      <c r="N106" s="1">
        <v>1.7717987957126901E-5</v>
      </c>
      <c r="O106" s="1">
        <v>4.5068786792398698E-6</v>
      </c>
      <c r="P106" s="1">
        <v>-1.50648232164078E-5</v>
      </c>
      <c r="AE106">
        <v>100</v>
      </c>
      <c r="AJ106">
        <v>1</v>
      </c>
    </row>
    <row r="107" spans="1:36" x14ac:dyDescent="0.2">
      <c r="A107">
        <v>106</v>
      </c>
      <c r="B107">
        <v>742</v>
      </c>
      <c r="C107">
        <v>240</v>
      </c>
      <c r="D107">
        <v>0.32923262572033701</v>
      </c>
      <c r="E107">
        <v>10.3438881745756</v>
      </c>
      <c r="F107">
        <v>0.52362837735591405</v>
      </c>
      <c r="G107">
        <v>-223.46943422583095</v>
      </c>
      <c r="H107">
        <v>-132.07995674685918</v>
      </c>
      <c r="I107">
        <v>90.0314208609296</v>
      </c>
      <c r="J107">
        <v>40.8046093863001</v>
      </c>
      <c r="K107">
        <v>19.754254394705601</v>
      </c>
      <c r="L107">
        <v>1.3520190785521601E-3</v>
      </c>
      <c r="M107">
        <v>2.3920333460092713E-4</v>
      </c>
      <c r="N107" s="1">
        <v>1.8352825135804199E-5</v>
      </c>
      <c r="O107" s="1">
        <v>4.6076993758559597E-6</v>
      </c>
      <c r="P107" s="1">
        <v>-1.54530758552761E-5</v>
      </c>
      <c r="AE107">
        <v>100</v>
      </c>
      <c r="AJ107">
        <v>1</v>
      </c>
    </row>
    <row r="108" spans="1:36" x14ac:dyDescent="0.2">
      <c r="A108">
        <v>107</v>
      </c>
      <c r="B108">
        <v>763</v>
      </c>
      <c r="C108">
        <v>220</v>
      </c>
      <c r="D108">
        <v>0.36547845389181399</v>
      </c>
      <c r="E108">
        <v>4.9825015068436196</v>
      </c>
      <c r="F108">
        <v>0.482476089539568</v>
      </c>
      <c r="G108">
        <v>-108.75788273775557</v>
      </c>
      <c r="H108">
        <v>-63.124779771678206</v>
      </c>
      <c r="I108">
        <v>44.043771905033203</v>
      </c>
      <c r="J108">
        <v>19.585020687346798</v>
      </c>
      <c r="K108">
        <v>10.326939748658701</v>
      </c>
      <c r="L108">
        <v>1.4229078130819893E-3</v>
      </c>
      <c r="M108">
        <v>2.8985692897519756E-4</v>
      </c>
      <c r="N108" s="1">
        <v>6.7903616845344098E-6</v>
      </c>
      <c r="O108" s="1">
        <v>3.28317609286286E-6</v>
      </c>
      <c r="P108" s="1">
        <v>-9.2360606850336407E-6</v>
      </c>
      <c r="AE108">
        <v>100</v>
      </c>
      <c r="AJ108">
        <v>1</v>
      </c>
    </row>
    <row r="109" spans="1:36" x14ac:dyDescent="0.2">
      <c r="A109">
        <v>108</v>
      </c>
      <c r="B109">
        <v>762</v>
      </c>
      <c r="C109">
        <v>220</v>
      </c>
      <c r="D109">
        <v>0.36479785538328002</v>
      </c>
      <c r="E109">
        <v>4.9897688622900001</v>
      </c>
      <c r="F109">
        <v>0.48316342691985198</v>
      </c>
      <c r="G109">
        <v>-108.87241579540878</v>
      </c>
      <c r="H109">
        <v>-63.236471690076058</v>
      </c>
      <c r="I109">
        <v>44.0890687895306</v>
      </c>
      <c r="J109">
        <v>19.625713332983</v>
      </c>
      <c r="K109">
        <v>10.3272900726356</v>
      </c>
      <c r="L109">
        <v>1.4242715316051993E-3</v>
      </c>
      <c r="M109">
        <v>2.8937405201840831E-4</v>
      </c>
      <c r="N109" s="1">
        <v>6.9012624518564602E-6</v>
      </c>
      <c r="O109" s="1">
        <v>3.2778305866310001E-6</v>
      </c>
      <c r="P109" s="1">
        <v>-9.2529930665819601E-6</v>
      </c>
      <c r="AE109">
        <v>100</v>
      </c>
      <c r="AJ109">
        <v>1</v>
      </c>
    </row>
    <row r="110" spans="1:36" x14ac:dyDescent="0.2">
      <c r="A110">
        <v>109</v>
      </c>
      <c r="B110">
        <v>761</v>
      </c>
      <c r="C110">
        <v>220</v>
      </c>
      <c r="D110">
        <v>0.36411594062757002</v>
      </c>
      <c r="E110">
        <v>5.0001545264872096</v>
      </c>
      <c r="F110">
        <v>0.483852401661517</v>
      </c>
      <c r="G110">
        <v>-109.05485062230557</v>
      </c>
      <c r="H110">
        <v>-63.387764200830162</v>
      </c>
      <c r="I110">
        <v>44.161821608993002</v>
      </c>
      <c r="J110">
        <v>19.678705533754499</v>
      </c>
      <c r="K110">
        <v>10.3340492045033</v>
      </c>
      <c r="L110">
        <v>1.4256283729035806E-3</v>
      </c>
      <c r="M110">
        <v>2.8888927395901711E-4</v>
      </c>
      <c r="N110" s="1">
        <v>7.0172607049040098E-6</v>
      </c>
      <c r="O110" s="1">
        <v>3.2744749355633201E-6</v>
      </c>
      <c r="P110" s="1">
        <v>-9.2756042158480497E-6</v>
      </c>
      <c r="AE110">
        <v>100</v>
      </c>
      <c r="AJ110">
        <v>1</v>
      </c>
    </row>
    <row r="111" spans="1:36" x14ac:dyDescent="0.2">
      <c r="A111">
        <v>110</v>
      </c>
      <c r="B111">
        <v>760</v>
      </c>
      <c r="C111">
        <v>220</v>
      </c>
      <c r="D111">
        <v>0.36343270580264397</v>
      </c>
      <c r="E111">
        <v>5.0104848191561802</v>
      </c>
      <c r="F111">
        <v>0.48454301462163601</v>
      </c>
      <c r="G111">
        <v>-109.2359138433431</v>
      </c>
      <c r="H111">
        <v>-63.538448426932163</v>
      </c>
      <c r="I111">
        <v>44.233976405655902</v>
      </c>
      <c r="J111">
        <v>19.731521382662802</v>
      </c>
      <c r="K111">
        <v>10.3406398770782</v>
      </c>
      <c r="L111">
        <v>1.4269782495503751E-3</v>
      </c>
      <c r="M111">
        <v>2.884025960975235E-4</v>
      </c>
      <c r="N111" s="1">
        <v>7.1340258377000797E-6</v>
      </c>
      <c r="O111" s="1">
        <v>3.2710181601213598E-6</v>
      </c>
      <c r="P111" s="1">
        <v>-9.2980089036942404E-6</v>
      </c>
      <c r="AE111">
        <v>100</v>
      </c>
      <c r="AJ111">
        <v>1</v>
      </c>
    </row>
    <row r="112" spans="1:36" x14ac:dyDescent="0.2">
      <c r="A112">
        <v>111</v>
      </c>
      <c r="B112">
        <v>759</v>
      </c>
      <c r="C112">
        <v>220</v>
      </c>
      <c r="D112">
        <v>0.36274814707164799</v>
      </c>
      <c r="E112">
        <v>5.0207601941751197</v>
      </c>
      <c r="F112">
        <v>0.48523526660838501</v>
      </c>
      <c r="G112">
        <v>-109.4156169647769</v>
      </c>
      <c r="H112">
        <v>-63.688529538118409</v>
      </c>
      <c r="I112">
        <v>44.305537580730999</v>
      </c>
      <c r="J112">
        <v>19.7841617329372</v>
      </c>
      <c r="K112">
        <v>10.3470636610326</v>
      </c>
      <c r="L112">
        <v>1.4283210739923179E-3</v>
      </c>
      <c r="M112">
        <v>2.8791401988714576E-4</v>
      </c>
      <c r="N112" s="1">
        <v>7.2515529550051498E-6</v>
      </c>
      <c r="O112" s="1">
        <v>3.26746085145189E-6</v>
      </c>
      <c r="P112" s="1">
        <v>-9.3202057917034097E-6</v>
      </c>
      <c r="AE112">
        <v>100</v>
      </c>
      <c r="AJ112">
        <v>1</v>
      </c>
    </row>
    <row r="113" spans="1:36" x14ac:dyDescent="0.2">
      <c r="A113">
        <v>112</v>
      </c>
      <c r="B113">
        <v>758</v>
      </c>
      <c r="C113">
        <v>220</v>
      </c>
      <c r="D113">
        <v>0.36206226058284502</v>
      </c>
      <c r="E113">
        <v>5.0309811010376198</v>
      </c>
      <c r="F113">
        <v>0.48592915838059703</v>
      </c>
      <c r="G113">
        <v>-109.59397138036371</v>
      </c>
      <c r="H113">
        <v>-63.838012654284853</v>
      </c>
      <c r="I113">
        <v>44.3765094917349</v>
      </c>
      <c r="J113">
        <v>19.836627419281001</v>
      </c>
      <c r="K113">
        <v>10.3533221134615</v>
      </c>
      <c r="L113">
        <v>1.4296567585604465E-3</v>
      </c>
      <c r="M113">
        <v>2.8742354693515431E-4</v>
      </c>
      <c r="N113" s="1">
        <v>7.36983702279919E-6</v>
      </c>
      <c r="O113" s="1">
        <v>3.2638036004509099E-6</v>
      </c>
      <c r="P113" s="1">
        <v>-9.3421935334340005E-6</v>
      </c>
      <c r="AE113">
        <v>100</v>
      </c>
      <c r="AJ113">
        <v>1</v>
      </c>
    </row>
    <row r="114" spans="1:36" x14ac:dyDescent="0.2">
      <c r="A114">
        <v>113</v>
      </c>
      <c r="B114">
        <v>757</v>
      </c>
      <c r="C114">
        <v>220</v>
      </c>
      <c r="D114">
        <v>0.36137504246954599</v>
      </c>
      <c r="E114">
        <v>5.0411479849594896</v>
      </c>
      <c r="F114">
        <v>0.486624690647319</v>
      </c>
      <c r="G114">
        <v>-109.77098837389494</v>
      </c>
      <c r="H114">
        <v>-63.986902846761701</v>
      </c>
      <c r="I114">
        <v>44.4468964534991</v>
      </c>
      <c r="J114">
        <v>19.8889192582973</v>
      </c>
      <c r="K114">
        <v>10.3594167781614</v>
      </c>
      <c r="L114">
        <v>1.4309852154806445E-3</v>
      </c>
      <c r="M114">
        <v>2.8693117900411707E-4</v>
      </c>
      <c r="N114" s="1">
        <v>7.4888728678630498E-6</v>
      </c>
      <c r="O114" s="1">
        <v>3.26004699791879E-6</v>
      </c>
      <c r="P114" s="1">
        <v>-9.3639707749898102E-6</v>
      </c>
      <c r="AE114">
        <v>100</v>
      </c>
      <c r="AJ114">
        <v>1</v>
      </c>
    </row>
    <row r="115" spans="1:36" x14ac:dyDescent="0.2">
      <c r="A115">
        <v>114</v>
      </c>
      <c r="B115">
        <v>756</v>
      </c>
      <c r="C115">
        <v>220</v>
      </c>
      <c r="D115">
        <v>0.36068648885002402</v>
      </c>
      <c r="E115">
        <v>5.0512612867797202</v>
      </c>
      <c r="F115">
        <v>0.48732186406740702</v>
      </c>
      <c r="G115">
        <v>-109.94667911724363</v>
      </c>
      <c r="H115">
        <v>-64.135205136976012</v>
      </c>
      <c r="I115">
        <v>44.516702737364703</v>
      </c>
      <c r="J115">
        <v>19.9410380481213</v>
      </c>
      <c r="K115">
        <v>10.365349185484099</v>
      </c>
      <c r="L115">
        <v>1.432306356884843E-3</v>
      </c>
      <c r="M115">
        <v>2.8643691801319594E-4</v>
      </c>
      <c r="N115" s="1">
        <v>7.6086551771170803E-6</v>
      </c>
      <c r="O115" s="1">
        <v>3.2561916345819601E-6</v>
      </c>
      <c r="P115" s="1">
        <v>-9.3855361552192402E-6</v>
      </c>
      <c r="AE115">
        <v>100</v>
      </c>
      <c r="AJ115">
        <v>1</v>
      </c>
    </row>
    <row r="116" spans="1:36" x14ac:dyDescent="0.2">
      <c r="A116">
        <v>115</v>
      </c>
      <c r="B116">
        <v>755</v>
      </c>
      <c r="C116">
        <v>220</v>
      </c>
      <c r="D116">
        <v>0.35999659582745702</v>
      </c>
      <c r="E116">
        <v>5.0613214432098701</v>
      </c>
      <c r="F116">
        <v>0.48802067924908299</v>
      </c>
      <c r="G116">
        <v>-110.12105467599761</v>
      </c>
      <c r="H116">
        <v>-64.282924499538709</v>
      </c>
      <c r="I116">
        <v>44.585932573446897</v>
      </c>
      <c r="J116">
        <v>19.9929845694131</v>
      </c>
      <c r="K116">
        <v>10.371120852906699</v>
      </c>
      <c r="L116">
        <v>1.4336200948221664E-3</v>
      </c>
      <c r="M116">
        <v>2.8594076603941912E-4</v>
      </c>
      <c r="N116" s="1">
        <v>7.7291784974868007E-6</v>
      </c>
      <c r="O116" s="1">
        <v>3.2522381013386099E-6</v>
      </c>
      <c r="P116" s="1">
        <v>-9.40688830656325E-6</v>
      </c>
      <c r="AE116">
        <v>100</v>
      </c>
      <c r="AJ116">
        <v>1</v>
      </c>
    </row>
    <row r="117" spans="1:36" x14ac:dyDescent="0.2">
      <c r="A117">
        <v>116</v>
      </c>
      <c r="B117">
        <v>754</v>
      </c>
      <c r="C117">
        <v>220</v>
      </c>
      <c r="D117">
        <v>0.35930535948985198</v>
      </c>
      <c r="E117">
        <v>5.07132888681544</v>
      </c>
      <c r="F117">
        <v>0.48872113674949802</v>
      </c>
      <c r="G117">
        <v>-110.29412600924925</v>
      </c>
      <c r="H117">
        <v>-64.430065861929151</v>
      </c>
      <c r="I117">
        <v>44.654590150537302</v>
      </c>
      <c r="J117">
        <v>20.044759585304501</v>
      </c>
      <c r="K117">
        <v>10.3767332850488</v>
      </c>
      <c r="L117">
        <v>1.4349263412698737E-3</v>
      </c>
      <c r="M117">
        <v>2.8544272531886309E-4</v>
      </c>
      <c r="N117" s="1">
        <v>7.8504372354559603E-6</v>
      </c>
      <c r="O117" s="1">
        <v>3.2481869893286202E-6</v>
      </c>
      <c r="P117" s="1">
        <v>-9.4280258554140793E-6</v>
      </c>
      <c r="AE117">
        <v>100</v>
      </c>
      <c r="AJ117">
        <v>1</v>
      </c>
    </row>
    <row r="118" spans="1:36" x14ac:dyDescent="0.2">
      <c r="A118">
        <v>117</v>
      </c>
      <c r="B118">
        <v>753</v>
      </c>
      <c r="C118">
        <v>220</v>
      </c>
      <c r="D118">
        <v>0.35861277590995699</v>
      </c>
      <c r="E118">
        <v>5.0812840459309498</v>
      </c>
      <c r="F118">
        <v>0.48942323707433599</v>
      </c>
      <c r="G118">
        <v>-110.46590396794626</v>
      </c>
      <c r="H118">
        <v>-64.576634103340183</v>
      </c>
      <c r="I118">
        <v>44.722679615420503</v>
      </c>
      <c r="J118">
        <v>20.096363841079</v>
      </c>
      <c r="K118">
        <v>10.382187973553799</v>
      </c>
      <c r="L118">
        <v>1.4362250081449218E-3</v>
      </c>
      <c r="M118">
        <v>2.849427982478767E-4</v>
      </c>
      <c r="N118" s="1">
        <v>7.9724256565272805E-6</v>
      </c>
      <c r="O118" s="1">
        <v>3.2440388899606498E-6</v>
      </c>
      <c r="P118" s="1">
        <v>-9.4489474223550903E-6</v>
      </c>
      <c r="AE118">
        <v>100</v>
      </c>
      <c r="AJ118">
        <v>1</v>
      </c>
    </row>
    <row r="119" spans="1:36" x14ac:dyDescent="0.2">
      <c r="A119">
        <v>118</v>
      </c>
      <c r="B119">
        <v>752</v>
      </c>
      <c r="C119">
        <v>220</v>
      </c>
      <c r="D119">
        <v>0.35791884114519901</v>
      </c>
      <c r="E119">
        <v>5.1191940133529901</v>
      </c>
      <c r="F119">
        <v>0.49012698067737198</v>
      </c>
      <c r="G119">
        <v>-111.24501115136074</v>
      </c>
      <c r="H119">
        <v>-65.078673863428676</v>
      </c>
      <c r="I119">
        <v>45.0365964055026</v>
      </c>
      <c r="J119">
        <v>20.258631287779099</v>
      </c>
      <c r="K119">
        <v>10.4446280559337</v>
      </c>
      <c r="L119">
        <v>1.4375160073153931E-3</v>
      </c>
      <c r="M119">
        <v>2.8444098738428795E-4</v>
      </c>
      <c r="N119" s="1">
        <v>8.1396693132804697E-6</v>
      </c>
      <c r="O119" s="1">
        <v>3.2576165339403799E-6</v>
      </c>
      <c r="P119" s="1">
        <v>-9.5217442637692897E-6</v>
      </c>
      <c r="AE119">
        <v>100</v>
      </c>
      <c r="AJ119">
        <v>1</v>
      </c>
    </row>
    <row r="120" spans="1:36" x14ac:dyDescent="0.2">
      <c r="A120">
        <v>119</v>
      </c>
      <c r="B120">
        <v>751</v>
      </c>
      <c r="C120">
        <v>220</v>
      </c>
      <c r="D120">
        <v>0.35722355123761301</v>
      </c>
      <c r="E120">
        <v>5.2748719732324298</v>
      </c>
      <c r="F120">
        <v>0.49083236796007601</v>
      </c>
      <c r="G120">
        <v>-114.58164699787484</v>
      </c>
      <c r="H120">
        <v>-67.078638963443865</v>
      </c>
      <c r="I120">
        <v>46.385809344420501</v>
      </c>
      <c r="J120">
        <v>20.887404875442201</v>
      </c>
      <c r="K120">
        <v>10.7467891637934</v>
      </c>
      <c r="L120">
        <v>1.4387992506119231E-3</v>
      </c>
      <c r="M120">
        <v>2.8393729544850594E-4</v>
      </c>
      <c r="N120" s="1">
        <v>8.4986395452752595E-6</v>
      </c>
      <c r="O120" s="1">
        <v>3.3457116199642999E-6</v>
      </c>
      <c r="P120" s="1">
        <v>-9.8135411318997205E-6</v>
      </c>
      <c r="AE120">
        <v>100</v>
      </c>
      <c r="AJ120">
        <v>1</v>
      </c>
    </row>
    <row r="121" spans="1:36" x14ac:dyDescent="0.2">
      <c r="A121">
        <v>120</v>
      </c>
      <c r="B121">
        <v>750</v>
      </c>
      <c r="C121">
        <v>220</v>
      </c>
      <c r="D121">
        <v>0.356526902213751</v>
      </c>
      <c r="E121">
        <v>5.4437577560372503</v>
      </c>
      <c r="F121">
        <v>0.49153939927118501</v>
      </c>
      <c r="G121">
        <v>-118.2023516666351</v>
      </c>
      <c r="H121">
        <v>-69.247861080089507</v>
      </c>
      <c r="I121">
        <v>47.849881091744699</v>
      </c>
      <c r="J121">
        <v>21.569245095888199</v>
      </c>
      <c r="K121">
        <v>11.0749164036673</v>
      </c>
      <c r="L121">
        <v>1.4400746498396128E-3</v>
      </c>
      <c r="M121">
        <v>2.8343172532471457E-4</v>
      </c>
      <c r="N121" s="1">
        <v>8.8861497337239508E-6</v>
      </c>
      <c r="O121" s="1">
        <v>3.44148562099586E-6</v>
      </c>
      <c r="P121" s="1">
        <v>-1.0129905502396E-5</v>
      </c>
      <c r="AE121">
        <v>100</v>
      </c>
      <c r="AJ121">
        <v>1</v>
      </c>
    </row>
    <row r="122" spans="1:36" x14ac:dyDescent="0.2">
      <c r="A122">
        <v>121</v>
      </c>
      <c r="B122">
        <v>749</v>
      </c>
      <c r="C122">
        <v>220</v>
      </c>
      <c r="D122">
        <v>0.35582889008462698</v>
      </c>
      <c r="E122">
        <v>6.4609553851053398</v>
      </c>
      <c r="F122">
        <v>0.49224807490628802</v>
      </c>
      <c r="G122">
        <v>-140.23236648939547</v>
      </c>
      <c r="H122">
        <v>-82.212831866672786</v>
      </c>
      <c r="I122">
        <v>56.765868001900003</v>
      </c>
      <c r="J122">
        <v>25.6150979356823</v>
      </c>
      <c r="K122">
        <v>13.125405084286699</v>
      </c>
      <c r="L122">
        <v>1.4413421167897124E-3</v>
      </c>
      <c r="M122">
        <v>2.8292428006196666E-4</v>
      </c>
      <c r="N122" s="1">
        <v>1.06840231722879E-5</v>
      </c>
      <c r="O122" s="1">
        <v>4.0710537174186202E-6</v>
      </c>
      <c r="P122" s="1">
        <v>-1.20251346011258E-5</v>
      </c>
      <c r="AE122">
        <v>100</v>
      </c>
      <c r="AJ122">
        <v>1</v>
      </c>
    </row>
    <row r="123" spans="1:36" x14ac:dyDescent="0.2">
      <c r="A123">
        <v>122</v>
      </c>
      <c r="B123">
        <v>748</v>
      </c>
      <c r="C123">
        <v>220</v>
      </c>
      <c r="D123">
        <v>0.355129510845618</v>
      </c>
      <c r="E123">
        <v>8.3751803421294504</v>
      </c>
      <c r="F123">
        <v>0.49295839510744699</v>
      </c>
      <c r="G123">
        <v>-181.7062601102993</v>
      </c>
      <c r="H123">
        <v>-106.60372162240976</v>
      </c>
      <c r="I123">
        <v>73.551712559737794</v>
      </c>
      <c r="J123">
        <v>33.224319287005699</v>
      </c>
      <c r="K123">
        <v>16.989629196403001</v>
      </c>
      <c r="L123">
        <v>1.4426015632516063E-3</v>
      </c>
      <c r="M123">
        <v>2.8241496287524951E-4</v>
      </c>
      <c r="N123" s="1">
        <v>1.40282086265417E-5</v>
      </c>
      <c r="O123" s="1">
        <v>5.2596818552270003E-6</v>
      </c>
      <c r="P123" s="1">
        <v>-1.5590776222405699E-5</v>
      </c>
      <c r="AE123">
        <v>100</v>
      </c>
      <c r="AJ123">
        <v>1</v>
      </c>
    </row>
    <row r="124" spans="1:36" x14ac:dyDescent="0.2">
      <c r="A124">
        <v>123</v>
      </c>
      <c r="B124">
        <v>747</v>
      </c>
      <c r="C124">
        <v>220</v>
      </c>
      <c r="D124">
        <v>0.35442876047640198</v>
      </c>
      <c r="E124">
        <v>9.7920672541320393</v>
      </c>
      <c r="F124">
        <v>0.493670360062758</v>
      </c>
      <c r="G124">
        <v>-212.36078304087567</v>
      </c>
      <c r="H124">
        <v>-124.6774638901425</v>
      </c>
      <c r="I124">
        <v>85.956891410986401</v>
      </c>
      <c r="J124">
        <v>38.868561583250298</v>
      </c>
      <c r="K124">
        <v>19.835234290523701</v>
      </c>
      <c r="L124">
        <v>1.4438529010246928E-3</v>
      </c>
      <c r="M124">
        <v>2.8190377714654619E-4</v>
      </c>
      <c r="N124" s="1">
        <v>1.6611159100753101E-5</v>
      </c>
      <c r="O124" s="1">
        <v>6.1289653632141002E-6</v>
      </c>
      <c r="P124" s="1">
        <v>-1.8231484525123801E-5</v>
      </c>
      <c r="AE124">
        <v>100</v>
      </c>
      <c r="AJ124">
        <v>1</v>
      </c>
    </row>
    <row r="125" spans="1:36" x14ac:dyDescent="0.2">
      <c r="A125">
        <v>124</v>
      </c>
      <c r="B125">
        <v>746</v>
      </c>
      <c r="C125">
        <v>220</v>
      </c>
      <c r="D125">
        <v>0.35372663494088302</v>
      </c>
      <c r="E125">
        <v>10.259137747248801</v>
      </c>
      <c r="F125">
        <v>0.49438396990598499</v>
      </c>
      <c r="G125">
        <v>-222.40011437479822</v>
      </c>
      <c r="H125">
        <v>-130.66517221892633</v>
      </c>
      <c r="I125">
        <v>90.016987749079206</v>
      </c>
      <c r="J125">
        <v>40.747090171543697</v>
      </c>
      <c r="K125">
        <v>20.751355973778399</v>
      </c>
      <c r="L125">
        <v>1.4450960419308682E-3</v>
      </c>
      <c r="M125">
        <v>2.8139072642592404E-4</v>
      </c>
      <c r="N125" s="1">
        <v>1.7623908374851E-5</v>
      </c>
      <c r="O125" s="1">
        <v>6.3997546530053201E-6</v>
      </c>
      <c r="P125" s="1">
        <v>-1.9104084617243E-5</v>
      </c>
      <c r="AE125">
        <v>100</v>
      </c>
      <c r="AJ125">
        <v>1</v>
      </c>
    </row>
    <row r="126" spans="1:36" x14ac:dyDescent="0.2">
      <c r="A126">
        <v>125</v>
      </c>
      <c r="B126">
        <v>745</v>
      </c>
      <c r="C126">
        <v>220</v>
      </c>
      <c r="D126">
        <v>0.35302313018710402</v>
      </c>
      <c r="E126">
        <v>10.4295664674277</v>
      </c>
      <c r="F126">
        <v>0.49509922471614298</v>
      </c>
      <c r="G126">
        <v>-226.00321808769519</v>
      </c>
      <c r="H126">
        <v>-132.87726849422049</v>
      </c>
      <c r="I126">
        <v>91.471706557831396</v>
      </c>
      <c r="J126">
        <v>41.4489128912072</v>
      </c>
      <c r="K126">
        <v>21.065608562419602</v>
      </c>
      <c r="L126">
        <v>1.4463308978263784E-3</v>
      </c>
      <c r="M126">
        <v>2.8087581443245446E-4</v>
      </c>
      <c r="N126" s="1">
        <v>1.8141471340225E-5</v>
      </c>
      <c r="O126" s="1">
        <v>6.48411303021705E-6</v>
      </c>
      <c r="P126" s="1">
        <v>-1.9424191438910601E-5</v>
      </c>
      <c r="AE126">
        <v>100</v>
      </c>
      <c r="AJ126">
        <v>1</v>
      </c>
    </row>
    <row r="127" spans="1:36" x14ac:dyDescent="0.2">
      <c r="A127">
        <v>126</v>
      </c>
      <c r="B127">
        <v>764</v>
      </c>
      <c r="C127">
        <v>200</v>
      </c>
      <c r="D127">
        <v>0.38736971508460899</v>
      </c>
      <c r="E127">
        <v>5.3043750625850503</v>
      </c>
      <c r="F127">
        <v>0.45228805448552301</v>
      </c>
      <c r="G127">
        <v>-116.05772495726906</v>
      </c>
      <c r="H127">
        <v>-67.062324542560006</v>
      </c>
      <c r="I127">
        <v>47.243345614275398</v>
      </c>
      <c r="J127">
        <v>20.973127997363399</v>
      </c>
      <c r="K127">
        <v>11.727869020592999</v>
      </c>
      <c r="L127">
        <v>1.5221493354871563E-3</v>
      </c>
      <c r="M127">
        <v>3.4394199512921059E-4</v>
      </c>
      <c r="N127" s="1">
        <v>5.7522617140399501E-6</v>
      </c>
      <c r="O127" s="1">
        <v>4.9727356842263197E-6</v>
      </c>
      <c r="P127" s="1">
        <v>-1.2287636347063701E-5</v>
      </c>
      <c r="AE127">
        <v>100</v>
      </c>
      <c r="AJ127">
        <v>1</v>
      </c>
    </row>
    <row r="128" spans="1:36" x14ac:dyDescent="0.2">
      <c r="A128">
        <v>127</v>
      </c>
      <c r="B128">
        <v>763</v>
      </c>
      <c r="C128">
        <v>200</v>
      </c>
      <c r="D128">
        <v>0.38671090093133698</v>
      </c>
      <c r="E128">
        <v>5.3076407274987902</v>
      </c>
      <c r="F128">
        <v>0.452977441859793</v>
      </c>
      <c r="G128">
        <v>-116.08191416505996</v>
      </c>
      <c r="H128">
        <v>-67.124605463292767</v>
      </c>
      <c r="I128">
        <v>47.252179761345303</v>
      </c>
      <c r="J128">
        <v>21.001293402685299</v>
      </c>
      <c r="K128">
        <v>11.7172296830216</v>
      </c>
      <c r="L128">
        <v>1.5239725615670298E-3</v>
      </c>
      <c r="M128">
        <v>3.4341646764188326E-4</v>
      </c>
      <c r="N128" s="1">
        <v>5.8881541205118902E-6</v>
      </c>
      <c r="O128" s="1">
        <v>4.9617865322963196E-6</v>
      </c>
      <c r="P128" s="1">
        <v>-1.2305603022761801E-5</v>
      </c>
      <c r="AE128">
        <v>100</v>
      </c>
      <c r="AJ128">
        <v>1</v>
      </c>
    </row>
    <row r="129" spans="1:36" x14ac:dyDescent="0.2">
      <c r="A129">
        <v>128</v>
      </c>
      <c r="B129">
        <v>762</v>
      </c>
      <c r="C129">
        <v>200</v>
      </c>
      <c r="D129">
        <v>0.38605081389170998</v>
      </c>
      <c r="E129">
        <v>5.3172692012510296</v>
      </c>
      <c r="F129">
        <v>0.45366870567212503</v>
      </c>
      <c r="G129">
        <v>-116.245168059804</v>
      </c>
      <c r="H129">
        <v>-67.267421758563131</v>
      </c>
      <c r="I129">
        <v>47.317576360136698</v>
      </c>
      <c r="J129">
        <v>21.054672289510101</v>
      </c>
      <c r="K129">
        <v>11.7205994920308</v>
      </c>
      <c r="L129">
        <v>1.5257892376992494E-3</v>
      </c>
      <c r="M129">
        <v>3.4288827953132302E-4</v>
      </c>
      <c r="N129" s="1">
        <v>6.0322665824274297E-6</v>
      </c>
      <c r="O129" s="1">
        <v>4.9567084152796497E-6</v>
      </c>
      <c r="P129" s="1">
        <v>-1.2338217103783199E-5</v>
      </c>
      <c r="AE129">
        <v>100</v>
      </c>
      <c r="AJ129">
        <v>1</v>
      </c>
    </row>
    <row r="130" spans="1:36" x14ac:dyDescent="0.2">
      <c r="A130">
        <v>129</v>
      </c>
      <c r="B130">
        <v>761</v>
      </c>
      <c r="C130">
        <v>200</v>
      </c>
      <c r="D130">
        <v>0.38538945027317301</v>
      </c>
      <c r="E130">
        <v>5.3268487151722903</v>
      </c>
      <c r="F130">
        <v>0.45436184830042903</v>
      </c>
      <c r="G130">
        <v>-116.40720101434493</v>
      </c>
      <c r="H130">
        <v>-67.409710013480094</v>
      </c>
      <c r="I130">
        <v>47.382429387231603</v>
      </c>
      <c r="J130">
        <v>21.1079119144845</v>
      </c>
      <c r="K130">
        <v>11.7238028128852</v>
      </c>
      <c r="L130">
        <v>1.5275992420961764E-3</v>
      </c>
      <c r="M130">
        <v>3.4235742669254377E-4</v>
      </c>
      <c r="N130" s="1">
        <v>6.1776427980830596E-6</v>
      </c>
      <c r="O130" s="1">
        <v>4.9514905583882797E-6</v>
      </c>
      <c r="P130" s="1">
        <v>-1.23706222358609E-5</v>
      </c>
      <c r="AE130">
        <v>100</v>
      </c>
      <c r="AJ130">
        <v>1</v>
      </c>
    </row>
    <row r="131" spans="1:36" x14ac:dyDescent="0.2">
      <c r="A131">
        <v>130</v>
      </c>
      <c r="B131">
        <v>760</v>
      </c>
      <c r="C131">
        <v>200</v>
      </c>
      <c r="D131">
        <v>0.38472680636887402</v>
      </c>
      <c r="E131">
        <v>5.3363796783986102</v>
      </c>
      <c r="F131">
        <v>0.45505687206717499</v>
      </c>
      <c r="G131">
        <v>-116.56802341713774</v>
      </c>
      <c r="H131">
        <v>-67.551474907024428</v>
      </c>
      <c r="I131">
        <v>47.4467427907434</v>
      </c>
      <c r="J131">
        <v>21.1610128317344</v>
      </c>
      <c r="K131">
        <v>11.726841205929199</v>
      </c>
      <c r="L131">
        <v>1.5294024524042345E-3</v>
      </c>
      <c r="M131">
        <v>3.4182390521239169E-4</v>
      </c>
      <c r="N131" s="1">
        <v>6.3242798467591199E-6</v>
      </c>
      <c r="O131" s="1">
        <v>4.9461334670039204E-6</v>
      </c>
      <c r="P131" s="1">
        <v>-1.24028159176805E-5</v>
      </c>
      <c r="AE131">
        <v>100</v>
      </c>
      <c r="AJ131">
        <v>1</v>
      </c>
    </row>
    <row r="132" spans="1:36" x14ac:dyDescent="0.2">
      <c r="A132">
        <v>131</v>
      </c>
      <c r="B132">
        <v>759</v>
      </c>
      <c r="C132">
        <v>200</v>
      </c>
      <c r="D132">
        <v>0.38406287845759102</v>
      </c>
      <c r="E132">
        <v>5.3458624962157799</v>
      </c>
      <c r="F132">
        <v>0.45575377923867499</v>
      </c>
      <c r="G132">
        <v>-116.72764555720697</v>
      </c>
      <c r="H132">
        <v>-67.692721074417733</v>
      </c>
      <c r="I132">
        <v>47.510520480146397</v>
      </c>
      <c r="J132">
        <v>21.213975575081701</v>
      </c>
      <c r="K132">
        <v>11.729716219020499</v>
      </c>
      <c r="L132">
        <v>1.531198745717248E-3</v>
      </c>
      <c r="M132">
        <v>3.4128771137268039E-4</v>
      </c>
      <c r="N132" s="1">
        <v>6.4721745775402097E-6</v>
      </c>
      <c r="O132" s="1">
        <v>4.9406376467085703E-6</v>
      </c>
      <c r="P132" s="1">
        <v>-1.2434795620231E-5</v>
      </c>
      <c r="AE132">
        <v>100</v>
      </c>
      <c r="AJ132">
        <v>1</v>
      </c>
    </row>
    <row r="133" spans="1:36" x14ac:dyDescent="0.2">
      <c r="A133">
        <v>132</v>
      </c>
      <c r="B133">
        <v>758</v>
      </c>
      <c r="C133">
        <v>200</v>
      </c>
      <c r="D133">
        <v>0.383397662803666</v>
      </c>
      <c r="E133">
        <v>5.3552975705054298</v>
      </c>
      <c r="F133">
        <v>0.45645257202433998</v>
      </c>
      <c r="G133">
        <v>-116.88607763406667</v>
      </c>
      <c r="H133">
        <v>-67.833453112696262</v>
      </c>
      <c r="I133">
        <v>47.573766330304203</v>
      </c>
      <c r="J133">
        <v>21.2668006598227</v>
      </c>
      <c r="K133">
        <v>11.7324293885671</v>
      </c>
      <c r="L133">
        <v>1.5329879985900401E-3</v>
      </c>
      <c r="M133">
        <v>3.4074884165332146E-4</v>
      </c>
      <c r="N133" s="1">
        <v>6.6213236071478803E-6</v>
      </c>
      <c r="O133" s="1">
        <v>4.9350036038794199E-6</v>
      </c>
      <c r="P133" s="1">
        <v>-1.2466558788291501E-5</v>
      </c>
      <c r="AE133">
        <v>100</v>
      </c>
      <c r="AJ133">
        <v>1</v>
      </c>
    </row>
    <row r="134" spans="1:36" x14ac:dyDescent="0.2">
      <c r="A134">
        <v>133</v>
      </c>
      <c r="B134">
        <v>757</v>
      </c>
      <c r="C134">
        <v>200</v>
      </c>
      <c r="D134">
        <v>0.38273115565694399</v>
      </c>
      <c r="E134">
        <v>5.3818120877825297</v>
      </c>
      <c r="F134">
        <v>0.45715325257592998</v>
      </c>
      <c r="G134">
        <v>-117.416991247415</v>
      </c>
      <c r="H134">
        <v>-68.19068192281658</v>
      </c>
      <c r="I134">
        <v>47.788563925599298</v>
      </c>
      <c r="J134">
        <v>21.387551170121199</v>
      </c>
      <c r="K134">
        <v>11.772446236480899</v>
      </c>
      <c r="L134">
        <v>1.5347700870519453E-3</v>
      </c>
      <c r="M134">
        <v>3.4020729273536902E-4</v>
      </c>
      <c r="N134" s="1">
        <v>6.7933420821558403E-6</v>
      </c>
      <c r="O134" s="1">
        <v>4.9449684462987301E-6</v>
      </c>
      <c r="P134" s="1">
        <v>-1.2538003104614301E-5</v>
      </c>
      <c r="AE134">
        <v>100</v>
      </c>
      <c r="AJ134">
        <v>1</v>
      </c>
    </row>
    <row r="135" spans="1:36" x14ac:dyDescent="0.2">
      <c r="A135">
        <v>134</v>
      </c>
      <c r="B135">
        <v>756</v>
      </c>
      <c r="C135">
        <v>200</v>
      </c>
      <c r="D135">
        <v>0.38206335325268598</v>
      </c>
      <c r="E135">
        <v>5.5228781319667197</v>
      </c>
      <c r="F135">
        <v>0.45785582298683303</v>
      </c>
      <c r="G135">
        <v>-120.44565095514841</v>
      </c>
      <c r="H135">
        <v>-70.00002663853644</v>
      </c>
      <c r="I135">
        <v>49.019856042969998</v>
      </c>
      <c r="J135">
        <v>21.964011642970998</v>
      </c>
      <c r="K135">
        <v>12.0624831108144</v>
      </c>
      <c r="L135">
        <v>1.5365448866216135E-3</v>
      </c>
      <c r="M135">
        <v>3.396630615042568E-4</v>
      </c>
      <c r="N135" s="1">
        <v>7.1151362859508098E-6</v>
      </c>
      <c r="O135" s="1">
        <v>5.05969116585298E-6</v>
      </c>
      <c r="P135" s="1">
        <v>-1.28764705027898E-5</v>
      </c>
      <c r="AE135">
        <v>100</v>
      </c>
      <c r="AJ135">
        <v>1</v>
      </c>
    </row>
    <row r="136" spans="1:36" x14ac:dyDescent="0.2">
      <c r="A136">
        <v>135</v>
      </c>
      <c r="B136">
        <v>755</v>
      </c>
      <c r="C136">
        <v>200</v>
      </c>
      <c r="D136">
        <v>0.38139425181150599</v>
      </c>
      <c r="E136">
        <v>5.6722675500175104</v>
      </c>
      <c r="F136">
        <v>0.45856028529133602</v>
      </c>
      <c r="G136">
        <v>-123.65327424567825</v>
      </c>
      <c r="H136">
        <v>-71.916037404151723</v>
      </c>
      <c r="I136">
        <v>50.3238660325203</v>
      </c>
      <c r="J136">
        <v>22.5744026327977</v>
      </c>
      <c r="K136">
        <v>12.369731378751499</v>
      </c>
      <c r="L136">
        <v>1.5383122723209872E-3</v>
      </c>
      <c r="M136">
        <v>3.3911614505275197E-4</v>
      </c>
      <c r="N136" s="1">
        <v>7.4560740811186498E-6</v>
      </c>
      <c r="O136" s="1">
        <v>5.1812098209138199E-6</v>
      </c>
      <c r="P136" s="1">
        <v>-1.32347034739834E-5</v>
      </c>
      <c r="AE136">
        <v>100</v>
      </c>
      <c r="AJ136">
        <v>1</v>
      </c>
    </row>
    <row r="137" spans="1:36" x14ac:dyDescent="0.2">
      <c r="A137">
        <v>136</v>
      </c>
      <c r="B137">
        <v>754</v>
      </c>
      <c r="C137">
        <v>200</v>
      </c>
      <c r="D137">
        <v>0.38072384753930699</v>
      </c>
      <c r="E137">
        <v>5.8355336524993202</v>
      </c>
      <c r="F137">
        <v>0.45926664146385499</v>
      </c>
      <c r="G137">
        <v>-127.16065210747036</v>
      </c>
      <c r="H137">
        <v>-74.009244787018758</v>
      </c>
      <c r="I137">
        <v>51.749741294991303</v>
      </c>
      <c r="J137">
        <v>23.240911614224299</v>
      </c>
      <c r="K137">
        <v>12.706199679339401</v>
      </c>
      <c r="L137">
        <v>1.5400721186903535E-3</v>
      </c>
      <c r="M137">
        <v>3.3856654068413543E-4</v>
      </c>
      <c r="N137" s="1">
        <v>7.82431720313976E-6</v>
      </c>
      <c r="O137" s="1">
        <v>5.3145107215118899E-6</v>
      </c>
      <c r="P137" s="1">
        <v>-1.36256973191595E-5</v>
      </c>
      <c r="AE137">
        <v>100</v>
      </c>
      <c r="AJ137">
        <v>1</v>
      </c>
    </row>
    <row r="138" spans="1:36" x14ac:dyDescent="0.2">
      <c r="A138">
        <v>137</v>
      </c>
      <c r="B138">
        <v>753</v>
      </c>
      <c r="C138">
        <v>200</v>
      </c>
      <c r="D138">
        <v>0.380052136627202</v>
      </c>
      <c r="E138">
        <v>6.6194291254594901</v>
      </c>
      <c r="F138">
        <v>0.45997489341823899</v>
      </c>
      <c r="G138">
        <v>-144.18363348780889</v>
      </c>
      <c r="H138">
        <v>-83.977383500766464</v>
      </c>
      <c r="I138">
        <v>58.675669279216002</v>
      </c>
      <c r="J138">
        <v>26.3818832414429</v>
      </c>
      <c r="K138">
        <v>14.390848761914199</v>
      </c>
      <c r="L138">
        <v>1.541824299803552E-3</v>
      </c>
      <c r="M138">
        <v>3.380142459152467E-4</v>
      </c>
      <c r="N138" s="1">
        <v>9.0506318062295906E-6</v>
      </c>
      <c r="O138" s="1">
        <v>6.0104050465198698E-6</v>
      </c>
      <c r="P138" s="1">
        <v>-1.5467274474658699E-5</v>
      </c>
      <c r="AE138">
        <v>100</v>
      </c>
      <c r="AJ138">
        <v>1</v>
      </c>
    </row>
    <row r="139" spans="1:36" x14ac:dyDescent="0.2">
      <c r="A139">
        <v>138</v>
      </c>
      <c r="B139">
        <v>752</v>
      </c>
      <c r="C139">
        <v>200</v>
      </c>
      <c r="D139">
        <v>0.37937911525142798</v>
      </c>
      <c r="E139">
        <v>8.2352991487913201</v>
      </c>
      <c r="F139">
        <v>0.46068504300701602</v>
      </c>
      <c r="G139">
        <v>-179.30734295504215</v>
      </c>
      <c r="H139">
        <v>-104.50995132740996</v>
      </c>
      <c r="I139">
        <v>72.966984706150697</v>
      </c>
      <c r="J139">
        <v>32.845581449054897</v>
      </c>
      <c r="K139">
        <v>17.8762025678916</v>
      </c>
      <c r="L139">
        <v>1.5435686892833393E-3</v>
      </c>
      <c r="M139">
        <v>3.3745925847954796E-4</v>
      </c>
      <c r="N139" s="1">
        <v>1.14792547960194E-5</v>
      </c>
      <c r="O139" s="1">
        <v>7.4551309939047397E-6</v>
      </c>
      <c r="P139" s="1">
        <v>-1.9256710457786501E-5</v>
      </c>
      <c r="AE139">
        <v>100</v>
      </c>
      <c r="AJ139">
        <v>1</v>
      </c>
    </row>
    <row r="140" spans="1:36" x14ac:dyDescent="0.2">
      <c r="A140">
        <v>139</v>
      </c>
      <c r="B140">
        <v>751</v>
      </c>
      <c r="C140">
        <v>200</v>
      </c>
      <c r="D140">
        <v>0.378704779573308</v>
      </c>
      <c r="E140">
        <v>9.6652908879576902</v>
      </c>
      <c r="F140">
        <v>0.46139709202066598</v>
      </c>
      <c r="G140">
        <v>-210.35696512050882</v>
      </c>
      <c r="H140">
        <v>-122.69580475128403</v>
      </c>
      <c r="I140">
        <v>85.599464377471804</v>
      </c>
      <c r="J140">
        <v>38.576644500248399</v>
      </c>
      <c r="K140">
        <v>20.947879939227601</v>
      </c>
      <c r="L140">
        <v>1.5453051603175106E-3</v>
      </c>
      <c r="M140">
        <v>3.3690157633022602E-4</v>
      </c>
      <c r="N140" s="1">
        <v>1.3731306048007E-5</v>
      </c>
      <c r="O140" s="1">
        <v>8.7231967517619107E-6</v>
      </c>
      <c r="P140" s="1">
        <v>-2.2616292214962698E-5</v>
      </c>
      <c r="AE140">
        <v>100</v>
      </c>
      <c r="AJ140">
        <v>1</v>
      </c>
    </row>
    <row r="141" spans="1:36" x14ac:dyDescent="0.2">
      <c r="A141">
        <v>140</v>
      </c>
      <c r="B141">
        <v>750</v>
      </c>
      <c r="C141">
        <v>200</v>
      </c>
      <c r="D141">
        <v>0.37802912573913899</v>
      </c>
      <c r="E141">
        <v>10.217514705304801</v>
      </c>
      <c r="F141">
        <v>0.46211104218689197</v>
      </c>
      <c r="G141">
        <v>-222.28518397858988</v>
      </c>
      <c r="H141">
        <v>-129.74679218050827</v>
      </c>
      <c r="I141">
        <v>90.450314115645995</v>
      </c>
      <c r="J141">
        <v>40.809977023332003</v>
      </c>
      <c r="K141">
        <v>22.110518409063399</v>
      </c>
      <c r="L141">
        <v>1.5470335856745735E-3</v>
      </c>
      <c r="M141">
        <v>3.3634119764314386E-4</v>
      </c>
      <c r="N141" s="1">
        <v>1.4790895601387899E-5</v>
      </c>
      <c r="O141" s="1">
        <v>9.1935435588978498E-6</v>
      </c>
      <c r="P141" s="1">
        <v>-2.39248774066564E-5</v>
      </c>
      <c r="AE141">
        <v>100</v>
      </c>
      <c r="AJ141">
        <v>1</v>
      </c>
    </row>
    <row r="142" spans="1:36" x14ac:dyDescent="0.2">
      <c r="A142">
        <v>141</v>
      </c>
      <c r="B142">
        <v>749</v>
      </c>
      <c r="C142">
        <v>200</v>
      </c>
      <c r="D142">
        <v>0.37735214988015597</v>
      </c>
      <c r="E142">
        <v>10.4166260511436</v>
      </c>
      <c r="F142">
        <v>0.46282689516988901</v>
      </c>
      <c r="G142">
        <v>-226.52472012336892</v>
      </c>
      <c r="H142">
        <v>-132.3168215656315</v>
      </c>
      <c r="I142">
        <v>92.1722443778486</v>
      </c>
      <c r="J142">
        <v>41.635071249475097</v>
      </c>
      <c r="K142">
        <v>22.506527083565501</v>
      </c>
      <c r="L142">
        <v>1.5487538377205381E-3</v>
      </c>
      <c r="M142">
        <v>3.3577812081994098E-4</v>
      </c>
      <c r="N142" s="1">
        <v>1.53610581176445E-5</v>
      </c>
      <c r="O142" s="1">
        <v>9.3440187092184894E-6</v>
      </c>
      <c r="P142" s="1">
        <v>-2.4407518843023899E-5</v>
      </c>
      <c r="AE142">
        <v>100</v>
      </c>
      <c r="AJ142">
        <v>1</v>
      </c>
    </row>
    <row r="143" spans="1:36" x14ac:dyDescent="0.2">
      <c r="A143">
        <v>142</v>
      </c>
      <c r="B143">
        <v>765</v>
      </c>
      <c r="C143">
        <v>180</v>
      </c>
      <c r="D143">
        <v>0.409218802677841</v>
      </c>
      <c r="E143">
        <v>5.6310322590243</v>
      </c>
      <c r="F143">
        <v>0.41871137437891198</v>
      </c>
      <c r="G143">
        <v>-123.51377269952162</v>
      </c>
      <c r="H143">
        <v>-71.005837476306596</v>
      </c>
      <c r="I143">
        <v>50.581474397397798</v>
      </c>
      <c r="J143">
        <v>22.341899780554598</v>
      </c>
      <c r="K143">
        <v>13.4484817074219</v>
      </c>
      <c r="L143">
        <v>1.6274335457675544E-3</v>
      </c>
      <c r="M143">
        <v>4.1497905989361958E-4</v>
      </c>
      <c r="N143" s="1">
        <v>2.6364046922832198E-6</v>
      </c>
      <c r="O143" s="1">
        <v>7.7561884940872905E-6</v>
      </c>
      <c r="P143" s="1">
        <v>-1.64045157709934E-5</v>
      </c>
      <c r="AE143">
        <v>100</v>
      </c>
      <c r="AJ143">
        <v>1</v>
      </c>
    </row>
    <row r="144" spans="1:36" x14ac:dyDescent="0.2">
      <c r="A144">
        <v>143</v>
      </c>
      <c r="B144">
        <v>764</v>
      </c>
      <c r="C144">
        <v>180</v>
      </c>
      <c r="D144">
        <v>0.40858169020874802</v>
      </c>
      <c r="E144">
        <v>5.6344209143137496</v>
      </c>
      <c r="F144">
        <v>0.41939386807347301</v>
      </c>
      <c r="G144">
        <v>-123.53749995618503</v>
      </c>
      <c r="H144">
        <v>-71.070932501502142</v>
      </c>
      <c r="I144">
        <v>50.590359944389</v>
      </c>
      <c r="J144">
        <v>22.374602974276598</v>
      </c>
      <c r="K144">
        <v>13.434676430048899</v>
      </c>
      <c r="L144">
        <v>1.6298838109191599E-3</v>
      </c>
      <c r="M144">
        <v>4.1443282257927369E-4</v>
      </c>
      <c r="N144" s="1">
        <v>2.80139380902327E-6</v>
      </c>
      <c r="O144" s="1">
        <v>7.7417497392007502E-6</v>
      </c>
      <c r="P144" s="1">
        <v>-1.6437340987072602E-5</v>
      </c>
      <c r="AE144">
        <v>100</v>
      </c>
      <c r="AJ144">
        <v>1</v>
      </c>
    </row>
    <row r="145" spans="1:36" x14ac:dyDescent="0.2">
      <c r="A145">
        <v>144</v>
      </c>
      <c r="B145">
        <v>763</v>
      </c>
      <c r="C145">
        <v>180</v>
      </c>
      <c r="D145">
        <v>0.40794334797085602</v>
      </c>
      <c r="E145">
        <v>5.6431907970801003</v>
      </c>
      <c r="F145">
        <v>0.42007850256930701</v>
      </c>
      <c r="G145">
        <v>-123.67912573426024</v>
      </c>
      <c r="H145">
        <v>-71.203972310844335</v>
      </c>
      <c r="I145">
        <v>50.647476527261098</v>
      </c>
      <c r="J145">
        <v>22.428736195536001</v>
      </c>
      <c r="K145">
        <v>13.433657667709401</v>
      </c>
      <c r="L145">
        <v>1.6323294965262213E-3</v>
      </c>
      <c r="M145">
        <v>4.1388300738298114E-4</v>
      </c>
      <c r="N145" s="1">
        <v>2.9709382926017502E-6</v>
      </c>
      <c r="O145" s="1">
        <v>7.7345900573859602E-6</v>
      </c>
      <c r="P145" s="1">
        <v>-1.6485820046373999E-5</v>
      </c>
      <c r="AE145">
        <v>100</v>
      </c>
      <c r="AJ145">
        <v>1</v>
      </c>
    </row>
    <row r="146" spans="1:36" x14ac:dyDescent="0.2">
      <c r="A146">
        <v>145</v>
      </c>
      <c r="B146">
        <v>762</v>
      </c>
      <c r="C146">
        <v>180</v>
      </c>
      <c r="D146">
        <v>0.40730377240013699</v>
      </c>
      <c r="E146">
        <v>5.7243026015472003</v>
      </c>
      <c r="F146">
        <v>0.42076528275571701</v>
      </c>
      <c r="G146">
        <v>-125.40545006465936</v>
      </c>
      <c r="H146">
        <v>-72.250175969386916</v>
      </c>
      <c r="I146">
        <v>51.353475238113703</v>
      </c>
      <c r="J146">
        <v>22.7707170960852</v>
      </c>
      <c r="K146">
        <v>13.6045031188339</v>
      </c>
      <c r="L146">
        <v>1.6347704445166598E-3</v>
      </c>
      <c r="M146">
        <v>4.1332959918505079E-4</v>
      </c>
      <c r="N146" s="1">
        <v>3.1827500787930501E-6</v>
      </c>
      <c r="O146" s="1">
        <v>7.8262016505406607E-6</v>
      </c>
      <c r="P146" s="1">
        <v>-1.6745901381528201E-5</v>
      </c>
      <c r="AE146">
        <v>100</v>
      </c>
      <c r="AJ146">
        <v>1</v>
      </c>
    </row>
    <row r="147" spans="1:36" x14ac:dyDescent="0.2">
      <c r="A147">
        <v>146</v>
      </c>
      <c r="B147">
        <v>761</v>
      </c>
      <c r="C147">
        <v>180</v>
      </c>
      <c r="D147">
        <v>0.40666295991877599</v>
      </c>
      <c r="E147">
        <v>5.8550532552901302</v>
      </c>
      <c r="F147">
        <v>0.42145421346922002</v>
      </c>
      <c r="G147">
        <v>-128.21736145447582</v>
      </c>
      <c r="H147">
        <v>-73.923766553956696</v>
      </c>
      <c r="I147">
        <v>52.5039361035954</v>
      </c>
      <c r="J147">
        <v>23.3109004682529</v>
      </c>
      <c r="K147">
        <v>13.892501410993001</v>
      </c>
      <c r="L147">
        <v>1.6372064953669046E-3</v>
      </c>
      <c r="M147">
        <v>4.1277258303264132E-4</v>
      </c>
      <c r="N147" s="1">
        <v>3.4300080877084198E-6</v>
      </c>
      <c r="O147" s="1">
        <v>7.9848778037729206E-6</v>
      </c>
      <c r="P147" s="1">
        <v>-1.7151946548897699E-5</v>
      </c>
      <c r="AE147">
        <v>100</v>
      </c>
      <c r="AJ147">
        <v>1</v>
      </c>
    </row>
    <row r="148" spans="1:36" x14ac:dyDescent="0.2">
      <c r="A148">
        <v>147</v>
      </c>
      <c r="B148">
        <v>760</v>
      </c>
      <c r="C148">
        <v>180</v>
      </c>
      <c r="D148">
        <v>0.40602090693510101</v>
      </c>
      <c r="E148">
        <v>5.99261115584161</v>
      </c>
      <c r="F148">
        <v>0.42214529949238699</v>
      </c>
      <c r="G148">
        <v>-131.17595844901729</v>
      </c>
      <c r="H148">
        <v>-75.684391269193171</v>
      </c>
      <c r="I148">
        <v>53.714365309892997</v>
      </c>
      <c r="J148">
        <v>23.879123450160002</v>
      </c>
      <c r="K148">
        <v>14.195612655281201</v>
      </c>
      <c r="L148">
        <v>1.6396374881098251E-3</v>
      </c>
      <c r="M148">
        <v>4.1221194414539734E-4</v>
      </c>
      <c r="N148" s="1">
        <v>3.6908794189404998E-6</v>
      </c>
      <c r="O148" s="1">
        <v>8.1518376354651404E-6</v>
      </c>
      <c r="P148" s="1">
        <v>-1.7578899777405802E-5</v>
      </c>
      <c r="AE148">
        <v>100</v>
      </c>
      <c r="AJ148">
        <v>1</v>
      </c>
    </row>
    <row r="149" spans="1:36" x14ac:dyDescent="0.2">
      <c r="A149">
        <v>148</v>
      </c>
      <c r="B149">
        <v>759</v>
      </c>
      <c r="C149">
        <v>180</v>
      </c>
      <c r="D149">
        <v>0.40537760984353299</v>
      </c>
      <c r="E149">
        <v>6.1410009769226797</v>
      </c>
      <c r="F149">
        <v>0.42283854555270201</v>
      </c>
      <c r="G149">
        <v>-134.36912208811864</v>
      </c>
      <c r="H149">
        <v>-77.582979025987655</v>
      </c>
      <c r="I149">
        <v>55.020740512513299</v>
      </c>
      <c r="J149">
        <v>24.491507648421901</v>
      </c>
      <c r="K149">
        <v>14.523276180736101</v>
      </c>
      <c r="L149">
        <v>1.6420632603436609E-3</v>
      </c>
      <c r="M149">
        <v>4.1164766792121455E-4</v>
      </c>
      <c r="N149" s="1">
        <v>3.9686923534731301E-6</v>
      </c>
      <c r="O149" s="1">
        <v>8.3324658448147098E-6</v>
      </c>
      <c r="P149" s="1">
        <v>-1.8038652985764299E-5</v>
      </c>
      <c r="AE149">
        <v>100</v>
      </c>
      <c r="AJ149">
        <v>1</v>
      </c>
    </row>
    <row r="150" spans="1:36" x14ac:dyDescent="0.2">
      <c r="A150">
        <v>149</v>
      </c>
      <c r="B150">
        <v>758</v>
      </c>
      <c r="C150">
        <v>180</v>
      </c>
      <c r="D150">
        <v>0.40473306502448703</v>
      </c>
      <c r="E150">
        <v>6.3099719579635103</v>
      </c>
      <c r="F150">
        <v>0.42353395632138802</v>
      </c>
      <c r="G150">
        <v>-138.00979533410884</v>
      </c>
      <c r="H150">
        <v>-79.742867849522654</v>
      </c>
      <c r="I150">
        <v>56.5102443272241</v>
      </c>
      <c r="J150">
        <v>25.187080370204299</v>
      </c>
      <c r="K150">
        <v>14.898385038047101</v>
      </c>
      <c r="L150">
        <v>1.6444836482412848E-3</v>
      </c>
      <c r="M150">
        <v>4.1107973994203723E-4</v>
      </c>
      <c r="N150" s="1">
        <v>4.2711539936798102E-6</v>
      </c>
      <c r="O150" s="1">
        <v>8.5398382447847305E-6</v>
      </c>
      <c r="P150" s="1">
        <v>-1.85599987621896E-5</v>
      </c>
      <c r="AE150">
        <v>100</v>
      </c>
      <c r="AJ150">
        <v>1</v>
      </c>
    </row>
    <row r="151" spans="1:36" x14ac:dyDescent="0.2">
      <c r="A151">
        <v>150</v>
      </c>
      <c r="B151">
        <v>757</v>
      </c>
      <c r="C151">
        <v>180</v>
      </c>
      <c r="D151">
        <v>0.40408726884434598</v>
      </c>
      <c r="E151">
        <v>7.2050310112074003</v>
      </c>
      <c r="F151">
        <v>0.42423153641223499</v>
      </c>
      <c r="G151">
        <v>-157.52174365290213</v>
      </c>
      <c r="H151">
        <v>-91.083033564434643</v>
      </c>
      <c r="I151">
        <v>64.498212153231705</v>
      </c>
      <c r="J151">
        <v>28.7846037633722</v>
      </c>
      <c r="K151">
        <v>16.983723256740799</v>
      </c>
      <c r="L151">
        <v>1.6468984865598431E-3</v>
      </c>
      <c r="M151">
        <v>4.1050814597963877E-4</v>
      </c>
      <c r="N151" s="1">
        <v>5.0996436258223102E-6</v>
      </c>
      <c r="O151" s="1">
        <v>9.7260999310849792E-6</v>
      </c>
      <c r="P151" s="1">
        <v>-2.1221109431059099E-5</v>
      </c>
      <c r="AE151">
        <v>100</v>
      </c>
      <c r="AJ151">
        <v>1</v>
      </c>
    </row>
    <row r="152" spans="1:36" x14ac:dyDescent="0.2">
      <c r="A152">
        <v>151</v>
      </c>
      <c r="B152">
        <v>756</v>
      </c>
      <c r="C152">
        <v>180</v>
      </c>
      <c r="D152">
        <v>0.40344021765534699</v>
      </c>
      <c r="E152">
        <v>8.9009900747850708</v>
      </c>
      <c r="F152">
        <v>0.42493129038043198</v>
      </c>
      <c r="G152">
        <v>-194.5203984720402</v>
      </c>
      <c r="H152">
        <v>-112.55822470270373</v>
      </c>
      <c r="I152">
        <v>79.645598272788803</v>
      </c>
      <c r="J152">
        <v>35.590710773296401</v>
      </c>
      <c r="K152">
        <v>20.9468925360055</v>
      </c>
      <c r="L152">
        <v>1.6493076086517139E-3</v>
      </c>
      <c r="M152">
        <v>4.0993287200160016E-4</v>
      </c>
      <c r="N152" s="1">
        <v>6.57748151803621E-6</v>
      </c>
      <c r="O152" s="1">
        <v>1.19843530805845E-5</v>
      </c>
      <c r="P152" s="1">
        <v>-2.6251148828786199E-5</v>
      </c>
      <c r="AE152">
        <v>100</v>
      </c>
      <c r="AJ152">
        <v>1</v>
      </c>
    </row>
    <row r="153" spans="1:36" x14ac:dyDescent="0.2">
      <c r="A153">
        <v>152</v>
      </c>
      <c r="B153">
        <v>755</v>
      </c>
      <c r="C153">
        <v>180</v>
      </c>
      <c r="D153">
        <v>0.40279190779555302</v>
      </c>
      <c r="E153">
        <v>9.8955298706143893</v>
      </c>
      <c r="F153">
        <v>0.425633222721372</v>
      </c>
      <c r="G153">
        <v>-216.16634028039513</v>
      </c>
      <c r="H153">
        <v>-125.17434644367491</v>
      </c>
      <c r="I153">
        <v>88.506206941173303</v>
      </c>
      <c r="J153">
        <v>39.601466299706701</v>
      </c>
      <c r="K153">
        <v>23.248960237044599</v>
      </c>
      <c r="L153">
        <v>1.6517108464755045E-3</v>
      </c>
      <c r="M153">
        <v>4.0935390417726891E-4</v>
      </c>
      <c r="N153" s="1">
        <v>7.6235523840484903E-6</v>
      </c>
      <c r="O153" s="1">
        <v>1.32886669584132E-5</v>
      </c>
      <c r="P153" s="1">
        <v>-2.9222864025932899E-5</v>
      </c>
      <c r="AE153">
        <v>100</v>
      </c>
      <c r="AJ153">
        <v>1</v>
      </c>
    </row>
    <row r="154" spans="1:36" x14ac:dyDescent="0.2">
      <c r="A154">
        <v>153</v>
      </c>
      <c r="B154">
        <v>754</v>
      </c>
      <c r="C154">
        <v>180</v>
      </c>
      <c r="D154">
        <v>0.402142335588766</v>
      </c>
      <c r="E154">
        <v>10.293120377879699</v>
      </c>
      <c r="F154">
        <v>0.42633733786946298</v>
      </c>
      <c r="G154">
        <v>-224.75960201652393</v>
      </c>
      <c r="H154">
        <v>-130.24491170734115</v>
      </c>
      <c r="I154">
        <v>92.022178517970104</v>
      </c>
      <c r="J154">
        <v>41.228073376039298</v>
      </c>
      <c r="K154">
        <v>24.143136112162999</v>
      </c>
      <c r="L154">
        <v>1.6541080306075972E-3</v>
      </c>
      <c r="M154">
        <v>4.0877122888368126E-4</v>
      </c>
      <c r="N154" s="1">
        <v>8.2562984690604293E-6</v>
      </c>
      <c r="O154" s="1">
        <v>1.3786312143464499E-5</v>
      </c>
      <c r="P154" s="1">
        <v>-3.04368965128905E-5</v>
      </c>
      <c r="AE154">
        <v>100</v>
      </c>
      <c r="AJ154">
        <v>1</v>
      </c>
    </row>
    <row r="155" spans="1:36" x14ac:dyDescent="0.2">
      <c r="A155">
        <v>154</v>
      </c>
      <c r="B155">
        <v>753</v>
      </c>
      <c r="C155">
        <v>180</v>
      </c>
      <c r="D155">
        <v>0.401491497344444</v>
      </c>
      <c r="E155">
        <v>10.457353936480599</v>
      </c>
      <c r="F155">
        <v>0.42704364019693403</v>
      </c>
      <c r="G155">
        <v>-228.2523204009384</v>
      </c>
      <c r="H155">
        <v>-132.36495952876041</v>
      </c>
      <c r="I155">
        <v>93.449637199488905</v>
      </c>
      <c r="J155">
        <v>41.921948768480497</v>
      </c>
      <c r="K155">
        <v>24.4877875517784</v>
      </c>
      <c r="L155">
        <v>1.6564989902549355E-3</v>
      </c>
      <c r="M155">
        <v>4.0818483271172056E-4</v>
      </c>
      <c r="N155" s="1">
        <v>8.7225198201561804E-6</v>
      </c>
      <c r="O155" s="1">
        <v>1.3969282251958499E-5</v>
      </c>
      <c r="P155" s="1">
        <v>-3.0962818691440303E-5</v>
      </c>
      <c r="AE155">
        <v>100</v>
      </c>
      <c r="AJ155">
        <v>1</v>
      </c>
    </row>
    <row r="156" spans="1:36" x14ac:dyDescent="0.2">
      <c r="A156">
        <v>155</v>
      </c>
      <c r="B156">
        <v>771</v>
      </c>
      <c r="C156">
        <v>160</v>
      </c>
      <c r="D156">
        <v>0.43408561988220001</v>
      </c>
      <c r="E156">
        <v>5.9662641994046597</v>
      </c>
      <c r="F156">
        <v>0.37800557274031998</v>
      </c>
      <c r="G156">
        <v>-131.48991046757209</v>
      </c>
      <c r="H156">
        <v>-74.868930940729982</v>
      </c>
      <c r="I156">
        <v>54.230133399978499</v>
      </c>
      <c r="J156">
        <v>23.524140046642799</v>
      </c>
      <c r="K156">
        <v>15.783535031382501</v>
      </c>
      <c r="L156">
        <v>1.7155809021337013E-3</v>
      </c>
      <c r="M156">
        <v>5.1180493803831785E-4</v>
      </c>
      <c r="N156" s="1">
        <v>-4.8681323934555302E-6</v>
      </c>
      <c r="O156" s="1">
        <v>1.26362755854649E-5</v>
      </c>
      <c r="P156" s="1">
        <v>-2.1687983255797499E-5</v>
      </c>
      <c r="AE156">
        <v>100</v>
      </c>
      <c r="AJ156">
        <v>1</v>
      </c>
    </row>
    <row r="157" spans="1:36" x14ac:dyDescent="0.2">
      <c r="A157">
        <v>156</v>
      </c>
      <c r="B157">
        <v>770</v>
      </c>
      <c r="C157">
        <v>160</v>
      </c>
      <c r="D157">
        <v>0.43347601016152998</v>
      </c>
      <c r="E157">
        <v>5.9683245307158996</v>
      </c>
      <c r="F157">
        <v>0.37865524418014701</v>
      </c>
      <c r="G157">
        <v>-131.48108032221117</v>
      </c>
      <c r="H157">
        <v>-74.9183295886548</v>
      </c>
      <c r="I157">
        <v>54.226301275319898</v>
      </c>
      <c r="J157">
        <v>23.556033840893701</v>
      </c>
      <c r="K157">
        <v>15.761895873483301</v>
      </c>
      <c r="L157">
        <v>1.7188331566194309E-3</v>
      </c>
      <c r="M157">
        <v>5.1130676348498628E-4</v>
      </c>
      <c r="N157" s="1">
        <v>-4.7040821256758703E-6</v>
      </c>
      <c r="O157" s="1">
        <v>1.26156184514641E-5</v>
      </c>
      <c r="P157" s="1">
        <v>-2.1738163860794299E-5</v>
      </c>
      <c r="AE157">
        <v>100</v>
      </c>
      <c r="AJ157">
        <v>1</v>
      </c>
    </row>
    <row r="158" spans="1:36" x14ac:dyDescent="0.2">
      <c r="A158">
        <v>157</v>
      </c>
      <c r="B158">
        <v>769</v>
      </c>
      <c r="C158">
        <v>160</v>
      </c>
      <c r="D158">
        <v>0.43286523053303499</v>
      </c>
      <c r="E158">
        <v>5.9965550153994496</v>
      </c>
      <c r="F158">
        <v>0.37930726601520898</v>
      </c>
      <c r="G158">
        <v>-132.04852121092111</v>
      </c>
      <c r="H158">
        <v>-75.29637659597185</v>
      </c>
      <c r="I158">
        <v>54.4600836846516</v>
      </c>
      <c r="J158">
        <v>23.691397602192701</v>
      </c>
      <c r="K158">
        <v>15.8092279074849</v>
      </c>
      <c r="L158">
        <v>1.7220865170769705E-3</v>
      </c>
      <c r="M158">
        <v>5.1080431085319714E-4</v>
      </c>
      <c r="N158" s="1">
        <v>-4.5574592685183003E-6</v>
      </c>
      <c r="O158" s="1">
        <v>1.2650047928386101E-5</v>
      </c>
      <c r="P158" s="1">
        <v>-2.1883950516908899E-5</v>
      </c>
      <c r="AE158">
        <v>100</v>
      </c>
      <c r="AJ158">
        <v>1</v>
      </c>
    </row>
    <row r="159" spans="1:36" x14ac:dyDescent="0.2">
      <c r="A159">
        <v>158</v>
      </c>
      <c r="B159">
        <v>768</v>
      </c>
      <c r="C159">
        <v>160</v>
      </c>
      <c r="D159">
        <v>0.43225327762570398</v>
      </c>
      <c r="E159">
        <v>6.0473506258835998</v>
      </c>
      <c r="F159">
        <v>0.37996164692817702</v>
      </c>
      <c r="G159">
        <v>-133.11216772027578</v>
      </c>
      <c r="H159">
        <v>-75.958101225869754</v>
      </c>
      <c r="I159">
        <v>54.898455707423501</v>
      </c>
      <c r="J159">
        <v>23.916287672249702</v>
      </c>
      <c r="K159">
        <v>15.915686950969301</v>
      </c>
      <c r="L159">
        <v>1.7253408236971135E-3</v>
      </c>
      <c r="M159">
        <v>5.1029754770829468E-4</v>
      </c>
      <c r="N159" s="1">
        <v>-4.4233643079563401E-6</v>
      </c>
      <c r="O159" s="1">
        <v>1.2731641225834101E-5</v>
      </c>
      <c r="P159" s="1">
        <v>-2.2112720976703501E-5</v>
      </c>
      <c r="AE159">
        <v>100</v>
      </c>
      <c r="AJ159">
        <v>1</v>
      </c>
    </row>
    <row r="160" spans="1:36" x14ac:dyDescent="0.2">
      <c r="A160">
        <v>159</v>
      </c>
      <c r="B160">
        <v>767</v>
      </c>
      <c r="C160">
        <v>160</v>
      </c>
      <c r="D160">
        <v>0.43164014805557099</v>
      </c>
      <c r="E160">
        <v>6.1663347040607501</v>
      </c>
      <c r="F160">
        <v>0.38061839558041699</v>
      </c>
      <c r="G160">
        <v>-135.67523676435476</v>
      </c>
      <c r="H160">
        <v>-77.477006914863807</v>
      </c>
      <c r="I160">
        <v>55.955158972133702</v>
      </c>
      <c r="J160">
        <v>24.4115917606815</v>
      </c>
      <c r="K160">
        <v>16.200832055574999</v>
      </c>
      <c r="L160">
        <v>1.7285959140208315E-3</v>
      </c>
      <c r="M160">
        <v>5.0978644156005797E-4</v>
      </c>
      <c r="N160" s="1">
        <v>-4.3318355391162401E-6</v>
      </c>
      <c r="O160" s="1">
        <v>1.29559667565556E-5</v>
      </c>
      <c r="P160" s="1">
        <v>-2.2592112997080398E-5</v>
      </c>
      <c r="AE160">
        <v>100</v>
      </c>
      <c r="AJ160">
        <v>1</v>
      </c>
    </row>
    <row r="161" spans="1:36" x14ac:dyDescent="0.2">
      <c r="A161">
        <v>160</v>
      </c>
      <c r="B161">
        <v>766</v>
      </c>
      <c r="C161">
        <v>160</v>
      </c>
      <c r="D161">
        <v>0.43102583842564002</v>
      </c>
      <c r="E161">
        <v>6.2903545844089397</v>
      </c>
      <c r="F161">
        <v>0.38127752061064002</v>
      </c>
      <c r="G161">
        <v>-138.3469248081268</v>
      </c>
      <c r="H161">
        <v>-79.060171815268077</v>
      </c>
      <c r="I161">
        <v>57.056587326203001</v>
      </c>
      <c r="J161">
        <v>24.927867487277201</v>
      </c>
      <c r="K161">
        <v>16.498099794434602</v>
      </c>
      <c r="L161">
        <v>1.7318516229207948E-3</v>
      </c>
      <c r="M161">
        <v>5.0927095986845353E-4</v>
      </c>
      <c r="N161" s="1">
        <v>-4.2342774243990598E-6</v>
      </c>
      <c r="O161" s="1">
        <v>1.3189729091620501E-5</v>
      </c>
      <c r="P161" s="1">
        <v>-2.3091764336807201E-5</v>
      </c>
      <c r="AE161">
        <v>100</v>
      </c>
      <c r="AJ161">
        <v>1</v>
      </c>
    </row>
    <row r="162" spans="1:36" x14ac:dyDescent="0.2">
      <c r="A162">
        <v>161</v>
      </c>
      <c r="B162">
        <v>765</v>
      </c>
      <c r="C162">
        <v>160</v>
      </c>
      <c r="D162">
        <v>0.43041034532582101</v>
      </c>
      <c r="E162">
        <v>6.4219221802197204</v>
      </c>
      <c r="F162">
        <v>0.38193903063354401</v>
      </c>
      <c r="G162">
        <v>-141.18231924566763</v>
      </c>
      <c r="H162">
        <v>-80.739238203374285</v>
      </c>
      <c r="I162">
        <v>58.225454954020101</v>
      </c>
      <c r="J162">
        <v>25.475142946806699</v>
      </c>
      <c r="K162">
        <v>16.813998217378501</v>
      </c>
      <c r="L162">
        <v>1.7351077825840193E-3</v>
      </c>
      <c r="M162">
        <v>5.0875107004975234E-4</v>
      </c>
      <c r="N162" s="1">
        <v>-4.1316939467793199E-6</v>
      </c>
      <c r="O162" s="1">
        <v>1.3438112308814699E-5</v>
      </c>
      <c r="P162" s="1">
        <v>-2.3621022556736399E-5</v>
      </c>
      <c r="AE162">
        <v>100</v>
      </c>
      <c r="AJ162">
        <v>1</v>
      </c>
    </row>
    <row r="163" spans="1:36" x14ac:dyDescent="0.2">
      <c r="A163">
        <v>162</v>
      </c>
      <c r="B163">
        <v>764</v>
      </c>
      <c r="C163">
        <v>160</v>
      </c>
      <c r="D163">
        <v>0.42979366533288699</v>
      </c>
      <c r="E163">
        <v>6.56614965865682</v>
      </c>
      <c r="F163">
        <v>0.38260293423840902</v>
      </c>
      <c r="G163">
        <v>-144.29355804759794</v>
      </c>
      <c r="H163">
        <v>-82.578590218351678</v>
      </c>
      <c r="I163">
        <v>59.508003069265499</v>
      </c>
      <c r="J163">
        <v>26.073812506478301</v>
      </c>
      <c r="K163">
        <v>17.1617859432444</v>
      </c>
      <c r="L163">
        <v>1.7383642224943902E-3</v>
      </c>
      <c r="M163">
        <v>5.0822673948264859E-4</v>
      </c>
      <c r="N163" s="1">
        <v>-4.02636686156496E-6</v>
      </c>
      <c r="O163" s="1">
        <v>1.37116866007155E-5</v>
      </c>
      <c r="P163" s="1">
        <v>-2.41988905298042E-5</v>
      </c>
      <c r="AE163">
        <v>100</v>
      </c>
      <c r="AJ163">
        <v>1</v>
      </c>
    </row>
    <row r="164" spans="1:36" x14ac:dyDescent="0.2">
      <c r="A164">
        <v>163</v>
      </c>
      <c r="B164">
        <v>763</v>
      </c>
      <c r="C164">
        <v>160</v>
      </c>
      <c r="D164">
        <v>0.42917579501038</v>
      </c>
      <c r="E164">
        <v>6.7510524492901398</v>
      </c>
      <c r="F164">
        <v>0.38326923998768397</v>
      </c>
      <c r="G164">
        <v>-148.29569418308884</v>
      </c>
      <c r="H164">
        <v>-84.930825240610261</v>
      </c>
      <c r="I164">
        <v>61.1578751235363</v>
      </c>
      <c r="J164">
        <v>26.835394028237399</v>
      </c>
      <c r="K164">
        <v>17.6143862980161</v>
      </c>
      <c r="L164">
        <v>1.7416207694158363E-3</v>
      </c>
      <c r="M164">
        <v>5.0769793551458766E-4</v>
      </c>
      <c r="N164" s="1">
        <v>-3.9332765020925898E-6</v>
      </c>
      <c r="O164" s="1">
        <v>1.40686615435538E-5</v>
      </c>
      <c r="P164" s="1">
        <v>-2.49290918571475E-5</v>
      </c>
      <c r="AE164">
        <v>100</v>
      </c>
      <c r="AJ164">
        <v>1</v>
      </c>
    </row>
    <row r="165" spans="1:36" x14ac:dyDescent="0.2">
      <c r="A165">
        <v>164</v>
      </c>
      <c r="B165">
        <v>762</v>
      </c>
      <c r="C165">
        <v>160</v>
      </c>
      <c r="D165">
        <v>0.428556730908567</v>
      </c>
      <c r="E165">
        <v>7.5184037216252504</v>
      </c>
      <c r="F165">
        <v>0.383937956415563</v>
      </c>
      <c r="G165">
        <v>-165.083473317254</v>
      </c>
      <c r="H165">
        <v>-94.61429898153412</v>
      </c>
      <c r="I165">
        <v>68.080449044111703</v>
      </c>
      <c r="J165">
        <v>29.916130392352098</v>
      </c>
      <c r="K165">
        <v>19.5823403130467</v>
      </c>
      <c r="L165">
        <v>1.7448772473763737E-3</v>
      </c>
      <c r="M165">
        <v>5.0716462546834633E-4</v>
      </c>
      <c r="N165" s="1">
        <v>-4.1472954310718904E-6</v>
      </c>
      <c r="O165" s="1">
        <v>1.5635162397521E-5</v>
      </c>
      <c r="P165" s="1">
        <v>-2.7816988532961501E-5</v>
      </c>
      <c r="AE165">
        <v>100</v>
      </c>
      <c r="AJ165">
        <v>1</v>
      </c>
    </row>
    <row r="166" spans="1:36" x14ac:dyDescent="0.2">
      <c r="A166">
        <v>165</v>
      </c>
      <c r="B166">
        <v>761</v>
      </c>
      <c r="C166">
        <v>160</v>
      </c>
      <c r="D166">
        <v>0.42793646956437897</v>
      </c>
      <c r="E166">
        <v>9.0176894939183594</v>
      </c>
      <c r="F166">
        <v>0.384609092026513</v>
      </c>
      <c r="G166">
        <v>-197.92202708078042</v>
      </c>
      <c r="H166">
        <v>-113.51775107300354</v>
      </c>
      <c r="I166">
        <v>81.622043691393699</v>
      </c>
      <c r="J166">
        <v>35.918555517365199</v>
      </c>
      <c r="K166">
        <v>23.446376284044501</v>
      </c>
      <c r="L166">
        <v>1.7481334776522615E-3</v>
      </c>
      <c r="M166">
        <v>5.0662677664868139E-4</v>
      </c>
      <c r="N166" s="1">
        <v>-4.6910457461245598E-6</v>
      </c>
      <c r="O166" s="1">
        <v>1.87137864984514E-5</v>
      </c>
      <c r="P166" s="1">
        <v>-3.3429382276601299E-5</v>
      </c>
      <c r="AE166">
        <v>100</v>
      </c>
      <c r="AJ166">
        <v>1</v>
      </c>
    </row>
    <row r="167" spans="1:36" x14ac:dyDescent="0.2">
      <c r="A167">
        <v>166</v>
      </c>
      <c r="B167">
        <v>760</v>
      </c>
      <c r="C167">
        <v>160</v>
      </c>
      <c r="D167">
        <v>0.427315007501331</v>
      </c>
      <c r="E167">
        <v>9.8777444365522395</v>
      </c>
      <c r="F167">
        <v>0.38528265529379602</v>
      </c>
      <c r="G167">
        <v>-216.70929489768295</v>
      </c>
      <c r="H167">
        <v>-124.3837804241815</v>
      </c>
      <c r="I167">
        <v>89.368598098466805</v>
      </c>
      <c r="J167">
        <v>39.384532646111097</v>
      </c>
      <c r="K167">
        <v>25.637656667985699</v>
      </c>
      <c r="L167">
        <v>1.7513892787528219E-3</v>
      </c>
      <c r="M167">
        <v>5.0608435634918406E-4</v>
      </c>
      <c r="N167" s="1">
        <v>-4.8240049564896296E-6</v>
      </c>
      <c r="O167" s="1">
        <v>2.0455397920701099E-5</v>
      </c>
      <c r="P167" s="1">
        <v>-3.6689221304007503E-5</v>
      </c>
      <c r="AE167">
        <v>100</v>
      </c>
      <c r="AJ167">
        <v>1</v>
      </c>
    </row>
    <row r="168" spans="1:36" x14ac:dyDescent="0.2">
      <c r="A168">
        <v>167</v>
      </c>
      <c r="B168">
        <v>759</v>
      </c>
      <c r="C168">
        <v>160</v>
      </c>
      <c r="D168">
        <v>0.42669234122947503</v>
      </c>
      <c r="E168">
        <v>10.273736323424099</v>
      </c>
      <c r="F168">
        <v>0.38595865465797002</v>
      </c>
      <c r="G168">
        <v>-225.30408793710882</v>
      </c>
      <c r="H168">
        <v>-129.4112238632267</v>
      </c>
      <c r="I168">
        <v>92.911634294129797</v>
      </c>
      <c r="J168">
        <v>41.005408976701503</v>
      </c>
      <c r="K168">
        <v>26.6187484059102</v>
      </c>
      <c r="L168">
        <v>1.7546444664062969E-3</v>
      </c>
      <c r="M168">
        <v>5.0553733185940163E-4</v>
      </c>
      <c r="N168" s="1">
        <v>-4.6860071741265998E-6</v>
      </c>
      <c r="O168" s="1">
        <v>2.1230311061393801E-5</v>
      </c>
      <c r="P168" s="1">
        <v>-3.8234525236108899E-5</v>
      </c>
      <c r="AE168">
        <v>100</v>
      </c>
      <c r="AJ168">
        <v>1</v>
      </c>
    </row>
    <row r="169" spans="1:36" x14ac:dyDescent="0.2">
      <c r="A169">
        <v>168</v>
      </c>
      <c r="B169">
        <v>758</v>
      </c>
      <c r="C169">
        <v>160</v>
      </c>
      <c r="D169">
        <v>0.426068467245311</v>
      </c>
      <c r="E169">
        <v>10.4556150127042</v>
      </c>
      <c r="F169">
        <v>0.38663709852535999</v>
      </c>
      <c r="G169">
        <v>-229.19816994338919</v>
      </c>
      <c r="H169">
        <v>-131.74397794873448</v>
      </c>
      <c r="I169">
        <v>94.516001881019506</v>
      </c>
      <c r="J169">
        <v>41.7741495904082</v>
      </c>
      <c r="K169">
        <v>27.042451571724701</v>
      </c>
      <c r="L169">
        <v>1.7578988535455803E-3</v>
      </c>
      <c r="M169">
        <v>5.0498567047195736E-4</v>
      </c>
      <c r="N169" s="1">
        <v>-4.4272670129685103E-6</v>
      </c>
      <c r="O169" s="1">
        <v>2.1560026495093802E-5</v>
      </c>
      <c r="P169" s="1">
        <v>-3.8987223247156897E-5</v>
      </c>
      <c r="AE169">
        <v>100</v>
      </c>
      <c r="AJ169">
        <v>1</v>
      </c>
    </row>
    <row r="170" spans="1:36" x14ac:dyDescent="0.2">
      <c r="A170">
        <v>169</v>
      </c>
      <c r="B170">
        <v>780</v>
      </c>
      <c r="C170">
        <v>140</v>
      </c>
      <c r="D170">
        <v>0.46040972321132001</v>
      </c>
      <c r="E170">
        <v>6.3203775483576896</v>
      </c>
      <c r="F170">
        <v>0.33180882916433002</v>
      </c>
      <c r="G170">
        <v>-140.1713055312288</v>
      </c>
      <c r="H170">
        <v>-78.794035714077467</v>
      </c>
      <c r="I170">
        <v>58.2831379435979</v>
      </c>
      <c r="J170">
        <v>24.4493419987772</v>
      </c>
      <c r="K170">
        <v>19.048250054935899</v>
      </c>
      <c r="L170">
        <v>1.7690712532639138E-3</v>
      </c>
      <c r="M170">
        <v>6.4028479784950941E-4</v>
      </c>
      <c r="N170" s="1">
        <v>-1.75716491438385E-5</v>
      </c>
      <c r="O170" s="1">
        <v>2.14357745822579E-5</v>
      </c>
      <c r="P170" s="1">
        <v>-2.8304230183543499E-5</v>
      </c>
      <c r="AE170">
        <v>100</v>
      </c>
      <c r="AJ170">
        <v>1</v>
      </c>
    </row>
    <row r="171" spans="1:36" x14ac:dyDescent="0.2">
      <c r="A171">
        <v>170</v>
      </c>
      <c r="B171">
        <v>779</v>
      </c>
      <c r="C171">
        <v>140</v>
      </c>
      <c r="D171">
        <v>0.45983034738392797</v>
      </c>
      <c r="E171">
        <v>6.3319738402124699</v>
      </c>
      <c r="F171">
        <v>0.33239701617179501</v>
      </c>
      <c r="G171">
        <v>-140.37010593594687</v>
      </c>
      <c r="H171">
        <v>-78.96311085864663</v>
      </c>
      <c r="I171">
        <v>58.366790497133799</v>
      </c>
      <c r="J171">
        <v>24.5219140715073</v>
      </c>
      <c r="K171">
        <v>19.0494304465713</v>
      </c>
      <c r="L171">
        <v>1.7731285060943347E-3</v>
      </c>
      <c r="M171">
        <v>6.3992952888611851E-4</v>
      </c>
      <c r="N171" s="1">
        <v>-1.74952496170849E-5</v>
      </c>
      <c r="O171" s="1">
        <v>2.1442910045184198E-5</v>
      </c>
      <c r="P171" s="1">
        <v>-2.8421929316711601E-5</v>
      </c>
      <c r="AE171">
        <v>100</v>
      </c>
      <c r="AJ171">
        <v>1</v>
      </c>
    </row>
    <row r="172" spans="1:36" x14ac:dyDescent="0.2">
      <c r="A172">
        <v>171</v>
      </c>
      <c r="B172">
        <v>778</v>
      </c>
      <c r="C172">
        <v>140</v>
      </c>
      <c r="D172">
        <v>0.45924986919088701</v>
      </c>
      <c r="E172">
        <v>6.3565667603357401</v>
      </c>
      <c r="F172">
        <v>0.33298759856284099</v>
      </c>
      <c r="G172">
        <v>-140.85671131468604</v>
      </c>
      <c r="H172">
        <v>-79.29442888135074</v>
      </c>
      <c r="I172">
        <v>58.570061410049398</v>
      </c>
      <c r="J172">
        <v>24.645093689129201</v>
      </c>
      <c r="K172">
        <v>19.089499992703502</v>
      </c>
      <c r="L172">
        <v>1.7771960215623656E-3</v>
      </c>
      <c r="M172">
        <v>6.3957011832434349E-4</v>
      </c>
      <c r="N172" s="1">
        <v>-1.74514914245476E-5</v>
      </c>
      <c r="O172" s="1">
        <v>2.1493762652437099E-5</v>
      </c>
      <c r="P172" s="1">
        <v>-2.85987085623289E-5</v>
      </c>
      <c r="AE172">
        <v>100</v>
      </c>
      <c r="AJ172">
        <v>1</v>
      </c>
    </row>
    <row r="173" spans="1:36" x14ac:dyDescent="0.2">
      <c r="A173">
        <v>172</v>
      </c>
      <c r="B173">
        <v>777</v>
      </c>
      <c r="C173">
        <v>140</v>
      </c>
      <c r="D173">
        <v>0.45866828548302802</v>
      </c>
      <c r="E173">
        <v>6.3811634585930097</v>
      </c>
      <c r="F173">
        <v>0.33358058880549701</v>
      </c>
      <c r="G173">
        <v>-141.34297062172845</v>
      </c>
      <c r="H173">
        <v>-79.626012744402104</v>
      </c>
      <c r="I173">
        <v>58.773136762277403</v>
      </c>
      <c r="J173">
        <v>24.768621456614301</v>
      </c>
      <c r="K173">
        <v>19.129300902798299</v>
      </c>
      <c r="L173">
        <v>1.7812737153338027E-3</v>
      </c>
      <c r="M173">
        <v>6.3920652004066886E-4</v>
      </c>
      <c r="N173" s="1">
        <v>-1.7404182976263899E-5</v>
      </c>
      <c r="O173" s="1">
        <v>2.1544263833289701E-5</v>
      </c>
      <c r="P173" s="1">
        <v>-2.8776387190369902E-5</v>
      </c>
      <c r="AE173">
        <v>100</v>
      </c>
      <c r="AJ173">
        <v>1</v>
      </c>
    </row>
    <row r="174" spans="1:36" x14ac:dyDescent="0.2">
      <c r="A174">
        <v>173</v>
      </c>
      <c r="B174">
        <v>776</v>
      </c>
      <c r="C174">
        <v>140</v>
      </c>
      <c r="D174">
        <v>0.45808559309917701</v>
      </c>
      <c r="E174">
        <v>6.40575264406964</v>
      </c>
      <c r="F174">
        <v>0.33417599940890202</v>
      </c>
      <c r="G174">
        <v>-141.82863408411055</v>
      </c>
      <c r="H174">
        <v>-79.957721999304255</v>
      </c>
      <c r="I174">
        <v>58.975911785566801</v>
      </c>
      <c r="J174">
        <v>24.892454791850898</v>
      </c>
      <c r="K174">
        <v>19.1687992417177</v>
      </c>
      <c r="L174">
        <v>1.7853615001566007E-3</v>
      </c>
      <c r="M174">
        <v>6.3883868747357717E-4</v>
      </c>
      <c r="N174" s="1">
        <v>-1.7353223323125801E-5</v>
      </c>
      <c r="O174" s="1">
        <v>2.1594372598402199E-5</v>
      </c>
      <c r="P174" s="1">
        <v>-2.8954918585292101E-5</v>
      </c>
      <c r="AE174">
        <v>100</v>
      </c>
      <c r="AJ174">
        <v>1</v>
      </c>
    </row>
    <row r="175" spans="1:36" x14ac:dyDescent="0.2">
      <c r="A175">
        <v>174</v>
      </c>
      <c r="B175">
        <v>775</v>
      </c>
      <c r="C175">
        <v>140</v>
      </c>
      <c r="D175">
        <v>0.45750178886609999</v>
      </c>
      <c r="E175">
        <v>6.4303233066469199</v>
      </c>
      <c r="F175">
        <v>0.33477384292255002</v>
      </c>
      <c r="G175">
        <v>-142.31345856011208</v>
      </c>
      <c r="H175">
        <v>-80.289419529780503</v>
      </c>
      <c r="I175">
        <v>59.1782844594712</v>
      </c>
      <c r="J175">
        <v>25.016551986581401</v>
      </c>
      <c r="K175">
        <v>19.207962158903101</v>
      </c>
      <c r="L175">
        <v>1.7894592858087822E-3</v>
      </c>
      <c r="M175">
        <v>6.3846657362275734E-4</v>
      </c>
      <c r="N175" s="1">
        <v>-1.7298512169634601E-5</v>
      </c>
      <c r="O175" s="1">
        <v>2.1644049088390699E-5</v>
      </c>
      <c r="P175" s="1">
        <v>-2.9134256841081399E-5</v>
      </c>
      <c r="AE175">
        <v>100</v>
      </c>
      <c r="AJ175">
        <v>1</v>
      </c>
    </row>
    <row r="176" spans="1:36" x14ac:dyDescent="0.2">
      <c r="A176">
        <v>175</v>
      </c>
      <c r="B176">
        <v>774</v>
      </c>
      <c r="C176">
        <v>140</v>
      </c>
      <c r="D176">
        <v>0.45691686959843703</v>
      </c>
      <c r="E176">
        <v>6.5101536242520499</v>
      </c>
      <c r="F176">
        <v>0.33537413193549198</v>
      </c>
      <c r="G176">
        <v>-144.02033177540025</v>
      </c>
      <c r="H176">
        <v>-81.311527534915726</v>
      </c>
      <c r="I176">
        <v>59.888774053533403</v>
      </c>
      <c r="J176">
        <v>25.3562154297856</v>
      </c>
      <c r="K176">
        <v>19.411615280764199</v>
      </c>
      <c r="L176">
        <v>1.7935669790458816E-3</v>
      </c>
      <c r="M176">
        <v>6.3809013104847959E-4</v>
      </c>
      <c r="N176" s="1">
        <v>-1.7387618052834299E-5</v>
      </c>
      <c r="O176" s="1">
        <v>2.1879067345175099E-5</v>
      </c>
      <c r="P176" s="1">
        <v>-2.95654478142447E-5</v>
      </c>
      <c r="AE176">
        <v>100</v>
      </c>
      <c r="AJ176">
        <v>1</v>
      </c>
    </row>
    <row r="177" spans="1:36" x14ac:dyDescent="0.2">
      <c r="A177">
        <v>176</v>
      </c>
      <c r="B177">
        <v>773</v>
      </c>
      <c r="C177">
        <v>140</v>
      </c>
      <c r="D177">
        <v>0.456330832098647</v>
      </c>
      <c r="E177">
        <v>6.6215785489599099</v>
      </c>
      <c r="F177">
        <v>0.33597687907551699</v>
      </c>
      <c r="G177">
        <v>-146.42441891859551</v>
      </c>
      <c r="H177">
        <v>-82.729024906269615</v>
      </c>
      <c r="I177">
        <v>60.889149057193599</v>
      </c>
      <c r="J177">
        <v>25.819911625191601</v>
      </c>
      <c r="K177">
        <v>19.708435197029001</v>
      </c>
      <c r="L177">
        <v>1.7976844835478627E-3</v>
      </c>
      <c r="M177">
        <v>6.3770931187109056E-4</v>
      </c>
      <c r="N177" s="1">
        <v>-1.75544558871562E-5</v>
      </c>
      <c r="O177" s="1">
        <v>2.2219153796147999E-5</v>
      </c>
      <c r="P177" s="1">
        <v>-3.0142547561921501E-5</v>
      </c>
      <c r="AE177">
        <v>100</v>
      </c>
      <c r="AJ177">
        <v>1</v>
      </c>
    </row>
    <row r="178" spans="1:36" x14ac:dyDescent="0.2">
      <c r="A178">
        <v>177</v>
      </c>
      <c r="B178">
        <v>772</v>
      </c>
      <c r="C178">
        <v>140</v>
      </c>
      <c r="D178">
        <v>0.45574367315696301</v>
      </c>
      <c r="E178">
        <v>6.7385741203677902</v>
      </c>
      <c r="F178">
        <v>0.33658209700830199</v>
      </c>
      <c r="G178">
        <v>-148.94961523051461</v>
      </c>
      <c r="H178">
        <v>-84.217041592745915</v>
      </c>
      <c r="I178">
        <v>61.939845824691403</v>
      </c>
      <c r="J178">
        <v>26.306477779688599</v>
      </c>
      <c r="K178">
        <v>20.020595807867799</v>
      </c>
      <c r="L178">
        <v>1.8018116998655884E-3</v>
      </c>
      <c r="M178">
        <v>6.3732406777066526E-4</v>
      </c>
      <c r="N178" s="1">
        <v>-1.7728495474381101E-5</v>
      </c>
      <c r="O178" s="1">
        <v>2.25766186953385E-5</v>
      </c>
      <c r="P178" s="1">
        <v>-3.0747846075137003E-5</v>
      </c>
      <c r="AE178">
        <v>100</v>
      </c>
      <c r="AJ178">
        <v>1</v>
      </c>
    </row>
    <row r="179" spans="1:36" x14ac:dyDescent="0.2">
      <c r="A179">
        <v>178</v>
      </c>
      <c r="B179">
        <v>771</v>
      </c>
      <c r="C179">
        <v>140</v>
      </c>
      <c r="D179">
        <v>0.45515538955130802</v>
      </c>
      <c r="E179">
        <v>6.8642974215018899</v>
      </c>
      <c r="F179">
        <v>0.33718979843653402</v>
      </c>
      <c r="G179">
        <v>-151.66552365962914</v>
      </c>
      <c r="H179">
        <v>-85.815113280053652</v>
      </c>
      <c r="I179">
        <v>63.069806591080003</v>
      </c>
      <c r="J179">
        <v>26.828334488449801</v>
      </c>
      <c r="K179">
        <v>20.357369805758999</v>
      </c>
      <c r="L179">
        <v>1.8059485253668402E-3</v>
      </c>
      <c r="M179">
        <v>6.3693434998681798E-4</v>
      </c>
      <c r="N179" s="1">
        <v>-1.7917437233242699E-5</v>
      </c>
      <c r="O179" s="1">
        <v>2.2961927306475299E-5</v>
      </c>
      <c r="P179" s="1">
        <v>-3.13959833806787E-5</v>
      </c>
      <c r="AE179">
        <v>100</v>
      </c>
      <c r="AJ179">
        <v>1</v>
      </c>
    </row>
    <row r="180" spans="1:36" x14ac:dyDescent="0.2">
      <c r="A180">
        <v>179</v>
      </c>
      <c r="B180">
        <v>770</v>
      </c>
      <c r="C180">
        <v>140</v>
      </c>
      <c r="D180">
        <v>0.45456597804726301</v>
      </c>
      <c r="E180">
        <v>7.0055540805373502</v>
      </c>
      <c r="F180">
        <v>0.33779999609899802</v>
      </c>
      <c r="G180">
        <v>-154.72221176584799</v>
      </c>
      <c r="H180">
        <v>-87.608452337948108</v>
      </c>
      <c r="I180">
        <v>64.341435494545394</v>
      </c>
      <c r="J180">
        <v>27.412236773560799</v>
      </c>
      <c r="K180">
        <v>20.738763059322899</v>
      </c>
      <c r="L180">
        <v>1.8100948541817017E-3</v>
      </c>
      <c r="M180">
        <v>6.3654010931861818E-4</v>
      </c>
      <c r="N180" s="1">
        <v>-1.8138142500714199E-5</v>
      </c>
      <c r="O180" s="1">
        <v>2.3397663466416599E-5</v>
      </c>
      <c r="P180" s="1">
        <v>-3.2118466554171598E-5</v>
      </c>
      <c r="AE180">
        <v>100</v>
      </c>
      <c r="AJ180">
        <v>1</v>
      </c>
    </row>
    <row r="181" spans="1:36" x14ac:dyDescent="0.2">
      <c r="A181">
        <v>180</v>
      </c>
      <c r="B181">
        <v>769</v>
      </c>
      <c r="C181">
        <v>140</v>
      </c>
      <c r="D181">
        <v>0.45397543539797802</v>
      </c>
      <c r="E181">
        <v>7.2284838980912198</v>
      </c>
      <c r="F181">
        <v>0.33841270276964303</v>
      </c>
      <c r="G181">
        <v>-159.57938623946202</v>
      </c>
      <c r="H181">
        <v>-90.424617962712034</v>
      </c>
      <c r="I181">
        <v>66.361756809591895</v>
      </c>
      <c r="J181">
        <v>28.317505665036901</v>
      </c>
      <c r="K181">
        <v>21.359966215605201</v>
      </c>
      <c r="L181">
        <v>1.814250577147852E-3</v>
      </c>
      <c r="M181">
        <v>6.3614129612476502E-4</v>
      </c>
      <c r="N181" s="1">
        <v>-1.8559197537204601E-5</v>
      </c>
      <c r="O181" s="1">
        <v>2.4104122237705901E-5</v>
      </c>
      <c r="P181" s="1">
        <v>-3.3219784732173998E-5</v>
      </c>
      <c r="AE181">
        <v>100</v>
      </c>
      <c r="AJ181">
        <v>1</v>
      </c>
    </row>
    <row r="182" spans="1:36" x14ac:dyDescent="0.2">
      <c r="A182">
        <v>181</v>
      </c>
      <c r="B182">
        <v>768</v>
      </c>
      <c r="C182">
        <v>140</v>
      </c>
      <c r="D182">
        <v>0.45338375834414102</v>
      </c>
      <c r="E182">
        <v>7.8483256852993399</v>
      </c>
      <c r="F182">
        <v>0.33902793125660402</v>
      </c>
      <c r="G182">
        <v>-173.19126549086306</v>
      </c>
      <c r="H182">
        <v>-98.209283789772201</v>
      </c>
      <c r="I182">
        <v>72.022737352917801</v>
      </c>
      <c r="J182">
        <v>30.781657941177901</v>
      </c>
      <c r="K182">
        <v>23.149495843040299</v>
      </c>
      <c r="L182">
        <v>1.8184155817550466E-3</v>
      </c>
      <c r="M182">
        <v>6.357378603238298E-4</v>
      </c>
      <c r="N182" s="1">
        <v>-1.9977363213126901E-5</v>
      </c>
      <c r="O182" s="1">
        <v>2.6129525283986599E-5</v>
      </c>
      <c r="P182" s="1">
        <v>-3.61548719439229E-5</v>
      </c>
      <c r="AE182">
        <v>100</v>
      </c>
      <c r="AJ182">
        <v>1</v>
      </c>
    </row>
    <row r="183" spans="1:36" x14ac:dyDescent="0.2">
      <c r="A183">
        <v>182</v>
      </c>
      <c r="B183">
        <v>767</v>
      </c>
      <c r="C183">
        <v>140</v>
      </c>
      <c r="D183">
        <v>0.45279094361390498</v>
      </c>
      <c r="E183">
        <v>9.1350469069214899</v>
      </c>
      <c r="F183">
        <v>0.33964569440120801</v>
      </c>
      <c r="G183">
        <v>-201.50190009842709</v>
      </c>
      <c r="H183">
        <v>-114.34639777138119</v>
      </c>
      <c r="I183">
        <v>83.796308188090293</v>
      </c>
      <c r="J183">
        <v>35.870249232568703</v>
      </c>
      <c r="K183">
        <v>26.895812481964398</v>
      </c>
      <c r="L183">
        <v>1.8225897520894069E-3</v>
      </c>
      <c r="M183">
        <v>6.3532975139472955E-4</v>
      </c>
      <c r="N183" s="1">
        <v>-2.30464916912677E-5</v>
      </c>
      <c r="O183" s="1">
        <v>3.0364905122887799E-5</v>
      </c>
      <c r="P183" s="1">
        <v>-4.2183605780247599E-5</v>
      </c>
      <c r="AE183">
        <v>100</v>
      </c>
      <c r="AJ183">
        <v>1</v>
      </c>
    </row>
    <row r="184" spans="1:36" x14ac:dyDescent="0.2">
      <c r="A184">
        <v>183</v>
      </c>
      <c r="B184">
        <v>766</v>
      </c>
      <c r="C184">
        <v>140</v>
      </c>
      <c r="D184">
        <v>0.45219698792282498</v>
      </c>
      <c r="E184">
        <v>9.8493621015990307</v>
      </c>
      <c r="F184">
        <v>0.340266005076931</v>
      </c>
      <c r="G184">
        <v>-217.16801546975742</v>
      </c>
      <c r="H184">
        <v>-123.32641470304047</v>
      </c>
      <c r="I184">
        <v>90.3115403710066</v>
      </c>
      <c r="J184">
        <v>38.720569501189999</v>
      </c>
      <c r="K184">
        <v>28.946065591748301</v>
      </c>
      <c r="L184">
        <v>1.8267729687772155E-3</v>
      </c>
      <c r="M184">
        <v>6.3491691837736311E-4</v>
      </c>
      <c r="N184" s="1">
        <v>-2.46215152177497E-5</v>
      </c>
      <c r="O184" s="1">
        <v>3.2686775940560501E-5</v>
      </c>
      <c r="P184" s="1">
        <v>-4.5591825434469397E-5</v>
      </c>
      <c r="AE184">
        <v>100</v>
      </c>
      <c r="AJ184">
        <v>1</v>
      </c>
    </row>
    <row r="185" spans="1:36" x14ac:dyDescent="0.2">
      <c r="A185">
        <v>184</v>
      </c>
      <c r="B185">
        <v>765</v>
      </c>
      <c r="C185">
        <v>140</v>
      </c>
      <c r="D185">
        <v>0.45160188797380102</v>
      </c>
      <c r="E185">
        <v>10.264273932309701</v>
      </c>
      <c r="F185">
        <v>0.34088887618833802</v>
      </c>
      <c r="G185">
        <v>-226.2222858813642</v>
      </c>
      <c r="H185">
        <v>-128.56200869273212</v>
      </c>
      <c r="I185">
        <v>94.077109316066796</v>
      </c>
      <c r="J185">
        <v>40.399247227016097</v>
      </c>
      <c r="K185">
        <v>30.110322305262901</v>
      </c>
      <c r="L185">
        <v>1.8309651089283958E-3</v>
      </c>
      <c r="M185">
        <v>6.3449930987344414E-4</v>
      </c>
      <c r="N185" s="1">
        <v>-2.5416929981662702E-5</v>
      </c>
      <c r="O185" s="1">
        <v>3.40087906083341E-5</v>
      </c>
      <c r="P185" s="1">
        <v>-4.7627290983947397E-5</v>
      </c>
      <c r="AE185">
        <v>100</v>
      </c>
      <c r="AJ185">
        <v>1</v>
      </c>
    </row>
    <row r="186" spans="1:36" x14ac:dyDescent="0.2">
      <c r="A186">
        <v>185</v>
      </c>
      <c r="B186">
        <v>764</v>
      </c>
      <c r="C186">
        <v>140</v>
      </c>
      <c r="D186">
        <v>0.45100564045702202</v>
      </c>
      <c r="E186">
        <v>10.441488254811</v>
      </c>
      <c r="F186">
        <v>0.341514320669979</v>
      </c>
      <c r="G186">
        <v>-230.03236808121434</v>
      </c>
      <c r="H186">
        <v>-130.82277323459056</v>
      </c>
      <c r="I186">
        <v>95.661736592955705</v>
      </c>
      <c r="J186">
        <v>41.145299290763496</v>
      </c>
      <c r="K186">
        <v>30.574086130054699</v>
      </c>
      <c r="L186">
        <v>1.8351660460795291E-3</v>
      </c>
      <c r="M186">
        <v>6.3407687404750204E-4</v>
      </c>
      <c r="N186" s="1">
        <v>-2.5604518377971899E-5</v>
      </c>
      <c r="O186" s="1">
        <v>3.4539847281958802E-5</v>
      </c>
      <c r="P186" s="1">
        <v>-4.8567034399173002E-5</v>
      </c>
      <c r="AE186">
        <v>100</v>
      </c>
      <c r="AJ186">
        <v>1</v>
      </c>
    </row>
    <row r="187" spans="1:36" x14ac:dyDescent="0.2">
      <c r="A187">
        <v>186</v>
      </c>
      <c r="B187">
        <v>791</v>
      </c>
      <c r="C187">
        <v>120</v>
      </c>
      <c r="D187">
        <v>0.48738476718508</v>
      </c>
      <c r="E187">
        <v>6.7029528955199602</v>
      </c>
      <c r="F187">
        <v>0.281725652277657</v>
      </c>
      <c r="G187">
        <v>-149.77921634712308</v>
      </c>
      <c r="H187">
        <v>-82.898496664127933</v>
      </c>
      <c r="I187">
        <v>62.852563571160402</v>
      </c>
      <c r="J187">
        <v>25.042227671092</v>
      </c>
      <c r="K187">
        <v>23.792483365745401</v>
      </c>
      <c r="L187">
        <v>1.7693289338609815E-3</v>
      </c>
      <c r="M187">
        <v>8.081936422363454E-4</v>
      </c>
      <c r="N187" s="1">
        <v>-3.4696972354294698E-5</v>
      </c>
      <c r="O187" s="1">
        <v>3.8119765056973101E-5</v>
      </c>
      <c r="P187" s="1">
        <v>-3.6751668053076801E-5</v>
      </c>
      <c r="AE187">
        <v>100</v>
      </c>
      <c r="AJ187">
        <v>1</v>
      </c>
    </row>
    <row r="188" spans="1:36" x14ac:dyDescent="0.2">
      <c r="A188">
        <v>187</v>
      </c>
      <c r="B188">
        <v>790</v>
      </c>
      <c r="C188">
        <v>120</v>
      </c>
      <c r="D188">
        <v>0.486836758688802</v>
      </c>
      <c r="E188">
        <v>6.7154956746018399</v>
      </c>
      <c r="F188">
        <v>0.28222520732211198</v>
      </c>
      <c r="G188">
        <v>-149.99652961155971</v>
      </c>
      <c r="H188">
        <v>-83.078722756208805</v>
      </c>
      <c r="I188">
        <v>62.946573742514701</v>
      </c>
      <c r="J188">
        <v>25.118506611453999</v>
      </c>
      <c r="K188">
        <v>23.794811733231199</v>
      </c>
      <c r="L188">
        <v>1.773927547185515E-3</v>
      </c>
      <c r="M188">
        <v>8.0807754322329884E-4</v>
      </c>
      <c r="N188" s="1">
        <v>-3.4777908154094497E-5</v>
      </c>
      <c r="O188" s="1">
        <v>3.8148380647857298E-5</v>
      </c>
      <c r="P188" s="1">
        <v>-3.6904820760433099E-5</v>
      </c>
      <c r="AE188">
        <v>100</v>
      </c>
      <c r="AJ188">
        <v>1</v>
      </c>
    </row>
    <row r="189" spans="1:36" x14ac:dyDescent="0.2">
      <c r="A189">
        <v>188</v>
      </c>
      <c r="B189">
        <v>789</v>
      </c>
      <c r="C189">
        <v>120</v>
      </c>
      <c r="D189">
        <v>0.48628771830721002</v>
      </c>
      <c r="E189">
        <v>6.7365884438297003</v>
      </c>
      <c r="F189">
        <v>0.28272695109150398</v>
      </c>
      <c r="G189">
        <v>-150.40452282497893</v>
      </c>
      <c r="H189">
        <v>-83.364877795681821</v>
      </c>
      <c r="I189">
        <v>63.120557471994097</v>
      </c>
      <c r="J189">
        <v>25.227080936956799</v>
      </c>
      <c r="K189">
        <v>23.8271888046831</v>
      </c>
      <c r="L189">
        <v>1.7785457400315023E-3</v>
      </c>
      <c r="M189">
        <v>8.0795864858419894E-4</v>
      </c>
      <c r="N189" s="1">
        <v>-3.4901478066404297E-5</v>
      </c>
      <c r="O189" s="1">
        <v>3.8225268321618702E-5</v>
      </c>
      <c r="P189" s="1">
        <v>-3.7106032369389497E-5</v>
      </c>
      <c r="AE189">
        <v>100</v>
      </c>
      <c r="AJ189">
        <v>1</v>
      </c>
    </row>
    <row r="190" spans="1:36" x14ac:dyDescent="0.2">
      <c r="A190">
        <v>189</v>
      </c>
      <c r="B190">
        <v>788</v>
      </c>
      <c r="C190">
        <v>120</v>
      </c>
      <c r="D190">
        <v>0.48573764312303003</v>
      </c>
      <c r="E190">
        <v>6.7576745448724997</v>
      </c>
      <c r="F190">
        <v>0.283230897658583</v>
      </c>
      <c r="G190">
        <v>-150.81199570408174</v>
      </c>
      <c r="H190">
        <v>-83.651138031346449</v>
      </c>
      <c r="I190">
        <v>63.294279629721103</v>
      </c>
      <c r="J190">
        <v>25.335985243482298</v>
      </c>
      <c r="K190">
        <v>23.8592420556405</v>
      </c>
      <c r="L190">
        <v>1.7831835650669375E-3</v>
      </c>
      <c r="M190">
        <v>8.0783691589447087E-4</v>
      </c>
      <c r="N190" s="1">
        <v>-3.5023333148595502E-5</v>
      </c>
      <c r="O190" s="1">
        <v>3.8301764370683601E-5</v>
      </c>
      <c r="P190" s="1">
        <v>-3.7308399183366798E-5</v>
      </c>
      <c r="AE190">
        <v>100</v>
      </c>
      <c r="AJ190">
        <v>1</v>
      </c>
    </row>
    <row r="191" spans="1:36" x14ac:dyDescent="0.2">
      <c r="A191">
        <v>190</v>
      </c>
      <c r="B191">
        <v>787</v>
      </c>
      <c r="C191">
        <v>120</v>
      </c>
      <c r="D191">
        <v>0.48518653020799002</v>
      </c>
      <c r="E191">
        <v>6.7787452050904697</v>
      </c>
      <c r="F191">
        <v>0.28373706119612702</v>
      </c>
      <c r="G191">
        <v>-151.21875301201223</v>
      </c>
      <c r="H191">
        <v>-83.937395211101915</v>
      </c>
      <c r="I191">
        <v>63.467657421288699</v>
      </c>
      <c r="J191">
        <v>25.445188872223302</v>
      </c>
      <c r="K191">
        <v>23.890940353416799</v>
      </c>
      <c r="L191">
        <v>1.7878410736811353E-3</v>
      </c>
      <c r="M191">
        <v>8.0771230209654844E-4</v>
      </c>
      <c r="N191" s="1">
        <v>-3.5143370176721503E-5</v>
      </c>
      <c r="O191" s="1">
        <v>3.8377817188439498E-5</v>
      </c>
      <c r="P191" s="1">
        <v>-3.7511884422226699E-5</v>
      </c>
      <c r="AE191">
        <v>100</v>
      </c>
      <c r="AJ191">
        <v>1</v>
      </c>
    </row>
    <row r="192" spans="1:36" x14ac:dyDescent="0.2">
      <c r="A192">
        <v>191</v>
      </c>
      <c r="B192">
        <v>786</v>
      </c>
      <c r="C192">
        <v>120</v>
      </c>
      <c r="D192">
        <v>0.48463437662276798</v>
      </c>
      <c r="E192">
        <v>6.7997918896339904</v>
      </c>
      <c r="F192">
        <v>0.28424545597738199</v>
      </c>
      <c r="G192">
        <v>-151.62460514348999</v>
      </c>
      <c r="H192">
        <v>-84.223543899080227</v>
      </c>
      <c r="I192">
        <v>63.640610397851098</v>
      </c>
      <c r="J192">
        <v>25.5546619053979</v>
      </c>
      <c r="K192">
        <v>23.922253624962199</v>
      </c>
      <c r="L192">
        <v>1.7925183159377025E-3</v>
      </c>
      <c r="M192">
        <v>8.0758476349095467E-4</v>
      </c>
      <c r="N192" s="1">
        <v>-3.5261485850210798E-5</v>
      </c>
      <c r="O192" s="1">
        <v>3.84533766964459E-5</v>
      </c>
      <c r="P192" s="1">
        <v>-3.7716452268831601E-5</v>
      </c>
      <c r="AE192">
        <v>100</v>
      </c>
      <c r="AJ192">
        <v>1</v>
      </c>
    </row>
    <row r="193" spans="1:36" x14ac:dyDescent="0.2">
      <c r="A193">
        <v>192</v>
      </c>
      <c r="B193">
        <v>785</v>
      </c>
      <c r="C193">
        <v>120</v>
      </c>
      <c r="D193">
        <v>0.48408117941691098</v>
      </c>
      <c r="E193">
        <v>6.8208063251551296</v>
      </c>
      <c r="F193">
        <v>0.28475609637648702</v>
      </c>
      <c r="G193">
        <v>-152.02936864188467</v>
      </c>
      <c r="H193">
        <v>-84.509481773513215</v>
      </c>
      <c r="I193">
        <v>63.8130606743809</v>
      </c>
      <c r="J193">
        <v>25.664375258256001</v>
      </c>
      <c r="K193">
        <v>23.953152933158101</v>
      </c>
      <c r="L193">
        <v>1.7972153405264684E-3</v>
      </c>
      <c r="M193">
        <v>8.0745425572730661E-4</v>
      </c>
      <c r="N193" s="1">
        <v>-3.5377576917889102E-5</v>
      </c>
      <c r="O193" s="1">
        <v>3.8528394470899001E-5</v>
      </c>
      <c r="P193" s="1">
        <v>-3.7922068006955597E-5</v>
      </c>
      <c r="AE193">
        <v>100</v>
      </c>
      <c r="AJ193">
        <v>1</v>
      </c>
    </row>
    <row r="194" spans="1:36" x14ac:dyDescent="0.2">
      <c r="A194">
        <v>193</v>
      </c>
      <c r="B194">
        <v>784</v>
      </c>
      <c r="C194">
        <v>120</v>
      </c>
      <c r="D194">
        <v>0.48352693562881199</v>
      </c>
      <c r="E194">
        <v>6.8417805202605599</v>
      </c>
      <c r="F194">
        <v>0.28526899686889101</v>
      </c>
      <c r="G194">
        <v>-152.43286664237138</v>
      </c>
      <c r="H194">
        <v>-84.795109884760564</v>
      </c>
      <c r="I194">
        <v>63.984933116925603</v>
      </c>
      <c r="J194">
        <v>25.7743007595165</v>
      </c>
      <c r="K194">
        <v>23.983610540773199</v>
      </c>
      <c r="L194">
        <v>1.801932194714001E-3</v>
      </c>
      <c r="M194">
        <v>8.0732073379517842E-4</v>
      </c>
      <c r="N194" s="1">
        <v>-3.5491540286976701E-5</v>
      </c>
      <c r="O194" s="1">
        <v>3.8602823849759199E-5</v>
      </c>
      <c r="P194" s="1">
        <v>-3.8128698143040698E-5</v>
      </c>
      <c r="AE194">
        <v>100</v>
      </c>
      <c r="AJ194">
        <v>1</v>
      </c>
    </row>
    <row r="195" spans="1:36" x14ac:dyDescent="0.2">
      <c r="A195">
        <v>194</v>
      </c>
      <c r="B195">
        <v>783</v>
      </c>
      <c r="C195">
        <v>120</v>
      </c>
      <c r="D195">
        <v>0.48297164228566197</v>
      </c>
      <c r="E195">
        <v>6.8627067827987496</v>
      </c>
      <c r="F195">
        <v>0.28578417203175899</v>
      </c>
      <c r="G195">
        <v>-152.83492924345148</v>
      </c>
      <c r="H195">
        <v>-85.080332874568953</v>
      </c>
      <c r="I195">
        <v>64.156155499807795</v>
      </c>
      <c r="J195">
        <v>25.884411220486101</v>
      </c>
      <c r="K195">
        <v>24.013599962548199</v>
      </c>
      <c r="L195">
        <v>1.806668924293265E-3</v>
      </c>
      <c r="M195">
        <v>8.0718415201496731E-4</v>
      </c>
      <c r="N195" s="1">
        <v>-3.5603273115498097E-5</v>
      </c>
      <c r="O195" s="1">
        <v>3.8676620021206903E-5</v>
      </c>
      <c r="P195" s="1">
        <v>-3.8336310512051903E-5</v>
      </c>
      <c r="AE195">
        <v>100</v>
      </c>
      <c r="AJ195">
        <v>1</v>
      </c>
    </row>
    <row r="196" spans="1:36" x14ac:dyDescent="0.2">
      <c r="A196">
        <v>195</v>
      </c>
      <c r="B196">
        <v>782</v>
      </c>
      <c r="C196">
        <v>120</v>
      </c>
      <c r="D196">
        <v>0.48241529640335601</v>
      </c>
      <c r="E196">
        <v>6.9398975091094997</v>
      </c>
      <c r="F196">
        <v>0.28630163654437002</v>
      </c>
      <c r="G196">
        <v>-154.48912889283423</v>
      </c>
      <c r="H196">
        <v>-86.063495510543476</v>
      </c>
      <c r="I196">
        <v>64.852963860876599</v>
      </c>
      <c r="J196">
        <v>26.207362707827599</v>
      </c>
      <c r="K196">
        <v>24.2398108263484</v>
      </c>
      <c r="L196">
        <v>1.811425573531809E-3</v>
      </c>
      <c r="M196">
        <v>8.0704446402858284E-4</v>
      </c>
      <c r="N196" s="1">
        <v>-3.6004865376099002E-5</v>
      </c>
      <c r="O196" s="1">
        <v>3.9066781134229201E-5</v>
      </c>
      <c r="P196" s="1">
        <v>-3.8860239245837602E-5</v>
      </c>
      <c r="AE196">
        <v>100</v>
      </c>
      <c r="AJ196">
        <v>1</v>
      </c>
    </row>
    <row r="197" spans="1:36" x14ac:dyDescent="0.2">
      <c r="A197">
        <v>196</v>
      </c>
      <c r="B197">
        <v>781</v>
      </c>
      <c r="C197">
        <v>120</v>
      </c>
      <c r="D197">
        <v>0.48185789498648202</v>
      </c>
      <c r="E197">
        <v>7.0409406976583702</v>
      </c>
      <c r="F197">
        <v>0.28682140518849802</v>
      </c>
      <c r="G197">
        <v>-156.67266774050097</v>
      </c>
      <c r="H197">
        <v>-87.343163831498529</v>
      </c>
      <c r="I197">
        <v>65.771980427484607</v>
      </c>
      <c r="J197">
        <v>26.621387684907699</v>
      </c>
      <c r="K197">
        <v>24.548170290955301</v>
      </c>
      <c r="L197">
        <v>1.8162021851189406E-3</v>
      </c>
      <c r="M197">
        <v>8.0690162279013376E-4</v>
      </c>
      <c r="N197" s="1">
        <v>-3.6528075283844398E-5</v>
      </c>
      <c r="O197" s="1">
        <v>3.9589964264709601E-5</v>
      </c>
      <c r="P197" s="1">
        <v>-3.9520840970702203E-5</v>
      </c>
      <c r="AE197">
        <v>100</v>
      </c>
      <c r="AJ197">
        <v>1</v>
      </c>
    </row>
    <row r="198" spans="1:36" x14ac:dyDescent="0.2">
      <c r="A198">
        <v>197</v>
      </c>
      <c r="B198">
        <v>780</v>
      </c>
      <c r="C198">
        <v>120</v>
      </c>
      <c r="D198">
        <v>0.48129943502824801</v>
      </c>
      <c r="E198">
        <v>7.1471320508792102</v>
      </c>
      <c r="F198">
        <v>0.28734349284878202</v>
      </c>
      <c r="G198">
        <v>-158.96885124449378</v>
      </c>
      <c r="H198">
        <v>-88.68751144854825</v>
      </c>
      <c r="I198">
        <v>66.738289724910203</v>
      </c>
      <c r="J198">
        <v>27.056018018435299</v>
      </c>
      <c r="K198">
        <v>24.8731299951186</v>
      </c>
      <c r="L198">
        <v>1.8209988001114386E-3</v>
      </c>
      <c r="M198">
        <v>8.0675558055645928E-4</v>
      </c>
      <c r="N198" s="1">
        <v>-3.7075721707184202E-5</v>
      </c>
      <c r="O198" s="1">
        <v>4.0140650488312302E-5</v>
      </c>
      <c r="P198" s="1">
        <v>-4.0213875832062497E-5</v>
      </c>
      <c r="AE198">
        <v>100</v>
      </c>
      <c r="AJ198">
        <v>1</v>
      </c>
    </row>
    <row r="199" spans="1:36" x14ac:dyDescent="0.2">
      <c r="A199">
        <v>198</v>
      </c>
      <c r="B199">
        <v>779</v>
      </c>
      <c r="C199">
        <v>120</v>
      </c>
      <c r="D199">
        <v>0.48073991351043299</v>
      </c>
      <c r="E199">
        <v>7.2613523290767503</v>
      </c>
      <c r="F199">
        <v>0.28786791451308702</v>
      </c>
      <c r="G199">
        <v>-161.44158427845048</v>
      </c>
      <c r="H199">
        <v>-90.132356215979968</v>
      </c>
      <c r="I199">
        <v>67.778723047256804</v>
      </c>
      <c r="J199">
        <v>27.5222531076965</v>
      </c>
      <c r="K199">
        <v>25.224597681749</v>
      </c>
      <c r="L199">
        <v>1.8258154578781908E-3</v>
      </c>
      <c r="M199">
        <v>8.0660628887763912E-4</v>
      </c>
      <c r="N199" s="1">
        <v>-3.7662588431209703E-5</v>
      </c>
      <c r="O199" s="1">
        <v>4.0734893945222398E-5</v>
      </c>
      <c r="P199" s="1">
        <v>-4.0955841359122099E-5</v>
      </c>
      <c r="AE199">
        <v>100</v>
      </c>
      <c r="AJ199">
        <v>1</v>
      </c>
    </row>
    <row r="200" spans="1:36" x14ac:dyDescent="0.2">
      <c r="A200">
        <v>199</v>
      </c>
      <c r="B200">
        <v>778</v>
      </c>
      <c r="C200">
        <v>120</v>
      </c>
      <c r="D200">
        <v>0.48017932740332298</v>
      </c>
      <c r="E200">
        <v>7.3895226645342396</v>
      </c>
      <c r="F200">
        <v>0.28839468527284501</v>
      </c>
      <c r="G200">
        <v>-164.22223248376841</v>
      </c>
      <c r="H200">
        <v>-91.751310337355704</v>
      </c>
      <c r="I200">
        <v>68.948438267659199</v>
      </c>
      <c r="J200">
        <v>28.042685190922398</v>
      </c>
      <c r="K200">
        <v>25.622950220261998</v>
      </c>
      <c r="L200">
        <v>1.8306521960434058E-3</v>
      </c>
      <c r="M200">
        <v>8.0645369858738634E-4</v>
      </c>
      <c r="N200" s="1">
        <v>-3.8319198801012399E-5</v>
      </c>
      <c r="O200" s="1">
        <v>4.1405709157237403E-5</v>
      </c>
      <c r="P200" s="1">
        <v>-4.1780587896954598E-5</v>
      </c>
      <c r="AE200">
        <v>100</v>
      </c>
      <c r="AJ200">
        <v>1</v>
      </c>
    </row>
    <row r="201" spans="1:36" x14ac:dyDescent="0.2">
      <c r="A201">
        <v>200</v>
      </c>
      <c r="B201">
        <v>777</v>
      </c>
      <c r="C201">
        <v>120</v>
      </c>
      <c r="D201">
        <v>0.47961767366567098</v>
      </c>
      <c r="E201">
        <v>7.5470486495940197</v>
      </c>
      <c r="F201">
        <v>0.28892382032339098</v>
      </c>
      <c r="G201">
        <v>-167.65263166076852</v>
      </c>
      <c r="H201">
        <v>-93.735875109138647</v>
      </c>
      <c r="I201">
        <v>70.390968372431601</v>
      </c>
      <c r="J201">
        <v>28.676056964367401</v>
      </c>
      <c r="K201">
        <v>26.121240682566899</v>
      </c>
      <c r="L201">
        <v>1.835509050428558E-3</v>
      </c>
      <c r="M201">
        <v>8.0629775979336677E-4</v>
      </c>
      <c r="N201" s="1">
        <v>-3.9125190963336197E-5</v>
      </c>
      <c r="O201" s="1">
        <v>4.2239037234764303E-5</v>
      </c>
      <c r="P201" s="1">
        <v>-4.2776057425997102E-5</v>
      </c>
      <c r="AE201">
        <v>100</v>
      </c>
      <c r="AJ201">
        <v>1</v>
      </c>
    </row>
    <row r="202" spans="1:36" x14ac:dyDescent="0.2">
      <c r="A202">
        <v>201</v>
      </c>
      <c r="B202">
        <v>776</v>
      </c>
      <c r="C202">
        <v>120</v>
      </c>
      <c r="D202">
        <v>0.47905494924462999</v>
      </c>
      <c r="E202">
        <v>7.95108274022712</v>
      </c>
      <c r="F202">
        <v>0.289455334964271</v>
      </c>
      <c r="G202">
        <v>-176.55383343100399</v>
      </c>
      <c r="H202">
        <v>-98.784290537261981</v>
      </c>
      <c r="I202">
        <v>74.130575219499903</v>
      </c>
      <c r="J202">
        <v>30.24892684244</v>
      </c>
      <c r="K202">
        <v>27.4691179598004</v>
      </c>
      <c r="L202">
        <v>1.8403860549930132E-3</v>
      </c>
      <c r="M202">
        <v>8.0613842186747896E-4</v>
      </c>
      <c r="N202" s="1">
        <v>-4.1205590571477798E-5</v>
      </c>
      <c r="O202" s="1">
        <v>4.4448221422306101E-5</v>
      </c>
      <c r="P202" s="1">
        <v>-4.5177372283093003E-5</v>
      </c>
      <c r="AE202">
        <v>100</v>
      </c>
      <c r="AJ202">
        <v>1</v>
      </c>
    </row>
    <row r="203" spans="1:36" x14ac:dyDescent="0.2">
      <c r="A203">
        <v>202</v>
      </c>
      <c r="B203">
        <v>775</v>
      </c>
      <c r="C203">
        <v>120</v>
      </c>
      <c r="D203">
        <v>0.478491151075708</v>
      </c>
      <c r="E203">
        <v>8.7305811866957104</v>
      </c>
      <c r="F203">
        <v>0.28998924459955</v>
      </c>
      <c r="G203">
        <v>-193.78121821610372</v>
      </c>
      <c r="H203">
        <v>-108.50201823828408</v>
      </c>
      <c r="I203">
        <v>81.366403809086194</v>
      </c>
      <c r="J203">
        <v>33.256045847220904</v>
      </c>
      <c r="K203">
        <v>30.1065689479341</v>
      </c>
      <c r="L203">
        <v>1.8452832417732504E-3</v>
      </c>
      <c r="M203">
        <v>8.0597563343600374E-4</v>
      </c>
      <c r="N203" s="1">
        <v>-4.5226624718305499E-5</v>
      </c>
      <c r="O203" s="1">
        <v>4.8748441255599301E-5</v>
      </c>
      <c r="P203" s="1">
        <v>-4.9729558724213201E-5</v>
      </c>
      <c r="AE203">
        <v>100</v>
      </c>
      <c r="AJ203">
        <v>1</v>
      </c>
    </row>
    <row r="204" spans="1:36" x14ac:dyDescent="0.2">
      <c r="A204">
        <v>203</v>
      </c>
      <c r="B204">
        <v>774</v>
      </c>
      <c r="C204">
        <v>120</v>
      </c>
      <c r="D204">
        <v>0.47792627608270499</v>
      </c>
      <c r="E204">
        <v>9.5628058101392899</v>
      </c>
      <c r="F204">
        <v>0.29052556473809499</v>
      </c>
      <c r="G204">
        <v>-212.16390759577067</v>
      </c>
      <c r="H204">
        <v>-118.88119808087617</v>
      </c>
      <c r="I204">
        <v>89.087697024879503</v>
      </c>
      <c r="J204">
        <v>36.471942328343701</v>
      </c>
      <c r="K204">
        <v>32.915539872575501</v>
      </c>
      <c r="L204">
        <v>1.8502006408207324E-3</v>
      </c>
      <c r="M204">
        <v>8.0580934236973141E-4</v>
      </c>
      <c r="N204" s="1">
        <v>-4.9513934146554101E-5</v>
      </c>
      <c r="O204" s="1">
        <v>5.3332330770947501E-5</v>
      </c>
      <c r="P204" s="1">
        <v>-5.4605857389265701E-5</v>
      </c>
      <c r="AE204">
        <v>100</v>
      </c>
      <c r="AJ204">
        <v>1</v>
      </c>
    </row>
    <row r="205" spans="1:36" x14ac:dyDescent="0.2">
      <c r="A205">
        <v>204</v>
      </c>
      <c r="B205">
        <v>773</v>
      </c>
      <c r="C205">
        <v>120</v>
      </c>
      <c r="D205">
        <v>0.47736032117765198</v>
      </c>
      <c r="E205">
        <v>10.059389926449199</v>
      </c>
      <c r="F205">
        <v>0.291064310993839</v>
      </c>
      <c r="G205">
        <v>-223.08760886824811</v>
      </c>
      <c r="H205">
        <v>-125.09293477779022</v>
      </c>
      <c r="I205">
        <v>93.677226679817494</v>
      </c>
      <c r="J205">
        <v>38.414363860944</v>
      </c>
      <c r="K205">
        <v>34.560712346015301</v>
      </c>
      <c r="L205">
        <v>1.8551382801383061E-3</v>
      </c>
      <c r="M205">
        <v>8.0563949577398179E-4</v>
      </c>
      <c r="N205" s="1">
        <v>-5.2056389477533901E-5</v>
      </c>
      <c r="O205" s="1">
        <v>5.60354261358329E-5</v>
      </c>
      <c r="P205" s="1">
        <v>-5.75855722760888E-5</v>
      </c>
      <c r="AE205">
        <v>100</v>
      </c>
      <c r="AJ205">
        <v>1</v>
      </c>
    </row>
    <row r="206" spans="1:36" x14ac:dyDescent="0.2">
      <c r="A206">
        <v>205</v>
      </c>
      <c r="B206">
        <v>772</v>
      </c>
      <c r="C206">
        <v>120</v>
      </c>
      <c r="D206">
        <v>0.47679328326077502</v>
      </c>
      <c r="E206">
        <v>10.349767737010101</v>
      </c>
      <c r="F206">
        <v>0.291605499086037</v>
      </c>
      <c r="G206">
        <v>-229.43097009749872</v>
      </c>
      <c r="H206">
        <v>-128.74345877306411</v>
      </c>
      <c r="I206">
        <v>96.343523988979797</v>
      </c>
      <c r="J206">
        <v>39.573403385542498</v>
      </c>
      <c r="K206">
        <v>35.492361321884502</v>
      </c>
      <c r="L206">
        <v>1.8600961856152852E-3</v>
      </c>
      <c r="M206">
        <v>8.0546603997860443E-4</v>
      </c>
      <c r="N206" s="1">
        <v>-5.35256334856085E-5</v>
      </c>
      <c r="O206" s="1">
        <v>5.7584497737449099E-5</v>
      </c>
      <c r="P206" s="1">
        <v>-5.9397275533820099E-5</v>
      </c>
      <c r="AE206">
        <v>100</v>
      </c>
      <c r="AJ206">
        <v>1</v>
      </c>
    </row>
    <row r="207" spans="1:36" x14ac:dyDescent="0.2">
      <c r="A207">
        <v>206</v>
      </c>
      <c r="B207">
        <v>771</v>
      </c>
      <c r="C207">
        <v>120</v>
      </c>
      <c r="D207">
        <v>0.47622515922041903</v>
      </c>
      <c r="E207">
        <v>10.489103618952999</v>
      </c>
      <c r="F207">
        <v>0.292149144839498</v>
      </c>
      <c r="G207">
        <v>-232.42211046611811</v>
      </c>
      <c r="H207">
        <v>-130.51682583160101</v>
      </c>
      <c r="I207">
        <v>97.602152127292598</v>
      </c>
      <c r="J207">
        <v>40.157282791301</v>
      </c>
      <c r="K207">
        <v>35.903249433489201</v>
      </c>
      <c r="L207">
        <v>1.8650743809609808E-3</v>
      </c>
      <c r="M207">
        <v>8.0528892052785927E-4</v>
      </c>
      <c r="N207" s="1">
        <v>-5.4208348035061803E-5</v>
      </c>
      <c r="O207" s="1">
        <v>5.8290181336658701E-5</v>
      </c>
      <c r="P207" s="1">
        <v>-6.0349533708319998E-5</v>
      </c>
      <c r="AE207">
        <v>100</v>
      </c>
      <c r="AJ207">
        <v>1</v>
      </c>
    </row>
    <row r="208" spans="1:36" x14ac:dyDescent="0.2">
      <c r="A208">
        <v>207</v>
      </c>
      <c r="B208">
        <v>804</v>
      </c>
      <c r="C208">
        <v>100</v>
      </c>
      <c r="D208">
        <v>0.514840551455232</v>
      </c>
      <c r="E208">
        <v>7.12562551141587</v>
      </c>
      <c r="F208">
        <v>0.22945216523124601</v>
      </c>
      <c r="G208">
        <v>-160.66027374780751</v>
      </c>
      <c r="H208">
        <v>-87.305519004046246</v>
      </c>
      <c r="I208">
        <v>68.104565254832096</v>
      </c>
      <c r="J208">
        <v>25.261570039314599</v>
      </c>
      <c r="K208">
        <v>31.0549499684804</v>
      </c>
      <c r="L208">
        <v>1.7020397708502972E-3</v>
      </c>
      <c r="M208">
        <v>1.0280661530613887E-3</v>
      </c>
      <c r="N208" s="1">
        <v>-5.3840600743821401E-5</v>
      </c>
      <c r="O208" s="1">
        <v>7.2434006779457697E-5</v>
      </c>
      <c r="P208" s="1">
        <v>-4.8488984090647398E-5</v>
      </c>
      <c r="AE208">
        <v>100</v>
      </c>
      <c r="AJ208">
        <v>1</v>
      </c>
    </row>
    <row r="209" spans="1:36" x14ac:dyDescent="0.2">
      <c r="A209">
        <v>208</v>
      </c>
      <c r="B209">
        <v>803</v>
      </c>
      <c r="C209">
        <v>100</v>
      </c>
      <c r="D209">
        <v>0.51432467592807896</v>
      </c>
      <c r="E209">
        <v>7.1433940939398299</v>
      </c>
      <c r="F209">
        <v>0.22984356758284999</v>
      </c>
      <c r="G209">
        <v>-160.99263634532576</v>
      </c>
      <c r="H209">
        <v>-87.548563956778565</v>
      </c>
      <c r="I209">
        <v>68.250857480186198</v>
      </c>
      <c r="J209">
        <v>25.352281229035999</v>
      </c>
      <c r="K209">
        <v>31.079373545508901</v>
      </c>
      <c r="L209">
        <v>1.7066826369477757E-3</v>
      </c>
      <c r="M209">
        <v>1.0282543205539789E-3</v>
      </c>
      <c r="N209" s="1">
        <v>-5.4150647810034899E-5</v>
      </c>
      <c r="O209" s="1">
        <v>7.2551184892194698E-5</v>
      </c>
      <c r="P209" s="1">
        <v>-4.8701022225645302E-5</v>
      </c>
      <c r="AE209">
        <v>100</v>
      </c>
      <c r="AJ209">
        <v>1</v>
      </c>
    </row>
    <row r="210" spans="1:36" x14ac:dyDescent="0.2">
      <c r="A210">
        <v>209</v>
      </c>
      <c r="B210">
        <v>802</v>
      </c>
      <c r="C210">
        <v>100</v>
      </c>
      <c r="D210">
        <v>0.51380784076640695</v>
      </c>
      <c r="E210">
        <v>7.1611502348499902</v>
      </c>
      <c r="F210">
        <v>0.23023670936889501</v>
      </c>
      <c r="G210">
        <v>-161.32440268364846</v>
      </c>
      <c r="H210">
        <v>-87.791610316932804</v>
      </c>
      <c r="I210">
        <v>68.396865941147695</v>
      </c>
      <c r="J210">
        <v>25.4432719461579</v>
      </c>
      <c r="K210">
        <v>31.103425055368</v>
      </c>
      <c r="L210">
        <v>1.7113500245243779E-3</v>
      </c>
      <c r="M210">
        <v>1.0284419768289898E-3</v>
      </c>
      <c r="N210" s="1">
        <v>-5.4461599883259602E-5</v>
      </c>
      <c r="O210" s="1">
        <v>7.2667905439454994E-5</v>
      </c>
      <c r="P210" s="1">
        <v>-4.8914189000162803E-5</v>
      </c>
      <c r="AE210">
        <v>100</v>
      </c>
      <c r="AJ210">
        <v>1</v>
      </c>
    </row>
    <row r="211" spans="1:36" x14ac:dyDescent="0.2">
      <c r="A211">
        <v>210</v>
      </c>
      <c r="B211">
        <v>801</v>
      </c>
      <c r="C211">
        <v>100</v>
      </c>
      <c r="D211">
        <v>0.51329004329004402</v>
      </c>
      <c r="E211">
        <v>7.1788871870242303</v>
      </c>
      <c r="F211">
        <v>0.23063160290234599</v>
      </c>
      <c r="G211">
        <v>-161.6554214102469</v>
      </c>
      <c r="H211">
        <v>-88.034575606495508</v>
      </c>
      <c r="I211">
        <v>68.542525721578897</v>
      </c>
      <c r="J211">
        <v>25.5345208115465</v>
      </c>
      <c r="K211">
        <v>31.127074939785601</v>
      </c>
      <c r="L211">
        <v>1.7160420976163472E-3</v>
      </c>
      <c r="M211">
        <v>1.0286291014584669E-3</v>
      </c>
      <c r="N211" s="1">
        <v>-5.4773388896823103E-5</v>
      </c>
      <c r="O211" s="1">
        <v>7.2784099867340105E-5</v>
      </c>
      <c r="P211" s="1">
        <v>-4.9128452197524198E-5</v>
      </c>
      <c r="AE211">
        <v>100</v>
      </c>
      <c r="AJ211">
        <v>1</v>
      </c>
    </row>
    <row r="212" spans="1:36" x14ac:dyDescent="0.2">
      <c r="A212">
        <v>211</v>
      </c>
      <c r="B212">
        <v>800</v>
      </c>
      <c r="C212">
        <v>100</v>
      </c>
      <c r="D212">
        <v>0.51277128080883805</v>
      </c>
      <c r="E212">
        <v>7.19659839424315</v>
      </c>
      <c r="F212">
        <v>0.23102826060898499</v>
      </c>
      <c r="G212">
        <v>-161.98554572768131</v>
      </c>
      <c r="H212">
        <v>-88.2773795960711</v>
      </c>
      <c r="I212">
        <v>68.687773812731805</v>
      </c>
      <c r="J212">
        <v>25.626007040880399</v>
      </c>
      <c r="K212">
        <v>31.150294666432</v>
      </c>
      <c r="L212">
        <v>1.7207590212170441E-3</v>
      </c>
      <c r="M212">
        <v>1.0288156735918177E-3</v>
      </c>
      <c r="N212" s="1">
        <v>-5.5085946901295301E-5</v>
      </c>
      <c r="O212" s="1">
        <v>7.2899701782869997E-5</v>
      </c>
      <c r="P212" s="1">
        <v>-4.93437807587293E-5</v>
      </c>
      <c r="AE212">
        <v>100</v>
      </c>
      <c r="AJ212">
        <v>1</v>
      </c>
    </row>
    <row r="213" spans="1:36" x14ac:dyDescent="0.2">
      <c r="A213">
        <v>212</v>
      </c>
      <c r="B213">
        <v>799</v>
      </c>
      <c r="C213">
        <v>100</v>
      </c>
      <c r="D213">
        <v>0.51225155062258299</v>
      </c>
      <c r="E213">
        <v>7.2142775069785499</v>
      </c>
      <c r="F213">
        <v>0.23142669502858401</v>
      </c>
      <c r="G213">
        <v>-162.31463373949754</v>
      </c>
      <c r="H213">
        <v>-88.519944501762069</v>
      </c>
      <c r="I213">
        <v>68.832549261140997</v>
      </c>
      <c r="J213">
        <v>25.717710503073</v>
      </c>
      <c r="K213">
        <v>31.173056790563699</v>
      </c>
      <c r="L213">
        <v>1.72550096127192E-3</v>
      </c>
      <c r="M213">
        <v>1.0290016719472299E-3</v>
      </c>
      <c r="N213" s="1">
        <v>-5.5399206189523303E-5</v>
      </c>
      <c r="O213" s="1">
        <v>7.3014647105041795E-5</v>
      </c>
      <c r="P213" s="1">
        <v>-4.9560144899207799E-5</v>
      </c>
      <c r="AE213">
        <v>100</v>
      </c>
      <c r="AJ213">
        <v>1</v>
      </c>
    </row>
    <row r="214" spans="1:36" x14ac:dyDescent="0.2">
      <c r="A214">
        <v>213</v>
      </c>
      <c r="B214">
        <v>798</v>
      </c>
      <c r="C214">
        <v>100</v>
      </c>
      <c r="D214">
        <v>0.51173085002101004</v>
      </c>
      <c r="E214">
        <v>7.23191839634808</v>
      </c>
      <c r="F214">
        <v>0.231826918816084</v>
      </c>
      <c r="G214">
        <v>-162.642548753988</v>
      </c>
      <c r="H214">
        <v>-88.762195159891363</v>
      </c>
      <c r="I214">
        <v>68.976793298691703</v>
      </c>
      <c r="J214">
        <v>25.809611772571099</v>
      </c>
      <c r="K214">
        <v>31.195335008034</v>
      </c>
      <c r="L214">
        <v>1.7302680846730345E-3</v>
      </c>
      <c r="M214">
        <v>1.0291870748029344E-3</v>
      </c>
      <c r="N214" s="1">
        <v>-5.5713099409762303E-5</v>
      </c>
      <c r="O214" s="1">
        <v>7.3128874196489105E-5</v>
      </c>
      <c r="P214" s="1">
        <v>-4.9777516214396202E-5</v>
      </c>
      <c r="AE214">
        <v>100</v>
      </c>
      <c r="AJ214">
        <v>1</v>
      </c>
    </row>
    <row r="215" spans="1:36" x14ac:dyDescent="0.2">
      <c r="A215">
        <v>214</v>
      </c>
      <c r="B215">
        <v>797</v>
      </c>
      <c r="C215">
        <v>100</v>
      </c>
      <c r="D215">
        <v>0.511209176283699</v>
      </c>
      <c r="E215">
        <v>7.2495151653953798</v>
      </c>
      <c r="F215">
        <v>0.23222894474278999</v>
      </c>
      <c r="G215">
        <v>-162.96915952704239</v>
      </c>
      <c r="H215">
        <v>-89.004059169197276</v>
      </c>
      <c r="I215">
        <v>69.120449446894298</v>
      </c>
      <c r="J215">
        <v>25.9016921724896</v>
      </c>
      <c r="K215">
        <v>31.217104196140099</v>
      </c>
      <c r="L215">
        <v>1.7350605592530305E-3</v>
      </c>
      <c r="M215">
        <v>1.0293718599882406E-3</v>
      </c>
      <c r="N215" s="1">
        <v>-5.6027559660057099E-5</v>
      </c>
      <c r="O215" s="1">
        <v>7.3242323967360304E-5</v>
      </c>
      <c r="P215" s="1">
        <v>-4.99958677682156E-5</v>
      </c>
      <c r="AE215">
        <v>100</v>
      </c>
      <c r="AJ215">
        <v>1</v>
      </c>
    </row>
    <row r="216" spans="1:36" x14ac:dyDescent="0.2">
      <c r="A216">
        <v>215</v>
      </c>
      <c r="B216">
        <v>796</v>
      </c>
      <c r="C216">
        <v>100</v>
      </c>
      <c r="D216">
        <v>0.51068652668007097</v>
      </c>
      <c r="E216">
        <v>7.2670621583661799</v>
      </c>
      <c r="F216">
        <v>0.23263278569757001</v>
      </c>
      <c r="G216">
        <v>-163.29434045932868</v>
      </c>
      <c r="H216">
        <v>-89.245467008666139</v>
      </c>
      <c r="I216">
        <v>69.263463601812902</v>
      </c>
      <c r="J216">
        <v>25.993933810923401</v>
      </c>
      <c r="K216">
        <v>31.2383404453299</v>
      </c>
      <c r="L216">
        <v>1.7398785537786593E-3</v>
      </c>
      <c r="M216">
        <v>1.0295560048744362E-3</v>
      </c>
      <c r="N216" s="1">
        <v>-5.63425205686155E-5</v>
      </c>
      <c r="O216" s="1">
        <v>7.3354939958352502E-5</v>
      </c>
      <c r="P216" s="1">
        <v>-5.0215174168863501E-5</v>
      </c>
      <c r="AE216">
        <v>100</v>
      </c>
      <c r="AJ216">
        <v>1</v>
      </c>
    </row>
    <row r="217" spans="1:36" x14ac:dyDescent="0.2">
      <c r="A217">
        <v>216</v>
      </c>
      <c r="B217">
        <v>795</v>
      </c>
      <c r="C217">
        <v>100</v>
      </c>
      <c r="D217">
        <v>0.51016289846931695</v>
      </c>
      <c r="E217">
        <v>7.2845539676398898</v>
      </c>
      <c r="F217">
        <v>0.23303845468807499</v>
      </c>
      <c r="G217">
        <v>-163.61797174029596</v>
      </c>
      <c r="H217">
        <v>-89.486352126776382</v>
      </c>
      <c r="I217">
        <v>69.405784096449594</v>
      </c>
      <c r="J217">
        <v>26.086319609145001</v>
      </c>
      <c r="K217">
        <v>31.259021080406399</v>
      </c>
      <c r="L217">
        <v>1.74472223794373E-3</v>
      </c>
      <c r="M217">
        <v>1.0297394863654624E-3</v>
      </c>
      <c r="N217" s="1">
        <v>-5.6657916357164997E-5</v>
      </c>
      <c r="O217" s="1">
        <v>7.3466668399582905E-5</v>
      </c>
      <c r="P217" s="1">
        <v>-5.0435411629401003E-5</v>
      </c>
      <c r="AE217">
        <v>100</v>
      </c>
      <c r="AJ217">
        <v>1</v>
      </c>
    </row>
    <row r="218" spans="1:36" x14ac:dyDescent="0.2">
      <c r="A218">
        <v>217</v>
      </c>
      <c r="B218">
        <v>794</v>
      </c>
      <c r="C218">
        <v>100</v>
      </c>
      <c r="D218">
        <v>0.50963828890034402</v>
      </c>
      <c r="E218">
        <v>7.3019854388699796</v>
      </c>
      <c r="F218">
        <v>0.23344596484196101</v>
      </c>
      <c r="G218">
        <v>-163.93993945157888</v>
      </c>
      <c r="H218">
        <v>-89.726651008892887</v>
      </c>
      <c r="I218">
        <v>69.547361745909498</v>
      </c>
      <c r="J218">
        <v>26.1788333236412</v>
      </c>
      <c r="K218">
        <v>31.279124673725899</v>
      </c>
      <c r="L218">
        <v>1.7495917823615171E-3</v>
      </c>
      <c r="M218">
        <v>1.029922280888413E-3</v>
      </c>
      <c r="N218" s="1">
        <v>-5.6973681891167099E-5</v>
      </c>
      <c r="O218" s="1">
        <v>7.3577458251031594E-5</v>
      </c>
      <c r="P218" s="1">
        <v>-5.0656558016791497E-5</v>
      </c>
      <c r="AE218">
        <v>100</v>
      </c>
      <c r="AJ218">
        <v>1</v>
      </c>
    </row>
    <row r="219" spans="1:36" x14ac:dyDescent="0.2">
      <c r="A219">
        <v>218</v>
      </c>
      <c r="B219">
        <v>793</v>
      </c>
      <c r="C219">
        <v>100</v>
      </c>
      <c r="D219">
        <v>0.50911269521174396</v>
      </c>
      <c r="E219">
        <v>7.3327494995744198</v>
      </c>
      <c r="F219">
        <v>0.233855329408134</v>
      </c>
      <c r="G219">
        <v>-164.56080824263097</v>
      </c>
      <c r="H219">
        <v>-90.130983492525829</v>
      </c>
      <c r="I219">
        <v>69.815711672514297</v>
      </c>
      <c r="J219">
        <v>26.319548578486099</v>
      </c>
      <c r="K219">
        <v>31.355922134137</v>
      </c>
      <c r="L219">
        <v>1.7544873585566324E-3</v>
      </c>
      <c r="M219">
        <v>1.0301043643838345E-3</v>
      </c>
      <c r="N219" s="1">
        <v>-5.7394619667809503E-5</v>
      </c>
      <c r="O219" s="1">
        <v>7.3822143259606095E-5</v>
      </c>
      <c r="P219" s="1">
        <v>-5.09717244296088E-5</v>
      </c>
      <c r="AE219">
        <v>100</v>
      </c>
      <c r="AJ219">
        <v>1</v>
      </c>
    </row>
    <row r="220" spans="1:36" x14ac:dyDescent="0.2">
      <c r="A220">
        <v>219</v>
      </c>
      <c r="B220">
        <v>792</v>
      </c>
      <c r="C220">
        <v>100</v>
      </c>
      <c r="D220">
        <v>0.50858611463174297</v>
      </c>
      <c r="E220">
        <v>7.4201289735940401</v>
      </c>
      <c r="F220">
        <v>0.23426656175799099</v>
      </c>
      <c r="G220">
        <v>-166.45113422977403</v>
      </c>
      <c r="H220">
        <v>-91.231662831518136</v>
      </c>
      <c r="I220">
        <v>70.622651881615397</v>
      </c>
      <c r="J220">
        <v>26.664171853459798</v>
      </c>
      <c r="K220">
        <v>31.673871498824301</v>
      </c>
      <c r="L220">
        <v>1.7594091389562807E-3</v>
      </c>
      <c r="M220">
        <v>1.0302857122958351E-3</v>
      </c>
      <c r="N220" s="1">
        <v>-5.8261542678197603E-5</v>
      </c>
      <c r="O220" s="1">
        <v>7.4635728882498702E-5</v>
      </c>
      <c r="P220" s="1">
        <v>-5.1682962106328299E-5</v>
      </c>
      <c r="AE220">
        <v>100</v>
      </c>
      <c r="AJ220">
        <v>1</v>
      </c>
    </row>
    <row r="221" spans="1:36" x14ac:dyDescent="0.2">
      <c r="A221">
        <v>220</v>
      </c>
      <c r="B221">
        <v>791</v>
      </c>
      <c r="C221">
        <v>100</v>
      </c>
      <c r="D221">
        <v>0.50805854437814801</v>
      </c>
      <c r="E221">
        <v>7.5110417186168901</v>
      </c>
      <c r="F221">
        <v>0.23467967538668999</v>
      </c>
      <c r="G221">
        <v>-168.41904799129605</v>
      </c>
      <c r="H221">
        <v>-92.376456092958847</v>
      </c>
      <c r="I221">
        <v>71.462566534454098</v>
      </c>
      <c r="J221">
        <v>27.022447981123701</v>
      </c>
      <c r="K221">
        <v>32.005505829342297</v>
      </c>
      <c r="L221">
        <v>1.7643572968809099E-3</v>
      </c>
      <c r="M221">
        <v>1.030466299561963E-3</v>
      </c>
      <c r="N221" s="1">
        <v>-5.9160513587325001E-5</v>
      </c>
      <c r="O221" s="1">
        <v>7.5483244522680297E-5</v>
      </c>
      <c r="P221" s="1">
        <v>-5.2422210848655098E-5</v>
      </c>
      <c r="AE221">
        <v>100</v>
      </c>
      <c r="AJ221">
        <v>1</v>
      </c>
    </row>
    <row r="222" spans="1:36" x14ac:dyDescent="0.2">
      <c r="A222">
        <v>221</v>
      </c>
      <c r="B222">
        <v>790</v>
      </c>
      <c r="C222">
        <v>100</v>
      </c>
      <c r="D222">
        <v>0.507529981658283</v>
      </c>
      <c r="E222">
        <v>7.6071589877276899</v>
      </c>
      <c r="F222">
        <v>0.23509468391441601</v>
      </c>
      <c r="G222">
        <v>-170.5019080117948</v>
      </c>
      <c r="H222">
        <v>-93.585963094402246</v>
      </c>
      <c r="I222">
        <v>72.351312797722201</v>
      </c>
      <c r="J222">
        <v>27.4004505276563</v>
      </c>
      <c r="K222">
        <v>32.357851998461101</v>
      </c>
      <c r="L222">
        <v>1.7693320065342221E-3</v>
      </c>
      <c r="M222">
        <v>1.0306461006029024E-3</v>
      </c>
      <c r="N222" s="1">
        <v>-6.01049707275077E-5</v>
      </c>
      <c r="O222" s="1">
        <v>7.6381375027235096E-5</v>
      </c>
      <c r="P222" s="1">
        <v>-5.3201352064635001E-5</v>
      </c>
      <c r="AE222">
        <v>100</v>
      </c>
      <c r="AJ222">
        <v>1</v>
      </c>
    </row>
    <row r="223" spans="1:36" x14ac:dyDescent="0.2">
      <c r="A223">
        <v>222</v>
      </c>
      <c r="B223">
        <v>789</v>
      </c>
      <c r="C223">
        <v>100</v>
      </c>
      <c r="D223">
        <v>0.50700042366897302</v>
      </c>
      <c r="E223">
        <v>7.7114441348796801</v>
      </c>
      <c r="F223">
        <v>0.23551160108767</v>
      </c>
      <c r="G223">
        <v>-172.76595730157445</v>
      </c>
      <c r="H223">
        <v>-94.896708387240508</v>
      </c>
      <c r="I223">
        <v>73.317009721983496</v>
      </c>
      <c r="J223">
        <v>27.808941800492601</v>
      </c>
      <c r="K223">
        <v>32.743372722471698</v>
      </c>
      <c r="L223">
        <v>1.7743334429925809E-3</v>
      </c>
      <c r="M223">
        <v>1.0308250893119599E-3</v>
      </c>
      <c r="N223" s="1">
        <v>-6.1118755577583796E-5</v>
      </c>
      <c r="O223" s="1">
        <v>7.7359707634879095E-5</v>
      </c>
      <c r="P223" s="1">
        <v>-5.4041421411584698E-5</v>
      </c>
      <c r="AE223">
        <v>100</v>
      </c>
      <c r="AJ223">
        <v>1</v>
      </c>
    </row>
    <row r="224" spans="1:36" x14ac:dyDescent="0.2">
      <c r="A224">
        <v>223</v>
      </c>
      <c r="B224">
        <v>788</v>
      </c>
      <c r="C224">
        <v>100</v>
      </c>
      <c r="D224">
        <v>0.50646986759647905</v>
      </c>
      <c r="E224">
        <v>7.8298318290792199</v>
      </c>
      <c r="F224">
        <v>0.23593044078056399</v>
      </c>
      <c r="G224">
        <v>-175.34386692384294</v>
      </c>
      <c r="H224">
        <v>-96.381835039497389</v>
      </c>
      <c r="I224">
        <v>74.415975681972299</v>
      </c>
      <c r="J224">
        <v>28.2694638276135</v>
      </c>
      <c r="K224">
        <v>33.187035141267003</v>
      </c>
      <c r="L224">
        <v>1.779361782193686E-3</v>
      </c>
      <c r="M224">
        <v>1.0310032390443114E-3</v>
      </c>
      <c r="N224" s="1">
        <v>-6.2249621377016796E-5</v>
      </c>
      <c r="O224" s="1">
        <v>7.8477504862208206E-5</v>
      </c>
      <c r="P224" s="1">
        <v>-5.4984496706203302E-5</v>
      </c>
      <c r="AE224">
        <v>100</v>
      </c>
      <c r="AJ224">
        <v>1</v>
      </c>
    </row>
    <row r="225" spans="1:36" x14ac:dyDescent="0.2">
      <c r="A225">
        <v>224</v>
      </c>
      <c r="B225">
        <v>787</v>
      </c>
      <c r="C225">
        <v>100</v>
      </c>
      <c r="D225">
        <v>0.50593831061642502</v>
      </c>
      <c r="E225">
        <v>7.9765321524214796</v>
      </c>
      <c r="F225">
        <v>0.23635121699612699</v>
      </c>
      <c r="G225">
        <v>-178.55332626146583</v>
      </c>
      <c r="H225">
        <v>-98.216468745363812</v>
      </c>
      <c r="I225">
        <v>75.783070487775106</v>
      </c>
      <c r="J225">
        <v>28.833576659174501</v>
      </c>
      <c r="K225">
        <v>33.748640069630603</v>
      </c>
      <c r="L225">
        <v>1.7844172009245506E-3</v>
      </c>
      <c r="M225">
        <v>1.0311805226060275E-3</v>
      </c>
      <c r="N225" s="1">
        <v>-6.3611896661085697E-5</v>
      </c>
      <c r="O225" s="1">
        <v>7.9876686868288896E-5</v>
      </c>
      <c r="P225" s="1">
        <v>-5.6131244040282301E-5</v>
      </c>
      <c r="AE225">
        <v>100</v>
      </c>
      <c r="AJ225">
        <v>1</v>
      </c>
    </row>
    <row r="226" spans="1:36" x14ac:dyDescent="0.2">
      <c r="A226">
        <v>225</v>
      </c>
      <c r="B226">
        <v>786</v>
      </c>
      <c r="C226">
        <v>100</v>
      </c>
      <c r="D226">
        <v>0.50540574989378495</v>
      </c>
      <c r="E226">
        <v>8.2204133596515003</v>
      </c>
      <c r="F226">
        <v>0.23677394386762701</v>
      </c>
      <c r="G226">
        <v>-183.93447983123247</v>
      </c>
      <c r="H226">
        <v>-101.24915473401228</v>
      </c>
      <c r="I226">
        <v>78.072066584086997</v>
      </c>
      <c r="J226">
        <v>29.750906200542602</v>
      </c>
      <c r="K226">
        <v>34.718403661203801</v>
      </c>
      <c r="L226">
        <v>1.7894998768088176E-3</v>
      </c>
      <c r="M226">
        <v>1.0313569122429199E-3</v>
      </c>
      <c r="N226" s="1">
        <v>-6.5758533627527098E-5</v>
      </c>
      <c r="O226" s="1">
        <v>8.22455230299821E-5</v>
      </c>
      <c r="P226" s="1">
        <v>-5.7968616818725299E-5</v>
      </c>
      <c r="AE226">
        <v>100</v>
      </c>
      <c r="AJ226">
        <v>1</v>
      </c>
    </row>
    <row r="227" spans="1:36" x14ac:dyDescent="0.2">
      <c r="A227">
        <v>226</v>
      </c>
      <c r="B227">
        <v>785</v>
      </c>
      <c r="C227">
        <v>100</v>
      </c>
      <c r="D227">
        <v>0.50487218258281097</v>
      </c>
      <c r="E227">
        <v>8.5779416171162595</v>
      </c>
      <c r="F227">
        <v>0.23719863565989899</v>
      </c>
      <c r="G227">
        <v>-191.8528403985126</v>
      </c>
      <c r="H227">
        <v>-105.68382097122533</v>
      </c>
      <c r="I227">
        <v>81.438291595923502</v>
      </c>
      <c r="J227">
        <v>31.082409081594399</v>
      </c>
      <c r="K227">
        <v>36.163536916019503</v>
      </c>
      <c r="L227">
        <v>1.7946099882932562E-3</v>
      </c>
      <c r="M227">
        <v>1.0315323796290829E-3</v>
      </c>
      <c r="N227" s="1">
        <v>-6.88287564663425E-5</v>
      </c>
      <c r="O227" s="1">
        <v>8.5746005385898896E-5</v>
      </c>
      <c r="P227" s="1">
        <v>-6.06173798194562E-5</v>
      </c>
      <c r="AE227">
        <v>100</v>
      </c>
      <c r="AJ227">
        <v>1</v>
      </c>
    </row>
    <row r="228" spans="1:36" x14ac:dyDescent="0.2">
      <c r="A228">
        <v>227</v>
      </c>
      <c r="B228">
        <v>784</v>
      </c>
      <c r="C228">
        <v>100</v>
      </c>
      <c r="D228">
        <v>0.50433760582698905</v>
      </c>
      <c r="E228">
        <v>9.4126592701038803</v>
      </c>
      <c r="F228">
        <v>0.23762530677069199</v>
      </c>
      <c r="G228">
        <v>-210.43265210914163</v>
      </c>
      <c r="H228">
        <v>-116.00201860151408</v>
      </c>
      <c r="I228">
        <v>89.330766692773295</v>
      </c>
      <c r="J228">
        <v>34.148519610803802</v>
      </c>
      <c r="K228">
        <v>39.611350314581799</v>
      </c>
      <c r="L228">
        <v>1.7997477146335342E-3</v>
      </c>
      <c r="M228">
        <v>1.0317068958552804E-3</v>
      </c>
      <c r="N228" s="1">
        <v>-7.5756782064963595E-5</v>
      </c>
      <c r="O228" s="1">
        <v>9.4005844998679703E-5</v>
      </c>
      <c r="P228" s="1">
        <v>-6.66572382457495E-5</v>
      </c>
      <c r="AE228">
        <v>100</v>
      </c>
      <c r="AJ228">
        <v>1</v>
      </c>
    </row>
    <row r="229" spans="1:36" x14ac:dyDescent="0.2">
      <c r="A229">
        <v>228</v>
      </c>
      <c r="B229">
        <v>783</v>
      </c>
      <c r="C229">
        <v>100</v>
      </c>
      <c r="D229">
        <v>0.50380201675898495</v>
      </c>
      <c r="E229">
        <v>9.8809356265136401</v>
      </c>
      <c r="F229">
        <v>0.23805397173201701</v>
      </c>
      <c r="G229">
        <v>-220.80784162214206</v>
      </c>
      <c r="H229">
        <v>-121.80894589895112</v>
      </c>
      <c r="I229">
        <v>93.740993420740693</v>
      </c>
      <c r="J229">
        <v>35.891242956485698</v>
      </c>
      <c r="K229">
        <v>41.507123593118799</v>
      </c>
      <c r="L229">
        <v>1.8049132358791717E-3</v>
      </c>
      <c r="M229">
        <v>1.0318804314170397E-3</v>
      </c>
      <c r="N229" s="1">
        <v>-7.9767025411740797E-5</v>
      </c>
      <c r="O229" s="1">
        <v>9.8594298689908295E-5</v>
      </c>
      <c r="P229" s="1">
        <v>-7.0122940045113695E-5</v>
      </c>
      <c r="AE229">
        <v>100</v>
      </c>
      <c r="AJ229">
        <v>1</v>
      </c>
    </row>
    <row r="230" spans="1:36" x14ac:dyDescent="0.2">
      <c r="A230">
        <v>229</v>
      </c>
      <c r="B230">
        <v>782</v>
      </c>
      <c r="C230">
        <v>100</v>
      </c>
      <c r="D230">
        <v>0.50326541250059598</v>
      </c>
      <c r="E230">
        <v>10.2269119276416</v>
      </c>
      <c r="F230">
        <v>0.238484645211514</v>
      </c>
      <c r="G230">
        <v>-228.44231837304883</v>
      </c>
      <c r="H230">
        <v>-126.11119947177575</v>
      </c>
      <c r="I230">
        <v>96.988078821288298</v>
      </c>
      <c r="J230">
        <v>37.193647722406197</v>
      </c>
      <c r="K230">
        <v>42.882894697775001</v>
      </c>
      <c r="L230">
        <v>1.8101067328576415E-3</v>
      </c>
      <c r="M230">
        <v>1.0320529562025046E-3</v>
      </c>
      <c r="N230" s="1">
        <v>-8.2809396645504798E-5</v>
      </c>
      <c r="O230">
        <v>1.0195510116254399E-4</v>
      </c>
      <c r="P230" s="1">
        <v>-7.27343980851541E-5</v>
      </c>
      <c r="AE230">
        <v>100</v>
      </c>
      <c r="AJ230">
        <v>1</v>
      </c>
    </row>
    <row r="231" spans="1:36" x14ac:dyDescent="0.2">
      <c r="A231">
        <v>230</v>
      </c>
      <c r="B231">
        <v>781</v>
      </c>
      <c r="C231">
        <v>100</v>
      </c>
      <c r="D231">
        <v>0.50272779016268998</v>
      </c>
      <c r="E231">
        <v>10.4292203800377</v>
      </c>
      <c r="F231">
        <v>0.238917342013833</v>
      </c>
      <c r="G231">
        <v>-232.86246847410393</v>
      </c>
      <c r="H231">
        <v>-128.64388012131815</v>
      </c>
      <c r="I231">
        <v>98.8707077675043</v>
      </c>
      <c r="J231">
        <v>37.9763208981622</v>
      </c>
      <c r="K231">
        <v>43.652002370903197</v>
      </c>
      <c r="L231">
        <v>1.8153283871576705E-3</v>
      </c>
      <c r="M231">
        <v>1.0322244394800708E-3</v>
      </c>
      <c r="N231" s="1">
        <v>-8.4701320625397395E-5</v>
      </c>
      <c r="O231">
        <v>1.0387869730991001E-4</v>
      </c>
      <c r="P231" s="1">
        <v>-7.4333868817037406E-5</v>
      </c>
      <c r="AE231">
        <v>100</v>
      </c>
      <c r="AJ231">
        <v>1</v>
      </c>
    </row>
    <row r="232" spans="1:36" x14ac:dyDescent="0.2">
      <c r="A232">
        <v>231</v>
      </c>
      <c r="B232">
        <v>780</v>
      </c>
      <c r="C232">
        <v>100</v>
      </c>
      <c r="D232">
        <v>0.50218914684517901</v>
      </c>
      <c r="E232">
        <v>10.536790546976</v>
      </c>
      <c r="F232">
        <v>0.239352077082018</v>
      </c>
      <c r="G232">
        <v>-235.16441087526238</v>
      </c>
      <c r="H232">
        <v>-130.00914427482024</v>
      </c>
      <c r="I232">
        <v>99.854053457746801</v>
      </c>
      <c r="J232">
        <v>38.415735262588903</v>
      </c>
      <c r="K232">
        <v>44.0221395837956</v>
      </c>
      <c r="L232">
        <v>1.8205783811116154E-3</v>
      </c>
      <c r="M232">
        <v>1.0323948498857497E-3</v>
      </c>
      <c r="N232" s="1">
        <v>-8.5830806317507998E-5</v>
      </c>
      <c r="O232">
        <v>1.0485585665897899E-4</v>
      </c>
      <c r="P232" s="1">
        <v>-7.5264317040759493E-5</v>
      </c>
      <c r="AE232">
        <v>100</v>
      </c>
      <c r="AJ232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EF1DA-E727-447B-8286-745C67273C28}">
  <sheetPr codeName="Sheet15"/>
  <dimension ref="A1:AU232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763</v>
      </c>
      <c r="C2">
        <v>300</v>
      </c>
      <c r="D2">
        <v>0.280548665733729</v>
      </c>
      <c r="E2">
        <v>216.63300837029868</v>
      </c>
      <c r="F2">
        <v>64.65580465152479</v>
      </c>
      <c r="G2">
        <v>72.303819494862907</v>
      </c>
      <c r="H2">
        <v>67.719797322967892</v>
      </c>
      <c r="J2">
        <v>76.736816578539788</v>
      </c>
      <c r="L2">
        <v>7.8816239254185199</v>
      </c>
      <c r="M2">
        <v>14.33866193574627</v>
      </c>
      <c r="N2">
        <v>2.6624922984680133</v>
      </c>
      <c r="O2">
        <v>31.902471033078132</v>
      </c>
      <c r="P2">
        <v>12.965511926340332</v>
      </c>
      <c r="Q2">
        <v>1.7421456185423372</v>
      </c>
      <c r="R2">
        <v>17.787796567999624</v>
      </c>
      <c r="S2">
        <v>51.907655329855814</v>
      </c>
      <c r="U2">
        <v>2.4189818082802232</v>
      </c>
      <c r="V2">
        <v>50.244376302568021</v>
      </c>
      <c r="W2">
        <v>22.781989276756594</v>
      </c>
      <c r="X2">
        <v>51.053493631912559</v>
      </c>
      <c r="Y2">
        <v>9.777659006039789</v>
      </c>
      <c r="Z2">
        <v>32.018602014275167</v>
      </c>
      <c r="AA2">
        <v>6.9244515059835905</v>
      </c>
      <c r="AB2">
        <v>37.596086988727635</v>
      </c>
      <c r="AC2">
        <v>5.810062220666704E-3</v>
      </c>
      <c r="AD2">
        <v>8.5454980889850205</v>
      </c>
      <c r="AE2">
        <v>12.737458349013824</v>
      </c>
      <c r="AF2">
        <v>14.039345670078102</v>
      </c>
      <c r="AG2">
        <v>23.140997211105965</v>
      </c>
      <c r="AH2">
        <v>9.2143911669376966</v>
      </c>
      <c r="AI2">
        <v>2.6154384170618115</v>
      </c>
      <c r="AK2">
        <v>62.371783258950451</v>
      </c>
    </row>
    <row r="3" spans="1:47" x14ac:dyDescent="0.2">
      <c r="A3">
        <v>2</v>
      </c>
      <c r="B3">
        <v>762</v>
      </c>
      <c r="C3">
        <v>300</v>
      </c>
      <c r="D3">
        <v>0.27978602134956498</v>
      </c>
      <c r="E3">
        <v>216.52193351349109</v>
      </c>
      <c r="F3">
        <v>64.31183072868842</v>
      </c>
      <c r="G3">
        <v>72.246541114534935</v>
      </c>
      <c r="H3">
        <v>67.66005703893093</v>
      </c>
      <c r="J3">
        <v>76.658018562189739</v>
      </c>
      <c r="L3">
        <v>7.8010496961434441</v>
      </c>
      <c r="M3">
        <v>14.280345395433082</v>
      </c>
      <c r="N3">
        <v>2.6583565332695067</v>
      </c>
      <c r="O3">
        <v>31.526695192345787</v>
      </c>
      <c r="P3">
        <v>12.868272222814555</v>
      </c>
      <c r="Q3">
        <v>1.6865757537160457</v>
      </c>
      <c r="R3">
        <v>17.590275118751791</v>
      </c>
      <c r="S3">
        <v>51.506511558128452</v>
      </c>
      <c r="U3">
        <v>2.3483333798200818</v>
      </c>
      <c r="V3">
        <v>50.149585012349888</v>
      </c>
      <c r="W3">
        <v>22.59662431509933</v>
      </c>
      <c r="X3">
        <v>50.87660762167539</v>
      </c>
      <c r="Y3">
        <v>9.6939068113180316</v>
      </c>
      <c r="Z3">
        <v>31.82882523815509</v>
      </c>
      <c r="AA3">
        <v>6.8412393673732073</v>
      </c>
      <c r="AB3">
        <v>37.459870021019903</v>
      </c>
      <c r="AD3">
        <v>8.4386598263127262</v>
      </c>
      <c r="AE3">
        <v>12.651452057951021</v>
      </c>
      <c r="AF3">
        <v>13.973803471106255</v>
      </c>
      <c r="AG3">
        <v>22.983631461939851</v>
      </c>
      <c r="AH3">
        <v>9.0946733925684313</v>
      </c>
      <c r="AI3">
        <v>2.6110193662344168</v>
      </c>
      <c r="AK3">
        <v>62.358023150395717</v>
      </c>
    </row>
    <row r="4" spans="1:47" x14ac:dyDescent="0.2">
      <c r="A4">
        <v>3</v>
      </c>
      <c r="B4">
        <v>761</v>
      </c>
      <c r="C4">
        <v>300</v>
      </c>
      <c r="D4">
        <v>0.27902190204515798</v>
      </c>
      <c r="E4">
        <v>216.39667077412622</v>
      </c>
      <c r="F4">
        <v>63.917908050353553</v>
      </c>
      <c r="G4">
        <v>72.182098940587139</v>
      </c>
      <c r="H4">
        <v>67.593165865741668</v>
      </c>
      <c r="J4">
        <v>76.552817677551644</v>
      </c>
      <c r="L4">
        <v>7.712851854062075</v>
      </c>
      <c r="M4">
        <v>14.202009845564904</v>
      </c>
      <c r="N4">
        <v>2.660328397995197</v>
      </c>
      <c r="O4">
        <v>31.130715331075471</v>
      </c>
      <c r="P4">
        <v>12.762820178373669</v>
      </c>
      <c r="Q4">
        <v>1.6154836029074626</v>
      </c>
      <c r="R4">
        <v>17.361128048633432</v>
      </c>
      <c r="S4">
        <v>51.005785023904373</v>
      </c>
      <c r="U4">
        <v>2.2605237214675076</v>
      </c>
      <c r="V4">
        <v>50.023296073232615</v>
      </c>
      <c r="W4">
        <v>22.373079443687637</v>
      </c>
      <c r="X4">
        <v>50.64153377500709</v>
      </c>
      <c r="Y4">
        <v>9.5996921190535964</v>
      </c>
      <c r="Z4">
        <v>31.608483770220147</v>
      </c>
      <c r="AA4">
        <v>6.7503210430711045</v>
      </c>
      <c r="AB4">
        <v>37.286866232455552</v>
      </c>
      <c r="AD4">
        <v>8.3124822426104696</v>
      </c>
      <c r="AE4">
        <v>12.553142243738993</v>
      </c>
      <c r="AF4">
        <v>13.894350149794864</v>
      </c>
      <c r="AG4">
        <v>22.795589007988649</v>
      </c>
      <c r="AH4">
        <v>8.951810479248536</v>
      </c>
      <c r="AI4">
        <v>2.6127071254557102</v>
      </c>
      <c r="AK4">
        <v>62.334786491870069</v>
      </c>
    </row>
    <row r="5" spans="1:47" x14ac:dyDescent="0.2">
      <c r="A5">
        <v>4</v>
      </c>
      <c r="B5">
        <v>760</v>
      </c>
      <c r="C5">
        <v>300</v>
      </c>
      <c r="D5">
        <v>0.27825630353772701</v>
      </c>
      <c r="E5">
        <v>216.27157805151367</v>
      </c>
      <c r="F5">
        <v>63.524719159871715</v>
      </c>
      <c r="G5">
        <v>72.117745288040837</v>
      </c>
      <c r="H5">
        <v>67.526376139019504</v>
      </c>
      <c r="J5">
        <v>76.448250428082247</v>
      </c>
      <c r="L5">
        <v>7.624830204959828</v>
      </c>
      <c r="M5">
        <v>14.123829066067298</v>
      </c>
      <c r="N5">
        <v>2.6623001295900721</v>
      </c>
      <c r="O5">
        <v>30.735377883022181</v>
      </c>
      <c r="P5">
        <v>12.657552682344534</v>
      </c>
      <c r="Q5">
        <v>1.5445242931642296</v>
      </c>
      <c r="R5">
        <v>17.132368608053419</v>
      </c>
      <c r="S5">
        <v>50.506042019194993</v>
      </c>
      <c r="U5">
        <v>2.1728001663121939</v>
      </c>
      <c r="V5">
        <v>49.897215629549109</v>
      </c>
      <c r="W5">
        <v>22.14982679433859</v>
      </c>
      <c r="X5">
        <v>50.406930539979001</v>
      </c>
      <c r="Y5">
        <v>9.5056446382886381</v>
      </c>
      <c r="Z5">
        <v>31.388432636304195</v>
      </c>
      <c r="AA5">
        <v>6.6595809965855155</v>
      </c>
      <c r="AB5">
        <v>37.11414166511463</v>
      </c>
      <c r="AD5">
        <v>8.1864177252397692</v>
      </c>
      <c r="AE5">
        <v>12.454954201460939</v>
      </c>
      <c r="AF5">
        <v>13.815051728548863</v>
      </c>
      <c r="AG5">
        <v>22.607828134097705</v>
      </c>
      <c r="AH5">
        <v>8.8091822013937495</v>
      </c>
      <c r="AI5">
        <v>2.6143939298329459</v>
      </c>
      <c r="AK5">
        <v>62.311883752601346</v>
      </c>
    </row>
    <row r="6" spans="1:47" x14ac:dyDescent="0.2">
      <c r="A6">
        <v>5</v>
      </c>
      <c r="B6">
        <v>759</v>
      </c>
      <c r="C6">
        <v>300</v>
      </c>
      <c r="D6">
        <v>0.27748922152788302</v>
      </c>
      <c r="E6">
        <v>216.14665491770154</v>
      </c>
      <c r="F6">
        <v>63.13226206581146</v>
      </c>
      <c r="G6">
        <v>72.0534799802073</v>
      </c>
      <c r="H6">
        <v>67.459687702712856</v>
      </c>
      <c r="J6">
        <v>76.3443163656666</v>
      </c>
      <c r="L6">
        <v>7.5369843170903081</v>
      </c>
      <c r="M6">
        <v>14.045802516523343</v>
      </c>
      <c r="N6">
        <v>2.6642717285976745</v>
      </c>
      <c r="O6">
        <v>30.340681315768741</v>
      </c>
      <c r="P6">
        <v>12.552469404288313</v>
      </c>
      <c r="Q6">
        <v>1.4736970405213687</v>
      </c>
      <c r="R6">
        <v>16.903995544153513</v>
      </c>
      <c r="S6">
        <v>50.007279454943763</v>
      </c>
      <c r="U6">
        <v>2.0851623088498434</v>
      </c>
      <c r="V6">
        <v>49.771342946561703</v>
      </c>
      <c r="W6">
        <v>21.92686522362888</v>
      </c>
      <c r="X6">
        <v>50.172796338340291</v>
      </c>
      <c r="Y6">
        <v>9.4117639529592942</v>
      </c>
      <c r="Z6">
        <v>31.168670536042754</v>
      </c>
      <c r="AA6">
        <v>6.5690187877830253</v>
      </c>
      <c r="AB6">
        <v>36.94169515074914</v>
      </c>
      <c r="AD6">
        <v>8.0604660041537191</v>
      </c>
      <c r="AE6">
        <v>12.356887293770569</v>
      </c>
      <c r="AF6">
        <v>13.735907673044043</v>
      </c>
      <c r="AG6">
        <v>22.420347678401122</v>
      </c>
      <c r="AH6">
        <v>8.6667881203994241</v>
      </c>
      <c r="AI6">
        <v>2.6160797780726339</v>
      </c>
      <c r="AK6">
        <v>62.289314884137482</v>
      </c>
    </row>
    <row r="7" spans="1:47" x14ac:dyDescent="0.2">
      <c r="A7">
        <v>6</v>
      </c>
      <c r="B7">
        <v>758</v>
      </c>
      <c r="C7">
        <v>300</v>
      </c>
      <c r="D7">
        <v>0.27672065169955901</v>
      </c>
      <c r="E7">
        <v>216.02190095106189</v>
      </c>
      <c r="F7">
        <v>62.740534801890753</v>
      </c>
      <c r="G7">
        <v>71.989302843479692</v>
      </c>
      <c r="H7">
        <v>67.393100403892589</v>
      </c>
      <c r="J7">
        <v>76.241015055843874</v>
      </c>
      <c r="L7">
        <v>7.4493137705196713</v>
      </c>
      <c r="M7">
        <v>13.967929661606963</v>
      </c>
      <c r="N7">
        <v>2.6662431955339572</v>
      </c>
      <c r="O7">
        <v>29.946624116462623</v>
      </c>
      <c r="P7">
        <v>12.447570019965051</v>
      </c>
      <c r="Q7">
        <v>1.4030010634483452</v>
      </c>
      <c r="R7">
        <v>16.676007618498037</v>
      </c>
      <c r="S7">
        <v>49.509494274373282</v>
      </c>
      <c r="U7">
        <v>1.9976097495622869</v>
      </c>
      <c r="V7">
        <v>49.6456772918323</v>
      </c>
      <c r="W7">
        <v>21.70419359765074</v>
      </c>
      <c r="X7">
        <v>49.939129609241576</v>
      </c>
      <c r="Y7">
        <v>9.3180496534695898</v>
      </c>
      <c r="Z7">
        <v>30.949196177108405</v>
      </c>
      <c r="AA7">
        <v>6.4786339822411172</v>
      </c>
      <c r="AB7">
        <v>36.769525529449417</v>
      </c>
      <c r="AD7">
        <v>7.9346268117083296</v>
      </c>
      <c r="AE7">
        <v>12.25894088652079</v>
      </c>
      <c r="AF7">
        <v>13.656917454029577</v>
      </c>
      <c r="AG7">
        <v>22.233146487361601</v>
      </c>
      <c r="AH7">
        <v>8.5246278055797404</v>
      </c>
      <c r="AI7">
        <v>2.6177646688532268</v>
      </c>
      <c r="AK7">
        <v>62.267079845292621</v>
      </c>
    </row>
    <row r="8" spans="1:47" x14ac:dyDescent="0.2">
      <c r="A8">
        <v>7</v>
      </c>
      <c r="B8">
        <v>757</v>
      </c>
      <c r="C8">
        <v>300</v>
      </c>
      <c r="D8">
        <v>0.27595058971994302</v>
      </c>
      <c r="E8">
        <v>215.89731573616146</v>
      </c>
      <c r="F8">
        <v>62.349535426378623</v>
      </c>
      <c r="G8">
        <v>71.925213707257555</v>
      </c>
      <c r="H8">
        <v>67.326614092675527</v>
      </c>
      <c r="J8">
        <v>76.138346077550452</v>
      </c>
      <c r="L8">
        <v>7.3618181582467219</v>
      </c>
      <c r="M8">
        <v>13.890209970826806</v>
      </c>
      <c r="N8">
        <v>2.6682145309586445</v>
      </c>
      <c r="O8">
        <v>29.553204791524244</v>
      </c>
      <c r="P8">
        <v>12.342854211258242</v>
      </c>
      <c r="Q8">
        <v>1.3324355826183818</v>
      </c>
      <c r="R8">
        <v>16.44840360670829</v>
      </c>
      <c r="S8">
        <v>49.012683451753638</v>
      </c>
      <c r="U8">
        <v>1.9101420947032444</v>
      </c>
      <c r="V8">
        <v>49.520217934727853</v>
      </c>
      <c r="W8">
        <v>21.481810791478146</v>
      </c>
      <c r="X8">
        <v>49.705928808641673</v>
      </c>
      <c r="Y8">
        <v>9.2245013365794382</v>
      </c>
      <c r="Z8">
        <v>30.730008274694878</v>
      </c>
      <c r="AA8">
        <v>6.3884261511829248</v>
      </c>
      <c r="AB8">
        <v>36.597631649095646</v>
      </c>
      <c r="AD8">
        <v>7.8088998824047344</v>
      </c>
      <c r="AE8">
        <v>12.16111434852065</v>
      </c>
      <c r="AF8">
        <v>13.578080547148272</v>
      </c>
      <c r="AG8">
        <v>22.046223415295909</v>
      </c>
      <c r="AH8">
        <v>8.3827008339008433</v>
      </c>
      <c r="AI8">
        <v>2.6194486008961353</v>
      </c>
      <c r="AK8">
        <v>62.245178602085574</v>
      </c>
    </row>
    <row r="9" spans="1:47" x14ac:dyDescent="0.2">
      <c r="A9">
        <v>8</v>
      </c>
      <c r="B9">
        <v>756</v>
      </c>
      <c r="C9">
        <v>300</v>
      </c>
      <c r="D9">
        <v>0.27517903123937498</v>
      </c>
      <c r="E9">
        <v>215.77289886398279</v>
      </c>
      <c r="F9">
        <v>61.959262022685863</v>
      </c>
      <c r="G9">
        <v>71.861212404027611</v>
      </c>
      <c r="H9">
        <v>67.260228622306172</v>
      </c>
      <c r="J9">
        <v>76.036309023541321</v>
      </c>
      <c r="L9">
        <v>7.2744970878038764</v>
      </c>
      <c r="M9">
        <v>13.812642918721597</v>
      </c>
      <c r="N9">
        <v>2.6701857354354197</v>
      </c>
      <c r="O9">
        <v>29.160421866859469</v>
      </c>
      <c r="P9">
        <v>12.238321666285879</v>
      </c>
      <c r="Q9">
        <v>1.2619998210420218</v>
      </c>
      <c r="R9">
        <v>16.221182298831106</v>
      </c>
      <c r="S9">
        <v>48.516843993387383</v>
      </c>
      <c r="U9">
        <v>1.822758956470931</v>
      </c>
      <c r="V9">
        <v>49.39496414664319</v>
      </c>
      <c r="W9">
        <v>21.259715689419771</v>
      </c>
      <c r="X9">
        <v>49.473192409728831</v>
      </c>
      <c r="Y9">
        <v>9.1311186055384219</v>
      </c>
      <c r="Z9">
        <v>30.51110555158392</v>
      </c>
      <c r="AA9">
        <v>6.2983948716067824</v>
      </c>
      <c r="AB9">
        <v>36.426012365558961</v>
      </c>
      <c r="AD9">
        <v>7.6832849530162592</v>
      </c>
      <c r="AE9">
        <v>12.063407051513446</v>
      </c>
      <c r="AF9">
        <v>13.499396433087671</v>
      </c>
      <c r="AG9">
        <v>21.859577324532054</v>
      </c>
      <c r="AH9">
        <v>8.2410067902140511</v>
      </c>
      <c r="AI9">
        <v>2.6211315729269611</v>
      </c>
      <c r="AK9">
        <v>62.223611127969008</v>
      </c>
    </row>
    <row r="10" spans="1:47" x14ac:dyDescent="0.2">
      <c r="A10">
        <v>9</v>
      </c>
      <c r="B10">
        <v>755</v>
      </c>
      <c r="C10">
        <v>300</v>
      </c>
      <c r="D10">
        <v>0.27440597189125798</v>
      </c>
      <c r="E10">
        <v>215.6486499317476</v>
      </c>
      <c r="F10">
        <v>61.569712698872571</v>
      </c>
      <c r="G10">
        <v>71.797298769327028</v>
      </c>
      <c r="H10">
        <v>67.19394384912043</v>
      </c>
      <c r="J10">
        <v>75.934903500105264</v>
      </c>
      <c r="L10">
        <v>7.187350182976683</v>
      </c>
      <c r="M10">
        <v>13.735227984838941</v>
      </c>
      <c r="N10">
        <v>2.6721568094619585</v>
      </c>
      <c r="O10">
        <v>28.768273887505153</v>
      </c>
      <c r="P10">
        <v>12.133972079267989</v>
      </c>
      <c r="Q10">
        <v>1.1916930039212039</v>
      </c>
      <c r="R10">
        <v>15.994342499091518</v>
      </c>
      <c r="S10">
        <v>48.021972937392682</v>
      </c>
      <c r="U10">
        <v>1.7354599529963599</v>
      </c>
      <c r="V10">
        <v>49.269915200689084</v>
      </c>
      <c r="W10">
        <v>21.037907185117891</v>
      </c>
      <c r="X10">
        <v>49.24091890264139</v>
      </c>
      <c r="Y10">
        <v>9.0379010699827678</v>
      </c>
      <c r="Z10">
        <v>30.292486738286517</v>
      </c>
      <c r="AA10">
        <v>6.2085397261851032</v>
      </c>
      <c r="AB10">
        <v>36.254666542831657</v>
      </c>
      <c r="AD10">
        <v>7.5577817626809649</v>
      </c>
      <c r="AE10">
        <v>11.965818370275906</v>
      </c>
      <c r="AF10">
        <v>13.420864597490661</v>
      </c>
      <c r="AG10">
        <v>21.67320708547355</v>
      </c>
      <c r="AH10">
        <v>8.0995452672000141</v>
      </c>
      <c r="AI10">
        <v>2.6228135836041333</v>
      </c>
      <c r="AK10">
        <v>62.202377403584443</v>
      </c>
    </row>
    <row r="11" spans="1:47" x14ac:dyDescent="0.2">
      <c r="A11">
        <v>10</v>
      </c>
      <c r="B11">
        <v>754</v>
      </c>
      <c r="C11">
        <v>300</v>
      </c>
      <c r="D11">
        <v>0.27363140729202201</v>
      </c>
      <c r="E11">
        <v>215.52456854287828</v>
      </c>
      <c r="F11">
        <v>61.180885587182267</v>
      </c>
      <c r="G11">
        <v>71.733472641666467</v>
      </c>
      <c r="H11">
        <v>67.127759632466876</v>
      </c>
      <c r="J11">
        <v>75.834129126965408</v>
      </c>
      <c r="L11">
        <v>7.1003770861034754</v>
      </c>
      <c r="M11">
        <v>13.657964653426371</v>
      </c>
      <c r="N11">
        <v>2.6741277536092776</v>
      </c>
      <c r="O11">
        <v>28.37675941744849</v>
      </c>
      <c r="P11">
        <v>12.02980515050613</v>
      </c>
      <c r="Q11">
        <v>1.1215143584302341</v>
      </c>
      <c r="R11">
        <v>15.767883025578907</v>
      </c>
      <c r="S11">
        <v>47.528067352258688</v>
      </c>
      <c r="U11">
        <v>1.6482447080901756</v>
      </c>
      <c r="V11">
        <v>49.145070371183103</v>
      </c>
      <c r="W11">
        <v>20.816384180783185</v>
      </c>
      <c r="X11">
        <v>49.009106794269051</v>
      </c>
      <c r="Y11">
        <v>8.9448483458569346</v>
      </c>
      <c r="Z11">
        <v>30.074150572228564</v>
      </c>
      <c r="AA11">
        <v>6.118860303249523</v>
      </c>
      <c r="AB11">
        <v>36.083593052209665</v>
      </c>
      <c r="AD11">
        <v>7.4323900524957907</v>
      </c>
      <c r="AE11">
        <v>11.868347682212722</v>
      </c>
      <c r="AF11">
        <v>13.342484530788518</v>
      </c>
      <c r="AG11">
        <v>21.487111575921155</v>
      </c>
      <c r="AH11">
        <v>7.958315865049868</v>
      </c>
      <c r="AI11">
        <v>2.6244946316608213</v>
      </c>
      <c r="AK11">
        <v>62.181477416885215</v>
      </c>
    </row>
    <row r="12" spans="1:47" x14ac:dyDescent="0.2">
      <c r="A12">
        <v>11</v>
      </c>
      <c r="B12">
        <v>753</v>
      </c>
      <c r="C12">
        <v>300</v>
      </c>
      <c r="D12">
        <v>0.27285533304097898</v>
      </c>
      <c r="E12">
        <v>215.4006543069566</v>
      </c>
      <c r="F12">
        <v>60.792778844050268</v>
      </c>
      <c r="G12">
        <v>71.669733862560406</v>
      </c>
      <c r="H12">
        <v>67.061675834739745</v>
      </c>
      <c r="J12">
        <v>75.73398553725599</v>
      </c>
      <c r="L12">
        <v>7.0135213608263474</v>
      </c>
      <c r="M12">
        <v>13.580852413586859</v>
      </c>
      <c r="N12">
        <v>2.6760985684064851</v>
      </c>
      <c r="O12">
        <v>27.985877039486091</v>
      </c>
      <c r="P12">
        <v>11.925820586332176</v>
      </c>
      <c r="Q12">
        <v>1.0514631137085599</v>
      </c>
      <c r="R12">
        <v>15.541802710298395</v>
      </c>
      <c r="S12">
        <v>47.035124337532558</v>
      </c>
      <c r="U12">
        <v>1.561112851380082</v>
      </c>
      <c r="V12">
        <v>49.020428933607604</v>
      </c>
      <c r="W12">
        <v>20.59514558760165</v>
      </c>
      <c r="X12">
        <v>48.777754607989436</v>
      </c>
      <c r="Y12">
        <v>8.8519600554150717</v>
      </c>
      <c r="Z12">
        <v>29.856095798145525</v>
      </c>
      <c r="AA12">
        <v>6.0293561968034552</v>
      </c>
      <c r="AB12">
        <v>35.912790772732428</v>
      </c>
      <c r="AD12">
        <v>7.30710956577113</v>
      </c>
      <c r="AE12">
        <v>11.770994367549088</v>
      </c>
      <c r="AF12">
        <v>13.264255728234669</v>
      </c>
      <c r="AG12">
        <v>21.301289681392813</v>
      </c>
      <c r="AH12">
        <v>7.8173181916201724</v>
      </c>
      <c r="AI12">
        <v>2.6261747157861879</v>
      </c>
      <c r="AK12">
        <v>62.160911162987482</v>
      </c>
    </row>
    <row r="13" spans="1:47" x14ac:dyDescent="0.2">
      <c r="A13">
        <v>12</v>
      </c>
      <c r="B13">
        <v>752</v>
      </c>
      <c r="C13">
        <v>300</v>
      </c>
      <c r="D13">
        <v>0.27207774472028401</v>
      </c>
      <c r="E13">
        <v>215.27690683981209</v>
      </c>
      <c r="F13">
        <v>60.40539065007134</v>
      </c>
      <c r="G13">
        <v>71.606082276512581</v>
      </c>
      <c r="H13">
        <v>66.995692321361688</v>
      </c>
      <c r="J13">
        <v>75.634472377650454</v>
      </c>
      <c r="L13">
        <v>6.9268913100751455</v>
      </c>
      <c r="M13">
        <v>13.503890759149151</v>
      </c>
      <c r="N13">
        <v>2.6780692544236664</v>
      </c>
      <c r="O13">
        <v>27.595625355239321</v>
      </c>
      <c r="P13">
        <v>11.822018099156743</v>
      </c>
      <c r="Q13">
        <v>0.98153850078553662</v>
      </c>
      <c r="R13">
        <v>15.316100399129477</v>
      </c>
      <c r="S13">
        <v>46.54314102325646</v>
      </c>
      <c r="U13">
        <v>1.4740640182155316</v>
      </c>
      <c r="V13">
        <v>48.895990164373117</v>
      </c>
      <c r="W13">
        <v>20.3741903253228</v>
      </c>
      <c r="X13">
        <v>48.546860884288634</v>
      </c>
      <c r="Y13">
        <v>8.7592358272307376</v>
      </c>
      <c r="Z13">
        <v>29.638321167527021</v>
      </c>
      <c r="AA13">
        <v>5.9400270065646472</v>
      </c>
      <c r="AB13">
        <v>35.742258590686681</v>
      </c>
      <c r="AD13">
        <v>7.1819400477853836</v>
      </c>
      <c r="AE13">
        <v>11.673757809029203</v>
      </c>
      <c r="AF13">
        <v>13.18617768986606</v>
      </c>
      <c r="AG13">
        <v>21.115740294714783</v>
      </c>
      <c r="AH13">
        <v>7.6765518623196281</v>
      </c>
      <c r="AI13">
        <v>2.627853834711539</v>
      </c>
      <c r="AK13">
        <v>62.140678644378802</v>
      </c>
    </row>
    <row r="14" spans="1:47" x14ac:dyDescent="0.2">
      <c r="A14">
        <v>13</v>
      </c>
      <c r="B14">
        <v>751</v>
      </c>
      <c r="C14">
        <v>300</v>
      </c>
      <c r="D14">
        <v>0.27129863789483999</v>
      </c>
      <c r="E14">
        <v>215.15332576339415</v>
      </c>
      <c r="F14">
        <v>60.018719209695831</v>
      </c>
      <c r="G14">
        <v>71.54251773100259</v>
      </c>
      <c r="H14">
        <v>66.929808960774508</v>
      </c>
      <c r="J14">
        <v>75.535589308191604</v>
      </c>
      <c r="L14">
        <v>6.8404336704766866</v>
      </c>
      <c r="M14">
        <v>13.427079188708499</v>
      </c>
      <c r="N14">
        <v>2.6800398121885323</v>
      </c>
      <c r="O14">
        <v>27.206002984862248</v>
      </c>
      <c r="P14">
        <v>11.718397407369071</v>
      </c>
      <c r="Q14">
        <v>0.91173975246830652</v>
      </c>
      <c r="R14">
        <v>15.090774951697776</v>
      </c>
      <c r="S14">
        <v>46.052114570068973</v>
      </c>
      <c r="U14">
        <v>1.3870978497014923</v>
      </c>
      <c r="V14">
        <v>48.771753340576709</v>
      </c>
      <c r="W14">
        <v>20.153517322441861</v>
      </c>
      <c r="X14">
        <v>48.316424179031308</v>
      </c>
      <c r="Y14">
        <v>8.6666752961377682</v>
      </c>
      <c r="Z14">
        <v>29.420825438853832</v>
      </c>
      <c r="AA14">
        <v>5.8508723379297587</v>
      </c>
      <c r="AB14">
        <v>35.571995399847943</v>
      </c>
      <c r="AD14">
        <v>7.0568812459394854</v>
      </c>
      <c r="AE14">
        <v>11.576637392051877</v>
      </c>
      <c r="AF14">
        <v>13.108249920454471</v>
      </c>
      <c r="AG14">
        <v>20.930462316181135</v>
      </c>
      <c r="AH14">
        <v>7.5360165001311401</v>
      </c>
      <c r="AI14">
        <v>2.6295319871251071</v>
      </c>
      <c r="AK14">
        <v>62.120779870709541</v>
      </c>
    </row>
    <row r="15" spans="1:47" x14ac:dyDescent="0.2">
      <c r="A15">
        <v>14</v>
      </c>
      <c r="B15">
        <v>750</v>
      </c>
      <c r="C15">
        <v>300</v>
      </c>
      <c r="D15">
        <v>0.270518008112205</v>
      </c>
      <c r="E15">
        <v>215.02991070583255</v>
      </c>
      <c r="F15">
        <v>59.632762751213875</v>
      </c>
      <c r="G15">
        <v>71.479040076484281</v>
      </c>
      <c r="H15">
        <v>66.864025624432443</v>
      </c>
      <c r="J15">
        <v>75.437336002387184</v>
      </c>
      <c r="L15">
        <v>6.7541481138379753</v>
      </c>
      <c r="M15">
        <v>13.350417205565424</v>
      </c>
      <c r="N15">
        <v>2.6820102422268146</v>
      </c>
      <c r="O15">
        <v>26.817008567033234</v>
      </c>
      <c r="P15">
        <v>11.61495823536357</v>
      </c>
      <c r="Q15">
        <v>0.84201669700846649</v>
      </c>
      <c r="R15">
        <v>14.86582524135539</v>
      </c>
      <c r="S15">
        <v>45.562042168953148</v>
      </c>
      <c r="U15">
        <v>1.3002139926610323</v>
      </c>
      <c r="V15">
        <v>48.647717739790181</v>
      </c>
      <c r="W15">
        <v>19.93312551598892</v>
      </c>
      <c r="X15">
        <v>48.086443065556459</v>
      </c>
      <c r="Y15">
        <v>8.5742781032373578</v>
      </c>
      <c r="Z15">
        <v>29.203607377245461</v>
      </c>
      <c r="AA15">
        <v>5.7618918020268612</v>
      </c>
      <c r="AB15">
        <v>35.40200010119154</v>
      </c>
      <c r="AD15">
        <v>6.9319329096130051</v>
      </c>
      <c r="AE15">
        <v>11.4796325044738</v>
      </c>
      <c r="AF15">
        <v>13.030471929486735</v>
      </c>
      <c r="AG15">
        <v>20.745454653297877</v>
      </c>
      <c r="AH15">
        <v>7.3957117355509894</v>
      </c>
      <c r="AI15">
        <v>2.6312091717124466</v>
      </c>
      <c r="AK15">
        <v>62.101214858932558</v>
      </c>
    </row>
    <row r="16" spans="1:47" x14ac:dyDescent="0.2">
      <c r="A16">
        <v>15</v>
      </c>
      <c r="B16">
        <v>749</v>
      </c>
      <c r="C16">
        <v>300</v>
      </c>
      <c r="D16">
        <v>0.26973585090251001</v>
      </c>
      <c r="E16">
        <v>214.9066613012329</v>
      </c>
      <c r="F16">
        <v>59.247519526019822</v>
      </c>
      <c r="G16">
        <v>71.415649166294443</v>
      </c>
      <c r="H16">
        <v>66.79834218671553</v>
      </c>
      <c r="J16">
        <v>75.33971214685377</v>
      </c>
      <c r="L16">
        <v>6.6680343369843831</v>
      </c>
      <c r="M16">
        <v>13.273904317478697</v>
      </c>
      <c r="N16">
        <v>2.6839805451055723</v>
      </c>
      <c r="O16">
        <v>26.428640758569689</v>
      </c>
      <c r="P16">
        <v>11.511700313410133</v>
      </c>
      <c r="Q16">
        <v>0.77246594150130021</v>
      </c>
      <c r="R16">
        <v>14.641250154733099</v>
      </c>
      <c r="S16">
        <v>45.072921039990476</v>
      </c>
      <c r="U16">
        <v>1.2134120994365927</v>
      </c>
      <c r="V16">
        <v>48.52388263943751</v>
      </c>
      <c r="W16">
        <v>19.713013851067235</v>
      </c>
      <c r="X16">
        <v>47.856916132949387</v>
      </c>
      <c r="Y16">
        <v>8.4820438957549182</v>
      </c>
      <c r="Z16">
        <v>28.986665754089408</v>
      </c>
      <c r="AA16">
        <v>5.6730850156411909</v>
      </c>
      <c r="AB16">
        <v>35.232271602466547</v>
      </c>
      <c r="AD16">
        <v>6.8070947899703897</v>
      </c>
      <c r="AE16">
        <v>11.382742536458663</v>
      </c>
      <c r="AF16">
        <v>12.95284323096381</v>
      </c>
      <c r="AG16">
        <v>20.560716220410171</v>
      </c>
      <c r="AH16">
        <v>7.2556372063198502</v>
      </c>
      <c r="AI16">
        <v>2.6328853872012545</v>
      </c>
      <c r="AK16">
        <v>62.081983633131856</v>
      </c>
    </row>
    <row r="17" spans="1:37" x14ac:dyDescent="0.2">
      <c r="A17">
        <v>16</v>
      </c>
      <c r="B17">
        <v>748</v>
      </c>
      <c r="C17">
        <v>300</v>
      </c>
      <c r="D17">
        <v>0.26895216177838999</v>
      </c>
      <c r="E17">
        <v>214.78357718982795</v>
      </c>
      <c r="F17">
        <v>58.862987809014406</v>
      </c>
      <c r="G17">
        <v>71.352344856720279</v>
      </c>
      <c r="H17">
        <v>66.732758524995148</v>
      </c>
      <c r="J17">
        <v>75.242717441616023</v>
      </c>
      <c r="L17">
        <v>6.5820920670361263</v>
      </c>
      <c r="M17">
        <v>13.197540036850421</v>
      </c>
      <c r="N17">
        <v>2.6859507213714915</v>
      </c>
      <c r="O17">
        <v>26.040898234543839</v>
      </c>
      <c r="P17">
        <v>11.408623377720946</v>
      </c>
      <c r="Q17">
        <v>0.70303872364582998</v>
      </c>
      <c r="R17">
        <v>14.417048592030863</v>
      </c>
      <c r="S17">
        <v>44.584748433272587</v>
      </c>
      <c r="U17">
        <v>1.1266918280510141</v>
      </c>
      <c r="V17">
        <v>48.400247316909606</v>
      </c>
      <c r="W17">
        <v>19.493181281169477</v>
      </c>
      <c r="X17">
        <v>47.627841986414346</v>
      </c>
      <c r="Y17">
        <v>8.3899723271338011</v>
      </c>
      <c r="Z17">
        <v>28.769999347192083</v>
      </c>
      <c r="AA17">
        <v>5.584451601326597</v>
      </c>
      <c r="AB17">
        <v>35.062808818461683</v>
      </c>
      <c r="AD17">
        <v>6.6823666401079729</v>
      </c>
      <c r="AE17">
        <v>11.285966880511737</v>
      </c>
      <c r="AF17">
        <v>12.875363343522077</v>
      </c>
      <c r="AG17">
        <v>20.376245938900489</v>
      </c>
      <c r="AH17">
        <v>7.1157925576263201</v>
      </c>
      <c r="AI17">
        <v>2.6345606322976911</v>
      </c>
      <c r="AK17">
        <v>62.063086224651101</v>
      </c>
    </row>
    <row r="18" spans="1:37" x14ac:dyDescent="0.2">
      <c r="A18">
        <v>17</v>
      </c>
      <c r="B18">
        <v>747</v>
      </c>
      <c r="C18">
        <v>300</v>
      </c>
      <c r="D18">
        <v>0.26816693623486898</v>
      </c>
      <c r="E18">
        <v>214.66065801795622</v>
      </c>
      <c r="F18">
        <v>58.479165898457531</v>
      </c>
      <c r="G18">
        <v>71.289127006989759</v>
      </c>
      <c r="H18">
        <v>66.667274519623106</v>
      </c>
      <c r="J18">
        <v>75.146351600078106</v>
      </c>
      <c r="L18">
        <v>6.4963210682522803</v>
      </c>
      <c r="M18">
        <v>13.121323880663883</v>
      </c>
      <c r="N18">
        <v>2.6879207715548441</v>
      </c>
      <c r="O18">
        <v>25.653779688141945</v>
      </c>
      <c r="P18">
        <v>11.305727170436079</v>
      </c>
      <c r="Q18">
        <v>0.63373428154379785</v>
      </c>
      <c r="R18">
        <v>14.19321946691201</v>
      </c>
      <c r="S18">
        <v>44.097521628624541</v>
      </c>
      <c r="U18">
        <v>1.0400528421682604</v>
      </c>
      <c r="V18">
        <v>48.276811049253048</v>
      </c>
      <c r="W18">
        <v>19.273626768022901</v>
      </c>
      <c r="X18">
        <v>47.399219247476132</v>
      </c>
      <c r="Y18">
        <v>8.2980630570148808</v>
      </c>
      <c r="Z18">
        <v>28.553606940582746</v>
      </c>
      <c r="AA18">
        <v>5.4959911874250249</v>
      </c>
      <c r="AB18">
        <v>34.893610670838818</v>
      </c>
      <c r="AD18">
        <v>6.5577482149868205</v>
      </c>
      <c r="AE18">
        <v>11.189304931378352</v>
      </c>
      <c r="AF18">
        <v>12.798031790374202</v>
      </c>
      <c r="AG18">
        <v>20.1920427370261</v>
      </c>
      <c r="AH18">
        <v>6.9761774420581393</v>
      </c>
      <c r="AI18">
        <v>2.6362349056924326</v>
      </c>
      <c r="AK18">
        <v>62.04452267210479</v>
      </c>
    </row>
    <row r="19" spans="1:37" x14ac:dyDescent="0.2">
      <c r="A19">
        <v>18</v>
      </c>
      <c r="B19">
        <v>746</v>
      </c>
      <c r="C19">
        <v>300</v>
      </c>
      <c r="D19">
        <v>0.26738016974930101</v>
      </c>
      <c r="E19">
        <v>214.53790343801808</v>
      </c>
      <c r="F19">
        <v>58.096052115655631</v>
      </c>
      <c r="G19">
        <v>71.22599547922691</v>
      </c>
      <c r="H19">
        <v>66.601890053891452</v>
      </c>
      <c r="J19">
        <v>75.050614348950774</v>
      </c>
      <c r="L19">
        <v>6.4107211511390885</v>
      </c>
      <c r="M19">
        <v>13.045255370364336</v>
      </c>
      <c r="N19">
        <v>2.6898906962081375</v>
      </c>
      <c r="O19">
        <v>25.267283830516213</v>
      </c>
      <c r="P19">
        <v>11.203011439579454</v>
      </c>
      <c r="Q19">
        <v>0.56455185453301326</v>
      </c>
      <c r="R19">
        <v>13.969761706338288</v>
      </c>
      <c r="S19">
        <v>43.611237935003963</v>
      </c>
      <c r="U19">
        <v>0.9534948110056366</v>
      </c>
      <c r="V19">
        <v>48.153573112783782</v>
      </c>
      <c r="W19">
        <v>19.054349281307083</v>
      </c>
      <c r="X19">
        <v>47.171046553601386</v>
      </c>
      <c r="Y19">
        <v>8.2063157511800018</v>
      </c>
      <c r="Z19">
        <v>28.33748732418675</v>
      </c>
      <c r="AA19">
        <v>5.4077034080973752</v>
      </c>
      <c r="AB19">
        <v>34.7246760878282</v>
      </c>
      <c r="AD19">
        <v>6.4332392712819582</v>
      </c>
      <c r="AE19">
        <v>11.092756085882906</v>
      </c>
      <c r="AF19">
        <v>12.720848099233237</v>
      </c>
      <c r="AG19">
        <v>20.008105549654555</v>
      </c>
      <c r="AH19">
        <v>6.8367915194628219</v>
      </c>
      <c r="AI19">
        <v>2.6379082060974608</v>
      </c>
      <c r="AK19">
        <v>62.026293021382912</v>
      </c>
    </row>
    <row r="20" spans="1:37" x14ac:dyDescent="0.2">
      <c r="A20">
        <v>19</v>
      </c>
      <c r="B20">
        <v>745</v>
      </c>
      <c r="C20">
        <v>300</v>
      </c>
      <c r="D20">
        <v>0.26659185778126798</v>
      </c>
      <c r="E20">
        <v>214.41531310811956</v>
      </c>
      <c r="F20">
        <v>57.713644803894574</v>
      </c>
      <c r="G20">
        <v>71.162950138342666</v>
      </c>
      <c r="H20">
        <v>66.536605013918233</v>
      </c>
      <c r="J20">
        <v>74.955505427664178</v>
      </c>
      <c r="L20">
        <v>6.3252362890454501</v>
      </c>
      <c r="M20">
        <v>12.969334031597286</v>
      </c>
      <c r="N20">
        <v>2.6918604959080925</v>
      </c>
      <c r="O20">
        <v>24.88140939021444</v>
      </c>
      <c r="P20">
        <v>11.100475938833945</v>
      </c>
      <c r="Q20">
        <v>0.4954906828394387</v>
      </c>
      <c r="R20">
        <v>13.746674249934729</v>
      </c>
      <c r="S20">
        <v>43.125894689117217</v>
      </c>
      <c r="U20">
        <v>0.86701740911500658</v>
      </c>
      <c r="V20">
        <v>48.030532782301094</v>
      </c>
      <c r="W20">
        <v>18.835347798305921</v>
      </c>
      <c r="X20">
        <v>46.943322557385613</v>
      </c>
      <c r="Y20">
        <v>8.1147300813391272</v>
      </c>
      <c r="Z20">
        <v>28.121639293635802</v>
      </c>
      <c r="AA20">
        <v>5.3195879031510485</v>
      </c>
      <c r="AB20">
        <v>34.556004003933943</v>
      </c>
      <c r="AD20">
        <v>6.308839567257805</v>
      </c>
      <c r="AE20">
        <v>10.996319742899631</v>
      </c>
      <c r="AF20">
        <v>12.643811802045095</v>
      </c>
      <c r="AG20">
        <v>19.824433317972449</v>
      </c>
      <c r="AH20">
        <v>6.6976344566267718</v>
      </c>
      <c r="AI20">
        <v>2.6395805322493193</v>
      </c>
      <c r="AK20">
        <v>62.00839732529424</v>
      </c>
    </row>
    <row r="21" spans="1:37" x14ac:dyDescent="0.2">
      <c r="A21">
        <v>20</v>
      </c>
      <c r="B21">
        <v>744</v>
      </c>
      <c r="C21">
        <v>300</v>
      </c>
      <c r="D21">
        <v>0.26580199577250502</v>
      </c>
      <c r="E21">
        <v>214.29288669293459</v>
      </c>
      <c r="F21">
        <v>57.331942330902336</v>
      </c>
      <c r="G21">
        <v>71.099990852350118</v>
      </c>
      <c r="H21">
        <v>66.471419288967027</v>
      </c>
      <c r="J21">
        <v>74.861024589887208</v>
      </c>
      <c r="L21">
        <v>6.2399724350800971</v>
      </c>
      <c r="M21">
        <v>12.893559394957306</v>
      </c>
      <c r="N21">
        <v>2.6938301711197892</v>
      </c>
      <c r="O21">
        <v>24.496155114209504</v>
      </c>
      <c r="P21">
        <v>10.998120428041961</v>
      </c>
      <c r="Q21">
        <v>0.42655000821356864</v>
      </c>
      <c r="R21">
        <v>13.523956051506286</v>
      </c>
      <c r="S21">
        <v>42.641489259314476</v>
      </c>
      <c r="U21">
        <v>0.78062031703402701</v>
      </c>
      <c r="V21">
        <v>47.90768933230602</v>
      </c>
      <c r="W21">
        <v>18.616621305005168</v>
      </c>
      <c r="X21">
        <v>46.716045928869356</v>
      </c>
      <c r="Y21">
        <v>8.0233057256594211</v>
      </c>
      <c r="Z21">
        <v>27.906061650780408</v>
      </c>
      <c r="AA21">
        <v>5.2316443185781392</v>
      </c>
      <c r="AB21">
        <v>34.387593360853927</v>
      </c>
      <c r="AD21">
        <v>6.1845488632360048</v>
      </c>
      <c r="AE21">
        <v>10.89999530341815</v>
      </c>
      <c r="AF21">
        <v>12.566922435607644</v>
      </c>
      <c r="AG21">
        <v>19.641024990265127</v>
      </c>
      <c r="AH21">
        <v>6.558705928196356</v>
      </c>
      <c r="AI21">
        <v>2.6412518827720959</v>
      </c>
      <c r="AK21">
        <v>61.990835644393371</v>
      </c>
    </row>
    <row r="22" spans="1:37" x14ac:dyDescent="0.2">
      <c r="A22">
        <v>21</v>
      </c>
      <c r="B22">
        <v>743</v>
      </c>
      <c r="C22">
        <v>300</v>
      </c>
      <c r="D22">
        <v>0.265010579146782</v>
      </c>
      <c r="E22">
        <v>214.17062386259661</v>
      </c>
      <c r="F22">
        <v>56.950943085289452</v>
      </c>
      <c r="G22">
        <v>71.037117491901043</v>
      </c>
      <c r="H22">
        <v>66.406332770980541</v>
      </c>
      <c r="J22">
        <v>74.767171601571022</v>
      </c>
      <c r="L22">
        <v>6.154878449385822</v>
      </c>
      <c r="M22">
        <v>12.817930994786828</v>
      </c>
      <c r="N22">
        <v>2.6957997224670969</v>
      </c>
      <c r="O22">
        <v>24.111519766371906</v>
      </c>
      <c r="P22">
        <v>10.895944672545138</v>
      </c>
      <c r="Q22">
        <v>0.35772907281314381</v>
      </c>
      <c r="R22">
        <v>13.301606076849207</v>
      </c>
      <c r="S22">
        <v>42.158019039499024</v>
      </c>
      <c r="U22">
        <v>0.69430322028487534</v>
      </c>
      <c r="V22">
        <v>47.785042034595271</v>
      </c>
      <c r="W22">
        <v>18.398168794040167</v>
      </c>
      <c r="X22">
        <v>46.489215352096949</v>
      </c>
      <c r="Y22">
        <v>7.9320423680285916</v>
      </c>
      <c r="Z22">
        <v>27.690753202224549</v>
      </c>
      <c r="AA22">
        <v>5.1438723059833427</v>
      </c>
      <c r="AB22">
        <v>34.219443105571514</v>
      </c>
      <c r="AD22">
        <v>6.0603669206334283</v>
      </c>
      <c r="AE22">
        <v>10.803782170040776</v>
      </c>
      <c r="AF22">
        <v>12.490179540642419</v>
      </c>
      <c r="AG22">
        <v>19.457879520286909</v>
      </c>
      <c r="AH22">
        <v>6.4200056152542322</v>
      </c>
      <c r="AI22">
        <v>2.6429222564500656</v>
      </c>
      <c r="AK22">
        <v>61.973608046054984</v>
      </c>
    </row>
    <row r="23" spans="1:37" x14ac:dyDescent="0.2">
      <c r="A23">
        <v>22</v>
      </c>
      <c r="B23">
        <v>742</v>
      </c>
      <c r="C23">
        <v>300</v>
      </c>
      <c r="D23">
        <v>0.264217603309855</v>
      </c>
      <c r="E23">
        <v>214.04852429338362</v>
      </c>
      <c r="F23">
        <v>56.57064547871741</v>
      </c>
      <c r="G23">
        <v>70.974329930600007</v>
      </c>
      <c r="H23">
        <v>66.3413453548972</v>
      </c>
      <c r="J23">
        <v>74.67394624222058</v>
      </c>
      <c r="L23">
        <v>6.0699542365920678</v>
      </c>
      <c r="M23">
        <v>12.742448370012493</v>
      </c>
      <c r="N23">
        <v>2.6977691504811023</v>
      </c>
      <c r="O23">
        <v>23.727502128258269</v>
      </c>
      <c r="P23">
        <v>10.793948443567812</v>
      </c>
      <c r="Q23">
        <v>0.2890271198049304</v>
      </c>
      <c r="R23">
        <v>13.079623305125374</v>
      </c>
      <c r="S23">
        <v>41.675481453317822</v>
      </c>
      <c r="U23">
        <v>0.60806581087633282</v>
      </c>
      <c r="V23">
        <v>47.662590159428198</v>
      </c>
      <c r="W23">
        <v>18.179989266174037</v>
      </c>
      <c r="X23">
        <v>46.262829527499058</v>
      </c>
      <c r="Y23">
        <v>7.8409396985202733</v>
      </c>
      <c r="Z23">
        <v>27.47571276036826</v>
      </c>
      <c r="AA23">
        <v>5.0562715230157922</v>
      </c>
      <c r="AB23">
        <v>34.051552191753949</v>
      </c>
      <c r="AD23">
        <v>5.936293502695758</v>
      </c>
      <c r="AE23">
        <v>10.707679747347381</v>
      </c>
      <c r="AF23">
        <v>12.41358266236784</v>
      </c>
      <c r="AG23">
        <v>19.274995868397284</v>
      </c>
      <c r="AH23">
        <v>6.2815332063099243</v>
      </c>
      <c r="AI23">
        <v>2.644591651973323</v>
      </c>
      <c r="AK23">
        <v>61.956714605008401</v>
      </c>
    </row>
    <row r="24" spans="1:37" x14ac:dyDescent="0.2">
      <c r="A24">
        <v>23</v>
      </c>
      <c r="B24">
        <v>741</v>
      </c>
      <c r="C24">
        <v>300</v>
      </c>
      <c r="D24">
        <v>0.26342306364936202</v>
      </c>
      <c r="E24">
        <v>213.92658766763194</v>
      </c>
      <c r="F24">
        <v>56.19104794542271</v>
      </c>
      <c r="G24">
        <v>70.911628044938794</v>
      </c>
      <c r="H24">
        <v>66.27645693858446</v>
      </c>
      <c r="J24">
        <v>74.581348304738441</v>
      </c>
      <c r="L24">
        <v>5.9851997904847849</v>
      </c>
      <c r="M24">
        <v>12.667111063920697</v>
      </c>
      <c r="N24">
        <v>2.6997384556818322</v>
      </c>
      <c r="O24">
        <v>23.344100998897048</v>
      </c>
      <c r="P24">
        <v>10.692131518159739</v>
      </c>
      <c r="Q24">
        <v>0.22044339314078207</v>
      </c>
      <c r="R24">
        <v>12.858006728572278</v>
      </c>
      <c r="S24">
        <v>41.193873953089287</v>
      </c>
      <c r="U24">
        <v>0.52190778319413134</v>
      </c>
      <c r="V24">
        <v>47.540332974945819</v>
      </c>
      <c r="W24">
        <v>17.962081729802019</v>
      </c>
      <c r="X24">
        <v>46.036887171330214</v>
      </c>
      <c r="Y24">
        <v>7.7499974133063452</v>
      </c>
      <c r="Z24">
        <v>27.260939142854646</v>
      </c>
      <c r="AA24">
        <v>4.9688416333606513</v>
      </c>
      <c r="AB24">
        <v>33.883919579193773</v>
      </c>
      <c r="AD24">
        <v>5.8123283742108889</v>
      </c>
      <c r="AE24">
        <v>10.611687441629604</v>
      </c>
      <c r="AF24">
        <v>12.337131350370468</v>
      </c>
      <c r="AG24">
        <v>19.092373001091755</v>
      </c>
      <c r="AH24">
        <v>6.1432883970486509</v>
      </c>
      <c r="AI24">
        <v>2.6462600680213693</v>
      </c>
      <c r="AK24">
        <v>61.940155403349699</v>
      </c>
    </row>
    <row r="25" spans="1:37" x14ac:dyDescent="0.2">
      <c r="A25">
        <v>24</v>
      </c>
      <c r="B25">
        <v>740</v>
      </c>
      <c r="C25">
        <v>300</v>
      </c>
      <c r="D25">
        <v>0.26262695553471999</v>
      </c>
      <c r="E25">
        <v>213.8048136734638</v>
      </c>
      <c r="F25">
        <v>55.81214894127438</v>
      </c>
      <c r="G25">
        <v>70.849011714175703</v>
      </c>
      <c r="H25">
        <v>66.211667422718264</v>
      </c>
      <c r="J25">
        <v>74.489377594953254</v>
      </c>
      <c r="L25">
        <v>5.9006152241498784</v>
      </c>
      <c r="M25">
        <v>12.591918623833486</v>
      </c>
      <c r="N25">
        <v>2.7017076386461252</v>
      </c>
      <c r="O25">
        <v>22.961315194362303</v>
      </c>
      <c r="P25">
        <v>10.590493679028926</v>
      </c>
      <c r="Q25">
        <v>0.15197713719328113</v>
      </c>
      <c r="R25">
        <v>12.636755351916969</v>
      </c>
      <c r="S25">
        <v>40.713194018175763</v>
      </c>
      <c r="U25">
        <v>0.43582884156237761</v>
      </c>
      <c r="V25">
        <v>47.418269746307068</v>
      </c>
      <c r="W25">
        <v>17.744445200352065</v>
      </c>
      <c r="X25">
        <v>45.811387014610446</v>
      </c>
      <c r="Y25">
        <v>7.659215214472904</v>
      </c>
      <c r="Z25">
        <v>27.046431172092973</v>
      </c>
      <c r="AA25">
        <v>4.8815823066558517</v>
      </c>
      <c r="AB25">
        <v>33.71654423325424</v>
      </c>
      <c r="AD25">
        <v>5.6884713012351318</v>
      </c>
      <c r="AE25">
        <v>10.51580466070528</v>
      </c>
      <c r="AF25">
        <v>12.260825158338404</v>
      </c>
      <c r="AG25">
        <v>18.910009890515699</v>
      </c>
      <c r="AH25">
        <v>6.0052708899617313</v>
      </c>
      <c r="AI25">
        <v>2.6479275033303988</v>
      </c>
      <c r="AK25">
        <v>61.923930530325663</v>
      </c>
    </row>
    <row r="26" spans="1:37" x14ac:dyDescent="0.2">
      <c r="A26">
        <v>25</v>
      </c>
      <c r="B26">
        <v>739</v>
      </c>
      <c r="C26">
        <v>300</v>
      </c>
      <c r="D26">
        <v>0.261829274317047</v>
      </c>
      <c r="E26">
        <v>213.6832020050432</v>
      </c>
      <c r="F26">
        <v>55.433946944535357</v>
      </c>
      <c r="G26">
        <v>70.786480820459232</v>
      </c>
      <c r="H26">
        <v>66.146976710905705</v>
      </c>
      <c r="J26">
        <v>74.398033932106969</v>
      </c>
      <c r="L26">
        <v>5.816140700155298</v>
      </c>
      <c r="M26">
        <v>12.516870601428707</v>
      </c>
      <c r="N26">
        <v>2.7036766998971515</v>
      </c>
      <c r="O26">
        <v>22.579143547999916</v>
      </c>
      <c r="P26">
        <v>10.48903471467295</v>
      </c>
      <c r="Q26">
        <v>8.3627596935286416E-2</v>
      </c>
      <c r="R26">
        <v>12.41586819288313</v>
      </c>
      <c r="S26">
        <v>40.23343915659791</v>
      </c>
      <c r="U26">
        <v>0.34982869275841055</v>
      </c>
      <c r="V26">
        <v>47.296399735957444</v>
      </c>
      <c r="W26">
        <v>17.527078700858873</v>
      </c>
      <c r="X26">
        <v>45.586327804546265</v>
      </c>
      <c r="Y26">
        <v>7.5685928101852511</v>
      </c>
      <c r="Z26">
        <v>26.832187675608871</v>
      </c>
      <c r="AA26">
        <v>4.79449321867164</v>
      </c>
      <c r="AB26">
        <v>33.549425125384552</v>
      </c>
      <c r="AD26">
        <v>5.5647220513678057</v>
      </c>
      <c r="AE26">
        <v>10.420030814029406</v>
      </c>
      <c r="AF26">
        <v>12.184663644275968</v>
      </c>
      <c r="AG26">
        <v>18.727905514864361</v>
      </c>
      <c r="AH26">
        <v>5.8674803947222083</v>
      </c>
      <c r="AI26">
        <v>2.6495939565830566</v>
      </c>
      <c r="AK26">
        <v>61.908040082536793</v>
      </c>
    </row>
    <row r="27" spans="1:37" x14ac:dyDescent="0.2">
      <c r="A27">
        <v>26</v>
      </c>
      <c r="B27">
        <v>738</v>
      </c>
      <c r="C27">
        <v>300</v>
      </c>
      <c r="D27">
        <v>0.26103001532908299</v>
      </c>
      <c r="E27">
        <v>213.56175236226213</v>
      </c>
      <c r="F27">
        <v>55.056440454717375</v>
      </c>
      <c r="G27">
        <v>70.724035248674483</v>
      </c>
      <c r="H27">
        <v>66.082384709536129</v>
      </c>
      <c r="J27">
        <v>74.307317148320678</v>
      </c>
      <c r="L27">
        <v>5.7318875238084877</v>
      </c>
      <c r="M27">
        <v>12.441966552314382</v>
      </c>
      <c r="N27">
        <v>2.7056456400196653</v>
      </c>
      <c r="O27">
        <v>22.19758490994872</v>
      </c>
      <c r="P27">
        <v>10.387754419195483</v>
      </c>
      <c r="Q27">
        <v>1.539401751024343E-2</v>
      </c>
      <c r="R27">
        <v>12.195344281486468</v>
      </c>
      <c r="S27">
        <v>39.754606902937859</v>
      </c>
      <c r="U27">
        <v>0.26390704952580757</v>
      </c>
      <c r="V27">
        <v>47.174722202615797</v>
      </c>
      <c r="W27">
        <v>17.309981261157496</v>
      </c>
      <c r="X27">
        <v>45.361708302787839</v>
      </c>
      <c r="Y27">
        <v>7.4781299144723423</v>
      </c>
      <c r="Z27">
        <v>26.618207485353523</v>
      </c>
      <c r="AA27">
        <v>4.7075740511971018</v>
      </c>
      <c r="AB27">
        <v>33.382561232324534</v>
      </c>
      <c r="AD27">
        <v>5.4410803933472272</v>
      </c>
      <c r="AE27">
        <v>10.324365312408668</v>
      </c>
      <c r="AF27">
        <v>12.10864637019519</v>
      </c>
      <c r="AG27">
        <v>18.546058857704622</v>
      </c>
      <c r="AH27">
        <v>5.7299166276995352</v>
      </c>
      <c r="AI27">
        <v>2.6512594265240366</v>
      </c>
      <c r="AK27">
        <v>61.892484163731488</v>
      </c>
    </row>
    <row r="28" spans="1:37" x14ac:dyDescent="0.2">
      <c r="A28">
        <v>27</v>
      </c>
      <c r="B28">
        <v>737</v>
      </c>
      <c r="C28">
        <v>300</v>
      </c>
      <c r="D28">
        <v>0.260229173885068</v>
      </c>
      <c r="E28">
        <v>213.32501428559476</v>
      </c>
      <c r="F28">
        <v>53.733104077499476</v>
      </c>
      <c r="G28">
        <v>70.550698182723764</v>
      </c>
      <c r="H28">
        <v>65.90691462405519</v>
      </c>
      <c r="J28">
        <v>73.659328208250187</v>
      </c>
      <c r="L28">
        <v>5.4087355296790189</v>
      </c>
      <c r="M28">
        <v>12.262226119982808</v>
      </c>
      <c r="N28">
        <v>2.7076102522132985</v>
      </c>
      <c r="O28">
        <v>20.96184201710107</v>
      </c>
      <c r="P28">
        <v>10.064694977411339</v>
      </c>
      <c r="R28">
        <v>11.500684725755136</v>
      </c>
      <c r="S28">
        <v>38.263602896361213</v>
      </c>
      <c r="U28">
        <v>0.12208930221688084</v>
      </c>
      <c r="V28">
        <v>46.842870038329814</v>
      </c>
      <c r="W28">
        <v>17.114669559520035</v>
      </c>
      <c r="X28">
        <v>44.965036985688805</v>
      </c>
      <c r="Y28">
        <v>7.1563491042788616</v>
      </c>
      <c r="Z28">
        <v>25.589692530311236</v>
      </c>
      <c r="AA28">
        <v>4.3809082549075171</v>
      </c>
      <c r="AB28">
        <v>32.648535144784802</v>
      </c>
      <c r="AD28">
        <v>4.8685773393545269</v>
      </c>
      <c r="AE28">
        <v>9.8461225092401854</v>
      </c>
      <c r="AF28">
        <v>11.927788778615287</v>
      </c>
      <c r="AG28">
        <v>17.797048309210801</v>
      </c>
      <c r="AH28">
        <v>5.2081219220097346</v>
      </c>
      <c r="AI28">
        <v>2.6529197045124437</v>
      </c>
      <c r="AK28">
        <v>61.566908811252723</v>
      </c>
    </row>
    <row r="29" spans="1:37" x14ac:dyDescent="0.2">
      <c r="A29">
        <v>28</v>
      </c>
      <c r="B29">
        <v>736</v>
      </c>
      <c r="C29">
        <v>300</v>
      </c>
      <c r="D29">
        <v>0.25942674528068399</v>
      </c>
      <c r="E29">
        <v>212.72452875491621</v>
      </c>
      <c r="F29">
        <v>49.77865849227144</v>
      </c>
      <c r="G29">
        <v>70.000051780798529</v>
      </c>
      <c r="H29">
        <v>65.354148634242875</v>
      </c>
      <c r="J29">
        <v>71.963991214289166</v>
      </c>
      <c r="L29">
        <v>4.3765224738344299</v>
      </c>
      <c r="M29">
        <v>12.098318483060256</v>
      </c>
      <c r="N29">
        <v>2.7095524080458349</v>
      </c>
      <c r="O29">
        <v>17.074809470931118</v>
      </c>
      <c r="P29">
        <v>8.9870026011542254</v>
      </c>
      <c r="R29">
        <v>9.8660782205714508</v>
      </c>
      <c r="S29">
        <v>35.697900874318513</v>
      </c>
      <c r="U29">
        <v>1.5599481919191316E-3</v>
      </c>
      <c r="V29">
        <v>46.559975451128544</v>
      </c>
      <c r="W29">
        <v>16.946106174052762</v>
      </c>
      <c r="X29">
        <v>44.636304832560739</v>
      </c>
      <c r="Y29">
        <v>6.0760144894880685</v>
      </c>
      <c r="Z29">
        <v>22.721935032402325</v>
      </c>
      <c r="AA29">
        <v>3.3263625268736359</v>
      </c>
      <c r="AB29">
        <v>31.34422770917913</v>
      </c>
      <c r="AD29">
        <v>3.2321523351195567</v>
      </c>
      <c r="AE29">
        <v>8.5962308731277162</v>
      </c>
      <c r="AF29">
        <v>11.76274192557401</v>
      </c>
      <c r="AG29">
        <v>16.477736593650533</v>
      </c>
      <c r="AH29">
        <v>3.5031178767952604</v>
      </c>
      <c r="AI29">
        <v>2.6545566602751864</v>
      </c>
      <c r="AK29">
        <v>60.475952081179408</v>
      </c>
    </row>
    <row r="30" spans="1:37" x14ac:dyDescent="0.2">
      <c r="A30">
        <v>29</v>
      </c>
      <c r="B30">
        <v>735</v>
      </c>
      <c r="C30">
        <v>300</v>
      </c>
      <c r="D30">
        <v>0.25862272479293502</v>
      </c>
      <c r="E30">
        <v>211.72593696166209</v>
      </c>
      <c r="F30">
        <v>42.837983800642775</v>
      </c>
      <c r="G30">
        <v>68.979554429223384</v>
      </c>
      <c r="H30">
        <v>64.331545148053763</v>
      </c>
      <c r="J30">
        <v>68.938942300823925</v>
      </c>
      <c r="L30">
        <v>2.4631955837058994</v>
      </c>
      <c r="M30">
        <v>12.034694778207484</v>
      </c>
      <c r="N30">
        <v>2.7114589368822952</v>
      </c>
      <c r="O30">
        <v>9.9983820447718088</v>
      </c>
      <c r="P30">
        <v>6.9695809163827489</v>
      </c>
      <c r="R30">
        <v>7.0513099800802381</v>
      </c>
      <c r="S30">
        <v>31.447365584974708</v>
      </c>
      <c r="V30">
        <v>46.153014039430182</v>
      </c>
      <c r="W30">
        <v>16.798022335429977</v>
      </c>
      <c r="X30">
        <v>44.670531027668062</v>
      </c>
      <c r="Y30">
        <v>4.0616110113631425</v>
      </c>
      <c r="Z30">
        <v>17.872238163203285</v>
      </c>
      <c r="AA30">
        <v>1.3868728453213408</v>
      </c>
      <c r="AB30">
        <v>29.222118391036606</v>
      </c>
      <c r="AD30">
        <v>0.4092959454126005</v>
      </c>
      <c r="AE30">
        <v>6.5659392716548339</v>
      </c>
      <c r="AF30">
        <v>11.697943782954111</v>
      </c>
      <c r="AG30">
        <v>14.340590012218222</v>
      </c>
      <c r="AH30">
        <v>0.3405772498906659</v>
      </c>
      <c r="AI30">
        <v>2.6561571213375745</v>
      </c>
      <c r="AK30">
        <v>58.510965658167542</v>
      </c>
    </row>
    <row r="31" spans="1:37" x14ac:dyDescent="0.2">
      <c r="A31">
        <v>30</v>
      </c>
      <c r="B31">
        <v>734</v>
      </c>
      <c r="C31">
        <v>300</v>
      </c>
      <c r="D31">
        <v>0.25781710768008598</v>
      </c>
      <c r="E31">
        <v>212.19443410183902</v>
      </c>
      <c r="F31">
        <v>44.557681009146968</v>
      </c>
      <c r="G31">
        <v>69.229733224832657</v>
      </c>
      <c r="H31">
        <v>64.579631283994985</v>
      </c>
      <c r="J31">
        <v>52.233218109393405</v>
      </c>
      <c r="L31">
        <v>1.6859054946185534</v>
      </c>
      <c r="M31">
        <v>11.57774440815791</v>
      </c>
      <c r="N31">
        <v>2.7134668023887474</v>
      </c>
      <c r="O31">
        <v>5.0358929974429048</v>
      </c>
      <c r="P31">
        <v>7.4936211044494048</v>
      </c>
      <c r="R31">
        <v>6.1541536804564974</v>
      </c>
      <c r="S31">
        <v>29.252588306039346</v>
      </c>
      <c r="V31">
        <v>46.58614039980467</v>
      </c>
      <c r="W31">
        <v>16.256361901388686</v>
      </c>
      <c r="X31">
        <v>44.703878731052932</v>
      </c>
      <c r="Y31">
        <v>3.5454340151770856</v>
      </c>
      <c r="Z31">
        <v>17.958480726794523</v>
      </c>
      <c r="AB31">
        <v>29.408148348089391</v>
      </c>
      <c r="AE31">
        <v>6.4496030679483827</v>
      </c>
      <c r="AF31">
        <v>11.23992072302322</v>
      </c>
      <c r="AG31">
        <v>14.511686692638671</v>
      </c>
      <c r="AI31">
        <v>2.6578580495254989</v>
      </c>
      <c r="AK31">
        <v>47.294066454573731</v>
      </c>
    </row>
    <row r="32" spans="1:37" x14ac:dyDescent="0.2">
      <c r="A32">
        <v>31</v>
      </c>
      <c r="B32">
        <v>733</v>
      </c>
      <c r="C32">
        <v>300</v>
      </c>
      <c r="D32">
        <v>0.257009889181535</v>
      </c>
      <c r="E32">
        <v>212.38466531217452</v>
      </c>
      <c r="F32">
        <v>45.123779422442546</v>
      </c>
      <c r="G32">
        <v>69.208443366192853</v>
      </c>
      <c r="H32">
        <v>64.556262262350046</v>
      </c>
      <c r="J32">
        <v>45.767011039049713</v>
      </c>
      <c r="L32">
        <v>1.7019106528979937</v>
      </c>
      <c r="M32">
        <v>11.134761879204095</v>
      </c>
      <c r="N32">
        <v>2.7154520189861868</v>
      </c>
      <c r="O32">
        <v>5.0540784164643551</v>
      </c>
      <c r="P32">
        <v>7.474709600986829</v>
      </c>
      <c r="R32">
        <v>5.7911554887200944</v>
      </c>
      <c r="S32">
        <v>29.441269345934714</v>
      </c>
      <c r="V32">
        <v>47.079940684390721</v>
      </c>
      <c r="W32">
        <v>15.728917626162184</v>
      </c>
      <c r="X32">
        <v>44.737812711480913</v>
      </c>
      <c r="Y32">
        <v>3.3168241888624919</v>
      </c>
      <c r="Z32">
        <v>18.149676559363282</v>
      </c>
      <c r="AB32">
        <v>29.799562982047526</v>
      </c>
      <c r="AE32">
        <v>6.5506436349841701</v>
      </c>
      <c r="AF32">
        <v>10.795843272377596</v>
      </c>
      <c r="AG32">
        <v>14.888148057387092</v>
      </c>
      <c r="AI32">
        <v>2.6595354574195444</v>
      </c>
      <c r="AK32">
        <v>42.907482792574193</v>
      </c>
    </row>
    <row r="33" spans="1:37" x14ac:dyDescent="0.2">
      <c r="A33">
        <v>32</v>
      </c>
      <c r="B33">
        <v>763</v>
      </c>
      <c r="C33">
        <v>280</v>
      </c>
      <c r="D33">
        <v>0.30178111277325198</v>
      </c>
      <c r="E33">
        <v>204.96729097124413</v>
      </c>
      <c r="F33">
        <v>64.270662182095379</v>
      </c>
      <c r="G33">
        <v>72.307426350515072</v>
      </c>
      <c r="H33">
        <v>67.722510188712945</v>
      </c>
      <c r="J33">
        <v>76.346811507975303</v>
      </c>
      <c r="L33">
        <v>7.8058117724853799</v>
      </c>
      <c r="M33">
        <v>14.322461248810239</v>
      </c>
      <c r="N33">
        <v>2.590215379924298</v>
      </c>
      <c r="O33">
        <v>31.969448116286515</v>
      </c>
      <c r="P33">
        <v>12.787551895865144</v>
      </c>
      <c r="Q33">
        <v>1.5539795661971572</v>
      </c>
      <c r="R33">
        <v>17.828505261879954</v>
      </c>
      <c r="S33">
        <v>51.522085349400214</v>
      </c>
      <c r="U33">
        <v>2.2896656494305714</v>
      </c>
      <c r="V33">
        <v>49.831000262611219</v>
      </c>
      <c r="W33">
        <v>23.193277436001871</v>
      </c>
      <c r="X33">
        <v>49.873164531207863</v>
      </c>
      <c r="Y33">
        <v>9.6193200587450693</v>
      </c>
      <c r="Z33">
        <v>32.017029759402092</v>
      </c>
      <c r="AA33">
        <v>6.8708259568552599</v>
      </c>
      <c r="AB33">
        <v>37.623895142839828</v>
      </c>
      <c r="AC33">
        <v>6.8007576397095901E-3</v>
      </c>
      <c r="AD33">
        <v>8.5331733586411183</v>
      </c>
      <c r="AE33">
        <v>12.885037080006098</v>
      </c>
      <c r="AF33">
        <v>14.01253761696319</v>
      </c>
      <c r="AG33">
        <v>23.182822274470077</v>
      </c>
      <c r="AH33">
        <v>8.8345618224465401</v>
      </c>
      <c r="AI33">
        <v>2.540537069361092</v>
      </c>
      <c r="AK33">
        <v>62.077549246272191</v>
      </c>
    </row>
    <row r="34" spans="1:37" x14ac:dyDescent="0.2">
      <c r="A34">
        <v>33</v>
      </c>
      <c r="B34">
        <v>762</v>
      </c>
      <c r="C34">
        <v>280</v>
      </c>
      <c r="D34">
        <v>0.30103897985799499</v>
      </c>
      <c r="E34">
        <v>204.85877313145997</v>
      </c>
      <c r="F34">
        <v>63.936078264455453</v>
      </c>
      <c r="G34">
        <v>72.25139113207625</v>
      </c>
      <c r="H34">
        <v>67.664004922772278</v>
      </c>
      <c r="J34">
        <v>76.272176153093582</v>
      </c>
      <c r="L34">
        <v>7.7267384867516844</v>
      </c>
      <c r="M34">
        <v>14.267847914587774</v>
      </c>
      <c r="N34">
        <v>2.5851002149796236</v>
      </c>
      <c r="O34">
        <v>31.597271420806688</v>
      </c>
      <c r="P34">
        <v>12.691811243431793</v>
      </c>
      <c r="Q34">
        <v>1.5016530379784199</v>
      </c>
      <c r="R34">
        <v>17.636920404116768</v>
      </c>
      <c r="S34">
        <v>51.138615382922758</v>
      </c>
      <c r="U34">
        <v>2.221837657488178</v>
      </c>
      <c r="V34">
        <v>49.741988348096619</v>
      </c>
      <c r="W34">
        <v>23.014650545746093</v>
      </c>
      <c r="X34">
        <v>49.707100756889041</v>
      </c>
      <c r="Y34">
        <v>9.5374102364642255</v>
      </c>
      <c r="Z34">
        <v>31.833565456235405</v>
      </c>
      <c r="AA34">
        <v>6.7891645880881404</v>
      </c>
      <c r="AB34">
        <v>37.494627090545208</v>
      </c>
      <c r="AD34">
        <v>8.430285463718743</v>
      </c>
      <c r="AE34">
        <v>12.801605637704496</v>
      </c>
      <c r="AF34">
        <v>13.949716389659248</v>
      </c>
      <c r="AG34">
        <v>23.031452347376923</v>
      </c>
      <c r="AH34">
        <v>8.7189021920799377</v>
      </c>
      <c r="AI34">
        <v>2.5351395209881136</v>
      </c>
      <c r="AK34">
        <v>62.065345878637515</v>
      </c>
    </row>
    <row r="35" spans="1:37" x14ac:dyDescent="0.2">
      <c r="A35">
        <v>34</v>
      </c>
      <c r="B35">
        <v>761</v>
      </c>
      <c r="C35">
        <v>280</v>
      </c>
      <c r="D35">
        <v>0.30029541169076102</v>
      </c>
      <c r="E35">
        <v>204.7336209502316</v>
      </c>
      <c r="F35">
        <v>63.543499894409585</v>
      </c>
      <c r="G35">
        <v>72.187021086379644</v>
      </c>
      <c r="H35">
        <v>67.597177735936114</v>
      </c>
      <c r="J35">
        <v>76.166444167179492</v>
      </c>
      <c r="L35">
        <v>7.638840095344916</v>
      </c>
      <c r="M35">
        <v>14.190005264229207</v>
      </c>
      <c r="N35">
        <v>2.5870739633732081</v>
      </c>
      <c r="O35">
        <v>31.20185059985247</v>
      </c>
      <c r="P35">
        <v>12.586497463754542</v>
      </c>
      <c r="Q35">
        <v>1.431504328983338</v>
      </c>
      <c r="R35">
        <v>17.408612644506679</v>
      </c>
      <c r="S35">
        <v>50.639553514030879</v>
      </c>
      <c r="U35">
        <v>2.1339612563996133</v>
      </c>
      <c r="V35">
        <v>49.616229562526925</v>
      </c>
      <c r="W35">
        <v>22.791820397846813</v>
      </c>
      <c r="X35">
        <v>49.473083649671317</v>
      </c>
      <c r="Y35">
        <v>9.443362479761344</v>
      </c>
      <c r="Z35">
        <v>31.615324886399652</v>
      </c>
      <c r="AA35">
        <v>6.6985905021376242</v>
      </c>
      <c r="AB35">
        <v>37.323040861547298</v>
      </c>
      <c r="AD35">
        <v>8.3052876140675629</v>
      </c>
      <c r="AE35">
        <v>12.704268420360291</v>
      </c>
      <c r="AF35">
        <v>13.870755021676109</v>
      </c>
      <c r="AG35">
        <v>22.84485564306619</v>
      </c>
      <c r="AH35">
        <v>8.57644554800134</v>
      </c>
      <c r="AI35">
        <v>2.5368300660780005</v>
      </c>
      <c r="AK35">
        <v>62.041846377927925</v>
      </c>
    </row>
    <row r="36" spans="1:37" x14ac:dyDescent="0.2">
      <c r="A36">
        <v>35</v>
      </c>
      <c r="B36">
        <v>760</v>
      </c>
      <c r="C36">
        <v>280</v>
      </c>
      <c r="D36">
        <v>0.29955040410395301</v>
      </c>
      <c r="E36">
        <v>204.60863240004903</v>
      </c>
      <c r="F36">
        <v>63.151637031373248</v>
      </c>
      <c r="G36">
        <v>72.12273705551307</v>
      </c>
      <c r="H36">
        <v>67.530449490889438</v>
      </c>
      <c r="J36">
        <v>76.061330917043179</v>
      </c>
      <c r="L36">
        <v>7.5511133118014548</v>
      </c>
      <c r="M36">
        <v>14.112313815671781</v>
      </c>
      <c r="N36">
        <v>2.5890475797028065</v>
      </c>
      <c r="O36">
        <v>30.807058778138408</v>
      </c>
      <c r="P36">
        <v>12.481363217944455</v>
      </c>
      <c r="Q36">
        <v>1.3614881623901114</v>
      </c>
      <c r="R36">
        <v>17.180681771972932</v>
      </c>
      <c r="S36">
        <v>50.141449700257212</v>
      </c>
      <c r="U36">
        <v>2.0461644485957251</v>
      </c>
      <c r="V36">
        <v>49.490671891716282</v>
      </c>
      <c r="W36">
        <v>22.569278095847583</v>
      </c>
      <c r="X36">
        <v>49.239520397469121</v>
      </c>
      <c r="Y36">
        <v>9.349476859226117</v>
      </c>
      <c r="Z36">
        <v>31.397376077605625</v>
      </c>
      <c r="AA36">
        <v>6.6081904506852513</v>
      </c>
      <c r="AB36">
        <v>37.151732166022136</v>
      </c>
      <c r="AD36">
        <v>8.180401544182951</v>
      </c>
      <c r="AE36">
        <v>12.607054976260763</v>
      </c>
      <c r="AF36">
        <v>13.791944991083268</v>
      </c>
      <c r="AG36">
        <v>22.65853883213115</v>
      </c>
      <c r="AH36">
        <v>8.4342177742346003</v>
      </c>
      <c r="AI36">
        <v>2.538519657390427</v>
      </c>
      <c r="AK36">
        <v>62.018671938166136</v>
      </c>
    </row>
    <row r="37" spans="1:37" x14ac:dyDescent="0.2">
      <c r="A37">
        <v>36</v>
      </c>
      <c r="B37">
        <v>759</v>
      </c>
      <c r="C37">
        <v>280</v>
      </c>
      <c r="D37">
        <v>0.298803952913825</v>
      </c>
      <c r="E37">
        <v>204.483807043843</v>
      </c>
      <c r="F37">
        <v>62.760487748562973</v>
      </c>
      <c r="G37">
        <v>72.058538863437946</v>
      </c>
      <c r="H37">
        <v>67.463820032230814</v>
      </c>
      <c r="J37">
        <v>75.956835907251545</v>
      </c>
      <c r="L37">
        <v>7.4635577192897076</v>
      </c>
      <c r="M37">
        <v>14.034773050988623</v>
      </c>
      <c r="N37">
        <v>2.5910210644660951</v>
      </c>
      <c r="O37">
        <v>30.412894483449353</v>
      </c>
      <c r="P37">
        <v>12.376408176822544</v>
      </c>
      <c r="Q37">
        <v>1.2916038169371009</v>
      </c>
      <c r="R37">
        <v>16.953126567716744</v>
      </c>
      <c r="S37">
        <v>49.644300939015416</v>
      </c>
      <c r="U37">
        <v>1.9584468337856127</v>
      </c>
      <c r="V37">
        <v>49.365314605361839</v>
      </c>
      <c r="W37">
        <v>22.347022573423111</v>
      </c>
      <c r="X37">
        <v>49.006409428552757</v>
      </c>
      <c r="Y37">
        <v>9.2557529629422888</v>
      </c>
      <c r="Z37">
        <v>31.179717879725047</v>
      </c>
      <c r="AA37">
        <v>6.517964008402414</v>
      </c>
      <c r="AB37">
        <v>36.980699937314569</v>
      </c>
      <c r="AD37">
        <v>8.0556270694277856</v>
      </c>
      <c r="AE37">
        <v>12.509964749080835</v>
      </c>
      <c r="AF37">
        <v>13.71328578600116</v>
      </c>
      <c r="AG37">
        <v>22.47250085425431</v>
      </c>
      <c r="AH37">
        <v>8.2922184528336729</v>
      </c>
      <c r="AI37">
        <v>2.5402082935863843</v>
      </c>
      <c r="AK37">
        <v>61.995822471366381</v>
      </c>
    </row>
    <row r="38" spans="1:37" x14ac:dyDescent="0.2">
      <c r="A38">
        <v>37</v>
      </c>
      <c r="B38">
        <v>758</v>
      </c>
      <c r="C38">
        <v>280</v>
      </c>
      <c r="D38">
        <v>0.29805605392037998</v>
      </c>
      <c r="E38">
        <v>204.35914444987594</v>
      </c>
      <c r="F38">
        <v>62.370050141569138</v>
      </c>
      <c r="G38">
        <v>71.9944263367519</v>
      </c>
      <c r="H38">
        <v>67.397289207236497</v>
      </c>
      <c r="J38">
        <v>75.852958653582434</v>
      </c>
      <c r="L38">
        <v>7.3761729129223461</v>
      </c>
      <c r="M38">
        <v>13.957382456602359</v>
      </c>
      <c r="N38">
        <v>2.5929944182978861</v>
      </c>
      <c r="O38">
        <v>30.019356261439718</v>
      </c>
      <c r="P38">
        <v>12.271632016680172</v>
      </c>
      <c r="Q38">
        <v>1.2218505746358073</v>
      </c>
      <c r="R38">
        <v>16.725945825687436</v>
      </c>
      <c r="S38">
        <v>49.148104255314117</v>
      </c>
      <c r="U38">
        <v>1.8708080166676879</v>
      </c>
      <c r="V38">
        <v>49.240156974192132</v>
      </c>
      <c r="W38">
        <v>22.125052772664876</v>
      </c>
      <c r="X38">
        <v>48.773749185659433</v>
      </c>
      <c r="Y38">
        <v>9.1621903847011108</v>
      </c>
      <c r="Z38">
        <v>30.962349150738845</v>
      </c>
      <c r="AA38">
        <v>6.4279107552221681</v>
      </c>
      <c r="AB38">
        <v>36.809943116438184</v>
      </c>
      <c r="AD38">
        <v>7.9309640072002612</v>
      </c>
      <c r="AE38">
        <v>12.412997185910477</v>
      </c>
      <c r="AF38">
        <v>13.63477689904548</v>
      </c>
      <c r="AG38">
        <v>22.286740656939649</v>
      </c>
      <c r="AH38">
        <v>8.15044717271293</v>
      </c>
      <c r="AI38">
        <v>2.5418959734630691</v>
      </c>
      <c r="AK38">
        <v>61.973297895508942</v>
      </c>
    </row>
    <row r="39" spans="1:37" x14ac:dyDescent="0.2">
      <c r="A39">
        <v>38</v>
      </c>
      <c r="B39">
        <v>757</v>
      </c>
      <c r="C39">
        <v>280</v>
      </c>
      <c r="D39">
        <v>0.29730670290734501</v>
      </c>
      <c r="E39">
        <v>204.23464419221719</v>
      </c>
      <c r="F39">
        <v>61.980322330037978</v>
      </c>
      <c r="G39">
        <v>71.930399304960048</v>
      </c>
      <c r="H39">
        <v>67.330856866128414</v>
      </c>
      <c r="J39">
        <v>75.749698683968219</v>
      </c>
      <c r="L39">
        <v>7.2889585013070679</v>
      </c>
      <c r="M39">
        <v>13.88014152409119</v>
      </c>
      <c r="N39">
        <v>2.5949676416723393</v>
      </c>
      <c r="O39">
        <v>29.626442676193246</v>
      </c>
      <c r="P39">
        <v>12.167034419525631</v>
      </c>
      <c r="Q39">
        <v>1.152169897994141</v>
      </c>
      <c r="R39">
        <v>16.499138353706027</v>
      </c>
      <c r="S39">
        <v>48.652856705672797</v>
      </c>
      <c r="U39">
        <v>1.7832476076185229</v>
      </c>
      <c r="V39">
        <v>49.115198271018329</v>
      </c>
      <c r="W39">
        <v>21.903367645671072</v>
      </c>
      <c r="X39">
        <v>48.541538128524103</v>
      </c>
      <c r="Y39">
        <v>9.0687887243599175</v>
      </c>
      <c r="Z39">
        <v>30.745268758016778</v>
      </c>
      <c r="AA39">
        <v>6.3380302765947567</v>
      </c>
      <c r="AB39">
        <v>36.639460653625036</v>
      </c>
      <c r="AD39">
        <v>7.806412177778224</v>
      </c>
      <c r="AE39">
        <v>12.316151737790564</v>
      </c>
      <c r="AF39">
        <v>13.556417827843136</v>
      </c>
      <c r="AG39">
        <v>22.101257196770362</v>
      </c>
      <c r="AH39">
        <v>8.0089035305450906</v>
      </c>
      <c r="AI39">
        <v>2.5435826956564429</v>
      </c>
      <c r="AK39">
        <v>61.9510981347916</v>
      </c>
    </row>
    <row r="40" spans="1:37" x14ac:dyDescent="0.2">
      <c r="A40">
        <v>39</v>
      </c>
      <c r="B40">
        <v>756</v>
      </c>
      <c r="C40">
        <v>280</v>
      </c>
      <c r="D40">
        <v>0.29655589564203599</v>
      </c>
      <c r="E40">
        <v>204.11030585023076</v>
      </c>
      <c r="F40">
        <v>61.591302455759049</v>
      </c>
      <c r="G40">
        <v>71.866457600190898</v>
      </c>
      <c r="H40">
        <v>67.264522861792841</v>
      </c>
      <c r="J40">
        <v>75.647055537510852</v>
      </c>
      <c r="L40">
        <v>7.2018579455768847</v>
      </c>
      <c r="M40">
        <v>13.803049749371887</v>
      </c>
      <c r="N40">
        <v>2.5969407351675726</v>
      </c>
      <c r="O40">
        <v>29.234152309423571</v>
      </c>
      <c r="P40">
        <v>12.062615072781682</v>
      </c>
      <c r="Q40">
        <v>1.082673578666957</v>
      </c>
      <c r="R40">
        <v>16.272702972241088</v>
      </c>
      <c r="S40">
        <v>48.158555374089659</v>
      </c>
      <c r="U40">
        <v>1.6957652219956718</v>
      </c>
      <c r="V40">
        <v>48.990437769346741</v>
      </c>
      <c r="W40">
        <v>21.681966152913407</v>
      </c>
      <c r="X40">
        <v>48.309774729779825</v>
      </c>
      <c r="Y40">
        <v>8.9755475874447512</v>
      </c>
      <c r="Z40">
        <v>30.52847557694346</v>
      </c>
      <c r="AA40">
        <v>6.2483221632258354</v>
      </c>
      <c r="AB40">
        <v>36.46925150673286</v>
      </c>
      <c r="AD40">
        <v>7.6819714035264912</v>
      </c>
      <c r="AE40">
        <v>12.219427859121128</v>
      </c>
      <c r="AF40">
        <v>13.478208074475084</v>
      </c>
      <c r="AG40">
        <v>21.916049438075476</v>
      </c>
      <c r="AH40">
        <v>7.8675871298420406</v>
      </c>
      <c r="AI40">
        <v>2.5452684589061936</v>
      </c>
      <c r="AK40">
        <v>61.929223119331645</v>
      </c>
    </row>
    <row r="41" spans="1:37" x14ac:dyDescent="0.2">
      <c r="A41">
        <v>40</v>
      </c>
      <c r="B41">
        <v>755</v>
      </c>
      <c r="C41">
        <v>280</v>
      </c>
      <c r="D41">
        <v>0.29580362787530801</v>
      </c>
      <c r="E41">
        <v>203.98612900882625</v>
      </c>
      <c r="F41">
        <v>61.202988683499534</v>
      </c>
      <c r="G41">
        <v>71.802601057332851</v>
      </c>
      <c r="H41">
        <v>67.198287049916956</v>
      </c>
      <c r="J41">
        <v>75.545028764952946</v>
      </c>
      <c r="L41">
        <v>7.1149802956800992</v>
      </c>
      <c r="M41">
        <v>13.726106633080926</v>
      </c>
      <c r="N41">
        <v>2.5989136993248017</v>
      </c>
      <c r="O41">
        <v>28.842483760739171</v>
      </c>
      <c r="P41">
        <v>11.958373669413159</v>
      </c>
      <c r="Q41">
        <v>1.0133060464057553</v>
      </c>
      <c r="R41">
        <v>16.04663851495733</v>
      </c>
      <c r="S41">
        <v>47.665197373909137</v>
      </c>
      <c r="U41">
        <v>1.6083604804702316</v>
      </c>
      <c r="V41">
        <v>48.865874743842738</v>
      </c>
      <c r="W41">
        <v>21.460847263970592</v>
      </c>
      <c r="X41">
        <v>48.078457478651629</v>
      </c>
      <c r="Y41">
        <v>8.8824665853319189</v>
      </c>
      <c r="Z41">
        <v>30.311968491465098</v>
      </c>
      <c r="AA41">
        <v>6.158786011216689</v>
      </c>
      <c r="AB41">
        <v>36.299314641943283</v>
      </c>
      <c r="AD41">
        <v>7.5576415092946965</v>
      </c>
      <c r="AE41">
        <v>12.122825007873946</v>
      </c>
      <c r="AF41">
        <v>13.400147145716382</v>
      </c>
      <c r="AG41">
        <v>21.731116353491636</v>
      </c>
      <c r="AH41">
        <v>7.726497581394165</v>
      </c>
      <c r="AI41">
        <v>2.54695326191464</v>
      </c>
      <c r="AK41">
        <v>61.907672785315789</v>
      </c>
    </row>
    <row r="42" spans="1:37" x14ac:dyDescent="0.2">
      <c r="A42">
        <v>41</v>
      </c>
      <c r="B42">
        <v>754</v>
      </c>
      <c r="C42">
        <v>280</v>
      </c>
      <c r="D42">
        <v>0.29504989534147702</v>
      </c>
      <c r="E42">
        <v>203.86211325824752</v>
      </c>
      <c r="F42">
        <v>60.815379200200923</v>
      </c>
      <c r="G42">
        <v>71.738829513928877</v>
      </c>
      <c r="H42">
        <v>67.132149288881138</v>
      </c>
      <c r="J42">
        <v>75.443617928304604</v>
      </c>
      <c r="L42">
        <v>7.0282716308701998</v>
      </c>
      <c r="M42">
        <v>13.649311680311627</v>
      </c>
      <c r="N42">
        <v>2.6008865347106194</v>
      </c>
      <c r="O42">
        <v>28.451435647230554</v>
      </c>
      <c r="P42">
        <v>11.854309907786803</v>
      </c>
      <c r="Q42">
        <v>0.94406658549582512</v>
      </c>
      <c r="R42">
        <v>15.820943828249742</v>
      </c>
      <c r="S42">
        <v>47.172779846452933</v>
      </c>
      <c r="U42">
        <v>1.5210330087988719</v>
      </c>
      <c r="V42">
        <v>48.741508469701792</v>
      </c>
      <c r="W42">
        <v>21.24000995702751</v>
      </c>
      <c r="X42">
        <v>47.847584878930313</v>
      </c>
      <c r="Y42">
        <v>8.7895453350856769</v>
      </c>
      <c r="Z42">
        <v>30.095746393660278</v>
      </c>
      <c r="AA42">
        <v>6.0694214219616773</v>
      </c>
      <c r="AB42">
        <v>36.129649033268763</v>
      </c>
      <c r="AD42">
        <v>7.4334223221954945</v>
      </c>
      <c r="AE42">
        <v>12.026342645418024</v>
      </c>
      <c r="AF42">
        <v>13.322234552838978</v>
      </c>
      <c r="AG42">
        <v>21.546456923530986</v>
      </c>
      <c r="AH42">
        <v>7.5856345029486034</v>
      </c>
      <c r="AI42">
        <v>2.5486371034105257</v>
      </c>
      <c r="AK42">
        <v>61.88644707485021</v>
      </c>
    </row>
    <row r="43" spans="1:37" x14ac:dyDescent="0.2">
      <c r="A43">
        <v>42</v>
      </c>
      <c r="B43">
        <v>753</v>
      </c>
      <c r="C43">
        <v>280</v>
      </c>
      <c r="D43">
        <v>0.29429469375822398</v>
      </c>
      <c r="E43">
        <v>203.7382581941196</v>
      </c>
      <c r="F43">
        <v>60.428472215154116</v>
      </c>
      <c r="G43">
        <v>71.675142810213657</v>
      </c>
      <c r="H43">
        <v>67.066109439800769</v>
      </c>
      <c r="J43">
        <v>75.342822600931996</v>
      </c>
      <c r="L43">
        <v>6.9417315820356231</v>
      </c>
      <c r="M43">
        <v>13.572664400722653</v>
      </c>
      <c r="N43">
        <v>2.6028592418593721</v>
      </c>
      <c r="O43">
        <v>28.061006603465383</v>
      </c>
      <c r="P43">
        <v>11.750423491681262</v>
      </c>
      <c r="Q43">
        <v>0.87495448318033775</v>
      </c>
      <c r="R43">
        <v>15.595617771361654</v>
      </c>
      <c r="S43">
        <v>46.681299961544461</v>
      </c>
      <c r="U43">
        <v>1.4337824379199489</v>
      </c>
      <c r="V43">
        <v>48.617338222644754</v>
      </c>
      <c r="W43">
        <v>21.019453219092863</v>
      </c>
      <c r="X43">
        <v>47.617155448808042</v>
      </c>
      <c r="Y43">
        <v>8.6967834594970999</v>
      </c>
      <c r="Z43">
        <v>29.879808183903283</v>
      </c>
      <c r="AA43">
        <v>5.980228002199139</v>
      </c>
      <c r="AB43">
        <v>35.960253662773255</v>
      </c>
      <c r="AD43">
        <v>7.3093136717538547</v>
      </c>
      <c r="AE43">
        <v>11.929980236578276</v>
      </c>
      <c r="AF43">
        <v>13.244469811657581</v>
      </c>
      <c r="AG43">
        <v>21.362070136741355</v>
      </c>
      <c r="AH43">
        <v>7.4449975193413742</v>
      </c>
      <c r="AI43">
        <v>2.5503199820880211</v>
      </c>
      <c r="AK43">
        <v>61.865545935956895</v>
      </c>
    </row>
    <row r="44" spans="1:37" x14ac:dyDescent="0.2">
      <c r="A44">
        <v>43</v>
      </c>
      <c r="B44">
        <v>752</v>
      </c>
      <c r="C44">
        <v>280</v>
      </c>
      <c r="D44">
        <v>0.29353801882651298</v>
      </c>
      <c r="E44">
        <v>203.61456341728257</v>
      </c>
      <c r="F44">
        <v>60.042265959282311</v>
      </c>
      <c r="G44">
        <v>71.611540789014242</v>
      </c>
      <c r="H44">
        <v>67.00016736642182</v>
      </c>
      <c r="J44">
        <v>75.242642367243661</v>
      </c>
      <c r="L44">
        <v>6.8553597963595241</v>
      </c>
      <c r="M44">
        <v>13.496164308235569</v>
      </c>
      <c r="N44">
        <v>2.6048318213665245</v>
      </c>
      <c r="O44">
        <v>27.671195281175503</v>
      </c>
      <c r="P44">
        <v>11.646714130184661</v>
      </c>
      <c r="Q44">
        <v>0.80596902955537097</v>
      </c>
      <c r="R44">
        <v>15.370659215934317</v>
      </c>
      <c r="S44">
        <v>46.190754916024467</v>
      </c>
      <c r="U44">
        <v>1.3466084037044734</v>
      </c>
      <c r="V44">
        <v>48.493363278305019</v>
      </c>
      <c r="W44">
        <v>20.799176045388393</v>
      </c>
      <c r="X44">
        <v>47.38716772066249</v>
      </c>
      <c r="Y44">
        <v>8.604180586942844</v>
      </c>
      <c r="Z44">
        <v>29.664152770295292</v>
      </c>
      <c r="AA44">
        <v>5.891205363933965</v>
      </c>
      <c r="AB44">
        <v>35.791127519943828</v>
      </c>
      <c r="AD44">
        <v>7.1853153896109214</v>
      </c>
      <c r="AE44">
        <v>11.833737249381034</v>
      </c>
      <c r="AF44">
        <v>13.166852442328022</v>
      </c>
      <c r="AG44">
        <v>21.177954989176797</v>
      </c>
      <c r="AH44">
        <v>7.3045862621628457</v>
      </c>
      <c r="AI44">
        <v>2.5520018967039269</v>
      </c>
      <c r="AK44">
        <v>61.844969322502742</v>
      </c>
    </row>
    <row r="45" spans="1:37" x14ac:dyDescent="0.2">
      <c r="A45">
        <v>44</v>
      </c>
      <c r="B45">
        <v>751</v>
      </c>
      <c r="C45">
        <v>280</v>
      </c>
      <c r="D45">
        <v>0.29277986623053498</v>
      </c>
      <c r="E45">
        <v>203.49102853425256</v>
      </c>
      <c r="F45">
        <v>59.656758686604114</v>
      </c>
      <c r="G45">
        <v>71.548023295958927</v>
      </c>
      <c r="H45">
        <v>66.934322935333412</v>
      </c>
      <c r="J45">
        <v>75.143076823534344</v>
      </c>
      <c r="L45">
        <v>6.7691559402034729</v>
      </c>
      <c r="M45">
        <v>13.41981092161318</v>
      </c>
      <c r="N45">
        <v>2.6068042737204382</v>
      </c>
      <c r="O45">
        <v>27.282000349750167</v>
      </c>
      <c r="P45">
        <v>11.543181537943486</v>
      </c>
      <c r="Q45">
        <v>0.7371095181334294</v>
      </c>
      <c r="R45">
        <v>15.146067046950733</v>
      </c>
      <c r="S45">
        <v>45.701141936601083</v>
      </c>
      <c r="U45">
        <v>1.2595105474401564</v>
      </c>
      <c r="V45">
        <v>48.369582913009971</v>
      </c>
      <c r="W45">
        <v>20.579177440328468</v>
      </c>
      <c r="X45">
        <v>47.157620243101732</v>
      </c>
      <c r="Y45">
        <v>8.5117363516967686</v>
      </c>
      <c r="Z45">
        <v>29.448779069362637</v>
      </c>
      <c r="AA45">
        <v>5.8023531247126741</v>
      </c>
      <c r="AB45">
        <v>35.622269602634795</v>
      </c>
      <c r="AD45">
        <v>7.0614273100406679</v>
      </c>
      <c r="AE45">
        <v>11.737613155296081</v>
      </c>
      <c r="AF45">
        <v>13.089381969749128</v>
      </c>
      <c r="AG45">
        <v>20.994110485167329</v>
      </c>
      <c r="AH45">
        <v>7.1644003704207044</v>
      </c>
      <c r="AI45">
        <v>2.5536828459071264</v>
      </c>
      <c r="AK45">
        <v>61.824717194546146</v>
      </c>
    </row>
    <row r="46" spans="1:37" x14ac:dyDescent="0.2">
      <c r="A46">
        <v>45</v>
      </c>
      <c r="B46">
        <v>750</v>
      </c>
      <c r="C46">
        <v>280</v>
      </c>
      <c r="D46">
        <v>0.292020231637589</v>
      </c>
      <c r="E46">
        <v>203.36765315643328</v>
      </c>
      <c r="F46">
        <v>59.271948671638633</v>
      </c>
      <c r="G46">
        <v>71.484590179136902</v>
      </c>
      <c r="H46">
        <v>66.868576015626488</v>
      </c>
      <c r="J46">
        <v>75.044125576563275</v>
      </c>
      <c r="L46">
        <v>6.6831197020480468</v>
      </c>
      <c r="M46">
        <v>13.343603763561747</v>
      </c>
      <c r="N46">
        <v>2.6087765995106409</v>
      </c>
      <c r="O46">
        <v>26.893420495144962</v>
      </c>
      <c r="P46">
        <v>11.43982543469088</v>
      </c>
      <c r="Q46">
        <v>0.668375245222669</v>
      </c>
      <c r="R46">
        <v>14.921840161135759</v>
      </c>
      <c r="S46">
        <v>45.212458275328288</v>
      </c>
      <c r="U46">
        <v>1.172488515080792</v>
      </c>
      <c r="V46">
        <v>48.245996402021248</v>
      </c>
      <c r="W46">
        <v>20.359456416010335</v>
      </c>
      <c r="X46">
        <v>46.928511577166432</v>
      </c>
      <c r="Y46">
        <v>8.4194503933918075</v>
      </c>
      <c r="Z46">
        <v>29.233686004924202</v>
      </c>
      <c r="AA46">
        <v>5.7136709072225935</v>
      </c>
      <c r="AB46">
        <v>35.453678915610851</v>
      </c>
      <c r="AD46">
        <v>6.9376492692301577</v>
      </c>
      <c r="AE46">
        <v>11.641607428831058</v>
      </c>
      <c r="AF46">
        <v>13.012057922877736</v>
      </c>
      <c r="AG46">
        <v>20.810535636074931</v>
      </c>
      <c r="AH46">
        <v>7.0244394894905549</v>
      </c>
      <c r="AI46">
        <v>2.5553628284469698</v>
      </c>
      <c r="AK46">
        <v>61.804789517696143</v>
      </c>
    </row>
    <row r="47" spans="1:37" x14ac:dyDescent="0.2">
      <c r="A47">
        <v>46</v>
      </c>
      <c r="B47">
        <v>749</v>
      </c>
      <c r="C47">
        <v>280</v>
      </c>
      <c r="D47">
        <v>0.291259110698039</v>
      </c>
      <c r="E47">
        <v>203.24443690061631</v>
      </c>
      <c r="F47">
        <v>58.887834210922605</v>
      </c>
      <c r="G47">
        <v>71.421241289303225</v>
      </c>
      <c r="H47">
        <v>66.802926479098915</v>
      </c>
      <c r="J47">
        <v>74.945788244453297</v>
      </c>
      <c r="L47">
        <v>6.5972507971055894</v>
      </c>
      <c r="M47">
        <v>13.267542361255552</v>
      </c>
      <c r="N47">
        <v>2.6107487992946457</v>
      </c>
      <c r="O47">
        <v>26.505454420410562</v>
      </c>
      <c r="P47">
        <v>11.336645545526729</v>
      </c>
      <c r="Q47">
        <v>0.59976551053774985</v>
      </c>
      <c r="R47">
        <v>14.697977467894932</v>
      </c>
      <c r="S47">
        <v>44.724701212244156</v>
      </c>
      <c r="U47">
        <v>1.085541957691788</v>
      </c>
      <c r="V47">
        <v>48.122603020303615</v>
      </c>
      <c r="W47">
        <v>20.140011993032712</v>
      </c>
      <c r="X47">
        <v>46.699840299157316</v>
      </c>
      <c r="Y47">
        <v>8.327322357342009</v>
      </c>
      <c r="Z47">
        <v>29.018872508615438</v>
      </c>
      <c r="AA47">
        <v>5.6251583395917768</v>
      </c>
      <c r="AB47">
        <v>35.285354471321533</v>
      </c>
      <c r="AD47">
        <v>6.8139811057066142</v>
      </c>
      <c r="AE47">
        <v>11.545719547677677</v>
      </c>
      <c r="AF47">
        <v>12.934879835120531</v>
      </c>
      <c r="AG47">
        <v>20.627229460933801</v>
      </c>
      <c r="AH47">
        <v>6.8847032717482444</v>
      </c>
      <c r="AI47">
        <v>2.557041843041608</v>
      </c>
      <c r="AK47">
        <v>61.785186263538094</v>
      </c>
    </row>
    <row r="48" spans="1:37" x14ac:dyDescent="0.2">
      <c r="A48">
        <v>47</v>
      </c>
      <c r="B48">
        <v>748</v>
      </c>
      <c r="C48">
        <v>280</v>
      </c>
      <c r="D48">
        <v>0.29049649904519698</v>
      </c>
      <c r="E48">
        <v>203.12137938882273</v>
      </c>
      <c r="F48">
        <v>58.504413622453477</v>
      </c>
      <c r="G48">
        <v>71.357976479820749</v>
      </c>
      <c r="H48">
        <v>66.737374200197237</v>
      </c>
      <c r="J48">
        <v>74.848064456425533</v>
      </c>
      <c r="L48">
        <v>6.5115489728725811</v>
      </c>
      <c r="M48">
        <v>13.191626246216291</v>
      </c>
      <c r="N48">
        <v>2.6127208736059839</v>
      </c>
      <c r="O48">
        <v>26.118100845425481</v>
      </c>
      <c r="P48">
        <v>11.233641600801942</v>
      </c>
      <c r="Q48">
        <v>0.53127961725329076</v>
      </c>
      <c r="R48">
        <v>14.474477889027206</v>
      </c>
      <c r="S48">
        <v>44.23786805469971</v>
      </c>
      <c r="U48">
        <v>0.99867053134546702</v>
      </c>
      <c r="V48">
        <v>47.999402042041055</v>
      </c>
      <c r="W48">
        <v>19.920843200316252</v>
      </c>
      <c r="X48">
        <v>46.471604999535252</v>
      </c>
      <c r="Y48">
        <v>8.2353518944342756</v>
      </c>
      <c r="Z48">
        <v>28.804337519738645</v>
      </c>
      <c r="AA48">
        <v>5.536815055329753</v>
      </c>
      <c r="AB48">
        <v>35.117295289718157</v>
      </c>
      <c r="AD48">
        <v>6.6904226602657415</v>
      </c>
      <c r="AE48">
        <v>11.449948992664471</v>
      </c>
      <c r="AF48">
        <v>12.857847244221611</v>
      </c>
      <c r="AG48">
        <v>20.444190986277164</v>
      </c>
      <c r="AH48">
        <v>6.7451913763966891</v>
      </c>
      <c r="AI48">
        <v>2.5587198883841631</v>
      </c>
      <c r="AK48">
        <v>61.765907409479979</v>
      </c>
    </row>
    <row r="49" spans="1:37" x14ac:dyDescent="0.2">
      <c r="A49">
        <v>48</v>
      </c>
      <c r="B49">
        <v>747</v>
      </c>
      <c r="C49">
        <v>280</v>
      </c>
      <c r="D49">
        <v>0.28973239229525299</v>
      </c>
      <c r="E49">
        <v>202.9984802482366</v>
      </c>
      <c r="F49">
        <v>58.121685245352232</v>
      </c>
      <c r="G49">
        <v>71.294795606607764</v>
      </c>
      <c r="H49">
        <v>66.671919055964992</v>
      </c>
      <c r="J49">
        <v>74.750953852653254</v>
      </c>
      <c r="L49">
        <v>6.425958792036548</v>
      </c>
      <c r="M49">
        <v>13.115854954112834</v>
      </c>
      <c r="N49">
        <v>2.614692823020329</v>
      </c>
      <c r="O49">
        <v>25.73135850671078</v>
      </c>
      <c r="P49">
        <v>11.13081333608797</v>
      </c>
      <c r="Q49">
        <v>0.46291687209823157</v>
      </c>
      <c r="R49">
        <v>14.251340358466617</v>
      </c>
      <c r="S49">
        <v>43.751956136384145</v>
      </c>
      <c r="U49">
        <v>0.91187389696150656</v>
      </c>
      <c r="V49">
        <v>47.876392740169088</v>
      </c>
      <c r="W49">
        <v>19.701949074662007</v>
      </c>
      <c r="X49">
        <v>46.243804282474009</v>
      </c>
      <c r="Y49">
        <v>8.1435386610647935</v>
      </c>
      <c r="Z49">
        <v>28.590079984826367</v>
      </c>
      <c r="AA49">
        <v>5.448640693332214</v>
      </c>
      <c r="AB49">
        <v>34.949500397800549</v>
      </c>
      <c r="AD49">
        <v>6.5669737757678757</v>
      </c>
      <c r="AE49">
        <v>11.354295247543615</v>
      </c>
      <c r="AF49">
        <v>12.78095969212254</v>
      </c>
      <c r="AG49">
        <v>20.261419245745149</v>
      </c>
      <c r="AH49">
        <v>6.6059034692791023</v>
      </c>
      <c r="AI49">
        <v>2.560396963210597</v>
      </c>
      <c r="AK49">
        <v>61.746952938761702</v>
      </c>
    </row>
    <row r="50" spans="1:37" x14ac:dyDescent="0.2">
      <c r="A50">
        <v>49</v>
      </c>
      <c r="B50">
        <v>746</v>
      </c>
      <c r="C50">
        <v>280</v>
      </c>
      <c r="D50">
        <v>0.288966786047197</v>
      </c>
      <c r="E50">
        <v>202.87573911111014</v>
      </c>
      <c r="F50">
        <v>57.739647439598002</v>
      </c>
      <c r="G50">
        <v>71.231698528124568</v>
      </c>
      <c r="H50">
        <v>66.606560926028621</v>
      </c>
      <c r="J50">
        <v>74.654456084128796</v>
      </c>
      <c r="L50">
        <v>6.3405857475167249</v>
      </c>
      <c r="M50">
        <v>13.040228024796395</v>
      </c>
      <c r="N50">
        <v>2.6166646480942628</v>
      </c>
      <c r="O50">
        <v>25.345226157229607</v>
      </c>
      <c r="P50">
        <v>11.028160492085279</v>
      </c>
      <c r="Q50">
        <v>0.39461711343758998</v>
      </c>
      <c r="R50">
        <v>14.028563822193028</v>
      </c>
      <c r="S50">
        <v>43.266962817593118</v>
      </c>
      <c r="U50">
        <v>0.82515172033850404</v>
      </c>
      <c r="V50">
        <v>47.753574386117698</v>
      </c>
      <c r="W50">
        <v>19.483328660903446</v>
      </c>
      <c r="X50">
        <v>46.016436766043441</v>
      </c>
      <c r="Y50">
        <v>8.0518823190838251</v>
      </c>
      <c r="Z50">
        <v>28.376098857818455</v>
      </c>
      <c r="AA50">
        <v>5.3606348978573148</v>
      </c>
      <c r="AB50">
        <v>34.781968829801386</v>
      </c>
      <c r="AD50">
        <v>6.4436342972577574</v>
      </c>
      <c r="AE50">
        <v>11.258757799092692</v>
      </c>
      <c r="AF50">
        <v>12.704216724948616</v>
      </c>
      <c r="AG50">
        <v>20.07891328021125</v>
      </c>
      <c r="AH50">
        <v>6.4668392228842047</v>
      </c>
      <c r="AI50">
        <v>2.5620730662367324</v>
      </c>
      <c r="AK50">
        <v>61.728322840300528</v>
      </c>
    </row>
    <row r="51" spans="1:37" x14ac:dyDescent="0.2">
      <c r="A51">
        <v>50</v>
      </c>
      <c r="B51">
        <v>745</v>
      </c>
      <c r="C51">
        <v>280</v>
      </c>
      <c r="D51">
        <v>0.28819967588272899</v>
      </c>
      <c r="E51">
        <v>202.75315561495947</v>
      </c>
      <c r="F51">
        <v>57.358298586463455</v>
      </c>
      <c r="G51">
        <v>71.168685105425155</v>
      </c>
      <c r="H51">
        <v>66.541299692650639</v>
      </c>
      <c r="J51">
        <v>74.558570812992485</v>
      </c>
      <c r="L51">
        <v>6.255378526460972</v>
      </c>
      <c r="M51">
        <v>12.964745002371535</v>
      </c>
      <c r="N51">
        <v>2.6186363493811071</v>
      </c>
      <c r="O51">
        <v>24.959702566545204</v>
      </c>
      <c r="P51">
        <v>10.925682814744672</v>
      </c>
      <c r="Q51">
        <v>0.32649514561513659</v>
      </c>
      <c r="R51">
        <v>13.806147238465938</v>
      </c>
      <c r="S51">
        <v>42.78288548533915</v>
      </c>
      <c r="U51">
        <v>0.73850367221542523</v>
      </c>
      <c r="V51">
        <v>47.630946249798377</v>
      </c>
      <c r="W51">
        <v>19.264981011881677</v>
      </c>
      <c r="X51">
        <v>45.789501082704213</v>
      </c>
      <c r="Y51">
        <v>7.9603825359028075</v>
      </c>
      <c r="Z51">
        <v>28.162393099871043</v>
      </c>
      <c r="AA51">
        <v>5.2728744712414777</v>
      </c>
      <c r="AB51">
        <v>34.614699627089159</v>
      </c>
      <c r="AD51">
        <v>6.3204040719373547</v>
      </c>
      <c r="AE51">
        <v>11.163336136968701</v>
      </c>
      <c r="AF51">
        <v>12.62761789307965</v>
      </c>
      <c r="AG51">
        <v>19.896672137703845</v>
      </c>
      <c r="AH51">
        <v>6.3279983164617288</v>
      </c>
      <c r="AI51">
        <v>2.5637481961760638</v>
      </c>
      <c r="AK51">
        <v>61.710017108937862</v>
      </c>
    </row>
    <row r="52" spans="1:37" x14ac:dyDescent="0.2">
      <c r="A52">
        <v>51</v>
      </c>
      <c r="B52">
        <v>744</v>
      </c>
      <c r="C52">
        <v>280</v>
      </c>
      <c r="D52">
        <v>0.28743105736617303</v>
      </c>
      <c r="E52">
        <v>202.63072940228741</v>
      </c>
      <c r="F52">
        <v>56.977637087652582</v>
      </c>
      <c r="G52">
        <v>71.105755202059385</v>
      </c>
      <c r="H52">
        <v>66.476135240630924</v>
      </c>
      <c r="J52">
        <v>74.463297712050377</v>
      </c>
      <c r="L52">
        <v>6.1703369361502123</v>
      </c>
      <c r="M52">
        <v>12.889405434980102</v>
      </c>
      <c r="N52">
        <v>2.620607927441053</v>
      </c>
      <c r="O52">
        <v>24.574786520380535</v>
      </c>
      <c r="P52">
        <v>10.823380055077525</v>
      </c>
      <c r="Q52">
        <v>0.2584940375700453</v>
      </c>
      <c r="R52">
        <v>13.584089577343752</v>
      </c>
      <c r="S52">
        <v>42.299721552428785</v>
      </c>
      <c r="U52">
        <v>0.65192942809522292</v>
      </c>
      <c r="V52">
        <v>47.508507598922037</v>
      </c>
      <c r="W52">
        <v>19.046905188164448</v>
      </c>
      <c r="X52">
        <v>45.562995878080706</v>
      </c>
      <c r="Y52">
        <v>7.8690389843104995</v>
      </c>
      <c r="Z52">
        <v>27.948961679193282</v>
      </c>
      <c r="AA52">
        <v>5.1852042471908497</v>
      </c>
      <c r="AB52">
        <v>34.447691837930435</v>
      </c>
      <c r="AD52">
        <v>6.1972829490674286</v>
      </c>
      <c r="AE52">
        <v>11.068029753680584</v>
      </c>
      <c r="AF52">
        <v>12.551162750956722</v>
      </c>
      <c r="AG52">
        <v>19.714694873172423</v>
      </c>
      <c r="AH52">
        <v>6.1893804357469318</v>
      </c>
      <c r="AI52">
        <v>2.5654223517477894</v>
      </c>
      <c r="AK52">
        <v>61.692035745150555</v>
      </c>
    </row>
    <row r="53" spans="1:37" x14ac:dyDescent="0.2">
      <c r="A53">
        <v>52</v>
      </c>
      <c r="B53">
        <v>743</v>
      </c>
      <c r="C53">
        <v>280</v>
      </c>
      <c r="D53">
        <v>0.28666092604438298</v>
      </c>
      <c r="E53">
        <v>202.50846012071756</v>
      </c>
      <c r="F53">
        <v>56.597661365679123</v>
      </c>
      <c r="G53">
        <v>71.042908684131319</v>
      </c>
      <c r="H53">
        <v>66.41106745736451</v>
      </c>
      <c r="J53">
        <v>74.368636465030377</v>
      </c>
      <c r="L53">
        <v>6.0854608397299748</v>
      </c>
      <c r="M53">
        <v>12.814208874944173</v>
      </c>
      <c r="N53">
        <v>2.6225793827941279</v>
      </c>
      <c r="O53">
        <v>24.190476820715716</v>
      </c>
      <c r="P53">
        <v>10.721251969231689</v>
      </c>
      <c r="Q53">
        <v>0.19061309333936696</v>
      </c>
      <c r="R53">
        <v>13.362389820910309</v>
      </c>
      <c r="S53">
        <v>41.817468458105658</v>
      </c>
      <c r="U53">
        <v>0.56542866836804917</v>
      </c>
      <c r="V53">
        <v>47.386257698984046</v>
      </c>
      <c r="W53">
        <v>18.829100258251252</v>
      </c>
      <c r="X53">
        <v>45.336919812047391</v>
      </c>
      <c r="Y53">
        <v>7.7778513425620082</v>
      </c>
      <c r="Z53">
        <v>27.735803571147464</v>
      </c>
      <c r="AA53">
        <v>5.0977015455535728</v>
      </c>
      <c r="AB53">
        <v>34.280944517674939</v>
      </c>
      <c r="AD53">
        <v>6.0742707800827125</v>
      </c>
      <c r="AE53">
        <v>10.972838144600985</v>
      </c>
      <c r="AF53">
        <v>12.47485085717647</v>
      </c>
      <c r="AG53">
        <v>19.532980548632665</v>
      </c>
      <c r="AH53">
        <v>6.0509852731435565</v>
      </c>
      <c r="AI53">
        <v>2.5670955316321096</v>
      </c>
      <c r="AK53">
        <v>61.67437875517286</v>
      </c>
    </row>
    <row r="54" spans="1:37" x14ac:dyDescent="0.2">
      <c r="A54">
        <v>53</v>
      </c>
      <c r="B54">
        <v>742</v>
      </c>
      <c r="C54">
        <v>280</v>
      </c>
      <c r="D54">
        <v>0.28588927744668102</v>
      </c>
      <c r="E54">
        <v>202.3863474229309</v>
      </c>
      <c r="F54">
        <v>56.218369863399431</v>
      </c>
      <c r="G54">
        <v>70.980145420219401</v>
      </c>
      <c r="H54">
        <v>66.346096232763614</v>
      </c>
      <c r="J54">
        <v>74.274586766429564</v>
      </c>
      <c r="L54">
        <v>6.0007501726508599</v>
      </c>
      <c r="M54">
        <v>12.739154878493439</v>
      </c>
      <c r="N54">
        <v>2.624550716041965</v>
      </c>
      <c r="O54">
        <v>23.806772285631762</v>
      </c>
      <c r="P54">
        <v>10.619298318449351</v>
      </c>
      <c r="Q54">
        <v>0.12285161995899489</v>
      </c>
      <c r="R54">
        <v>13.141046962980404</v>
      </c>
      <c r="S54">
        <v>41.336123666782129</v>
      </c>
      <c r="U54">
        <v>0.47900107811335674</v>
      </c>
      <c r="V54">
        <v>47.264195812688193</v>
      </c>
      <c r="W54">
        <v>18.611565297914677</v>
      </c>
      <c r="X54">
        <v>45.111271557598798</v>
      </c>
      <c r="Y54">
        <v>7.6868192942956695</v>
      </c>
      <c r="Z54">
        <v>27.522917757584359</v>
      </c>
      <c r="AA54">
        <v>5.0103660329143382</v>
      </c>
      <c r="AB54">
        <v>34.114456728064532</v>
      </c>
      <c r="AD54">
        <v>5.9513674182580827</v>
      </c>
      <c r="AE54">
        <v>10.877760807641327</v>
      </c>
      <c r="AF54">
        <v>12.398681774332072</v>
      </c>
      <c r="AG54">
        <v>19.3515282325897</v>
      </c>
      <c r="AH54">
        <v>5.9128125274283825</v>
      </c>
      <c r="AI54">
        <v>2.5687677345897821</v>
      </c>
      <c r="AK54">
        <v>61.6570461510561</v>
      </c>
    </row>
    <row r="55" spans="1:37" x14ac:dyDescent="0.2">
      <c r="A55">
        <v>54</v>
      </c>
      <c r="B55">
        <v>741</v>
      </c>
      <c r="C55">
        <v>280</v>
      </c>
      <c r="D55">
        <v>0.28511610708475299</v>
      </c>
      <c r="E55">
        <v>202.26439096660309</v>
      </c>
      <c r="F55">
        <v>55.839761044009947</v>
      </c>
      <c r="G55">
        <v>70.917465281417591</v>
      </c>
      <c r="H55">
        <v>66.28122145929747</v>
      </c>
      <c r="J55">
        <v>74.181148321464519</v>
      </c>
      <c r="L55">
        <v>5.9162049653208557</v>
      </c>
      <c r="M55">
        <v>12.664243005966108</v>
      </c>
      <c r="N55">
        <v>2.6265219277175147</v>
      </c>
      <c r="O55">
        <v>23.423671749126392</v>
      </c>
      <c r="P55">
        <v>10.517518869001375</v>
      </c>
      <c r="Q55">
        <v>5.5208927798225886E-2</v>
      </c>
      <c r="R55">
        <v>12.920060009157362</v>
      </c>
      <c r="S55">
        <v>40.855684668881608</v>
      </c>
      <c r="U55">
        <v>0.39264634716193714</v>
      </c>
      <c r="V55">
        <v>47.142321199817296</v>
      </c>
      <c r="W55">
        <v>18.394299390784937</v>
      </c>
      <c r="X55">
        <v>44.886049801142555</v>
      </c>
      <c r="Y55">
        <v>7.5959425285265505</v>
      </c>
      <c r="Z55">
        <v>27.310303227406564</v>
      </c>
      <c r="AA55">
        <v>4.9231973814368688</v>
      </c>
      <c r="AB55">
        <v>33.948227537838356</v>
      </c>
      <c r="AD55">
        <v>5.828572719042854</v>
      </c>
      <c r="AE55">
        <v>10.782797243539138</v>
      </c>
      <c r="AF55">
        <v>12.322655069074475</v>
      </c>
      <c r="AG55">
        <v>19.170337000499348</v>
      </c>
      <c r="AH55">
        <v>5.7748619039478779</v>
      </c>
      <c r="AI55">
        <v>2.5704389593131145</v>
      </c>
      <c r="AK55">
        <v>61.640037950468397</v>
      </c>
    </row>
    <row r="56" spans="1:37" x14ac:dyDescent="0.2">
      <c r="A56">
        <v>55</v>
      </c>
      <c r="B56">
        <v>740</v>
      </c>
      <c r="C56">
        <v>280</v>
      </c>
      <c r="D56">
        <v>0.28434141045255101</v>
      </c>
      <c r="E56">
        <v>202.10639572437168</v>
      </c>
      <c r="F56">
        <v>55.170715657568664</v>
      </c>
      <c r="G56">
        <v>70.819644813870198</v>
      </c>
      <c r="H56">
        <v>66.181219704528459</v>
      </c>
      <c r="J56">
        <v>73.918000099730733</v>
      </c>
      <c r="L56">
        <v>5.7572002963984703</v>
      </c>
      <c r="M56">
        <v>12.560567199485181</v>
      </c>
      <c r="N56">
        <v>2.6284917451676635</v>
      </c>
      <c r="O56">
        <v>22.774685244184955</v>
      </c>
      <c r="P56">
        <v>10.345465464140958</v>
      </c>
      <c r="R56">
        <v>12.555229134597363</v>
      </c>
      <c r="S56">
        <v>40.071265961217222</v>
      </c>
      <c r="U56">
        <v>0.2912170262680655</v>
      </c>
      <c r="V56">
        <v>46.958247856031285</v>
      </c>
      <c r="W56">
        <v>18.183419666193842</v>
      </c>
      <c r="X56">
        <v>44.614459030493393</v>
      </c>
      <c r="Y56">
        <v>7.4322508847120812</v>
      </c>
      <c r="Z56">
        <v>26.855485985780884</v>
      </c>
      <c r="AA56">
        <v>4.7614101608577624</v>
      </c>
      <c r="AB56">
        <v>33.614198272578264</v>
      </c>
      <c r="AD56">
        <v>5.5715020672915374</v>
      </c>
      <c r="AE56">
        <v>10.574891131070803</v>
      </c>
      <c r="AF56">
        <v>12.217863416661388</v>
      </c>
      <c r="AG56">
        <v>18.821346911494725</v>
      </c>
      <c r="AH56">
        <v>5.5179332027769359</v>
      </c>
      <c r="AI56">
        <v>2.5721079313086999</v>
      </c>
      <c r="AK56">
        <v>61.528141412020808</v>
      </c>
    </row>
    <row r="57" spans="1:37" x14ac:dyDescent="0.2">
      <c r="A57">
        <v>56</v>
      </c>
      <c r="B57">
        <v>739</v>
      </c>
      <c r="C57">
        <v>280</v>
      </c>
      <c r="D57">
        <v>0.28356518302623301</v>
      </c>
      <c r="E57">
        <v>201.22903892575579</v>
      </c>
      <c r="F57">
        <v>49.231437708603806</v>
      </c>
      <c r="G57">
        <v>69.974666439343977</v>
      </c>
      <c r="H57">
        <v>65.33407341168288</v>
      </c>
      <c r="J57">
        <v>71.420021008845168</v>
      </c>
      <c r="L57">
        <v>4.1748814925804183</v>
      </c>
      <c r="M57">
        <v>12.432146409419634</v>
      </c>
      <c r="N57">
        <v>2.6304199032368043</v>
      </c>
      <c r="O57">
        <v>16.851273209851222</v>
      </c>
      <c r="P57">
        <v>8.6790627059242986</v>
      </c>
      <c r="R57">
        <v>10.196910019329756</v>
      </c>
      <c r="S57">
        <v>36.659165607131349</v>
      </c>
      <c r="U57">
        <v>0.20543731833830628</v>
      </c>
      <c r="V57">
        <v>46.699917218372356</v>
      </c>
      <c r="W57">
        <v>18.026805950620975</v>
      </c>
      <c r="X57">
        <v>44.393218294052772</v>
      </c>
      <c r="Y57">
        <v>5.7631298071977959</v>
      </c>
      <c r="Z57">
        <v>22.665501061519926</v>
      </c>
      <c r="AA57">
        <v>3.1466652659603422</v>
      </c>
      <c r="AB57">
        <v>31.886655855974727</v>
      </c>
      <c r="AD57">
        <v>3.1624184325019868</v>
      </c>
      <c r="AE57">
        <v>8.7770252477503501</v>
      </c>
      <c r="AF57">
        <v>12.088285508111696</v>
      </c>
      <c r="AG57">
        <v>17.07880463033343</v>
      </c>
      <c r="AH57">
        <v>2.9140045613443304</v>
      </c>
      <c r="AI57">
        <v>2.5737343835800557</v>
      </c>
      <c r="AK57">
        <v>59.860854583962976</v>
      </c>
    </row>
    <row r="58" spans="1:37" x14ac:dyDescent="0.2">
      <c r="A58">
        <v>57</v>
      </c>
      <c r="B58">
        <v>738</v>
      </c>
      <c r="C58">
        <v>280</v>
      </c>
      <c r="D58">
        <v>0.28278742026405701</v>
      </c>
      <c r="E58">
        <v>200.62733259592278</v>
      </c>
      <c r="F58">
        <v>44.533776839157447</v>
      </c>
      <c r="G58">
        <v>69.38287538212893</v>
      </c>
      <c r="H58">
        <v>64.74012782655312</v>
      </c>
      <c r="J58">
        <v>65.598198639221764</v>
      </c>
      <c r="L58">
        <v>2.1665785162324136</v>
      </c>
      <c r="M58">
        <v>12.299181370410871</v>
      </c>
      <c r="N58">
        <v>2.6323668607436206</v>
      </c>
      <c r="O58">
        <v>7.8422926271095221</v>
      </c>
      <c r="P58">
        <v>7.5190615255039432</v>
      </c>
      <c r="R58">
        <v>7.6921656331908839</v>
      </c>
      <c r="S58">
        <v>32.579277489889172</v>
      </c>
      <c r="U58">
        <v>0.13955776848819709</v>
      </c>
      <c r="V58">
        <v>46.742875307189713</v>
      </c>
      <c r="W58">
        <v>17.845065139147867</v>
      </c>
      <c r="X58">
        <v>44.237731079875211</v>
      </c>
      <c r="Y58">
        <v>4.0121879623120114</v>
      </c>
      <c r="Z58">
        <v>18.610003399774975</v>
      </c>
      <c r="AA58">
        <v>0.94566511068433468</v>
      </c>
      <c r="AB58">
        <v>30.453413678553268</v>
      </c>
      <c r="AD58">
        <v>0.8222236682227787</v>
      </c>
      <c r="AE58">
        <v>6.909868561683238</v>
      </c>
      <c r="AF58">
        <v>11.954182542702991</v>
      </c>
      <c r="AG58">
        <v>15.630584012603258</v>
      </c>
      <c r="AI58">
        <v>2.5753787731059217</v>
      </c>
      <c r="AK58">
        <v>55.856434302888978</v>
      </c>
    </row>
    <row r="59" spans="1:37" x14ac:dyDescent="0.2">
      <c r="A59">
        <v>58</v>
      </c>
      <c r="B59">
        <v>737</v>
      </c>
      <c r="C59">
        <v>280</v>
      </c>
      <c r="D59">
        <v>0.28200811760629901</v>
      </c>
      <c r="E59">
        <v>200.80248100574701</v>
      </c>
      <c r="F59">
        <v>44.687200156370992</v>
      </c>
      <c r="G59">
        <v>69.422251231718988</v>
      </c>
      <c r="H59">
        <v>64.777362560178318</v>
      </c>
      <c r="J59">
        <v>53.01585353442578</v>
      </c>
      <c r="L59">
        <v>1.6806402973354926</v>
      </c>
      <c r="M59">
        <v>11.870663263490222</v>
      </c>
      <c r="N59">
        <v>2.6343611941864982</v>
      </c>
      <c r="O59">
        <v>5.1027579973274024</v>
      </c>
      <c r="P59">
        <v>7.6214497021782064</v>
      </c>
      <c r="R59">
        <v>6.9865879950392209</v>
      </c>
      <c r="S59">
        <v>32.231700622193657</v>
      </c>
      <c r="U59">
        <v>7.1565529384278168E-2</v>
      </c>
      <c r="V59">
        <v>47.480988793538955</v>
      </c>
      <c r="W59">
        <v>17.36911582403788</v>
      </c>
      <c r="X59">
        <v>44.076127389333301</v>
      </c>
      <c r="Y59">
        <v>3.5124987678922417</v>
      </c>
      <c r="Z59">
        <v>17.832956394774005</v>
      </c>
      <c r="AB59">
        <v>30.750904542650641</v>
      </c>
      <c r="AE59">
        <v>6.4464836835552859</v>
      </c>
      <c r="AF59">
        <v>11.524574283793672</v>
      </c>
      <c r="AG59">
        <v>15.913146443401798</v>
      </c>
      <c r="AI59">
        <v>2.5770696745441564</v>
      </c>
      <c r="AK59">
        <v>47.235961411731509</v>
      </c>
    </row>
    <row r="60" spans="1:37" x14ac:dyDescent="0.2">
      <c r="A60">
        <v>59</v>
      </c>
      <c r="B60">
        <v>736</v>
      </c>
      <c r="C60">
        <v>280</v>
      </c>
      <c r="D60">
        <v>0.281227270475152</v>
      </c>
      <c r="E60">
        <v>200.96076056531271</v>
      </c>
      <c r="F60">
        <v>45.183644767944351</v>
      </c>
      <c r="G60">
        <v>69.398494284171448</v>
      </c>
      <c r="H60">
        <v>64.75147793020291</v>
      </c>
      <c r="J60">
        <v>46.644170320023058</v>
      </c>
      <c r="L60">
        <v>1.6971026213718068</v>
      </c>
      <c r="M60">
        <v>11.423827586144471</v>
      </c>
      <c r="N60">
        <v>2.636347880630054</v>
      </c>
      <c r="O60">
        <v>5.1051842952532107</v>
      </c>
      <c r="P60">
        <v>7.5975728290095885</v>
      </c>
      <c r="R60">
        <v>6.6460511974469618</v>
      </c>
      <c r="S60">
        <v>32.810205799554737</v>
      </c>
      <c r="U60">
        <v>4.029399219102147E-2</v>
      </c>
      <c r="V60">
        <v>48.11524887539489</v>
      </c>
      <c r="W60">
        <v>16.853580648426615</v>
      </c>
      <c r="X60">
        <v>44.020430821555252</v>
      </c>
      <c r="Y60">
        <v>3.2791459098501266</v>
      </c>
      <c r="Z60">
        <v>18.024329577840799</v>
      </c>
      <c r="AB60">
        <v>31.360788159945827</v>
      </c>
      <c r="AE60">
        <v>6.5492640252733993</v>
      </c>
      <c r="AF60">
        <v>11.076641211776861</v>
      </c>
      <c r="AG60">
        <v>16.508096617758376</v>
      </c>
      <c r="AI60">
        <v>2.5787520631185021</v>
      </c>
      <c r="AK60">
        <v>42.84048863836211</v>
      </c>
    </row>
    <row r="61" spans="1:37" x14ac:dyDescent="0.2">
      <c r="A61">
        <v>60</v>
      </c>
      <c r="B61">
        <v>763</v>
      </c>
      <c r="C61">
        <v>260</v>
      </c>
      <c r="D61">
        <v>0.32301355981277102</v>
      </c>
      <c r="E61">
        <v>193.3013407171108</v>
      </c>
      <c r="F61">
        <v>63.88283026767607</v>
      </c>
      <c r="G61">
        <v>72.311457250603198</v>
      </c>
      <c r="H61">
        <v>67.725653827150069</v>
      </c>
      <c r="J61">
        <v>75.97019193475397</v>
      </c>
      <c r="L61">
        <v>7.7281569432035031</v>
      </c>
      <c r="M61">
        <v>14.306733057682241</v>
      </c>
      <c r="N61">
        <v>2.5170992805888317</v>
      </c>
      <c r="O61">
        <v>32.052989436857686</v>
      </c>
      <c r="P61">
        <v>12.609599360076594</v>
      </c>
      <c r="Q61">
        <v>1.3547762353217481</v>
      </c>
      <c r="R61">
        <v>17.86765500737247</v>
      </c>
      <c r="S61">
        <v>51.156285553550035</v>
      </c>
      <c r="U61">
        <v>2.1783806397115573</v>
      </c>
      <c r="V61">
        <v>49.415930512278216</v>
      </c>
      <c r="W61">
        <v>23.62700838390511</v>
      </c>
      <c r="X61">
        <v>48.69031476489468</v>
      </c>
      <c r="Y61">
        <v>9.4603147308302606</v>
      </c>
      <c r="Z61">
        <v>32.008255104713008</v>
      </c>
      <c r="AA61">
        <v>6.8154241669377083</v>
      </c>
      <c r="AB61">
        <v>37.649463683777796</v>
      </c>
      <c r="AC61">
        <v>6.9520224129457301E-3</v>
      </c>
      <c r="AD61">
        <v>8.517663880885463</v>
      </c>
      <c r="AE61">
        <v>13.030461949743104</v>
      </c>
      <c r="AF61">
        <v>13.985368705755027</v>
      </c>
      <c r="AG61">
        <v>23.221553946313517</v>
      </c>
      <c r="AH61">
        <v>8.4533082297375657</v>
      </c>
      <c r="AI61">
        <v>2.4648345511800516</v>
      </c>
      <c r="AK61">
        <v>61.784012385063917</v>
      </c>
    </row>
    <row r="62" spans="1:37" x14ac:dyDescent="0.2">
      <c r="A62">
        <v>61</v>
      </c>
      <c r="B62">
        <v>762</v>
      </c>
      <c r="C62">
        <v>260</v>
      </c>
      <c r="D62">
        <v>0.322291938366422</v>
      </c>
      <c r="E62">
        <v>193.19354028824441</v>
      </c>
      <c r="F62">
        <v>63.550993327187996</v>
      </c>
      <c r="G62">
        <v>72.255708606157313</v>
      </c>
      <c r="H62">
        <v>67.667426991409471</v>
      </c>
      <c r="J62">
        <v>75.896247734610782</v>
      </c>
      <c r="L62">
        <v>7.6495823435493007</v>
      </c>
      <c r="M62">
        <v>14.253121745892637</v>
      </c>
      <c r="N62">
        <v>2.5118447835193107</v>
      </c>
      <c r="O62">
        <v>31.681669555751274</v>
      </c>
      <c r="P62">
        <v>12.514284683824414</v>
      </c>
      <c r="Q62">
        <v>1.3035608687269218</v>
      </c>
      <c r="R62">
        <v>17.677795882938174</v>
      </c>
      <c r="S62">
        <v>50.777051148949788</v>
      </c>
      <c r="U62">
        <v>2.1110984074140493</v>
      </c>
      <c r="V62">
        <v>49.328523609617328</v>
      </c>
      <c r="W62">
        <v>23.449871519914016</v>
      </c>
      <c r="X62">
        <v>48.527398546726182</v>
      </c>
      <c r="Y62">
        <v>9.3788597299040131</v>
      </c>
      <c r="Z62">
        <v>31.826791583768962</v>
      </c>
      <c r="AA62">
        <v>6.7342951603868935</v>
      </c>
      <c r="AB62">
        <v>37.522052230130718</v>
      </c>
      <c r="AD62">
        <v>8.4160495718088306</v>
      </c>
      <c r="AE62">
        <v>12.947831168813638</v>
      </c>
      <c r="AF62">
        <v>13.923407334082219</v>
      </c>
      <c r="AG62">
        <v>23.071927592149773</v>
      </c>
      <c r="AH62">
        <v>8.338582649301328</v>
      </c>
      <c r="AI62">
        <v>2.459298572882926</v>
      </c>
      <c r="AK62">
        <v>61.772181952089177</v>
      </c>
    </row>
    <row r="63" spans="1:37" x14ac:dyDescent="0.2">
      <c r="A63">
        <v>62</v>
      </c>
      <c r="B63">
        <v>761</v>
      </c>
      <c r="C63">
        <v>260</v>
      </c>
      <c r="D63">
        <v>0.321568921336364</v>
      </c>
      <c r="E63">
        <v>193.06864035331344</v>
      </c>
      <c r="F63">
        <v>63.160111397324982</v>
      </c>
      <c r="G63">
        <v>72.191454849938481</v>
      </c>
      <c r="H63">
        <v>67.600707952152092</v>
      </c>
      <c r="J63">
        <v>75.790246407410038</v>
      </c>
      <c r="L63">
        <v>7.5620586457442913</v>
      </c>
      <c r="M63">
        <v>14.175849940411815</v>
      </c>
      <c r="N63">
        <v>2.5138204207608053</v>
      </c>
      <c r="O63">
        <v>31.286951052503319</v>
      </c>
      <c r="P63">
        <v>12.409197529785709</v>
      </c>
      <c r="Q63">
        <v>1.2344123959769167</v>
      </c>
      <c r="R63">
        <v>17.450530789719419</v>
      </c>
      <c r="S63">
        <v>50.28007714696556</v>
      </c>
      <c r="U63">
        <v>2.0232578538125066</v>
      </c>
      <c r="V63">
        <v>49.203489031718568</v>
      </c>
      <c r="W63">
        <v>23.227806475839813</v>
      </c>
      <c r="X63">
        <v>48.294847379436689</v>
      </c>
      <c r="Y63">
        <v>9.2850586519447198</v>
      </c>
      <c r="Z63">
        <v>31.610588024078698</v>
      </c>
      <c r="AA63">
        <v>6.6441364998033459</v>
      </c>
      <c r="AB63">
        <v>37.351895353794866</v>
      </c>
      <c r="AD63">
        <v>8.2922340627395918</v>
      </c>
      <c r="AE63">
        <v>12.85140280987323</v>
      </c>
      <c r="AF63">
        <v>13.845015869975713</v>
      </c>
      <c r="AG63">
        <v>22.88678843575444</v>
      </c>
      <c r="AH63">
        <v>8.1966291384046919</v>
      </c>
      <c r="AI63">
        <v>2.4609919090211898</v>
      </c>
      <c r="AK63">
        <v>61.748593365842588</v>
      </c>
    </row>
    <row r="64" spans="1:37" x14ac:dyDescent="0.2">
      <c r="A64">
        <v>63</v>
      </c>
      <c r="B64">
        <v>760</v>
      </c>
      <c r="C64">
        <v>260</v>
      </c>
      <c r="D64">
        <v>0.320844504670183</v>
      </c>
      <c r="E64">
        <v>192.94389808278265</v>
      </c>
      <c r="F64">
        <v>62.769926546119301</v>
      </c>
      <c r="G64">
        <v>72.127284711030413</v>
      </c>
      <c r="H64">
        <v>67.534085459059213</v>
      </c>
      <c r="J64">
        <v>75.68485032667202</v>
      </c>
      <c r="L64">
        <v>7.4747019647469859</v>
      </c>
      <c r="M64">
        <v>14.098725577887913</v>
      </c>
      <c r="N64">
        <v>2.5157959269228383</v>
      </c>
      <c r="O64">
        <v>30.892847674021997</v>
      </c>
      <c r="P64">
        <v>12.304285113080326</v>
      </c>
      <c r="Q64">
        <v>1.1653256783254924</v>
      </c>
      <c r="R64">
        <v>17.223631812225836</v>
      </c>
      <c r="S64">
        <v>49.78403534839817</v>
      </c>
      <c r="U64">
        <v>1.9354904627046483</v>
      </c>
      <c r="V64">
        <v>49.078648418033715</v>
      </c>
      <c r="W64">
        <v>23.006024015734557</v>
      </c>
      <c r="X64">
        <v>48.062733934902546</v>
      </c>
      <c r="Y64">
        <v>9.1914147614360839</v>
      </c>
      <c r="Z64">
        <v>31.394675334845164</v>
      </c>
      <c r="AA64">
        <v>6.5541475618389669</v>
      </c>
      <c r="AB64">
        <v>37.182012856045809</v>
      </c>
      <c r="AD64">
        <v>8.1685277203764404</v>
      </c>
      <c r="AE64">
        <v>12.755098912863302</v>
      </c>
      <c r="AF64">
        <v>13.766771990226736</v>
      </c>
      <c r="AG64">
        <v>22.701926018833955</v>
      </c>
      <c r="AH64">
        <v>8.0548985758314746</v>
      </c>
      <c r="AI64">
        <v>2.4626842923666339</v>
      </c>
      <c r="AK64">
        <v>61.725321962669611</v>
      </c>
    </row>
    <row r="65" spans="1:37" x14ac:dyDescent="0.2">
      <c r="A65">
        <v>64</v>
      </c>
      <c r="B65">
        <v>759</v>
      </c>
      <c r="C65">
        <v>260</v>
      </c>
      <c r="D65">
        <v>0.32011868429976698</v>
      </c>
      <c r="E65">
        <v>192.81931304115326</v>
      </c>
      <c r="F65">
        <v>62.380436930197902</v>
      </c>
      <c r="G65">
        <v>72.063198017835603</v>
      </c>
      <c r="H65">
        <v>67.467559361171425</v>
      </c>
      <c r="J65">
        <v>75.580058979015803</v>
      </c>
      <c r="L65">
        <v>7.3874537797891131</v>
      </c>
      <c r="M65">
        <v>14.021748164794939</v>
      </c>
      <c r="N65">
        <v>2.517771302537311</v>
      </c>
      <c r="O65">
        <v>30.499358019599295</v>
      </c>
      <c r="P65">
        <v>12.199547113449713</v>
      </c>
      <c r="Q65">
        <v>1.096437091642072</v>
      </c>
      <c r="R65">
        <v>16.997097776960722</v>
      </c>
      <c r="S65">
        <v>49.288922861269377</v>
      </c>
      <c r="U65">
        <v>1.8477958476457681</v>
      </c>
      <c r="V65">
        <v>48.954001052337645</v>
      </c>
      <c r="W65">
        <v>22.784523147452628</v>
      </c>
      <c r="X65">
        <v>47.831056670886504</v>
      </c>
      <c r="Y65">
        <v>9.097927657422396</v>
      </c>
      <c r="Z65">
        <v>31.179052491504059</v>
      </c>
      <c r="AA65">
        <v>6.4643279399834794</v>
      </c>
      <c r="AB65">
        <v>37.0124037600037</v>
      </c>
      <c r="AD65">
        <v>8.0449304377826163</v>
      </c>
      <c r="AE65">
        <v>12.658918988330763</v>
      </c>
      <c r="AF65">
        <v>13.688675207392</v>
      </c>
      <c r="AG65">
        <v>22.517339370879885</v>
      </c>
      <c r="AH65">
        <v>7.9133905695971691</v>
      </c>
      <c r="AI65">
        <v>2.4643757216144753</v>
      </c>
      <c r="AK65">
        <v>61.702367633618529</v>
      </c>
    </row>
    <row r="66" spans="1:37" x14ac:dyDescent="0.2">
      <c r="A66">
        <v>65</v>
      </c>
      <c r="B66">
        <v>758</v>
      </c>
      <c r="C66">
        <v>260</v>
      </c>
      <c r="D66">
        <v>0.31939145614120401</v>
      </c>
      <c r="E66">
        <v>192.69488479773563</v>
      </c>
      <c r="F66">
        <v>61.991640727185327</v>
      </c>
      <c r="G66">
        <v>71.999194601193892</v>
      </c>
      <c r="H66">
        <v>67.401129510005347</v>
      </c>
      <c r="J66">
        <v>75.475871860930837</v>
      </c>
      <c r="L66">
        <v>7.3004274797313844</v>
      </c>
      <c r="M66">
        <v>13.944917211832543</v>
      </c>
      <c r="N66">
        <v>2.5197465482064407</v>
      </c>
      <c r="O66">
        <v>30.106480705195327</v>
      </c>
      <c r="P66">
        <v>12.094983215636521</v>
      </c>
      <c r="Q66">
        <v>1.0276810794420552</v>
      </c>
      <c r="R66">
        <v>16.7709275224212</v>
      </c>
      <c r="S66">
        <v>48.794736819871488</v>
      </c>
      <c r="U66">
        <v>1.7601736268270072</v>
      </c>
      <c r="V66">
        <v>48.829546219163518</v>
      </c>
      <c r="W66">
        <v>22.563302887297532</v>
      </c>
      <c r="X66">
        <v>47.599814058741025</v>
      </c>
      <c r="Y66">
        <v>9.004596944234418</v>
      </c>
      <c r="Z66">
        <v>30.963718478260823</v>
      </c>
      <c r="AA66">
        <v>6.3746772327139842</v>
      </c>
      <c r="AB66">
        <v>36.843067096775002</v>
      </c>
      <c r="AD66">
        <v>7.9214421100426602</v>
      </c>
      <c r="AE66">
        <v>12.562862550651895</v>
      </c>
      <c r="AF66">
        <v>13.610725038330919</v>
      </c>
      <c r="AG66">
        <v>22.333027529456498</v>
      </c>
      <c r="AH66">
        <v>7.7721047342222871</v>
      </c>
      <c r="AI66">
        <v>2.4660661955290823</v>
      </c>
      <c r="AK66">
        <v>61.679730274830128</v>
      </c>
    </row>
    <row r="67" spans="1:37" x14ac:dyDescent="0.2">
      <c r="A67">
        <v>66</v>
      </c>
      <c r="B67">
        <v>757</v>
      </c>
      <c r="C67">
        <v>260</v>
      </c>
      <c r="D67">
        <v>0.318662816094747</v>
      </c>
      <c r="E67">
        <v>192.57061292693453</v>
      </c>
      <c r="F67">
        <v>61.603536136704179</v>
      </c>
      <c r="G67">
        <v>71.935274294545181</v>
      </c>
      <c r="H67">
        <v>67.3347957597191</v>
      </c>
      <c r="J67">
        <v>75.372288479346466</v>
      </c>
      <c r="L67">
        <v>7.2135667949391538</v>
      </c>
      <c r="M67">
        <v>13.868232234404719</v>
      </c>
      <c r="N67">
        <v>2.5217216644187062</v>
      </c>
      <c r="O67">
        <v>29.714214363754984</v>
      </c>
      <c r="P67">
        <v>11.990593109537343</v>
      </c>
      <c r="Q67">
        <v>0.95905737068011554</v>
      </c>
      <c r="R67">
        <v>16.545119899768292</v>
      </c>
      <c r="S67">
        <v>48.301474386780896</v>
      </c>
      <c r="U67">
        <v>1.672623423481888</v>
      </c>
      <c r="V67">
        <v>48.705283204379718</v>
      </c>
      <c r="W67">
        <v>22.342362260969708</v>
      </c>
      <c r="X67">
        <v>47.369004584030598</v>
      </c>
      <c r="Y67">
        <v>8.9114222317047549</v>
      </c>
      <c r="Z67">
        <v>30.748672288834481</v>
      </c>
      <c r="AA67">
        <v>6.2851950436511688</v>
      </c>
      <c r="AB67">
        <v>36.674001906365696</v>
      </c>
      <c r="AD67">
        <v>7.7980626347876782</v>
      </c>
      <c r="AE67">
        <v>12.466929118333624</v>
      </c>
      <c r="AF67">
        <v>13.532921004510401</v>
      </c>
      <c r="AG67">
        <v>22.148989540934405</v>
      </c>
      <c r="AH67">
        <v>7.6310406912744284</v>
      </c>
      <c r="AI67">
        <v>2.4677557127607357</v>
      </c>
      <c r="AK67">
        <v>61.657409787694107</v>
      </c>
    </row>
    <row r="68" spans="1:37" x14ac:dyDescent="0.2">
      <c r="A68">
        <v>67</v>
      </c>
      <c r="B68">
        <v>756</v>
      </c>
      <c r="C68">
        <v>260</v>
      </c>
      <c r="D68">
        <v>0.317932760044698</v>
      </c>
      <c r="E68">
        <v>192.44649700770972</v>
      </c>
      <c r="F68">
        <v>61.216121378399343</v>
      </c>
      <c r="G68">
        <v>71.871436933639245</v>
      </c>
      <c r="H68">
        <v>67.268557966819742</v>
      </c>
      <c r="J68">
        <v>75.269308350592468</v>
      </c>
      <c r="L68">
        <v>7.1268713367947054</v>
      </c>
      <c r="M68">
        <v>13.791692751798609</v>
      </c>
      <c r="N68">
        <v>2.5236966518127613</v>
      </c>
      <c r="O68">
        <v>29.322557644395591</v>
      </c>
      <c r="P68">
        <v>11.886376489879538</v>
      </c>
      <c r="Q68">
        <v>0.89048879938223946</v>
      </c>
      <c r="R68">
        <v>16.319673771571686</v>
      </c>
      <c r="S68">
        <v>47.809132748990436</v>
      </c>
      <c r="U68">
        <v>1.5851448651779554</v>
      </c>
      <c r="V68">
        <v>48.581211293777855</v>
      </c>
      <c r="W68">
        <v>22.121700301939391</v>
      </c>
      <c r="X68">
        <v>47.138626744890729</v>
      </c>
      <c r="Y68">
        <v>8.81840313475732</v>
      </c>
      <c r="Z68">
        <v>30.533912925133279</v>
      </c>
      <c r="AA68">
        <v>6.1958809812897817</v>
      </c>
      <c r="AB68">
        <v>36.505207236113101</v>
      </c>
      <c r="AD68">
        <v>7.6747919114329015</v>
      </c>
      <c r="AE68">
        <v>12.371118213457295</v>
      </c>
      <c r="AF68">
        <v>13.455262631442778</v>
      </c>
      <c r="AG68">
        <v>21.965224459183947</v>
      </c>
      <c r="AH68">
        <v>7.4901980684348315</v>
      </c>
      <c r="AI68">
        <v>2.4694442721100076</v>
      </c>
      <c r="AK68">
        <v>61.635406078507309</v>
      </c>
    </row>
    <row r="69" spans="1:37" x14ac:dyDescent="0.2">
      <c r="A69">
        <v>68</v>
      </c>
      <c r="B69">
        <v>755</v>
      </c>
      <c r="C69">
        <v>260</v>
      </c>
      <c r="D69">
        <v>0.31720128385935797</v>
      </c>
      <c r="E69">
        <v>192.32253662399532</v>
      </c>
      <c r="F69">
        <v>60.829394693455107</v>
      </c>
      <c r="G69">
        <v>71.807682356779011</v>
      </c>
      <c r="H69">
        <v>67.202415990408525</v>
      </c>
      <c r="J69">
        <v>75.166931001219027</v>
      </c>
      <c r="L69">
        <v>7.0403407285427635</v>
      </c>
      <c r="M69">
        <v>13.715298287915825</v>
      </c>
      <c r="N69">
        <v>2.5256715109036274</v>
      </c>
      <c r="O69">
        <v>28.931509212888496</v>
      </c>
      <c r="P69">
        <v>11.782333056436373</v>
      </c>
      <c r="Q69">
        <v>0.82211974764825935</v>
      </c>
      <c r="R69">
        <v>16.094588012815358</v>
      </c>
      <c r="S69">
        <v>47.317709121399389</v>
      </c>
      <c r="U69">
        <v>1.4977375844518153</v>
      </c>
      <c r="V69">
        <v>48.457329774009537</v>
      </c>
      <c r="W69">
        <v>21.901316052916638</v>
      </c>
      <c r="X69">
        <v>46.90867905359115</v>
      </c>
      <c r="Y69">
        <v>8.725539273722827</v>
      </c>
      <c r="Z69">
        <v>30.319439398427935</v>
      </c>
      <c r="AA69">
        <v>6.1068119959395259</v>
      </c>
      <c r="AB69">
        <v>36.336682142105261</v>
      </c>
      <c r="AD69">
        <v>7.5516298419587757</v>
      </c>
      <c r="AE69">
        <v>12.275429362169476</v>
      </c>
      <c r="AF69">
        <v>13.377749449141934</v>
      </c>
      <c r="AG69">
        <v>21.781731346721376</v>
      </c>
      <c r="AH69">
        <v>7.349576500310107</v>
      </c>
      <c r="AI69">
        <v>2.4711318722527906</v>
      </c>
      <c r="AK69">
        <v>61.613719058681404</v>
      </c>
    </row>
    <row r="70" spans="1:37" x14ac:dyDescent="0.2">
      <c r="A70">
        <v>69</v>
      </c>
      <c r="B70">
        <v>754</v>
      </c>
      <c r="C70">
        <v>260</v>
      </c>
      <c r="D70">
        <v>0.31646838339093702</v>
      </c>
      <c r="E70">
        <v>192.19873136447106</v>
      </c>
      <c r="F70">
        <v>60.443354343596987</v>
      </c>
      <c r="G70">
        <v>71.744010404667023</v>
      </c>
      <c r="H70">
        <v>67.136369692026761</v>
      </c>
      <c r="J70">
        <v>75.065155967512553</v>
      </c>
      <c r="L70">
        <v>6.9539746066541523</v>
      </c>
      <c r="M70">
        <v>13.639048370793519</v>
      </c>
      <c r="N70">
        <v>2.5276462422591783</v>
      </c>
      <c r="O70">
        <v>28.541067751248605</v>
      </c>
      <c r="P70">
        <v>11.678462513894541</v>
      </c>
      <c r="Q70">
        <v>0.7538813828180696</v>
      </c>
      <c r="R70">
        <v>15.869861510258938</v>
      </c>
      <c r="S70">
        <v>46.827200744470105</v>
      </c>
      <c r="U70">
        <v>1.4104012183878032</v>
      </c>
      <c r="V70">
        <v>48.333637931753216</v>
      </c>
      <c r="W70">
        <v>21.681208564823848</v>
      </c>
      <c r="X70">
        <v>46.679160035600425</v>
      </c>
      <c r="Y70">
        <v>8.6328302741410976</v>
      </c>
      <c r="Z70">
        <v>30.105250728447391</v>
      </c>
      <c r="AA70">
        <v>6.0178325901461722</v>
      </c>
      <c r="AB70">
        <v>36.16842568816439</v>
      </c>
      <c r="AD70">
        <v>7.4285763304316133</v>
      </c>
      <c r="AE70">
        <v>12.179862094271938</v>
      </c>
      <c r="AF70">
        <v>13.300380991823648</v>
      </c>
      <c r="AG70">
        <v>21.598509273870231</v>
      </c>
      <c r="AH70">
        <v>7.209175627908806</v>
      </c>
      <c r="AI70">
        <v>2.472818511918994</v>
      </c>
      <c r="AK70">
        <v>61.592348644673947</v>
      </c>
    </row>
    <row r="71" spans="1:37" x14ac:dyDescent="0.2">
      <c r="A71">
        <v>70</v>
      </c>
      <c r="B71">
        <v>753</v>
      </c>
      <c r="C71">
        <v>260</v>
      </c>
      <c r="D71">
        <v>0.31573405447546998</v>
      </c>
      <c r="E71">
        <v>192.07508082257203</v>
      </c>
      <c r="F71">
        <v>60.057998611219368</v>
      </c>
      <c r="G71">
        <v>71.680420920443055</v>
      </c>
      <c r="H71">
        <v>67.070418935693127</v>
      </c>
      <c r="J71">
        <v>74.963982795560113</v>
      </c>
      <c r="L71">
        <v>6.867772622663586</v>
      </c>
      <c r="M71">
        <v>13.562942532758287</v>
      </c>
      <c r="N71">
        <v>2.5296208464075911</v>
      </c>
      <c r="O71">
        <v>28.151231957684772</v>
      </c>
      <c r="P71">
        <v>11.574764571839257</v>
      </c>
      <c r="Q71">
        <v>0.68569769378200585</v>
      </c>
      <c r="R71">
        <v>15.645493162548876</v>
      </c>
      <c r="S71">
        <v>46.337604884935416</v>
      </c>
      <c r="U71">
        <v>1.3231354087578118</v>
      </c>
      <c r="V71">
        <v>48.210135053708591</v>
      </c>
      <c r="W71">
        <v>21.461376897168581</v>
      </c>
      <c r="X71">
        <v>46.450068229679999</v>
      </c>
      <c r="Y71">
        <v>8.5402757667854541</v>
      </c>
      <c r="Z71">
        <v>29.891345943711304</v>
      </c>
      <c r="AA71">
        <v>5.9290201582575461</v>
      </c>
      <c r="AB71">
        <v>36.000436946223338</v>
      </c>
      <c r="AD71">
        <v>7.3056312832448844</v>
      </c>
      <c r="AE71">
        <v>12.08441594337312</v>
      </c>
      <c r="AF71">
        <v>13.223156797966361</v>
      </c>
      <c r="AG71">
        <v>21.415557319041191</v>
      </c>
      <c r="AH71">
        <v>7.0689950988040904</v>
      </c>
      <c r="AI71">
        <v>2.4745041897967326</v>
      </c>
      <c r="AK71">
        <v>61.571294757906472</v>
      </c>
    </row>
    <row r="72" spans="1:37" x14ac:dyDescent="0.2">
      <c r="A72">
        <v>71</v>
      </c>
      <c r="B72">
        <v>752</v>
      </c>
      <c r="C72">
        <v>260</v>
      </c>
      <c r="D72">
        <v>0.31499829293274201</v>
      </c>
      <c r="E72">
        <v>191.95158459626501</v>
      </c>
      <c r="F72">
        <v>59.67332579848091</v>
      </c>
      <c r="G72">
        <v>71.616913749549568</v>
      </c>
      <c r="H72">
        <v>67.004563587770363</v>
      </c>
      <c r="J72">
        <v>74.863411040790709</v>
      </c>
      <c r="L72">
        <v>6.7817344453546902</v>
      </c>
      <c r="M72">
        <v>13.48698031004035</v>
      </c>
      <c r="N72">
        <v>2.5315953239640039</v>
      </c>
      <c r="O72">
        <v>27.762000546217273</v>
      </c>
      <c r="P72">
        <v>11.471238944614331</v>
      </c>
      <c r="Q72">
        <v>0.61771042075729932</v>
      </c>
      <c r="R72">
        <v>15.42148187964135</v>
      </c>
      <c r="S72">
        <v>45.848918833866755</v>
      </c>
      <c r="U72">
        <v>1.2359398016870369</v>
      </c>
      <c r="V72">
        <v>48.086820425870442</v>
      </c>
      <c r="W72">
        <v>21.24182011724945</v>
      </c>
      <c r="X72">
        <v>46.221402186791096</v>
      </c>
      <c r="Y72">
        <v>8.4478753874787351</v>
      </c>
      <c r="Z72">
        <v>29.677724080840125</v>
      </c>
      <c r="AA72">
        <v>5.8403743286599052</v>
      </c>
      <c r="AB72">
        <v>35.832714995542155</v>
      </c>
      <c r="AD72">
        <v>7.1827946087550814</v>
      </c>
      <c r="AE72">
        <v>11.989090446587895</v>
      </c>
      <c r="AF72">
        <v>13.146076410053436</v>
      </c>
      <c r="AG72">
        <v>21.232874568079914</v>
      </c>
      <c r="AH72">
        <v>6.9290345666932227</v>
      </c>
      <c r="AI72">
        <v>2.4761889046624819</v>
      </c>
      <c r="AK72">
        <v>61.55055732465641</v>
      </c>
    </row>
    <row r="73" spans="1:37" x14ac:dyDescent="0.2">
      <c r="A73">
        <v>72</v>
      </c>
      <c r="B73">
        <v>751</v>
      </c>
      <c r="C73">
        <v>260</v>
      </c>
      <c r="D73">
        <v>0.31426109456622597</v>
      </c>
      <c r="E73">
        <v>191.8282422883504</v>
      </c>
      <c r="F73">
        <v>59.289334228348594</v>
      </c>
      <c r="G73">
        <v>71.553488739903941</v>
      </c>
      <c r="H73">
        <v>66.938803517136179</v>
      </c>
      <c r="J73">
        <v>74.763440268569639</v>
      </c>
      <c r="L73">
        <v>6.6958597638229218</v>
      </c>
      <c r="M73">
        <v>13.411161243267877</v>
      </c>
      <c r="N73">
        <v>2.5335696754496082</v>
      </c>
      <c r="O73">
        <v>27.373372246985095</v>
      </c>
      <c r="P73">
        <v>11.367885351476996</v>
      </c>
      <c r="Q73">
        <v>0.54985252934785422</v>
      </c>
      <c r="R73">
        <v>15.197826583513846</v>
      </c>
      <c r="S73">
        <v>45.361139909087051</v>
      </c>
      <c r="U73">
        <v>1.14881404807696</v>
      </c>
      <c r="V73">
        <v>47.963693334074073</v>
      </c>
      <c r="W73">
        <v>21.022537301112553</v>
      </c>
      <c r="X73">
        <v>45.993160471958191</v>
      </c>
      <c r="Y73">
        <v>8.3556287773158022</v>
      </c>
      <c r="Z73">
        <v>29.464384185312291</v>
      </c>
      <c r="AA73">
        <v>5.7518947348780856</v>
      </c>
      <c r="AB73">
        <v>35.66525892364335</v>
      </c>
      <c r="AD73">
        <v>7.0600662178090516</v>
      </c>
      <c r="AE73">
        <v>11.893885144842216</v>
      </c>
      <c r="AF73">
        <v>13.069139374881187</v>
      </c>
      <c r="AG73">
        <v>21.050460115018389</v>
      </c>
      <c r="AH73">
        <v>6.7892936919598563</v>
      </c>
      <c r="AI73">
        <v>2.4778726551979546</v>
      </c>
      <c r="AK73">
        <v>61.530136276214513</v>
      </c>
    </row>
    <row r="74" spans="1:37" x14ac:dyDescent="0.2">
      <c r="A74">
        <v>73</v>
      </c>
      <c r="B74">
        <v>750</v>
      </c>
      <c r="C74">
        <v>260</v>
      </c>
      <c r="D74">
        <v>0.313522455162978</v>
      </c>
      <c r="E74">
        <v>191.70505350623179</v>
      </c>
      <c r="F74">
        <v>58.906022243683132</v>
      </c>
      <c r="G74">
        <v>71.490145741753551</v>
      </c>
      <c r="H74">
        <v>66.873138595039762</v>
      </c>
      <c r="J74">
        <v>74.664070053724416</v>
      </c>
      <c r="L74">
        <v>6.6101482910911802</v>
      </c>
      <c r="M74">
        <v>13.335484877050677</v>
      </c>
      <c r="N74">
        <v>2.5355439014350711</v>
      </c>
      <c r="O74">
        <v>26.985345805871827</v>
      </c>
      <c r="P74">
        <v>11.264703516462635</v>
      </c>
      <c r="Q74">
        <v>0.48204635384558059</v>
      </c>
      <c r="R74">
        <v>14.97452620755552</v>
      </c>
      <c r="S74">
        <v>44.874265453120422</v>
      </c>
      <c r="U74">
        <v>1.0617578032478887</v>
      </c>
      <c r="V74">
        <v>47.840753063204417</v>
      </c>
      <c r="W74">
        <v>20.803527532706799</v>
      </c>
      <c r="X74">
        <v>45.765341662460315</v>
      </c>
      <c r="Y74">
        <v>8.2635355824752654</v>
      </c>
      <c r="Z74">
        <v>29.251325310715341</v>
      </c>
      <c r="AA74">
        <v>5.6635810155007347</v>
      </c>
      <c r="AB74">
        <v>35.498067825453433</v>
      </c>
      <c r="AD74">
        <v>6.9374460233378379</v>
      </c>
      <c r="AE74">
        <v>11.798799582539601</v>
      </c>
      <c r="AF74">
        <v>12.992345243292297</v>
      </c>
      <c r="AG74">
        <v>20.868313061361288</v>
      </c>
      <c r="AH74">
        <v>6.6497721412058786</v>
      </c>
      <c r="AI74">
        <v>2.4795554401337587</v>
      </c>
      <c r="AK74">
        <v>61.510031548782379</v>
      </c>
    </row>
    <row r="75" spans="1:37" x14ac:dyDescent="0.2">
      <c r="A75">
        <v>74</v>
      </c>
      <c r="B75">
        <v>749</v>
      </c>
      <c r="C75">
        <v>260</v>
      </c>
      <c r="D75">
        <v>0.312782370493568</v>
      </c>
      <c r="E75">
        <v>191.58201786171588</v>
      </c>
      <c r="F75">
        <v>58.523388206681133</v>
      </c>
      <c r="G75">
        <v>71.426884607631536</v>
      </c>
      <c r="H75">
        <v>66.807568695057014</v>
      </c>
      <c r="J75">
        <v>74.565299980237569</v>
      </c>
      <c r="L75">
        <v>6.5245433842262317</v>
      </c>
      <c r="M75">
        <v>13.259950759913824</v>
      </c>
      <c r="N75">
        <v>2.537518002493274</v>
      </c>
      <c r="O75">
        <v>26.597919984159805</v>
      </c>
      <c r="P75">
        <v>11.161693168243458</v>
      </c>
      <c r="Q75">
        <v>0.41443628685446765</v>
      </c>
      <c r="R75">
        <v>14.751579696281924</v>
      </c>
      <c r="S75">
        <v>44.388292832764321</v>
      </c>
      <c r="U75">
        <v>0.97477072689071287</v>
      </c>
      <c r="V75">
        <v>47.717998896783641</v>
      </c>
      <c r="W75">
        <v>20.584789903878761</v>
      </c>
      <c r="X75">
        <v>45.537944347966636</v>
      </c>
      <c r="Y75">
        <v>8.1715954541033167</v>
      </c>
      <c r="Z75">
        <v>29.038546518839219</v>
      </c>
      <c r="AA75">
        <v>5.5754328140722933</v>
      </c>
      <c r="AB75">
        <v>35.331140803360462</v>
      </c>
      <c r="AD75">
        <v>6.8149339404302722</v>
      </c>
      <c r="AE75">
        <v>11.703833307644361</v>
      </c>
      <c r="AF75">
        <v>12.915693570059391</v>
      </c>
      <c r="AG75">
        <v>20.686432516096946</v>
      </c>
      <c r="AH75">
        <v>6.5104695871525537</v>
      </c>
      <c r="AI75">
        <v>2.4812372582030617</v>
      </c>
      <c r="AK75">
        <v>61.490243083215447</v>
      </c>
    </row>
    <row r="76" spans="1:37" x14ac:dyDescent="0.2">
      <c r="A76">
        <v>75</v>
      </c>
      <c r="B76">
        <v>748</v>
      </c>
      <c r="C76">
        <v>260</v>
      </c>
      <c r="D76">
        <v>0.31204083631200402</v>
      </c>
      <c r="E76">
        <v>191.45913497141973</v>
      </c>
      <c r="F76">
        <v>58.14143049997989</v>
      </c>
      <c r="G76">
        <v>71.363705192490073</v>
      </c>
      <c r="H76">
        <v>66.742093693223381</v>
      </c>
      <c r="J76">
        <v>74.467129641922028</v>
      </c>
      <c r="L76">
        <v>6.4391534445825451</v>
      </c>
      <c r="M76">
        <v>13.184558444607354</v>
      </c>
      <c r="N76">
        <v>2.5394919791640334</v>
      </c>
      <c r="O76">
        <v>26.211093558984178</v>
      </c>
      <c r="P76">
        <v>11.058854040360156</v>
      </c>
      <c r="Q76">
        <v>0.34688303567634282</v>
      </c>
      <c r="R76">
        <v>14.528986006007512</v>
      </c>
      <c r="S76">
        <v>43.903219440683564</v>
      </c>
      <c r="U76">
        <v>0.8878524833151078</v>
      </c>
      <c r="V76">
        <v>47.595430117392155</v>
      </c>
      <c r="W76">
        <v>20.366323514758903</v>
      </c>
      <c r="X76">
        <v>45.310967131566272</v>
      </c>
      <c r="Y76">
        <v>8.0798080485552735</v>
      </c>
      <c r="Z76">
        <v>28.826046879800703</v>
      </c>
      <c r="AA76">
        <v>5.4874497793674015</v>
      </c>
      <c r="AB76">
        <v>35.164476967511312</v>
      </c>
      <c r="AD76">
        <v>6.6925298865176348</v>
      </c>
      <c r="AE76">
        <v>11.608985871648658</v>
      </c>
      <c r="AF76">
        <v>12.839183914160021</v>
      </c>
      <c r="AG76">
        <v>20.504817595959732</v>
      </c>
      <c r="AH76">
        <v>6.371385709024123</v>
      </c>
      <c r="AI76">
        <v>2.4829181081057379</v>
      </c>
      <c r="AK76">
        <v>61.470770825430883</v>
      </c>
    </row>
    <row r="77" spans="1:37" x14ac:dyDescent="0.2">
      <c r="A77">
        <v>76</v>
      </c>
      <c r="B77">
        <v>747</v>
      </c>
      <c r="C77">
        <v>260</v>
      </c>
      <c r="D77">
        <v>0.31129784835563601</v>
      </c>
      <c r="E77">
        <v>191.33640445625576</v>
      </c>
      <c r="F77">
        <v>57.76014752506152</v>
      </c>
      <c r="G77">
        <v>71.300607353502144</v>
      </c>
      <c r="H77">
        <v>66.67671346783797</v>
      </c>
      <c r="J77">
        <v>74.369558641520001</v>
      </c>
      <c r="L77">
        <v>6.3539254494553132</v>
      </c>
      <c r="M77">
        <v>13.109307487612407</v>
      </c>
      <c r="N77">
        <v>2.5414658320380408</v>
      </c>
      <c r="O77">
        <v>25.824865322589254</v>
      </c>
      <c r="P77">
        <v>10.956185870909922</v>
      </c>
      <c r="Q77">
        <v>0.27951891367962706</v>
      </c>
      <c r="R77">
        <v>14.306744103872003</v>
      </c>
      <c r="S77">
        <v>43.419042692875237</v>
      </c>
      <c r="U77">
        <v>0.80100274104278069</v>
      </c>
      <c r="V77">
        <v>47.473046005539935</v>
      </c>
      <c r="W77">
        <v>20.148127472981756</v>
      </c>
      <c r="X77">
        <v>45.084408627884123</v>
      </c>
      <c r="Y77">
        <v>7.9881730270585356</v>
      </c>
      <c r="Z77">
        <v>28.613825471523473</v>
      </c>
      <c r="AA77">
        <v>5.3996315651223847</v>
      </c>
      <c r="AB77">
        <v>34.998075435097178</v>
      </c>
      <c r="AD77">
        <v>6.5702337810481213</v>
      </c>
      <c r="AE77">
        <v>11.514256829414759</v>
      </c>
      <c r="AF77">
        <v>12.76281583836478</v>
      </c>
      <c r="AG77">
        <v>20.323467424796053</v>
      </c>
      <c r="AH77">
        <v>6.2325201919553477</v>
      </c>
      <c r="AI77">
        <v>2.4845979885923013</v>
      </c>
      <c r="AK77">
        <v>61.451614725944715</v>
      </c>
    </row>
    <row r="78" spans="1:37" x14ac:dyDescent="0.2">
      <c r="A78">
        <v>77</v>
      </c>
      <c r="B78">
        <v>746</v>
      </c>
      <c r="C78">
        <v>260</v>
      </c>
      <c r="D78">
        <v>0.31055340234509199</v>
      </c>
      <c r="E78">
        <v>191.21382594176535</v>
      </c>
      <c r="F78">
        <v>57.379537703263239</v>
      </c>
      <c r="G78">
        <v>71.237590950204478</v>
      </c>
      <c r="H78">
        <v>66.611427899603228</v>
      </c>
      <c r="J78">
        <v>74.272586591304872</v>
      </c>
      <c r="L78">
        <v>6.2688591531596902</v>
      </c>
      <c r="M78">
        <v>13.034197449528195</v>
      </c>
      <c r="N78">
        <v>2.543439561644055</v>
      </c>
      <c r="O78">
        <v>25.439234082686415</v>
      </c>
      <c r="P78">
        <v>10.853688402720598</v>
      </c>
      <c r="Q78">
        <v>0.21228275830946858</v>
      </c>
      <c r="R78">
        <v>14.084852968495596</v>
      </c>
      <c r="S78">
        <v>42.935760030610076</v>
      </c>
      <c r="U78">
        <v>0.7142211731334851</v>
      </c>
      <c r="V78">
        <v>47.350845840118701</v>
      </c>
      <c r="W78">
        <v>19.930200894347397</v>
      </c>
      <c r="X78">
        <v>44.858267464680104</v>
      </c>
      <c r="Y78">
        <v>7.896690055929267</v>
      </c>
      <c r="Z78">
        <v>28.401881380194297</v>
      </c>
      <c r="AA78">
        <v>5.3119778302506671</v>
      </c>
      <c r="AB78">
        <v>34.831935330985893</v>
      </c>
      <c r="AD78">
        <v>6.4480455458446126</v>
      </c>
      <c r="AE78">
        <v>11.419645739326731</v>
      </c>
      <c r="AF78">
        <v>12.686588909516937</v>
      </c>
      <c r="AG78">
        <v>20.142381134089177</v>
      </c>
      <c r="AH78">
        <v>6.0938727274490567</v>
      </c>
      <c r="AI78">
        <v>2.4862768983511003</v>
      </c>
      <c r="AK78">
        <v>61.432774740130782</v>
      </c>
    </row>
    <row r="79" spans="1:37" x14ac:dyDescent="0.2">
      <c r="A79">
        <v>78</v>
      </c>
      <c r="B79">
        <v>745</v>
      </c>
      <c r="C79">
        <v>260</v>
      </c>
      <c r="D79">
        <v>0.309807493984187</v>
      </c>
      <c r="E79">
        <v>191.09139905792244</v>
      </c>
      <c r="F79">
        <v>56.99959947501462</v>
      </c>
      <c r="G79">
        <v>71.1746558443879</v>
      </c>
      <c r="H79">
        <v>66.546236871518502</v>
      </c>
      <c r="J79">
        <v>74.176213112697454</v>
      </c>
      <c r="L79">
        <v>6.183954347777977</v>
      </c>
      <c r="M79">
        <v>12.959227894750471</v>
      </c>
      <c r="N79">
        <v>2.5454131685553052</v>
      </c>
      <c r="O79">
        <v>25.054198662114839</v>
      </c>
      <c r="P79">
        <v>10.751361383239855</v>
      </c>
      <c r="Q79">
        <v>0.14509492449336722</v>
      </c>
      <c r="R79">
        <v>13.863311589485722</v>
      </c>
      <c r="S79">
        <v>42.453368918800905</v>
      </c>
      <c r="U79">
        <v>0.62750745690579279</v>
      </c>
      <c r="V79">
        <v>47.228828897672862</v>
      </c>
      <c r="W79">
        <v>19.712542902153167</v>
      </c>
      <c r="X79">
        <v>44.632542281828528</v>
      </c>
      <c r="Y79">
        <v>7.8053588064211441</v>
      </c>
      <c r="Z79">
        <v>28.190213699682772</v>
      </c>
      <c r="AA79">
        <v>5.2244882387662877</v>
      </c>
      <c r="AB79">
        <v>34.666055787050475</v>
      </c>
      <c r="AD79">
        <v>6.3259651047920826</v>
      </c>
      <c r="AE79">
        <v>11.325152163030939</v>
      </c>
      <c r="AF79">
        <v>12.610502698310311</v>
      </c>
      <c r="AG79">
        <v>19.961557862388531</v>
      </c>
      <c r="AH79">
        <v>5.955443013012375</v>
      </c>
      <c r="AI79">
        <v>2.487954836115537</v>
      </c>
      <c r="AK79">
        <v>61.414250828113545</v>
      </c>
    </row>
    <row r="80" spans="1:37" x14ac:dyDescent="0.2">
      <c r="A80">
        <v>79</v>
      </c>
      <c r="B80">
        <v>744</v>
      </c>
      <c r="C80">
        <v>260</v>
      </c>
      <c r="D80">
        <v>0.30906011895984098</v>
      </c>
      <c r="E80">
        <v>190.9691234389432</v>
      </c>
      <c r="F80">
        <v>56.620331299254104</v>
      </c>
      <c r="G80">
        <v>71.111801900035672</v>
      </c>
      <c r="H80">
        <v>66.481140268816588</v>
      </c>
      <c r="J80">
        <v>74.080437835934063</v>
      </c>
      <c r="L80">
        <v>6.0992108727768972</v>
      </c>
      <c r="M80">
        <v>12.884398391343465</v>
      </c>
      <c r="N80">
        <v>2.5473866533828553</v>
      </c>
      <c r="O80">
        <v>24.669757898540773</v>
      </c>
      <c r="P80">
        <v>10.649204564398516</v>
      </c>
      <c r="Q80">
        <v>7.8102874620472898E-2</v>
      </c>
      <c r="R80">
        <v>13.642118967121723</v>
      </c>
      <c r="S80">
        <v>41.971866845347506</v>
      </c>
      <c r="U80">
        <v>0.54086127383902849</v>
      </c>
      <c r="V80">
        <v>47.106994451884262</v>
      </c>
      <c r="W80">
        <v>19.495152627064506</v>
      </c>
      <c r="X80">
        <v>44.407231730306464</v>
      </c>
      <c r="Y80">
        <v>7.7141789546030637</v>
      </c>
      <c r="Z80">
        <v>27.978821531485391</v>
      </c>
      <c r="AA80">
        <v>5.137162459718609</v>
      </c>
      <c r="AB80">
        <v>34.500435942065053</v>
      </c>
      <c r="AD80">
        <v>6.203992383823973</v>
      </c>
      <c r="AE80">
        <v>11.230775665447011</v>
      </c>
      <c r="AF80">
        <v>12.534556779157494</v>
      </c>
      <c r="AG80">
        <v>19.780996755204026</v>
      </c>
      <c r="AH80">
        <v>5.817230751991973</v>
      </c>
      <c r="AI80">
        <v>2.4896318006553342</v>
      </c>
      <c r="AK80">
        <v>61.39604295455306</v>
      </c>
    </row>
    <row r="81" spans="1:37" x14ac:dyDescent="0.2">
      <c r="A81">
        <v>80</v>
      </c>
      <c r="B81">
        <v>743</v>
      </c>
      <c r="C81">
        <v>260</v>
      </c>
      <c r="D81">
        <v>0.30831127294198801</v>
      </c>
      <c r="E81">
        <v>190.84699872373864</v>
      </c>
      <c r="F81">
        <v>56.24173165481853</v>
      </c>
      <c r="G81">
        <v>71.049028983512869</v>
      </c>
      <c r="H81">
        <v>66.416137979154442</v>
      </c>
      <c r="J81">
        <v>73.985260400881927</v>
      </c>
      <c r="L81">
        <v>6.014628628256494</v>
      </c>
      <c r="M81">
        <v>12.809708511535588</v>
      </c>
      <c r="N81">
        <v>2.5493600166451023</v>
      </c>
      <c r="O81">
        <v>24.285910644937811</v>
      </c>
      <c r="P81">
        <v>10.547217702867373</v>
      </c>
      <c r="Q81">
        <v>1.1159622035141183E-2</v>
      </c>
      <c r="R81">
        <v>13.421274113210684</v>
      </c>
      <c r="S81">
        <v>41.491251323573771</v>
      </c>
      <c r="U81">
        <v>0.45428230998282249</v>
      </c>
      <c r="V81">
        <v>46.985341774166095</v>
      </c>
      <c r="W81">
        <v>19.278029207909139</v>
      </c>
      <c r="X81">
        <v>44.182334475061907</v>
      </c>
      <c r="Y81">
        <v>7.623150181651555</v>
      </c>
      <c r="Z81">
        <v>27.767703985234117</v>
      </c>
      <c r="AA81">
        <v>5.0500001674373056</v>
      </c>
      <c r="AB81">
        <v>34.335074942438474</v>
      </c>
      <c r="AD81">
        <v>6.0821273113192555</v>
      </c>
      <c r="AE81">
        <v>11.136515814914031</v>
      </c>
      <c r="AF81">
        <v>12.458750730559352</v>
      </c>
      <c r="AG81">
        <v>19.600696965608613</v>
      </c>
      <c r="AH81">
        <v>5.6792356541599149</v>
      </c>
      <c r="AI81">
        <v>2.4913077906495262</v>
      </c>
      <c r="AK81">
        <v>61.378151089036976</v>
      </c>
    </row>
    <row r="82" spans="1:37" x14ac:dyDescent="0.2">
      <c r="A82">
        <v>81</v>
      </c>
      <c r="B82">
        <v>742</v>
      </c>
      <c r="C82">
        <v>260</v>
      </c>
      <c r="D82">
        <v>0.30756095158350699</v>
      </c>
      <c r="E82">
        <v>189.69246243738618</v>
      </c>
      <c r="F82">
        <v>48.317082625142653</v>
      </c>
      <c r="G82">
        <v>69.896380944956221</v>
      </c>
      <c r="H82">
        <v>65.261273874002171</v>
      </c>
      <c r="J82">
        <v>70.722496775518252</v>
      </c>
      <c r="L82">
        <v>3.8643095013709643</v>
      </c>
      <c r="M82">
        <v>12.762715213246221</v>
      </c>
      <c r="N82">
        <v>2.5512729451826797</v>
      </c>
      <c r="O82">
        <v>16.265544181376935</v>
      </c>
      <c r="P82">
        <v>8.2654282092486806</v>
      </c>
      <c r="R82">
        <v>10.358001822168873</v>
      </c>
      <c r="S82">
        <v>37.348629161830388</v>
      </c>
      <c r="U82">
        <v>0.43871984569965661</v>
      </c>
      <c r="V82">
        <v>46.794656142102092</v>
      </c>
      <c r="W82">
        <v>19.129242659653485</v>
      </c>
      <c r="X82">
        <v>44.176358688073826</v>
      </c>
      <c r="Y82">
        <v>5.341646539477332</v>
      </c>
      <c r="Z82">
        <v>22.314647891832674</v>
      </c>
      <c r="AA82">
        <v>2.8590036140270678</v>
      </c>
      <c r="AB82">
        <v>32.260213039294662</v>
      </c>
      <c r="AD82">
        <v>2.9239668840203281</v>
      </c>
      <c r="AE82">
        <v>8.8307686879692024</v>
      </c>
      <c r="AF82">
        <v>12.410581203038927</v>
      </c>
      <c r="AG82">
        <v>17.510838437727983</v>
      </c>
      <c r="AH82">
        <v>2.1519760052637009</v>
      </c>
      <c r="AI82">
        <v>2.4929224910975223</v>
      </c>
      <c r="AK82">
        <v>59.147857992169591</v>
      </c>
    </row>
    <row r="83" spans="1:37" x14ac:dyDescent="0.2">
      <c r="A83">
        <v>82</v>
      </c>
      <c r="B83">
        <v>741</v>
      </c>
      <c r="C83">
        <v>260</v>
      </c>
      <c r="D83">
        <v>0.30680915052014102</v>
      </c>
      <c r="E83">
        <v>189.39676200055112</v>
      </c>
      <c r="F83">
        <v>45.173927436323027</v>
      </c>
      <c r="G83">
        <v>69.581501355440381</v>
      </c>
      <c r="H83">
        <v>64.944191545809645</v>
      </c>
      <c r="J83">
        <v>63.027198323090737</v>
      </c>
      <c r="L83">
        <v>1.7514993627368058</v>
      </c>
      <c r="M83">
        <v>12.603747369247065</v>
      </c>
      <c r="N83">
        <v>2.5532422236706336</v>
      </c>
      <c r="O83">
        <v>6.0189223552601163</v>
      </c>
      <c r="P83">
        <v>7.6592400339171398</v>
      </c>
      <c r="R83">
        <v>7.9262705319030369</v>
      </c>
      <c r="S83">
        <v>32.546253532770443</v>
      </c>
      <c r="U83">
        <v>0.3886482248364993</v>
      </c>
      <c r="V83">
        <v>46.814374975220723</v>
      </c>
      <c r="W83">
        <v>18.911872800411256</v>
      </c>
      <c r="X83">
        <v>44.066965051716146</v>
      </c>
      <c r="Y83">
        <v>3.7144061389780285</v>
      </c>
      <c r="Z83">
        <v>18.787635315089084</v>
      </c>
      <c r="AA83">
        <v>0.47304605560109486</v>
      </c>
      <c r="AB83">
        <v>30.856960768195414</v>
      </c>
      <c r="AD83">
        <v>0.89535937530509957</v>
      </c>
      <c r="AE83">
        <v>7.0754183540523661</v>
      </c>
      <c r="AF83">
        <v>12.250493859821351</v>
      </c>
      <c r="AG83">
        <v>16.092648497982747</v>
      </c>
      <c r="AI83">
        <v>2.494592684833842</v>
      </c>
      <c r="AK83">
        <v>53.922083558170286</v>
      </c>
    </row>
    <row r="84" spans="1:37" x14ac:dyDescent="0.2">
      <c r="A84">
        <v>83</v>
      </c>
      <c r="B84">
        <v>740</v>
      </c>
      <c r="C84">
        <v>260</v>
      </c>
      <c r="D84">
        <v>0.30605586537038199</v>
      </c>
      <c r="E84">
        <v>189.62262605077299</v>
      </c>
      <c r="F84">
        <v>45.312509779268765</v>
      </c>
      <c r="G84">
        <v>69.628905686763147</v>
      </c>
      <c r="H84">
        <v>64.989406487792749</v>
      </c>
      <c r="J84">
        <v>51.187734548791745</v>
      </c>
      <c r="L84">
        <v>1.6616220373779906</v>
      </c>
      <c r="M84">
        <v>12.143902138296321</v>
      </c>
      <c r="N84">
        <v>2.5552372298584474</v>
      </c>
      <c r="O84">
        <v>5.3063960234811915</v>
      </c>
      <c r="P84">
        <v>7.7776535218395466</v>
      </c>
      <c r="R84">
        <v>7.5501589621296032</v>
      </c>
      <c r="S84">
        <v>32.908672991165744</v>
      </c>
      <c r="U84">
        <v>0.34728558824677436</v>
      </c>
      <c r="V84">
        <v>47.513858220748702</v>
      </c>
      <c r="W84">
        <v>18.38841392976477</v>
      </c>
      <c r="X84">
        <v>43.982714488355072</v>
      </c>
      <c r="Y84">
        <v>3.437707711669014</v>
      </c>
      <c r="Z84">
        <v>17.775960122692254</v>
      </c>
      <c r="AB84">
        <v>30.845769416062009</v>
      </c>
      <c r="AE84">
        <v>6.4717660252223874</v>
      </c>
      <c r="AF84">
        <v>11.789555243203765</v>
      </c>
      <c r="AG84">
        <v>16.066547817248711</v>
      </c>
      <c r="AI84">
        <v>2.4962877477677927</v>
      </c>
      <c r="AK84">
        <v>45.853367708478302</v>
      </c>
    </row>
    <row r="85" spans="1:37" x14ac:dyDescent="0.2">
      <c r="A85">
        <v>84</v>
      </c>
      <c r="B85">
        <v>739</v>
      </c>
      <c r="C85">
        <v>260</v>
      </c>
      <c r="D85">
        <v>0.30530109173541498</v>
      </c>
      <c r="E85">
        <v>189.78361577753179</v>
      </c>
      <c r="F85">
        <v>45.814409081933675</v>
      </c>
      <c r="G85">
        <v>69.605381591644871</v>
      </c>
      <c r="H85">
        <v>64.963706374131405</v>
      </c>
      <c r="J85">
        <v>45.567591392848087</v>
      </c>
      <c r="L85">
        <v>1.6771246647693951</v>
      </c>
      <c r="M85">
        <v>11.703422228028566</v>
      </c>
      <c r="N85">
        <v>2.5572249514436454</v>
      </c>
      <c r="O85">
        <v>5.3044544416485016</v>
      </c>
      <c r="P85">
        <v>7.7542109898361655</v>
      </c>
      <c r="R85">
        <v>7.2048021500500345</v>
      </c>
      <c r="S85">
        <v>33.394863191876496</v>
      </c>
      <c r="U85">
        <v>0.32144388411320474</v>
      </c>
      <c r="V85">
        <v>48.110505801574973</v>
      </c>
      <c r="W85">
        <v>17.875034321630846</v>
      </c>
      <c r="X85">
        <v>43.943352312272395</v>
      </c>
      <c r="Y85">
        <v>3.202483986348724</v>
      </c>
      <c r="Z85">
        <v>17.966427482490218</v>
      </c>
      <c r="AB85">
        <v>31.403759072524807</v>
      </c>
      <c r="AE85">
        <v>6.5739717839276572</v>
      </c>
      <c r="AF85">
        <v>11.347975054322852</v>
      </c>
      <c r="AG85">
        <v>16.609623479075591</v>
      </c>
      <c r="AI85">
        <v>2.4979746657557889</v>
      </c>
      <c r="AK85">
        <v>41.976392140440829</v>
      </c>
    </row>
    <row r="86" spans="1:37" x14ac:dyDescent="0.2">
      <c r="A86">
        <v>85</v>
      </c>
      <c r="B86">
        <v>763</v>
      </c>
      <c r="C86">
        <v>240</v>
      </c>
      <c r="D86">
        <v>0.34424600685229401</v>
      </c>
      <c r="E86">
        <v>181.63170317237035</v>
      </c>
      <c r="F86">
        <v>63.483265901748943</v>
      </c>
      <c r="G86">
        <v>72.315045324139021</v>
      </c>
      <c r="H86">
        <v>67.728361380933976</v>
      </c>
      <c r="J86">
        <v>75.602569593282922</v>
      </c>
      <c r="L86">
        <v>7.6463965468582611</v>
      </c>
      <c r="M86">
        <v>14.289940842186406</v>
      </c>
      <c r="N86">
        <v>2.4426931816794086</v>
      </c>
      <c r="O86">
        <v>32.150503533682226</v>
      </c>
      <c r="P86">
        <v>12.429469850503935</v>
      </c>
      <c r="Q86">
        <v>1.1471873991388586</v>
      </c>
      <c r="R86">
        <v>17.900147593191576</v>
      </c>
      <c r="S86">
        <v>50.80364227815263</v>
      </c>
      <c r="U86">
        <v>2.085201871334545</v>
      </c>
      <c r="V86">
        <v>48.99477824248455</v>
      </c>
      <c r="W86">
        <v>24.084757978041658</v>
      </c>
      <c r="X86">
        <v>47.495342753472521</v>
      </c>
      <c r="Y86">
        <v>9.2987106735560481</v>
      </c>
      <c r="Z86">
        <v>31.993325348073672</v>
      </c>
      <c r="AA86">
        <v>6.7562200803267549</v>
      </c>
      <c r="AB86">
        <v>37.673034667892686</v>
      </c>
      <c r="AC86">
        <v>5.8132526529363323E-3</v>
      </c>
      <c r="AD86">
        <v>8.4989815025404933</v>
      </c>
      <c r="AE86">
        <v>13.175100531236856</v>
      </c>
      <c r="AF86">
        <v>13.95585185461205</v>
      </c>
      <c r="AG86">
        <v>23.25698370597425</v>
      </c>
      <c r="AH86">
        <v>8.0685531281926046</v>
      </c>
      <c r="AI86">
        <v>2.3878801219423176</v>
      </c>
      <c r="AK86">
        <v>61.487109085559943</v>
      </c>
    </row>
    <row r="87" spans="1:37" x14ac:dyDescent="0.2">
      <c r="A87">
        <v>86</v>
      </c>
      <c r="B87">
        <v>762</v>
      </c>
      <c r="C87">
        <v>240</v>
      </c>
      <c r="D87">
        <v>0.34354489687485301</v>
      </c>
      <c r="E87">
        <v>181.52166059663068</v>
      </c>
      <c r="F87">
        <v>63.143899644758008</v>
      </c>
      <c r="G87">
        <v>72.258093414956775</v>
      </c>
      <c r="H87">
        <v>67.668923136664162</v>
      </c>
      <c r="J87">
        <v>75.523677466289016</v>
      </c>
      <c r="L87">
        <v>7.566780893728013</v>
      </c>
      <c r="M87">
        <v>14.233172450131343</v>
      </c>
      <c r="N87">
        <v>2.4385899791983481</v>
      </c>
      <c r="O87">
        <v>31.775950798724892</v>
      </c>
      <c r="P87">
        <v>12.332892133018342</v>
      </c>
      <c r="Q87">
        <v>1.0928792120606192</v>
      </c>
      <c r="R87">
        <v>17.70549594586311</v>
      </c>
      <c r="S87">
        <v>50.407928862207029</v>
      </c>
      <c r="U87">
        <v>2.014865721519</v>
      </c>
      <c r="V87">
        <v>48.90240271306768</v>
      </c>
      <c r="W87">
        <v>23.901124998802434</v>
      </c>
      <c r="X87">
        <v>47.323437369228756</v>
      </c>
      <c r="Y87">
        <v>9.2155662209364966</v>
      </c>
      <c r="Z87">
        <v>31.80770026774367</v>
      </c>
      <c r="AA87">
        <v>6.6740666182721178</v>
      </c>
      <c r="AB87">
        <v>37.539904144904419</v>
      </c>
      <c r="AD87">
        <v>8.3947381664105318</v>
      </c>
      <c r="AE87">
        <v>13.090801496370352</v>
      </c>
      <c r="AF87">
        <v>13.891881862585596</v>
      </c>
      <c r="AG87">
        <v>23.102815883463315</v>
      </c>
      <c r="AH87">
        <v>7.949984617082964</v>
      </c>
      <c r="AI87">
        <v>2.3834963404341192</v>
      </c>
      <c r="AK87">
        <v>61.473624052978231</v>
      </c>
    </row>
    <row r="88" spans="1:37" x14ac:dyDescent="0.2">
      <c r="A88">
        <v>87</v>
      </c>
      <c r="B88">
        <v>761</v>
      </c>
      <c r="C88">
        <v>240</v>
      </c>
      <c r="D88">
        <v>0.34284243098196698</v>
      </c>
      <c r="E88">
        <v>181.39716171013498</v>
      </c>
      <c r="F88">
        <v>62.755106319610647</v>
      </c>
      <c r="G88">
        <v>72.194002615533279</v>
      </c>
      <c r="H88">
        <v>67.602358912303544</v>
      </c>
      <c r="J88">
        <v>75.417665636498995</v>
      </c>
      <c r="L88">
        <v>7.479713882115993</v>
      </c>
      <c r="M88">
        <v>14.156561254124927</v>
      </c>
      <c r="N88">
        <v>2.4405675110971097</v>
      </c>
      <c r="O88">
        <v>31.382096440801032</v>
      </c>
      <c r="P88">
        <v>12.228124978383891</v>
      </c>
      <c r="Q88">
        <v>1.0242656832376191</v>
      </c>
      <c r="R88">
        <v>17.479499766618659</v>
      </c>
      <c r="S88">
        <v>49.913513045009424</v>
      </c>
      <c r="U88">
        <v>1.927167307298844</v>
      </c>
      <c r="V88">
        <v>48.778302331459756</v>
      </c>
      <c r="W88">
        <v>23.679891158056911</v>
      </c>
      <c r="X88">
        <v>47.092793165877623</v>
      </c>
      <c r="Y88">
        <v>9.122098288761876</v>
      </c>
      <c r="Z88">
        <v>31.593508586339976</v>
      </c>
      <c r="AA88">
        <v>6.5844034038910904</v>
      </c>
      <c r="AB88">
        <v>37.371217738044052</v>
      </c>
      <c r="AD88">
        <v>8.2721311412444543</v>
      </c>
      <c r="AE88">
        <v>12.99523654251756</v>
      </c>
      <c r="AF88">
        <v>13.814150072761505</v>
      </c>
      <c r="AG88">
        <v>22.919175397607333</v>
      </c>
      <c r="AH88">
        <v>7.8086451164553976</v>
      </c>
      <c r="AI88">
        <v>2.38519247343035</v>
      </c>
      <c r="AK88">
        <v>61.45011960937746</v>
      </c>
    </row>
    <row r="89" spans="1:37" x14ac:dyDescent="0.2">
      <c r="A89">
        <v>88</v>
      </c>
      <c r="B89">
        <v>760</v>
      </c>
      <c r="C89">
        <v>240</v>
      </c>
      <c r="D89">
        <v>0.34213860523641398</v>
      </c>
      <c r="E89">
        <v>181.27281478465048</v>
      </c>
      <c r="F89">
        <v>62.366991155260862</v>
      </c>
      <c r="G89">
        <v>72.129993087695411</v>
      </c>
      <c r="H89">
        <v>67.535888890277093</v>
      </c>
      <c r="J89">
        <v>75.312246574746879</v>
      </c>
      <c r="L89">
        <v>7.3928090155473178</v>
      </c>
      <c r="M89">
        <v>14.080093499500373</v>
      </c>
      <c r="N89">
        <v>2.4425449128683381</v>
      </c>
      <c r="O89">
        <v>30.988842670738709</v>
      </c>
      <c r="P89">
        <v>12.123527868089864</v>
      </c>
      <c r="Q89">
        <v>0.95576162154465394</v>
      </c>
      <c r="R89">
        <v>17.253858714816602</v>
      </c>
      <c r="S89">
        <v>49.420002768113335</v>
      </c>
      <c r="U89">
        <v>1.8395355313442401</v>
      </c>
      <c r="V89">
        <v>48.654388830777791</v>
      </c>
      <c r="W89">
        <v>23.45893372236041</v>
      </c>
      <c r="X89">
        <v>46.862570807613281</v>
      </c>
      <c r="Y89">
        <v>9.028782624624748</v>
      </c>
      <c r="Z89">
        <v>31.379604810574115</v>
      </c>
      <c r="AA89">
        <v>6.4949054569705913</v>
      </c>
      <c r="AB89">
        <v>37.202801171604847</v>
      </c>
      <c r="AD89">
        <v>8.1496293890071119</v>
      </c>
      <c r="AE89">
        <v>12.899795567939531</v>
      </c>
      <c r="AF89">
        <v>13.736561871499912</v>
      </c>
      <c r="AG89">
        <v>22.735807114011678</v>
      </c>
      <c r="AH89">
        <v>7.6675224008011238</v>
      </c>
      <c r="AI89">
        <v>2.3868876545855731</v>
      </c>
      <c r="AK89">
        <v>61.426925207956806</v>
      </c>
    </row>
    <row r="90" spans="1:37" x14ac:dyDescent="0.2">
      <c r="A90">
        <v>89</v>
      </c>
      <c r="B90">
        <v>759</v>
      </c>
      <c r="C90">
        <v>240</v>
      </c>
      <c r="D90">
        <v>0.34143341568570601</v>
      </c>
      <c r="E90">
        <v>181.14861939428215</v>
      </c>
      <c r="F90">
        <v>61.979552406879989</v>
      </c>
      <c r="G90">
        <v>72.066064667285502</v>
      </c>
      <c r="H90">
        <v>67.469512927063832</v>
      </c>
      <c r="J90">
        <v>75.20741977220375</v>
      </c>
      <c r="L90">
        <v>7.3060658995941372</v>
      </c>
      <c r="M90">
        <v>14.003768718863206</v>
      </c>
      <c r="N90">
        <v>2.4445221850644239</v>
      </c>
      <c r="O90">
        <v>30.596188169620383</v>
      </c>
      <c r="P90">
        <v>12.019100496779108</v>
      </c>
      <c r="Q90">
        <v>0.88736580716793401</v>
      </c>
      <c r="R90">
        <v>17.028571671509177</v>
      </c>
      <c r="S90">
        <v>48.927395270994026</v>
      </c>
      <c r="U90">
        <v>1.7519700281078934</v>
      </c>
      <c r="V90">
        <v>48.530661516011712</v>
      </c>
      <c r="W90">
        <v>23.238251772669958</v>
      </c>
      <c r="X90">
        <v>46.632768798891917</v>
      </c>
      <c r="Y90">
        <v>8.9356188440703956</v>
      </c>
      <c r="Z90">
        <v>31.165988023904738</v>
      </c>
      <c r="AA90">
        <v>6.4055723928537631</v>
      </c>
      <c r="AB90">
        <v>37.034653550714324</v>
      </c>
      <c r="AD90">
        <v>8.0272328768870018</v>
      </c>
      <c r="AE90">
        <v>12.804478140166967</v>
      </c>
      <c r="AF90">
        <v>13.659116797508362</v>
      </c>
      <c r="AG90">
        <v>22.552710144196944</v>
      </c>
      <c r="AH90">
        <v>7.5266161089337036</v>
      </c>
      <c r="AI90">
        <v>2.3885818826156111</v>
      </c>
      <c r="AK90">
        <v>61.40404073271911</v>
      </c>
    </row>
    <row r="91" spans="1:37" x14ac:dyDescent="0.2">
      <c r="A91">
        <v>90</v>
      </c>
      <c r="B91">
        <v>758</v>
      </c>
      <c r="C91">
        <v>240</v>
      </c>
      <c r="D91">
        <v>0.34072685836202499</v>
      </c>
      <c r="E91">
        <v>181.02457511767969</v>
      </c>
      <c r="F91">
        <v>61.592788349821141</v>
      </c>
      <c r="G91">
        <v>72.002217192467526</v>
      </c>
      <c r="H91">
        <v>67.403230881505863</v>
      </c>
      <c r="J91">
        <v>75.10318472914625</v>
      </c>
      <c r="L91">
        <v>7.2194841490936525</v>
      </c>
      <c r="M91">
        <v>13.927586449024101</v>
      </c>
      <c r="N91">
        <v>2.4464993282382235</v>
      </c>
      <c r="O91">
        <v>30.20413163426181</v>
      </c>
      <c r="P91">
        <v>11.914842563798112</v>
      </c>
      <c r="Q91">
        <v>0.819077008460662</v>
      </c>
      <c r="R91">
        <v>16.80363752931359</v>
      </c>
      <c r="S91">
        <v>48.435687818457666</v>
      </c>
      <c r="U91">
        <v>1.6644704364772702</v>
      </c>
      <c r="V91">
        <v>48.407119692953927</v>
      </c>
      <c r="W91">
        <v>23.017844398446211</v>
      </c>
      <c r="X91">
        <v>46.403385657461833</v>
      </c>
      <c r="Y91">
        <v>8.8426065676648271</v>
      </c>
      <c r="Z91">
        <v>30.95265731888805</v>
      </c>
      <c r="AA91">
        <v>6.316403831712436</v>
      </c>
      <c r="AB91">
        <v>36.866773988690298</v>
      </c>
      <c r="AD91">
        <v>7.9049415738492881</v>
      </c>
      <c r="AE91">
        <v>12.709283830746783</v>
      </c>
      <c r="AF91">
        <v>13.581814393708404</v>
      </c>
      <c r="AG91">
        <v>22.369883607888902</v>
      </c>
      <c r="AH91">
        <v>7.3859258859757047</v>
      </c>
      <c r="AI91">
        <v>2.3902751562355875</v>
      </c>
      <c r="AK91">
        <v>61.381466072263315</v>
      </c>
    </row>
    <row r="92" spans="1:37" x14ac:dyDescent="0.2">
      <c r="A92">
        <v>91</v>
      </c>
      <c r="B92">
        <v>757</v>
      </c>
      <c r="C92">
        <v>240</v>
      </c>
      <c r="D92">
        <v>0.340018929282145</v>
      </c>
      <c r="E92">
        <v>180.90068153766836</v>
      </c>
      <c r="F92">
        <v>61.206697278464361</v>
      </c>
      <c r="G92">
        <v>71.938450503594581</v>
      </c>
      <c r="H92">
        <v>67.337042614673592</v>
      </c>
      <c r="J92">
        <v>74.999540954315918</v>
      </c>
      <c r="L92">
        <v>7.1330633888203261</v>
      </c>
      <c r="M92">
        <v>13.851546230678279</v>
      </c>
      <c r="N92">
        <v>2.4484763429711141</v>
      </c>
      <c r="O92">
        <v>29.812671776650951</v>
      </c>
      <c r="P92">
        <v>11.810753772965572</v>
      </c>
      <c r="Q92">
        <v>0.75089398132443175</v>
      </c>
      <c r="R92">
        <v>16.579055191741322</v>
      </c>
      <c r="S92">
        <v>47.944877698997487</v>
      </c>
      <c r="U92">
        <v>1.5770363995081791</v>
      </c>
      <c r="V92">
        <v>48.283762667449651</v>
      </c>
      <c r="W92">
        <v>22.797710697194333</v>
      </c>
      <c r="X92">
        <v>46.17441991260754</v>
      </c>
      <c r="Y92">
        <v>8.7497454207569998</v>
      </c>
      <c r="Z92">
        <v>30.739611796907425</v>
      </c>
      <c r="AA92">
        <v>6.2273993983591502</v>
      </c>
      <c r="AB92">
        <v>36.699161606631549</v>
      </c>
      <c r="AD92">
        <v>7.7827554505020782</v>
      </c>
      <c r="AE92">
        <v>12.614212215175277</v>
      </c>
      <c r="AF92">
        <v>13.504654206950836</v>
      </c>
      <c r="AG92">
        <v>22.187326632644123</v>
      </c>
      <c r="AH92">
        <v>7.2454513829828189</v>
      </c>
      <c r="AI92">
        <v>2.3919674741884496</v>
      </c>
      <c r="AK92">
        <v>61.359201119413719</v>
      </c>
    </row>
    <row r="93" spans="1:37" x14ac:dyDescent="0.2">
      <c r="A93">
        <v>92</v>
      </c>
      <c r="B93">
        <v>756</v>
      </c>
      <c r="C93">
        <v>240</v>
      </c>
      <c r="D93">
        <v>0.33930962444735902</v>
      </c>
      <c r="E93">
        <v>180.77693824144026</v>
      </c>
      <c r="F93">
        <v>60.821277506793997</v>
      </c>
      <c r="G93">
        <v>71.874764443290886</v>
      </c>
      <c r="H93">
        <v>67.270947989949491</v>
      </c>
      <c r="J93">
        <v>74.896487965262992</v>
      </c>
      <c r="L93">
        <v>7.0468032546669859</v>
      </c>
      <c r="M93">
        <v>13.775647608636943</v>
      </c>
      <c r="N93">
        <v>2.4504532298096673</v>
      </c>
      <c r="O93">
        <v>29.421807324136651</v>
      </c>
      <c r="P93">
        <v>11.706833832667627</v>
      </c>
      <c r="Q93">
        <v>0.68281546910523638</v>
      </c>
      <c r="R93">
        <v>16.35482357357278</v>
      </c>
      <c r="S93">
        <v>47.454962225919601</v>
      </c>
      <c r="U93">
        <v>1.4896675646222521</v>
      </c>
      <c r="V93">
        <v>48.160589745628293</v>
      </c>
      <c r="W93">
        <v>22.577849774839883</v>
      </c>
      <c r="X93">
        <v>45.94587010613396</v>
      </c>
      <c r="Y93">
        <v>8.6570350336005237</v>
      </c>
      <c r="Z93">
        <v>30.526850568418428</v>
      </c>
      <c r="AA93">
        <v>6.1385587223553228</v>
      </c>
      <c r="AB93">
        <v>36.531815533776609</v>
      </c>
      <c r="AD93">
        <v>7.6606744793406287</v>
      </c>
      <c r="AE93">
        <v>12.519262872974744</v>
      </c>
      <c r="AF93">
        <v>13.427635788180782</v>
      </c>
      <c r="AG93">
        <v>22.005038354142179</v>
      </c>
      <c r="AH93">
        <v>7.1051922571986488</v>
      </c>
      <c r="AI93">
        <v>2.3936588351826869</v>
      </c>
      <c r="AK93">
        <v>61.337245771374668</v>
      </c>
    </row>
    <row r="94" spans="1:37" x14ac:dyDescent="0.2">
      <c r="A94">
        <v>93</v>
      </c>
      <c r="B94">
        <v>755</v>
      </c>
      <c r="C94">
        <v>240</v>
      </c>
      <c r="D94">
        <v>0.338598939843407</v>
      </c>
      <c r="E94">
        <v>180.65334482046035</v>
      </c>
      <c r="F94">
        <v>60.436527367997591</v>
      </c>
      <c r="G94">
        <v>71.811158856388758</v>
      </c>
      <c r="H94">
        <v>67.204946872964157</v>
      </c>
      <c r="J94">
        <v>74.79402528813813</v>
      </c>
      <c r="L94">
        <v>6.9607033949428185</v>
      </c>
      <c r="M94">
        <v>13.699890131643803</v>
      </c>
      <c r="N94">
        <v>2.4524299893253652</v>
      </c>
      <c r="O94">
        <v>29.031537019222281</v>
      </c>
      <c r="P94">
        <v>11.60308245579569</v>
      </c>
      <c r="Q94">
        <v>0.5313470100749017</v>
      </c>
      <c r="R94">
        <v>16.13094160058942</v>
      </c>
      <c r="S94">
        <v>46.965938736405633</v>
      </c>
      <c r="U94">
        <v>1.4023635834388859</v>
      </c>
      <c r="V94">
        <v>48.037600233520287</v>
      </c>
      <c r="W94">
        <v>22.358260745340612</v>
      </c>
      <c r="X94">
        <v>45.717734791757756</v>
      </c>
      <c r="Y94">
        <v>8.5644750412707928</v>
      </c>
      <c r="Z94">
        <v>30.314372752600022</v>
      </c>
      <c r="AA94">
        <v>6.049881437987664</v>
      </c>
      <c r="AB94">
        <v>36.364734907106801</v>
      </c>
      <c r="AD94">
        <v>7.5386986346091627</v>
      </c>
      <c r="AE94">
        <v>12.424435387527577</v>
      </c>
      <c r="AF94">
        <v>13.350758692309874</v>
      </c>
      <c r="AG94">
        <v>21.823017915848254</v>
      </c>
      <c r="AH94">
        <v>6.9651481718605321</v>
      </c>
      <c r="AI94">
        <v>2.3953492379510011</v>
      </c>
      <c r="AK94">
        <v>61.315599929681163</v>
      </c>
    </row>
    <row r="95" spans="1:37" x14ac:dyDescent="0.2">
      <c r="A95">
        <v>94</v>
      </c>
      <c r="B95">
        <v>754</v>
      </c>
      <c r="C95">
        <v>240</v>
      </c>
      <c r="D95">
        <v>0.33788687144039198</v>
      </c>
      <c r="E95">
        <v>180.52990087042286</v>
      </c>
      <c r="F95">
        <v>60.052445214308015</v>
      </c>
      <c r="G95">
        <v>71.747633589928171</v>
      </c>
      <c r="H95">
        <v>67.139039131594956</v>
      </c>
      <c r="J95">
        <v>74.692152457633611</v>
      </c>
      <c r="L95">
        <v>6.8747634720045676</v>
      </c>
      <c r="M95">
        <v>13.6242733523979</v>
      </c>
      <c r="N95">
        <v>2.4544066220765353</v>
      </c>
      <c r="O95">
        <v>28.64185961940996</v>
      </c>
      <c r="P95">
        <v>11.499499359702204</v>
      </c>
      <c r="Q95">
        <v>0.45913920511742162</v>
      </c>
      <c r="R95">
        <v>15.907408209525471</v>
      </c>
      <c r="S95">
        <v>46.477804591580302</v>
      </c>
      <c r="U95">
        <v>1.315124111798466</v>
      </c>
      <c r="V95">
        <v>47.914793436860698</v>
      </c>
      <c r="W95">
        <v>22.138942730761837</v>
      </c>
      <c r="X95">
        <v>45.490012535257556</v>
      </c>
      <c r="Y95">
        <v>8.472065083636771</v>
      </c>
      <c r="Z95">
        <v>30.102177477436125</v>
      </c>
      <c r="AA95">
        <v>5.9613671842538167</v>
      </c>
      <c r="AB95">
        <v>36.197918871442397</v>
      </c>
      <c r="AD95">
        <v>7.4168278924113249</v>
      </c>
      <c r="AE95">
        <v>12.329729346123765</v>
      </c>
      <c r="AF95">
        <v>13.274022478206927</v>
      </c>
      <c r="AG95">
        <v>21.641264469075562</v>
      </c>
      <c r="AH95">
        <v>6.8253187962038506</v>
      </c>
      <c r="AI95">
        <v>2.39703868121329</v>
      </c>
      <c r="AK95">
        <v>61.294263500135507</v>
      </c>
    </row>
    <row r="96" spans="1:37" x14ac:dyDescent="0.2">
      <c r="A96">
        <v>95</v>
      </c>
      <c r="B96">
        <v>753</v>
      </c>
      <c r="C96">
        <v>240</v>
      </c>
      <c r="D96">
        <v>0.33717341519271199</v>
      </c>
      <c r="E96">
        <v>180.40660599122745</v>
      </c>
      <c r="F96">
        <v>59.669029416866508</v>
      </c>
      <c r="G96">
        <v>71.684188493125859</v>
      </c>
      <c r="H96">
        <v>67.073224635938899</v>
      </c>
      <c r="J96">
        <v>74.590869016896903</v>
      </c>
      <c r="L96">
        <v>6.788983164315912</v>
      </c>
      <c r="M96">
        <v>13.548796827466985</v>
      </c>
      <c r="N96">
        <v>2.4563831286414128</v>
      </c>
      <c r="O96">
        <v>28.252773897125369</v>
      </c>
      <c r="P96">
        <v>11.396084266183657</v>
      </c>
      <c r="Q96">
        <v>0.38702062658540765</v>
      </c>
      <c r="R96">
        <v>15.684222347970699</v>
      </c>
      <c r="S96">
        <v>45.990557176091343</v>
      </c>
      <c r="U96">
        <v>1.2279488096850819</v>
      </c>
      <c r="V96">
        <v>47.792168660836936</v>
      </c>
      <c r="W96">
        <v>21.919894861084412</v>
      </c>
      <c r="X96">
        <v>45.262701914125294</v>
      </c>
      <c r="Y96">
        <v>8.3798048053326806</v>
      </c>
      <c r="Z96">
        <v>29.890263879515977</v>
      </c>
      <c r="AA96">
        <v>5.8730156048713251</v>
      </c>
      <c r="AB96">
        <v>36.031366579231879</v>
      </c>
      <c r="AD96">
        <v>7.2950622306624036</v>
      </c>
      <c r="AE96">
        <v>12.235144339853322</v>
      </c>
      <c r="AF96">
        <v>13.197426708641141</v>
      </c>
      <c r="AG96">
        <v>21.459777172799068</v>
      </c>
      <c r="AH96">
        <v>6.6857038053825981</v>
      </c>
      <c r="AI96">
        <v>2.3987271637081937</v>
      </c>
      <c r="AK96">
        <v>61.273236392786849</v>
      </c>
    </row>
    <row r="97" spans="1:37" x14ac:dyDescent="0.2">
      <c r="A97">
        <v>96</v>
      </c>
      <c r="B97">
        <v>752</v>
      </c>
      <c r="C97">
        <v>240</v>
      </c>
      <c r="D97">
        <v>0.33645856703896998</v>
      </c>
      <c r="E97">
        <v>180.28345978688964</v>
      </c>
      <c r="F97">
        <v>59.28627836545617</v>
      </c>
      <c r="G97">
        <v>71.620823417365116</v>
      </c>
      <c r="H97">
        <v>67.007503258298641</v>
      </c>
      <c r="J97">
        <v>74.490174517412285</v>
      </c>
      <c r="L97">
        <v>6.7033621689898899</v>
      </c>
      <c r="M97">
        <v>13.473460117284732</v>
      </c>
      <c r="N97">
        <v>2.458359509575299</v>
      </c>
      <c r="O97">
        <v>27.86427863951938</v>
      </c>
      <c r="P97">
        <v>11.292836901402337</v>
      </c>
      <c r="Q97">
        <v>0.31499045057218822</v>
      </c>
      <c r="R97">
        <v>15.461382974229533</v>
      </c>
      <c r="S97">
        <v>45.504193898027019</v>
      </c>
      <c r="U97">
        <v>1.1408373412350532</v>
      </c>
      <c r="V97">
        <v>47.669725209840152</v>
      </c>
      <c r="W97">
        <v>21.701116274264876</v>
      </c>
      <c r="X97">
        <v>45.035801517218218</v>
      </c>
      <c r="Y97">
        <v>8.2876938557031217</v>
      </c>
      <c r="Z97">
        <v>29.678631104121823</v>
      </c>
      <c r="AA97">
        <v>5.7848263482498519</v>
      </c>
      <c r="AB97">
        <v>35.865077190635809</v>
      </c>
      <c r="AD97">
        <v>7.1734016291883549</v>
      </c>
      <c r="AE97">
        <v>12.140679963665209</v>
      </c>
      <c r="AF97">
        <v>13.120970950239247</v>
      </c>
      <c r="AG97">
        <v>21.278555193705799</v>
      </c>
      <c r="AH97">
        <v>6.5463028804440606</v>
      </c>
      <c r="AI97">
        <v>2.4004146841521159</v>
      </c>
      <c r="AK97">
        <v>61.252518521825905</v>
      </c>
    </row>
    <row r="98" spans="1:37" x14ac:dyDescent="0.2">
      <c r="A98">
        <v>97</v>
      </c>
      <c r="B98">
        <v>751</v>
      </c>
      <c r="C98">
        <v>240</v>
      </c>
      <c r="D98">
        <v>0.33574232290192102</v>
      </c>
      <c r="E98">
        <v>180.16046186566857</v>
      </c>
      <c r="F98">
        <v>58.904190468782694</v>
      </c>
      <c r="G98">
        <v>71.557538216218617</v>
      </c>
      <c r="H98">
        <v>66.941874873208604</v>
      </c>
      <c r="J98">
        <v>74.390068519175571</v>
      </c>
      <c r="L98">
        <v>6.6178409869340467</v>
      </c>
      <c r="M98">
        <v>13.398262786203821</v>
      </c>
      <c r="N98">
        <v>2.4603357654244142</v>
      </c>
      <c r="O98">
        <v>27.476372648536003</v>
      </c>
      <c r="P98">
        <v>11.189756995959456</v>
      </c>
      <c r="Q98">
        <v>0.3443109355850929</v>
      </c>
      <c r="R98">
        <v>15.238889057509622</v>
      </c>
      <c r="S98">
        <v>45.018712189161064</v>
      </c>
      <c r="U98">
        <v>1.0537893747570934</v>
      </c>
      <c r="V98">
        <v>47.54746238744373</v>
      </c>
      <c r="W98">
        <v>21.482606116203304</v>
      </c>
      <c r="X98">
        <v>44.809309946013073</v>
      </c>
      <c r="Y98">
        <v>8.1957318888658541</v>
      </c>
      <c r="Z98">
        <v>29.467278305125333</v>
      </c>
      <c r="AA98">
        <v>5.6967990675673938</v>
      </c>
      <c r="AB98">
        <v>35.699049873479488</v>
      </c>
      <c r="AD98">
        <v>7.0518460697567908</v>
      </c>
      <c r="AE98">
        <v>12.046335816279646</v>
      </c>
      <c r="AF98">
        <v>13.044654773547455</v>
      </c>
      <c r="AG98">
        <v>21.0975977061564</v>
      </c>
      <c r="AH98">
        <v>6.4071157084016237</v>
      </c>
      <c r="AI98">
        <v>2.4021012412515672</v>
      </c>
      <c r="AK98">
        <v>61.23210980572005</v>
      </c>
    </row>
    <row r="99" spans="1:37" x14ac:dyDescent="0.2">
      <c r="A99">
        <v>98</v>
      </c>
      <c r="B99">
        <v>750</v>
      </c>
      <c r="C99">
        <v>240</v>
      </c>
      <c r="D99">
        <v>0.335024678688366</v>
      </c>
      <c r="E99">
        <v>180.03761183976536</v>
      </c>
      <c r="F99">
        <v>58.522764153503715</v>
      </c>
      <c r="G99">
        <v>71.494332745331249</v>
      </c>
      <c r="H99">
        <v>66.876339357313611</v>
      </c>
      <c r="J99">
        <v>74.290550590164386</v>
      </c>
      <c r="L99">
        <v>6.5325340771819649</v>
      </c>
      <c r="M99">
        <v>13.32320440219814</v>
      </c>
      <c r="N99">
        <v>2.4623118967767721</v>
      </c>
      <c r="O99">
        <v>27.089054740483505</v>
      </c>
      <c r="P99">
        <v>11.086844284702121</v>
      </c>
      <c r="Q99">
        <v>0.27691231472338723</v>
      </c>
      <c r="R99">
        <v>15.016739577327327</v>
      </c>
      <c r="S99">
        <v>44.53410950345458</v>
      </c>
      <c r="U99">
        <v>0.96680458249633716</v>
      </c>
      <c r="V99">
        <v>47.42537949565989</v>
      </c>
      <c r="W99">
        <v>21.264363540295864</v>
      </c>
      <c r="X99">
        <v>44.583225812220526</v>
      </c>
      <c r="Y99">
        <v>8.1039185635112787</v>
      </c>
      <c r="Z99">
        <v>29.256204644663015</v>
      </c>
      <c r="AA99">
        <v>5.6089334206523924</v>
      </c>
      <c r="AB99">
        <v>35.533283802810203</v>
      </c>
      <c r="AD99">
        <v>6.9303955359037905</v>
      </c>
      <c r="AE99">
        <v>11.952111500083362</v>
      </c>
      <c r="AF99">
        <v>12.968477752789527</v>
      </c>
      <c r="AG99">
        <v>20.916903891792838</v>
      </c>
      <c r="AH99">
        <v>6.2681419818763997</v>
      </c>
      <c r="AI99">
        <v>2.4037868337548489</v>
      </c>
      <c r="AK99">
        <v>61.212010166948787</v>
      </c>
    </row>
    <row r="100" spans="1:37" x14ac:dyDescent="0.2">
      <c r="A100">
        <v>99</v>
      </c>
      <c r="B100">
        <v>749</v>
      </c>
      <c r="C100">
        <v>240</v>
      </c>
      <c r="D100">
        <v>0.33430563028909699</v>
      </c>
      <c r="E100">
        <v>179.91490932544357</v>
      </c>
      <c r="F100">
        <v>58.141997864590628</v>
      </c>
      <c r="G100">
        <v>71.431206862470987</v>
      </c>
      <c r="H100">
        <v>66.810896589425781</v>
      </c>
      <c r="J100">
        <v>74.191620306544365</v>
      </c>
      <c r="L100">
        <v>6.4473852327696042</v>
      </c>
      <c r="M100">
        <v>13.248284536995515</v>
      </c>
      <c r="N100">
        <v>2.4642879042156141</v>
      </c>
      <c r="O100">
        <v>26.702323746102117</v>
      </c>
      <c r="P100">
        <v>10.984098506786438</v>
      </c>
      <c r="Q100">
        <v>0.2096182804107293</v>
      </c>
      <c r="R100">
        <v>14.79493352373272</v>
      </c>
      <c r="S100">
        <v>44.050383317698412</v>
      </c>
      <c r="U100">
        <v>0.87988264074116829</v>
      </c>
      <c r="V100">
        <v>47.303475835005649</v>
      </c>
      <c r="W100">
        <v>21.046387707633318</v>
      </c>
      <c r="X100">
        <v>44.357547739283611</v>
      </c>
      <c r="Y100">
        <v>8.0122535429773993</v>
      </c>
      <c r="Z100">
        <v>29.045409293284376</v>
      </c>
      <c r="AA100">
        <v>5.5212290700461963</v>
      </c>
      <c r="AB100">
        <v>35.367778161119752</v>
      </c>
      <c r="AD100">
        <v>6.8090500131009897</v>
      </c>
      <c r="AE100">
        <v>11.8580066211701</v>
      </c>
      <c r="AF100">
        <v>12.892439465952009</v>
      </c>
      <c r="AG100">
        <v>20.736472939717903</v>
      </c>
      <c r="AH100">
        <v>6.1293813992714705</v>
      </c>
      <c r="AI100">
        <v>2.405471460405491</v>
      </c>
      <c r="AK100">
        <v>61.192219532086639</v>
      </c>
    </row>
    <row r="101" spans="1:37" x14ac:dyDescent="0.2">
      <c r="A101">
        <v>100</v>
      </c>
      <c r="B101">
        <v>748</v>
      </c>
      <c r="C101">
        <v>240</v>
      </c>
      <c r="D101">
        <v>0.33358517357881101</v>
      </c>
      <c r="E101">
        <v>179.79235394314296</v>
      </c>
      <c r="F101">
        <v>57.761890065626844</v>
      </c>
      <c r="G101">
        <v>71.368160427579355</v>
      </c>
      <c r="H101">
        <v>66.745546450569449</v>
      </c>
      <c r="J101">
        <v>74.093277252872056</v>
      </c>
      <c r="L101">
        <v>6.3623941816247385</v>
      </c>
      <c r="M101">
        <v>13.173502766240441</v>
      </c>
      <c r="N101">
        <v>2.4662637882700476</v>
      </c>
      <c r="O101">
        <v>26.316178510634316</v>
      </c>
      <c r="P101">
        <v>10.881519405721511</v>
      </c>
      <c r="Q101">
        <v>2.7519742430758817E-2</v>
      </c>
      <c r="R101">
        <v>14.57346989754485</v>
      </c>
      <c r="S101">
        <v>43.567531132255432</v>
      </c>
      <c r="U101">
        <v>0.79302322995567531</v>
      </c>
      <c r="V101">
        <v>47.181750704531872</v>
      </c>
      <c r="W101">
        <v>20.828677787282217</v>
      </c>
      <c r="X101">
        <v>44.132274362724168</v>
      </c>
      <c r="Y101">
        <v>7.9207364953166204</v>
      </c>
      <c r="Z101">
        <v>28.834891430110957</v>
      </c>
      <c r="AA101">
        <v>5.4336856830983526</v>
      </c>
      <c r="AB101">
        <v>35.20253213857076</v>
      </c>
      <c r="AD101">
        <v>6.6878094889174795</v>
      </c>
      <c r="AE101">
        <v>11.764020789389624</v>
      </c>
      <c r="AF101">
        <v>12.816539494895977</v>
      </c>
      <c r="AG101">
        <v>20.556304046670295</v>
      </c>
      <c r="AH101">
        <v>5.9908336649265399</v>
      </c>
      <c r="AI101">
        <v>2.407155119892308</v>
      </c>
      <c r="AK101">
        <v>61.172737831883261</v>
      </c>
    </row>
    <row r="102" spans="1:37" x14ac:dyDescent="0.2">
      <c r="A102">
        <v>101</v>
      </c>
      <c r="B102">
        <v>747</v>
      </c>
      <c r="C102">
        <v>240</v>
      </c>
      <c r="D102">
        <v>0.33286330441601902</v>
      </c>
      <c r="E102">
        <v>179.60037752459701</v>
      </c>
      <c r="F102">
        <v>56.927504791084345</v>
      </c>
      <c r="G102">
        <v>71.226966572508388</v>
      </c>
      <c r="H102">
        <v>66.602062093722338</v>
      </c>
      <c r="J102">
        <v>73.911797388150859</v>
      </c>
      <c r="L102">
        <v>6.1457637083488557</v>
      </c>
      <c r="M102">
        <v>13.160139365343662</v>
      </c>
      <c r="N102">
        <v>2.4682340870731045</v>
      </c>
      <c r="O102">
        <v>25.416822827956626</v>
      </c>
      <c r="P102">
        <v>10.622647806511798</v>
      </c>
      <c r="R102">
        <v>14.257995105208801</v>
      </c>
      <c r="S102">
        <v>43.214234567234811</v>
      </c>
      <c r="U102">
        <v>0.74490795360110973</v>
      </c>
      <c r="V102">
        <v>47.182959958406784</v>
      </c>
      <c r="W102">
        <v>20.606846604793102</v>
      </c>
      <c r="X102">
        <v>44.027255370423788</v>
      </c>
      <c r="Y102">
        <v>7.6761577604363733</v>
      </c>
      <c r="Z102">
        <v>28.385114362796191</v>
      </c>
      <c r="AA102">
        <v>5.2084766245916256</v>
      </c>
      <c r="AB102">
        <v>35.118874455778936</v>
      </c>
      <c r="AD102">
        <v>6.418571156662547</v>
      </c>
      <c r="AE102">
        <v>11.589045871828459</v>
      </c>
      <c r="AF102">
        <v>12.802052658863035</v>
      </c>
      <c r="AG102">
        <v>20.457720477464463</v>
      </c>
      <c r="AH102">
        <v>5.6300943525071974</v>
      </c>
      <c r="AI102">
        <v>2.4088323485086209</v>
      </c>
      <c r="AK102">
        <v>61.043605309685823</v>
      </c>
    </row>
    <row r="103" spans="1:37" x14ac:dyDescent="0.2">
      <c r="A103">
        <v>102</v>
      </c>
      <c r="B103">
        <v>746</v>
      </c>
      <c r="C103">
        <v>240</v>
      </c>
      <c r="D103">
        <v>0.33214001864298798</v>
      </c>
      <c r="E103">
        <v>179.09764289858347</v>
      </c>
      <c r="F103">
        <v>53.814407439423157</v>
      </c>
      <c r="G103">
        <v>70.753407283856845</v>
      </c>
      <c r="H103">
        <v>66.126225526649804</v>
      </c>
      <c r="J103">
        <v>72.750543932599868</v>
      </c>
      <c r="L103">
        <v>5.2990014358432269</v>
      </c>
      <c r="M103">
        <v>13.15960216931119</v>
      </c>
      <c r="N103">
        <v>2.4701864473927717</v>
      </c>
      <c r="O103">
        <v>22.197432038012071</v>
      </c>
      <c r="P103">
        <v>9.6990353523486927</v>
      </c>
      <c r="R103">
        <v>13.065572283056941</v>
      </c>
      <c r="S103">
        <v>41.659844051137782</v>
      </c>
      <c r="U103">
        <v>0.7246078203764611</v>
      </c>
      <c r="V103">
        <v>47.128143234931748</v>
      </c>
      <c r="W103">
        <v>20.404852608670485</v>
      </c>
      <c r="X103">
        <v>44.006753275732471</v>
      </c>
      <c r="Y103">
        <v>6.7643668275507043</v>
      </c>
      <c r="Z103">
        <v>26.370556260336567</v>
      </c>
      <c r="AA103">
        <v>4.343515040226106</v>
      </c>
      <c r="AB103">
        <v>34.417654152873055</v>
      </c>
      <c r="AD103">
        <v>5.2421095875935411</v>
      </c>
      <c r="AE103">
        <v>10.754000323856843</v>
      </c>
      <c r="AF103">
        <v>12.800374445343524</v>
      </c>
      <c r="AG103">
        <v>19.741558925082529</v>
      </c>
      <c r="AH103">
        <v>4.2456132814225009</v>
      </c>
      <c r="AI103">
        <v>2.4104907911817728</v>
      </c>
      <c r="AK103">
        <v>60.247091436244681</v>
      </c>
    </row>
    <row r="104" spans="1:37" x14ac:dyDescent="0.2">
      <c r="A104">
        <v>103</v>
      </c>
      <c r="B104">
        <v>745</v>
      </c>
      <c r="C104">
        <v>240</v>
      </c>
      <c r="D104">
        <v>0.33141531208564601</v>
      </c>
      <c r="E104">
        <v>178.06814459582432</v>
      </c>
      <c r="F104">
        <v>46.712195953545056</v>
      </c>
      <c r="G104">
        <v>69.717638297750028</v>
      </c>
      <c r="H104">
        <v>65.08819250668526</v>
      </c>
      <c r="J104">
        <v>69.72090758988773</v>
      </c>
      <c r="L104">
        <v>3.3536564350516636</v>
      </c>
      <c r="M104">
        <v>13.088492631013324</v>
      </c>
      <c r="N104">
        <v>2.4721089631130124</v>
      </c>
      <c r="O104">
        <v>14.995284648827758</v>
      </c>
      <c r="P104">
        <v>7.650981632659855</v>
      </c>
      <c r="R104">
        <v>10.216369247659607</v>
      </c>
      <c r="S104">
        <v>37.569793090887366</v>
      </c>
      <c r="U104">
        <v>0.70510054305204073</v>
      </c>
      <c r="V104">
        <v>46.823490540416714</v>
      </c>
      <c r="W104">
        <v>20.256201539500736</v>
      </c>
      <c r="X104">
        <v>43.986080824222235</v>
      </c>
      <c r="Y104">
        <v>4.7162964964536904</v>
      </c>
      <c r="Z104">
        <v>21.458149437729347</v>
      </c>
      <c r="AA104">
        <v>2.371902293875173</v>
      </c>
      <c r="AB104">
        <v>32.371264751334287</v>
      </c>
      <c r="AD104">
        <v>2.3913391691097536</v>
      </c>
      <c r="AE104">
        <v>8.6700495984731365</v>
      </c>
      <c r="AF104">
        <v>12.728094406815842</v>
      </c>
      <c r="AG104">
        <v>17.680201010993535</v>
      </c>
      <c r="AH104">
        <v>1.0701610794646823</v>
      </c>
      <c r="AI104">
        <v>2.4121185399556673</v>
      </c>
      <c r="AK104">
        <v>58.237051360874574</v>
      </c>
    </row>
    <row r="105" spans="1:37" x14ac:dyDescent="0.2">
      <c r="A105">
        <v>104</v>
      </c>
      <c r="B105">
        <v>744</v>
      </c>
      <c r="C105">
        <v>240</v>
      </c>
      <c r="D105">
        <v>0.33068918055350899</v>
      </c>
      <c r="E105">
        <v>178.26039371296952</v>
      </c>
      <c r="F105">
        <v>45.601998282739089</v>
      </c>
      <c r="G105">
        <v>69.830397304162148</v>
      </c>
      <c r="H105">
        <v>65.19870074505242</v>
      </c>
      <c r="J105">
        <v>58.569774467548996</v>
      </c>
      <c r="L105">
        <v>1.6230463671695725</v>
      </c>
      <c r="M105">
        <v>12.848228823717733</v>
      </c>
      <c r="N105">
        <v>2.4741091263719923</v>
      </c>
      <c r="O105">
        <v>5.6143329989761916</v>
      </c>
      <c r="P105">
        <v>7.9000695428922247</v>
      </c>
      <c r="R105">
        <v>8.417660361418454</v>
      </c>
      <c r="S105">
        <v>33.154672630916444</v>
      </c>
      <c r="U105">
        <v>0.67433148824767264</v>
      </c>
      <c r="V105">
        <v>46.950570077205938</v>
      </c>
      <c r="W105">
        <v>19.944837769540495</v>
      </c>
      <c r="X105">
        <v>43.932891368049056</v>
      </c>
      <c r="Y105">
        <v>3.583996399987837</v>
      </c>
      <c r="Z105">
        <v>18.030316758468235</v>
      </c>
      <c r="AB105">
        <v>30.679234151471714</v>
      </c>
      <c r="AD105">
        <v>0.54084918838034757</v>
      </c>
      <c r="AE105">
        <v>6.6888713650528953</v>
      </c>
      <c r="AF105">
        <v>12.486738114423012</v>
      </c>
      <c r="AG105">
        <v>15.973282133769333</v>
      </c>
      <c r="AI105">
        <v>2.4138230851275932</v>
      </c>
      <c r="AK105">
        <v>50.72875664846336</v>
      </c>
    </row>
    <row r="106" spans="1:37" x14ac:dyDescent="0.2">
      <c r="A106">
        <v>105</v>
      </c>
      <c r="B106">
        <v>743</v>
      </c>
      <c r="C106">
        <v>240</v>
      </c>
      <c r="D106">
        <v>0.32996161983958999</v>
      </c>
      <c r="E106">
        <v>178.46681870239533</v>
      </c>
      <c r="F106">
        <v>45.998797609967077</v>
      </c>
      <c r="G106">
        <v>69.835959137456953</v>
      </c>
      <c r="H106">
        <v>65.202025097406931</v>
      </c>
      <c r="J106">
        <v>49.107148140759641</v>
      </c>
      <c r="L106">
        <v>1.6429844899795172</v>
      </c>
      <c r="M106">
        <v>12.379324280983115</v>
      </c>
      <c r="N106">
        <v>2.47610120895652</v>
      </c>
      <c r="O106">
        <v>5.5606504210228289</v>
      </c>
      <c r="P106">
        <v>7.934763046982189</v>
      </c>
      <c r="R106">
        <v>8.078454034640103</v>
      </c>
      <c r="S106">
        <v>33.613393575283041</v>
      </c>
      <c r="U106">
        <v>0.65046888775552936</v>
      </c>
      <c r="V106">
        <v>47.580818242749068</v>
      </c>
      <c r="W106">
        <v>19.400695637126049</v>
      </c>
      <c r="X106">
        <v>43.899814242233354</v>
      </c>
      <c r="Y106">
        <v>3.3385128351881628</v>
      </c>
      <c r="Z106">
        <v>17.739408406050167</v>
      </c>
      <c r="AB106">
        <v>30.96431179167757</v>
      </c>
      <c r="AE106">
        <v>6.5079388225941361</v>
      </c>
      <c r="AF106">
        <v>12.016733379266116</v>
      </c>
      <c r="AG106">
        <v>16.243466009734053</v>
      </c>
      <c r="AI106">
        <v>2.4155186966445337</v>
      </c>
      <c r="AK106">
        <v>44.287146246140999</v>
      </c>
    </row>
    <row r="107" spans="1:37" x14ac:dyDescent="0.2">
      <c r="A107">
        <v>106</v>
      </c>
      <c r="B107">
        <v>742</v>
      </c>
      <c r="C107">
        <v>240</v>
      </c>
      <c r="D107">
        <v>0.32923262572033701</v>
      </c>
      <c r="E107">
        <v>178.62605110640374</v>
      </c>
      <c r="F107">
        <v>46.494662592036313</v>
      </c>
      <c r="G107">
        <v>69.812655681849336</v>
      </c>
      <c r="H107">
        <v>65.176497469296578</v>
      </c>
      <c r="J107">
        <v>44.327781358428823</v>
      </c>
      <c r="L107">
        <v>1.6574663454127403</v>
      </c>
      <c r="M107">
        <v>11.950033310801532</v>
      </c>
      <c r="N107">
        <v>2.4780900034877229</v>
      </c>
      <c r="O107">
        <v>5.5526933814632553</v>
      </c>
      <c r="P107">
        <v>7.9117307294709285</v>
      </c>
      <c r="R107">
        <v>7.7349996129430876</v>
      </c>
      <c r="S107">
        <v>34.031080970706938</v>
      </c>
      <c r="U107">
        <v>0.62799576931743872</v>
      </c>
      <c r="V107">
        <v>48.143592907611954</v>
      </c>
      <c r="W107">
        <v>18.895298297723993</v>
      </c>
      <c r="X107">
        <v>43.87095130457088</v>
      </c>
      <c r="Y107">
        <v>3.105978965741615</v>
      </c>
      <c r="Z107">
        <v>17.924354851216201</v>
      </c>
      <c r="AB107">
        <v>31.47893400497556</v>
      </c>
      <c r="AE107">
        <v>6.6070522727703356</v>
      </c>
      <c r="AF107">
        <v>11.586339307719495</v>
      </c>
      <c r="AG107">
        <v>16.743193770695331</v>
      </c>
      <c r="AI107">
        <v>2.4172101652867384</v>
      </c>
      <c r="AK107">
        <v>40.984508445816303</v>
      </c>
    </row>
    <row r="108" spans="1:37" x14ac:dyDescent="0.2">
      <c r="A108">
        <v>107</v>
      </c>
      <c r="B108">
        <v>763</v>
      </c>
      <c r="C108">
        <v>220</v>
      </c>
      <c r="D108">
        <v>0.36547845389181399</v>
      </c>
      <c r="E108">
        <v>169.95427638683657</v>
      </c>
      <c r="F108">
        <v>63.061107563316511</v>
      </c>
      <c r="G108">
        <v>72.317196449934102</v>
      </c>
      <c r="H108">
        <v>67.729638742521928</v>
      </c>
      <c r="J108">
        <v>75.239215638177043</v>
      </c>
      <c r="L108">
        <v>7.5579553735188423</v>
      </c>
      <c r="M108">
        <v>14.270252304234852</v>
      </c>
      <c r="N108">
        <v>2.3664100249725935</v>
      </c>
      <c r="O108">
        <v>32.259218771773917</v>
      </c>
      <c r="P108">
        <v>12.244588158438754</v>
      </c>
      <c r="Q108">
        <v>0.77135997019783098</v>
      </c>
      <c r="R108">
        <v>17.919841026400288</v>
      </c>
      <c r="S108">
        <v>50.456818330647941</v>
      </c>
      <c r="U108">
        <v>2.0106323002379569</v>
      </c>
      <c r="V108">
        <v>48.562329044254582</v>
      </c>
      <c r="W108">
        <v>24.568867852772062</v>
      </c>
      <c r="X108">
        <v>46.276780185141973</v>
      </c>
      <c r="Y108">
        <v>9.132203405641242</v>
      </c>
      <c r="Z108">
        <v>31.973216745125097</v>
      </c>
      <c r="AA108">
        <v>6.69048768791074</v>
      </c>
      <c r="AB108">
        <v>37.694815518622356</v>
      </c>
      <c r="AC108">
        <v>2.7976050313637431E-3</v>
      </c>
      <c r="AD108">
        <v>8.477020755941389</v>
      </c>
      <c r="AE108">
        <v>13.320451141816569</v>
      </c>
      <c r="AF108">
        <v>13.921567964339795</v>
      </c>
      <c r="AG108">
        <v>23.288732160435817</v>
      </c>
      <c r="AH108">
        <v>7.6778352138544514</v>
      </c>
      <c r="AI108">
        <v>2.3090868016300563</v>
      </c>
      <c r="AK108">
        <v>61.182109717723087</v>
      </c>
    </row>
    <row r="109" spans="1:37" x14ac:dyDescent="0.2">
      <c r="A109">
        <v>108</v>
      </c>
      <c r="B109">
        <v>762</v>
      </c>
      <c r="C109">
        <v>220</v>
      </c>
      <c r="D109">
        <v>0.36479785538328002</v>
      </c>
      <c r="E109">
        <v>169.83757089237207</v>
      </c>
      <c r="F109">
        <v>62.699267142292499</v>
      </c>
      <c r="G109">
        <v>72.256862828583522</v>
      </c>
      <c r="H109">
        <v>67.666810642290457</v>
      </c>
      <c r="J109">
        <v>75.146902381382048</v>
      </c>
      <c r="L109">
        <v>7.4750790586050933</v>
      </c>
      <c r="M109">
        <v>14.204282831648673</v>
      </c>
      <c r="N109">
        <v>2.3653355416731934</v>
      </c>
      <c r="O109">
        <v>31.875664811981334</v>
      </c>
      <c r="P109">
        <v>12.1442679628577</v>
      </c>
      <c r="Q109">
        <v>0.70611798381843316</v>
      </c>
      <c r="R109">
        <v>17.71090438641513</v>
      </c>
      <c r="S109">
        <v>50.014518666431876</v>
      </c>
      <c r="U109">
        <v>1.9319158787405806</v>
      </c>
      <c r="V109">
        <v>48.455286219242439</v>
      </c>
      <c r="W109">
        <v>24.367222733390577</v>
      </c>
      <c r="X109">
        <v>46.077933883553307</v>
      </c>
      <c r="Y109">
        <v>9.044255057778491</v>
      </c>
      <c r="Z109">
        <v>31.774956503769797</v>
      </c>
      <c r="AA109">
        <v>6.605072544928837</v>
      </c>
      <c r="AB109">
        <v>37.545220811876305</v>
      </c>
      <c r="AD109">
        <v>8.3647011537430416</v>
      </c>
      <c r="AE109">
        <v>13.231161042296334</v>
      </c>
      <c r="AF109">
        <v>13.851422776287819</v>
      </c>
      <c r="AG109">
        <v>23.121155179754897</v>
      </c>
      <c r="AH109">
        <v>7.5485196072719738</v>
      </c>
      <c r="AI109">
        <v>2.307732641504102</v>
      </c>
      <c r="AK109">
        <v>61.16383161341782</v>
      </c>
    </row>
    <row r="110" spans="1:37" x14ac:dyDescent="0.2">
      <c r="A110">
        <v>109</v>
      </c>
      <c r="B110">
        <v>761</v>
      </c>
      <c r="C110">
        <v>220</v>
      </c>
      <c r="D110">
        <v>0.36411594062757002</v>
      </c>
      <c r="E110">
        <v>169.71363339962267</v>
      </c>
      <c r="F110">
        <v>62.313007740578065</v>
      </c>
      <c r="G110">
        <v>72.192985605623875</v>
      </c>
      <c r="H110">
        <v>67.600451852495155</v>
      </c>
      <c r="J110">
        <v>75.041142184783425</v>
      </c>
      <c r="L110">
        <v>7.3885664466891434</v>
      </c>
      <c r="M110">
        <v>14.128436890808706</v>
      </c>
      <c r="N110">
        <v>2.3673149750582616</v>
      </c>
      <c r="O110">
        <v>31.482859054521057</v>
      </c>
      <c r="P110">
        <v>12.039922087185415</v>
      </c>
      <c r="Q110">
        <v>0.63386701692620151</v>
      </c>
      <c r="R110">
        <v>17.486433518666367</v>
      </c>
      <c r="S110">
        <v>49.523192388685352</v>
      </c>
      <c r="U110">
        <v>1.8444725140491474</v>
      </c>
      <c r="V110">
        <v>48.332352496377943</v>
      </c>
      <c r="W110">
        <v>24.146903274518728</v>
      </c>
      <c r="X110">
        <v>45.849683038891023</v>
      </c>
      <c r="Y110">
        <v>8.9512161608433605</v>
      </c>
      <c r="Z110">
        <v>31.562791715980229</v>
      </c>
      <c r="AA110">
        <v>6.5159975622824859</v>
      </c>
      <c r="AB110">
        <v>37.378078225724934</v>
      </c>
      <c r="AD110">
        <v>8.2433547674240835</v>
      </c>
      <c r="AE110">
        <v>13.136432248962816</v>
      </c>
      <c r="AF110">
        <v>13.774455313267348</v>
      </c>
      <c r="AG110">
        <v>22.939086722500221</v>
      </c>
      <c r="AH110">
        <v>7.4079225580050787</v>
      </c>
      <c r="AI110">
        <v>2.309431578187223</v>
      </c>
      <c r="AK110">
        <v>61.14058867619849</v>
      </c>
    </row>
    <row r="111" spans="1:37" x14ac:dyDescent="0.2">
      <c r="A111">
        <v>110</v>
      </c>
      <c r="B111">
        <v>760</v>
      </c>
      <c r="C111">
        <v>220</v>
      </c>
      <c r="D111">
        <v>0.36343270580264397</v>
      </c>
      <c r="E111">
        <v>169.58984231682123</v>
      </c>
      <c r="F111">
        <v>61.927406831385952</v>
      </c>
      <c r="G111">
        <v>72.129187316306002</v>
      </c>
      <c r="H111">
        <v>67.53418492898399</v>
      </c>
      <c r="J111">
        <v>74.935962988731987</v>
      </c>
      <c r="L111">
        <v>7.3022111421450138</v>
      </c>
      <c r="M111">
        <v>14.052730108368749</v>
      </c>
      <c r="N111">
        <v>2.3692942792304716</v>
      </c>
      <c r="O111">
        <v>31.090638504710622</v>
      </c>
      <c r="P111">
        <v>11.935741578373005</v>
      </c>
      <c r="Q111">
        <v>0.56162829716327622</v>
      </c>
      <c r="R111">
        <v>17.262306431115974</v>
      </c>
      <c r="S111">
        <v>49.032743833222519</v>
      </c>
      <c r="U111">
        <v>1.7570890106665142</v>
      </c>
      <c r="V111">
        <v>48.209598529845529</v>
      </c>
      <c r="W111">
        <v>23.926853087203636</v>
      </c>
      <c r="X111">
        <v>45.621838161044202</v>
      </c>
      <c r="Y111">
        <v>8.8583245649459439</v>
      </c>
      <c r="Z111">
        <v>31.350909969354781</v>
      </c>
      <c r="AA111">
        <v>6.4270832061436156</v>
      </c>
      <c r="AB111">
        <v>37.211199608633137</v>
      </c>
      <c r="AD111">
        <v>8.1221084785013637</v>
      </c>
      <c r="AE111">
        <v>13.041825873916043</v>
      </c>
      <c r="AF111">
        <v>13.697627161569589</v>
      </c>
      <c r="AG111">
        <v>22.757284597059545</v>
      </c>
      <c r="AH111">
        <v>7.2675358198557465</v>
      </c>
      <c r="AI111">
        <v>2.3111295639441272</v>
      </c>
      <c r="AK111">
        <v>61.11764919968612</v>
      </c>
    </row>
    <row r="112" spans="1:37" x14ac:dyDescent="0.2">
      <c r="A112">
        <v>111</v>
      </c>
      <c r="B112">
        <v>759</v>
      </c>
      <c r="C112">
        <v>220</v>
      </c>
      <c r="D112">
        <v>0.36274814707164799</v>
      </c>
      <c r="E112">
        <v>169.46619723402722</v>
      </c>
      <c r="F112">
        <v>61.542462781394285</v>
      </c>
      <c r="G112">
        <v>72.065467806385215</v>
      </c>
      <c r="H112">
        <v>67.468009738149902</v>
      </c>
      <c r="J112">
        <v>74.83136430696112</v>
      </c>
      <c r="L112">
        <v>7.2160127787542079</v>
      </c>
      <c r="M112">
        <v>13.977162044685405</v>
      </c>
      <c r="N112">
        <v>2.371273454737441</v>
      </c>
      <c r="O112">
        <v>30.699001935195483</v>
      </c>
      <c r="P112">
        <v>11.831726150885816</v>
      </c>
      <c r="Q112">
        <v>0.48953051721691204</v>
      </c>
      <c r="R112">
        <v>17.038522067419283</v>
      </c>
      <c r="S112">
        <v>48.543170389361492</v>
      </c>
      <c r="U112">
        <v>1.6697650299159685</v>
      </c>
      <c r="V112">
        <v>48.087023651376747</v>
      </c>
      <c r="W112">
        <v>23.707071325619474</v>
      </c>
      <c r="X112">
        <v>45.394397815235372</v>
      </c>
      <c r="Y112">
        <v>8.7655799068483073</v>
      </c>
      <c r="Z112">
        <v>31.13931044245863</v>
      </c>
      <c r="AA112">
        <v>6.3383291170012237</v>
      </c>
      <c r="AB112">
        <v>37.044584142561376</v>
      </c>
      <c r="AD112">
        <v>8.0009623282032099</v>
      </c>
      <c r="AE112">
        <v>12.947341534553104</v>
      </c>
      <c r="AF112">
        <v>13.620937887648045</v>
      </c>
      <c r="AG112">
        <v>22.575747991779888</v>
      </c>
      <c r="AH112">
        <v>7.1273590669510281</v>
      </c>
      <c r="AI112">
        <v>2.3128265974855156</v>
      </c>
      <c r="AK112">
        <v>61.095013071769024</v>
      </c>
    </row>
    <row r="113" spans="1:37" x14ac:dyDescent="0.2">
      <c r="A113">
        <v>112</v>
      </c>
      <c r="B113">
        <v>758</v>
      </c>
      <c r="C113">
        <v>220</v>
      </c>
      <c r="D113">
        <v>0.36206226058284502</v>
      </c>
      <c r="E113">
        <v>169.34269774520109</v>
      </c>
      <c r="F113">
        <v>61.158173975363283</v>
      </c>
      <c r="G113">
        <v>72.001826923683495</v>
      </c>
      <c r="H113">
        <v>67.401926148492578</v>
      </c>
      <c r="J113">
        <v>74.727345660984938</v>
      </c>
      <c r="L113">
        <v>7.1299709998781511</v>
      </c>
      <c r="M113">
        <v>13.901732263893424</v>
      </c>
      <c r="N113">
        <v>2.3732525021122362</v>
      </c>
      <c r="O113">
        <v>30.307948132871989</v>
      </c>
      <c r="P113">
        <v>11.727875523370363</v>
      </c>
      <c r="Q113">
        <v>0.41744796687016916</v>
      </c>
      <c r="R113">
        <v>16.815079381605084</v>
      </c>
      <c r="S113">
        <v>48.054469469039589</v>
      </c>
      <c r="U113">
        <v>1.5825002370797308</v>
      </c>
      <c r="V113">
        <v>47.964627192829262</v>
      </c>
      <c r="W113">
        <v>23.48755715186504</v>
      </c>
      <c r="X113">
        <v>45.167360577868031</v>
      </c>
      <c r="Y113">
        <v>8.6729818278254864</v>
      </c>
      <c r="Z113">
        <v>30.927992322712306</v>
      </c>
      <c r="AA113">
        <v>6.2497349397453146</v>
      </c>
      <c r="AB113">
        <v>36.878231017225957</v>
      </c>
      <c r="AD113">
        <v>7.8799163587615633</v>
      </c>
      <c r="AE113">
        <v>12.852978852271342</v>
      </c>
      <c r="AF113">
        <v>13.544387061729719</v>
      </c>
      <c r="AG113">
        <v>22.394476102767349</v>
      </c>
      <c r="AH113">
        <v>6.9873919790778745</v>
      </c>
      <c r="AI113">
        <v>2.3145226775070711</v>
      </c>
      <c r="AK113">
        <v>61.072680184140907</v>
      </c>
    </row>
    <row r="114" spans="1:37" x14ac:dyDescent="0.2">
      <c r="A114">
        <v>113</v>
      </c>
      <c r="B114">
        <v>757</v>
      </c>
      <c r="C114">
        <v>220</v>
      </c>
      <c r="D114">
        <v>0.36137504246954599</v>
      </c>
      <c r="E114">
        <v>169.21934344801846</v>
      </c>
      <c r="F114">
        <v>60.77453881541701</v>
      </c>
      <c r="G114">
        <v>71.938264517984578</v>
      </c>
      <c r="H114">
        <v>67.335934030513499</v>
      </c>
      <c r="J114">
        <v>74.623906579706556</v>
      </c>
      <c r="L114">
        <v>7.044085459394184</v>
      </c>
      <c r="M114">
        <v>13.826440333608605</v>
      </c>
      <c r="N114">
        <v>2.3752314219701112</v>
      </c>
      <c r="O114">
        <v>29.917475898558855</v>
      </c>
      <c r="P114">
        <v>11.624189418543049</v>
      </c>
      <c r="Q114">
        <v>0.34550487649382539</v>
      </c>
      <c r="R114">
        <v>16.591977337632272</v>
      </c>
      <c r="S114">
        <v>47.566638505335796</v>
      </c>
      <c r="U114">
        <v>1.495294301133232</v>
      </c>
      <c r="V114">
        <v>47.842408485627907</v>
      </c>
      <c r="W114">
        <v>23.268309735341347</v>
      </c>
      <c r="X114">
        <v>44.940725035999186</v>
      </c>
      <c r="Y114">
        <v>8.5805299735186082</v>
      </c>
      <c r="Z114">
        <v>30.716954805900766</v>
      </c>
      <c r="AA114">
        <v>6.1613003235856665</v>
      </c>
      <c r="AB114">
        <v>36.712139429504589</v>
      </c>
      <c r="AD114">
        <v>7.7589706132038039</v>
      </c>
      <c r="AE114">
        <v>12.758737452252543</v>
      </c>
      <c r="AF114">
        <v>13.467974257619275</v>
      </c>
      <c r="AG114">
        <v>22.213468133391419</v>
      </c>
      <c r="AH114">
        <v>6.8476342413444433</v>
      </c>
      <c r="AI114">
        <v>2.3162178027855007</v>
      </c>
      <c r="AK114">
        <v>61.050650432174201</v>
      </c>
    </row>
    <row r="115" spans="1:37" x14ac:dyDescent="0.2">
      <c r="A115">
        <v>114</v>
      </c>
      <c r="B115">
        <v>756</v>
      </c>
      <c r="C115">
        <v>220</v>
      </c>
      <c r="D115">
        <v>0.36068648885002402</v>
      </c>
      <c r="E115">
        <v>169.0961339442182</v>
      </c>
      <c r="F115">
        <v>60.391555722223039</v>
      </c>
      <c r="G115">
        <v>71.874780441215137</v>
      </c>
      <c r="H115">
        <v>67.270033256896639</v>
      </c>
      <c r="J115">
        <v>74.521046600087075</v>
      </c>
      <c r="L115">
        <v>6.9583558231238714</v>
      </c>
      <c r="M115">
        <v>13.751285825445617</v>
      </c>
      <c r="N115">
        <v>2.3772102148306282</v>
      </c>
      <c r="O115">
        <v>29.527584047398413</v>
      </c>
      <c r="P115">
        <v>11.520667563368963</v>
      </c>
      <c r="Q115">
        <v>0.27357710284665482</v>
      </c>
      <c r="R115">
        <v>16.369214910153666</v>
      </c>
      <c r="S115">
        <v>47.079674954997024</v>
      </c>
      <c r="U115">
        <v>1.4081468951947771</v>
      </c>
      <c r="V115">
        <v>47.720366861405289</v>
      </c>
      <c r="W115">
        <v>23.049328253743646</v>
      </c>
      <c r="X115">
        <v>44.714489788308398</v>
      </c>
      <c r="Y115">
        <v>8.488223994181503</v>
      </c>
      <c r="Z115">
        <v>30.506197096914651</v>
      </c>
      <c r="AA115">
        <v>6.0730249222383428</v>
      </c>
      <c r="AB115">
        <v>36.546308584385628</v>
      </c>
      <c r="AD115">
        <v>7.6381251359220039</v>
      </c>
      <c r="AE115">
        <v>12.664616963754415</v>
      </c>
      <c r="AF115">
        <v>13.391699053037366</v>
      </c>
      <c r="AG115">
        <v>22.03272329505284</v>
      </c>
      <c r="AH115">
        <v>6.7080855448783083</v>
      </c>
      <c r="AI115">
        <v>2.3179119720024013</v>
      </c>
      <c r="AK115">
        <v>61.028923715148231</v>
      </c>
    </row>
    <row r="116" spans="1:37" x14ac:dyDescent="0.2">
      <c r="A116">
        <v>115</v>
      </c>
      <c r="B116">
        <v>755</v>
      </c>
      <c r="C116">
        <v>220</v>
      </c>
      <c r="D116">
        <v>0.35999659582745702</v>
      </c>
      <c r="E116">
        <v>168.97306883914121</v>
      </c>
      <c r="F116">
        <v>60.009223133426772</v>
      </c>
      <c r="G116">
        <v>71.811374547222741</v>
      </c>
      <c r="H116">
        <v>67.204223702287422</v>
      </c>
      <c r="J116">
        <v>74.418765266280332</v>
      </c>
      <c r="L116">
        <v>6.8727817701395688</v>
      </c>
      <c r="M116">
        <v>13.676268314420543</v>
      </c>
      <c r="N116">
        <v>2.3791888812835467</v>
      </c>
      <c r="O116">
        <v>29.1382714081914</v>
      </c>
      <c r="P116">
        <v>11.417309688791111</v>
      </c>
      <c r="Q116">
        <v>0.20173353477343134</v>
      </c>
      <c r="R116">
        <v>16.146791083532875</v>
      </c>
      <c r="S116">
        <v>46.593576295453047</v>
      </c>
      <c r="U116">
        <v>1.3210576960131535</v>
      </c>
      <c r="V116">
        <v>47.598501650908574</v>
      </c>
      <c r="W116">
        <v>22.830611891962878</v>
      </c>
      <c r="X116">
        <v>44.488653443259473</v>
      </c>
      <c r="Y116">
        <v>8.3960635443533764</v>
      </c>
      <c r="Z116">
        <v>30.295718408926394</v>
      </c>
      <c r="AA116">
        <v>5.9849083936968093</v>
      </c>
      <c r="AB116">
        <v>36.3807376939222</v>
      </c>
      <c r="AD116">
        <v>7.5173799722292749</v>
      </c>
      <c r="AE116">
        <v>12.570617019785809</v>
      </c>
      <c r="AF116">
        <v>13.315561029187322</v>
      </c>
      <c r="AG116">
        <v>21.852240806308881</v>
      </c>
      <c r="AH116">
        <v>6.5687455856589185</v>
      </c>
      <c r="AI116">
        <v>2.3196051839084038</v>
      </c>
      <c r="AK116">
        <v>61.007499935896256</v>
      </c>
    </row>
    <row r="117" spans="1:37" x14ac:dyDescent="0.2">
      <c r="A117">
        <v>116</v>
      </c>
      <c r="B117">
        <v>754</v>
      </c>
      <c r="C117">
        <v>220</v>
      </c>
      <c r="D117">
        <v>0.35930535948985198</v>
      </c>
      <c r="E117">
        <v>168.85014774188892</v>
      </c>
      <c r="F117">
        <v>59.627539504144487</v>
      </c>
      <c r="G117">
        <v>71.748046691858903</v>
      </c>
      <c r="H117">
        <v>67.138505243377068</v>
      </c>
      <c r="J117">
        <v>74.317062129918952</v>
      </c>
      <c r="L117">
        <v>6.7873023460222317</v>
      </c>
      <c r="M117">
        <v>13.601387379200494</v>
      </c>
      <c r="N117">
        <v>2.3811674218979051</v>
      </c>
      <c r="O117">
        <v>28.749536823515399</v>
      </c>
      <c r="P117">
        <v>11.31411552980142</v>
      </c>
      <c r="Q117">
        <v>0.13001630823678273</v>
      </c>
      <c r="R117">
        <v>15.924704852194381</v>
      </c>
      <c r="S117">
        <v>46.108340025989811</v>
      </c>
      <c r="U117">
        <v>1.2340263841799435</v>
      </c>
      <c r="V117">
        <v>47.476812184185547</v>
      </c>
      <c r="W117">
        <v>22.612159842555414</v>
      </c>
      <c r="X117">
        <v>44.263214620395225</v>
      </c>
      <c r="Y117">
        <v>8.3040482829647395</v>
      </c>
      <c r="Z117">
        <v>30.085517963737907</v>
      </c>
      <c r="AA117">
        <v>5.8969504003287074</v>
      </c>
      <c r="AB117">
        <v>36.215425977679743</v>
      </c>
      <c r="AD117">
        <v>7.3967351686665497</v>
      </c>
      <c r="AE117">
        <v>12.476737257245237</v>
      </c>
      <c r="AF117">
        <v>13.239559770916506</v>
      </c>
      <c r="AG117">
        <v>21.672019893226292</v>
      </c>
      <c r="AH117">
        <v>6.4296140664720394</v>
      </c>
      <c r="AI117">
        <v>2.3212974372345805</v>
      </c>
      <c r="AK117">
        <v>60.986379000901358</v>
      </c>
    </row>
    <row r="118" spans="1:37" x14ac:dyDescent="0.2">
      <c r="A118">
        <v>117</v>
      </c>
      <c r="B118">
        <v>753</v>
      </c>
      <c r="C118">
        <v>220</v>
      </c>
      <c r="D118">
        <v>0.35861277590995699</v>
      </c>
      <c r="E118">
        <v>168.72737026549356</v>
      </c>
      <c r="F118">
        <v>59.246503307411828</v>
      </c>
      <c r="G118">
        <v>71.684796733024186</v>
      </c>
      <c r="H118">
        <v>67.072877758944529</v>
      </c>
      <c r="J118">
        <v>74.215936750374354</v>
      </c>
      <c r="L118">
        <v>6.7020354536478806</v>
      </c>
      <c r="M118">
        <v>13.526642602184618</v>
      </c>
      <c r="N118">
        <v>2.3831458372314498</v>
      </c>
      <c r="O118">
        <v>28.361379149887735</v>
      </c>
      <c r="P118">
        <v>11.211084825543191</v>
      </c>
      <c r="Q118">
        <v>5.8326012139641933E-2</v>
      </c>
      <c r="R118">
        <v>15.702955220872642</v>
      </c>
      <c r="S118">
        <v>45.623963668205995</v>
      </c>
      <c r="U118">
        <v>1.1470526441821567</v>
      </c>
      <c r="V118">
        <v>47.355297790679749</v>
      </c>
      <c r="W118">
        <v>22.393971305760733</v>
      </c>
      <c r="X118">
        <v>44.038171950235466</v>
      </c>
      <c r="Y118">
        <v>8.2121778734339248</v>
      </c>
      <c r="Z118">
        <v>29.875594991728068</v>
      </c>
      <c r="AA118">
        <v>5.8091506089953908</v>
      </c>
      <c r="AB118">
        <v>36.050372662742461</v>
      </c>
      <c r="AD118">
        <v>7.2761907730890112</v>
      </c>
      <c r="AE118">
        <v>12.382977316843121</v>
      </c>
      <c r="AF118">
        <v>13.163694866804786</v>
      </c>
      <c r="AG118">
        <v>21.492059789398297</v>
      </c>
      <c r="AH118">
        <v>6.2906906925585471</v>
      </c>
      <c r="AI118">
        <v>2.3229887306987345</v>
      </c>
      <c r="AK118">
        <v>60.96556082047627</v>
      </c>
    </row>
    <row r="119" spans="1:37" x14ac:dyDescent="0.2">
      <c r="A119">
        <v>118</v>
      </c>
      <c r="B119">
        <v>752</v>
      </c>
      <c r="C119">
        <v>220</v>
      </c>
      <c r="D119">
        <v>0.35791884114519901</v>
      </c>
      <c r="E119">
        <v>168.58408891722505</v>
      </c>
      <c r="F119">
        <v>58.730610459491984</v>
      </c>
      <c r="G119">
        <v>71.598312712405118</v>
      </c>
      <c r="H119">
        <v>66.984029311596203</v>
      </c>
      <c r="J119">
        <v>74.092402481812869</v>
      </c>
      <c r="L119">
        <v>6.5777514646643578</v>
      </c>
      <c r="M119">
        <v>13.470804187158651</v>
      </c>
      <c r="N119">
        <v>2.3851225403038772</v>
      </c>
      <c r="O119">
        <v>27.820369546591138</v>
      </c>
      <c r="P119">
        <v>11.061592095253973</v>
      </c>
      <c r="R119">
        <v>15.45457223537859</v>
      </c>
      <c r="S119">
        <v>45.184108892188029</v>
      </c>
      <c r="U119">
        <v>1.0719860214722108</v>
      </c>
      <c r="V119">
        <v>47.272491238481422</v>
      </c>
      <c r="W119">
        <v>22.174345968544255</v>
      </c>
      <c r="X119">
        <v>43.85029982697661</v>
      </c>
      <c r="Y119">
        <v>8.074772347626439</v>
      </c>
      <c r="Z119">
        <v>29.594409678833266</v>
      </c>
      <c r="AA119">
        <v>5.6804639928518297</v>
      </c>
      <c r="AB119">
        <v>35.912020852522531</v>
      </c>
      <c r="AD119">
        <v>7.1116483218119226</v>
      </c>
      <c r="AE119">
        <v>12.26506711766206</v>
      </c>
      <c r="AF119">
        <v>13.106734939295478</v>
      </c>
      <c r="AG119">
        <v>21.338802017226193</v>
      </c>
      <c r="AH119">
        <v>6.0858304692551748</v>
      </c>
      <c r="AI119">
        <v>2.324677475481665</v>
      </c>
      <c r="AK119">
        <v>60.912817164504084</v>
      </c>
    </row>
    <row r="120" spans="1:37" x14ac:dyDescent="0.2">
      <c r="A120">
        <v>119</v>
      </c>
      <c r="B120">
        <v>751</v>
      </c>
      <c r="C120">
        <v>220</v>
      </c>
      <c r="D120">
        <v>0.35722355123761301</v>
      </c>
      <c r="E120">
        <v>168.35436965974935</v>
      </c>
      <c r="F120">
        <v>57.639835507929</v>
      </c>
      <c r="G120">
        <v>71.412538668024268</v>
      </c>
      <c r="H120">
        <v>66.795903960315428</v>
      </c>
      <c r="J120">
        <v>73.85849013996058</v>
      </c>
      <c r="L120">
        <v>6.2850080212514952</v>
      </c>
      <c r="M120">
        <v>13.492663616567445</v>
      </c>
      <c r="N120">
        <v>2.3870921837117227</v>
      </c>
      <c r="O120">
        <v>26.626344404628853</v>
      </c>
      <c r="P120">
        <v>10.713520090485927</v>
      </c>
      <c r="R120">
        <v>15.080338192821056</v>
      </c>
      <c r="S120">
        <v>44.884791170565066</v>
      </c>
      <c r="U120">
        <v>1.047720544679158</v>
      </c>
      <c r="V120">
        <v>47.336654103449533</v>
      </c>
      <c r="W120">
        <v>21.949764561977357</v>
      </c>
      <c r="X120">
        <v>43.819747236484652</v>
      </c>
      <c r="Y120">
        <v>7.7427492775314439</v>
      </c>
      <c r="Z120">
        <v>29.00719359759869</v>
      </c>
      <c r="AA120">
        <v>5.3765035861884094</v>
      </c>
      <c r="AB120">
        <v>35.86367048528821</v>
      </c>
      <c r="AD120">
        <v>6.7580897238808291</v>
      </c>
      <c r="AE120">
        <v>12.043027830997026</v>
      </c>
      <c r="AF120">
        <v>13.127466129077977</v>
      </c>
      <c r="AG120">
        <v>21.275541173563653</v>
      </c>
      <c r="AH120">
        <v>5.5984860044978273</v>
      </c>
      <c r="AI120">
        <v>2.3263583223406625</v>
      </c>
      <c r="AK120">
        <v>60.72174416974012</v>
      </c>
    </row>
    <row r="121" spans="1:37" x14ac:dyDescent="0.2">
      <c r="A121">
        <v>120</v>
      </c>
      <c r="B121">
        <v>750</v>
      </c>
      <c r="C121">
        <v>220</v>
      </c>
      <c r="D121">
        <v>0.356526902213751</v>
      </c>
      <c r="E121">
        <v>168.11560872346143</v>
      </c>
      <c r="F121">
        <v>56.473229832267293</v>
      </c>
      <c r="G121">
        <v>71.21339597495043</v>
      </c>
      <c r="H121">
        <v>66.594423101173277</v>
      </c>
      <c r="J121">
        <v>73.580865118233248</v>
      </c>
      <c r="L121">
        <v>5.9660601625090717</v>
      </c>
      <c r="M121">
        <v>13.51894831415528</v>
      </c>
      <c r="N121">
        <v>2.3890604859206479</v>
      </c>
      <c r="O121">
        <v>25.344239294016646</v>
      </c>
      <c r="P121">
        <v>10.338717302815081</v>
      </c>
      <c r="R121">
        <v>14.665758576356222</v>
      </c>
      <c r="S121">
        <v>44.503537846695131</v>
      </c>
      <c r="U121">
        <v>1.0298752698138935</v>
      </c>
      <c r="V121">
        <v>47.383496380670167</v>
      </c>
      <c r="W121">
        <v>21.728426838924239</v>
      </c>
      <c r="X121">
        <v>43.808247537577913</v>
      </c>
      <c r="Y121">
        <v>7.3843151578668405</v>
      </c>
      <c r="Z121">
        <v>28.372532648759929</v>
      </c>
      <c r="AA121">
        <v>5.0474834589425157</v>
      </c>
      <c r="AB121">
        <v>35.776689181690408</v>
      </c>
      <c r="AD121">
        <v>6.3750681998546082</v>
      </c>
      <c r="AE121">
        <v>11.803342781704742</v>
      </c>
      <c r="AF121">
        <v>13.152621584023027</v>
      </c>
      <c r="AG121">
        <v>21.173650603533801</v>
      </c>
      <c r="AH121">
        <v>5.0712439239776899</v>
      </c>
      <c r="AI121">
        <v>2.3280369879009788</v>
      </c>
      <c r="AK121">
        <v>60.508488826344845</v>
      </c>
    </row>
    <row r="122" spans="1:37" x14ac:dyDescent="0.2">
      <c r="A122">
        <v>121</v>
      </c>
      <c r="B122">
        <v>749</v>
      </c>
      <c r="C122">
        <v>220</v>
      </c>
      <c r="D122">
        <v>0.35582889008462698</v>
      </c>
      <c r="E122">
        <v>167.21267893508696</v>
      </c>
      <c r="F122">
        <v>50.320768089492475</v>
      </c>
      <c r="G122">
        <v>70.305239865526147</v>
      </c>
      <c r="H122">
        <v>65.683941987554604</v>
      </c>
      <c r="J122">
        <v>70.952596303051322</v>
      </c>
      <c r="L122">
        <v>4.2714229101333698</v>
      </c>
      <c r="M122">
        <v>13.474776459242742</v>
      </c>
      <c r="N122">
        <v>2.390993598214008</v>
      </c>
      <c r="O122">
        <v>19.062616803962598</v>
      </c>
      <c r="P122">
        <v>8.545860371250745</v>
      </c>
      <c r="R122">
        <v>12.181911668365908</v>
      </c>
      <c r="S122">
        <v>40.836905239455803</v>
      </c>
      <c r="U122">
        <v>1.0222674288349054</v>
      </c>
      <c r="V122">
        <v>47.073714684801729</v>
      </c>
      <c r="W122">
        <v>21.562176660518166</v>
      </c>
      <c r="X122">
        <v>43.823389217399345</v>
      </c>
      <c r="Y122">
        <v>5.5957936659077463</v>
      </c>
      <c r="Z122">
        <v>24.19310586453232</v>
      </c>
      <c r="AA122">
        <v>3.3311856641173363</v>
      </c>
      <c r="AB122">
        <v>33.974499953912876</v>
      </c>
      <c r="AD122">
        <v>3.9474601094600676</v>
      </c>
      <c r="AE122">
        <v>10.033242941842774</v>
      </c>
      <c r="AF122">
        <v>13.107285640410522</v>
      </c>
      <c r="AG122">
        <v>19.356519476632435</v>
      </c>
      <c r="AH122">
        <v>2.3253242474449296</v>
      </c>
      <c r="AI122">
        <v>2.3296796216068394</v>
      </c>
      <c r="AK122">
        <v>58.78971106067965</v>
      </c>
    </row>
    <row r="123" spans="1:37" x14ac:dyDescent="0.2">
      <c r="A123">
        <v>122</v>
      </c>
      <c r="B123">
        <v>748</v>
      </c>
      <c r="C123">
        <v>220</v>
      </c>
      <c r="D123">
        <v>0.355129510845618</v>
      </c>
      <c r="E123">
        <v>166.86540708403385</v>
      </c>
      <c r="F123">
        <v>46.635877454613706</v>
      </c>
      <c r="G123">
        <v>69.911229350016299</v>
      </c>
      <c r="H123">
        <v>65.287619650807542</v>
      </c>
      <c r="J123">
        <v>63.801492670198002</v>
      </c>
      <c r="L123">
        <v>2.2443017184867129</v>
      </c>
      <c r="M123">
        <v>13.349500060044285</v>
      </c>
      <c r="N123">
        <v>2.3929602195812647</v>
      </c>
      <c r="O123">
        <v>9.4807503261433013</v>
      </c>
      <c r="P123">
        <v>7.7813360384103145</v>
      </c>
      <c r="R123">
        <v>9.6972881250704486</v>
      </c>
      <c r="S123">
        <v>35.713720797321912</v>
      </c>
      <c r="U123">
        <v>1.0157849658775246</v>
      </c>
      <c r="V123">
        <v>46.822315101125177</v>
      </c>
      <c r="W123">
        <v>21.349295882889191</v>
      </c>
      <c r="X123">
        <v>43.840905461962912</v>
      </c>
      <c r="Y123">
        <v>3.9702827809602148</v>
      </c>
      <c r="Z123">
        <v>20.263235924267565</v>
      </c>
      <c r="AA123">
        <v>1.0672915488151629</v>
      </c>
      <c r="AB123">
        <v>32.004102901101419</v>
      </c>
      <c r="AD123">
        <v>1.7188218149319787</v>
      </c>
      <c r="AE123">
        <v>8.0768874468671967</v>
      </c>
      <c r="AF123">
        <v>12.980879011131497</v>
      </c>
      <c r="AG123">
        <v>17.371216597041428</v>
      </c>
      <c r="AI123">
        <v>2.3313549206071791</v>
      </c>
      <c r="AK123">
        <v>54.049647034772811</v>
      </c>
    </row>
    <row r="124" spans="1:37" x14ac:dyDescent="0.2">
      <c r="A124">
        <v>123</v>
      </c>
      <c r="B124">
        <v>747</v>
      </c>
      <c r="C124">
        <v>220</v>
      </c>
      <c r="D124">
        <v>0.35442876047640198</v>
      </c>
      <c r="E124">
        <v>167.1965174307856</v>
      </c>
      <c r="F124">
        <v>46.093602443192992</v>
      </c>
      <c r="G124">
        <v>70.096007196321807</v>
      </c>
      <c r="H124">
        <v>65.470098879958698</v>
      </c>
      <c r="J124">
        <v>53.430983111749725</v>
      </c>
      <c r="L124">
        <v>1.6135627918502251</v>
      </c>
      <c r="M124">
        <v>13.0136283881737</v>
      </c>
      <c r="N124">
        <v>2.3949647943655701</v>
      </c>
      <c r="O124">
        <v>5.8359563378859045</v>
      </c>
      <c r="P124">
        <v>8.1744343076074717</v>
      </c>
      <c r="R124">
        <v>8.9552712610332925</v>
      </c>
      <c r="S124">
        <v>33.98018152589129</v>
      </c>
      <c r="U124">
        <v>1.0036148876138304</v>
      </c>
      <c r="V124">
        <v>47.135874900546831</v>
      </c>
      <c r="W124">
        <v>20.929326614085355</v>
      </c>
      <c r="X124">
        <v>43.842121632039913</v>
      </c>
      <c r="Y124">
        <v>3.482365450411633</v>
      </c>
      <c r="Z124">
        <v>17.050492461965703</v>
      </c>
      <c r="AB124">
        <v>30.337125279338409</v>
      </c>
      <c r="AD124">
        <v>7.1600587171262803E-2</v>
      </c>
      <c r="AE124">
        <v>6.1699350668832329</v>
      </c>
      <c r="AF124">
        <v>12.643915417841539</v>
      </c>
      <c r="AG124">
        <v>15.689373671250966</v>
      </c>
      <c r="AI124">
        <v>2.3330673274052067</v>
      </c>
      <c r="AK124">
        <v>47.078591765497038</v>
      </c>
    </row>
    <row r="125" spans="1:37" x14ac:dyDescent="0.2">
      <c r="A125">
        <v>124</v>
      </c>
      <c r="B125">
        <v>746</v>
      </c>
      <c r="C125">
        <v>220</v>
      </c>
      <c r="D125">
        <v>0.35372663494088302</v>
      </c>
      <c r="E125">
        <v>167.34944364443774</v>
      </c>
      <c r="F125">
        <v>46.782097647715268</v>
      </c>
      <c r="G125">
        <v>70.043125652707971</v>
      </c>
      <c r="H125">
        <v>65.414931944439971</v>
      </c>
      <c r="J125">
        <v>46.563297840202985</v>
      </c>
      <c r="L125">
        <v>1.6255275749420253</v>
      </c>
      <c r="M125">
        <v>12.547374682266549</v>
      </c>
      <c r="N125">
        <v>2.396953726540894</v>
      </c>
      <c r="O125">
        <v>5.8762459194523275</v>
      </c>
      <c r="P125">
        <v>8.092206102578098</v>
      </c>
      <c r="R125">
        <v>8.5483584022459631</v>
      </c>
      <c r="S125">
        <v>34.386768244187394</v>
      </c>
      <c r="U125">
        <v>0.98569963193190346</v>
      </c>
      <c r="V125">
        <v>47.722885911294711</v>
      </c>
      <c r="W125">
        <v>20.382807653997215</v>
      </c>
      <c r="X125">
        <v>43.827095144885597</v>
      </c>
      <c r="Y125">
        <v>3.196084962975867</v>
      </c>
      <c r="Z125">
        <v>17.737721621484106</v>
      </c>
      <c r="AB125">
        <v>31.145253290992073</v>
      </c>
      <c r="AE125">
        <v>6.5631234712399449</v>
      </c>
      <c r="AF125">
        <v>12.176554508865944</v>
      </c>
      <c r="AG125">
        <v>16.482623311690599</v>
      </c>
      <c r="AI125">
        <v>2.3347632441345989</v>
      </c>
      <c r="AK125">
        <v>42.384400481114341</v>
      </c>
    </row>
    <row r="126" spans="1:37" x14ac:dyDescent="0.2">
      <c r="A126">
        <v>125</v>
      </c>
      <c r="B126">
        <v>745</v>
      </c>
      <c r="C126">
        <v>220</v>
      </c>
      <c r="D126">
        <v>0.35302313018710402</v>
      </c>
      <c r="E126">
        <v>167.50195890648084</v>
      </c>
      <c r="F126">
        <v>47.258839003975645</v>
      </c>
      <c r="G126">
        <v>70.020092915163929</v>
      </c>
      <c r="H126">
        <v>65.389627061448138</v>
      </c>
      <c r="J126">
        <v>42.732412370011325</v>
      </c>
      <c r="L126">
        <v>1.6388933561301311</v>
      </c>
      <c r="M126">
        <v>12.135700238282373</v>
      </c>
      <c r="N126">
        <v>2.3989436331464549</v>
      </c>
      <c r="O126">
        <v>5.860627342928507</v>
      </c>
      <c r="P126">
        <v>8.0696844556344658</v>
      </c>
      <c r="R126">
        <v>8.2142402630272411</v>
      </c>
      <c r="S126">
        <v>34.754546539820623</v>
      </c>
      <c r="U126">
        <v>0.96476923860695396</v>
      </c>
      <c r="V126">
        <v>48.252098777499043</v>
      </c>
      <c r="W126">
        <v>19.892730311038676</v>
      </c>
      <c r="X126">
        <v>43.803600091877115</v>
      </c>
      <c r="Y126">
        <v>2.9721850908423582</v>
      </c>
      <c r="Z126">
        <v>17.911138812674363</v>
      </c>
      <c r="AB126">
        <v>31.620712173171651</v>
      </c>
      <c r="AE126">
        <v>6.6558243783903448</v>
      </c>
      <c r="AF126">
        <v>11.763774202927376</v>
      </c>
      <c r="AG126">
        <v>16.943207378611049</v>
      </c>
      <c r="AI126">
        <v>2.3364592859943967</v>
      </c>
      <c r="AK126">
        <v>39.725433544618262</v>
      </c>
    </row>
    <row r="127" spans="1:37" x14ac:dyDescent="0.2">
      <c r="A127">
        <v>126</v>
      </c>
      <c r="B127">
        <v>764</v>
      </c>
      <c r="C127">
        <v>200</v>
      </c>
      <c r="D127">
        <v>0.38736971508460899</v>
      </c>
      <c r="E127">
        <v>158.36532134922538</v>
      </c>
      <c r="F127">
        <v>62.912645750651066</v>
      </c>
      <c r="G127">
        <v>72.36967242832219</v>
      </c>
      <c r="H127">
        <v>67.783763241946389</v>
      </c>
      <c r="J127">
        <v>74.939009973476686</v>
      </c>
      <c r="L127">
        <v>7.5342861961479572</v>
      </c>
      <c r="M127">
        <v>14.290784350377587</v>
      </c>
      <c r="N127">
        <v>2.294602896985817</v>
      </c>
      <c r="O127">
        <v>32.739850232389259</v>
      </c>
      <c r="P127">
        <v>12.143424853228536</v>
      </c>
      <c r="Q127">
        <v>0.47695747406821465</v>
      </c>
      <c r="R127">
        <v>18.095069360361034</v>
      </c>
      <c r="S127">
        <v>50.448043818894035</v>
      </c>
      <c r="U127">
        <v>2.0166217133461197</v>
      </c>
      <c r="V127">
        <v>48.185890972403065</v>
      </c>
      <c r="W127">
        <v>25.246319871216897</v>
      </c>
      <c r="X127">
        <v>45.157196840493178</v>
      </c>
      <c r="Y127">
        <v>9.0351355423840936</v>
      </c>
      <c r="Z127">
        <v>32.117995761190798</v>
      </c>
      <c r="AA127">
        <v>6.6924281383898201</v>
      </c>
      <c r="AB127">
        <v>37.82832234671649</v>
      </c>
      <c r="AC127">
        <v>6.2396202763637309E-3</v>
      </c>
      <c r="AD127">
        <v>8.5448896819587699</v>
      </c>
      <c r="AE127">
        <v>13.54622446312395</v>
      </c>
      <c r="AF127">
        <v>13.935091627869927</v>
      </c>
      <c r="AG127">
        <v>23.453552713308774</v>
      </c>
      <c r="AH127">
        <v>7.3840661623413304</v>
      </c>
      <c r="AI127">
        <v>2.2350857115528644</v>
      </c>
      <c r="AK127">
        <v>60.870692604386342</v>
      </c>
    </row>
    <row r="128" spans="1:37" x14ac:dyDescent="0.2">
      <c r="A128">
        <v>127</v>
      </c>
      <c r="B128">
        <v>763</v>
      </c>
      <c r="C128">
        <v>200</v>
      </c>
      <c r="D128">
        <v>0.38671090093133698</v>
      </c>
      <c r="E128">
        <v>158.25762739673226</v>
      </c>
      <c r="F128">
        <v>62.581356199600428</v>
      </c>
      <c r="G128">
        <v>72.313611202041656</v>
      </c>
      <c r="H128">
        <v>67.725186499611524</v>
      </c>
      <c r="J128">
        <v>74.86271683023007</v>
      </c>
      <c r="L128">
        <v>7.4561659699050686</v>
      </c>
      <c r="M128">
        <v>14.236806489005065</v>
      </c>
      <c r="N128">
        <v>2.2900997375006362</v>
      </c>
      <c r="O128">
        <v>32.367839481268568</v>
      </c>
      <c r="P128">
        <v>12.048205450514383</v>
      </c>
      <c r="Q128">
        <v>0.42033559385057639</v>
      </c>
      <c r="R128">
        <v>17.90545820864827</v>
      </c>
      <c r="S128">
        <v>50.064619519045749</v>
      </c>
      <c r="U128">
        <v>1.948211441200755</v>
      </c>
      <c r="V128">
        <v>48.098297907306112</v>
      </c>
      <c r="W128">
        <v>25.066605926096205</v>
      </c>
      <c r="X128">
        <v>44.994707485922355</v>
      </c>
      <c r="Y128">
        <v>8.9534601046505156</v>
      </c>
      <c r="Z128">
        <v>31.936905607954408</v>
      </c>
      <c r="AA128">
        <v>6.6118142447486532</v>
      </c>
      <c r="AB128">
        <v>37.699809960352333</v>
      </c>
      <c r="AD128">
        <v>8.4437989176670971</v>
      </c>
      <c r="AE128">
        <v>13.463578537977771</v>
      </c>
      <c r="AF128">
        <v>13.873506264264865</v>
      </c>
      <c r="AG128">
        <v>23.303653202884657</v>
      </c>
      <c r="AH128">
        <v>7.2682958279675027</v>
      </c>
      <c r="AI128">
        <v>2.2303045954811194</v>
      </c>
      <c r="AK128">
        <v>60.858693232603464</v>
      </c>
    </row>
    <row r="129" spans="1:37" x14ac:dyDescent="0.2">
      <c r="A129">
        <v>128</v>
      </c>
      <c r="B129">
        <v>762</v>
      </c>
      <c r="C129">
        <v>200</v>
      </c>
      <c r="D129">
        <v>0.38605081389170998</v>
      </c>
      <c r="E129">
        <v>158.13428618632958</v>
      </c>
      <c r="F129">
        <v>62.197503564387709</v>
      </c>
      <c r="G129">
        <v>72.249926836393712</v>
      </c>
      <c r="H129">
        <v>67.658999511289821</v>
      </c>
      <c r="J129">
        <v>74.756908341655404</v>
      </c>
      <c r="L129">
        <v>7.3701656181908657</v>
      </c>
      <c r="M129">
        <v>14.161713684447186</v>
      </c>
      <c r="N129">
        <v>2.2920812095802736</v>
      </c>
      <c r="O129">
        <v>31.975722759172303</v>
      </c>
      <c r="P129">
        <v>11.944231982260076</v>
      </c>
      <c r="Q129">
        <v>0.34864698941018823</v>
      </c>
      <c r="R129">
        <v>17.682473810647164</v>
      </c>
      <c r="S129">
        <v>49.576137809043317</v>
      </c>
      <c r="U129">
        <v>1.8610925669913456</v>
      </c>
      <c r="V129">
        <v>47.976619268688637</v>
      </c>
      <c r="W129">
        <v>24.847039996759559</v>
      </c>
      <c r="X129">
        <v>44.769004198746735</v>
      </c>
      <c r="Y129">
        <v>8.8608157290327245</v>
      </c>
      <c r="Z129">
        <v>31.726548762159481</v>
      </c>
      <c r="AA129">
        <v>6.523278635937757</v>
      </c>
      <c r="AB129">
        <v>37.534063316521078</v>
      </c>
      <c r="AD129">
        <v>8.3237016707681377</v>
      </c>
      <c r="AE129">
        <v>13.369557542064815</v>
      </c>
      <c r="AF129">
        <v>13.797290864943694</v>
      </c>
      <c r="AG129">
        <v>23.123006546903465</v>
      </c>
      <c r="AH129">
        <v>7.1283872810719275</v>
      </c>
      <c r="AI129">
        <v>2.232007292934902</v>
      </c>
      <c r="AK129">
        <v>60.835600034013495</v>
      </c>
    </row>
    <row r="130" spans="1:37" x14ac:dyDescent="0.2">
      <c r="A130">
        <v>129</v>
      </c>
      <c r="B130">
        <v>761</v>
      </c>
      <c r="C130">
        <v>200</v>
      </c>
      <c r="D130">
        <v>0.38538945027317301</v>
      </c>
      <c r="E130">
        <v>158.01108631965556</v>
      </c>
      <c r="F130">
        <v>61.814290380436148</v>
      </c>
      <c r="G130">
        <v>72.186319189364724</v>
      </c>
      <c r="H130">
        <v>67.592902155526161</v>
      </c>
      <c r="J130">
        <v>74.651670050865135</v>
      </c>
      <c r="L130">
        <v>7.2843179030493124</v>
      </c>
      <c r="M130">
        <v>14.08675587212884</v>
      </c>
      <c r="N130">
        <v>2.2940625526997902</v>
      </c>
      <c r="O130">
        <v>31.58417601409872</v>
      </c>
      <c r="P130">
        <v>11.840419426201223</v>
      </c>
      <c r="Q130">
        <v>0.27708797599193635</v>
      </c>
      <c r="R130">
        <v>17.45982240485581</v>
      </c>
      <c r="S130">
        <v>49.088507097346593</v>
      </c>
      <c r="U130">
        <v>1.7740266823799564</v>
      </c>
      <c r="V130">
        <v>47.855113817690558</v>
      </c>
      <c r="W130">
        <v>24.627735998664576</v>
      </c>
      <c r="X130">
        <v>44.543692260121645</v>
      </c>
      <c r="Y130">
        <v>8.7683139303031812</v>
      </c>
      <c r="Z130">
        <v>31.516469073516792</v>
      </c>
      <c r="AA130">
        <v>6.434899121970389</v>
      </c>
      <c r="AB130">
        <v>37.368574226404611</v>
      </c>
      <c r="AD130">
        <v>8.2036979020469758</v>
      </c>
      <c r="AE130">
        <v>13.275656724027945</v>
      </c>
      <c r="AF130">
        <v>13.721210610329805</v>
      </c>
      <c r="AG130">
        <v>22.942619801824275</v>
      </c>
      <c r="AH130">
        <v>6.9886825104039865</v>
      </c>
      <c r="AI130">
        <v>2.2337090415530545</v>
      </c>
      <c r="AK130">
        <v>60.812804265340894</v>
      </c>
    </row>
    <row r="131" spans="1:37" x14ac:dyDescent="0.2">
      <c r="A131">
        <v>130</v>
      </c>
      <c r="B131">
        <v>760</v>
      </c>
      <c r="C131">
        <v>200</v>
      </c>
      <c r="D131">
        <v>0.38472680636887402</v>
      </c>
      <c r="E131">
        <v>157.88802740369192</v>
      </c>
      <c r="F131">
        <v>61.431715118432102</v>
      </c>
      <c r="G131">
        <v>72.12278811657518</v>
      </c>
      <c r="H131">
        <v>67.52689430853907</v>
      </c>
      <c r="J131">
        <v>74.547001500983242</v>
      </c>
      <c r="L131">
        <v>7.1986224818180595</v>
      </c>
      <c r="M131">
        <v>14.011932637558161</v>
      </c>
      <c r="N131">
        <v>2.2960437674590746</v>
      </c>
      <c r="O131">
        <v>31.193198105447788</v>
      </c>
      <c r="P131">
        <v>11.736767516526251</v>
      </c>
      <c r="Q131">
        <v>0.20555140167933544</v>
      </c>
      <c r="R131">
        <v>17.237502993867761</v>
      </c>
      <c r="S131">
        <v>48.601724915902359</v>
      </c>
      <c r="U131">
        <v>1.6870134766495037</v>
      </c>
      <c r="V131">
        <v>47.733780916002871</v>
      </c>
      <c r="W131">
        <v>24.408693151827727</v>
      </c>
      <c r="X131">
        <v>44.318770295416833</v>
      </c>
      <c r="Y131">
        <v>8.6759543659379439</v>
      </c>
      <c r="Z131">
        <v>31.306665796800402</v>
      </c>
      <c r="AA131">
        <v>6.3466753666016738</v>
      </c>
      <c r="AB131">
        <v>37.203341937171601</v>
      </c>
      <c r="AD131">
        <v>8.0837877300975229</v>
      </c>
      <c r="AE131">
        <v>13.181875741837203</v>
      </c>
      <c r="AF131">
        <v>13.645265092066886</v>
      </c>
      <c r="AG131">
        <v>22.762492221235362</v>
      </c>
      <c r="AH131">
        <v>6.8491812175492299</v>
      </c>
      <c r="AI131">
        <v>2.2354098400975002</v>
      </c>
      <c r="AK131">
        <v>60.790305823237738</v>
      </c>
    </row>
    <row r="132" spans="1:37" x14ac:dyDescent="0.2">
      <c r="A132">
        <v>131</v>
      </c>
      <c r="B132">
        <v>759</v>
      </c>
      <c r="C132">
        <v>200</v>
      </c>
      <c r="D132">
        <v>0.38406287845759102</v>
      </c>
      <c r="E132">
        <v>157.76510904925738</v>
      </c>
      <c r="F132">
        <v>61.049776266726354</v>
      </c>
      <c r="G132">
        <v>72.059333475672602</v>
      </c>
      <c r="H132">
        <v>67.460975848613259</v>
      </c>
      <c r="J132">
        <v>74.442902242653005</v>
      </c>
      <c r="L132">
        <v>7.1130790213304351</v>
      </c>
      <c r="M132">
        <v>13.937243570065432</v>
      </c>
      <c r="N132">
        <v>2.2980248543622048</v>
      </c>
      <c r="O132">
        <v>30.802787906166024</v>
      </c>
      <c r="P132">
        <v>11.633275991447839</v>
      </c>
      <c r="Q132">
        <v>0.13409546974072964</v>
      </c>
      <c r="R132">
        <v>17.015514590463098</v>
      </c>
      <c r="S132">
        <v>48.115788819086497</v>
      </c>
      <c r="U132">
        <v>1.6000526429865174</v>
      </c>
      <c r="V132">
        <v>47.612619925885234</v>
      </c>
      <c r="W132">
        <v>24.18991068421834</v>
      </c>
      <c r="X132">
        <v>44.094236940568308</v>
      </c>
      <c r="Y132">
        <v>8.5837366977919647</v>
      </c>
      <c r="Z132">
        <v>31.097138195626982</v>
      </c>
      <c r="AA132">
        <v>6.258607037836919</v>
      </c>
      <c r="AB132">
        <v>37.038365703827772</v>
      </c>
      <c r="AD132">
        <v>7.9639712735745336</v>
      </c>
      <c r="AE132">
        <v>13.088214257449849</v>
      </c>
      <c r="AF132">
        <v>13.569453905538351</v>
      </c>
      <c r="AG132">
        <v>22.582623066486157</v>
      </c>
      <c r="AH132">
        <v>6.7098831299903088</v>
      </c>
      <c r="AI132">
        <v>2.2371096872357494</v>
      </c>
      <c r="AK132">
        <v>60.768104607971487</v>
      </c>
    </row>
    <row r="133" spans="1:37" x14ac:dyDescent="0.2">
      <c r="A133">
        <v>132</v>
      </c>
      <c r="B133">
        <v>758</v>
      </c>
      <c r="C133">
        <v>200</v>
      </c>
      <c r="D133">
        <v>0.383397662803666</v>
      </c>
      <c r="E133">
        <v>157.6423308701782</v>
      </c>
      <c r="F133">
        <v>60.668472328677929</v>
      </c>
      <c r="G133">
        <v>71.99595512598097</v>
      </c>
      <c r="H133">
        <v>67.395146655750423</v>
      </c>
      <c r="J133">
        <v>74.339371832543847</v>
      </c>
      <c r="L133">
        <v>7.0276252461623185</v>
      </c>
      <c r="M133">
        <v>13.862688261912275</v>
      </c>
      <c r="N133">
        <v>2.3000058140243196</v>
      </c>
      <c r="O133">
        <v>30.412944301624297</v>
      </c>
      <c r="P133">
        <v>11.529944592697197</v>
      </c>
      <c r="Q133">
        <v>6.2719651890806694E-2</v>
      </c>
      <c r="R133">
        <v>16.793856215989948</v>
      </c>
      <c r="S133">
        <v>47.630696379210271</v>
      </c>
      <c r="U133">
        <v>1.5131438777447632</v>
      </c>
      <c r="V133">
        <v>47.491630208426137</v>
      </c>
      <c r="W133">
        <v>23.971387830301769</v>
      </c>
      <c r="X133">
        <v>43.870090839971255</v>
      </c>
      <c r="Y133">
        <v>8.4916605915397003</v>
      </c>
      <c r="Z133">
        <v>30.887885541423461</v>
      </c>
      <c r="AA133">
        <v>6.1706938074948852</v>
      </c>
      <c r="AB133">
        <v>36.873644787834799</v>
      </c>
      <c r="AD133">
        <v>7.8442486506170495</v>
      </c>
      <c r="AE133">
        <v>12.994671936466364</v>
      </c>
      <c r="AF133">
        <v>13.493776649179097</v>
      </c>
      <c r="AG133">
        <v>22.403011605509157</v>
      </c>
      <c r="AH133">
        <v>6.5707879626698302</v>
      </c>
      <c r="AI133">
        <v>2.2388085817452077</v>
      </c>
      <c r="AK133">
        <v>60.746200522714396</v>
      </c>
    </row>
    <row r="134" spans="1:37" x14ac:dyDescent="0.2">
      <c r="A134">
        <v>133</v>
      </c>
      <c r="B134">
        <v>757</v>
      </c>
      <c r="C134">
        <v>200</v>
      </c>
      <c r="D134">
        <v>0.38273115565694399</v>
      </c>
      <c r="E134">
        <v>157.50646011141424</v>
      </c>
      <c r="F134">
        <v>60.200297645937574</v>
      </c>
      <c r="G134">
        <v>71.917582414921114</v>
      </c>
      <c r="H134">
        <v>67.314336098088617</v>
      </c>
      <c r="J134">
        <v>74.222114758508908</v>
      </c>
      <c r="L134">
        <v>6.9170470309376073</v>
      </c>
      <c r="M134">
        <v>13.800581984456233</v>
      </c>
      <c r="N134">
        <v>2.3019856386566042</v>
      </c>
      <c r="O134">
        <v>29.924286759825339</v>
      </c>
      <c r="P134">
        <v>11.396631029865603</v>
      </c>
      <c r="R134">
        <v>16.555253213134719</v>
      </c>
      <c r="S134">
        <v>47.175688345944756</v>
      </c>
      <c r="U134">
        <v>1.4341424248363288</v>
      </c>
      <c r="V134">
        <v>47.396070236257465</v>
      </c>
      <c r="W134">
        <v>23.751857857443625</v>
      </c>
      <c r="X134">
        <v>43.670729702986556</v>
      </c>
      <c r="Y134">
        <v>8.3701778193113441</v>
      </c>
      <c r="Z134">
        <v>30.632439392770504</v>
      </c>
      <c r="AA134">
        <v>6.056392515189815</v>
      </c>
      <c r="AB134">
        <v>36.726496323102225</v>
      </c>
      <c r="AD134">
        <v>7.6960588011858881</v>
      </c>
      <c r="AE134">
        <v>12.885422572923948</v>
      </c>
      <c r="AF134">
        <v>13.430547592132511</v>
      </c>
      <c r="AG134">
        <v>22.240973970302218</v>
      </c>
      <c r="AH134">
        <v>6.389189467967932</v>
      </c>
      <c r="AI134">
        <v>2.2405055139987473</v>
      </c>
      <c r="AK134">
        <v>60.70401584609516</v>
      </c>
    </row>
    <row r="135" spans="1:37" x14ac:dyDescent="0.2">
      <c r="A135">
        <v>134</v>
      </c>
      <c r="B135">
        <v>756</v>
      </c>
      <c r="C135">
        <v>200</v>
      </c>
      <c r="D135">
        <v>0.38206335325268598</v>
      </c>
      <c r="E135">
        <v>157.28236289062366</v>
      </c>
      <c r="F135">
        <v>59.142506105201463</v>
      </c>
      <c r="G135">
        <v>71.737258879550026</v>
      </c>
      <c r="H135">
        <v>67.131587733443112</v>
      </c>
      <c r="J135">
        <v>73.998629195426489</v>
      </c>
      <c r="L135">
        <v>6.6338031248716547</v>
      </c>
      <c r="M135">
        <v>13.82023925176037</v>
      </c>
      <c r="N135">
        <v>2.3039583601774107</v>
      </c>
      <c r="O135">
        <v>28.763900930316424</v>
      </c>
      <c r="P135">
        <v>11.059416431580587</v>
      </c>
      <c r="R135">
        <v>16.191212284921747</v>
      </c>
      <c r="S135">
        <v>46.883125480894286</v>
      </c>
      <c r="U135">
        <v>1.40874207413593</v>
      </c>
      <c r="V135">
        <v>47.457971751426967</v>
      </c>
      <c r="W135">
        <v>23.525795704761695</v>
      </c>
      <c r="X135">
        <v>43.63760025296822</v>
      </c>
      <c r="Y135">
        <v>8.0487721174525415</v>
      </c>
      <c r="Z135">
        <v>30.062199339145199</v>
      </c>
      <c r="AA135">
        <v>5.762214763984157</v>
      </c>
      <c r="AB135">
        <v>36.678971906677425</v>
      </c>
      <c r="AD135">
        <v>7.3539546601962984</v>
      </c>
      <c r="AE135">
        <v>12.668869112076479</v>
      </c>
      <c r="AF135">
        <v>13.449075285966433</v>
      </c>
      <c r="AG135">
        <v>22.178555795723874</v>
      </c>
      <c r="AH135">
        <v>5.9181060620371611</v>
      </c>
      <c r="AI135">
        <v>2.2421945140765205</v>
      </c>
      <c r="AK135">
        <v>60.522001864068322</v>
      </c>
    </row>
    <row r="136" spans="1:37" x14ac:dyDescent="0.2">
      <c r="A136">
        <v>135</v>
      </c>
      <c r="B136">
        <v>755</v>
      </c>
      <c r="C136">
        <v>200</v>
      </c>
      <c r="D136">
        <v>0.38139425181150599</v>
      </c>
      <c r="E136">
        <v>157.0522621884833</v>
      </c>
      <c r="F136">
        <v>58.032085244385669</v>
      </c>
      <c r="G136">
        <v>71.547347263429415</v>
      </c>
      <c r="H136">
        <v>66.939264326172989</v>
      </c>
      <c r="J136">
        <v>73.743400074526818</v>
      </c>
      <c r="L136">
        <v>6.331529606333457</v>
      </c>
      <c r="M136">
        <v>13.843475890268408</v>
      </c>
      <c r="N136">
        <v>2.3059300256819104</v>
      </c>
      <c r="O136">
        <v>27.540792635729098</v>
      </c>
      <c r="P136">
        <v>10.703032354720341</v>
      </c>
      <c r="R136">
        <v>15.797284357894656</v>
      </c>
      <c r="S136">
        <v>46.52817851673101</v>
      </c>
      <c r="U136">
        <v>1.3886040565781019</v>
      </c>
      <c r="V136">
        <v>47.505908104015823</v>
      </c>
      <c r="W136">
        <v>23.302703451282113</v>
      </c>
      <c r="X136">
        <v>43.620108301738391</v>
      </c>
      <c r="Y136">
        <v>7.7084448198289195</v>
      </c>
      <c r="Z136">
        <v>29.459320553856525</v>
      </c>
      <c r="AA136">
        <v>5.4500571455988105</v>
      </c>
      <c r="AB136">
        <v>36.602077634397268</v>
      </c>
      <c r="AD136">
        <v>6.9912700192615089</v>
      </c>
      <c r="AE136">
        <v>12.440452774382901</v>
      </c>
      <c r="AF136">
        <v>13.47118160981654</v>
      </c>
      <c r="AG136">
        <v>22.086769230621702</v>
      </c>
      <c r="AH136">
        <v>5.4184402311772768</v>
      </c>
      <c r="AI136">
        <v>2.2438816272346878</v>
      </c>
      <c r="AK136">
        <v>60.324624953748767</v>
      </c>
    </row>
    <row r="137" spans="1:37" x14ac:dyDescent="0.2">
      <c r="A137">
        <v>136</v>
      </c>
      <c r="B137">
        <v>754</v>
      </c>
      <c r="C137">
        <v>200</v>
      </c>
      <c r="D137">
        <v>0.38072384753930699</v>
      </c>
      <c r="E137">
        <v>156.81196032281247</v>
      </c>
      <c r="F137">
        <v>56.835526261367512</v>
      </c>
      <c r="G137">
        <v>71.342553483325403</v>
      </c>
      <c r="H137">
        <v>66.732071813884076</v>
      </c>
      <c r="J137">
        <v>73.437452037509388</v>
      </c>
      <c r="L137">
        <v>6.0001100005151384</v>
      </c>
      <c r="M137">
        <v>13.870894883927258</v>
      </c>
      <c r="N137">
        <v>2.30790025919553</v>
      </c>
      <c r="O137">
        <v>26.218821501935171</v>
      </c>
      <c r="P137">
        <v>10.316890279565197</v>
      </c>
      <c r="R137">
        <v>15.357978478310779</v>
      </c>
      <c r="S137">
        <v>46.076257027351481</v>
      </c>
      <c r="U137">
        <v>1.3751146743217173</v>
      </c>
      <c r="V137">
        <v>47.53323266669954</v>
      </c>
      <c r="W137">
        <v>23.083013139468267</v>
      </c>
      <c r="X137">
        <v>43.622331482811617</v>
      </c>
      <c r="Y137">
        <v>7.3386310880734946</v>
      </c>
      <c r="Z137">
        <v>28.801249842660109</v>
      </c>
      <c r="AA137">
        <v>5.1099398006748231</v>
      </c>
      <c r="AB137">
        <v>36.478665199332248</v>
      </c>
      <c r="AD137">
        <v>6.5946545049161767</v>
      </c>
      <c r="AE137">
        <v>12.190943092407899</v>
      </c>
      <c r="AF137">
        <v>13.497469177267435</v>
      </c>
      <c r="AG137">
        <v>21.948465598021702</v>
      </c>
      <c r="AH137">
        <v>4.8741310180373381</v>
      </c>
      <c r="AI137">
        <v>2.2455664756607088</v>
      </c>
      <c r="AK137">
        <v>60.101874345132259</v>
      </c>
    </row>
    <row r="138" spans="1:37" x14ac:dyDescent="0.2">
      <c r="A138">
        <v>137</v>
      </c>
      <c r="B138">
        <v>753</v>
      </c>
      <c r="C138">
        <v>200</v>
      </c>
      <c r="D138">
        <v>0.380052136627202</v>
      </c>
      <c r="E138">
        <v>156.05923353366836</v>
      </c>
      <c r="F138">
        <v>51.776148127240972</v>
      </c>
      <c r="G138">
        <v>70.585378594194921</v>
      </c>
      <c r="H138">
        <v>65.972511272411708</v>
      </c>
      <c r="J138">
        <v>71.275415844066188</v>
      </c>
      <c r="L138">
        <v>4.5953904285885727</v>
      </c>
      <c r="M138">
        <v>13.845211419080218</v>
      </c>
      <c r="N138">
        <v>2.3098437688006559</v>
      </c>
      <c r="O138">
        <v>21.010123072682198</v>
      </c>
      <c r="P138">
        <v>8.8259670468999651</v>
      </c>
      <c r="R138">
        <v>13.29126665922921</v>
      </c>
      <c r="S138">
        <v>42.953930149431834</v>
      </c>
      <c r="U138">
        <v>1.3754758954810635</v>
      </c>
      <c r="V138">
        <v>47.241306973998093</v>
      </c>
      <c r="W138">
        <v>22.905000968271576</v>
      </c>
      <c r="X138">
        <v>43.661996309142566</v>
      </c>
      <c r="Y138">
        <v>5.8551128985242364</v>
      </c>
      <c r="Z138">
        <v>25.413662622112692</v>
      </c>
      <c r="AA138">
        <v>3.6897769191498084</v>
      </c>
      <c r="AB138">
        <v>34.969270583054353</v>
      </c>
      <c r="AD138">
        <v>4.6219543495686493</v>
      </c>
      <c r="AE138">
        <v>10.760653944652537</v>
      </c>
      <c r="AF138">
        <v>13.470627888366502</v>
      </c>
      <c r="AG138">
        <v>20.424155593530344</v>
      </c>
      <c r="AH138">
        <v>2.608654187281136</v>
      </c>
      <c r="AI138">
        <v>2.2472237655970275</v>
      </c>
      <c r="AK138">
        <v>58.710105004456011</v>
      </c>
    </row>
    <row r="139" spans="1:37" x14ac:dyDescent="0.2">
      <c r="A139">
        <v>138</v>
      </c>
      <c r="B139">
        <v>752</v>
      </c>
      <c r="C139">
        <v>200</v>
      </c>
      <c r="D139">
        <v>0.37937911525142798</v>
      </c>
      <c r="E139">
        <v>155.59192935071366</v>
      </c>
      <c r="F139">
        <v>47.449536552297332</v>
      </c>
      <c r="G139">
        <v>70.067711660328371</v>
      </c>
      <c r="H139">
        <v>65.452471786966129</v>
      </c>
      <c r="J139">
        <v>65.176339412821065</v>
      </c>
      <c r="L139">
        <v>2.6800670486749221</v>
      </c>
      <c r="M139">
        <v>13.746273435890508</v>
      </c>
      <c r="N139">
        <v>2.3118039160931207</v>
      </c>
      <c r="O139">
        <v>12.357930558424872</v>
      </c>
      <c r="P139">
        <v>7.8140841697464261</v>
      </c>
      <c r="R139">
        <v>10.797626244865349</v>
      </c>
      <c r="S139">
        <v>37.984206300210893</v>
      </c>
      <c r="U139">
        <v>1.3853501780846766</v>
      </c>
      <c r="V139">
        <v>46.863374161532462</v>
      </c>
      <c r="W139">
        <v>22.705608392198688</v>
      </c>
      <c r="X139">
        <v>43.727420415335502</v>
      </c>
      <c r="Y139">
        <v>4.2180876900811475</v>
      </c>
      <c r="Z139">
        <v>21.31517014129744</v>
      </c>
      <c r="AA139">
        <v>1.5911226390876401</v>
      </c>
      <c r="AB139">
        <v>32.805344286808349</v>
      </c>
      <c r="AD139">
        <v>2.2983783248488212</v>
      </c>
      <c r="AE139">
        <v>8.7737220344783378</v>
      </c>
      <c r="AF139">
        <v>13.37054905051148</v>
      </c>
      <c r="AG139">
        <v>18.245333085958219</v>
      </c>
      <c r="AI139">
        <v>2.2488968568006955</v>
      </c>
      <c r="AK139">
        <v>54.726229887714737</v>
      </c>
    </row>
    <row r="140" spans="1:37" x14ac:dyDescent="0.2">
      <c r="A140">
        <v>139</v>
      </c>
      <c r="B140">
        <v>751</v>
      </c>
      <c r="C140">
        <v>200</v>
      </c>
      <c r="D140">
        <v>0.378704779573308</v>
      </c>
      <c r="E140">
        <v>155.89950159259806</v>
      </c>
      <c r="F140">
        <v>46.91799320622804</v>
      </c>
      <c r="G140">
        <v>70.245587588487467</v>
      </c>
      <c r="H140">
        <v>65.627988285269865</v>
      </c>
      <c r="J140">
        <v>55.40119257425799</v>
      </c>
      <c r="L140">
        <v>1.5774145237104749</v>
      </c>
      <c r="M140">
        <v>13.476781523871299</v>
      </c>
      <c r="N140">
        <v>2.3138081471616543</v>
      </c>
      <c r="O140">
        <v>6.3793248568567673</v>
      </c>
      <c r="P140">
        <v>8.1933389306304072</v>
      </c>
      <c r="R140">
        <v>9.5961588642891886</v>
      </c>
      <c r="S140">
        <v>34.717767911626403</v>
      </c>
      <c r="U140">
        <v>1.3893121420424925</v>
      </c>
      <c r="V140">
        <v>46.929821833478535</v>
      </c>
      <c r="W140">
        <v>22.339685037487651</v>
      </c>
      <c r="X140">
        <v>43.77588335879831</v>
      </c>
      <c r="Y140">
        <v>3.4546114626958855</v>
      </c>
      <c r="Z140">
        <v>18.260902753188173</v>
      </c>
      <c r="AB140">
        <v>31.022145498830902</v>
      </c>
      <c r="AD140">
        <v>0.6950492978354138</v>
      </c>
      <c r="AE140">
        <v>6.9453817501615394</v>
      </c>
      <c r="AF140">
        <v>13.099960704952162</v>
      </c>
      <c r="AG140">
        <v>16.447284715618778</v>
      </c>
      <c r="AI140">
        <v>2.2506131935208478</v>
      </c>
      <c r="AK140">
        <v>48.217544863127316</v>
      </c>
    </row>
    <row r="141" spans="1:37" x14ac:dyDescent="0.2">
      <c r="A141">
        <v>140</v>
      </c>
      <c r="B141">
        <v>750</v>
      </c>
      <c r="C141">
        <v>200</v>
      </c>
      <c r="D141">
        <v>0.37802912573913899</v>
      </c>
      <c r="E141">
        <v>156.12644934712725</v>
      </c>
      <c r="F141">
        <v>47.20301291495506</v>
      </c>
      <c r="G141">
        <v>70.273897118215373</v>
      </c>
      <c r="H141">
        <v>65.65395152786833</v>
      </c>
      <c r="J141">
        <v>47.905260530699977</v>
      </c>
      <c r="L141">
        <v>1.596714779472739</v>
      </c>
      <c r="M141">
        <v>13.038423097734167</v>
      </c>
      <c r="N141">
        <v>2.3158035327016</v>
      </c>
      <c r="O141">
        <v>6.2843755076392824</v>
      </c>
      <c r="P141">
        <v>8.2734599023117319</v>
      </c>
      <c r="R141">
        <v>9.2808024179142947</v>
      </c>
      <c r="S141">
        <v>34.935930238464216</v>
      </c>
      <c r="U141">
        <v>1.3778702473078743</v>
      </c>
      <c r="V141">
        <v>47.452939008362016</v>
      </c>
      <c r="W141">
        <v>21.815240396043226</v>
      </c>
      <c r="X141">
        <v>43.780305862860182</v>
      </c>
      <c r="Y141">
        <v>3.229007708706455</v>
      </c>
      <c r="Z141">
        <v>17.596022720089678</v>
      </c>
      <c r="AB141">
        <v>30.954994116782753</v>
      </c>
      <c r="AE141">
        <v>6.5435633502275579</v>
      </c>
      <c r="AF141">
        <v>12.66049734275593</v>
      </c>
      <c r="AG141">
        <v>16.365277456875962</v>
      </c>
      <c r="AI141">
        <v>2.2523198446127677</v>
      </c>
      <c r="AK141">
        <v>43.131794558796258</v>
      </c>
    </row>
    <row r="142" spans="1:37" x14ac:dyDescent="0.2">
      <c r="A142">
        <v>141</v>
      </c>
      <c r="B142">
        <v>749</v>
      </c>
      <c r="C142">
        <v>200</v>
      </c>
      <c r="D142">
        <v>0.37735214988015597</v>
      </c>
      <c r="E142">
        <v>156.28557534908529</v>
      </c>
      <c r="F142">
        <v>47.699170629857257</v>
      </c>
      <c r="G142">
        <v>70.250224588783169</v>
      </c>
      <c r="H142">
        <v>65.627945875074417</v>
      </c>
      <c r="J142">
        <v>43.584763855867585</v>
      </c>
      <c r="L142">
        <v>1.6099347220418641</v>
      </c>
      <c r="M142">
        <v>12.617340258994195</v>
      </c>
      <c r="N142">
        <v>2.3177952821041963</v>
      </c>
      <c r="O142">
        <v>6.2655865690553991</v>
      </c>
      <c r="P142">
        <v>8.2496209957642215</v>
      </c>
      <c r="R142">
        <v>8.9352994893924365</v>
      </c>
      <c r="S142">
        <v>35.27332848241285</v>
      </c>
      <c r="U142">
        <v>1.3592242555025542</v>
      </c>
      <c r="V142">
        <v>47.983002851846024</v>
      </c>
      <c r="W142">
        <v>21.312777527345755</v>
      </c>
      <c r="X142">
        <v>43.764241345358471</v>
      </c>
      <c r="Y142">
        <v>2.9914877893345024</v>
      </c>
      <c r="Z142">
        <v>17.783622283067345</v>
      </c>
      <c r="AB142">
        <v>31.427705465299621</v>
      </c>
      <c r="AE142">
        <v>6.6444728480151518</v>
      </c>
      <c r="AF142">
        <v>12.238306280505517</v>
      </c>
      <c r="AG142">
        <v>16.823131849783778</v>
      </c>
      <c r="AI142">
        <v>2.2540220176284476</v>
      </c>
      <c r="AK142">
        <v>40.150587913202287</v>
      </c>
    </row>
    <row r="143" spans="1:37" x14ac:dyDescent="0.2">
      <c r="A143">
        <v>142</v>
      </c>
      <c r="B143">
        <v>765</v>
      </c>
      <c r="C143">
        <v>180</v>
      </c>
      <c r="D143">
        <v>0.409218802677841</v>
      </c>
      <c r="E143">
        <v>146.75617240098774</v>
      </c>
      <c r="F143">
        <v>62.708153287760844</v>
      </c>
      <c r="G143">
        <v>72.417993425767776</v>
      </c>
      <c r="H143">
        <v>67.833768709394988</v>
      </c>
      <c r="J143">
        <v>74.63216440978475</v>
      </c>
      <c r="L143">
        <v>7.4954040367521921</v>
      </c>
      <c r="M143">
        <v>14.302843474924183</v>
      </c>
      <c r="N143">
        <v>2.2186788855978636</v>
      </c>
      <c r="O143">
        <v>33.22553551157867</v>
      </c>
      <c r="P143">
        <v>12.029856619685429</v>
      </c>
      <c r="Q143">
        <v>0.15642640723146442</v>
      </c>
      <c r="R143">
        <v>18.238473063616603</v>
      </c>
      <c r="S143">
        <v>50.42668588221764</v>
      </c>
      <c r="U143">
        <v>2.0445004883198181</v>
      </c>
      <c r="V143">
        <v>47.782259567002178</v>
      </c>
      <c r="W143">
        <v>25.960011656725367</v>
      </c>
      <c r="X143">
        <v>43.978549468972105</v>
      </c>
      <c r="Y143">
        <v>8.9263745123087315</v>
      </c>
      <c r="Z143">
        <v>32.258956792723325</v>
      </c>
      <c r="AA143">
        <v>6.6797402433322564</v>
      </c>
      <c r="AB143">
        <v>37.960463639444278</v>
      </c>
      <c r="AC143">
        <v>5.5689904560680403E-3</v>
      </c>
      <c r="AD143">
        <v>8.6080106353458206</v>
      </c>
      <c r="AE143">
        <v>13.776569367150081</v>
      </c>
      <c r="AF143">
        <v>13.936038295990731</v>
      </c>
      <c r="AG143">
        <v>23.612827078683591</v>
      </c>
      <c r="AH143">
        <v>7.0774500813908716</v>
      </c>
      <c r="AI143">
        <v>2.1570034406047895</v>
      </c>
      <c r="AK143">
        <v>60.537591997868468</v>
      </c>
    </row>
    <row r="144" spans="1:37" x14ac:dyDescent="0.2">
      <c r="A144">
        <v>143</v>
      </c>
      <c r="B144">
        <v>764</v>
      </c>
      <c r="C144">
        <v>180</v>
      </c>
      <c r="D144">
        <v>0.40858169020874802</v>
      </c>
      <c r="E144">
        <v>146.64771554853701</v>
      </c>
      <c r="F144">
        <v>62.374218660519851</v>
      </c>
      <c r="G144">
        <v>72.361384353576483</v>
      </c>
      <c r="H144">
        <v>67.774623100704304</v>
      </c>
      <c r="J144">
        <v>74.553203480681347</v>
      </c>
      <c r="L144">
        <v>7.4170604105860187</v>
      </c>
      <c r="M144">
        <v>14.247511125130661</v>
      </c>
      <c r="N144">
        <v>2.2148598090935323</v>
      </c>
      <c r="O144">
        <v>32.852086162516123</v>
      </c>
      <c r="P144">
        <v>11.93421034791206</v>
      </c>
      <c r="Q144">
        <v>9.9135665803862558E-2</v>
      </c>
      <c r="R144">
        <v>18.047132559627364</v>
      </c>
      <c r="S144">
        <v>50.035599979144855</v>
      </c>
      <c r="U144">
        <v>1.9746734149750311</v>
      </c>
      <c r="V144">
        <v>47.692728111872526</v>
      </c>
      <c r="W144">
        <v>25.776846346423142</v>
      </c>
      <c r="X144">
        <v>43.812799065321023</v>
      </c>
      <c r="Y144">
        <v>8.8440387648566698</v>
      </c>
      <c r="Z144">
        <v>32.076155372622139</v>
      </c>
      <c r="AA144">
        <v>6.5989103851054827</v>
      </c>
      <c r="AB144">
        <v>37.829259598621704</v>
      </c>
      <c r="AD144">
        <v>8.5060360591969193</v>
      </c>
      <c r="AE144">
        <v>13.693155741882514</v>
      </c>
      <c r="AF144">
        <v>13.873779412219243</v>
      </c>
      <c r="AG144">
        <v>23.46094382862729</v>
      </c>
      <c r="AH144">
        <v>6.9599316080053013</v>
      </c>
      <c r="AI144">
        <v>2.1529081259173166</v>
      </c>
      <c r="AK144">
        <v>60.524923252157031</v>
      </c>
    </row>
    <row r="145" spans="1:37" x14ac:dyDescent="0.2">
      <c r="A145">
        <v>144</v>
      </c>
      <c r="B145">
        <v>763</v>
      </c>
      <c r="C145">
        <v>180</v>
      </c>
      <c r="D145">
        <v>0.40794334797085602</v>
      </c>
      <c r="E145">
        <v>146.5251768978107</v>
      </c>
      <c r="F145">
        <v>61.993407047245576</v>
      </c>
      <c r="G145">
        <v>72.297960160028097</v>
      </c>
      <c r="H145">
        <v>67.708675245413005</v>
      </c>
      <c r="J145">
        <v>74.447648762814524</v>
      </c>
      <c r="L145">
        <v>7.3316463074239833</v>
      </c>
      <c r="M145">
        <v>14.173325271634697</v>
      </c>
      <c r="N145">
        <v>2.2168433289489484</v>
      </c>
      <c r="O145">
        <v>32.460930238123943</v>
      </c>
      <c r="P145">
        <v>11.83074398664295</v>
      </c>
      <c r="Q145">
        <v>2.8305635257399601E-2</v>
      </c>
      <c r="R145">
        <v>17.825997295037606</v>
      </c>
      <c r="S145">
        <v>49.550713809188395</v>
      </c>
      <c r="U145">
        <v>1.8880291126445474</v>
      </c>
      <c r="V145">
        <v>47.572615335829425</v>
      </c>
      <c r="W145">
        <v>25.558169962026991</v>
      </c>
      <c r="X145">
        <v>43.590291432474153</v>
      </c>
      <c r="Y145">
        <v>8.7519217582480149</v>
      </c>
      <c r="Z145">
        <v>31.867728547391245</v>
      </c>
      <c r="AA145">
        <v>6.5110489844550026</v>
      </c>
      <c r="AB145">
        <v>37.665076302662335</v>
      </c>
      <c r="AD145">
        <v>8.3873213877024213</v>
      </c>
      <c r="AE145">
        <v>13.59986226473435</v>
      </c>
      <c r="AF145">
        <v>13.798469896327179</v>
      </c>
      <c r="AG145">
        <v>23.281886394355038</v>
      </c>
      <c r="AH145">
        <v>6.8209006332597557</v>
      </c>
      <c r="AI145">
        <v>2.154614591386752</v>
      </c>
      <c r="AK145">
        <v>60.502188247001826</v>
      </c>
    </row>
    <row r="146" spans="1:37" x14ac:dyDescent="0.2">
      <c r="A146">
        <v>145</v>
      </c>
      <c r="B146">
        <v>762</v>
      </c>
      <c r="C146">
        <v>180</v>
      </c>
      <c r="D146">
        <v>0.40730377240013699</v>
      </c>
      <c r="E146">
        <v>146.3439732529001</v>
      </c>
      <c r="F146">
        <v>61.219706019452467</v>
      </c>
      <c r="G146">
        <v>72.166656770182115</v>
      </c>
      <c r="H146">
        <v>67.574861089100878</v>
      </c>
      <c r="J146">
        <v>74.277802789864111</v>
      </c>
      <c r="L146">
        <v>7.1317968624538519</v>
      </c>
      <c r="M146">
        <v>14.155108875530619</v>
      </c>
      <c r="N146">
        <v>2.2188222009014531</v>
      </c>
      <c r="O146">
        <v>31.621538603817896</v>
      </c>
      <c r="P146">
        <v>11.591522163966951</v>
      </c>
      <c r="R146">
        <v>17.525482877058476</v>
      </c>
      <c r="S146">
        <v>49.192555086220537</v>
      </c>
      <c r="U146">
        <v>1.8378127218610956</v>
      </c>
      <c r="V146">
        <v>47.564125653515589</v>
      </c>
      <c r="W146">
        <v>25.333793999000683</v>
      </c>
      <c r="X146">
        <v>43.481152894701282</v>
      </c>
      <c r="Y146">
        <v>8.5266321758627761</v>
      </c>
      <c r="Z146">
        <v>31.448980810926983</v>
      </c>
      <c r="AA146">
        <v>6.3035221227698788</v>
      </c>
      <c r="AB146">
        <v>37.575071398157235</v>
      </c>
      <c r="AD146">
        <v>8.1395281969439708</v>
      </c>
      <c r="AE146">
        <v>13.43464958189149</v>
      </c>
      <c r="AF146">
        <v>13.779125470656375</v>
      </c>
      <c r="AG146">
        <v>23.177005183978995</v>
      </c>
      <c r="AH146">
        <v>6.4896499729305699</v>
      </c>
      <c r="AI146">
        <v>2.1563155909138692</v>
      </c>
      <c r="AK146">
        <v>60.387857635710482</v>
      </c>
    </row>
    <row r="147" spans="1:37" x14ac:dyDescent="0.2">
      <c r="A147">
        <v>146</v>
      </c>
      <c r="B147">
        <v>761</v>
      </c>
      <c r="C147">
        <v>180</v>
      </c>
      <c r="D147">
        <v>0.40666295991877599</v>
      </c>
      <c r="E147">
        <v>146.12270630306952</v>
      </c>
      <c r="F147">
        <v>60.169767834045381</v>
      </c>
      <c r="G147">
        <v>71.987118792003542</v>
      </c>
      <c r="H147">
        <v>67.392825260289072</v>
      </c>
      <c r="J147">
        <v>74.049253965075494</v>
      </c>
      <c r="L147">
        <v>6.8488337513484217</v>
      </c>
      <c r="M147">
        <v>14.174491335010933</v>
      </c>
      <c r="N147">
        <v>2.2207975264022735</v>
      </c>
      <c r="O147">
        <v>30.464327292137405</v>
      </c>
      <c r="P147">
        <v>11.255835219550246</v>
      </c>
      <c r="R147">
        <v>17.157252510197704</v>
      </c>
      <c r="S147">
        <v>48.876903178060154</v>
      </c>
      <c r="U147">
        <v>1.8140301275895703</v>
      </c>
      <c r="V147">
        <v>47.617158354446644</v>
      </c>
      <c r="W147">
        <v>25.107884251900074</v>
      </c>
      <c r="X147">
        <v>43.453709990706841</v>
      </c>
      <c r="Y147">
        <v>8.2066735526756212</v>
      </c>
      <c r="Z147">
        <v>30.880259467124691</v>
      </c>
      <c r="AA147">
        <v>6.0104851816425215</v>
      </c>
      <c r="AB147">
        <v>37.514376426832591</v>
      </c>
      <c r="AD147">
        <v>7.7991670565425135</v>
      </c>
      <c r="AE147">
        <v>13.218030514341436</v>
      </c>
      <c r="AF147">
        <v>13.797376640373546</v>
      </c>
      <c r="AG147">
        <v>23.101432846478243</v>
      </c>
      <c r="AH147">
        <v>6.021029426496618</v>
      </c>
      <c r="AI147">
        <v>2.1580122241140254</v>
      </c>
      <c r="AK147">
        <v>60.207450474398307</v>
      </c>
    </row>
    <row r="148" spans="1:37" x14ac:dyDescent="0.2">
      <c r="A148">
        <v>147</v>
      </c>
      <c r="B148">
        <v>760</v>
      </c>
      <c r="C148">
        <v>180</v>
      </c>
      <c r="D148">
        <v>0.40602090693510101</v>
      </c>
      <c r="E148">
        <v>145.8961812111022</v>
      </c>
      <c r="F148">
        <v>59.072490535466855</v>
      </c>
      <c r="G148">
        <v>71.798925817927397</v>
      </c>
      <c r="H148">
        <v>67.202147372011154</v>
      </c>
      <c r="J148">
        <v>73.791156303741928</v>
      </c>
      <c r="L148">
        <v>6.5486502508243172</v>
      </c>
      <c r="M148">
        <v>14.197044351691225</v>
      </c>
      <c r="N148">
        <v>2.2227718708662874</v>
      </c>
      <c r="O148">
        <v>29.25040828149616</v>
      </c>
      <c r="P148">
        <v>10.902844926032325</v>
      </c>
      <c r="R148">
        <v>16.76154434889094</v>
      </c>
      <c r="S148">
        <v>48.50130295109139</v>
      </c>
      <c r="U148">
        <v>1.7951177515011434</v>
      </c>
      <c r="V148">
        <v>47.656475018059282</v>
      </c>
      <c r="W148">
        <v>24.884887683066715</v>
      </c>
      <c r="X148">
        <v>43.440752902954834</v>
      </c>
      <c r="Y148">
        <v>7.8696137005861315</v>
      </c>
      <c r="Z148">
        <v>30.281853097674553</v>
      </c>
      <c r="AA148">
        <v>5.7011441406891246</v>
      </c>
      <c r="AB148">
        <v>37.425185580194068</v>
      </c>
      <c r="AD148">
        <v>7.4400691884373904</v>
      </c>
      <c r="AE148">
        <v>12.990548842132213</v>
      </c>
      <c r="AF148">
        <v>13.818797678044236</v>
      </c>
      <c r="AG148">
        <v>22.997366144594096</v>
      </c>
      <c r="AH148">
        <v>5.5265340790133743</v>
      </c>
      <c r="AI148">
        <v>2.1597070545637838</v>
      </c>
      <c r="AK148">
        <v>60.013185175465523</v>
      </c>
    </row>
    <row r="149" spans="1:37" x14ac:dyDescent="0.2">
      <c r="A149">
        <v>148</v>
      </c>
      <c r="B149">
        <v>759</v>
      </c>
      <c r="C149">
        <v>180</v>
      </c>
      <c r="D149">
        <v>0.40537760984353299</v>
      </c>
      <c r="E149">
        <v>145.6611108716566</v>
      </c>
      <c r="F149">
        <v>57.901427986102796</v>
      </c>
      <c r="G149">
        <v>71.59791107804196</v>
      </c>
      <c r="H149">
        <v>66.99866067499255</v>
      </c>
      <c r="J149">
        <v>73.488301054792004</v>
      </c>
      <c r="L149">
        <v>6.2232165828386572</v>
      </c>
      <c r="M149">
        <v>14.223185410055642</v>
      </c>
      <c r="N149">
        <v>2.2247449411774096</v>
      </c>
      <c r="O149">
        <v>27.951279798948502</v>
      </c>
      <c r="P149">
        <v>10.524217472887006</v>
      </c>
      <c r="R149">
        <v>16.326073746079128</v>
      </c>
      <c r="S149">
        <v>48.037650262849553</v>
      </c>
      <c r="U149">
        <v>1.7821547834818841</v>
      </c>
      <c r="V149">
        <v>47.676608098309714</v>
      </c>
      <c r="W149">
        <v>24.665164485238783</v>
      </c>
      <c r="X149">
        <v>43.445454332125422</v>
      </c>
      <c r="Y149">
        <v>7.5071282638909924</v>
      </c>
      <c r="Z149">
        <v>29.635893025929292</v>
      </c>
      <c r="AA149">
        <v>5.3676381022336868</v>
      </c>
      <c r="AB149">
        <v>37.293504851892195</v>
      </c>
      <c r="AD149">
        <v>7.0516731608220287</v>
      </c>
      <c r="AE149">
        <v>12.744833503500214</v>
      </c>
      <c r="AF149">
        <v>13.84380578058672</v>
      </c>
      <c r="AG149">
        <v>22.850810784701547</v>
      </c>
      <c r="AH149">
        <v>4.9935173218376985</v>
      </c>
      <c r="AI149">
        <v>2.1613997873107245</v>
      </c>
      <c r="AK149">
        <v>59.797130378480169</v>
      </c>
    </row>
    <row r="150" spans="1:37" x14ac:dyDescent="0.2">
      <c r="A150">
        <v>149</v>
      </c>
      <c r="B150">
        <v>758</v>
      </c>
      <c r="C150">
        <v>180</v>
      </c>
      <c r="D150">
        <v>0.40473306502448703</v>
      </c>
      <c r="E150">
        <v>145.40959262789707</v>
      </c>
      <c r="F150">
        <v>56.593137744559129</v>
      </c>
      <c r="G150">
        <v>71.374203418951922</v>
      </c>
      <c r="H150">
        <v>66.772494036515681</v>
      </c>
      <c r="J150">
        <v>73.104486256348764</v>
      </c>
      <c r="L150">
        <v>5.853401006346914</v>
      </c>
      <c r="M150">
        <v>14.253410162751406</v>
      </c>
      <c r="N150">
        <v>2.2267160922207161</v>
      </c>
      <c r="O150">
        <v>26.49922048552121</v>
      </c>
      <c r="P150">
        <v>10.100209930680357</v>
      </c>
      <c r="R150">
        <v>15.821042333961451</v>
      </c>
      <c r="S150">
        <v>47.419985176979722</v>
      </c>
      <c r="U150">
        <v>1.7773412662197825</v>
      </c>
      <c r="V150">
        <v>47.664707866144695</v>
      </c>
      <c r="W150">
        <v>24.449392964540575</v>
      </c>
      <c r="X150">
        <v>43.474234913207411</v>
      </c>
      <c r="Y150">
        <v>7.0994782993062566</v>
      </c>
      <c r="Z150">
        <v>28.899089030495002</v>
      </c>
      <c r="AA150">
        <v>4.990819171951502</v>
      </c>
      <c r="AB150">
        <v>37.086402528042747</v>
      </c>
      <c r="AD150">
        <v>6.6084902453850241</v>
      </c>
      <c r="AE150">
        <v>12.462862090228363</v>
      </c>
      <c r="AF150">
        <v>13.872895961090856</v>
      </c>
      <c r="AG150">
        <v>22.628834413655625</v>
      </c>
      <c r="AH150">
        <v>4.3919061784840183</v>
      </c>
      <c r="AI150">
        <v>2.1630897754018421</v>
      </c>
      <c r="AK150">
        <v>59.540121486606175</v>
      </c>
    </row>
    <row r="151" spans="1:37" x14ac:dyDescent="0.2">
      <c r="A151">
        <v>150</v>
      </c>
      <c r="B151">
        <v>757</v>
      </c>
      <c r="C151">
        <v>180</v>
      </c>
      <c r="D151">
        <v>0.40408726884434598</v>
      </c>
      <c r="E151">
        <v>144.48261413466258</v>
      </c>
      <c r="F151">
        <v>50.164842200996276</v>
      </c>
      <c r="G151">
        <v>70.419354262869334</v>
      </c>
      <c r="H151">
        <v>65.815198899509383</v>
      </c>
      <c r="J151">
        <v>70.225118482033793</v>
      </c>
      <c r="L151">
        <v>4.0578337084115006</v>
      </c>
      <c r="M151">
        <v>14.200998239619267</v>
      </c>
      <c r="N151">
        <v>2.2286532949473186</v>
      </c>
      <c r="O151">
        <v>19.899756129878305</v>
      </c>
      <c r="P151">
        <v>8.2138931373273572</v>
      </c>
      <c r="R151">
        <v>13.134911016826729</v>
      </c>
      <c r="S151">
        <v>43.169653950398256</v>
      </c>
      <c r="U151">
        <v>1.7876788643035926</v>
      </c>
      <c r="V151">
        <v>47.198647896381871</v>
      </c>
      <c r="W151">
        <v>24.289136442905292</v>
      </c>
      <c r="X151">
        <v>43.542000096694764</v>
      </c>
      <c r="Y151">
        <v>5.2165378256090742</v>
      </c>
      <c r="Z151">
        <v>24.538169465786552</v>
      </c>
      <c r="AA151">
        <v>3.1813642241913911</v>
      </c>
      <c r="AB151">
        <v>34.991639465479018</v>
      </c>
      <c r="AD151">
        <v>4.0719342146324742</v>
      </c>
      <c r="AE151">
        <v>10.605291443253641</v>
      </c>
      <c r="AF151">
        <v>13.819315825923045</v>
      </c>
      <c r="AG151">
        <v>20.51916586511728</v>
      </c>
      <c r="AH151">
        <v>1.508553133955491</v>
      </c>
      <c r="AI151">
        <v>2.1647449879503982</v>
      </c>
      <c r="AK151">
        <v>57.723405614008307</v>
      </c>
    </row>
    <row r="152" spans="1:37" x14ac:dyDescent="0.2">
      <c r="A152">
        <v>151</v>
      </c>
      <c r="B152">
        <v>756</v>
      </c>
      <c r="C152">
        <v>180</v>
      </c>
      <c r="D152">
        <v>0.40344021765534699</v>
      </c>
      <c r="E152">
        <v>144.45981932171449</v>
      </c>
      <c r="F152">
        <v>48.076346381294925</v>
      </c>
      <c r="G152">
        <v>70.310203055572359</v>
      </c>
      <c r="H152">
        <v>65.703614730510992</v>
      </c>
      <c r="J152">
        <v>62.263759329058232</v>
      </c>
      <c r="L152">
        <v>2.2078249983115454</v>
      </c>
      <c r="M152">
        <v>14.07198989908917</v>
      </c>
      <c r="N152">
        <v>2.2306390743151665</v>
      </c>
      <c r="O152">
        <v>10.503590362188293</v>
      </c>
      <c r="P152">
        <v>8.0190285319417942</v>
      </c>
      <c r="R152">
        <v>10.970945168904858</v>
      </c>
      <c r="S152">
        <v>37.657277959204279</v>
      </c>
      <c r="U152">
        <v>1.8179605096958855</v>
      </c>
      <c r="V152">
        <v>46.78769044501896</v>
      </c>
      <c r="W152">
        <v>24.042919479624718</v>
      </c>
      <c r="X152">
        <v>43.667016858494009</v>
      </c>
      <c r="Y152">
        <v>3.894333881447297</v>
      </c>
      <c r="Z152">
        <v>21.158422870595054</v>
      </c>
      <c r="AA152">
        <v>1.0541690742554566</v>
      </c>
      <c r="AB152">
        <v>32.809527662673339</v>
      </c>
      <c r="AD152">
        <v>2.2035772535510816</v>
      </c>
      <c r="AE152">
        <v>8.7419553105697361</v>
      </c>
      <c r="AF152">
        <v>13.689188164058072</v>
      </c>
      <c r="AG152">
        <v>18.322199668411695</v>
      </c>
      <c r="AI152">
        <v>2.1664479480756804</v>
      </c>
      <c r="AK152">
        <v>52.545836960869963</v>
      </c>
    </row>
    <row r="153" spans="1:37" x14ac:dyDescent="0.2">
      <c r="A153">
        <v>152</v>
      </c>
      <c r="B153">
        <v>755</v>
      </c>
      <c r="C153">
        <v>180</v>
      </c>
      <c r="D153">
        <v>0.40279190779555302</v>
      </c>
      <c r="E153">
        <v>144.77166392273156</v>
      </c>
      <c r="F153">
        <v>47.593092739121907</v>
      </c>
      <c r="G153">
        <v>70.473499398419534</v>
      </c>
      <c r="H153">
        <v>65.864491151675949</v>
      </c>
      <c r="J153">
        <v>53.45841463891481</v>
      </c>
      <c r="L153">
        <v>1.5545082232531278</v>
      </c>
      <c r="M153">
        <v>13.775274945066149</v>
      </c>
      <c r="N153">
        <v>2.2326432438556414</v>
      </c>
      <c r="O153">
        <v>6.9020660990689828</v>
      </c>
      <c r="P153">
        <v>8.3690851534348685</v>
      </c>
      <c r="R153">
        <v>10.177803496028289</v>
      </c>
      <c r="S153">
        <v>35.550435697450808</v>
      </c>
      <c r="U153">
        <v>1.8267876212365546</v>
      </c>
      <c r="V153">
        <v>46.922208157033715</v>
      </c>
      <c r="W153">
        <v>23.644323642181874</v>
      </c>
      <c r="X153">
        <v>43.730485421688684</v>
      </c>
      <c r="Y153">
        <v>3.3728951932536164</v>
      </c>
      <c r="Z153">
        <v>18.245633140518837</v>
      </c>
      <c r="AB153">
        <v>31.097190881398578</v>
      </c>
      <c r="AD153">
        <v>0.70144518049483362</v>
      </c>
      <c r="AE153">
        <v>6.997196216113994</v>
      </c>
      <c r="AF153">
        <v>13.39137259852879</v>
      </c>
      <c r="AG153">
        <v>16.59502940475598</v>
      </c>
      <c r="AI153">
        <v>2.1681684674706383</v>
      </c>
      <c r="AK153">
        <v>46.688502464736949</v>
      </c>
    </row>
    <row r="154" spans="1:37" x14ac:dyDescent="0.2">
      <c r="A154">
        <v>153</v>
      </c>
      <c r="B154">
        <v>754</v>
      </c>
      <c r="C154">
        <v>180</v>
      </c>
      <c r="D154">
        <v>0.402142335588766</v>
      </c>
      <c r="E154">
        <v>144.99473510177961</v>
      </c>
      <c r="F154">
        <v>47.855530730930774</v>
      </c>
      <c r="G154">
        <v>70.504001096150276</v>
      </c>
      <c r="H154">
        <v>65.892585988582937</v>
      </c>
      <c r="J154">
        <v>47.051473683154008</v>
      </c>
      <c r="L154">
        <v>1.5726385670115341</v>
      </c>
      <c r="M154">
        <v>13.35349587473606</v>
      </c>
      <c r="N154">
        <v>2.2346401072571314</v>
      </c>
      <c r="O154">
        <v>6.7994791960372165</v>
      </c>
      <c r="P154">
        <v>8.453552937697836</v>
      </c>
      <c r="R154">
        <v>9.8724513131852625</v>
      </c>
      <c r="S154">
        <v>35.714098885682638</v>
      </c>
      <c r="U154">
        <v>1.8172432600497685</v>
      </c>
      <c r="V154">
        <v>47.411502445299604</v>
      </c>
      <c r="W154">
        <v>23.133307461805526</v>
      </c>
      <c r="X154">
        <v>43.741376079737044</v>
      </c>
      <c r="Y154">
        <v>3.1535524921556073</v>
      </c>
      <c r="Z154">
        <v>17.544910909913288</v>
      </c>
      <c r="AB154">
        <v>30.975031658277921</v>
      </c>
      <c r="AE154">
        <v>6.574067235293926</v>
      </c>
      <c r="AF154">
        <v>12.968485935821587</v>
      </c>
      <c r="AG154">
        <v>16.458031920394692</v>
      </c>
      <c r="AI154">
        <v>2.1698808479849974</v>
      </c>
      <c r="AK154">
        <v>42.340553778550742</v>
      </c>
    </row>
    <row r="155" spans="1:37" x14ac:dyDescent="0.2">
      <c r="A155">
        <v>154</v>
      </c>
      <c r="B155">
        <v>753</v>
      </c>
      <c r="C155">
        <v>180</v>
      </c>
      <c r="D155">
        <v>0.401491497344444</v>
      </c>
      <c r="E155">
        <v>145.15099197427244</v>
      </c>
      <c r="F155">
        <v>48.344410663789056</v>
      </c>
      <c r="G155">
        <v>70.480152841488618</v>
      </c>
      <c r="H155">
        <v>65.86634395483533</v>
      </c>
      <c r="J155">
        <v>43.070903228635927</v>
      </c>
      <c r="L155">
        <v>1.5851339979399053</v>
      </c>
      <c r="M155">
        <v>12.940645240971419</v>
      </c>
      <c r="N155">
        <v>2.2366335150264876</v>
      </c>
      <c r="O155">
        <v>6.7743788282133339</v>
      </c>
      <c r="P155">
        <v>8.4293251434762446</v>
      </c>
      <c r="R155">
        <v>9.5302487144043209</v>
      </c>
      <c r="S155">
        <v>36.018039831327016</v>
      </c>
      <c r="U155">
        <v>1.7997112543138341</v>
      </c>
      <c r="V155">
        <v>47.923481649643072</v>
      </c>
      <c r="W155">
        <v>22.636581749385105</v>
      </c>
      <c r="X155">
        <v>43.729533586944008</v>
      </c>
      <c r="Y155">
        <v>2.9172057440718486</v>
      </c>
      <c r="Z155">
        <v>17.730540105569847</v>
      </c>
      <c r="AB155">
        <v>31.427000229992743</v>
      </c>
      <c r="AE155">
        <v>6.6740586337166725</v>
      </c>
      <c r="AF155">
        <v>12.554524584937759</v>
      </c>
      <c r="AG155">
        <v>16.895161308466523</v>
      </c>
      <c r="AI155">
        <v>2.1715889382861295</v>
      </c>
      <c r="AK155">
        <v>39.593147533005265</v>
      </c>
    </row>
    <row r="156" spans="1:37" x14ac:dyDescent="0.2">
      <c r="A156">
        <v>155</v>
      </c>
      <c r="B156">
        <v>771</v>
      </c>
      <c r="C156">
        <v>160</v>
      </c>
      <c r="D156">
        <v>0.43408561988220001</v>
      </c>
      <c r="E156">
        <v>135.62002485693597</v>
      </c>
      <c r="F156">
        <v>63.961733714751837</v>
      </c>
      <c r="G156">
        <v>72.725025943246521</v>
      </c>
      <c r="H156">
        <v>68.155501474557767</v>
      </c>
      <c r="J156">
        <v>74.640311021091833</v>
      </c>
      <c r="L156">
        <v>7.8060880660650183</v>
      </c>
      <c r="M156">
        <v>14.527711397617217</v>
      </c>
      <c r="N156">
        <v>2.1705734571830302</v>
      </c>
      <c r="O156">
        <v>35.534317816364847</v>
      </c>
      <c r="P156">
        <v>12.354785347175694</v>
      </c>
      <c r="Q156">
        <v>4.6875164620455538E-2</v>
      </c>
      <c r="R156">
        <v>19.209400398890576</v>
      </c>
      <c r="S156">
        <v>52.085530798520736</v>
      </c>
      <c r="U156">
        <v>2.4007564593809443</v>
      </c>
      <c r="V156">
        <v>47.702277706751346</v>
      </c>
      <c r="W156">
        <v>27.543061637047209</v>
      </c>
      <c r="X156">
        <v>43.383734285889886</v>
      </c>
      <c r="Y156">
        <v>9.1854923807287463</v>
      </c>
      <c r="Z156">
        <v>33.242093605091647</v>
      </c>
      <c r="AA156">
        <v>7.0299992997384253</v>
      </c>
      <c r="AB156">
        <v>38.660201465975092</v>
      </c>
      <c r="AC156">
        <v>4.264868561033424E-2</v>
      </c>
      <c r="AD156">
        <v>9.1275871981314527</v>
      </c>
      <c r="AE156">
        <v>14.405539123701631</v>
      </c>
      <c r="AF156">
        <v>14.193182229393351</v>
      </c>
      <c r="AG156">
        <v>24.451671335129344</v>
      </c>
      <c r="AH156">
        <v>7.2826781995013707</v>
      </c>
      <c r="AI156">
        <v>2.1081359920064617</v>
      </c>
      <c r="AK156">
        <v>60.209716244388453</v>
      </c>
    </row>
    <row r="157" spans="1:37" x14ac:dyDescent="0.2">
      <c r="A157">
        <v>156</v>
      </c>
      <c r="B157">
        <v>770</v>
      </c>
      <c r="C157">
        <v>160</v>
      </c>
      <c r="D157">
        <v>0.43347601016152998</v>
      </c>
      <c r="E157">
        <v>135.51916045867515</v>
      </c>
      <c r="F157">
        <v>63.645091705708701</v>
      </c>
      <c r="G157">
        <v>72.670356658560323</v>
      </c>
      <c r="H157">
        <v>68.09821067455654</v>
      </c>
      <c r="J157">
        <v>74.574995676423256</v>
      </c>
      <c r="L157">
        <v>7.7285418472317469</v>
      </c>
      <c r="M157">
        <v>14.486965237903965</v>
      </c>
      <c r="N157">
        <v>2.1631875999097825</v>
      </c>
      <c r="O157">
        <v>35.155475130889144</v>
      </c>
      <c r="P157">
        <v>12.259399340120996</v>
      </c>
      <c r="R157">
        <v>19.035505181924108</v>
      </c>
      <c r="S157">
        <v>51.760709463969022</v>
      </c>
      <c r="U157">
        <v>2.3437146998193357</v>
      </c>
      <c r="V157">
        <v>47.63779983299117</v>
      </c>
      <c r="W157">
        <v>27.382071394714814</v>
      </c>
      <c r="X157">
        <v>43.261223156819497</v>
      </c>
      <c r="Y157">
        <v>9.104864267585846</v>
      </c>
      <c r="Z157">
        <v>33.068165273429024</v>
      </c>
      <c r="AA157">
        <v>6.9497336137398671</v>
      </c>
      <c r="AB157">
        <v>38.553099424098917</v>
      </c>
      <c r="AC157">
        <v>3.327707381994649E-2</v>
      </c>
      <c r="AD157">
        <v>9.0324690308882971</v>
      </c>
      <c r="AE157">
        <v>14.325656193849751</v>
      </c>
      <c r="AF157">
        <v>14.14193834533468</v>
      </c>
      <c r="AG157">
        <v>24.320334882727636</v>
      </c>
      <c r="AH157">
        <v>7.1722247879988261</v>
      </c>
      <c r="AI157">
        <v>2.1004796574274653</v>
      </c>
      <c r="AK157">
        <v>60.200012495083811</v>
      </c>
    </row>
    <row r="158" spans="1:37" x14ac:dyDescent="0.2">
      <c r="A158">
        <v>157</v>
      </c>
      <c r="B158">
        <v>769</v>
      </c>
      <c r="C158">
        <v>160</v>
      </c>
      <c r="D158">
        <v>0.43286523053303499</v>
      </c>
      <c r="E158">
        <v>135.4125678734548</v>
      </c>
      <c r="F158">
        <v>63.206773800639603</v>
      </c>
      <c r="G158">
        <v>72.592460609511335</v>
      </c>
      <c r="H158">
        <v>68.017705864561123</v>
      </c>
      <c r="J158">
        <v>74.524368026528563</v>
      </c>
      <c r="L158">
        <v>7.6042802798032829</v>
      </c>
      <c r="M158">
        <v>14.507406916875251</v>
      </c>
      <c r="N158">
        <v>2.1459868600675192</v>
      </c>
      <c r="O158">
        <v>34.576382658615998</v>
      </c>
      <c r="P158">
        <v>12.107752343966329</v>
      </c>
      <c r="R158">
        <v>18.872132340439922</v>
      </c>
      <c r="S158">
        <v>51.663194654671159</v>
      </c>
      <c r="U158">
        <v>2.3343511029438102</v>
      </c>
      <c r="V158">
        <v>47.683608627480936</v>
      </c>
      <c r="W158">
        <v>27.278017826938299</v>
      </c>
      <c r="X158">
        <v>43.2951959706634</v>
      </c>
      <c r="Y158">
        <v>8.9725188419586956</v>
      </c>
      <c r="Z158">
        <v>32.828463678910929</v>
      </c>
      <c r="AA158">
        <v>6.8200780931822083</v>
      </c>
      <c r="AB158">
        <v>38.54028822218168</v>
      </c>
      <c r="AC158">
        <v>1.4090728326170416E-2</v>
      </c>
      <c r="AD158">
        <v>8.8988560475576968</v>
      </c>
      <c r="AE158">
        <v>14.224857340292195</v>
      </c>
      <c r="AF158">
        <v>14.14206766463928</v>
      </c>
      <c r="AG158">
        <v>24.273476827955154</v>
      </c>
      <c r="AH158">
        <v>6.9998101007052345</v>
      </c>
      <c r="AI158">
        <v>2.0830076350857789</v>
      </c>
      <c r="AK158">
        <v>60.161661130914545</v>
      </c>
    </row>
    <row r="159" spans="1:37" x14ac:dyDescent="0.2">
      <c r="A159">
        <v>158</v>
      </c>
      <c r="B159">
        <v>768</v>
      </c>
      <c r="C159">
        <v>160</v>
      </c>
      <c r="D159">
        <v>0.43225327762570398</v>
      </c>
      <c r="E159">
        <v>135.27854227349385</v>
      </c>
      <c r="F159">
        <v>62.622381534607314</v>
      </c>
      <c r="G159">
        <v>72.490227124728492</v>
      </c>
      <c r="H159">
        <v>67.91287639348279</v>
      </c>
      <c r="J159">
        <v>74.430916864124242</v>
      </c>
      <c r="L159">
        <v>7.4421876745243276</v>
      </c>
      <c r="M159">
        <v>14.527078027815881</v>
      </c>
      <c r="N159">
        <v>2.1336515968031482</v>
      </c>
      <c r="O159">
        <v>33.859549396260505</v>
      </c>
      <c r="P159">
        <v>11.912303396980695</v>
      </c>
      <c r="R159">
        <v>18.659236067590378</v>
      </c>
      <c r="S159">
        <v>51.510985512478427</v>
      </c>
      <c r="U159">
        <v>2.3211834441270636</v>
      </c>
      <c r="V159">
        <v>47.730213328983908</v>
      </c>
      <c r="W159">
        <v>27.142895322261722</v>
      </c>
      <c r="X159">
        <v>43.313485794388505</v>
      </c>
      <c r="Y159">
        <v>8.7953741714181106</v>
      </c>
      <c r="Z159">
        <v>32.509801063520925</v>
      </c>
      <c r="AA159">
        <v>6.6516007853522172</v>
      </c>
      <c r="AB159">
        <v>38.514871003709111</v>
      </c>
      <c r="AD159">
        <v>8.7158125999649823</v>
      </c>
      <c r="AE159">
        <v>14.096125019592003</v>
      </c>
      <c r="AF159">
        <v>14.146292145171621</v>
      </c>
      <c r="AG159">
        <v>24.218880679121288</v>
      </c>
      <c r="AH159">
        <v>6.7565347679117416</v>
      </c>
      <c r="AI159">
        <v>2.0704002822946523</v>
      </c>
      <c r="AK159">
        <v>60.08961481831976</v>
      </c>
    </row>
    <row r="160" spans="1:37" x14ac:dyDescent="0.2">
      <c r="A160">
        <v>159</v>
      </c>
      <c r="B160">
        <v>767</v>
      </c>
      <c r="C160">
        <v>160</v>
      </c>
      <c r="D160">
        <v>0.43164014805557099</v>
      </c>
      <c r="E160">
        <v>135.06128241863618</v>
      </c>
      <c r="F160">
        <v>61.590157283565894</v>
      </c>
      <c r="G160">
        <v>72.313296089352107</v>
      </c>
      <c r="H160">
        <v>67.733362166784701</v>
      </c>
      <c r="J160">
        <v>74.202768241778074</v>
      </c>
      <c r="L160">
        <v>7.1632868419881781</v>
      </c>
      <c r="M160">
        <v>14.545477773494177</v>
      </c>
      <c r="N160">
        <v>2.1356298227401398</v>
      </c>
      <c r="O160">
        <v>32.717195811555733</v>
      </c>
      <c r="P160">
        <v>11.581780303998588</v>
      </c>
      <c r="R160">
        <v>18.292703065182003</v>
      </c>
      <c r="S160">
        <v>51.183622409534969</v>
      </c>
      <c r="U160">
        <v>2.2980340040581395</v>
      </c>
      <c r="V160">
        <v>47.777082327654568</v>
      </c>
      <c r="W160">
        <v>26.916579157961763</v>
      </c>
      <c r="X160">
        <v>43.288833442218206</v>
      </c>
      <c r="Y160">
        <v>8.4804763491816235</v>
      </c>
      <c r="Z160">
        <v>31.948520761689661</v>
      </c>
      <c r="AA160">
        <v>6.3630652967054049</v>
      </c>
      <c r="AB160">
        <v>38.446242959760205</v>
      </c>
      <c r="AD160">
        <v>8.3811534697610153</v>
      </c>
      <c r="AE160">
        <v>13.881488377377627</v>
      </c>
      <c r="AF160">
        <v>14.163559007774525</v>
      </c>
      <c r="AG160">
        <v>24.135389645621228</v>
      </c>
      <c r="AH160">
        <v>6.2959107852504816</v>
      </c>
      <c r="AI160">
        <v>2.0721056098434323</v>
      </c>
      <c r="AK160">
        <v>59.913503652610906</v>
      </c>
    </row>
    <row r="161" spans="1:37" x14ac:dyDescent="0.2">
      <c r="A161">
        <v>160</v>
      </c>
      <c r="B161">
        <v>766</v>
      </c>
      <c r="C161">
        <v>160</v>
      </c>
      <c r="D161">
        <v>0.43102583842564002</v>
      </c>
      <c r="E161">
        <v>134.8398490414466</v>
      </c>
      <c r="F161">
        <v>60.518845310738001</v>
      </c>
      <c r="G161">
        <v>72.129112069836594</v>
      </c>
      <c r="H161">
        <v>67.546607771280932</v>
      </c>
      <c r="J161">
        <v>73.949200759579867</v>
      </c>
      <c r="L161">
        <v>6.8698357125252949</v>
      </c>
      <c r="M161">
        <v>14.566608646068579</v>
      </c>
      <c r="N161">
        <v>2.1376071747638412</v>
      </c>
      <c r="O161">
        <v>31.527390810789996</v>
      </c>
      <c r="P161">
        <v>11.236757856797883</v>
      </c>
      <c r="R161">
        <v>17.902587321592257</v>
      </c>
      <c r="S161">
        <v>50.802816122781749</v>
      </c>
      <c r="U161">
        <v>2.2792178889137582</v>
      </c>
      <c r="V161">
        <v>47.811388715084135</v>
      </c>
      <c r="W161">
        <v>26.693051881400049</v>
      </c>
      <c r="X161">
        <v>43.277093960641203</v>
      </c>
      <c r="Y161">
        <v>8.1512399396655706</v>
      </c>
      <c r="Z161">
        <v>31.362590776983453</v>
      </c>
      <c r="AA161">
        <v>6.0608878755707556</v>
      </c>
      <c r="AB161">
        <v>38.352061657425551</v>
      </c>
      <c r="AD161">
        <v>8.0308297950443954</v>
      </c>
      <c r="AE161">
        <v>13.657865208534295</v>
      </c>
      <c r="AF161">
        <v>14.183556386950377</v>
      </c>
      <c r="AG161">
        <v>24.026346937140264</v>
      </c>
      <c r="AH161">
        <v>5.8135516362565829</v>
      </c>
      <c r="AI161">
        <v>2.0738092527824117</v>
      </c>
      <c r="AK161">
        <v>59.725931760559874</v>
      </c>
    </row>
    <row r="162" spans="1:37" x14ac:dyDescent="0.2">
      <c r="A162">
        <v>161</v>
      </c>
      <c r="B162">
        <v>765</v>
      </c>
      <c r="C162">
        <v>160</v>
      </c>
      <c r="D162">
        <v>0.43041034532582101</v>
      </c>
      <c r="E162">
        <v>134.61200345360862</v>
      </c>
      <c r="F162">
        <v>59.390299987990339</v>
      </c>
      <c r="G162">
        <v>71.934820151620926</v>
      </c>
      <c r="H162">
        <v>67.349758312810593</v>
      </c>
      <c r="J162">
        <v>73.659604042230441</v>
      </c>
      <c r="L162">
        <v>6.5563291541763862</v>
      </c>
      <c r="M162">
        <v>14.590739487533778</v>
      </c>
      <c r="N162">
        <v>2.1395834502611852</v>
      </c>
      <c r="O162">
        <v>30.270572111115758</v>
      </c>
      <c r="P162">
        <v>10.871526045694958</v>
      </c>
      <c r="R162">
        <v>17.480458907478052</v>
      </c>
      <c r="S162">
        <v>50.348666132490749</v>
      </c>
      <c r="U162">
        <v>2.2654790437428654</v>
      </c>
      <c r="V162">
        <v>47.829225486963615</v>
      </c>
      <c r="W162">
        <v>26.472585867415876</v>
      </c>
      <c r="X162">
        <v>43.280456454475782</v>
      </c>
      <c r="Y162">
        <v>7.8019553766715699</v>
      </c>
      <c r="Z162">
        <v>30.739729751296597</v>
      </c>
      <c r="AA162">
        <v>5.7396320181332561</v>
      </c>
      <c r="AB162">
        <v>38.222378756377687</v>
      </c>
      <c r="AD162">
        <v>7.6575947925951215</v>
      </c>
      <c r="AE162">
        <v>13.420152380288815</v>
      </c>
      <c r="AF162">
        <v>14.20655292755826</v>
      </c>
      <c r="AG162">
        <v>23.881804016469559</v>
      </c>
      <c r="AH162">
        <v>5.3007952589651843</v>
      </c>
      <c r="AI162">
        <v>2.0755110066640499</v>
      </c>
      <c r="AK162">
        <v>59.521440753866074</v>
      </c>
    </row>
    <row r="163" spans="1:37" x14ac:dyDescent="0.2">
      <c r="A163">
        <v>162</v>
      </c>
      <c r="B163">
        <v>764</v>
      </c>
      <c r="C163">
        <v>160</v>
      </c>
      <c r="D163">
        <v>0.42979366533288699</v>
      </c>
      <c r="E163">
        <v>134.37322306105986</v>
      </c>
      <c r="F163">
        <v>58.167953966602845</v>
      </c>
      <c r="G163">
        <v>71.724721308193566</v>
      </c>
      <c r="H163">
        <v>67.13711478530189</v>
      </c>
      <c r="J163">
        <v>73.312843912447221</v>
      </c>
      <c r="L163">
        <v>6.2117190743775064</v>
      </c>
      <c r="M163">
        <v>14.618176319326361</v>
      </c>
      <c r="N163">
        <v>2.141558271781451</v>
      </c>
      <c r="O163">
        <v>28.907617316991679</v>
      </c>
      <c r="P163">
        <v>10.474686462322282</v>
      </c>
      <c r="R163">
        <v>17.009139993177286</v>
      </c>
      <c r="S163">
        <v>49.782195358012402</v>
      </c>
      <c r="U163">
        <v>2.2581362509790432</v>
      </c>
      <c r="V163">
        <v>47.822959340932933</v>
      </c>
      <c r="W163">
        <v>26.255618356531482</v>
      </c>
      <c r="X163">
        <v>43.302777559640838</v>
      </c>
      <c r="Y163">
        <v>7.4212191081711723</v>
      </c>
      <c r="Z163">
        <v>30.055015997023016</v>
      </c>
      <c r="AA163">
        <v>5.3881739848849097</v>
      </c>
      <c r="AB163">
        <v>38.037686275768635</v>
      </c>
      <c r="AD163">
        <v>7.2467832215893528</v>
      </c>
      <c r="AE163">
        <v>13.157925536204019</v>
      </c>
      <c r="AF163">
        <v>14.232854279065686</v>
      </c>
      <c r="AG163">
        <v>23.682252531057504</v>
      </c>
      <c r="AH163">
        <v>4.7403015614725623</v>
      </c>
      <c r="AI163">
        <v>2.0772104922017576</v>
      </c>
      <c r="AK163">
        <v>59.288969239878554</v>
      </c>
    </row>
    <row r="164" spans="1:37" x14ac:dyDescent="0.2">
      <c r="A164">
        <v>163</v>
      </c>
      <c r="B164">
        <v>763</v>
      </c>
      <c r="C164">
        <v>160</v>
      </c>
      <c r="D164">
        <v>0.42917579501038</v>
      </c>
      <c r="E164">
        <v>134.09834888542272</v>
      </c>
      <c r="F164">
        <v>56.655780819161954</v>
      </c>
      <c r="G164">
        <v>71.469723686780469</v>
      </c>
      <c r="H164">
        <v>66.879585356459643</v>
      </c>
      <c r="J164">
        <v>72.80442293067253</v>
      </c>
      <c r="L164">
        <v>5.7792723481026407</v>
      </c>
      <c r="M164">
        <v>14.64739691971088</v>
      </c>
      <c r="N164">
        <v>2.1435301033936183</v>
      </c>
      <c r="O164">
        <v>27.236161036892632</v>
      </c>
      <c r="P164">
        <v>9.9880538873724269</v>
      </c>
      <c r="R164">
        <v>16.400209850075832</v>
      </c>
      <c r="S164">
        <v>48.929132479769649</v>
      </c>
      <c r="U164">
        <v>2.2603602992170444</v>
      </c>
      <c r="V164">
        <v>47.763092191762105</v>
      </c>
      <c r="W164">
        <v>26.043991534571859</v>
      </c>
      <c r="X164">
        <v>43.353122600918063</v>
      </c>
      <c r="Y164">
        <v>6.9505664492577584</v>
      </c>
      <c r="Z164">
        <v>29.17255977412167</v>
      </c>
      <c r="AA164">
        <v>4.9500634560770846</v>
      </c>
      <c r="AB164">
        <v>37.709505067044944</v>
      </c>
      <c r="AD164">
        <v>6.7194524912803617</v>
      </c>
      <c r="AE164">
        <v>12.812754805417271</v>
      </c>
      <c r="AF164">
        <v>14.260936689307162</v>
      </c>
      <c r="AG164">
        <v>23.339211802183467</v>
      </c>
      <c r="AH164">
        <v>4.0426970293896378</v>
      </c>
      <c r="AI164">
        <v>2.0789061716286441</v>
      </c>
      <c r="AK164">
        <v>58.968869254864849</v>
      </c>
    </row>
    <row r="165" spans="1:37" x14ac:dyDescent="0.2">
      <c r="A165">
        <v>164</v>
      </c>
      <c r="B165">
        <v>762</v>
      </c>
      <c r="C165">
        <v>160</v>
      </c>
      <c r="D165">
        <v>0.428556730908567</v>
      </c>
      <c r="E165">
        <v>133.22430642348391</v>
      </c>
      <c r="F165">
        <v>50.580934429678059</v>
      </c>
      <c r="G165">
        <v>70.562736951252404</v>
      </c>
      <c r="H165">
        <v>65.970079710672096</v>
      </c>
      <c r="J165">
        <v>70.039645054347247</v>
      </c>
      <c r="L165">
        <v>4.0723879057865418</v>
      </c>
      <c r="M165">
        <v>14.595932958611373</v>
      </c>
      <c r="N165">
        <v>2.1454725525931151</v>
      </c>
      <c r="O165">
        <v>20.975876470059504</v>
      </c>
      <c r="P165">
        <v>8.1974212783122198</v>
      </c>
      <c r="R165">
        <v>13.826591395159864</v>
      </c>
      <c r="S165">
        <v>44.742031892316675</v>
      </c>
      <c r="U165">
        <v>2.2758967199035829</v>
      </c>
      <c r="V165">
        <v>47.265480261708788</v>
      </c>
      <c r="W165">
        <v>25.881723863473159</v>
      </c>
      <c r="X165">
        <v>43.436602806409269</v>
      </c>
      <c r="Y165">
        <v>5.1637537766425492</v>
      </c>
      <c r="Z165">
        <v>25.066527282814512</v>
      </c>
      <c r="AA165">
        <v>3.2329136026197083</v>
      </c>
      <c r="AB165">
        <v>35.650796186381328</v>
      </c>
      <c r="AD165">
        <v>4.3306660714531855</v>
      </c>
      <c r="AE165">
        <v>11.059266841277488</v>
      </c>
      <c r="AF165">
        <v>14.208305441210923</v>
      </c>
      <c r="AG165">
        <v>21.265616499302027</v>
      </c>
      <c r="AH165">
        <v>1.3122477179599583</v>
      </c>
      <c r="AI165">
        <v>2.0805716506034528</v>
      </c>
      <c r="AK165">
        <v>57.251907491538766</v>
      </c>
    </row>
    <row r="166" spans="1:37" x14ac:dyDescent="0.2">
      <c r="A166">
        <v>165</v>
      </c>
      <c r="B166">
        <v>761</v>
      </c>
      <c r="C166">
        <v>160</v>
      </c>
      <c r="D166">
        <v>0.42793646956437897</v>
      </c>
      <c r="E166">
        <v>133.27175146903835</v>
      </c>
      <c r="F166">
        <v>48.861377713710233</v>
      </c>
      <c r="G166">
        <v>70.51315815771089</v>
      </c>
      <c r="H166">
        <v>65.917994924598815</v>
      </c>
      <c r="J166">
        <v>62.346869920448427</v>
      </c>
      <c r="L166">
        <v>2.37565226353296</v>
      </c>
      <c r="M166">
        <v>14.476316251367647</v>
      </c>
      <c r="N166">
        <v>2.1474621983562936</v>
      </c>
      <c r="O166">
        <v>12.201326549159122</v>
      </c>
      <c r="P166">
        <v>8.1216593486139441</v>
      </c>
      <c r="R166">
        <v>11.832059015958039</v>
      </c>
      <c r="S166">
        <v>39.31315783001623</v>
      </c>
      <c r="U166">
        <v>2.3209988221454538</v>
      </c>
      <c r="V166">
        <v>46.772810626292504</v>
      </c>
      <c r="W166">
        <v>25.630652227704644</v>
      </c>
      <c r="X166">
        <v>43.605199103055213</v>
      </c>
      <c r="Y166">
        <v>3.9816634269716857</v>
      </c>
      <c r="Z166">
        <v>21.879298225337713</v>
      </c>
      <c r="AA166">
        <v>1.2668259635510912</v>
      </c>
      <c r="AB166">
        <v>33.375351397915118</v>
      </c>
      <c r="AD166">
        <v>2.5932087889004576</v>
      </c>
      <c r="AE166">
        <v>9.2457686149046143</v>
      </c>
      <c r="AF166">
        <v>14.087568934617508</v>
      </c>
      <c r="AG166">
        <v>18.975334971328319</v>
      </c>
      <c r="AI166">
        <v>2.0822835062663181</v>
      </c>
      <c r="AK166">
        <v>52.301803308232799</v>
      </c>
    </row>
    <row r="167" spans="1:37" x14ac:dyDescent="0.2">
      <c r="A167">
        <v>166</v>
      </c>
      <c r="B167">
        <v>760</v>
      </c>
      <c r="C167">
        <v>160</v>
      </c>
      <c r="D167">
        <v>0.427315007501331</v>
      </c>
      <c r="E167">
        <v>133.55558813284014</v>
      </c>
      <c r="F167">
        <v>48.429409864454925</v>
      </c>
      <c r="G167">
        <v>70.661532140487779</v>
      </c>
      <c r="H167">
        <v>66.063875853169208</v>
      </c>
      <c r="J167">
        <v>54.460024517622372</v>
      </c>
      <c r="L167">
        <v>1.5199020910396066</v>
      </c>
      <c r="M167">
        <v>14.223842154361387</v>
      </c>
      <c r="N167">
        <v>2.1494663711403321</v>
      </c>
      <c r="O167">
        <v>7.6790715750112071</v>
      </c>
      <c r="P167">
        <v>8.4418251197504723</v>
      </c>
      <c r="R167">
        <v>10.836490005398051</v>
      </c>
      <c r="S167">
        <v>36.520781886346832</v>
      </c>
      <c r="U167">
        <v>2.3384351242665389</v>
      </c>
      <c r="V167">
        <v>46.764027466385009</v>
      </c>
      <c r="W167">
        <v>25.267566235289788</v>
      </c>
      <c r="X167">
        <v>43.694388591142832</v>
      </c>
      <c r="Y167">
        <v>3.3333761527617733</v>
      </c>
      <c r="Z167">
        <v>19.241374616545862</v>
      </c>
      <c r="AB167">
        <v>31.700035291356109</v>
      </c>
      <c r="AD167">
        <v>1.2114785802090962</v>
      </c>
      <c r="AE167">
        <v>7.6531819033840538</v>
      </c>
      <c r="AF167">
        <v>13.833989861900625</v>
      </c>
      <c r="AG167">
        <v>17.285199144250072</v>
      </c>
      <c r="AI167">
        <v>2.084009067236801</v>
      </c>
      <c r="AK167">
        <v>47.095871373731768</v>
      </c>
    </row>
    <row r="168" spans="1:37" x14ac:dyDescent="0.2">
      <c r="A168">
        <v>167</v>
      </c>
      <c r="B168">
        <v>759</v>
      </c>
      <c r="C168">
        <v>160</v>
      </c>
      <c r="D168">
        <v>0.42669234122947503</v>
      </c>
      <c r="E168">
        <v>133.83667386449352</v>
      </c>
      <c r="F168">
        <v>48.274659166451706</v>
      </c>
      <c r="G168">
        <v>70.767377965086339</v>
      </c>
      <c r="H168">
        <v>66.167241582524696</v>
      </c>
      <c r="J168">
        <v>48.180562610412366</v>
      </c>
      <c r="L168">
        <v>1.5430962171204154</v>
      </c>
      <c r="M168">
        <v>13.848413023872379</v>
      </c>
      <c r="N168">
        <v>2.1514692149924821</v>
      </c>
      <c r="O168">
        <v>7.4603088912957816</v>
      </c>
      <c r="P168">
        <v>8.6769408891942774</v>
      </c>
      <c r="R168">
        <v>10.629422986943613</v>
      </c>
      <c r="S168">
        <v>36.494739889395163</v>
      </c>
      <c r="U168">
        <v>2.3343845433475345</v>
      </c>
      <c r="V168">
        <v>47.167005943230649</v>
      </c>
      <c r="W168">
        <v>24.796859498212051</v>
      </c>
      <c r="X168">
        <v>43.722008657274998</v>
      </c>
      <c r="Y168">
        <v>3.1782209303716531</v>
      </c>
      <c r="Z168">
        <v>17.257858097581973</v>
      </c>
      <c r="AB168">
        <v>30.728054116264058</v>
      </c>
      <c r="AD168">
        <v>0.1931038494958662</v>
      </c>
      <c r="AE168">
        <v>6.4708945766403447</v>
      </c>
      <c r="AF168">
        <v>13.457454728935781</v>
      </c>
      <c r="AG168">
        <v>16.298399417513806</v>
      </c>
      <c r="AI168">
        <v>2.0857324757253526</v>
      </c>
      <c r="AK168">
        <v>42.863813413912567</v>
      </c>
    </row>
    <row r="169" spans="1:37" x14ac:dyDescent="0.2">
      <c r="A169">
        <v>168</v>
      </c>
      <c r="B169">
        <v>758</v>
      </c>
      <c r="C169">
        <v>160</v>
      </c>
      <c r="D169">
        <v>0.426068467245311</v>
      </c>
      <c r="E169">
        <v>133.98978057650621</v>
      </c>
      <c r="F169">
        <v>48.828899775135028</v>
      </c>
      <c r="G169">
        <v>70.732813790057065</v>
      </c>
      <c r="H169">
        <v>66.130210291892965</v>
      </c>
      <c r="J169">
        <v>43.798903118548481</v>
      </c>
      <c r="L169">
        <v>1.5543623099838915</v>
      </c>
      <c r="M169">
        <v>13.427779313146678</v>
      </c>
      <c r="N169">
        <v>2.153464018510185</v>
      </c>
      <c r="O169">
        <v>7.4470923688226867</v>
      </c>
      <c r="P169">
        <v>8.631236285120627</v>
      </c>
      <c r="R169">
        <v>10.266201314153575</v>
      </c>
      <c r="S169">
        <v>36.760415090115316</v>
      </c>
      <c r="U169">
        <v>2.3202099821337203</v>
      </c>
      <c r="V169">
        <v>47.670690293501046</v>
      </c>
      <c r="W169">
        <v>24.288043973709687</v>
      </c>
      <c r="X169">
        <v>43.720776075374182</v>
      </c>
      <c r="Y169">
        <v>2.9241128829703693</v>
      </c>
      <c r="Z169">
        <v>17.620223058206587</v>
      </c>
      <c r="AB169">
        <v>31.263918912090666</v>
      </c>
      <c r="AE169">
        <v>6.6747958813350525</v>
      </c>
      <c r="AF169">
        <v>13.035707283126589</v>
      </c>
      <c r="AG169">
        <v>16.819440125024698</v>
      </c>
      <c r="AI169">
        <v>2.0874470184915657</v>
      </c>
      <c r="AK169">
        <v>39.856370405009159</v>
      </c>
    </row>
    <row r="170" spans="1:37" x14ac:dyDescent="0.2">
      <c r="A170">
        <v>169</v>
      </c>
      <c r="B170">
        <v>780</v>
      </c>
      <c r="C170">
        <v>140</v>
      </c>
      <c r="D170">
        <v>0.46040972321132001</v>
      </c>
      <c r="E170">
        <v>124.73761541503136</v>
      </c>
      <c r="F170">
        <v>66.012275390094558</v>
      </c>
      <c r="G170">
        <v>73.182916648486426</v>
      </c>
      <c r="H170">
        <v>68.63684856543577</v>
      </c>
      <c r="J170">
        <v>74.84548904118283</v>
      </c>
      <c r="L170">
        <v>8.3048946159859778</v>
      </c>
      <c r="M170">
        <v>14.868119923512557</v>
      </c>
      <c r="N170">
        <v>2.1314035042680479</v>
      </c>
      <c r="O170">
        <v>38.944830850273213</v>
      </c>
      <c r="P170">
        <v>12.926906115640893</v>
      </c>
      <c r="Q170">
        <v>2.6341032073331647E-2</v>
      </c>
      <c r="R170">
        <v>20.630885051328882</v>
      </c>
      <c r="S170">
        <v>54.73695536312502</v>
      </c>
      <c r="U170">
        <v>2.9660129550483236</v>
      </c>
      <c r="V170">
        <v>47.776228867844893</v>
      </c>
      <c r="W170">
        <v>29.693359600345829</v>
      </c>
      <c r="X170">
        <v>43.048346695838077</v>
      </c>
      <c r="Y170">
        <v>9.6500635024225989</v>
      </c>
      <c r="Z170">
        <v>34.731367222323783</v>
      </c>
      <c r="AA170">
        <v>7.5774242260724129</v>
      </c>
      <c r="AB170">
        <v>39.704986609833846</v>
      </c>
      <c r="AC170">
        <v>9.4657272839700574E-2</v>
      </c>
      <c r="AD170">
        <v>9.9075653591887463</v>
      </c>
      <c r="AE170">
        <v>15.283028868289781</v>
      </c>
      <c r="AF170">
        <v>14.584202509248371</v>
      </c>
      <c r="AG170">
        <v>25.694781901638287</v>
      </c>
      <c r="AH170">
        <v>7.7815386526623023</v>
      </c>
      <c r="AI170">
        <v>2.0689923513883404</v>
      </c>
      <c r="AK170">
        <v>59.863279514783123</v>
      </c>
    </row>
    <row r="171" spans="1:37" x14ac:dyDescent="0.2">
      <c r="A171">
        <v>170</v>
      </c>
      <c r="B171">
        <v>779</v>
      </c>
      <c r="C171">
        <v>140</v>
      </c>
      <c r="D171">
        <v>0.45983034738392797</v>
      </c>
      <c r="E171">
        <v>124.63500812198609</v>
      </c>
      <c r="F171">
        <v>65.644984283493301</v>
      </c>
      <c r="G171">
        <v>73.118384894149173</v>
      </c>
      <c r="H171">
        <v>68.569573236819622</v>
      </c>
      <c r="J171">
        <v>74.784431944019047</v>
      </c>
      <c r="L171">
        <v>8.2081787681421368</v>
      </c>
      <c r="M171">
        <v>14.853430528567511</v>
      </c>
      <c r="N171">
        <v>2.1200911537251761</v>
      </c>
      <c r="O171">
        <v>38.480092458945705</v>
      </c>
      <c r="P171">
        <v>12.807795255984898</v>
      </c>
      <c r="R171">
        <v>20.46247518880141</v>
      </c>
      <c r="S171">
        <v>54.508689631176068</v>
      </c>
      <c r="U171">
        <v>2.9300452969250474</v>
      </c>
      <c r="V171">
        <v>47.759672175678446</v>
      </c>
      <c r="W171">
        <v>29.55510160436172</v>
      </c>
      <c r="X171">
        <v>42.994462233406608</v>
      </c>
      <c r="Y171">
        <v>9.5478491876197502</v>
      </c>
      <c r="Z171">
        <v>34.528736334731533</v>
      </c>
      <c r="AA171">
        <v>7.4766787842812921</v>
      </c>
      <c r="AB171">
        <v>39.6372729399326</v>
      </c>
      <c r="AC171">
        <v>8.135606704164268E-2</v>
      </c>
      <c r="AD171">
        <v>9.7970584969522161</v>
      </c>
      <c r="AE171">
        <v>15.193549516742467</v>
      </c>
      <c r="AF171">
        <v>14.5550839973618</v>
      </c>
      <c r="AG171">
        <v>25.598911924661397</v>
      </c>
      <c r="AH171">
        <v>7.6451842251614304</v>
      </c>
      <c r="AI171">
        <v>2.0574175900471254</v>
      </c>
      <c r="AK171">
        <v>59.841013473977391</v>
      </c>
    </row>
    <row r="172" spans="1:37" x14ac:dyDescent="0.2">
      <c r="A172">
        <v>171</v>
      </c>
      <c r="B172">
        <v>778</v>
      </c>
      <c r="C172">
        <v>140</v>
      </c>
      <c r="D172">
        <v>0.45924986919088701</v>
      </c>
      <c r="E172">
        <v>124.5298996947387</v>
      </c>
      <c r="F172">
        <v>65.212391490606066</v>
      </c>
      <c r="G172">
        <v>73.041285864668822</v>
      </c>
      <c r="H172">
        <v>68.489743208513985</v>
      </c>
      <c r="J172">
        <v>74.731919553086101</v>
      </c>
      <c r="L172">
        <v>8.086007787374248</v>
      </c>
      <c r="M172">
        <v>14.872540319932961</v>
      </c>
      <c r="N172">
        <v>2.1033376755688837</v>
      </c>
      <c r="O172">
        <v>37.906074752345035</v>
      </c>
      <c r="P172">
        <v>12.658115943877993</v>
      </c>
      <c r="R172">
        <v>20.299679688861456</v>
      </c>
      <c r="S172">
        <v>54.403692101697033</v>
      </c>
      <c r="U172">
        <v>2.9207427034675879</v>
      </c>
      <c r="V172">
        <v>47.802929679544711</v>
      </c>
      <c r="W172">
        <v>29.448487454311799</v>
      </c>
      <c r="X172">
        <v>43.028201674596616</v>
      </c>
      <c r="Y172">
        <v>9.4175575412075379</v>
      </c>
      <c r="Z172">
        <v>34.289822187137339</v>
      </c>
      <c r="AA172">
        <v>7.3490679787939737</v>
      </c>
      <c r="AB172">
        <v>39.61971182612173</v>
      </c>
      <c r="AC172">
        <v>6.2613886443319153E-2</v>
      </c>
      <c r="AD172">
        <v>9.665396728709359</v>
      </c>
      <c r="AE172">
        <v>15.092348625664366</v>
      </c>
      <c r="AF172">
        <v>14.554323747866293</v>
      </c>
      <c r="AG172">
        <v>25.547755766117042</v>
      </c>
      <c r="AH172">
        <v>7.4753935367442361</v>
      </c>
      <c r="AI172">
        <v>2.0404009123794999</v>
      </c>
      <c r="AK172">
        <v>59.803781589520227</v>
      </c>
    </row>
    <row r="173" spans="1:37" x14ac:dyDescent="0.2">
      <c r="A173">
        <v>172</v>
      </c>
      <c r="B173">
        <v>777</v>
      </c>
      <c r="C173">
        <v>140</v>
      </c>
      <c r="D173">
        <v>0.45866828548302802</v>
      </c>
      <c r="E173">
        <v>124.4252662789915</v>
      </c>
      <c r="F173">
        <v>64.780866329362325</v>
      </c>
      <c r="G173">
        <v>72.964210401936484</v>
      </c>
      <c r="H173">
        <v>68.409949342346323</v>
      </c>
      <c r="J173">
        <v>74.678377994426356</v>
      </c>
      <c r="L173">
        <v>7.9634968414007057</v>
      </c>
      <c r="M173">
        <v>14.891860624156065</v>
      </c>
      <c r="N173">
        <v>2.0865451411614169</v>
      </c>
      <c r="O173">
        <v>37.332143672235702</v>
      </c>
      <c r="P173">
        <v>12.508451955801624</v>
      </c>
      <c r="R173">
        <v>20.135790654274189</v>
      </c>
      <c r="S173">
        <v>54.29439251840256</v>
      </c>
      <c r="U173">
        <v>2.911913062204639</v>
      </c>
      <c r="V173">
        <v>47.84450711691921</v>
      </c>
      <c r="W173">
        <v>29.342668435676597</v>
      </c>
      <c r="X173">
        <v>43.063564985477711</v>
      </c>
      <c r="Y173">
        <v>9.2872284923328614</v>
      </c>
      <c r="Z173">
        <v>34.051121905194918</v>
      </c>
      <c r="AA173">
        <v>7.2213492518199054</v>
      </c>
      <c r="AB173">
        <v>39.599754213310142</v>
      </c>
      <c r="AC173">
        <v>4.3832801968787867E-2</v>
      </c>
      <c r="AD173">
        <v>9.53365632049249</v>
      </c>
      <c r="AE173">
        <v>14.991266524196721</v>
      </c>
      <c r="AF173">
        <v>14.553735163997597</v>
      </c>
      <c r="AG173">
        <v>25.494166447793166</v>
      </c>
      <c r="AH173">
        <v>7.305494321323259</v>
      </c>
      <c r="AI173">
        <v>2.0233443879185917</v>
      </c>
      <c r="AK173">
        <v>59.766664277367362</v>
      </c>
    </row>
    <row r="174" spans="1:37" x14ac:dyDescent="0.2">
      <c r="A174">
        <v>173</v>
      </c>
      <c r="B174">
        <v>776</v>
      </c>
      <c r="C174">
        <v>140</v>
      </c>
      <c r="D174">
        <v>0.45808559309917701</v>
      </c>
      <c r="E174">
        <v>124.32111023865724</v>
      </c>
      <c r="F174">
        <v>64.350445215670106</v>
      </c>
      <c r="G174">
        <v>72.887169458567925</v>
      </c>
      <c r="H174">
        <v>68.330202610907904</v>
      </c>
      <c r="J174">
        <v>74.623805894164065</v>
      </c>
      <c r="L174">
        <v>7.8406733866548679</v>
      </c>
      <c r="M174">
        <v>14.911376057308502</v>
      </c>
      <c r="N174">
        <v>2.06971523720095</v>
      </c>
      <c r="O174">
        <v>36.758366666212474</v>
      </c>
      <c r="P174">
        <v>12.35882690508088</v>
      </c>
      <c r="R174">
        <v>19.97085145611285</v>
      </c>
      <c r="S174">
        <v>54.180751450597363</v>
      </c>
      <c r="U174">
        <v>2.9035403560823583</v>
      </c>
      <c r="V174">
        <v>47.884395959902584</v>
      </c>
      <c r="W174">
        <v>29.237639950396776</v>
      </c>
      <c r="X174">
        <v>43.100503858086867</v>
      </c>
      <c r="Y174">
        <v>9.1568832938560689</v>
      </c>
      <c r="Z174">
        <v>33.812643257836605</v>
      </c>
      <c r="AA174">
        <v>7.0936125140659714</v>
      </c>
      <c r="AB174">
        <v>39.577372550155104</v>
      </c>
      <c r="AC174">
        <v>2.5014499879317149E-2</v>
      </c>
      <c r="AD174">
        <v>9.4018470831480254</v>
      </c>
      <c r="AE174">
        <v>14.890298640113325</v>
      </c>
      <c r="AF174">
        <v>14.553304553865193</v>
      </c>
      <c r="AG174">
        <v>25.438118110580866</v>
      </c>
      <c r="AH174">
        <v>7.1355170311675602</v>
      </c>
      <c r="AI174">
        <v>2.0062497015331089</v>
      </c>
      <c r="AK174">
        <v>59.729668338808295</v>
      </c>
    </row>
    <row r="175" spans="1:37" x14ac:dyDescent="0.2">
      <c r="A175">
        <v>174</v>
      </c>
      <c r="B175">
        <v>775</v>
      </c>
      <c r="C175">
        <v>140</v>
      </c>
      <c r="D175">
        <v>0.45750178886609999</v>
      </c>
      <c r="E175">
        <v>124.21743356566623</v>
      </c>
      <c r="F175">
        <v>63.921163266151616</v>
      </c>
      <c r="G175">
        <v>72.810173861366877</v>
      </c>
      <c r="H175">
        <v>68.250513861014682</v>
      </c>
      <c r="J175">
        <v>74.568204212249654</v>
      </c>
      <c r="L175">
        <v>7.7175645891610731</v>
      </c>
      <c r="M175">
        <v>14.93107105762382</v>
      </c>
      <c r="N175">
        <v>2.0528496598054042</v>
      </c>
      <c r="O175">
        <v>36.184810458308512</v>
      </c>
      <c r="P175">
        <v>12.209264162896977</v>
      </c>
      <c r="R175">
        <v>19.804905619176083</v>
      </c>
      <c r="S175">
        <v>54.062738968068132</v>
      </c>
      <c r="U175">
        <v>2.8956082262999243</v>
      </c>
      <c r="V175">
        <v>47.92259072359488</v>
      </c>
      <c r="W175">
        <v>29.133396836302062</v>
      </c>
      <c r="X175">
        <v>43.138968960412811</v>
      </c>
      <c r="Y175">
        <v>9.0265430039966059</v>
      </c>
      <c r="Z175">
        <v>33.574393478345648</v>
      </c>
      <c r="AA175">
        <v>6.9657307183717636</v>
      </c>
      <c r="AB175">
        <v>39.552544275675736</v>
      </c>
      <c r="AC175">
        <v>6.1606758540584446E-3</v>
      </c>
      <c r="AD175">
        <v>9.2699785182435939</v>
      </c>
      <c r="AE175">
        <v>14.789440204345274</v>
      </c>
      <c r="AF175">
        <v>14.553018057171457</v>
      </c>
      <c r="AG175">
        <v>25.379589895167655</v>
      </c>
      <c r="AH175">
        <v>6.965491809478368</v>
      </c>
      <c r="AI175">
        <v>1.9891185475110396</v>
      </c>
      <c r="AK175">
        <v>59.692800401666268</v>
      </c>
    </row>
    <row r="176" spans="1:37" x14ac:dyDescent="0.2">
      <c r="A176">
        <v>175</v>
      </c>
      <c r="B176">
        <v>774</v>
      </c>
      <c r="C176">
        <v>140</v>
      </c>
      <c r="D176">
        <v>0.45691686959843703</v>
      </c>
      <c r="E176">
        <v>124.04086314793027</v>
      </c>
      <c r="F176">
        <v>63.09932371502876</v>
      </c>
      <c r="G176">
        <v>72.667700940824659</v>
      </c>
      <c r="H176">
        <v>68.10536044321077</v>
      </c>
      <c r="J176">
        <v>74.394121346683079</v>
      </c>
      <c r="L176">
        <v>7.4918560452398744</v>
      </c>
      <c r="M176">
        <v>14.949773556909392</v>
      </c>
      <c r="N176">
        <v>2.0484435845110367</v>
      </c>
      <c r="O176">
        <v>35.237561111535349</v>
      </c>
      <c r="P176">
        <v>11.941213587281391</v>
      </c>
      <c r="R176">
        <v>19.503525121277356</v>
      </c>
      <c r="S176">
        <v>53.78837730848538</v>
      </c>
      <c r="U176">
        <v>2.8789481508271555</v>
      </c>
      <c r="V176">
        <v>47.959905214747607</v>
      </c>
      <c r="W176">
        <v>28.948827595372386</v>
      </c>
      <c r="X176">
        <v>43.140268738350152</v>
      </c>
      <c r="Y176">
        <v>8.7753055805562479</v>
      </c>
      <c r="Z176">
        <v>33.123791280838361</v>
      </c>
      <c r="AA176">
        <v>6.7325460041141483</v>
      </c>
      <c r="AB176">
        <v>39.488540650287007</v>
      </c>
      <c r="AD176">
        <v>9.0055472530484142</v>
      </c>
      <c r="AE176">
        <v>14.613318303470852</v>
      </c>
      <c r="AF176">
        <v>14.564198786623743</v>
      </c>
      <c r="AG176">
        <v>25.294348243074989</v>
      </c>
      <c r="AH176">
        <v>6.6053192276331441</v>
      </c>
      <c r="AI176">
        <v>1.9844460995576612</v>
      </c>
      <c r="AK176">
        <v>59.564879797261284</v>
      </c>
    </row>
    <row r="177" spans="1:37" x14ac:dyDescent="0.2">
      <c r="A177">
        <v>176</v>
      </c>
      <c r="B177">
        <v>773</v>
      </c>
      <c r="C177">
        <v>140</v>
      </c>
      <c r="D177">
        <v>0.456330832098647</v>
      </c>
      <c r="E177">
        <v>123.82383274423695</v>
      </c>
      <c r="F177">
        <v>62.04726866271038</v>
      </c>
      <c r="G177">
        <v>72.486317500542455</v>
      </c>
      <c r="H177">
        <v>67.921309181185975</v>
      </c>
      <c r="J177">
        <v>74.140268895071628</v>
      </c>
      <c r="L177">
        <v>7.2028682805868778</v>
      </c>
      <c r="M177">
        <v>14.96989511101796</v>
      </c>
      <c r="N177">
        <v>2.0504239379702818</v>
      </c>
      <c r="O177">
        <v>34.063690240621035</v>
      </c>
      <c r="P177">
        <v>11.601735733662149</v>
      </c>
      <c r="R177">
        <v>19.115359898632367</v>
      </c>
      <c r="S177">
        <v>53.393403158627358</v>
      </c>
      <c r="U177">
        <v>2.8609643232583322</v>
      </c>
      <c r="V177">
        <v>47.98733266119077</v>
      </c>
      <c r="W177">
        <v>28.725143449163873</v>
      </c>
      <c r="X177">
        <v>43.131865554012961</v>
      </c>
      <c r="Y177">
        <v>8.4515321470487716</v>
      </c>
      <c r="Z177">
        <v>32.545972544527764</v>
      </c>
      <c r="AA177">
        <v>6.4353788862857906</v>
      </c>
      <c r="AB177">
        <v>39.385023030250167</v>
      </c>
      <c r="AD177">
        <v>8.6615506941346858</v>
      </c>
      <c r="AE177">
        <v>14.391853226840265</v>
      </c>
      <c r="AF177">
        <v>14.583185230101193</v>
      </c>
      <c r="AG177">
        <v>25.175981442805877</v>
      </c>
      <c r="AH177">
        <v>6.1316501892995809</v>
      </c>
      <c r="AI177">
        <v>1.9861592824944281</v>
      </c>
      <c r="AK177">
        <v>59.381799966667849</v>
      </c>
    </row>
    <row r="178" spans="1:37" x14ac:dyDescent="0.2">
      <c r="A178">
        <v>177</v>
      </c>
      <c r="B178">
        <v>772</v>
      </c>
      <c r="C178">
        <v>140</v>
      </c>
      <c r="D178">
        <v>0.45574367315696301</v>
      </c>
      <c r="E178">
        <v>123.60163894319351</v>
      </c>
      <c r="F178">
        <v>60.947675201941919</v>
      </c>
      <c r="G178">
        <v>72.296459884649693</v>
      </c>
      <c r="H178">
        <v>67.728796439197936</v>
      </c>
      <c r="J178">
        <v>73.855440243759148</v>
      </c>
      <c r="L178">
        <v>6.8968804552365768</v>
      </c>
      <c r="M178">
        <v>14.992560745340404</v>
      </c>
      <c r="N178">
        <v>2.0524033335536651</v>
      </c>
      <c r="O178">
        <v>32.833655961162506</v>
      </c>
      <c r="P178">
        <v>11.245315925297929</v>
      </c>
      <c r="R178">
        <v>18.699851633469443</v>
      </c>
      <c r="S178">
        <v>52.933543233576252</v>
      </c>
      <c r="U178">
        <v>2.8474440394980634</v>
      </c>
      <c r="V178">
        <v>47.999906264524959</v>
      </c>
      <c r="W178">
        <v>28.504370564866282</v>
      </c>
      <c r="X178">
        <v>43.136772742329462</v>
      </c>
      <c r="Y178">
        <v>8.1109370810903325</v>
      </c>
      <c r="Z178">
        <v>31.937299438779107</v>
      </c>
      <c r="AA178">
        <v>6.1220300526449281</v>
      </c>
      <c r="AB178">
        <v>39.249931706723359</v>
      </c>
      <c r="AD178">
        <v>8.2983450634211398</v>
      </c>
      <c r="AE178">
        <v>14.158594601391117</v>
      </c>
      <c r="AF178">
        <v>14.604715031754656</v>
      </c>
      <c r="AG178">
        <v>25.026042404490095</v>
      </c>
      <c r="AH178">
        <v>5.6324377282098865</v>
      </c>
      <c r="AI178">
        <v>1.9878707078604194</v>
      </c>
      <c r="AK178">
        <v>59.184625534656533</v>
      </c>
    </row>
    <row r="179" spans="1:37" x14ac:dyDescent="0.2">
      <c r="A179">
        <v>178</v>
      </c>
      <c r="B179">
        <v>771</v>
      </c>
      <c r="C179">
        <v>140</v>
      </c>
      <c r="D179">
        <v>0.45515538955130802</v>
      </c>
      <c r="E179">
        <v>123.37120371887789</v>
      </c>
      <c r="F179">
        <v>59.77550004141446</v>
      </c>
      <c r="G179">
        <v>72.094231270351088</v>
      </c>
      <c r="H179">
        <v>67.523925414618205</v>
      </c>
      <c r="J179">
        <v>73.524996708766452</v>
      </c>
      <c r="L179">
        <v>6.5664736832365485</v>
      </c>
      <c r="M179">
        <v>15.017950847467505</v>
      </c>
      <c r="N179">
        <v>2.0543815111055386</v>
      </c>
      <c r="O179">
        <v>31.520668674170711</v>
      </c>
      <c r="P179">
        <v>10.864160278135136</v>
      </c>
      <c r="R179">
        <v>18.245236005444532</v>
      </c>
      <c r="S179">
        <v>52.381564752886383</v>
      </c>
      <c r="U179">
        <v>2.8392884440131967</v>
      </c>
      <c r="V179">
        <v>47.9922763168953</v>
      </c>
      <c r="W179">
        <v>28.28682954119413</v>
      </c>
      <c r="X179">
        <v>43.157627651465454</v>
      </c>
      <c r="Y179">
        <v>7.7457154415932568</v>
      </c>
      <c r="Z179">
        <v>31.280698880794755</v>
      </c>
      <c r="AA179">
        <v>5.7850466818687707</v>
      </c>
      <c r="AB179">
        <v>39.06959282743518</v>
      </c>
      <c r="AD179">
        <v>7.9059117808665356</v>
      </c>
      <c r="AE179">
        <v>13.906346146781932</v>
      </c>
      <c r="AF179">
        <v>14.628968324417212</v>
      </c>
      <c r="AG179">
        <v>24.830857021323908</v>
      </c>
      <c r="AH179">
        <v>5.0958339216389117</v>
      </c>
      <c r="AI179">
        <v>1.989580113666912</v>
      </c>
      <c r="AK179">
        <v>58.965756712762712</v>
      </c>
    </row>
    <row r="180" spans="1:37" x14ac:dyDescent="0.2">
      <c r="A180">
        <v>179</v>
      </c>
      <c r="B180">
        <v>770</v>
      </c>
      <c r="C180">
        <v>140</v>
      </c>
      <c r="D180">
        <v>0.45456597804726301</v>
      </c>
      <c r="E180">
        <v>123.12588831823881</v>
      </c>
      <c r="F180">
        <v>58.476897183133921</v>
      </c>
      <c r="G180">
        <v>71.871333020976749</v>
      </c>
      <c r="H180">
        <v>67.298397490981031</v>
      </c>
      <c r="J180">
        <v>73.117685415536414</v>
      </c>
      <c r="L180">
        <v>6.1954075617024795</v>
      </c>
      <c r="M180">
        <v>15.046117142123267</v>
      </c>
      <c r="N180">
        <v>2.0563579521138053</v>
      </c>
      <c r="O180">
        <v>30.067564794637288</v>
      </c>
      <c r="P180">
        <v>10.441671022069354</v>
      </c>
      <c r="R180">
        <v>17.725969201961455</v>
      </c>
      <c r="S180">
        <v>51.680025024989703</v>
      </c>
      <c r="U180">
        <v>2.8381713496109295</v>
      </c>
      <c r="V180">
        <v>47.953132931697546</v>
      </c>
      <c r="W180">
        <v>28.073090039566267</v>
      </c>
      <c r="X180">
        <v>43.19928992516806</v>
      </c>
      <c r="Y180">
        <v>7.3392349289175245</v>
      </c>
      <c r="Z180">
        <v>30.539225762881824</v>
      </c>
      <c r="AA180">
        <v>5.408413876121049</v>
      </c>
      <c r="AB180">
        <v>38.815131456156557</v>
      </c>
      <c r="AD180">
        <v>7.4626272052788618</v>
      </c>
      <c r="AE180">
        <v>13.619436288480651</v>
      </c>
      <c r="AF180">
        <v>14.6559963197135</v>
      </c>
      <c r="AG180">
        <v>24.561549844206812</v>
      </c>
      <c r="AH180">
        <v>4.4965331320363262</v>
      </c>
      <c r="AI180">
        <v>1.9912869795700134</v>
      </c>
      <c r="AK180">
        <v>58.70875960124944</v>
      </c>
    </row>
    <row r="181" spans="1:37" x14ac:dyDescent="0.2">
      <c r="A181">
        <v>180</v>
      </c>
      <c r="B181">
        <v>769</v>
      </c>
      <c r="C181">
        <v>140</v>
      </c>
      <c r="D181">
        <v>0.45397543539797802</v>
      </c>
      <c r="E181">
        <v>122.79865348109374</v>
      </c>
      <c r="F181">
        <v>56.534468041752632</v>
      </c>
      <c r="G181">
        <v>71.552408564525209</v>
      </c>
      <c r="H181">
        <v>66.97685611653003</v>
      </c>
      <c r="J181">
        <v>72.363386016195179</v>
      </c>
      <c r="L181">
        <v>5.6363886155069487</v>
      </c>
      <c r="M181">
        <v>15.069475080699057</v>
      </c>
      <c r="N181">
        <v>2.0583290756805348</v>
      </c>
      <c r="O181">
        <v>27.947282457959176</v>
      </c>
      <c r="P181">
        <v>9.827131454012795</v>
      </c>
      <c r="R181">
        <v>16.911323430380474</v>
      </c>
      <c r="S181">
        <v>50.394341917488468</v>
      </c>
      <c r="U181">
        <v>2.8486836340362558</v>
      </c>
      <c r="V181">
        <v>47.813533736828305</v>
      </c>
      <c r="W181">
        <v>27.86783679700974</v>
      </c>
      <c r="X181">
        <v>43.274386602297533</v>
      </c>
      <c r="Y181">
        <v>6.7396926310638072</v>
      </c>
      <c r="Z181">
        <v>29.352845305227987</v>
      </c>
      <c r="AA181">
        <v>4.844732078134955</v>
      </c>
      <c r="AB181">
        <v>38.264236667801228</v>
      </c>
      <c r="AD181">
        <v>6.7606956086562748</v>
      </c>
      <c r="AE181">
        <v>13.140621809536711</v>
      </c>
      <c r="AF181">
        <v>14.678210893562026</v>
      </c>
      <c r="AG181">
        <v>23.995806372811355</v>
      </c>
      <c r="AH181">
        <v>3.6023273829421063</v>
      </c>
      <c r="AI181">
        <v>1.9929877228379032</v>
      </c>
      <c r="AK181">
        <v>58.255244454170658</v>
      </c>
    </row>
    <row r="182" spans="1:37" x14ac:dyDescent="0.2">
      <c r="A182">
        <v>181</v>
      </c>
      <c r="B182">
        <v>768</v>
      </c>
      <c r="C182">
        <v>140</v>
      </c>
      <c r="D182">
        <v>0.45338375834414102</v>
      </c>
      <c r="E182">
        <v>122.00362987169707</v>
      </c>
      <c r="F182">
        <v>51.01205989939713</v>
      </c>
      <c r="G182">
        <v>70.722783337960749</v>
      </c>
      <c r="H182">
        <v>66.144626748511826</v>
      </c>
      <c r="J182">
        <v>69.817782765607205</v>
      </c>
      <c r="L182">
        <v>4.0762031944745791</v>
      </c>
      <c r="M182">
        <v>15.020323163942296</v>
      </c>
      <c r="N182">
        <v>2.0602777923988844</v>
      </c>
      <c r="O182">
        <v>22.230632959851711</v>
      </c>
      <c r="P182">
        <v>8.1911753803554763</v>
      </c>
      <c r="R182">
        <v>14.541788378360115</v>
      </c>
      <c r="S182">
        <v>46.444697622129866</v>
      </c>
      <c r="U182">
        <v>2.8667076750698937</v>
      </c>
      <c r="V182">
        <v>47.313355797115726</v>
      </c>
      <c r="W182">
        <v>27.702128368726285</v>
      </c>
      <c r="X182">
        <v>43.365825588885677</v>
      </c>
      <c r="Y182">
        <v>5.1082716412349907</v>
      </c>
      <c r="Z182">
        <v>25.636517744130373</v>
      </c>
      <c r="AA182">
        <v>3.2772085821297949</v>
      </c>
      <c r="AB182">
        <v>36.329221740132262</v>
      </c>
      <c r="AD182">
        <v>4.5998395246607799</v>
      </c>
      <c r="AE182">
        <v>11.549546501603915</v>
      </c>
      <c r="AF182">
        <v>14.627893462738914</v>
      </c>
      <c r="AG182">
        <v>22.045922801170306</v>
      </c>
      <c r="AH182">
        <v>1.114463903492525</v>
      </c>
      <c r="AI182">
        <v>1.9946652522301962</v>
      </c>
      <c r="AK182">
        <v>56.698116698568775</v>
      </c>
    </row>
    <row r="183" spans="1:37" x14ac:dyDescent="0.2">
      <c r="A183">
        <v>182</v>
      </c>
      <c r="B183">
        <v>767</v>
      </c>
      <c r="C183">
        <v>140</v>
      </c>
      <c r="D183">
        <v>0.45279094361390498</v>
      </c>
      <c r="E183">
        <v>122.11799196565434</v>
      </c>
      <c r="F183">
        <v>49.687373364138118</v>
      </c>
      <c r="G183">
        <v>70.732529375849921</v>
      </c>
      <c r="H183">
        <v>66.151781441814421</v>
      </c>
      <c r="J183">
        <v>62.522991628863238</v>
      </c>
      <c r="L183">
        <v>2.5602197289265205</v>
      </c>
      <c r="M183">
        <v>14.910351413145522</v>
      </c>
      <c r="N183">
        <v>2.0622713598042641</v>
      </c>
      <c r="O183">
        <v>14.215227389919205</v>
      </c>
      <c r="P183">
        <v>8.2340141496954402</v>
      </c>
      <c r="R183">
        <v>12.749050836666544</v>
      </c>
      <c r="S183">
        <v>41.206468046240794</v>
      </c>
      <c r="U183">
        <v>2.9236798711196927</v>
      </c>
      <c r="V183">
        <v>46.755228828795289</v>
      </c>
      <c r="W183">
        <v>27.447186017706343</v>
      </c>
      <c r="X183">
        <v>43.569474186156427</v>
      </c>
      <c r="Y183">
        <v>4.0841330535569282</v>
      </c>
      <c r="Z183">
        <v>22.703245691858999</v>
      </c>
      <c r="AA183">
        <v>1.503674548560739</v>
      </c>
      <c r="AB183">
        <v>34.013827559686796</v>
      </c>
      <c r="AD183">
        <v>3.0291941856572571</v>
      </c>
      <c r="AE183">
        <v>9.8192113728129851</v>
      </c>
      <c r="AF183">
        <v>14.516801311521283</v>
      </c>
      <c r="AG183">
        <v>19.715707279047738</v>
      </c>
      <c r="AI183">
        <v>1.996386823447948</v>
      </c>
      <c r="AK183">
        <v>52.05518465498379</v>
      </c>
    </row>
    <row r="184" spans="1:37" x14ac:dyDescent="0.2">
      <c r="A184">
        <v>183</v>
      </c>
      <c r="B184">
        <v>766</v>
      </c>
      <c r="C184">
        <v>140</v>
      </c>
      <c r="D184">
        <v>0.45219698792282498</v>
      </c>
      <c r="E184">
        <v>122.36428450292073</v>
      </c>
      <c r="F184">
        <v>49.342417517421239</v>
      </c>
      <c r="G184">
        <v>70.860941378312461</v>
      </c>
      <c r="H184">
        <v>66.277614916918608</v>
      </c>
      <c r="J184">
        <v>55.746773224984089</v>
      </c>
      <c r="L184">
        <v>1.4826270262909966</v>
      </c>
      <c r="M184">
        <v>14.706041230740583</v>
      </c>
      <c r="N184">
        <v>2.064275735487985</v>
      </c>
      <c r="O184">
        <v>8.6847828175473225</v>
      </c>
      <c r="P184">
        <v>8.5142031418541873</v>
      </c>
      <c r="R184">
        <v>11.529356469684064</v>
      </c>
      <c r="S184">
        <v>37.711356192564438</v>
      </c>
      <c r="U184">
        <v>2.9472237369086685</v>
      </c>
      <c r="V184">
        <v>46.605746000804189</v>
      </c>
      <c r="W184">
        <v>27.124448547748031</v>
      </c>
      <c r="X184">
        <v>43.677103543947631</v>
      </c>
      <c r="Y184">
        <v>3.2958794290528965</v>
      </c>
      <c r="Z184">
        <v>20.457701843502505</v>
      </c>
      <c r="AB184">
        <v>32.459853278661448</v>
      </c>
      <c r="AD184">
        <v>1.8236075868908175</v>
      </c>
      <c r="AE184">
        <v>8.44871997907258</v>
      </c>
      <c r="AF184">
        <v>14.311381805391704</v>
      </c>
      <c r="AG184">
        <v>18.146924921942457</v>
      </c>
      <c r="AI184">
        <v>1.9981183922475301</v>
      </c>
      <c r="AK184">
        <v>47.624068273612409</v>
      </c>
    </row>
    <row r="185" spans="1:37" x14ac:dyDescent="0.2">
      <c r="A185">
        <v>184</v>
      </c>
      <c r="B185">
        <v>765</v>
      </c>
      <c r="C185">
        <v>140</v>
      </c>
      <c r="D185">
        <v>0.45160188797380102</v>
      </c>
      <c r="E185">
        <v>122.65403394708891</v>
      </c>
      <c r="F185">
        <v>49.070625389250864</v>
      </c>
      <c r="G185">
        <v>70.977776777994976</v>
      </c>
      <c r="H185">
        <v>66.391884626871132</v>
      </c>
      <c r="J185">
        <v>49.228213554309043</v>
      </c>
      <c r="L185">
        <v>1.5053409521798895</v>
      </c>
      <c r="M185">
        <v>14.353366414698861</v>
      </c>
      <c r="N185">
        <v>2.0662809704597382</v>
      </c>
      <c r="O185">
        <v>8.4533211608085477</v>
      </c>
      <c r="P185">
        <v>8.7712472951848035</v>
      </c>
      <c r="R185">
        <v>11.336299812332562</v>
      </c>
      <c r="S185">
        <v>37.527833172948519</v>
      </c>
      <c r="U185">
        <v>2.9518404421907771</v>
      </c>
      <c r="V185">
        <v>46.930216339760847</v>
      </c>
      <c r="W185">
        <v>26.667644200133854</v>
      </c>
      <c r="X185">
        <v>43.730496238005166</v>
      </c>
      <c r="Y185">
        <v>3.1530260003097323</v>
      </c>
      <c r="Z185">
        <v>18.206546985887194</v>
      </c>
      <c r="AB185">
        <v>31.230479535907808</v>
      </c>
      <c r="AD185">
        <v>0.68458014303932102</v>
      </c>
      <c r="AE185">
        <v>7.09919999306452</v>
      </c>
      <c r="AF185">
        <v>13.957598798807428</v>
      </c>
      <c r="AG185">
        <v>16.902746425446171</v>
      </c>
      <c r="AI185">
        <v>1.9998500078042782</v>
      </c>
      <c r="AK185">
        <v>43.263477270916226</v>
      </c>
    </row>
    <row r="186" spans="1:37" x14ac:dyDescent="0.2">
      <c r="A186">
        <v>185</v>
      </c>
      <c r="B186">
        <v>764</v>
      </c>
      <c r="C186">
        <v>140</v>
      </c>
      <c r="D186">
        <v>0.45100564045702202</v>
      </c>
      <c r="E186">
        <v>122.87840285358429</v>
      </c>
      <c r="F186">
        <v>49.134775662567634</v>
      </c>
      <c r="G186">
        <v>71.03860948113531</v>
      </c>
      <c r="H186">
        <v>66.450164498348641</v>
      </c>
      <c r="J186">
        <v>45.026295102115398</v>
      </c>
      <c r="L186">
        <v>1.5230721814450989</v>
      </c>
      <c r="M186">
        <v>13.986636185164881</v>
      </c>
      <c r="N186">
        <v>2.068283355996408</v>
      </c>
      <c r="O186">
        <v>8.2930667858044007</v>
      </c>
      <c r="P186">
        <v>8.9162907355512058</v>
      </c>
      <c r="R186">
        <v>11.099866132256251</v>
      </c>
      <c r="S186">
        <v>37.620877400562421</v>
      </c>
      <c r="U186">
        <v>2.9402161764703267</v>
      </c>
      <c r="V186">
        <v>47.3557502166896</v>
      </c>
      <c r="W186">
        <v>26.20847568336443</v>
      </c>
      <c r="X186">
        <v>43.737399540545439</v>
      </c>
      <c r="Y186">
        <v>2.9751149786433975</v>
      </c>
      <c r="Z186">
        <v>17.010305391305458</v>
      </c>
      <c r="AB186">
        <v>30.772250120990513</v>
      </c>
      <c r="AD186">
        <v>4.0136564051109415E-2</v>
      </c>
      <c r="AE186">
        <v>6.3843906553312069</v>
      </c>
      <c r="AF186">
        <v>13.589757808673609</v>
      </c>
      <c r="AG186">
        <v>16.429711876148637</v>
      </c>
      <c r="AI186">
        <v>2.0015779595589729</v>
      </c>
      <c r="AK186">
        <v>40.401799745322336</v>
      </c>
    </row>
    <row r="187" spans="1:37" x14ac:dyDescent="0.2">
      <c r="A187">
        <v>186</v>
      </c>
      <c r="B187">
        <v>791</v>
      </c>
      <c r="C187">
        <v>120</v>
      </c>
      <c r="D187">
        <v>0.48738476718508</v>
      </c>
      <c r="E187">
        <v>113.98864409222341</v>
      </c>
      <c r="F187">
        <v>68.500988392770012</v>
      </c>
      <c r="G187">
        <v>73.736247959510592</v>
      </c>
      <c r="H187">
        <v>69.220572522593841</v>
      </c>
      <c r="J187">
        <v>75.196345853341697</v>
      </c>
      <c r="L187">
        <v>8.9033494710910386</v>
      </c>
      <c r="M187">
        <v>15.271023998259922</v>
      </c>
      <c r="N187">
        <v>2.0890505636761429</v>
      </c>
      <c r="O187">
        <v>43.106681089510339</v>
      </c>
      <c r="P187">
        <v>13.645077942235476</v>
      </c>
      <c r="Q187">
        <v>1.9783024131348866E-2</v>
      </c>
      <c r="R187">
        <v>22.298207529786854</v>
      </c>
      <c r="S187">
        <v>58.039415397152197</v>
      </c>
      <c r="U187">
        <v>3.6855235512337128</v>
      </c>
      <c r="V187">
        <v>47.905368302984854</v>
      </c>
      <c r="W187">
        <v>32.283296531778397</v>
      </c>
      <c r="X187">
        <v>42.77859333441257</v>
      </c>
      <c r="Y187">
        <v>10.233418177295391</v>
      </c>
      <c r="Z187">
        <v>36.559210795591596</v>
      </c>
      <c r="AA187">
        <v>8.2319010775064303</v>
      </c>
      <c r="AB187">
        <v>40.984581387873106</v>
      </c>
      <c r="AC187">
        <v>0.14751233612347853</v>
      </c>
      <c r="AD187">
        <v>10.84019812305255</v>
      </c>
      <c r="AE187">
        <v>16.336742603081742</v>
      </c>
      <c r="AF187">
        <v>15.04085470368317</v>
      </c>
      <c r="AG187">
        <v>27.202910674518918</v>
      </c>
      <c r="AH187">
        <v>8.4597038712281538</v>
      </c>
      <c r="AI187">
        <v>2.0271309784042879</v>
      </c>
      <c r="AK187">
        <v>59.479276023179338</v>
      </c>
    </row>
    <row r="188" spans="1:37" x14ac:dyDescent="0.2">
      <c r="A188">
        <v>187</v>
      </c>
      <c r="B188">
        <v>790</v>
      </c>
      <c r="C188">
        <v>120</v>
      </c>
      <c r="D188">
        <v>0.486836758688802</v>
      </c>
      <c r="E188">
        <v>113.88626089634005</v>
      </c>
      <c r="F188">
        <v>68.120548298941642</v>
      </c>
      <c r="G188">
        <v>73.668970955974729</v>
      </c>
      <c r="H188">
        <v>69.150406723055369</v>
      </c>
      <c r="J188">
        <v>75.134436109507732</v>
      </c>
      <c r="L188">
        <v>8.8018241901126064</v>
      </c>
      <c r="M188">
        <v>15.263718588533234</v>
      </c>
      <c r="N188">
        <v>2.0768078848640141</v>
      </c>
      <c r="O188">
        <v>42.616953569060705</v>
      </c>
      <c r="P188">
        <v>13.519460636430514</v>
      </c>
      <c r="R188">
        <v>22.131874273427464</v>
      </c>
      <c r="S188">
        <v>57.836854521389306</v>
      </c>
      <c r="U188">
        <v>3.6564734834259514</v>
      </c>
      <c r="V188">
        <v>47.902597476468515</v>
      </c>
      <c r="W188">
        <v>32.150167558668521</v>
      </c>
      <c r="X188">
        <v>42.746146379581198</v>
      </c>
      <c r="Y188">
        <v>10.125503277034037</v>
      </c>
      <c r="Z188">
        <v>36.34777746950288</v>
      </c>
      <c r="AA188">
        <v>8.1258439570539487</v>
      </c>
      <c r="AB188">
        <v>40.926583968600553</v>
      </c>
      <c r="AC188">
        <v>0.13327735113687234</v>
      </c>
      <c r="AD188">
        <v>10.726512045799563</v>
      </c>
      <c r="AE188">
        <v>16.243898569811716</v>
      </c>
      <c r="AF188">
        <v>15.018184986430448</v>
      </c>
      <c r="AG188">
        <v>27.115826996098754</v>
      </c>
      <c r="AH188">
        <v>8.3166511401004861</v>
      </c>
      <c r="AI188">
        <v>2.0146353463183333</v>
      </c>
      <c r="AK188">
        <v>59.453190912248608</v>
      </c>
    </row>
    <row r="189" spans="1:37" x14ac:dyDescent="0.2">
      <c r="A189">
        <v>188</v>
      </c>
      <c r="B189">
        <v>789</v>
      </c>
      <c r="C189">
        <v>120</v>
      </c>
      <c r="D189">
        <v>0.48628771830721002</v>
      </c>
      <c r="E189">
        <v>113.78245456115135</v>
      </c>
      <c r="F189">
        <v>67.69291420229986</v>
      </c>
      <c r="G189">
        <v>73.592560306217123</v>
      </c>
      <c r="H189">
        <v>69.071119637810227</v>
      </c>
      <c r="J189">
        <v>75.079319582429932</v>
      </c>
      <c r="L189">
        <v>8.6817387398340369</v>
      </c>
      <c r="M189">
        <v>15.28146976679878</v>
      </c>
      <c r="N189">
        <v>2.0605166999273585</v>
      </c>
      <c r="O189">
        <v>42.047112150214062</v>
      </c>
      <c r="P189">
        <v>13.371534523925853</v>
      </c>
      <c r="R189">
        <v>21.969711521683319</v>
      </c>
      <c r="S189">
        <v>57.724578801719879</v>
      </c>
      <c r="U189">
        <v>3.6473747833576473</v>
      </c>
      <c r="V189">
        <v>47.943579186210613</v>
      </c>
      <c r="W189">
        <v>32.040553930078858</v>
      </c>
      <c r="X189">
        <v>42.779403552173598</v>
      </c>
      <c r="Y189">
        <v>9.9971277726081595</v>
      </c>
      <c r="Z189">
        <v>36.109416609428195</v>
      </c>
      <c r="AA189">
        <v>8.0001860007932262</v>
      </c>
      <c r="AB189">
        <v>40.904633484534521</v>
      </c>
      <c r="AC189">
        <v>0.11499401763031489</v>
      </c>
      <c r="AD189">
        <v>10.597149856304897</v>
      </c>
      <c r="AE189">
        <v>16.142198866537072</v>
      </c>
      <c r="AF189">
        <v>15.016523501758224</v>
      </c>
      <c r="AG189">
        <v>27.060744077140711</v>
      </c>
      <c r="AH189">
        <v>8.1494252005616676</v>
      </c>
      <c r="AI189">
        <v>1.9980904394689365</v>
      </c>
      <c r="AK189">
        <v>59.41662924323235</v>
      </c>
    </row>
    <row r="190" spans="1:37" x14ac:dyDescent="0.2">
      <c r="A190">
        <v>189</v>
      </c>
      <c r="B190">
        <v>788</v>
      </c>
      <c r="C190">
        <v>120</v>
      </c>
      <c r="D190">
        <v>0.48573764312303003</v>
      </c>
      <c r="E190">
        <v>113.67910004461362</v>
      </c>
      <c r="F190">
        <v>67.266368026722873</v>
      </c>
      <c r="G190">
        <v>73.516187129782253</v>
      </c>
      <c r="H190">
        <v>68.991882405929942</v>
      </c>
      <c r="J190">
        <v>75.023303806043387</v>
      </c>
      <c r="L190">
        <v>8.561367008860655</v>
      </c>
      <c r="M190">
        <v>15.299398129205571</v>
      </c>
      <c r="N190">
        <v>2.0441956668637751</v>
      </c>
      <c r="O190">
        <v>41.477487128560462</v>
      </c>
      <c r="P190">
        <v>13.223660522517406</v>
      </c>
      <c r="R190">
        <v>21.806574506084083</v>
      </c>
      <c r="S190">
        <v>57.60833914853788</v>
      </c>
      <c r="U190">
        <v>3.6386891657882594</v>
      </c>
      <c r="V190">
        <v>47.983015366284874</v>
      </c>
      <c r="W190">
        <v>31.931655458926329</v>
      </c>
      <c r="X190">
        <v>42.814118357659744</v>
      </c>
      <c r="Y190">
        <v>9.8687504529315824</v>
      </c>
      <c r="Z190">
        <v>35.871297717936294</v>
      </c>
      <c r="AA190">
        <v>7.8744582546137387</v>
      </c>
      <c r="AB190">
        <v>40.880466002145845</v>
      </c>
      <c r="AC190">
        <v>9.6680993167293394E-2</v>
      </c>
      <c r="AD190">
        <v>10.46772235023521</v>
      </c>
      <c r="AE190">
        <v>16.040624798662492</v>
      </c>
      <c r="AF190">
        <v>15.015009509008836</v>
      </c>
      <c r="AG190">
        <v>27.003416647446588</v>
      </c>
      <c r="AH190">
        <v>7.9821202421606658</v>
      </c>
      <c r="AI190">
        <v>1.9815149140322637</v>
      </c>
      <c r="AK190">
        <v>59.38021103330054</v>
      </c>
    </row>
    <row r="191" spans="1:37" x14ac:dyDescent="0.2">
      <c r="A191">
        <v>190</v>
      </c>
      <c r="B191">
        <v>787</v>
      </c>
      <c r="C191">
        <v>120</v>
      </c>
      <c r="D191">
        <v>0.48518653020799002</v>
      </c>
      <c r="E191">
        <v>113.57619843654652</v>
      </c>
      <c r="F191">
        <v>66.840940025650625</v>
      </c>
      <c r="G191">
        <v>73.439860814466115</v>
      </c>
      <c r="H191">
        <v>68.91270443477292</v>
      </c>
      <c r="J191">
        <v>74.966389904204277</v>
      </c>
      <c r="L191">
        <v>8.4407335048844878</v>
      </c>
      <c r="M191">
        <v>15.317490244878574</v>
      </c>
      <c r="N191">
        <v>2.0278464195123642</v>
      </c>
      <c r="O191">
        <v>40.908137273316292</v>
      </c>
      <c r="P191">
        <v>13.075859062407304</v>
      </c>
      <c r="R191">
        <v>21.642503159553083</v>
      </c>
      <c r="S191">
        <v>57.488110410118878</v>
      </c>
      <c r="U191">
        <v>3.6304018546266201</v>
      </c>
      <c r="V191">
        <v>48.020901624733376</v>
      </c>
      <c r="W191">
        <v>31.823466826108042</v>
      </c>
      <c r="X191">
        <v>42.850246211851619</v>
      </c>
      <c r="Y191">
        <v>9.740389658505503</v>
      </c>
      <c r="Z191">
        <v>35.633428712716395</v>
      </c>
      <c r="AA191">
        <v>7.7486777045177586</v>
      </c>
      <c r="AB191">
        <v>40.854063218778997</v>
      </c>
      <c r="AC191">
        <v>7.8339911152678382E-2</v>
      </c>
      <c r="AD191">
        <v>10.338238916918543</v>
      </c>
      <c r="AE191">
        <v>15.939172980899921</v>
      </c>
      <c r="AF191">
        <v>15.013631216353263</v>
      </c>
      <c r="AG191">
        <v>26.943828043548173</v>
      </c>
      <c r="AH191">
        <v>7.8147629821447477</v>
      </c>
      <c r="AI191">
        <v>1.9649104020252823</v>
      </c>
      <c r="AK191">
        <v>59.343942063738638</v>
      </c>
    </row>
    <row r="192" spans="1:37" x14ac:dyDescent="0.2">
      <c r="A192">
        <v>191</v>
      </c>
      <c r="B192">
        <v>786</v>
      </c>
      <c r="C192">
        <v>120</v>
      </c>
      <c r="D192">
        <v>0.48463437662276798</v>
      </c>
      <c r="E192">
        <v>113.47375050992673</v>
      </c>
      <c r="F192">
        <v>66.416659257589558</v>
      </c>
      <c r="G192">
        <v>73.363590604073593</v>
      </c>
      <c r="H192">
        <v>68.83359498774422</v>
      </c>
      <c r="J192">
        <v>74.908580953009377</v>
      </c>
      <c r="L192">
        <v>8.3198623940639074</v>
      </c>
      <c r="M192">
        <v>15.335732600434566</v>
      </c>
      <c r="N192">
        <v>2.0114705947759268</v>
      </c>
      <c r="O192">
        <v>40.339120508364672</v>
      </c>
      <c r="P192">
        <v>12.928150288929151</v>
      </c>
      <c r="R192">
        <v>21.47753740122339</v>
      </c>
      <c r="S192">
        <v>57.363875420214349</v>
      </c>
      <c r="U192">
        <v>3.6224978515604622</v>
      </c>
      <c r="V192">
        <v>48.057236092045095</v>
      </c>
      <c r="W192">
        <v>31.715982246626389</v>
      </c>
      <c r="X192">
        <v>42.887741870356734</v>
      </c>
      <c r="Y192">
        <v>9.6120634924364179</v>
      </c>
      <c r="Z192">
        <v>35.395817057411961</v>
      </c>
      <c r="AA192">
        <v>7.6229316002204719</v>
      </c>
      <c r="AB192">
        <v>40.825411058583363</v>
      </c>
      <c r="AC192">
        <v>5.9972408054576737E-2</v>
      </c>
      <c r="AD192">
        <v>10.208708648967541</v>
      </c>
      <c r="AE192">
        <v>15.837839892467715</v>
      </c>
      <c r="AF192">
        <v>15.012376752532544</v>
      </c>
      <c r="AG192">
        <v>26.881965831863475</v>
      </c>
      <c r="AH192">
        <v>7.6473798018647363</v>
      </c>
      <c r="AI192">
        <v>1.948278538527846</v>
      </c>
      <c r="AK192">
        <v>59.307827962892183</v>
      </c>
    </row>
    <row r="193" spans="1:37" x14ac:dyDescent="0.2">
      <c r="A193">
        <v>192</v>
      </c>
      <c r="B193">
        <v>785</v>
      </c>
      <c r="C193">
        <v>120</v>
      </c>
      <c r="D193">
        <v>0.48408117941691098</v>
      </c>
      <c r="E193">
        <v>113.37175673172207</v>
      </c>
      <c r="F193">
        <v>65.993553516833998</v>
      </c>
      <c r="G193">
        <v>73.287385573168265</v>
      </c>
      <c r="H193">
        <v>68.75456315904529</v>
      </c>
      <c r="J193">
        <v>74.849881862236558</v>
      </c>
      <c r="L193">
        <v>8.1987774433288365</v>
      </c>
      <c r="M193">
        <v>15.354111641148222</v>
      </c>
      <c r="N193">
        <v>1.9950698245188103</v>
      </c>
      <c r="O193">
        <v>39.770493732240027</v>
      </c>
      <c r="P193">
        <v>12.780554003958525</v>
      </c>
      <c r="R193">
        <v>21.311716986046907</v>
      </c>
      <c r="S193">
        <v>57.235624656728852</v>
      </c>
      <c r="U193">
        <v>3.614961992305012</v>
      </c>
      <c r="V193">
        <v>48.092019284939745</v>
      </c>
      <c r="W193">
        <v>31.609195519786432</v>
      </c>
      <c r="X193">
        <v>42.926559602909713</v>
      </c>
      <c r="Y193">
        <v>9.4837897675495917</v>
      </c>
      <c r="Z193">
        <v>35.158469727862759</v>
      </c>
      <c r="AA193">
        <v>7.4970908060659127</v>
      </c>
      <c r="AB193">
        <v>40.79449950527686</v>
      </c>
      <c r="AC193">
        <v>4.1580115302058129E-2</v>
      </c>
      <c r="AD193">
        <v>10.079140314344032</v>
      </c>
      <c r="AE193">
        <v>15.736621878089499</v>
      </c>
      <c r="AF193">
        <v>15.011234199915304</v>
      </c>
      <c r="AG193">
        <v>26.817821633355944</v>
      </c>
      <c r="AH193">
        <v>7.4799966349202283</v>
      </c>
      <c r="AI193">
        <v>1.9316209535808881</v>
      </c>
      <c r="AK193">
        <v>59.27187418330093</v>
      </c>
    </row>
    <row r="194" spans="1:37" x14ac:dyDescent="0.2">
      <c r="A194">
        <v>193</v>
      </c>
      <c r="B194">
        <v>784</v>
      </c>
      <c r="C194">
        <v>120</v>
      </c>
      <c r="D194">
        <v>0.48352693562881199</v>
      </c>
      <c r="E194">
        <v>113.27021727424817</v>
      </c>
      <c r="F194">
        <v>65.571649276313792</v>
      </c>
      <c r="G194">
        <v>73.211254604634249</v>
      </c>
      <c r="H194">
        <v>68.675617851233</v>
      </c>
      <c r="J194">
        <v>74.790299252534894</v>
      </c>
      <c r="L194">
        <v>8.077501968669651</v>
      </c>
      <c r="M194">
        <v>15.372613808545632</v>
      </c>
      <c r="N194">
        <v>1.9786457281092238</v>
      </c>
      <c r="O194">
        <v>39.202312658235911</v>
      </c>
      <c r="P194">
        <v>12.633089613566355</v>
      </c>
      <c r="R194">
        <v>21.145081364634855</v>
      </c>
      <c r="S194">
        <v>57.10335587049542</v>
      </c>
      <c r="U194">
        <v>3.6077789993176017</v>
      </c>
      <c r="V194">
        <v>48.125253962647072</v>
      </c>
      <c r="W194">
        <v>31.503100077890895</v>
      </c>
      <c r="X194">
        <v>42.966653353211527</v>
      </c>
      <c r="Y194">
        <v>9.3555859590680654</v>
      </c>
      <c r="Z194">
        <v>34.921393184499912</v>
      </c>
      <c r="AA194">
        <v>7.371247385660725</v>
      </c>
      <c r="AB194">
        <v>40.761322419412267</v>
      </c>
      <c r="AC194">
        <v>2.3164651828404423E-2</v>
      </c>
      <c r="AD194">
        <v>9.9495423324412364</v>
      </c>
      <c r="AE194">
        <v>15.635515150374733</v>
      </c>
      <c r="AF194">
        <v>15.010191624641406</v>
      </c>
      <c r="AG194">
        <v>26.751390933345554</v>
      </c>
      <c r="AH194">
        <v>7.3126389307407456</v>
      </c>
      <c r="AI194">
        <v>1.9149392647280412</v>
      </c>
      <c r="AK194">
        <v>59.23608598142588</v>
      </c>
    </row>
    <row r="195" spans="1:37" x14ac:dyDescent="0.2">
      <c r="A195">
        <v>194</v>
      </c>
      <c r="B195">
        <v>783</v>
      </c>
      <c r="C195">
        <v>120</v>
      </c>
      <c r="D195">
        <v>0.48297164228566197</v>
      </c>
      <c r="E195">
        <v>113.16913202785844</v>
      </c>
      <c r="F195">
        <v>65.150971641701133</v>
      </c>
      <c r="G195">
        <v>73.135206369755323</v>
      </c>
      <c r="H195">
        <v>68.596767755304924</v>
      </c>
      <c r="J195">
        <v>74.729841330325087</v>
      </c>
      <c r="L195">
        <v>7.9559869059637309</v>
      </c>
      <c r="M195">
        <v>15.391225576130555</v>
      </c>
      <c r="N195">
        <v>1.9621999054345531</v>
      </c>
      <c r="O195">
        <v>38.63463167043269</v>
      </c>
      <c r="P195">
        <v>12.485776081206705</v>
      </c>
      <c r="R195">
        <v>20.977669554917366</v>
      </c>
      <c r="S195">
        <v>56.967073695010733</v>
      </c>
      <c r="U195">
        <v>3.6009335319685243</v>
      </c>
      <c r="V195">
        <v>48.156944980654309</v>
      </c>
      <c r="W195">
        <v>31.397689034898754</v>
      </c>
      <c r="X195">
        <v>43.007976893864488</v>
      </c>
      <c r="Y195">
        <v>9.227469162196634</v>
      </c>
      <c r="Z195">
        <v>34.684593348400746</v>
      </c>
      <c r="AA195">
        <v>7.2454174242030858</v>
      </c>
      <c r="AB195">
        <v>40.72587734383724</v>
      </c>
      <c r="AC195">
        <v>4.727617085026197E-3</v>
      </c>
      <c r="AD195">
        <v>9.8199227530458923</v>
      </c>
      <c r="AE195">
        <v>15.534515792257501</v>
      </c>
      <c r="AF195">
        <v>15.009237105355119</v>
      </c>
      <c r="AG195">
        <v>26.682672879982992</v>
      </c>
      <c r="AH195">
        <v>7.1453315948906058</v>
      </c>
      <c r="AI195">
        <v>1.8982350700321138</v>
      </c>
      <c r="AK195">
        <v>59.200468400001576</v>
      </c>
    </row>
    <row r="196" spans="1:37" x14ac:dyDescent="0.2">
      <c r="A196">
        <v>195</v>
      </c>
      <c r="B196">
        <v>782</v>
      </c>
      <c r="C196">
        <v>120</v>
      </c>
      <c r="D196">
        <v>0.48241529640335601</v>
      </c>
      <c r="E196">
        <v>112.98715101226585</v>
      </c>
      <c r="F196">
        <v>64.288412029104492</v>
      </c>
      <c r="G196">
        <v>72.985215454292728</v>
      </c>
      <c r="H196">
        <v>68.443987476769621</v>
      </c>
      <c r="J196">
        <v>74.530904992186635</v>
      </c>
      <c r="L196">
        <v>7.7174463231789669</v>
      </c>
      <c r="M196">
        <v>15.409872999207694</v>
      </c>
      <c r="N196">
        <v>1.9592252157569574</v>
      </c>
      <c r="O196">
        <v>37.64193294672549</v>
      </c>
      <c r="P196">
        <v>12.204055458712139</v>
      </c>
      <c r="R196">
        <v>20.653706126935713</v>
      </c>
      <c r="S196">
        <v>56.638740539740205</v>
      </c>
      <c r="U196">
        <v>3.5860985954074134</v>
      </c>
      <c r="V196">
        <v>48.182320128083084</v>
      </c>
      <c r="W196">
        <v>31.205258654274267</v>
      </c>
      <c r="X196">
        <v>43.013841646175642</v>
      </c>
      <c r="Y196">
        <v>8.9623447247579708</v>
      </c>
      <c r="Z196">
        <v>34.207962227595871</v>
      </c>
      <c r="AA196">
        <v>6.9998613533982859</v>
      </c>
      <c r="AB196">
        <v>40.637426364821451</v>
      </c>
      <c r="AD196">
        <v>9.5407474706447211</v>
      </c>
      <c r="AE196">
        <v>15.348305676113233</v>
      </c>
      <c r="AF196">
        <v>15.021789561892147</v>
      </c>
      <c r="AG196">
        <v>26.574422424232374</v>
      </c>
      <c r="AH196">
        <v>6.7636586089602764</v>
      </c>
      <c r="AI196">
        <v>1.8950012269290573</v>
      </c>
      <c r="AK196">
        <v>59.061761350520939</v>
      </c>
    </row>
    <row r="197" spans="1:37" x14ac:dyDescent="0.2">
      <c r="A197">
        <v>196</v>
      </c>
      <c r="B197">
        <v>781</v>
      </c>
      <c r="C197">
        <v>120</v>
      </c>
      <c r="D197">
        <v>0.48185789498648202</v>
      </c>
      <c r="E197">
        <v>112.77210179349154</v>
      </c>
      <c r="F197">
        <v>63.231925513756408</v>
      </c>
      <c r="G197">
        <v>72.802337330800498</v>
      </c>
      <c r="H197">
        <v>68.258332507967026</v>
      </c>
      <c r="J197">
        <v>74.259962866688724</v>
      </c>
      <c r="L197">
        <v>7.4244300737828812</v>
      </c>
      <c r="M197">
        <v>15.430340409456166</v>
      </c>
      <c r="N197">
        <v>1.9612082312278574</v>
      </c>
      <c r="O197">
        <v>36.455328115215146</v>
      </c>
      <c r="P197">
        <v>11.86152528445283</v>
      </c>
      <c r="R197">
        <v>20.253539294033779</v>
      </c>
      <c r="S197">
        <v>56.194414190312386</v>
      </c>
      <c r="U197">
        <v>3.5715208156920566</v>
      </c>
      <c r="V197">
        <v>48.194851079384037</v>
      </c>
      <c r="W197">
        <v>30.983018298450961</v>
      </c>
      <c r="X197">
        <v>43.016184926891412</v>
      </c>
      <c r="Y197">
        <v>8.6355464027214364</v>
      </c>
      <c r="Z197">
        <v>33.622796808887429</v>
      </c>
      <c r="AA197">
        <v>6.6995169407669453</v>
      </c>
      <c r="AB197">
        <v>40.507404455053219</v>
      </c>
      <c r="AD197">
        <v>9.1938441411131446</v>
      </c>
      <c r="AE197">
        <v>15.123045154584339</v>
      </c>
      <c r="AF197">
        <v>15.041119903360476</v>
      </c>
      <c r="AG197">
        <v>26.429561116384132</v>
      </c>
      <c r="AH197">
        <v>6.285983032124574</v>
      </c>
      <c r="AI197">
        <v>1.8967243057445515</v>
      </c>
      <c r="AK197">
        <v>58.875854040777369</v>
      </c>
    </row>
    <row r="198" spans="1:37" x14ac:dyDescent="0.2">
      <c r="A198">
        <v>197</v>
      </c>
      <c r="B198">
        <v>780</v>
      </c>
      <c r="C198">
        <v>120</v>
      </c>
      <c r="D198">
        <v>0.48129943502824801</v>
      </c>
      <c r="E198">
        <v>112.5516903313742</v>
      </c>
      <c r="F198">
        <v>62.125966077331171</v>
      </c>
      <c r="G198">
        <v>72.610805112476953</v>
      </c>
      <c r="H198">
        <v>68.064035981920583</v>
      </c>
      <c r="J198">
        <v>73.956436683058214</v>
      </c>
      <c r="L198">
        <v>7.1140426000610351</v>
      </c>
      <c r="M198">
        <v>15.453016187128721</v>
      </c>
      <c r="N198">
        <v>1.9631902769730967</v>
      </c>
      <c r="O198">
        <v>35.210973036586957</v>
      </c>
      <c r="P198">
        <v>11.501693131118801</v>
      </c>
      <c r="R198">
        <v>19.825342084365314</v>
      </c>
      <c r="S198">
        <v>55.681563327707899</v>
      </c>
      <c r="U198">
        <v>3.5612130384142566</v>
      </c>
      <c r="V198">
        <v>48.191861679654636</v>
      </c>
      <c r="W198">
        <v>30.763683178775235</v>
      </c>
      <c r="X198">
        <v>43.031286593822919</v>
      </c>
      <c r="Y198">
        <v>8.2915242700371277</v>
      </c>
      <c r="Z198">
        <v>33.005019532577869</v>
      </c>
      <c r="AA198">
        <v>6.3825453801079126</v>
      </c>
      <c r="AB198">
        <v>40.343690892185613</v>
      </c>
      <c r="AD198">
        <v>8.8268673037557335</v>
      </c>
      <c r="AE198">
        <v>14.884994271121919</v>
      </c>
      <c r="AF198">
        <v>15.06265784043072</v>
      </c>
      <c r="AG198">
        <v>26.251009564680533</v>
      </c>
      <c r="AH198">
        <v>5.7821188055989898</v>
      </c>
      <c r="AI198">
        <v>1.8984456297773011</v>
      </c>
      <c r="AK198">
        <v>58.675153949574629</v>
      </c>
    </row>
    <row r="199" spans="1:37" x14ac:dyDescent="0.2">
      <c r="A199">
        <v>198</v>
      </c>
      <c r="B199">
        <v>779</v>
      </c>
      <c r="C199">
        <v>120</v>
      </c>
      <c r="D199">
        <v>0.48073991351043299</v>
      </c>
      <c r="E199">
        <v>112.32277464053492</v>
      </c>
      <c r="F199">
        <v>60.944875042798877</v>
      </c>
      <c r="G199">
        <v>72.40665464920113</v>
      </c>
      <c r="H199">
        <v>67.857133768369721</v>
      </c>
      <c r="J199">
        <v>73.605271829491073</v>
      </c>
      <c r="L199">
        <v>6.7787117682105595</v>
      </c>
      <c r="M199">
        <v>15.477961887253093</v>
      </c>
      <c r="N199">
        <v>1.9651710937817373</v>
      </c>
      <c r="O199">
        <v>33.881549929108061</v>
      </c>
      <c r="P199">
        <v>11.116630460480037</v>
      </c>
      <c r="R199">
        <v>19.357001553643219</v>
      </c>
      <c r="S199">
        <v>55.072251599822287</v>
      </c>
      <c r="U199">
        <v>3.5560207950243856</v>
      </c>
      <c r="V199">
        <v>48.167867871406472</v>
      </c>
      <c r="W199">
        <v>30.547562500609597</v>
      </c>
      <c r="X199">
        <v>43.061612914398751</v>
      </c>
      <c r="Y199">
        <v>7.9223281423747816</v>
      </c>
      <c r="Z199">
        <v>32.337091172371636</v>
      </c>
      <c r="AA199">
        <v>6.0413939268855463</v>
      </c>
      <c r="AB199">
        <v>40.132209853900427</v>
      </c>
      <c r="AD199">
        <v>8.4295982076918268</v>
      </c>
      <c r="AE199">
        <v>14.62667125946167</v>
      </c>
      <c r="AF199">
        <v>15.086464674221567</v>
      </c>
      <c r="AG199">
        <v>26.02469169307712</v>
      </c>
      <c r="AH199">
        <v>5.2400082480008647</v>
      </c>
      <c r="AI199">
        <v>1.9001649379881822</v>
      </c>
      <c r="AK199">
        <v>58.451822831916679</v>
      </c>
    </row>
    <row r="200" spans="1:37" x14ac:dyDescent="0.2">
      <c r="A200">
        <v>199</v>
      </c>
      <c r="B200">
        <v>778</v>
      </c>
      <c r="C200">
        <v>120</v>
      </c>
      <c r="D200">
        <v>0.48017932740332298</v>
      </c>
      <c r="E200">
        <v>112.07885708275452</v>
      </c>
      <c r="F200">
        <v>59.635773455834197</v>
      </c>
      <c r="G200">
        <v>72.181788179056426</v>
      </c>
      <c r="H200">
        <v>67.629528125297455</v>
      </c>
      <c r="J200">
        <v>73.175631937768131</v>
      </c>
      <c r="L200">
        <v>6.4024649330006502</v>
      </c>
      <c r="M200">
        <v>15.505004799606388</v>
      </c>
      <c r="N200">
        <v>1.9671501836369485</v>
      </c>
      <c r="O200">
        <v>32.411156417151275</v>
      </c>
      <c r="P200">
        <v>10.690141271970065</v>
      </c>
      <c r="R200">
        <v>18.823339755132476</v>
      </c>
      <c r="S200">
        <v>54.309874820020937</v>
      </c>
      <c r="U200">
        <v>3.557447939216889</v>
      </c>
      <c r="V200">
        <v>48.111729334669292</v>
      </c>
      <c r="W200">
        <v>30.3351989317765</v>
      </c>
      <c r="X200">
        <v>43.111510933555721</v>
      </c>
      <c r="Y200">
        <v>7.511707433596519</v>
      </c>
      <c r="Z200">
        <v>31.582667988761582</v>
      </c>
      <c r="AA200">
        <v>5.6601913804398061</v>
      </c>
      <c r="AB200">
        <v>39.844418220610891</v>
      </c>
      <c r="AD200">
        <v>7.9809069886819088</v>
      </c>
      <c r="AE200">
        <v>14.332486694614404</v>
      </c>
      <c r="AF200">
        <v>15.112367201809519</v>
      </c>
      <c r="AG200">
        <v>25.722063889471602</v>
      </c>
      <c r="AH200">
        <v>4.634950267420809</v>
      </c>
      <c r="AI200">
        <v>1.9018817305326434</v>
      </c>
      <c r="AK200">
        <v>58.189621230639581</v>
      </c>
    </row>
    <row r="201" spans="1:37" x14ac:dyDescent="0.2">
      <c r="A201">
        <v>200</v>
      </c>
      <c r="B201">
        <v>777</v>
      </c>
      <c r="C201">
        <v>120</v>
      </c>
      <c r="D201">
        <v>0.47961767366567098</v>
      </c>
      <c r="E201">
        <v>111.80273606418251</v>
      </c>
      <c r="F201">
        <v>58.059337346331162</v>
      </c>
      <c r="G201">
        <v>71.915143113979539</v>
      </c>
      <c r="H201">
        <v>67.360156484578212</v>
      </c>
      <c r="J201">
        <v>72.586580070068592</v>
      </c>
      <c r="L201">
        <v>5.9441193700896147</v>
      </c>
      <c r="M201">
        <v>15.532684510838815</v>
      </c>
      <c r="N201">
        <v>1.9691263394123097</v>
      </c>
      <c r="O201">
        <v>30.653929533988254</v>
      </c>
      <c r="P201">
        <v>10.180099203676075</v>
      </c>
      <c r="R201">
        <v>18.157654998407146</v>
      </c>
      <c r="S201">
        <v>53.247434881191829</v>
      </c>
      <c r="U201">
        <v>3.5686184965253487</v>
      </c>
      <c r="V201">
        <v>47.994426218785165</v>
      </c>
      <c r="W201">
        <v>30.127846233059117</v>
      </c>
      <c r="X201">
        <v>43.189867708639788</v>
      </c>
      <c r="Y201">
        <v>7.0173424466902263</v>
      </c>
      <c r="Z201">
        <v>30.645229965826861</v>
      </c>
      <c r="AA201">
        <v>5.1979490125413719</v>
      </c>
      <c r="AB201">
        <v>39.406023479058007</v>
      </c>
      <c r="AD201">
        <v>7.4248502176807385</v>
      </c>
      <c r="AE201">
        <v>13.960709943635042</v>
      </c>
      <c r="AF201">
        <v>15.138903808044249</v>
      </c>
      <c r="AG201">
        <v>25.268832438995389</v>
      </c>
      <c r="AH201">
        <v>3.9024239913920784</v>
      </c>
      <c r="AI201">
        <v>1.9035947984550303</v>
      </c>
      <c r="AK201">
        <v>57.845445606844564</v>
      </c>
    </row>
    <row r="202" spans="1:37" x14ac:dyDescent="0.2">
      <c r="A202">
        <v>201</v>
      </c>
      <c r="B202">
        <v>776</v>
      </c>
      <c r="C202">
        <v>120</v>
      </c>
      <c r="D202">
        <v>0.47905494924462999</v>
      </c>
      <c r="E202">
        <v>111.22230600560727</v>
      </c>
      <c r="F202">
        <v>54.13670624570311</v>
      </c>
      <c r="G202">
        <v>71.310760649077451</v>
      </c>
      <c r="H202">
        <v>66.753060061292572</v>
      </c>
      <c r="J202">
        <v>70.78644297073032</v>
      </c>
      <c r="L202">
        <v>4.8231607210162624</v>
      </c>
      <c r="M202">
        <v>15.514203198433496</v>
      </c>
      <c r="N202">
        <v>1.9710869816891021</v>
      </c>
      <c r="O202">
        <v>26.525786192378895</v>
      </c>
      <c r="P202">
        <v>8.9945740877917437</v>
      </c>
      <c r="R202">
        <v>16.450900465236582</v>
      </c>
      <c r="S202">
        <v>50.296884243381491</v>
      </c>
      <c r="U202">
        <v>3.5906865026005175</v>
      </c>
      <c r="V202">
        <v>47.592726888777598</v>
      </c>
      <c r="W202">
        <v>29.945214993908412</v>
      </c>
      <c r="X202">
        <v>43.295703744316192</v>
      </c>
      <c r="Y202">
        <v>5.8410731247658756</v>
      </c>
      <c r="Z202">
        <v>28.067417877505775</v>
      </c>
      <c r="AA202">
        <v>4.0728034196958323</v>
      </c>
      <c r="AB202">
        <v>37.994681548041122</v>
      </c>
      <c r="AD202">
        <v>5.9267999511935816</v>
      </c>
      <c r="AE202">
        <v>12.864593240809631</v>
      </c>
      <c r="AF202">
        <v>15.119264096330596</v>
      </c>
      <c r="AG202">
        <v>23.842640686563708</v>
      </c>
      <c r="AH202">
        <v>2.1237409095833404</v>
      </c>
      <c r="AI202">
        <v>1.9052915605075063</v>
      </c>
      <c r="AK202">
        <v>56.776716811928033</v>
      </c>
    </row>
    <row r="203" spans="1:37" x14ac:dyDescent="0.2">
      <c r="A203">
        <v>202</v>
      </c>
      <c r="B203">
        <v>775</v>
      </c>
      <c r="C203">
        <v>120</v>
      </c>
      <c r="D203">
        <v>0.478491151075708</v>
      </c>
      <c r="E203">
        <v>110.88132134695051</v>
      </c>
      <c r="F203">
        <v>50.844232614705518</v>
      </c>
      <c r="G203">
        <v>70.903750905129925</v>
      </c>
      <c r="H203">
        <v>66.343348996234468</v>
      </c>
      <c r="J203">
        <v>66.564633723055181</v>
      </c>
      <c r="L203">
        <v>3.4889863807248767</v>
      </c>
      <c r="M203">
        <v>15.451563095163895</v>
      </c>
      <c r="N203">
        <v>1.9730589624194015</v>
      </c>
      <c r="O203">
        <v>20.629215702237062</v>
      </c>
      <c r="P203">
        <v>8.2038130392855297</v>
      </c>
      <c r="R203">
        <v>14.570676199514361</v>
      </c>
      <c r="S203">
        <v>46.102520545441294</v>
      </c>
      <c r="U203">
        <v>3.6327201459004081</v>
      </c>
      <c r="V203">
        <v>47.022645765199201</v>
      </c>
      <c r="W203">
        <v>29.74278047115617</v>
      </c>
      <c r="X203">
        <v>43.456868510868667</v>
      </c>
      <c r="Y203">
        <v>4.6640098149654543</v>
      </c>
      <c r="Z203">
        <v>24.997234518727794</v>
      </c>
      <c r="AA203">
        <v>2.6289185719134109</v>
      </c>
      <c r="AB203">
        <v>35.915457686154468</v>
      </c>
      <c r="AD203">
        <v>4.2222312668823889</v>
      </c>
      <c r="AE203">
        <v>11.327596071624201</v>
      </c>
      <c r="AF203">
        <v>15.055477156744315</v>
      </c>
      <c r="AG203">
        <v>21.748580748275415</v>
      </c>
      <c r="AI203">
        <v>1.9069988668118656</v>
      </c>
      <c r="AK203">
        <v>54.169166082929898</v>
      </c>
    </row>
    <row r="204" spans="1:37" x14ac:dyDescent="0.2">
      <c r="A204">
        <v>203</v>
      </c>
      <c r="B204">
        <v>774</v>
      </c>
      <c r="C204">
        <v>120</v>
      </c>
      <c r="D204">
        <v>0.47792627608270499</v>
      </c>
      <c r="E204">
        <v>111.11200129833378</v>
      </c>
      <c r="F204">
        <v>50.430686586207891</v>
      </c>
      <c r="G204">
        <v>71.027945146289412</v>
      </c>
      <c r="H204">
        <v>66.464854573607667</v>
      </c>
      <c r="J204">
        <v>60.086997475993556</v>
      </c>
      <c r="L204">
        <v>2.1629607819867926</v>
      </c>
      <c r="M204">
        <v>15.320877987409116</v>
      </c>
      <c r="N204">
        <v>1.9750626121009702</v>
      </c>
      <c r="O204">
        <v>13.561248436311695</v>
      </c>
      <c r="P204">
        <v>8.4754989384784647</v>
      </c>
      <c r="R204">
        <v>13.070999327528991</v>
      </c>
      <c r="S204">
        <v>41.43759016937252</v>
      </c>
      <c r="U204">
        <v>3.6810339284986275</v>
      </c>
      <c r="V204">
        <v>46.578555184171371</v>
      </c>
      <c r="W204">
        <v>29.469496095114263</v>
      </c>
      <c r="X204">
        <v>43.63629633275211</v>
      </c>
      <c r="Y204">
        <v>3.7922263350324799</v>
      </c>
      <c r="Z204">
        <v>22.774716166029727</v>
      </c>
      <c r="AA204">
        <v>1.0807770617799541</v>
      </c>
      <c r="AB204">
        <v>34.040514641612369</v>
      </c>
      <c r="AD204">
        <v>3.0374920401428169</v>
      </c>
      <c r="AE204">
        <v>9.9325156659811089</v>
      </c>
      <c r="AF204">
        <v>14.923677111525995</v>
      </c>
      <c r="AG204">
        <v>19.85883570841121</v>
      </c>
      <c r="AI204">
        <v>1.9087370460348905</v>
      </c>
      <c r="AK204">
        <v>50.036894959132276</v>
      </c>
    </row>
    <row r="205" spans="1:37" x14ac:dyDescent="0.2">
      <c r="A205">
        <v>204</v>
      </c>
      <c r="B205">
        <v>773</v>
      </c>
      <c r="C205">
        <v>120</v>
      </c>
      <c r="D205">
        <v>0.47736032117765198</v>
      </c>
      <c r="E205">
        <v>111.35577882711569</v>
      </c>
      <c r="F205">
        <v>50.100239110603411</v>
      </c>
      <c r="G205">
        <v>71.14510079402487</v>
      </c>
      <c r="H205">
        <v>66.579334234969792</v>
      </c>
      <c r="J205">
        <v>53.962547265761039</v>
      </c>
      <c r="L205">
        <v>1.4522646895120523</v>
      </c>
      <c r="M205">
        <v>15.095496679728489</v>
      </c>
      <c r="N205">
        <v>1.9770690868580667</v>
      </c>
      <c r="O205">
        <v>9.8980194133280683</v>
      </c>
      <c r="P205">
        <v>8.7331178060040653</v>
      </c>
      <c r="R205">
        <v>12.199332017942423</v>
      </c>
      <c r="S205">
        <v>38.976165289738979</v>
      </c>
      <c r="U205">
        <v>3.7025844426582539</v>
      </c>
      <c r="V205">
        <v>46.518938781013084</v>
      </c>
      <c r="W205">
        <v>29.123618131228657</v>
      </c>
      <c r="X205">
        <v>43.738821716846722</v>
      </c>
      <c r="Y205">
        <v>3.2125950515079711</v>
      </c>
      <c r="Z205">
        <v>20.619025061665525</v>
      </c>
      <c r="AB205">
        <v>32.580269953426502</v>
      </c>
      <c r="AD205">
        <v>1.9054660977206603</v>
      </c>
      <c r="AE205">
        <v>8.6154424335276776</v>
      </c>
      <c r="AF205">
        <v>14.697183926733647</v>
      </c>
      <c r="AG205">
        <v>18.383794267697063</v>
      </c>
      <c r="AI205">
        <v>1.9104772524703246</v>
      </c>
      <c r="AK205">
        <v>46.027812758760632</v>
      </c>
    </row>
    <row r="206" spans="1:37" x14ac:dyDescent="0.2">
      <c r="A206">
        <v>205</v>
      </c>
      <c r="B206">
        <v>772</v>
      </c>
      <c r="C206">
        <v>120</v>
      </c>
      <c r="D206">
        <v>0.47679328326077502</v>
      </c>
      <c r="E206">
        <v>111.6193420757959</v>
      </c>
      <c r="F206">
        <v>49.910709848121925</v>
      </c>
      <c r="G206">
        <v>71.242827237251205</v>
      </c>
      <c r="H206">
        <v>66.674397389364884</v>
      </c>
      <c r="J206">
        <v>48.405843661386989</v>
      </c>
      <c r="L206">
        <v>1.4720297153904649</v>
      </c>
      <c r="M206">
        <v>14.754877159694775</v>
      </c>
      <c r="N206">
        <v>1.9790759928418458</v>
      </c>
      <c r="O206">
        <v>9.6913837211927039</v>
      </c>
      <c r="P206">
        <v>8.9518860474789399</v>
      </c>
      <c r="R206">
        <v>11.996907683420847</v>
      </c>
      <c r="S206">
        <v>38.807867760405699</v>
      </c>
      <c r="U206">
        <v>3.7059932789495798</v>
      </c>
      <c r="V206">
        <v>46.831391153146086</v>
      </c>
      <c r="W206">
        <v>28.676640277207763</v>
      </c>
      <c r="X206">
        <v>43.789313463410267</v>
      </c>
      <c r="Y206">
        <v>3.0610579722329767</v>
      </c>
      <c r="Z206">
        <v>18.695483750800769</v>
      </c>
      <c r="AB206">
        <v>31.540684669492599</v>
      </c>
      <c r="AD206">
        <v>0.92377528037000856</v>
      </c>
      <c r="AE206">
        <v>7.457996340975523</v>
      </c>
      <c r="AF206">
        <v>14.35545320148041</v>
      </c>
      <c r="AG206">
        <v>17.329415085780472</v>
      </c>
      <c r="AI206">
        <v>1.9122170904372955</v>
      </c>
      <c r="AK206">
        <v>42.310180354354081</v>
      </c>
    </row>
    <row r="207" spans="1:37" x14ac:dyDescent="0.2">
      <c r="A207">
        <v>206</v>
      </c>
      <c r="B207">
        <v>771</v>
      </c>
      <c r="C207">
        <v>120</v>
      </c>
      <c r="D207">
        <v>0.47622515922041903</v>
      </c>
      <c r="E207">
        <v>111.83213827026289</v>
      </c>
      <c r="F207">
        <v>49.978491864742658</v>
      </c>
      <c r="G207">
        <v>71.29777929024678</v>
      </c>
      <c r="H207">
        <v>66.726698871237687</v>
      </c>
      <c r="J207">
        <v>44.60479549147756</v>
      </c>
      <c r="L207">
        <v>1.4882297278033148</v>
      </c>
      <c r="M207">
        <v>14.401272738552983</v>
      </c>
      <c r="N207">
        <v>1.9810808250247351</v>
      </c>
      <c r="O207">
        <v>9.5359247271239536</v>
      </c>
      <c r="P207">
        <v>9.0851108081272738</v>
      </c>
      <c r="R207">
        <v>11.762372981399494</v>
      </c>
      <c r="S207">
        <v>38.876181493374126</v>
      </c>
      <c r="U207">
        <v>3.6950916103607034</v>
      </c>
      <c r="V207">
        <v>47.234481078493545</v>
      </c>
      <c r="W207">
        <v>28.227337504929039</v>
      </c>
      <c r="X207">
        <v>43.798831749781769</v>
      </c>
      <c r="Y207">
        <v>2.8833030936987418</v>
      </c>
      <c r="Z207">
        <v>17.578068060101426</v>
      </c>
      <c r="AB207">
        <v>31.107590101512447</v>
      </c>
      <c r="AD207">
        <v>0.31919412634313227</v>
      </c>
      <c r="AE207">
        <v>6.7877165401791082</v>
      </c>
      <c r="AF207">
        <v>14.000735747381077</v>
      </c>
      <c r="AG207">
        <v>16.88152697495887</v>
      </c>
      <c r="AI207">
        <v>1.9139540530753871</v>
      </c>
      <c r="AK207">
        <v>39.723173802145872</v>
      </c>
    </row>
    <row r="208" spans="1:37" x14ac:dyDescent="0.2">
      <c r="A208">
        <v>207</v>
      </c>
      <c r="B208">
        <v>804</v>
      </c>
      <c r="C208">
        <v>100</v>
      </c>
      <c r="D208">
        <v>0.514840551455232</v>
      </c>
      <c r="E208">
        <v>103.34860607842661</v>
      </c>
      <c r="F208">
        <v>71.351220688808681</v>
      </c>
      <c r="G208">
        <v>74.379661949256985</v>
      </c>
      <c r="H208">
        <v>69.902159431163312</v>
      </c>
      <c r="J208">
        <v>75.720719502757987</v>
      </c>
      <c r="L208">
        <v>9.5790392532131481</v>
      </c>
      <c r="M208">
        <v>15.733449987615829</v>
      </c>
      <c r="N208">
        <v>2.035637396102953</v>
      </c>
      <c r="O208">
        <v>48.029719957026785</v>
      </c>
      <c r="P208">
        <v>14.491189633084822</v>
      </c>
      <c r="R208">
        <v>24.17597194202347</v>
      </c>
      <c r="S208">
        <v>62.034325842531871</v>
      </c>
      <c r="U208">
        <v>4.5761494416118467</v>
      </c>
      <c r="V208">
        <v>48.070275408966175</v>
      </c>
      <c r="W208">
        <v>35.380274394671417</v>
      </c>
      <c r="X208">
        <v>42.519620191239625</v>
      </c>
      <c r="Y208">
        <v>10.918222349478837</v>
      </c>
      <c r="Z208">
        <v>38.718347377870003</v>
      </c>
      <c r="AA208">
        <v>8.9714355199876152</v>
      </c>
      <c r="AB208">
        <v>42.512233822041949</v>
      </c>
      <c r="AC208">
        <v>0.19335817817197665</v>
      </c>
      <c r="AD208">
        <v>11.848181415028053</v>
      </c>
      <c r="AE208">
        <v>17.570086743101708</v>
      </c>
      <c r="AF208">
        <v>15.552311699384145</v>
      </c>
      <c r="AG208">
        <v>28.981418744512826</v>
      </c>
      <c r="AH208">
        <v>9.3002427822588789</v>
      </c>
      <c r="AI208">
        <v>1.9746205733681055</v>
      </c>
      <c r="AK208">
        <v>59.040607382357138</v>
      </c>
    </row>
    <row r="209" spans="1:37" x14ac:dyDescent="0.2">
      <c r="A209">
        <v>208</v>
      </c>
      <c r="B209">
        <v>803</v>
      </c>
      <c r="C209">
        <v>100</v>
      </c>
      <c r="D209">
        <v>0.51432467592807896</v>
      </c>
      <c r="E209">
        <v>103.24573089491277</v>
      </c>
      <c r="F209">
        <v>70.926962678902058</v>
      </c>
      <c r="G209">
        <v>74.303735928228676</v>
      </c>
      <c r="H209">
        <v>69.823177466325077</v>
      </c>
      <c r="J209">
        <v>75.662072335817626</v>
      </c>
      <c r="L209">
        <v>9.460947457805803</v>
      </c>
      <c r="M209">
        <v>15.749858193499174</v>
      </c>
      <c r="N209">
        <v>2.0197978548185795</v>
      </c>
      <c r="O209">
        <v>47.462324060554586</v>
      </c>
      <c r="P209">
        <v>14.344580933035029</v>
      </c>
      <c r="R209">
        <v>24.014536924128286</v>
      </c>
      <c r="S209">
        <v>61.915733543622579</v>
      </c>
      <c r="U209">
        <v>4.5675708270761604</v>
      </c>
      <c r="V209">
        <v>48.109632170605593</v>
      </c>
      <c r="W209">
        <v>35.267063495926138</v>
      </c>
      <c r="X209">
        <v>42.551979769384992</v>
      </c>
      <c r="Y209">
        <v>10.791453394306126</v>
      </c>
      <c r="Z209">
        <v>38.480018208846509</v>
      </c>
      <c r="AA209">
        <v>8.8475657059070656</v>
      </c>
      <c r="AB209">
        <v>42.486778364902889</v>
      </c>
      <c r="AC209">
        <v>0.17552250131283778</v>
      </c>
      <c r="AD209">
        <v>11.722535717372832</v>
      </c>
      <c r="AE209">
        <v>17.467693548368054</v>
      </c>
      <c r="AF209">
        <v>15.549754210939884</v>
      </c>
      <c r="AG209">
        <v>28.923276655033455</v>
      </c>
      <c r="AH209">
        <v>9.1354326124460155</v>
      </c>
      <c r="AI209">
        <v>1.9585388079333947</v>
      </c>
      <c r="AK209">
        <v>59.003978883705123</v>
      </c>
    </row>
    <row r="210" spans="1:37" x14ac:dyDescent="0.2">
      <c r="A210">
        <v>209</v>
      </c>
      <c r="B210">
        <v>802</v>
      </c>
      <c r="C210">
        <v>100</v>
      </c>
      <c r="D210">
        <v>0.51380784076640695</v>
      </c>
      <c r="E210">
        <v>103.1432866121589</v>
      </c>
      <c r="F210">
        <v>70.503803719109598</v>
      </c>
      <c r="G210">
        <v>74.227857198295752</v>
      </c>
      <c r="H210">
        <v>69.744254904450955</v>
      </c>
      <c r="J210">
        <v>75.602640420525873</v>
      </c>
      <c r="L210">
        <v>9.3426089006141044</v>
      </c>
      <c r="M210">
        <v>15.766415859840482</v>
      </c>
      <c r="N210">
        <v>2.0039366076699761</v>
      </c>
      <c r="O210">
        <v>46.895247329324569</v>
      </c>
      <c r="P210">
        <v>14.198051834240248</v>
      </c>
      <c r="R210">
        <v>23.852219824191575</v>
      </c>
      <c r="S210">
        <v>61.79348777295565</v>
      </c>
      <c r="U210">
        <v>4.5593533595120768</v>
      </c>
      <c r="V210">
        <v>48.14756774382311</v>
      </c>
      <c r="W210">
        <v>35.154496092570177</v>
      </c>
      <c r="X210">
        <v>42.585658087241676</v>
      </c>
      <c r="Y210">
        <v>10.664709865747875</v>
      </c>
      <c r="Z210">
        <v>38.241954903905082</v>
      </c>
      <c r="AA210">
        <v>8.7235756990726667</v>
      </c>
      <c r="AB210">
        <v>42.45927273153962</v>
      </c>
      <c r="AC210">
        <v>0.15766528180572906</v>
      </c>
      <c r="AD210">
        <v>11.596917394120364</v>
      </c>
      <c r="AE210">
        <v>17.365433591855222</v>
      </c>
      <c r="AF210">
        <v>15.547324566137995</v>
      </c>
      <c r="AG210">
        <v>28.863064946003718</v>
      </c>
      <c r="AH210">
        <v>8.9705557005140903</v>
      </c>
      <c r="AI210">
        <v>1.9424345915995609</v>
      </c>
      <c r="AK210">
        <v>58.967516995839794</v>
      </c>
    </row>
    <row r="211" spans="1:37" x14ac:dyDescent="0.2">
      <c r="A211">
        <v>210</v>
      </c>
      <c r="B211">
        <v>801</v>
      </c>
      <c r="C211">
        <v>100</v>
      </c>
      <c r="D211">
        <v>0.51329004329004402</v>
      </c>
      <c r="E211">
        <v>103.0412733842888</v>
      </c>
      <c r="F211">
        <v>70.081769131193141</v>
      </c>
      <c r="G211">
        <v>74.152033855215521</v>
      </c>
      <c r="H211">
        <v>69.665399860354015</v>
      </c>
      <c r="J211">
        <v>75.542426282844843</v>
      </c>
      <c r="L211">
        <v>9.2239739511113292</v>
      </c>
      <c r="M211">
        <v>15.783111278908464</v>
      </c>
      <c r="N211">
        <v>1.9880552183998994</v>
      </c>
      <c r="O211">
        <v>46.328541194965567</v>
      </c>
      <c r="P211">
        <v>14.051620111960858</v>
      </c>
      <c r="R211">
        <v>23.689057526052991</v>
      </c>
      <c r="S211">
        <v>61.667572624340096</v>
      </c>
      <c r="U211">
        <v>4.5514834516923264</v>
      </c>
      <c r="V211">
        <v>48.184080293567781</v>
      </c>
      <c r="W211">
        <v>35.042566525405086</v>
      </c>
      <c r="X211">
        <v>42.620614177211664</v>
      </c>
      <c r="Y211">
        <v>10.538007662588003</v>
      </c>
      <c r="Z211">
        <v>38.004165448597469</v>
      </c>
      <c r="AA211">
        <v>8.5995604607054705</v>
      </c>
      <c r="AB211">
        <v>42.429704871324645</v>
      </c>
      <c r="AC211">
        <v>0.13978808296453318</v>
      </c>
      <c r="AD211">
        <v>11.471337582350067</v>
      </c>
      <c r="AE211">
        <v>17.263304445572775</v>
      </c>
      <c r="AF211">
        <v>15.545012626038416</v>
      </c>
      <c r="AG211">
        <v>28.800773135661142</v>
      </c>
      <c r="AH211">
        <v>8.8056357946810753</v>
      </c>
      <c r="AI211">
        <v>1.9263094862994516</v>
      </c>
      <c r="AK211">
        <v>58.931226675614738</v>
      </c>
    </row>
    <row r="212" spans="1:37" x14ac:dyDescent="0.2">
      <c r="A212">
        <v>211</v>
      </c>
      <c r="B212">
        <v>800</v>
      </c>
      <c r="C212">
        <v>100</v>
      </c>
      <c r="D212">
        <v>0.51277128080883805</v>
      </c>
      <c r="E212">
        <v>102.93969109596105</v>
      </c>
      <c r="F212">
        <v>69.660883162688663</v>
      </c>
      <c r="G212">
        <v>74.076273848301724</v>
      </c>
      <c r="H212">
        <v>69.586620302442</v>
      </c>
      <c r="J212">
        <v>75.481434106228761</v>
      </c>
      <c r="L212">
        <v>9.1052053356416831</v>
      </c>
      <c r="M212">
        <v>15.799932718720189</v>
      </c>
      <c r="N212">
        <v>1.9721552502932445</v>
      </c>
      <c r="O212">
        <v>45.762256219374557</v>
      </c>
      <c r="P212">
        <v>13.905303248163268</v>
      </c>
      <c r="R212">
        <v>23.525086810490706</v>
      </c>
      <c r="S212">
        <v>61.537978971285732</v>
      </c>
      <c r="U212">
        <v>4.5439473706838394</v>
      </c>
      <c r="V212">
        <v>48.21917010091088</v>
      </c>
      <c r="W212">
        <v>34.931268742949982</v>
      </c>
      <c r="X212">
        <v>42.65680664936756</v>
      </c>
      <c r="Y212">
        <v>10.41136243540601</v>
      </c>
      <c r="Z212">
        <v>37.766657440513406</v>
      </c>
      <c r="AA212">
        <v>8.4755348166550242</v>
      </c>
      <c r="AB212">
        <v>42.398066340768771</v>
      </c>
      <c r="AC212">
        <v>0.12189246764364173</v>
      </c>
      <c r="AD212">
        <v>11.345807195460203</v>
      </c>
      <c r="AE212">
        <v>17.161303586394755</v>
      </c>
      <c r="AF212">
        <v>15.542808226999844</v>
      </c>
      <c r="AG212">
        <v>28.736394348940575</v>
      </c>
      <c r="AH212">
        <v>8.6406962671622107</v>
      </c>
      <c r="AI212">
        <v>1.910165053505958</v>
      </c>
      <c r="AK212">
        <v>58.895112750480905</v>
      </c>
    </row>
    <row r="213" spans="1:37" x14ac:dyDescent="0.2">
      <c r="A213">
        <v>212</v>
      </c>
      <c r="B213">
        <v>799</v>
      </c>
      <c r="C213">
        <v>100</v>
      </c>
      <c r="D213">
        <v>0.51225155062258299</v>
      </c>
      <c r="E213">
        <v>102.83853937311427</v>
      </c>
      <c r="F213">
        <v>69.241168938986462</v>
      </c>
      <c r="G213">
        <v>74.000584961256479</v>
      </c>
      <c r="H213">
        <v>69.507924033544498</v>
      </c>
      <c r="J213">
        <v>75.419669629841835</v>
      </c>
      <c r="L213">
        <v>8.9862549479632872</v>
      </c>
      <c r="M213">
        <v>15.816868455604785</v>
      </c>
      <c r="N213">
        <v>1.9562382597263563</v>
      </c>
      <c r="O213">
        <v>45.196441957014848</v>
      </c>
      <c r="P213">
        <v>13.759118386737505</v>
      </c>
      <c r="R213">
        <v>23.360344234230901</v>
      </c>
      <c r="S213">
        <v>61.404704158560364</v>
      </c>
      <c r="U213">
        <v>4.5367312837832934</v>
      </c>
      <c r="V213">
        <v>48.252839444377734</v>
      </c>
      <c r="W213">
        <v>34.820596342403078</v>
      </c>
      <c r="X213">
        <v>42.694193829629278</v>
      </c>
      <c r="Y213">
        <v>10.284789546244609</v>
      </c>
      <c r="Z213">
        <v>37.529438063470565</v>
      </c>
      <c r="AA213">
        <v>8.3515133854728631</v>
      </c>
      <c r="AB213">
        <v>42.364352150096849</v>
      </c>
      <c r="AC213">
        <v>0.10397999178912817</v>
      </c>
      <c r="AD213">
        <v>11.220336896142486</v>
      </c>
      <c r="AE213">
        <v>17.059428397049427</v>
      </c>
      <c r="AF213">
        <v>15.54070120679379</v>
      </c>
      <c r="AG213">
        <v>28.669925157597749</v>
      </c>
      <c r="AH213">
        <v>8.4757600690651742</v>
      </c>
      <c r="AI213">
        <v>1.8940028477831869</v>
      </c>
      <c r="AK213">
        <v>58.859179902169878</v>
      </c>
    </row>
    <row r="214" spans="1:37" x14ac:dyDescent="0.2">
      <c r="A214">
        <v>213</v>
      </c>
      <c r="B214">
        <v>798</v>
      </c>
      <c r="C214">
        <v>100</v>
      </c>
      <c r="D214">
        <v>0.51173085002101004</v>
      </c>
      <c r="E214">
        <v>102.73781759407805</v>
      </c>
      <c r="F214">
        <v>68.82264842225446</v>
      </c>
      <c r="G214">
        <v>73.924974794767934</v>
      </c>
      <c r="H214">
        <v>69.429318673514885</v>
      </c>
      <c r="J214">
        <v>75.357140043958708</v>
      </c>
      <c r="L214">
        <v>8.8671436960570169</v>
      </c>
      <c r="M214">
        <v>15.83390680526024</v>
      </c>
      <c r="N214">
        <v>1.9403057899697751</v>
      </c>
      <c r="O214">
        <v>44.631146828677849</v>
      </c>
      <c r="P214">
        <v>13.613082292493882</v>
      </c>
      <c r="R214">
        <v>23.194866017665131</v>
      </c>
      <c r="S214">
        <v>61.267751676817142</v>
      </c>
      <c r="U214">
        <v>4.5298213026926284</v>
      </c>
      <c r="V214">
        <v>48.285092478415223</v>
      </c>
      <c r="W214">
        <v>34.710542611011171</v>
      </c>
      <c r="X214">
        <v>42.732733907210083</v>
      </c>
      <c r="Y214">
        <v>10.158304031621912</v>
      </c>
      <c r="Z214">
        <v>37.292514064753966</v>
      </c>
      <c r="AA214">
        <v>8.2275814024441498</v>
      </c>
      <c r="AB214">
        <v>42.328560600139262</v>
      </c>
      <c r="AC214">
        <v>8.605219824102911E-2</v>
      </c>
      <c r="AD214">
        <v>11.094937071716011</v>
      </c>
      <c r="AE214">
        <v>16.957676167420573</v>
      </c>
      <c r="AF214">
        <v>15.538681429469738</v>
      </c>
      <c r="AG214">
        <v>28.601365410903696</v>
      </c>
      <c r="AH214">
        <v>8.3108496809755437</v>
      </c>
      <c r="AI214">
        <v>1.8778244105887434</v>
      </c>
      <c r="AK214">
        <v>58.82343265165764</v>
      </c>
    </row>
    <row r="215" spans="1:37" x14ac:dyDescent="0.2">
      <c r="A215">
        <v>214</v>
      </c>
      <c r="B215">
        <v>797</v>
      </c>
      <c r="C215">
        <v>100</v>
      </c>
      <c r="D215">
        <v>0.511209176283699</v>
      </c>
      <c r="E215">
        <v>102.63752490156577</v>
      </c>
      <c r="F215">
        <v>68.405342381888502</v>
      </c>
      <c r="G215">
        <v>73.849450751646671</v>
      </c>
      <c r="H215">
        <v>69.350811644362537</v>
      </c>
      <c r="J215">
        <v>75.293853883963024</v>
      </c>
      <c r="L215">
        <v>8.7478920093580861</v>
      </c>
      <c r="M215">
        <v>15.851036150722898</v>
      </c>
      <c r="N215">
        <v>1.9243593656828402</v>
      </c>
      <c r="O215">
        <v>44.06641801300276</v>
      </c>
      <c r="P215">
        <v>13.467211315929655</v>
      </c>
      <c r="R215">
        <v>23.028687942318186</v>
      </c>
      <c r="S215">
        <v>61.127130819915479</v>
      </c>
      <c r="U215">
        <v>4.5232035241742876</v>
      </c>
      <c r="V215">
        <v>48.315935108292507</v>
      </c>
      <c r="W215">
        <v>34.601100565405083</v>
      </c>
      <c r="X215">
        <v>42.772385039785817</v>
      </c>
      <c r="Y215">
        <v>10.031920570676636</v>
      </c>
      <c r="Z215">
        <v>37.055891737231306</v>
      </c>
      <c r="AA215">
        <v>8.1036064704021271</v>
      </c>
      <c r="AB215">
        <v>42.290693109685151</v>
      </c>
      <c r="AC215">
        <v>6.8110611227714335E-2</v>
      </c>
      <c r="AD215">
        <v>10.969617813099878</v>
      </c>
      <c r="AE215">
        <v>16.856044096628899</v>
      </c>
      <c r="AF215">
        <v>15.53673880781351</v>
      </c>
      <c r="AG215">
        <v>28.53071805749298</v>
      </c>
      <c r="AH215">
        <v>8.1459870714177001</v>
      </c>
      <c r="AI215">
        <v>1.8616312647676336</v>
      </c>
      <c r="AK215">
        <v>58.787875346849702</v>
      </c>
    </row>
    <row r="216" spans="1:37" x14ac:dyDescent="0.2">
      <c r="A216">
        <v>215</v>
      </c>
      <c r="B216">
        <v>796</v>
      </c>
      <c r="C216">
        <v>100</v>
      </c>
      <c r="D216">
        <v>0.51068652668007097</v>
      </c>
      <c r="E216">
        <v>102.53766021468773</v>
      </c>
      <c r="F216">
        <v>67.989270372717144</v>
      </c>
      <c r="G216">
        <v>73.774020023979048</v>
      </c>
      <c r="H216">
        <v>69.272410157410221</v>
      </c>
      <c r="J216">
        <v>75.229820924084081</v>
      </c>
      <c r="L216">
        <v>8.62851980885128</v>
      </c>
      <c r="M216">
        <v>15.868244967837484</v>
      </c>
      <c r="N216">
        <v>1.9084004878725573</v>
      </c>
      <c r="O216">
        <v>43.502301352229892</v>
      </c>
      <c r="P216">
        <v>13.32152136249795</v>
      </c>
      <c r="R216">
        <v>22.861845257607701</v>
      </c>
      <c r="S216">
        <v>60.982856332485234</v>
      </c>
      <c r="U216">
        <v>4.5168640678466003</v>
      </c>
      <c r="V216">
        <v>48.345374863873708</v>
      </c>
      <c r="W216">
        <v>34.492262989679276</v>
      </c>
      <c r="X216">
        <v>42.813105482079536</v>
      </c>
      <c r="Y216">
        <v>9.9056534573207085</v>
      </c>
      <c r="Z216">
        <v>36.819576905478982</v>
      </c>
      <c r="AA216">
        <v>7.9796782904231369</v>
      </c>
      <c r="AB216">
        <v>42.250754037406587</v>
      </c>
      <c r="AC216">
        <v>5.015673132475422E-2</v>
      </c>
      <c r="AD216">
        <v>10.844388896745805</v>
      </c>
      <c r="AE216">
        <v>16.754529295808631</v>
      </c>
      <c r="AF216">
        <v>15.534863323782581</v>
      </c>
      <c r="AG216">
        <v>28.457988962248432</v>
      </c>
      <c r="AH216">
        <v>7.9811936557160834</v>
      </c>
      <c r="AI216">
        <v>1.8454249095119486</v>
      </c>
      <c r="AK216">
        <v>58.75251215194541</v>
      </c>
    </row>
    <row r="217" spans="1:37" x14ac:dyDescent="0.2">
      <c r="A217">
        <v>216</v>
      </c>
      <c r="B217">
        <v>795</v>
      </c>
      <c r="C217">
        <v>100</v>
      </c>
      <c r="D217">
        <v>0.51016289846931695</v>
      </c>
      <c r="E217">
        <v>102.43822224137446</v>
      </c>
      <c r="F217">
        <v>67.574450722784476</v>
      </c>
      <c r="G217">
        <v>73.698689582568036</v>
      </c>
      <c r="H217">
        <v>69.194121202731878</v>
      </c>
      <c r="J217">
        <v>75.165052072384867</v>
      </c>
      <c r="L217">
        <v>8.5090464820100671</v>
      </c>
      <c r="M217">
        <v>15.885521847913639</v>
      </c>
      <c r="N217">
        <v>1.8924306294901885</v>
      </c>
      <c r="O217">
        <v>42.938841274043298</v>
      </c>
      <c r="P217">
        <v>13.176027867080439</v>
      </c>
      <c r="R217">
        <v>22.694372597691171</v>
      </c>
      <c r="S217">
        <v>60.834948051446403</v>
      </c>
      <c r="U217">
        <v>4.5107891105255273</v>
      </c>
      <c r="V217">
        <v>48.373420773462925</v>
      </c>
      <c r="W217">
        <v>34.384022471281803</v>
      </c>
      <c r="X217">
        <v>42.854853686323409</v>
      </c>
      <c r="Y217">
        <v>9.7795165770277226</v>
      </c>
      <c r="Z217">
        <v>36.583574916217813</v>
      </c>
      <c r="AA217">
        <v>7.8558102975962978</v>
      </c>
      <c r="AB217">
        <v>42.208750500061143</v>
      </c>
      <c r="AC217">
        <v>3.2192031051743043E-2</v>
      </c>
      <c r="AD217">
        <v>10.719259769886797</v>
      </c>
      <c r="AE217">
        <v>16.653128791545981</v>
      </c>
      <c r="AF217">
        <v>15.53304504674837</v>
      </c>
      <c r="AG217">
        <v>28.383186720095807</v>
      </c>
      <c r="AH217">
        <v>7.8164902849053473</v>
      </c>
      <c r="AI217">
        <v>1.8292068159574533</v>
      </c>
      <c r="AK217">
        <v>58.717347039217159</v>
      </c>
    </row>
    <row r="218" spans="1:37" x14ac:dyDescent="0.2">
      <c r="A218">
        <v>217</v>
      </c>
      <c r="B218">
        <v>794</v>
      </c>
      <c r="C218">
        <v>100</v>
      </c>
      <c r="D218">
        <v>0.50963828890034402</v>
      </c>
      <c r="E218">
        <v>102.33920949061987</v>
      </c>
      <c r="F218">
        <v>67.160900527680496</v>
      </c>
      <c r="G218">
        <v>73.623466168167468</v>
      </c>
      <c r="H218">
        <v>69.115951540389489</v>
      </c>
      <c r="J218">
        <v>75.099559267863839</v>
      </c>
      <c r="L218">
        <v>8.3894908616091737</v>
      </c>
      <c r="M218">
        <v>15.902855518238516</v>
      </c>
      <c r="N218">
        <v>1.876451231488848</v>
      </c>
      <c r="O218">
        <v>42.376080726056522</v>
      </c>
      <c r="P218">
        <v>13.030745772522449</v>
      </c>
      <c r="R218">
        <v>22.526303907872936</v>
      </c>
      <c r="S218">
        <v>60.683430547664763</v>
      </c>
      <c r="U218">
        <v>4.5049649177712228</v>
      </c>
      <c r="V218">
        <v>48.400083239783662</v>
      </c>
      <c r="W218">
        <v>34.276371435293974</v>
      </c>
      <c r="X218">
        <v>42.897588398154603</v>
      </c>
      <c r="Y218">
        <v>9.653523387227164</v>
      </c>
      <c r="Z218">
        <v>36.347890632255144</v>
      </c>
      <c r="AA218">
        <v>7.7320155664540797</v>
      </c>
      <c r="AB218">
        <v>42.164692190304457</v>
      </c>
      <c r="AC218">
        <v>1.4217950929428352E-2</v>
      </c>
      <c r="AD218">
        <v>10.594239538462045</v>
      </c>
      <c r="AE218">
        <v>16.551839529903834</v>
      </c>
      <c r="AF218">
        <v>15.531274150080289</v>
      </c>
      <c r="AG218">
        <v>28.306322469878243</v>
      </c>
      <c r="AH218">
        <v>7.6518971920322425</v>
      </c>
      <c r="AI218">
        <v>1.8129784232400188</v>
      </c>
      <c r="AK218">
        <v>58.682383782434314</v>
      </c>
    </row>
    <row r="219" spans="1:37" x14ac:dyDescent="0.2">
      <c r="A219">
        <v>218</v>
      </c>
      <c r="B219">
        <v>793</v>
      </c>
      <c r="C219">
        <v>100</v>
      </c>
      <c r="D219">
        <v>0.50911269521174396</v>
      </c>
      <c r="E219">
        <v>102.21907182757687</v>
      </c>
      <c r="F219">
        <v>66.630279196540798</v>
      </c>
      <c r="G219">
        <v>73.528545313689662</v>
      </c>
      <c r="H219">
        <v>69.01809672263991</v>
      </c>
      <c r="J219">
        <v>74.995842636772949</v>
      </c>
      <c r="L219">
        <v>8.2383981428475348</v>
      </c>
      <c r="M219">
        <v>15.920400844266069</v>
      </c>
      <c r="N219">
        <v>1.8639843137579744</v>
      </c>
      <c r="O219">
        <v>41.699683325745355</v>
      </c>
      <c r="P219">
        <v>12.849588184971651</v>
      </c>
      <c r="R219">
        <v>22.315385887918545</v>
      </c>
      <c r="S219">
        <v>60.475440044213656</v>
      </c>
      <c r="U219">
        <v>4.497398213993522</v>
      </c>
      <c r="V219">
        <v>48.423210693199309</v>
      </c>
      <c r="W219">
        <v>34.14626206597201</v>
      </c>
      <c r="X219">
        <v>42.932468420924593</v>
      </c>
      <c r="Y219">
        <v>9.4909076222771258</v>
      </c>
      <c r="Z219">
        <v>36.048316065857009</v>
      </c>
      <c r="AA219">
        <v>7.5761423537830419</v>
      </c>
      <c r="AB219">
        <v>42.103575333529911</v>
      </c>
      <c r="AD219">
        <v>10.429290037180342</v>
      </c>
      <c r="AE219">
        <v>16.427790523723115</v>
      </c>
      <c r="AF219">
        <v>15.533227524256807</v>
      </c>
      <c r="AG219">
        <v>28.215914462128659</v>
      </c>
      <c r="AH219">
        <v>7.4302200219225201</v>
      </c>
      <c r="AI219">
        <v>1.8002617494318409</v>
      </c>
      <c r="AK219">
        <v>58.620000671343917</v>
      </c>
    </row>
    <row r="220" spans="1:37" x14ac:dyDescent="0.2">
      <c r="A220">
        <v>219</v>
      </c>
      <c r="B220">
        <v>792</v>
      </c>
      <c r="C220">
        <v>100</v>
      </c>
      <c r="D220">
        <v>0.50858611463174297</v>
      </c>
      <c r="E220">
        <v>102.00872390460272</v>
      </c>
      <c r="F220">
        <v>65.595233576185976</v>
      </c>
      <c r="G220">
        <v>73.348867448317066</v>
      </c>
      <c r="H220">
        <v>68.835497198044962</v>
      </c>
      <c r="J220">
        <v>74.72444487335207</v>
      </c>
      <c r="L220">
        <v>7.9509512636905129</v>
      </c>
      <c r="M220">
        <v>15.939711125312268</v>
      </c>
      <c r="N220">
        <v>1.8659708435781024</v>
      </c>
      <c r="O220">
        <v>40.531060426485183</v>
      </c>
      <c r="P220">
        <v>12.513376950566967</v>
      </c>
      <c r="R220">
        <v>21.918983078201272</v>
      </c>
      <c r="S220">
        <v>60.019161064045242</v>
      </c>
      <c r="U220">
        <v>4.4838106152442823</v>
      </c>
      <c r="V220">
        <v>48.429917360545048</v>
      </c>
      <c r="W220">
        <v>33.923334915247437</v>
      </c>
      <c r="X220">
        <v>42.937648992058953</v>
      </c>
      <c r="Y220">
        <v>9.1704610740430379</v>
      </c>
      <c r="Z220">
        <v>35.472729870033412</v>
      </c>
      <c r="AA220">
        <v>7.2816706161498734</v>
      </c>
      <c r="AB220">
        <v>41.965391386562317</v>
      </c>
      <c r="AD220">
        <v>10.092336286102881</v>
      </c>
      <c r="AE220">
        <v>16.205096065443591</v>
      </c>
      <c r="AF220">
        <v>15.551399441025923</v>
      </c>
      <c r="AG220">
        <v>28.062895126221239</v>
      </c>
      <c r="AH220">
        <v>6.9631681331643209</v>
      </c>
      <c r="AI220">
        <v>1.8019977599955121</v>
      </c>
      <c r="AK220">
        <v>58.438602335466108</v>
      </c>
    </row>
    <row r="221" spans="1:37" x14ac:dyDescent="0.2">
      <c r="A221">
        <v>220</v>
      </c>
      <c r="B221">
        <v>791</v>
      </c>
      <c r="C221">
        <v>100</v>
      </c>
      <c r="D221">
        <v>0.50805854437814801</v>
      </c>
      <c r="E221">
        <v>101.79419199655976</v>
      </c>
      <c r="F221">
        <v>64.520182140870915</v>
      </c>
      <c r="G221">
        <v>73.162124078634847</v>
      </c>
      <c r="H221">
        <v>68.645844492607011</v>
      </c>
      <c r="J221">
        <v>74.425733698766081</v>
      </c>
      <c r="L221">
        <v>7.649355397550349</v>
      </c>
      <c r="M221">
        <v>15.960841143670619</v>
      </c>
      <c r="N221">
        <v>1.8679565036632024</v>
      </c>
      <c r="O221">
        <v>39.315307322975798</v>
      </c>
      <c r="P221">
        <v>12.163040785740225</v>
      </c>
      <c r="R221">
        <v>21.499258649069819</v>
      </c>
      <c r="S221">
        <v>59.503921287516683</v>
      </c>
      <c r="U221">
        <v>4.4738832820516761</v>
      </c>
      <c r="V221">
        <v>48.423110849611128</v>
      </c>
      <c r="W221">
        <v>33.703139087448228</v>
      </c>
      <c r="X221">
        <v>42.953823578898735</v>
      </c>
      <c r="Y221">
        <v>8.8359380344266718</v>
      </c>
      <c r="Z221">
        <v>34.870617662892798</v>
      </c>
      <c r="AA221">
        <v>6.9735545634509908</v>
      </c>
      <c r="AB221">
        <v>41.79807687427715</v>
      </c>
      <c r="AD221">
        <v>9.7395198974111548</v>
      </c>
      <c r="AE221">
        <v>15.971956166762741</v>
      </c>
      <c r="AF221">
        <v>15.571390370555694</v>
      </c>
      <c r="AG221">
        <v>27.880746675025442</v>
      </c>
      <c r="AH221">
        <v>6.4746600295556016</v>
      </c>
      <c r="AI221">
        <v>1.803732135825548</v>
      </c>
      <c r="AK221">
        <v>58.245186351511663</v>
      </c>
    </row>
    <row r="222" spans="1:37" x14ac:dyDescent="0.2">
      <c r="A222">
        <v>221</v>
      </c>
      <c r="B222">
        <v>790</v>
      </c>
      <c r="C222">
        <v>100</v>
      </c>
      <c r="D222">
        <v>0.507529981658283</v>
      </c>
      <c r="E222">
        <v>101.573389129394</v>
      </c>
      <c r="F222">
        <v>63.388002848983007</v>
      </c>
      <c r="G222">
        <v>72.965678047383747</v>
      </c>
      <c r="H222">
        <v>68.446501468520225</v>
      </c>
      <c r="J222">
        <v>74.089591278976712</v>
      </c>
      <c r="L222">
        <v>7.3283172828690004</v>
      </c>
      <c r="M222">
        <v>15.983803928763265</v>
      </c>
      <c r="N222">
        <v>1.8699411151901439</v>
      </c>
      <c r="O222">
        <v>38.034220164512405</v>
      </c>
      <c r="P222">
        <v>11.793305217751884</v>
      </c>
      <c r="R222">
        <v>21.048160389825124</v>
      </c>
      <c r="S222">
        <v>58.910896716937216</v>
      </c>
      <c r="U222">
        <v>4.4681672960266203</v>
      </c>
      <c r="V222">
        <v>48.399119546176841</v>
      </c>
      <c r="W222">
        <v>33.485890963433874</v>
      </c>
      <c r="X222">
        <v>42.982602025011055</v>
      </c>
      <c r="Y222">
        <v>8.4820435370847385</v>
      </c>
      <c r="Z222">
        <v>34.230293244513987</v>
      </c>
      <c r="AA222">
        <v>6.6467399561006602</v>
      </c>
      <c r="AB222">
        <v>41.592116110643197</v>
      </c>
      <c r="AD222">
        <v>9.3643960064128482</v>
      </c>
      <c r="AE222">
        <v>15.723334535854518</v>
      </c>
      <c r="AF222">
        <v>15.593213168616177</v>
      </c>
      <c r="AG222">
        <v>27.659953248988842</v>
      </c>
      <c r="AH222">
        <v>5.9566880988223323</v>
      </c>
      <c r="AI222">
        <v>1.8054646962793632</v>
      </c>
      <c r="AK222">
        <v>58.034500750401101</v>
      </c>
    </row>
    <row r="223" spans="1:37" x14ac:dyDescent="0.2">
      <c r="A223">
        <v>222</v>
      </c>
      <c r="B223">
        <v>789</v>
      </c>
      <c r="C223">
        <v>100</v>
      </c>
      <c r="D223">
        <v>0.50700042366897302</v>
      </c>
      <c r="E223">
        <v>101.34259160269683</v>
      </c>
      <c r="F223">
        <v>62.168234223271682</v>
      </c>
      <c r="G223">
        <v>72.754867227626349</v>
      </c>
      <c r="H223">
        <v>68.232806018336532</v>
      </c>
      <c r="J223">
        <v>73.698146224376146</v>
      </c>
      <c r="L223">
        <v>6.978892095979278</v>
      </c>
      <c r="M223">
        <v>16.008484543132489</v>
      </c>
      <c r="N223">
        <v>1.8719243783023942</v>
      </c>
      <c r="O223">
        <v>36.655585949608074</v>
      </c>
      <c r="P223">
        <v>11.394845713531039</v>
      </c>
      <c r="R223">
        <v>20.551225518397544</v>
      </c>
      <c r="S223">
        <v>58.207201548332122</v>
      </c>
      <c r="U223">
        <v>4.4675366525997111</v>
      </c>
      <c r="V223">
        <v>48.351516965386104</v>
      </c>
      <c r="W223">
        <v>33.271922912052297</v>
      </c>
      <c r="X223">
        <v>43.026516670382243</v>
      </c>
      <c r="Y223">
        <v>8.099413478061777</v>
      </c>
      <c r="Z223">
        <v>33.530887970292696</v>
      </c>
      <c r="AA223">
        <v>6.2922136910377446</v>
      </c>
      <c r="AB223">
        <v>41.330885874222091</v>
      </c>
      <c r="AD223">
        <v>8.9554982584869123</v>
      </c>
      <c r="AE223">
        <v>15.450204048970713</v>
      </c>
      <c r="AF223">
        <v>15.616752603078263</v>
      </c>
      <c r="AG223">
        <v>27.383891332130652</v>
      </c>
      <c r="AH223">
        <v>5.3950631669666143</v>
      </c>
      <c r="AI223">
        <v>1.8071951396793395</v>
      </c>
      <c r="AK223">
        <v>57.797163467205174</v>
      </c>
    </row>
    <row r="224" spans="1:37" x14ac:dyDescent="0.2">
      <c r="A224">
        <v>223</v>
      </c>
      <c r="B224">
        <v>788</v>
      </c>
      <c r="C224">
        <v>100</v>
      </c>
      <c r="D224">
        <v>0.50646986759647905</v>
      </c>
      <c r="E224">
        <v>101.09422654335704</v>
      </c>
      <c r="F224">
        <v>60.7991783100627</v>
      </c>
      <c r="G224">
        <v>72.520334791600106</v>
      </c>
      <c r="H224">
        <v>67.995401333819018</v>
      </c>
      <c r="J224">
        <v>73.215386983804706</v>
      </c>
      <c r="L224">
        <v>6.5825644423643279</v>
      </c>
      <c r="M224">
        <v>16.034311773592499</v>
      </c>
      <c r="N224">
        <v>1.8739057248106443</v>
      </c>
      <c r="O224">
        <v>35.114627247291516</v>
      </c>
      <c r="P224">
        <v>10.948948070074826</v>
      </c>
      <c r="R224">
        <v>19.978980683108258</v>
      </c>
      <c r="S224">
        <v>57.327256230050246</v>
      </c>
      <c r="U224">
        <v>4.4734836458388001</v>
      </c>
      <c r="V224">
        <v>48.267461857448495</v>
      </c>
      <c r="W224">
        <v>33.061829396751172</v>
      </c>
      <c r="X224">
        <v>43.089838360499172</v>
      </c>
      <c r="Y224">
        <v>7.6692396408236636</v>
      </c>
      <c r="Z224">
        <v>32.729909720346726</v>
      </c>
      <c r="AA224">
        <v>5.8916069699168876</v>
      </c>
      <c r="AB224">
        <v>40.981204940391763</v>
      </c>
      <c r="AD224">
        <v>8.49787083729783</v>
      </c>
      <c r="AE224">
        <v>15.1340840904013</v>
      </c>
      <c r="AF224">
        <v>15.641436897763752</v>
      </c>
      <c r="AG224">
        <v>27.019379136972834</v>
      </c>
      <c r="AH224">
        <v>4.7612171489003599</v>
      </c>
      <c r="AI224">
        <v>1.8089228960152002</v>
      </c>
      <c r="AK224">
        <v>57.514067255528687</v>
      </c>
    </row>
    <row r="225" spans="1:37" x14ac:dyDescent="0.2">
      <c r="A225">
        <v>224</v>
      </c>
      <c r="B225">
        <v>787</v>
      </c>
      <c r="C225">
        <v>100</v>
      </c>
      <c r="D225">
        <v>0.50593831061642502</v>
      </c>
      <c r="E225">
        <v>100.80960158755074</v>
      </c>
      <c r="F225">
        <v>59.1293888333472</v>
      </c>
      <c r="G225">
        <v>72.239417087726991</v>
      </c>
      <c r="H225">
        <v>67.711623782954405</v>
      </c>
      <c r="J225">
        <v>72.553387288364888</v>
      </c>
      <c r="L225">
        <v>6.0948141465940866</v>
      </c>
      <c r="M225">
        <v>16.058818177158368</v>
      </c>
      <c r="N225">
        <v>1.8758838698130267</v>
      </c>
      <c r="O225">
        <v>33.253922305618424</v>
      </c>
      <c r="P225">
        <v>10.410283720098622</v>
      </c>
      <c r="R225">
        <v>19.258901114957471</v>
      </c>
      <c r="S225">
        <v>56.113069901466361</v>
      </c>
      <c r="U225">
        <v>4.4887577498514801</v>
      </c>
      <c r="V225">
        <v>48.116023921110546</v>
      </c>
      <c r="W225">
        <v>32.85693305919964</v>
      </c>
      <c r="X225">
        <v>43.180247399315284</v>
      </c>
      <c r="Y225">
        <v>7.1459036724806468</v>
      </c>
      <c r="Z225">
        <v>31.722239230921456</v>
      </c>
      <c r="AA225">
        <v>5.4006361713940567</v>
      </c>
      <c r="AB225">
        <v>40.462935665899714</v>
      </c>
      <c r="AD225">
        <v>7.9081549570087466</v>
      </c>
      <c r="AE225">
        <v>14.728906608297256</v>
      </c>
      <c r="AF225">
        <v>15.664797329992055</v>
      </c>
      <c r="AG225">
        <v>26.486277740709024</v>
      </c>
      <c r="AH225">
        <v>3.9856254128277198</v>
      </c>
      <c r="AI225">
        <v>1.8106466785625952</v>
      </c>
      <c r="AK225">
        <v>57.137951623218179</v>
      </c>
    </row>
    <row r="226" spans="1:37" x14ac:dyDescent="0.2">
      <c r="A226">
        <v>225</v>
      </c>
      <c r="B226">
        <v>786</v>
      </c>
      <c r="C226">
        <v>100</v>
      </c>
      <c r="D226">
        <v>0.50540574989378495</v>
      </c>
      <c r="E226">
        <v>100.38961859779924</v>
      </c>
      <c r="F226">
        <v>56.387111920160898</v>
      </c>
      <c r="G226">
        <v>71.801366381391787</v>
      </c>
      <c r="H226">
        <v>67.270725650726718</v>
      </c>
      <c r="J226">
        <v>71.300241534295537</v>
      </c>
      <c r="L226">
        <v>5.2975136666385954</v>
      </c>
      <c r="M226">
        <v>16.061805091264549</v>
      </c>
      <c r="N226">
        <v>1.8778537284369463</v>
      </c>
      <c r="O226">
        <v>30.295438647659772</v>
      </c>
      <c r="P226">
        <v>9.5573521303266631</v>
      </c>
      <c r="R226">
        <v>18.040914639272433</v>
      </c>
      <c r="S226">
        <v>53.902780266558722</v>
      </c>
      <c r="U226">
        <v>4.5152512318830453</v>
      </c>
      <c r="V226">
        <v>47.788050469555351</v>
      </c>
      <c r="W226">
        <v>32.664063598870172</v>
      </c>
      <c r="X226">
        <v>43.300930569620817</v>
      </c>
      <c r="Y226">
        <v>6.3055549503065329</v>
      </c>
      <c r="Z226">
        <v>29.967369201393286</v>
      </c>
      <c r="AA226">
        <v>4.601249352851708</v>
      </c>
      <c r="AB226">
        <v>39.435482557374108</v>
      </c>
      <c r="AD226">
        <v>6.892684932708538</v>
      </c>
      <c r="AE226">
        <v>13.993367350125453</v>
      </c>
      <c r="AF226">
        <v>15.666630157546139</v>
      </c>
      <c r="AG226">
        <v>25.443986570460499</v>
      </c>
      <c r="AH226">
        <v>2.7251866875035069</v>
      </c>
      <c r="AI226">
        <v>1.8123614006259827</v>
      </c>
      <c r="AK226">
        <v>56.427311671015858</v>
      </c>
    </row>
    <row r="227" spans="1:37" x14ac:dyDescent="0.2">
      <c r="A227">
        <v>226</v>
      </c>
      <c r="B227">
        <v>785</v>
      </c>
      <c r="C227">
        <v>100</v>
      </c>
      <c r="D227">
        <v>0.50487218258281097</v>
      </c>
      <c r="E227">
        <v>99.758756501427882</v>
      </c>
      <c r="F227">
        <v>52.02606489685197</v>
      </c>
      <c r="G227">
        <v>71.1370655463286</v>
      </c>
      <c r="H227">
        <v>66.603589830507914</v>
      </c>
      <c r="J227">
        <v>69.245055551537106</v>
      </c>
      <c r="L227">
        <v>4.0536440058660741</v>
      </c>
      <c r="M227">
        <v>16.014828179941635</v>
      </c>
      <c r="N227">
        <v>1.8798145525934704</v>
      </c>
      <c r="O227">
        <v>25.733650261713048</v>
      </c>
      <c r="P227">
        <v>8.2519183210209359</v>
      </c>
      <c r="R227">
        <v>16.123726949710647</v>
      </c>
      <c r="S227">
        <v>50.571178141172894</v>
      </c>
      <c r="U227">
        <v>4.5331196894966661</v>
      </c>
      <c r="V227">
        <v>47.322403920998028</v>
      </c>
      <c r="W227">
        <v>32.491383872983846</v>
      </c>
      <c r="X227">
        <v>43.391969514722817</v>
      </c>
      <c r="Y227">
        <v>5.00597947779048</v>
      </c>
      <c r="Z227">
        <v>27.058269213788229</v>
      </c>
      <c r="AA227">
        <v>3.3533967477249389</v>
      </c>
      <c r="AB227">
        <v>37.816509422735145</v>
      </c>
      <c r="AD227">
        <v>5.2175537904820279</v>
      </c>
      <c r="AE227">
        <v>12.739578634346604</v>
      </c>
      <c r="AF227">
        <v>15.618490301597859</v>
      </c>
      <c r="AG227">
        <v>23.810168691439568</v>
      </c>
      <c r="AH227">
        <v>0.75182732408530284</v>
      </c>
      <c r="AI227">
        <v>1.814066312293249</v>
      </c>
      <c r="AK227">
        <v>55.206367766158714</v>
      </c>
    </row>
    <row r="228" spans="1:37" x14ac:dyDescent="0.2">
      <c r="A228">
        <v>227</v>
      </c>
      <c r="B228">
        <v>784</v>
      </c>
      <c r="C228">
        <v>100</v>
      </c>
      <c r="D228">
        <v>0.50433760582698905</v>
      </c>
      <c r="E228">
        <v>99.988235719392691</v>
      </c>
      <c r="F228">
        <v>51.526703405921303</v>
      </c>
      <c r="G228">
        <v>71.256787862799527</v>
      </c>
      <c r="H228">
        <v>66.720489622233359</v>
      </c>
      <c r="J228">
        <v>63.097248673891293</v>
      </c>
      <c r="L228">
        <v>2.9555714319002511</v>
      </c>
      <c r="M228">
        <v>15.922749729867213</v>
      </c>
      <c r="N228">
        <v>1.8818171814481741</v>
      </c>
      <c r="O228">
        <v>19.550602427352004</v>
      </c>
      <c r="P228">
        <v>8.5145797128116634</v>
      </c>
      <c r="R228">
        <v>14.802836962094061</v>
      </c>
      <c r="S228">
        <v>46.024382084364241</v>
      </c>
      <c r="U228">
        <v>4.6033863327302651</v>
      </c>
      <c r="V228">
        <v>46.697021637312382</v>
      </c>
      <c r="W228">
        <v>32.230811218095994</v>
      </c>
      <c r="X228">
        <v>43.634699160527383</v>
      </c>
      <c r="Y228">
        <v>4.3268198861420117</v>
      </c>
      <c r="Z228">
        <v>24.79983258279665</v>
      </c>
      <c r="AA228">
        <v>2.0331738623241109</v>
      </c>
      <c r="AB228">
        <v>35.606694374799559</v>
      </c>
      <c r="AD228">
        <v>4.0863625564341559</v>
      </c>
      <c r="AE228">
        <v>11.274633714131548</v>
      </c>
      <c r="AF228">
        <v>15.525290893235239</v>
      </c>
      <c r="AG228">
        <v>21.585553061028961</v>
      </c>
      <c r="AI228">
        <v>1.8158122509053922</v>
      </c>
      <c r="AK228">
        <v>51.383520958988065</v>
      </c>
    </row>
    <row r="229" spans="1:37" x14ac:dyDescent="0.2">
      <c r="A229">
        <v>228</v>
      </c>
      <c r="B229">
        <v>783</v>
      </c>
      <c r="C229">
        <v>100</v>
      </c>
      <c r="D229">
        <v>0.50380201675898495</v>
      </c>
      <c r="E229">
        <v>100.18260688413334</v>
      </c>
      <c r="F229">
        <v>51.272278063826221</v>
      </c>
      <c r="G229">
        <v>71.355108121904237</v>
      </c>
      <c r="H229">
        <v>66.815999836715093</v>
      </c>
      <c r="J229">
        <v>57.998270407387047</v>
      </c>
      <c r="L229">
        <v>1.8104568474817133</v>
      </c>
      <c r="M229">
        <v>15.781897498396111</v>
      </c>
      <c r="N229">
        <v>1.8838242450232578</v>
      </c>
      <c r="O229">
        <v>13.699686750639792</v>
      </c>
      <c r="P229">
        <v>8.7344485389201854</v>
      </c>
      <c r="R229">
        <v>13.491423854285431</v>
      </c>
      <c r="S229">
        <v>42.151454230328248</v>
      </c>
      <c r="U229">
        <v>4.636449368389866</v>
      </c>
      <c r="V229">
        <v>46.378949089274919</v>
      </c>
      <c r="W229">
        <v>31.955109543580317</v>
      </c>
      <c r="X229">
        <v>43.770089125896071</v>
      </c>
      <c r="Y229">
        <v>3.5104109988678665</v>
      </c>
      <c r="Z229">
        <v>23.072268039797915</v>
      </c>
      <c r="AA229">
        <v>0.72802440819253389</v>
      </c>
      <c r="AB229">
        <v>34.190552201317225</v>
      </c>
      <c r="AD229">
        <v>3.1463211130826823</v>
      </c>
      <c r="AE229">
        <v>10.189032279309703</v>
      </c>
      <c r="AF229">
        <v>15.383322325089939</v>
      </c>
      <c r="AG229">
        <v>20.154617102414623</v>
      </c>
      <c r="AI229">
        <v>1.8175618446598023</v>
      </c>
      <c r="AK229">
        <v>48.121745071321797</v>
      </c>
    </row>
    <row r="230" spans="1:37" x14ac:dyDescent="0.2">
      <c r="A230">
        <v>229</v>
      </c>
      <c r="B230">
        <v>782</v>
      </c>
      <c r="C230">
        <v>100</v>
      </c>
      <c r="D230">
        <v>0.50326541250059598</v>
      </c>
      <c r="E230">
        <v>100.42266836165197</v>
      </c>
      <c r="F230">
        <v>50.953211121598677</v>
      </c>
      <c r="G230">
        <v>71.461033169052371</v>
      </c>
      <c r="H230">
        <v>66.919127339110986</v>
      </c>
      <c r="J230">
        <v>52.451231422788979</v>
      </c>
      <c r="L230">
        <v>1.4166861199518352</v>
      </c>
      <c r="M230">
        <v>15.538202311978559</v>
      </c>
      <c r="N230">
        <v>1.8858336386175969</v>
      </c>
      <c r="O230">
        <v>11.583771409062475</v>
      </c>
      <c r="P230">
        <v>8.9695364065149796</v>
      </c>
      <c r="R230">
        <v>12.920342553142017</v>
      </c>
      <c r="S230">
        <v>40.58004297173818</v>
      </c>
      <c r="U230">
        <v>4.6564285118758528</v>
      </c>
      <c r="V230">
        <v>46.400212941480916</v>
      </c>
      <c r="W230">
        <v>31.588225758899807</v>
      </c>
      <c r="X230">
        <v>43.867907771597991</v>
      </c>
      <c r="Y230">
        <v>3.1220222002539813</v>
      </c>
      <c r="Z230">
        <v>21.008222119057489</v>
      </c>
      <c r="AB230">
        <v>32.820076392557539</v>
      </c>
      <c r="AD230">
        <v>2.0868466696047281</v>
      </c>
      <c r="AE230">
        <v>8.9245834935834925</v>
      </c>
      <c r="AF230">
        <v>15.138513324178279</v>
      </c>
      <c r="AG230">
        <v>18.769352206598292</v>
      </c>
      <c r="AI230">
        <v>1.8193129870292641</v>
      </c>
      <c r="AK230">
        <v>44.486386536437173</v>
      </c>
    </row>
    <row r="231" spans="1:37" x14ac:dyDescent="0.2">
      <c r="A231">
        <v>230</v>
      </c>
      <c r="B231">
        <v>781</v>
      </c>
      <c r="C231">
        <v>100</v>
      </c>
      <c r="D231">
        <v>0.50272779016268998</v>
      </c>
      <c r="E231">
        <v>100.6625284049226</v>
      </c>
      <c r="F231">
        <v>50.821451216197531</v>
      </c>
      <c r="G231">
        <v>71.543100210901045</v>
      </c>
      <c r="H231">
        <v>66.998409355865022</v>
      </c>
      <c r="J231">
        <v>47.696385618612368</v>
      </c>
      <c r="L231">
        <v>1.434003737367846</v>
      </c>
      <c r="M231">
        <v>15.211326827461946</v>
      </c>
      <c r="N231">
        <v>1.887843264861321</v>
      </c>
      <c r="O231">
        <v>11.394809870680431</v>
      </c>
      <c r="P231">
        <v>9.1569156526567461</v>
      </c>
      <c r="R231">
        <v>12.713684979082057</v>
      </c>
      <c r="S231">
        <v>40.424832858211381</v>
      </c>
      <c r="U231">
        <v>4.658816314379405</v>
      </c>
      <c r="V231">
        <v>46.699646406136047</v>
      </c>
      <c r="W231">
        <v>31.152377021142502</v>
      </c>
      <c r="X231">
        <v>43.915139294708332</v>
      </c>
      <c r="Y231">
        <v>2.9662451303399235</v>
      </c>
      <c r="Z231">
        <v>19.345740550260508</v>
      </c>
      <c r="AB231">
        <v>31.930010846019321</v>
      </c>
      <c r="AD231">
        <v>1.2323622913469225</v>
      </c>
      <c r="AE231">
        <v>7.9194120341436998</v>
      </c>
      <c r="AF231">
        <v>14.81052445525628</v>
      </c>
      <c r="AG231">
        <v>17.864500179158778</v>
      </c>
      <c r="AI231">
        <v>1.8210635788182821</v>
      </c>
      <c r="AK231">
        <v>41.305408972157259</v>
      </c>
    </row>
    <row r="232" spans="1:37" x14ac:dyDescent="0.2">
      <c r="A232">
        <v>231</v>
      </c>
      <c r="B232">
        <v>780</v>
      </c>
      <c r="C232">
        <v>100</v>
      </c>
      <c r="D232">
        <v>0.50218914684517901</v>
      </c>
      <c r="E232">
        <v>100.86348233173639</v>
      </c>
      <c r="F232">
        <v>50.888802560078169</v>
      </c>
      <c r="G232">
        <v>71.592650774640077</v>
      </c>
      <c r="H232">
        <v>67.045187433990222</v>
      </c>
      <c r="J232">
        <v>44.26349991505316</v>
      </c>
      <c r="L232">
        <v>1.4487701253529448</v>
      </c>
      <c r="M232">
        <v>14.8719764961017</v>
      </c>
      <c r="N232">
        <v>1.8898513496313751</v>
      </c>
      <c r="O232">
        <v>11.242394854154954</v>
      </c>
      <c r="P232">
        <v>9.2792675787699981</v>
      </c>
      <c r="R232">
        <v>12.482818012757738</v>
      </c>
      <c r="S232">
        <v>40.469853275456117</v>
      </c>
      <c r="U232">
        <v>4.6487757160341721</v>
      </c>
      <c r="V232">
        <v>47.079941232922096</v>
      </c>
      <c r="W232">
        <v>30.71369051254435</v>
      </c>
      <c r="X232">
        <v>43.926736167079582</v>
      </c>
      <c r="Y232">
        <v>2.7903117483284308</v>
      </c>
      <c r="Z232">
        <v>18.299188980542539</v>
      </c>
      <c r="AB232">
        <v>31.517715181423416</v>
      </c>
      <c r="AD232">
        <v>0.66454904885430577</v>
      </c>
      <c r="AE232">
        <v>7.2887104158479561</v>
      </c>
      <c r="AF232">
        <v>14.470059400747745</v>
      </c>
      <c r="AG232">
        <v>17.437418871157124</v>
      </c>
      <c r="AI232">
        <v>1.8228118440763135</v>
      </c>
      <c r="AK232">
        <v>38.971268607857738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C5607-43C7-4F2D-AAB1-D6B472F5CD27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1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0.62</v>
      </c>
      <c r="D7" t="s">
        <v>26</v>
      </c>
      <c r="E7">
        <v>20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2025-06-09T22:10:41Z</dcterms:created>
  <dcterms:modified xsi:type="dcterms:W3CDTF">2025-06-09T22:12:33Z</dcterms:modified>
</cp:coreProperties>
</file>